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740" yWindow="1900" windowWidth="33520" windowHeight="1710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2" i="18" l="1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C20" i="18"/>
  <c r="D20" i="18"/>
  <c r="C21" i="18"/>
  <c r="D21" i="18"/>
  <c r="C10" i="18"/>
  <c r="D10" i="18"/>
  <c r="C31" i="18"/>
  <c r="D31" i="18"/>
  <c r="C32" i="18"/>
  <c r="D32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1" i="18"/>
  <c r="D11" i="18"/>
  <c r="B16" i="21"/>
  <c r="I16" i="21"/>
  <c r="J16" i="21"/>
  <c r="G16" i="21"/>
  <c r="F16" i="21"/>
  <c r="D16" i="21"/>
  <c r="C16" i="21"/>
  <c r="B11" i="21"/>
  <c r="I11" i="21"/>
  <c r="J11" i="21"/>
  <c r="G11" i="21"/>
  <c r="F11" i="21"/>
  <c r="D11" i="21"/>
  <c r="C11" i="21"/>
  <c r="B6" i="21"/>
  <c r="I6" i="21"/>
  <c r="J6" i="21"/>
  <c r="G6" i="21"/>
  <c r="F6" i="21"/>
  <c r="D6" i="21"/>
  <c r="C6" i="21"/>
  <c r="AD18" i="1"/>
  <c r="AF18" i="1"/>
  <c r="AI18" i="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J13" i="11"/>
  <c r="J11" i="11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Y4" i="7"/>
  <c r="W4" i="7"/>
  <c r="U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10" i="11"/>
  <c r="J8" i="11"/>
  <c r="J9" i="11"/>
  <c r="J7" i="11"/>
  <c r="J6" i="11"/>
  <c r="J5" i="11"/>
  <c r="J4" i="11"/>
  <c r="J3" i="11"/>
  <c r="J2" i="11"/>
  <c r="O10" i="9"/>
  <c r="N10" i="9"/>
  <c r="M10" i="9"/>
  <c r="L10" i="9"/>
  <c r="K10" i="9"/>
  <c r="J10" i="9"/>
  <c r="I10" i="9"/>
  <c r="H10" i="9"/>
  <c r="G10" i="9"/>
  <c r="E10" i="9"/>
  <c r="D10" i="9"/>
  <c r="A10" i="9"/>
  <c r="O8" i="9"/>
  <c r="N8" i="9"/>
  <c r="M8" i="9"/>
  <c r="L8" i="9"/>
  <c r="K8" i="9"/>
  <c r="J8" i="9"/>
  <c r="I8" i="9"/>
  <c r="H8" i="9"/>
  <c r="G8" i="9"/>
  <c r="E8" i="9"/>
  <c r="D8" i="9"/>
  <c r="A8" i="9"/>
  <c r="O9" i="9"/>
  <c r="N9" i="9"/>
  <c r="M9" i="9"/>
  <c r="L9" i="9"/>
  <c r="K9" i="9"/>
  <c r="J9" i="9"/>
  <c r="I9" i="9"/>
  <c r="H9" i="9"/>
  <c r="G9" i="9"/>
  <c r="E9" i="9"/>
  <c r="D9" i="9"/>
  <c r="A9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O2" i="9"/>
  <c r="N2" i="9"/>
  <c r="M2" i="9"/>
  <c r="L2" i="9"/>
  <c r="K2" i="9"/>
  <c r="J2" i="9"/>
  <c r="I2" i="9"/>
  <c r="H2" i="9"/>
  <c r="G2" i="9"/>
  <c r="E2" i="9"/>
  <c r="D2" i="9"/>
  <c r="A2" i="9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H13" i="2"/>
  <c r="E13" i="2"/>
  <c r="D13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AD22" i="1"/>
  <c r="AF22" i="1"/>
  <c r="AI22" i="1"/>
  <c r="AG22" i="1"/>
  <c r="AE22" i="1"/>
  <c r="X22" i="1"/>
  <c r="V22" i="1"/>
  <c r="T22" i="1"/>
  <c r="Q22" i="1"/>
  <c r="P22" i="1"/>
  <c r="O22" i="1"/>
  <c r="N22" i="1"/>
  <c r="M22" i="1"/>
  <c r="J22" i="1"/>
  <c r="I22" i="1"/>
  <c r="D22" i="1"/>
  <c r="F22" i="1"/>
  <c r="E22" i="1"/>
  <c r="A22" i="1"/>
  <c r="AD21" i="1"/>
  <c r="AF21" i="1"/>
  <c r="AI21" i="1"/>
  <c r="AG21" i="1"/>
  <c r="AE21" i="1"/>
  <c r="X21" i="1"/>
  <c r="V21" i="1"/>
  <c r="T21" i="1"/>
  <c r="Q21" i="1"/>
  <c r="P21" i="1"/>
  <c r="O21" i="1"/>
  <c r="N21" i="1"/>
  <c r="M21" i="1"/>
  <c r="J21" i="1"/>
  <c r="I21" i="1"/>
  <c r="D21" i="1"/>
  <c r="F21" i="1"/>
  <c r="E21" i="1"/>
  <c r="A21" i="1"/>
  <c r="AD20" i="1"/>
  <c r="AF20" i="1"/>
  <c r="AI20" i="1"/>
  <c r="AG20" i="1"/>
  <c r="AE20" i="1"/>
  <c r="X20" i="1"/>
  <c r="V20" i="1"/>
  <c r="T20" i="1"/>
  <c r="Q20" i="1"/>
  <c r="P20" i="1"/>
  <c r="O20" i="1"/>
  <c r="N20" i="1"/>
  <c r="M20" i="1"/>
  <c r="J20" i="1"/>
  <c r="I20" i="1"/>
  <c r="D20" i="1"/>
  <c r="F20" i="1"/>
  <c r="E20" i="1"/>
  <c r="A20" i="1"/>
  <c r="AD19" i="1"/>
  <c r="AF19" i="1"/>
  <c r="AI19" i="1"/>
  <c r="AG19" i="1"/>
  <c r="AE19" i="1"/>
  <c r="X19" i="1"/>
  <c r="V19" i="1"/>
  <c r="T19" i="1"/>
  <c r="Q19" i="1"/>
  <c r="P19" i="1"/>
  <c r="O19" i="1"/>
  <c r="N19" i="1"/>
  <c r="M19" i="1"/>
  <c r="J19" i="1"/>
  <c r="I19" i="1"/>
  <c r="D19" i="1"/>
  <c r="F19" i="1"/>
  <c r="E19" i="1"/>
  <c r="A19" i="1"/>
  <c r="AG18" i="1"/>
  <c r="AE18" i="1"/>
  <c r="X18" i="1"/>
  <c r="V18" i="1"/>
  <c r="T18" i="1"/>
  <c r="Q18" i="1"/>
  <c r="P18" i="1"/>
  <c r="O18" i="1"/>
  <c r="N18" i="1"/>
  <c r="M18" i="1"/>
  <c r="J18" i="1"/>
  <c r="I18" i="1"/>
  <c r="D18" i="1"/>
  <c r="F18" i="1"/>
  <c r="E18" i="1"/>
  <c r="A18" i="1"/>
  <c r="AD17" i="1"/>
  <c r="AF17" i="1"/>
  <c r="AI17" i="1"/>
  <c r="AG17" i="1"/>
  <c r="AE17" i="1"/>
  <c r="X17" i="1"/>
  <c r="V17" i="1"/>
  <c r="T17" i="1"/>
  <c r="Q17" i="1"/>
  <c r="P17" i="1"/>
  <c r="O17" i="1"/>
  <c r="N17" i="1"/>
  <c r="M17" i="1"/>
  <c r="J17" i="1"/>
  <c r="I17" i="1"/>
  <c r="D17" i="1"/>
  <c r="F17" i="1"/>
  <c r="E17" i="1"/>
  <c r="A17" i="1"/>
  <c r="AD16" i="1"/>
  <c r="AF16" i="1"/>
  <c r="AI16" i="1"/>
  <c r="AG16" i="1"/>
  <c r="AE16" i="1"/>
  <c r="X16" i="1"/>
  <c r="V16" i="1"/>
  <c r="T16" i="1"/>
  <c r="Q16" i="1"/>
  <c r="P16" i="1"/>
  <c r="O16" i="1"/>
  <c r="N16" i="1"/>
  <c r="M16" i="1"/>
  <c r="J16" i="1"/>
  <c r="I16" i="1"/>
  <c r="D16" i="1"/>
  <c r="F16" i="1"/>
  <c r="E16" i="1"/>
  <c r="A16" i="1"/>
  <c r="AD15" i="1"/>
  <c r="AF15" i="1"/>
  <c r="AI15" i="1"/>
  <c r="AG15" i="1"/>
  <c r="AE15" i="1"/>
  <c r="X15" i="1"/>
  <c r="V15" i="1"/>
  <c r="T15" i="1"/>
  <c r="Q15" i="1"/>
  <c r="P15" i="1"/>
  <c r="O15" i="1"/>
  <c r="N15" i="1"/>
  <c r="M15" i="1"/>
  <c r="J15" i="1"/>
  <c r="I15" i="1"/>
  <c r="D15" i="1"/>
  <c r="F15" i="1"/>
  <c r="E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2" i="1"/>
  <c r="T2" i="1"/>
  <c r="E13" i="16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B2" i="21"/>
  <c r="I2" i="21"/>
  <c r="J2" i="21"/>
  <c r="G2" i="21"/>
  <c r="F2" i="21"/>
  <c r="D2" i="21"/>
  <c r="C2" i="21"/>
  <c r="E12" i="16"/>
  <c r="E11" i="16"/>
  <c r="B2" i="19"/>
  <c r="G2" i="19"/>
  <c r="F2" i="19"/>
  <c r="D2" i="19"/>
  <c r="C2" i="19"/>
  <c r="E10" i="16"/>
  <c r="C2" i="18"/>
  <c r="D2" i="18"/>
  <c r="E9" i="16"/>
  <c r="Y2" i="7"/>
  <c r="X2" i="1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AI2" i="1"/>
  <c r="H2" i="7"/>
  <c r="J2" i="7"/>
  <c r="E8" i="16"/>
  <c r="E7" i="16"/>
  <c r="E6" i="16"/>
  <c r="E5" i="16"/>
  <c r="E4" i="16"/>
  <c r="E3" i="16"/>
  <c r="E2" i="16"/>
  <c r="A2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<sst xmlns="http://schemas.openxmlformats.org/spreadsheetml/2006/main" count="968" uniqueCount="321">
  <si>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</si>
  <si>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</si>
  <si>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</si>
  <si>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</si>
  <si>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</si>
  <si>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</si>
  <si>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</si>
  <si>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</si>
  <si>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</si>
  <si>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</si>
  <si>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</si>
  <si>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</si>
  <si>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</si>
  <si>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</si>
  <si>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</si>
  <si>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</si>
  <si>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</si>
  <si>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</si>
  <si>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</si>
  <si>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</si>
  <si>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</si>
  <si>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</si>
  <si>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</si>
  <si>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</si>
  <si>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</si>
  <si>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</si>
  <si>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</si>
  <si>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</si>
  <si>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</si>
  <si>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</si>
  <si>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</si>
  <si>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</si>
  <si>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</si>
  <si>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</si>
  <si>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</si>
  <si>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</si>
  <si>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</si>
  <si>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</si>
  <si>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</si>
  <si>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</si>
  <si>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</si>
  <si>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</si>
  <si>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</si>
  <si>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</si>
  <si>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</si>
  <si>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</si>
  <si>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</si>
  <si>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</si>
  <si>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</si>
  <si>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</si>
  <si>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</si>
  <si>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</si>
  <si>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</si>
  <si>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</si>
  <si>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</si>
  <si>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</si>
  <si>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</si>
  <si>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</si>
  <si>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</si>
  <si>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</si>
  <si>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</si>
  <si>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</si>
  <si>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</si>
  <si>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</si>
  <si>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</si>
  <si>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</si>
  <si>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</si>
  <si>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</si>
  <si>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</si>
  <si>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</si>
  <si>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</si>
  <si>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</si>
  <si>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</si>
  <si>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</si>
  <si>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</si>
  <si>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</si>
  <si>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</si>
  <si>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</si>
  <si>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</si>
  <si>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</si>
  <si>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</si>
  <si>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</si>
  <si>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</si>
  <si>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</si>
  <si>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</si>
  <si>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</si>
  <si>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</si>
  <si>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</si>
  <si>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</si>
  <si>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</si>
  <si>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</si>
  <si>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</si>
  <si>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</si>
  <si>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</si>
  <si>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</si>
  <si>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</si>
  <si>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</si>
  <si>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</si>
  <si>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</si>
  <si>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</si>
  <si>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</si>
  <si>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</si>
  <si>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</si>
  <si>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</si>
  <si>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</si>
  <si>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</si>
  <si>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</si>
  <si>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</si>
  <si>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</si>
  <si>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</si>
  <si>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</si>
  <si>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</si>
  <si>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</si>
  <si>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</si>
  <si>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</si>
  <si>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</si>
  <si>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</si>
  <si>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</si>
  <si>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</si>
  <si>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</si>
  <si>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</si>
  <si>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</si>
  <si>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</si>
  <si>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</si>
  <si>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</si>
  <si>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</si>
  <si>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</si>
  <si>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</si>
  <si>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</si>
  <si>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</si>
  <si>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</si>
  <si>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</si>
  <si>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</si>
  <si>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</si>
  <si>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</si>
  <si>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</si>
  <si>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</si>
  <si>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</si>
  <si>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</si>
  <si>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</si>
  <si>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</si>
  <si>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</si>
  <si>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</si>
  <si>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</si>
  <si>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</si>
  <si>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</si>
  <si>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</si>
  <si>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</si>
  <si>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</si>
  <si>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</si>
  <si>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</si>
  <si>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</si>
  <si>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</si>
  <si>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</si>
  <si>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</si>
  <si>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</si>
  <si>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</si>
  <si>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</si>
  <si>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</si>
  <si>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</si>
  <si>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</si>
  <si>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</si>
  <si>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</si>
  <si>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</si>
  <si>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</si>
  <si>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</si>
  <si>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</si>
  <si>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</si>
  <si>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</si>
  <si>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</si>
  <si>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</si>
  <si>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</si>
  <si>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</si>
  <si>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</si>
  <si>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</si>
  <si>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</si>
  <si>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</si>
  <si>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</si>
  <si>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</si>
  <si>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</si>
  <si>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</si>
  <si>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</si>
  <si>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</si>
  <si>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</si>
  <si>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</si>
  <si>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</si>
  <si>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</si>
  <si>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</si>
  <si>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</si>
  <si>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</si>
  <si>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</si>
  <si>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</si>
  <si>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</si>
  <si>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</si>
  <si>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</si>
  <si>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</si>
  <si>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</si>
  <si>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</si>
  <si>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</si>
  <si>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</si>
  <si>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</si>
  <si>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</si>
  <si>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</si>
  <si>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</si>
  <si>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</si>
  <si>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</si>
  <si>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</si>
  <si>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</si>
  <si>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</si>
  <si>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</si>
  <si>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</si>
  <si>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</si>
  <si>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</si>
  <si>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</si>
  <si>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</si>
  <si>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</si>
  <si>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</si>
  <si>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</si>
  <si>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</si>
  <si>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</si>
  <si>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</si>
  <si>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</si>
  <si>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</si>
  <si>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</si>
  <si>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</si>
  <si>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</si>
  <si>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</si>
  <si>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</si>
  <si>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</si>
  <si>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</si>
  <si>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</si>
  <si>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</si>
  <si>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</si>
  <si>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</si>
  <si>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</si>
  <si>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</si>
  <si>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</si>
  <si>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</si>
  <si>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</si>
  <si>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</si>
  <si>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</si>
  <si>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</si>
  <si>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</si>
  <si>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</si>
  <si>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</si>
  <si>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</si>
  <si>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</si>
  <si>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</si>
  <si>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</si>
  <si>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</si>
  <si>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  <phoneticPr fontId="5"/>
  </si>
  <si>
    <t>old</t>
    <phoneticPr fontId="5"/>
  </si>
  <si>
    <t>朱雀用１</t>
  </si>
  <si>
    <t>朱雀用１</t>
    <phoneticPr fontId="5"/>
  </si>
  <si>
    <t>卑弥呼用１</t>
  </si>
  <si>
    <t>卑弥呼用１</t>
    <phoneticPr fontId="5"/>
  </si>
  <si>
    <t>ファイアフォックス用１</t>
  </si>
  <si>
    <t>ファイアフォックス用１</t>
    <phoneticPr fontId="5"/>
  </si>
  <si>
    <t>妖炎の夕霧用１</t>
  </si>
  <si>
    <t>妖炎の夕霧用１</t>
    <phoneticPr fontId="5"/>
  </si>
  <si>
    <t>静御前用１</t>
  </si>
  <si>
    <t>静御前用１</t>
    <phoneticPr fontId="5"/>
  </si>
  <si>
    <t>静御前用２</t>
  </si>
  <si>
    <t>静御前用３</t>
  </si>
  <si>
    <t>静御前用４</t>
  </si>
  <si>
    <t>静御前用５</t>
  </si>
  <si>
    <t>舞の構え・序</t>
    <phoneticPr fontId="5"/>
  </si>
  <si>
    <t>舞の構え・破</t>
    <phoneticPr fontId="5"/>
  </si>
  <si>
    <t>舞の構え・急</t>
    <phoneticPr fontId="5"/>
  </si>
  <si>
    <t>舞が止まらない！</t>
    <phoneticPr fontId="5"/>
  </si>
  <si>
    <t>クリティカル！</t>
    <phoneticPr fontId="5"/>
  </si>
  <si>
    <t>全体攻撃</t>
    <phoneticPr fontId="5"/>
  </si>
  <si>
    <t>炎華の舞</t>
    <phoneticPr fontId="5"/>
  </si>
  <si>
    <t>妖炎の舞</t>
    <phoneticPr fontId="5"/>
  </si>
  <si>
    <t>妖しい火を灯した！</t>
    <phoneticPr fontId="5"/>
  </si>
  <si>
    <t>null</t>
    <phoneticPr fontId="5"/>
  </si>
  <si>
    <t>old</t>
  </si>
  <si>
    <t>[effect:enhance_enemy, target:myself, turn:3, status:attack, val:1.25, animation:enemy_enhance_enemy]</t>
    <phoneticPr fontId="5"/>
  </si>
  <si>
    <t>追い風を起こした！</t>
    <phoneticPr fontId="5"/>
  </si>
  <si>
    <t>義経様の邪魔はさせません</t>
    <phoneticPr fontId="5"/>
  </si>
  <si>
    <t>源氏再興のためあなたを倒します</t>
    <phoneticPr fontId="5"/>
  </si>
  <si>
    <t>義経様・・・</t>
    <phoneticPr fontId="5"/>
  </si>
  <si>
    <t>くっ！</t>
    <phoneticPr fontId="5"/>
  </si>
  <si>
    <t>null</t>
    <phoneticPr fontId="5"/>
  </si>
  <si>
    <t>静御前用６</t>
  </si>
  <si>
    <t>静御前用７</t>
  </si>
  <si>
    <t>静御前用８</t>
  </si>
  <si>
    <t>[effect:rush, count:3, val:0.4]</t>
    <phoneticPr fontId="5"/>
  </si>
  <si>
    <t>舞が激しくなる！</t>
    <phoneticPr fontId="5"/>
  </si>
  <si>
    <t>2回連続攻撃</t>
    <phoneticPr fontId="5"/>
  </si>
  <si>
    <t>全てのプラス効果を解除</t>
    <phoneticPr fontId="5"/>
  </si>
  <si>
    <t>3回連続攻撃</t>
    <phoneticPr fontId="5"/>
  </si>
  <si>
    <t>5回連続攻撃</t>
    <phoneticPr fontId="5"/>
  </si>
  <si>
    <t>敵をしっかりターゲットして
数を減らしていきましょう</t>
    <phoneticPr fontId="5"/>
  </si>
  <si>
    <t>静御前は攻撃頻度が早いので
ハートパネルを有効活用しましょう</t>
    <phoneticPr fontId="5"/>
  </si>
  <si>
    <t>朱雀は敵全体の攻撃頻度を上げてくるので
先に倒しましょう</t>
    <phoneticPr fontId="5"/>
  </si>
  <si>
    <t>ファイアフォックスは全ての敵の攻撃力を
上げてくるので　先に倒しましょう</t>
    <phoneticPr fontId="5"/>
  </si>
  <si>
    <t>静御前２ゲージ目の連続攻撃は脅威です
スキルやフィーバーを使って倒しましょう</t>
    <phoneticPr fontId="5"/>
  </si>
  <si>
    <t>朱雀は敵全体の攻撃頻度を上げてくるので
先に倒しましょう</t>
    <phoneticPr fontId="5"/>
  </si>
  <si>
    <t>ファイアフォックスは全ての敵の攻撃力を
上げてくるので　先に倒しましょう</t>
    <phoneticPr fontId="5"/>
  </si>
  <si>
    <t>静御前は攻撃頻度が早いので
ハートパネルを有効活用しましょう</t>
    <phoneticPr fontId="5"/>
  </si>
  <si>
    <t>静御前２ゲージ目の連続攻撃は脅威です
スキルやフィーバーを使って倒しましょう</t>
    <phoneticPr fontId="5"/>
  </si>
  <si>
    <t>敵をしっかりターゲットして
数を減らしていきましょう</t>
    <phoneticPr fontId="5"/>
  </si>
  <si>
    <t>朱雀は敵全体の攻撃頻度を上げてくるので
先に倒しましょう</t>
    <phoneticPr fontId="5"/>
  </si>
  <si>
    <t>静御前２ゲージ目の連続攻撃は脅威です
スキルやフィーバーを使って倒しましょう</t>
    <phoneticPr fontId="5"/>
  </si>
  <si>
    <t>[effect:freq_turn, target:enemy_all, turn:3, val:1, animation:enemy_freq_turn]</t>
    <phoneticPr fontId="5"/>
  </si>
  <si>
    <t>[effect:rush, count:2, val:0.6]</t>
    <phoneticPr fontId="5"/>
  </si>
  <si>
    <t>[effect:enhance_enemy, target:enemy_all, turn:3, status:attack, val:1.25, animation:enemy_enhance_enemy]</t>
    <phoneticPr fontId="5"/>
  </si>
  <si>
    <t>3ターン敵全体の攻撃頻度UP</t>
    <phoneticPr fontId="5"/>
  </si>
  <si>
    <t>3ターン敵全体の攻撃力UP</t>
    <phoneticPr fontId="5"/>
  </si>
  <si>
    <t>[effect:spread, val:0.3, animation:enemy_spread]</t>
    <phoneticPr fontId="5"/>
  </si>
  <si>
    <t>[effect:critical, val:1.5]</t>
    <phoneticPr fontId="5"/>
  </si>
  <si>
    <t>3ターン自身の攻撃力UP</t>
    <phoneticPr fontId="5"/>
  </si>
  <si>
    <t>[effect:fix_speed, target:myself, turn:1]</t>
    <phoneticPr fontId="5"/>
  </si>
  <si>
    <t>自身の攻撃頻度UP</t>
    <phoneticPr fontId="5"/>
  </si>
  <si>
    <t>[effect:rush, count:5, val:0.25]</t>
    <phoneticPr fontId="5"/>
  </si>
  <si>
    <t>[effect:enemy_message, val1:2, val2:3]</t>
    <phoneticPr fontId="5"/>
  </si>
  <si>
    <t>link</t>
  </si>
  <si>
    <t>unit</t>
  </si>
  <si>
    <t>[effect:remove_enhancement, target:unit_all, target_effect:all, target_type:buff, animation:frozen_wave],[effect:enemy_message, val1:1.5]</t>
    <phoneticPr fontId="5"/>
  </si>
  <si>
    <t>[effect:remove_enhancement, target:unit_all, target_effect:all, target_type:buff, animation:frozen_wave],[effect:enemy_message, val1:1.5]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</si>
</sst>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indexed="8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/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/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7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177" fontId="8" fillId="0" borderId="23" xfId="0" applyNumberFormat="1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176" fontId="4" fillId="0" borderId="24" xfId="0" applyNumberFormat="1" applyFont="1" applyFill="1" applyBorder="1" applyAlignment="1">
      <alignment horizontal="center" vertical="center"/>
    </xf>
    <xf numFmtId="0" fontId="4" fillId="0" borderId="25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6" fillId="5" borderId="27" xfId="0" applyFont="1" applyFill="1" applyBorder="1" applyAlignment="1">
      <alignment vertical="center"/>
    </xf>
    <xf numFmtId="0" fontId="6" fillId="0" borderId="25" xfId="0" applyFont="1" applyFill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6" fillId="5" borderId="25" xfId="0" applyFont="1" applyFill="1" applyBorder="1" applyAlignment="1">
      <alignment vertical="center"/>
    </xf>
    <xf numFmtId="0" fontId="8" fillId="0" borderId="25" xfId="0" applyFont="1" applyBorder="1" applyAlignment="1">
      <alignment vertical="center"/>
    </xf>
    <xf numFmtId="177" fontId="8" fillId="0" borderId="28" xfId="0" applyNumberFormat="1" applyFont="1" applyBorder="1" applyAlignment="1">
      <alignment vertical="center"/>
    </xf>
    <xf numFmtId="1" fontId="32" fillId="31" borderId="25" xfId="0" applyNumberFormat="1" applyFont="1" applyFill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0" fontId="8" fillId="0" borderId="29" xfId="0" applyFont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3" borderId="25" xfId="0" applyFont="1" applyFill="1" applyBorder="1" applyAlignment="1">
      <alignment vertical="center"/>
    </xf>
    <xf numFmtId="0" fontId="4" fillId="0" borderId="25" xfId="0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0" borderId="31" xfId="0" applyFont="1" applyBorder="1" applyAlignment="1">
      <alignment vertical="center"/>
    </xf>
    <xf numFmtId="176" fontId="4" fillId="0" borderId="32" xfId="0" applyNumberFormat="1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33" xfId="0" applyFont="1" applyBorder="1" applyAlignment="1">
      <alignment vertical="center"/>
    </xf>
    <xf numFmtId="176" fontId="4" fillId="0" borderId="34" xfId="0" applyNumberFormat="1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center" vertical="center"/>
    </xf>
    <xf numFmtId="0" fontId="4" fillId="3" borderId="35" xfId="0" applyFont="1" applyFill="1" applyBorder="1" applyAlignment="1">
      <alignment horizontal="center" vertical="center"/>
    </xf>
    <xf numFmtId="0" fontId="6" fillId="5" borderId="36" xfId="0" applyFont="1" applyFill="1" applyBorder="1" applyAlignment="1">
      <alignment vertical="center"/>
    </xf>
    <xf numFmtId="0" fontId="6" fillId="5" borderId="37" xfId="0" applyFont="1" applyFill="1" applyBorder="1" applyAlignment="1">
      <alignment vertical="center"/>
    </xf>
    <xf numFmtId="0" fontId="6" fillId="0" borderId="35" xfId="0" applyFont="1" applyFill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6" fillId="5" borderId="35" xfId="0" applyFont="1" applyFill="1" applyBorder="1" applyAlignment="1">
      <alignment vertical="center"/>
    </xf>
    <xf numFmtId="0" fontId="8" fillId="0" borderId="35" xfId="0" applyFont="1" applyBorder="1" applyAlignment="1">
      <alignment vertical="center"/>
    </xf>
    <xf numFmtId="177" fontId="8" fillId="0" borderId="38" xfId="0" applyNumberFormat="1" applyFont="1" applyBorder="1" applyAlignment="1">
      <alignment vertical="center"/>
    </xf>
    <xf numFmtId="1" fontId="32" fillId="31" borderId="35" xfId="0" applyNumberFormat="1" applyFont="1" applyFill="1" applyBorder="1" applyAlignment="1">
      <alignment vertical="center"/>
    </xf>
    <xf numFmtId="177" fontId="8" fillId="0" borderId="39" xfId="0" applyNumberFormat="1" applyFont="1" applyBorder="1" applyAlignment="1">
      <alignment vertical="center"/>
    </xf>
    <xf numFmtId="0" fontId="8" fillId="0" borderId="39" xfId="0" applyFont="1" applyBorder="1" applyAlignment="1">
      <alignment vertical="center"/>
    </xf>
    <xf numFmtId="0" fontId="4" fillId="0" borderId="40" xfId="0" applyFont="1" applyBorder="1" applyAlignment="1">
      <alignment vertical="center"/>
    </xf>
    <xf numFmtId="0" fontId="4" fillId="3" borderId="35" xfId="0" applyFont="1" applyFill="1" applyBorder="1" applyAlignment="1">
      <alignment vertical="center"/>
    </xf>
    <xf numFmtId="0" fontId="4" fillId="0" borderId="35" xfId="0" applyFont="1" applyFill="1" applyBorder="1" applyAlignment="1">
      <alignment vertical="center"/>
    </xf>
    <xf numFmtId="0" fontId="4" fillId="0" borderId="41" xfId="0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3" borderId="2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4" fillId="3" borderId="43" xfId="0" applyFont="1" applyFill="1" applyBorder="1" applyAlignment="1">
      <alignment horizontal="left" vertical="center"/>
    </xf>
    <xf numFmtId="0" fontId="4" fillId="3" borderId="44" xfId="0" applyFont="1" applyFill="1" applyBorder="1" applyAlignment="1">
      <alignment horizontal="left" vertical="center"/>
    </xf>
    <xf numFmtId="0" fontId="4" fillId="31" borderId="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4" fillId="0" borderId="45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6" fillId="0" borderId="31" xfId="0" applyFont="1" applyFill="1" applyBorder="1" applyAlignment="1">
      <alignment vertical="center"/>
    </xf>
    <xf numFmtId="0" fontId="4" fillId="0" borderId="46" xfId="0" applyFont="1" applyFill="1" applyBorder="1" applyAlignment="1">
      <alignment vertical="center"/>
    </xf>
    <xf numFmtId="0" fontId="6" fillId="0" borderId="33" xfId="0" applyFont="1" applyFill="1" applyBorder="1" applyAlignment="1">
      <alignment vertical="center"/>
    </xf>
    <xf numFmtId="0" fontId="4" fillId="0" borderId="47" xfId="0" applyFont="1" applyFill="1" applyBorder="1" applyAlignment="1">
      <alignment vertical="center"/>
    </xf>
    <xf numFmtId="0" fontId="6" fillId="3" borderId="35" xfId="0" applyFont="1" applyFill="1" applyBorder="1" applyAlignment="1">
      <alignment vertical="center"/>
    </xf>
    <xf numFmtId="0" fontId="6" fillId="0" borderId="42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16" fillId="6" borderId="2" xfId="614" applyFont="1" applyFill="1" applyBorder="1" applyAlignment="1">
      <alignment horizontal="left"/>
    </xf>
    <xf numFmtId="0" fontId="16" fillId="3" borderId="2" xfId="614" applyFont="1" applyFill="1" applyBorder="1" applyAlignment="1">
      <alignment horizontal="left"/>
    </xf>
    <xf numFmtId="0" fontId="0" fillId="6" borderId="2" xfId="615" applyFont="1" applyFill="1" applyBorder="1"/>
    <xf numFmtId="0" fontId="0" fillId="0" borderId="45" xfId="0" applyBorder="1"/>
    <xf numFmtId="0" fontId="0" fillId="0" borderId="25" xfId="0" applyBorder="1"/>
    <xf numFmtId="0" fontId="0" fillId="3" borderId="25" xfId="0" applyFill="1" applyBorder="1"/>
    <xf numFmtId="0" fontId="0" fillId="0" borderId="31" xfId="0" applyBorder="1"/>
    <xf numFmtId="0" fontId="0" fillId="0" borderId="46" xfId="0" applyBorder="1"/>
    <xf numFmtId="0" fontId="0" fillId="0" borderId="33" xfId="0" applyBorder="1"/>
    <xf numFmtId="0" fontId="0" fillId="0" borderId="47" xfId="0" applyBorder="1"/>
    <xf numFmtId="0" fontId="0" fillId="0" borderId="35" xfId="0" applyBorder="1"/>
    <xf numFmtId="0" fontId="0" fillId="3" borderId="35" xfId="0" applyFill="1" applyBorder="1"/>
    <xf numFmtId="0" fontId="0" fillId="0" borderId="42" xfId="0" applyBorder="1"/>
    <xf numFmtId="0" fontId="0" fillId="0" borderId="2" xfId="0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B14" sqref="B1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4" t="s">
        <v>129</v>
      </c>
      <c r="B1" s="49" t="s">
        <v>99</v>
      </c>
      <c r="C1" s="49" t="s">
        <v>100</v>
      </c>
      <c r="D1" s="49" t="s">
        <v>101</v>
      </c>
      <c r="E1" s="49" t="s">
        <v>102</v>
      </c>
      <c r="F1" s="49" t="s">
        <v>103</v>
      </c>
      <c r="G1" s="49" t="s">
        <v>104</v>
      </c>
      <c r="H1" s="49"/>
      <c r="I1" s="49"/>
      <c r="J1" s="49"/>
      <c r="K1" s="49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</row>
    <row r="2" spans="1:30" x14ac:dyDescent="0.15">
      <c r="A2" s="55" t="s">
        <v>250</v>
      </c>
      <c r="B2" s="51" t="s">
        <v>105</v>
      </c>
      <c r="C2" s="56">
        <v>20019</v>
      </c>
      <c r="D2" s="51" t="s">
        <v>106</v>
      </c>
      <c r="E2" s="50" t="str">
        <f>B2&amp;C2&amp;D2</f>
        <v>floors_20019.tmp</v>
      </c>
      <c r="F2" s="51" t="s">
        <v>107</v>
      </c>
      <c r="G2" s="52" t="s">
        <v>0</v>
      </c>
      <c r="H2" s="52" t="s">
        <v>1</v>
      </c>
      <c r="I2" s="52" t="s">
        <v>13</v>
      </c>
      <c r="J2" s="52" t="s">
        <v>14</v>
      </c>
      <c r="K2" s="52" t="s">
        <v>15</v>
      </c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</row>
    <row r="3" spans="1:30" x14ac:dyDescent="0.15">
      <c r="A3" s="55" t="s">
        <v>251</v>
      </c>
      <c r="B3" s="51" t="s">
        <v>108</v>
      </c>
      <c r="C3" s="56">
        <v>20019</v>
      </c>
      <c r="D3" s="51" t="s">
        <v>106</v>
      </c>
      <c r="E3" s="50" t="str">
        <f>B3&amp;C3&amp;D3</f>
        <v>enemy_habitats_20019.tmp</v>
      </c>
      <c r="F3" s="51" t="s">
        <v>109</v>
      </c>
      <c r="G3" s="52" t="s">
        <v>0</v>
      </c>
      <c r="H3" s="52" t="s">
        <v>1</v>
      </c>
      <c r="I3" s="52" t="s">
        <v>13</v>
      </c>
      <c r="J3" s="52" t="s">
        <v>2</v>
      </c>
      <c r="K3" s="52" t="s">
        <v>3</v>
      </c>
      <c r="L3" s="52" t="s">
        <v>47</v>
      </c>
      <c r="M3" s="52" t="s">
        <v>49</v>
      </c>
      <c r="N3" s="52" t="s">
        <v>51</v>
      </c>
      <c r="O3" s="52" t="s">
        <v>22</v>
      </c>
      <c r="P3" s="52" t="s">
        <v>5</v>
      </c>
      <c r="Q3" s="52" t="s">
        <v>6</v>
      </c>
      <c r="R3" s="52" t="s">
        <v>7</v>
      </c>
      <c r="S3" s="52" t="s">
        <v>8</v>
      </c>
      <c r="T3" s="52" t="s">
        <v>9</v>
      </c>
      <c r="U3" s="52" t="s">
        <v>10</v>
      </c>
      <c r="V3" s="52" t="s">
        <v>11</v>
      </c>
      <c r="W3" s="52" t="s">
        <v>12</v>
      </c>
      <c r="X3" s="52" t="s">
        <v>37</v>
      </c>
      <c r="Y3" s="52" t="s">
        <v>39</v>
      </c>
      <c r="Z3" s="52" t="s">
        <v>41</v>
      </c>
      <c r="AA3" s="52" t="s">
        <v>43</v>
      </c>
      <c r="AB3" s="52" t="s">
        <v>45</v>
      </c>
      <c r="AC3" s="52" t="s">
        <v>54</v>
      </c>
      <c r="AD3" s="52" t="s">
        <v>178</v>
      </c>
    </row>
    <row r="4" spans="1:30" x14ac:dyDescent="0.15">
      <c r="A4" s="55" t="s">
        <v>276</v>
      </c>
      <c r="B4" s="51" t="s">
        <v>110</v>
      </c>
      <c r="C4" s="56">
        <v>20019</v>
      </c>
      <c r="D4" s="51" t="s">
        <v>106</v>
      </c>
      <c r="E4" s="50" t="str">
        <f>B4&amp;C4&amp;D4</f>
        <v>enemy_habitat_S_20019.tmp</v>
      </c>
      <c r="F4" s="51" t="s">
        <v>111</v>
      </c>
      <c r="G4" s="52" t="s">
        <v>0</v>
      </c>
      <c r="H4" s="52" t="s">
        <v>1</v>
      </c>
      <c r="I4" s="52" t="s">
        <v>13</v>
      </c>
      <c r="J4" s="52" t="s">
        <v>54</v>
      </c>
      <c r="K4" s="52" t="s">
        <v>55</v>
      </c>
      <c r="L4" s="52" t="s">
        <v>56</v>
      </c>
      <c r="M4" s="52" t="s">
        <v>57</v>
      </c>
      <c r="N4" s="52" t="s">
        <v>58</v>
      </c>
      <c r="O4" s="52" t="s">
        <v>59</v>
      </c>
      <c r="P4" s="52" t="s">
        <v>48</v>
      </c>
      <c r="Q4" s="52" t="s">
        <v>50</v>
      </c>
      <c r="R4" s="52" t="s">
        <v>52</v>
      </c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</row>
    <row r="5" spans="1:30" x14ac:dyDescent="0.15">
      <c r="A5" s="55" t="s">
        <v>276</v>
      </c>
      <c r="B5" s="51" t="s">
        <v>112</v>
      </c>
      <c r="C5" s="56">
        <v>20019</v>
      </c>
      <c r="D5" s="51" t="s">
        <v>106</v>
      </c>
      <c r="E5" s="50" t="str">
        <f>B5&amp;C5&amp;D5</f>
        <v>enemy_skill_sets_20019.tmp</v>
      </c>
      <c r="F5" s="51" t="s">
        <v>113</v>
      </c>
      <c r="G5" s="53" t="s">
        <v>22</v>
      </c>
      <c r="H5" s="53" t="s">
        <v>98</v>
      </c>
      <c r="I5" s="53" t="s">
        <v>93</v>
      </c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</row>
    <row r="6" spans="1:30" x14ac:dyDescent="0.15">
      <c r="A6" s="55" t="s">
        <v>276</v>
      </c>
      <c r="B6" s="51" t="s">
        <v>114</v>
      </c>
      <c r="C6" s="56">
        <v>20019</v>
      </c>
      <c r="D6" s="51" t="s">
        <v>115</v>
      </c>
      <c r="E6" s="50" t="str">
        <f t="shared" ref="E6:E10" si="0">B6&amp;C6&amp;D6</f>
        <v>enemy_skills_tmp_20019.tmp</v>
      </c>
      <c r="F6" s="51" t="s">
        <v>89</v>
      </c>
      <c r="G6" s="52" t="s">
        <v>79</v>
      </c>
      <c r="H6" s="52" t="s">
        <v>80</v>
      </c>
      <c r="I6" s="52" t="s">
        <v>81</v>
      </c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</row>
    <row r="7" spans="1:30" x14ac:dyDescent="0.15">
      <c r="A7" s="55" t="s">
        <v>276</v>
      </c>
      <c r="B7" s="51" t="s">
        <v>116</v>
      </c>
      <c r="C7" s="56">
        <v>20019</v>
      </c>
      <c r="D7" s="51" t="s">
        <v>106</v>
      </c>
      <c r="E7" s="50" t="str">
        <f>B7&amp;C7&amp;D7</f>
        <v>enemy_skills_i18n_20019.tmp</v>
      </c>
      <c r="F7" s="51" t="s">
        <v>117</v>
      </c>
      <c r="G7" s="52" t="s">
        <v>79</v>
      </c>
      <c r="H7" s="52" t="s">
        <v>90</v>
      </c>
      <c r="I7" s="52" t="s">
        <v>91</v>
      </c>
      <c r="J7" s="52" t="s">
        <v>92</v>
      </c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</row>
    <row r="8" spans="1:30" x14ac:dyDescent="0.15">
      <c r="A8" s="55" t="s">
        <v>276</v>
      </c>
      <c r="B8" s="51" t="s">
        <v>118</v>
      </c>
      <c r="C8" s="56">
        <v>20019</v>
      </c>
      <c r="D8" s="51" t="s">
        <v>119</v>
      </c>
      <c r="E8" s="50" t="str">
        <f t="shared" si="0"/>
        <v>enemy_skill_triggers_20019.tmp</v>
      </c>
      <c r="F8" s="51" t="s">
        <v>120</v>
      </c>
      <c r="G8" s="52" t="s">
        <v>93</v>
      </c>
      <c r="H8" s="52" t="s">
        <v>94</v>
      </c>
      <c r="I8" s="52" t="s">
        <v>95</v>
      </c>
      <c r="J8" s="52" t="s">
        <v>96</v>
      </c>
      <c r="K8" s="52" t="s">
        <v>121</v>
      </c>
      <c r="L8" s="52" t="s">
        <v>97</v>
      </c>
      <c r="M8" s="52" t="s">
        <v>122</v>
      </c>
      <c r="N8" s="52" t="s">
        <v>123</v>
      </c>
      <c r="O8" s="52" t="s">
        <v>124</v>
      </c>
      <c r="P8" s="52" t="s">
        <v>67</v>
      </c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</row>
    <row r="9" spans="1:30" x14ac:dyDescent="0.15">
      <c r="A9" s="55" t="s">
        <v>276</v>
      </c>
      <c r="B9" s="61" t="s">
        <v>177</v>
      </c>
      <c r="C9" s="56">
        <v>20019</v>
      </c>
      <c r="D9" s="61" t="s">
        <v>171</v>
      </c>
      <c r="E9" s="62" t="str">
        <f t="shared" si="0"/>
        <v>stage_bug_bonuses_20019.tmp</v>
      </c>
      <c r="F9" s="61" t="s">
        <v>172</v>
      </c>
      <c r="G9" s="58" t="s">
        <v>149</v>
      </c>
      <c r="H9" s="58" t="s">
        <v>173</v>
      </c>
      <c r="I9" s="58" t="s">
        <v>174</v>
      </c>
      <c r="J9" s="60" t="s">
        <v>175</v>
      </c>
      <c r="K9" s="58" t="s">
        <v>176</v>
      </c>
      <c r="L9" s="58" t="s">
        <v>155</v>
      </c>
      <c r="M9" s="58" t="s">
        <v>156</v>
      </c>
      <c r="N9" s="58" t="s">
        <v>157</v>
      </c>
      <c r="O9" s="58" t="s">
        <v>158</v>
      </c>
      <c r="P9" s="58" t="s">
        <v>159</v>
      </c>
      <c r="Q9" s="58" t="s">
        <v>160</v>
      </c>
      <c r="R9" s="58" t="s">
        <v>161</v>
      </c>
      <c r="S9" s="58" t="s">
        <v>162</v>
      </c>
      <c r="T9" s="58" t="s">
        <v>163</v>
      </c>
      <c r="U9" s="58" t="s">
        <v>164</v>
      </c>
      <c r="V9" s="58" t="s">
        <v>165</v>
      </c>
      <c r="W9" s="58" t="s">
        <v>166</v>
      </c>
      <c r="X9" s="51"/>
      <c r="Y9" s="51"/>
      <c r="Z9" s="51"/>
      <c r="AA9" s="51"/>
      <c r="AB9" s="51"/>
      <c r="AC9" s="51"/>
      <c r="AD9" s="51"/>
    </row>
    <row r="10" spans="1:30" s="68" customFormat="1" x14ac:dyDescent="0.15">
      <c r="A10" s="55" t="s">
        <v>276</v>
      </c>
      <c r="B10" s="61" t="s">
        <v>201</v>
      </c>
      <c r="C10" s="56">
        <v>20019</v>
      </c>
      <c r="D10" s="61" t="s">
        <v>180</v>
      </c>
      <c r="E10" s="62" t="str">
        <f t="shared" si="0"/>
        <v>stage_hints_data_c_20019.tmp</v>
      </c>
      <c r="F10" s="61" t="s">
        <v>209</v>
      </c>
      <c r="G10" s="66" t="s">
        <v>181</v>
      </c>
      <c r="H10" s="66" t="s">
        <v>173</v>
      </c>
      <c r="I10" s="67" t="s">
        <v>182</v>
      </c>
      <c r="J10" s="60" t="s">
        <v>183</v>
      </c>
      <c r="K10" s="60" t="s">
        <v>184</v>
      </c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</row>
    <row r="11" spans="1:30" s="68" customFormat="1" x14ac:dyDescent="0.15">
      <c r="A11" s="55" t="s">
        <v>276</v>
      </c>
      <c r="B11" s="61" t="s">
        <v>202</v>
      </c>
      <c r="C11" s="56">
        <v>20019</v>
      </c>
      <c r="D11" s="61" t="s">
        <v>171</v>
      </c>
      <c r="E11" s="62" t="str">
        <f t="shared" ref="E11:E13" si="1">B11&amp;C11&amp;D11</f>
        <v>stage_hints_data_f_20019.tmp</v>
      </c>
      <c r="F11" s="61" t="s">
        <v>211</v>
      </c>
      <c r="G11" s="66" t="s">
        <v>181</v>
      </c>
      <c r="H11" s="66" t="s">
        <v>173</v>
      </c>
      <c r="I11" s="67" t="s">
        <v>182</v>
      </c>
      <c r="J11" s="60" t="s">
        <v>183</v>
      </c>
      <c r="K11" s="60" t="s">
        <v>184</v>
      </c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</row>
    <row r="12" spans="1:30" s="68" customFormat="1" x14ac:dyDescent="0.15">
      <c r="A12" s="55" t="s">
        <v>276</v>
      </c>
      <c r="B12" s="61" t="s">
        <v>203</v>
      </c>
      <c r="C12" s="56">
        <v>20019</v>
      </c>
      <c r="D12" s="61" t="s">
        <v>171</v>
      </c>
      <c r="E12" s="62" t="str">
        <f t="shared" si="1"/>
        <v>stage_hints_i18n_20019.tmp</v>
      </c>
      <c r="F12" s="61" t="s">
        <v>212</v>
      </c>
      <c r="G12" s="67" t="s">
        <v>204</v>
      </c>
      <c r="H12" s="88" t="s">
        <v>205</v>
      </c>
      <c r="I12" s="66" t="s">
        <v>206</v>
      </c>
      <c r="J12" s="93" t="s">
        <v>207</v>
      </c>
      <c r="K12" s="60" t="s">
        <v>208</v>
      </c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</row>
    <row r="13" spans="1:30" s="68" customFormat="1" x14ac:dyDescent="0.15">
      <c r="A13" s="55" t="s">
        <v>276</v>
      </c>
      <c r="B13" s="61" t="s">
        <v>247</v>
      </c>
      <c r="C13" s="56">
        <v>20019</v>
      </c>
      <c r="D13" s="61" t="s">
        <v>228</v>
      </c>
      <c r="E13" s="62" t="str">
        <f t="shared" si="1"/>
        <v>stage_bonuses_20019.tmp</v>
      </c>
      <c r="F13" s="61" t="s">
        <v>227</v>
      </c>
      <c r="G13" s="66" t="s">
        <v>229</v>
      </c>
      <c r="H13" s="66" t="s">
        <v>230</v>
      </c>
      <c r="I13" s="66" t="s">
        <v>231</v>
      </c>
      <c r="J13" s="66" t="s">
        <v>232</v>
      </c>
      <c r="K13" s="66" t="s">
        <v>233</v>
      </c>
      <c r="L13" s="66" t="s">
        <v>234</v>
      </c>
      <c r="M13" s="66" t="s">
        <v>235</v>
      </c>
      <c r="N13" s="66" t="s">
        <v>236</v>
      </c>
      <c r="O13" s="66" t="s">
        <v>237</v>
      </c>
      <c r="P13" s="66" t="s">
        <v>238</v>
      </c>
      <c r="Q13" s="66" t="s">
        <v>239</v>
      </c>
      <c r="R13" s="66" t="s">
        <v>240</v>
      </c>
      <c r="S13" s="66" t="s">
        <v>241</v>
      </c>
      <c r="T13" s="66" t="s">
        <v>242</v>
      </c>
      <c r="U13" s="66" t="s">
        <v>243</v>
      </c>
      <c r="V13" s="66" t="s">
        <v>244</v>
      </c>
      <c r="W13" s="66" t="s">
        <v>245</v>
      </c>
      <c r="X13" s="66" t="s">
        <v>246</v>
      </c>
      <c r="Y13" s="92"/>
      <c r="Z13" s="92"/>
      <c r="AA13" s="92"/>
      <c r="AB13" s="92"/>
      <c r="AC13" s="92"/>
      <c r="AD13" s="92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D14" sqref="D14"/>
    </sheetView>
  </sheetViews>
  <sheetFormatPr baseColWidth="12" defaultColWidth="13" defaultRowHeight="21" customHeight="1" outlineLevelCol="1" x14ac:dyDescent="0.15"/>
  <cols>
    <col min="1" max="1" width="8.83203125" style="15" bestFit="1" customWidth="1"/>
    <col min="2" max="2" width="5" style="15" bestFit="1" customWidth="1"/>
    <col min="3" max="3" width="7.1640625" style="2" bestFit="1" customWidth="1"/>
    <col min="4" max="5" width="10.33203125" style="2" customWidth="1" outlineLevel="1"/>
    <col min="6" max="6" width="7" style="2" bestFit="1" customWidth="1"/>
    <col min="7" max="7" width="8.83203125" style="15" customWidth="1" outlineLevel="1"/>
    <col min="8" max="8" width="16.1640625" style="2" customWidth="1" outlineLevel="1"/>
    <col min="9" max="9" width="6.5" style="2" bestFit="1" customWidth="1"/>
    <col min="10" max="10" width="11" style="2" bestFit="1" customWidth="1"/>
    <col min="11" max="11" width="11.33203125" style="2" bestFit="1" customWidth="1"/>
    <col min="12" max="16384" width="13" style="2"/>
  </cols>
  <sheetData>
    <row r="1" spans="1:11" ht="21" customHeight="1" thickBot="1" x14ac:dyDescent="0.2">
      <c r="A1" s="12" t="s">
        <v>30</v>
      </c>
      <c r="B1" s="12" t="s">
        <v>36</v>
      </c>
      <c r="C1" s="147" t="s">
        <v>0</v>
      </c>
      <c r="D1" s="99" t="s">
        <v>18</v>
      </c>
      <c r="E1" s="99" t="s">
        <v>33</v>
      </c>
      <c r="F1" s="147" t="s">
        <v>1</v>
      </c>
      <c r="G1" s="148" t="s">
        <v>32</v>
      </c>
      <c r="H1" s="99" t="s">
        <v>34</v>
      </c>
      <c r="I1" s="147" t="s">
        <v>13</v>
      </c>
      <c r="J1" s="147" t="s">
        <v>14</v>
      </c>
      <c r="K1" s="147" t="s">
        <v>15</v>
      </c>
    </row>
    <row r="2" spans="1:11" ht="21" customHeight="1" x14ac:dyDescent="0.15">
      <c r="A2" s="12" t="str">
        <f>G2&amp;"-"&amp;I2</f>
        <v>20019_1-1</v>
      </c>
      <c r="B2" s="12" t="str">
        <f>IF(COUNTIF(enemy_habitats!$H:$H,A2),"OK","NG")</f>
        <v>OK</v>
      </c>
      <c r="C2" s="149">
        <v>20019</v>
      </c>
      <c r="D2" s="107" t="str">
        <f ca="1">VLOOKUP($C2,OFFSET([2]quests!$A$1,0,0,COUNTA([2]quests!$A:$A),MATCH(D$1,[2]quests!$1:$1,0)-MATCH($C$1,[2]quests!$1:$1,0)+1),MATCH(D$1,[2]quests!$1:$1,0)-MATCH($C$1,[2]quests!$1:$1,0)+1,FALSE)</f>
        <v>灼熱の舞姫</v>
      </c>
      <c r="E2" s="107" t="str">
        <f ca="1">VLOOKUP($C2,OFFSET([2]quests!$A$1,0,0,COUNTA([2]quests!$A:$A),MATCH(E$1,[2]quests!$1:$1,0)-MATCH($C$1,[2]quests!$1:$1,0)+1),MATCH(E$1,[2]quests!$1:$1,0)-MATCH($C$1,[2]quests!$1:$1,0)+1,FALSE)</f>
        <v>平安01</v>
      </c>
      <c r="F2" s="101">
        <v>1</v>
      </c>
      <c r="G2" s="150" t="str">
        <f>C2&amp;"_"&amp;F2</f>
        <v>20019_1</v>
      </c>
      <c r="H2" s="102" t="str">
        <f ca="1">VLOOKUP($G2,OFFSET([2]stages!$A$1,0,0,COUNTA([2]stages!$A:$A),MATCH(H$1,[2]stages!$2:$2,0)-MATCH($G$1,[2]stages!$2:$2,0)+1),MATCH(H$1,[2]stages!$2:$2,0)-MATCH($G$1,[2]stages!$2:$2,0)+1,FALSE)</f>
        <v>【初級】灼熱の舞姫</v>
      </c>
      <c r="I2" s="101">
        <v>1</v>
      </c>
      <c r="J2" s="105">
        <v>60</v>
      </c>
      <c r="K2" s="151">
        <v>60</v>
      </c>
    </row>
    <row r="3" spans="1:11" ht="21" customHeight="1" x14ac:dyDescent="0.15">
      <c r="A3" s="12" t="str">
        <f t="shared" ref="A3:A5" si="0">G3&amp;"-"&amp;I3</f>
        <v>20019_1-2</v>
      </c>
      <c r="B3" s="12" t="str">
        <f>IF(COUNTIF(enemy_habitats!$H:$H,A3),"OK","NG")</f>
        <v>OK</v>
      </c>
      <c r="C3" s="152">
        <v>20019</v>
      </c>
      <c r="D3" s="14" t="str">
        <f ca="1">VLOOKUP($C3,OFFSET([2]quests!$A$1,0,0,COUNTA([2]quests!$A:$A),MATCH(D$1,[2]quests!$1:$1,0)-MATCH($C$1,[2]quests!$1:$1,0)+1),MATCH(D$1,[2]quests!$1:$1,0)-MATCH($C$1,[2]quests!$1:$1,0)+1,FALSE)</f>
        <v>灼熱の舞姫</v>
      </c>
      <c r="E3" s="14" t="str">
        <f ca="1">VLOOKUP($C3,OFFSET([2]quests!$A$1,0,0,COUNTA([2]quests!$A:$A),MATCH(E$1,[2]quests!$1:$1,0)-MATCH($C$1,[2]quests!$1:$1,0)+1),MATCH(E$1,[2]quests!$1:$1,0)-MATCH($C$1,[2]quests!$1:$1,0)+1,FALSE)</f>
        <v>平安01</v>
      </c>
      <c r="F3" s="119">
        <v>1</v>
      </c>
      <c r="G3" s="19" t="str">
        <f t="shared" ref="G3:G5" si="1">C3&amp;"_"&amp;F3</f>
        <v>20019_1</v>
      </c>
      <c r="H3" s="11" t="str">
        <f ca="1">VLOOKUP($G3,OFFSET([2]stages!$A$1,0,0,COUNTA([2]stages!$A:$A),MATCH(H$1,[2]stages!$2:$2,0)-MATCH($G$1,[2]stages!$2:$2,0)+1),MATCH(H$1,[2]stages!$2:$2,0)-MATCH($G$1,[2]stages!$2:$2,0)+1,FALSE)</f>
        <v>【初級】灼熱の舞姫</v>
      </c>
      <c r="I3" s="119">
        <v>2</v>
      </c>
      <c r="J3" s="32">
        <v>45</v>
      </c>
      <c r="K3" s="153">
        <v>45</v>
      </c>
    </row>
    <row r="4" spans="1:11" ht="21" customHeight="1" x14ac:dyDescent="0.15">
      <c r="A4" s="12" t="str">
        <f t="shared" si="0"/>
        <v>20019_1-3</v>
      </c>
      <c r="B4" s="12" t="str">
        <f>IF(COUNTIF(enemy_habitats!$H:$H,A4),"OK","NG")</f>
        <v>OK</v>
      </c>
      <c r="C4" s="152">
        <v>20019</v>
      </c>
      <c r="D4" s="14" t="str">
        <f ca="1">VLOOKUP($C4,OFFSET([2]quests!$A$1,0,0,COUNTA([2]quests!$A:$A),MATCH(D$1,[2]quests!$1:$1,0)-MATCH($C$1,[2]quests!$1:$1,0)+1),MATCH(D$1,[2]quests!$1:$1,0)-MATCH($C$1,[2]quests!$1:$1,0)+1,FALSE)</f>
        <v>灼熱の舞姫</v>
      </c>
      <c r="E4" s="14" t="str">
        <f ca="1">VLOOKUP($C4,OFFSET([2]quests!$A$1,0,0,COUNTA([2]quests!$A:$A),MATCH(E$1,[2]quests!$1:$1,0)-MATCH($C$1,[2]quests!$1:$1,0)+1),MATCH(E$1,[2]quests!$1:$1,0)-MATCH($C$1,[2]quests!$1:$1,0)+1,FALSE)</f>
        <v>平安01</v>
      </c>
      <c r="F4" s="119">
        <v>1</v>
      </c>
      <c r="G4" s="19" t="str">
        <f t="shared" si="1"/>
        <v>20019_1</v>
      </c>
      <c r="H4" s="11" t="str">
        <f ca="1">VLOOKUP($G4,OFFSET([2]stages!$A$1,0,0,COUNTA([2]stages!$A:$A),MATCH(H$1,[2]stages!$2:$2,0)-MATCH($G$1,[2]stages!$2:$2,0)+1),MATCH(H$1,[2]stages!$2:$2,0)-MATCH($G$1,[2]stages!$2:$2,0)+1,FALSE)</f>
        <v>【初級】灼熱の舞姫</v>
      </c>
      <c r="I4" s="119">
        <v>3</v>
      </c>
      <c r="J4" s="32">
        <v>45</v>
      </c>
      <c r="K4" s="153">
        <v>45</v>
      </c>
    </row>
    <row r="5" spans="1:11" ht="21" customHeight="1" thickBot="1" x14ac:dyDescent="0.2">
      <c r="A5" s="12" t="str">
        <f t="shared" si="0"/>
        <v>20019_1-4</v>
      </c>
      <c r="B5" s="12" t="str">
        <f>IF(COUNTIF(enemy_habitats!$H:$H,A5),"OK","NG")</f>
        <v>OK</v>
      </c>
      <c r="C5" s="154">
        <v>20019</v>
      </c>
      <c r="D5" s="130" t="str">
        <f ca="1">VLOOKUP($C5,OFFSET([2]quests!$A$1,0,0,COUNTA([2]quests!$A:$A),MATCH(D$1,[2]quests!$1:$1,0)-MATCH($C$1,[2]quests!$1:$1,0)+1),MATCH(D$1,[2]quests!$1:$1,0)-MATCH($C$1,[2]quests!$1:$1,0)+1,FALSE)</f>
        <v>灼熱の舞姫</v>
      </c>
      <c r="E5" s="130" t="str">
        <f ca="1">VLOOKUP($C5,OFFSET([2]quests!$A$1,0,0,COUNTA([2]quests!$A:$A),MATCH(E$1,[2]quests!$1:$1,0)-MATCH($C$1,[2]quests!$1:$1,0)+1),MATCH(E$1,[2]quests!$1:$1,0)-MATCH($C$1,[2]quests!$1:$1,0)+1,FALSE)</f>
        <v>平安01</v>
      </c>
      <c r="F5" s="124">
        <v>1</v>
      </c>
      <c r="G5" s="155" t="str">
        <f t="shared" si="1"/>
        <v>20019_1</v>
      </c>
      <c r="H5" s="125" t="str">
        <f ca="1">VLOOKUP($G5,OFFSET([2]stages!$A$1,0,0,COUNTA([2]stages!$A:$A),MATCH(H$1,[2]stages!$2:$2,0)-MATCH($G$1,[2]stages!$2:$2,0)+1),MATCH(H$1,[2]stages!$2:$2,0)-MATCH($G$1,[2]stages!$2:$2,0)+1,FALSE)</f>
        <v>【初級】灼熱の舞姫</v>
      </c>
      <c r="I5" s="124">
        <v>4</v>
      </c>
      <c r="J5" s="128">
        <v>60</v>
      </c>
      <c r="K5" s="156">
        <v>60</v>
      </c>
    </row>
    <row r="6" spans="1:11" ht="21" customHeight="1" x14ac:dyDescent="0.15">
      <c r="A6" s="12" t="str">
        <f>G6&amp;"-"&amp;I6</f>
        <v>20019_2-1</v>
      </c>
      <c r="B6" s="12" t="str">
        <f>IF(COUNTIF(enemy_habitats!$H:$H,A6),"OK","NG")</f>
        <v>OK</v>
      </c>
      <c r="C6" s="149">
        <v>20019</v>
      </c>
      <c r="D6" s="107" t="str">
        <f ca="1">VLOOKUP($C6,OFFSET([2]quests!$A$1,0,0,COUNTA([2]quests!$A:$A),MATCH(D$1,[2]quests!$1:$1,0)-MATCH($C$1,[2]quests!$1:$1,0)+1),MATCH(D$1,[2]quests!$1:$1,0)-MATCH($C$1,[2]quests!$1:$1,0)+1,FALSE)</f>
        <v>灼熱の舞姫</v>
      </c>
      <c r="E6" s="107" t="str">
        <f ca="1">VLOOKUP($C6,OFFSET([2]quests!$A$1,0,0,COUNTA([2]quests!$A:$A),MATCH(E$1,[2]quests!$1:$1,0)-MATCH($C$1,[2]quests!$1:$1,0)+1),MATCH(E$1,[2]quests!$1:$1,0)-MATCH($C$1,[2]quests!$1:$1,0)+1,FALSE)</f>
        <v>平安01</v>
      </c>
      <c r="F6" s="101">
        <v>2</v>
      </c>
      <c r="G6" s="150" t="str">
        <f>C6&amp;"_"&amp;F6</f>
        <v>20019_2</v>
      </c>
      <c r="H6" s="102" t="str">
        <f ca="1">VLOOKUP($G6,OFFSET([2]stages!$A$1,0,0,COUNTA([2]stages!$A:$A),MATCH(H$1,[2]stages!$2:$2,0)-MATCH($G$1,[2]stages!$2:$2,0)+1),MATCH(H$1,[2]stages!$2:$2,0)-MATCH($G$1,[2]stages!$2:$2,0)+1,FALSE)</f>
        <v>【中級】灼熱の舞姫</v>
      </c>
      <c r="I6" s="101">
        <v>1</v>
      </c>
      <c r="J6" s="105">
        <v>60</v>
      </c>
      <c r="K6" s="151">
        <v>60</v>
      </c>
    </row>
    <row r="7" spans="1:11" ht="21" customHeight="1" x14ac:dyDescent="0.15">
      <c r="A7" s="12" t="str">
        <f t="shared" ref="A7:A9" si="2">G7&amp;"-"&amp;I7</f>
        <v>20019_2-2</v>
      </c>
      <c r="B7" s="12" t="str">
        <f>IF(COUNTIF(enemy_habitats!$H:$H,A7),"OK","NG")</f>
        <v>OK</v>
      </c>
      <c r="C7" s="152">
        <v>20019</v>
      </c>
      <c r="D7" s="14" t="str">
        <f ca="1">VLOOKUP($C7,OFFSET([2]quests!$A$1,0,0,COUNTA([2]quests!$A:$A),MATCH(D$1,[2]quests!$1:$1,0)-MATCH($C$1,[2]quests!$1:$1,0)+1),MATCH(D$1,[2]quests!$1:$1,0)-MATCH($C$1,[2]quests!$1:$1,0)+1,FALSE)</f>
        <v>灼熱の舞姫</v>
      </c>
      <c r="E7" s="14" t="str">
        <f ca="1">VLOOKUP($C7,OFFSET([2]quests!$A$1,0,0,COUNTA([2]quests!$A:$A),MATCH(E$1,[2]quests!$1:$1,0)-MATCH($C$1,[2]quests!$1:$1,0)+1),MATCH(E$1,[2]quests!$1:$1,0)-MATCH($C$1,[2]quests!$1:$1,0)+1,FALSE)</f>
        <v>平安01</v>
      </c>
      <c r="F7" s="119">
        <v>2</v>
      </c>
      <c r="G7" s="19" t="str">
        <f t="shared" ref="G7:G9" si="3">C7&amp;"_"&amp;F7</f>
        <v>20019_2</v>
      </c>
      <c r="H7" s="11" t="str">
        <f ca="1">VLOOKUP($G7,OFFSET([2]stages!$A$1,0,0,COUNTA([2]stages!$A:$A),MATCH(H$1,[2]stages!$2:$2,0)-MATCH($G$1,[2]stages!$2:$2,0)+1),MATCH(H$1,[2]stages!$2:$2,0)-MATCH($G$1,[2]stages!$2:$2,0)+1,FALSE)</f>
        <v>【中級】灼熱の舞姫</v>
      </c>
      <c r="I7" s="119">
        <v>2</v>
      </c>
      <c r="J7" s="32">
        <v>45</v>
      </c>
      <c r="K7" s="153">
        <v>45</v>
      </c>
    </row>
    <row r="8" spans="1:11" ht="21" customHeight="1" x14ac:dyDescent="0.15">
      <c r="A8" s="12" t="str">
        <f t="shared" si="2"/>
        <v>20019_2-3</v>
      </c>
      <c r="B8" s="12" t="str">
        <f>IF(COUNTIF(enemy_habitats!$H:$H,A8),"OK","NG")</f>
        <v>OK</v>
      </c>
      <c r="C8" s="152">
        <v>20019</v>
      </c>
      <c r="D8" s="14" t="str">
        <f ca="1">VLOOKUP($C8,OFFSET([2]quests!$A$1,0,0,COUNTA([2]quests!$A:$A),MATCH(D$1,[2]quests!$1:$1,0)-MATCH($C$1,[2]quests!$1:$1,0)+1),MATCH(D$1,[2]quests!$1:$1,0)-MATCH($C$1,[2]quests!$1:$1,0)+1,FALSE)</f>
        <v>灼熱の舞姫</v>
      </c>
      <c r="E8" s="14" t="str">
        <f ca="1">VLOOKUP($C8,OFFSET([2]quests!$A$1,0,0,COUNTA([2]quests!$A:$A),MATCH(E$1,[2]quests!$1:$1,0)-MATCH($C$1,[2]quests!$1:$1,0)+1),MATCH(E$1,[2]quests!$1:$1,0)-MATCH($C$1,[2]quests!$1:$1,0)+1,FALSE)</f>
        <v>平安01</v>
      </c>
      <c r="F8" s="119">
        <v>2</v>
      </c>
      <c r="G8" s="19" t="str">
        <f t="shared" si="3"/>
        <v>20019_2</v>
      </c>
      <c r="H8" s="11" t="str">
        <f ca="1">VLOOKUP($G8,OFFSET([2]stages!$A$1,0,0,COUNTA([2]stages!$A:$A),MATCH(H$1,[2]stages!$2:$2,0)-MATCH($G$1,[2]stages!$2:$2,0)+1),MATCH(H$1,[2]stages!$2:$2,0)-MATCH($G$1,[2]stages!$2:$2,0)+1,FALSE)</f>
        <v>【中級】灼熱の舞姫</v>
      </c>
      <c r="I8" s="119">
        <v>3</v>
      </c>
      <c r="J8" s="32">
        <v>45</v>
      </c>
      <c r="K8" s="153">
        <v>45</v>
      </c>
    </row>
    <row r="9" spans="1:11" ht="21" customHeight="1" thickBot="1" x14ac:dyDescent="0.2">
      <c r="A9" s="12" t="str">
        <f t="shared" si="2"/>
        <v>20019_2-4</v>
      </c>
      <c r="B9" s="12" t="str">
        <f>IF(COUNTIF(enemy_habitats!$H:$H,A9),"OK","NG")</f>
        <v>OK</v>
      </c>
      <c r="C9" s="154">
        <v>20019</v>
      </c>
      <c r="D9" s="130" t="str">
        <f ca="1">VLOOKUP($C9,OFFSET([2]quests!$A$1,0,0,COUNTA([2]quests!$A:$A),MATCH(D$1,[2]quests!$1:$1,0)-MATCH($C$1,[2]quests!$1:$1,0)+1),MATCH(D$1,[2]quests!$1:$1,0)-MATCH($C$1,[2]quests!$1:$1,0)+1,FALSE)</f>
        <v>灼熱の舞姫</v>
      </c>
      <c r="E9" s="130" t="str">
        <f ca="1">VLOOKUP($C9,OFFSET([2]quests!$A$1,0,0,COUNTA([2]quests!$A:$A),MATCH(E$1,[2]quests!$1:$1,0)-MATCH($C$1,[2]quests!$1:$1,0)+1),MATCH(E$1,[2]quests!$1:$1,0)-MATCH($C$1,[2]quests!$1:$1,0)+1,FALSE)</f>
        <v>平安01</v>
      </c>
      <c r="F9" s="124">
        <v>2</v>
      </c>
      <c r="G9" s="155" t="str">
        <f t="shared" si="3"/>
        <v>20019_2</v>
      </c>
      <c r="H9" s="125" t="str">
        <f ca="1">VLOOKUP($G9,OFFSET([2]stages!$A$1,0,0,COUNTA([2]stages!$A:$A),MATCH(H$1,[2]stages!$2:$2,0)-MATCH($G$1,[2]stages!$2:$2,0)+1),MATCH(H$1,[2]stages!$2:$2,0)-MATCH($G$1,[2]stages!$2:$2,0)+1,FALSE)</f>
        <v>【中級】灼熱の舞姫</v>
      </c>
      <c r="I9" s="124">
        <v>4</v>
      </c>
      <c r="J9" s="128">
        <v>60</v>
      </c>
      <c r="K9" s="156">
        <v>60</v>
      </c>
    </row>
    <row r="10" spans="1:11" ht="21" customHeight="1" x14ac:dyDescent="0.15">
      <c r="A10" s="12" t="str">
        <f>G10&amp;"-"&amp;I10</f>
        <v>20019_3-1</v>
      </c>
      <c r="B10" s="12" t="str">
        <f>IF(COUNTIF(enemy_habitats!$H:$H,A10),"OK","NG")</f>
        <v>OK</v>
      </c>
      <c r="C10" s="149">
        <v>20019</v>
      </c>
      <c r="D10" s="107" t="str">
        <f ca="1">VLOOKUP($C10,OFFSET([2]quests!$A$1,0,0,COUNTA([2]quests!$A:$A),MATCH(D$1,[2]quests!$1:$1,0)-MATCH($C$1,[2]quests!$1:$1,0)+1),MATCH(D$1,[2]quests!$1:$1,0)-MATCH($C$1,[2]quests!$1:$1,0)+1,FALSE)</f>
        <v>灼熱の舞姫</v>
      </c>
      <c r="E10" s="107" t="str">
        <f ca="1">VLOOKUP($C10,OFFSET([2]quests!$A$1,0,0,COUNTA([2]quests!$A:$A),MATCH(E$1,[2]quests!$1:$1,0)-MATCH($C$1,[2]quests!$1:$1,0)+1),MATCH(E$1,[2]quests!$1:$1,0)-MATCH($C$1,[2]quests!$1:$1,0)+1,FALSE)</f>
        <v>平安01</v>
      </c>
      <c r="F10" s="101">
        <v>3</v>
      </c>
      <c r="G10" s="150" t="str">
        <f>C10&amp;"_"&amp;F10</f>
        <v>20019_3</v>
      </c>
      <c r="H10" s="102" t="str">
        <f ca="1">VLOOKUP($G10,OFFSET([2]stages!$A$1,0,0,COUNTA([2]stages!$A:$A),MATCH(H$1,[2]stages!$2:$2,0)-MATCH($G$1,[2]stages!$2:$2,0)+1),MATCH(H$1,[2]stages!$2:$2,0)-MATCH($G$1,[2]stages!$2:$2,0)+1,FALSE)</f>
        <v>【上級】灼熱の舞姫</v>
      </c>
      <c r="I10" s="101">
        <v>1</v>
      </c>
      <c r="J10" s="105">
        <v>60</v>
      </c>
      <c r="K10" s="151">
        <v>60</v>
      </c>
    </row>
    <row r="11" spans="1:11" ht="21" customHeight="1" x14ac:dyDescent="0.15">
      <c r="A11" s="12" t="str">
        <f t="shared" ref="A11:A13" si="4">G11&amp;"-"&amp;I11</f>
        <v>20019_3-2</v>
      </c>
      <c r="B11" s="12" t="str">
        <f>IF(COUNTIF(enemy_habitats!$H:$H,A11),"OK","NG")</f>
        <v>OK</v>
      </c>
      <c r="C11" s="152">
        <v>20019</v>
      </c>
      <c r="D11" s="14" t="str">
        <f ca="1">VLOOKUP($C11,OFFSET([2]quests!$A$1,0,0,COUNTA([2]quests!$A:$A),MATCH(D$1,[2]quests!$1:$1,0)-MATCH($C$1,[2]quests!$1:$1,0)+1),MATCH(D$1,[2]quests!$1:$1,0)-MATCH($C$1,[2]quests!$1:$1,0)+1,FALSE)</f>
        <v>灼熱の舞姫</v>
      </c>
      <c r="E11" s="14" t="str">
        <f ca="1">VLOOKUP($C11,OFFSET([2]quests!$A$1,0,0,COUNTA([2]quests!$A:$A),MATCH(E$1,[2]quests!$1:$1,0)-MATCH($C$1,[2]quests!$1:$1,0)+1),MATCH(E$1,[2]quests!$1:$1,0)-MATCH($C$1,[2]quests!$1:$1,0)+1,FALSE)</f>
        <v>平安01</v>
      </c>
      <c r="F11" s="119">
        <v>3</v>
      </c>
      <c r="G11" s="19" t="str">
        <f t="shared" ref="G11:G13" si="5">C11&amp;"_"&amp;F11</f>
        <v>20019_3</v>
      </c>
      <c r="H11" s="11" t="str">
        <f ca="1">VLOOKUP($G11,OFFSET([2]stages!$A$1,0,0,COUNTA([2]stages!$A:$A),MATCH(H$1,[2]stages!$2:$2,0)-MATCH($G$1,[2]stages!$2:$2,0)+1),MATCH(H$1,[2]stages!$2:$2,0)-MATCH($G$1,[2]stages!$2:$2,0)+1,FALSE)</f>
        <v>【上級】灼熱の舞姫</v>
      </c>
      <c r="I11" s="119">
        <v>2</v>
      </c>
      <c r="J11" s="32">
        <v>45</v>
      </c>
      <c r="K11" s="153">
        <v>45</v>
      </c>
    </row>
    <row r="12" spans="1:11" ht="21" customHeight="1" x14ac:dyDescent="0.15">
      <c r="A12" s="12" t="str">
        <f t="shared" si="4"/>
        <v>20019_3-3</v>
      </c>
      <c r="B12" s="12" t="str">
        <f>IF(COUNTIF(enemy_habitats!$H:$H,A12),"OK","NG")</f>
        <v>OK</v>
      </c>
      <c r="C12" s="152">
        <v>20019</v>
      </c>
      <c r="D12" s="14" t="str">
        <f ca="1">VLOOKUP($C12,OFFSET([2]quests!$A$1,0,0,COUNTA([2]quests!$A:$A),MATCH(D$1,[2]quests!$1:$1,0)-MATCH($C$1,[2]quests!$1:$1,0)+1),MATCH(D$1,[2]quests!$1:$1,0)-MATCH($C$1,[2]quests!$1:$1,0)+1,FALSE)</f>
        <v>灼熱の舞姫</v>
      </c>
      <c r="E12" s="14" t="str">
        <f ca="1">VLOOKUP($C12,OFFSET([2]quests!$A$1,0,0,COUNTA([2]quests!$A:$A),MATCH(E$1,[2]quests!$1:$1,0)-MATCH($C$1,[2]quests!$1:$1,0)+1),MATCH(E$1,[2]quests!$1:$1,0)-MATCH($C$1,[2]quests!$1:$1,0)+1,FALSE)</f>
        <v>平安01</v>
      </c>
      <c r="F12" s="119">
        <v>3</v>
      </c>
      <c r="G12" s="19" t="str">
        <f t="shared" si="5"/>
        <v>20019_3</v>
      </c>
      <c r="H12" s="11" t="str">
        <f ca="1">VLOOKUP($G12,OFFSET([2]stages!$A$1,0,0,COUNTA([2]stages!$A:$A),MATCH(H$1,[2]stages!$2:$2,0)-MATCH($G$1,[2]stages!$2:$2,0)+1),MATCH(H$1,[2]stages!$2:$2,0)-MATCH($G$1,[2]stages!$2:$2,0)+1,FALSE)</f>
        <v>【上級】灼熱の舞姫</v>
      </c>
      <c r="I12" s="119">
        <v>3</v>
      </c>
      <c r="J12" s="32">
        <v>45</v>
      </c>
      <c r="K12" s="153">
        <v>45</v>
      </c>
    </row>
    <row r="13" spans="1:11" ht="21" customHeight="1" thickBot="1" x14ac:dyDescent="0.2">
      <c r="A13" s="12" t="str">
        <f t="shared" si="4"/>
        <v>20019_3-4</v>
      </c>
      <c r="B13" s="12" t="str">
        <f>IF(COUNTIF(enemy_habitats!$H:$H,A13),"OK","NG")</f>
        <v>OK</v>
      </c>
      <c r="C13" s="154">
        <v>20019</v>
      </c>
      <c r="D13" s="130" t="str">
        <f ca="1">VLOOKUP($C13,OFFSET([2]quests!$A$1,0,0,COUNTA([2]quests!$A:$A),MATCH(D$1,[2]quests!$1:$1,0)-MATCH($C$1,[2]quests!$1:$1,0)+1),MATCH(D$1,[2]quests!$1:$1,0)-MATCH($C$1,[2]quests!$1:$1,0)+1,FALSE)</f>
        <v>灼熱の舞姫</v>
      </c>
      <c r="E13" s="130" t="str">
        <f ca="1">VLOOKUP($C13,OFFSET([2]quests!$A$1,0,0,COUNTA([2]quests!$A:$A),MATCH(E$1,[2]quests!$1:$1,0)-MATCH($C$1,[2]quests!$1:$1,0)+1),MATCH(E$1,[2]quests!$1:$1,0)-MATCH($C$1,[2]quests!$1:$1,0)+1,FALSE)</f>
        <v>平安01</v>
      </c>
      <c r="F13" s="124">
        <v>3</v>
      </c>
      <c r="G13" s="155" t="str">
        <f t="shared" si="5"/>
        <v>20019_3</v>
      </c>
      <c r="H13" s="125" t="str">
        <f ca="1">VLOOKUP($G13,OFFSET([2]stages!$A$1,0,0,COUNTA([2]stages!$A:$A),MATCH(H$1,[2]stages!$2:$2,0)-MATCH($G$1,[2]stages!$2:$2,0)+1),MATCH(H$1,[2]stages!$2:$2,0)-MATCH($G$1,[2]stages!$2:$2,0)+1,FALSE)</f>
        <v>【上級】灼熱の舞姫</v>
      </c>
      <c r="I13" s="124">
        <v>4</v>
      </c>
      <c r="J13" s="128">
        <v>60</v>
      </c>
      <c r="K13" s="156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2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A29" sqref="AA29"/>
    </sheetView>
  </sheetViews>
  <sheetFormatPr baseColWidth="12" defaultColWidth="13" defaultRowHeight="21" customHeight="1" outlineLevelCol="1" x14ac:dyDescent="0.15"/>
  <cols>
    <col min="1" max="1" width="15.83203125" style="15" bestFit="1" customWidth="1"/>
    <col min="2" max="2" width="10.83203125" style="2" bestFit="1" customWidth="1"/>
    <col min="3" max="3" width="10.6640625" style="2" bestFit="1" customWidth="1" collapsed="1"/>
    <col min="4" max="4" width="13" style="10" hidden="1" customWidth="1" outlineLevel="1"/>
    <col min="5" max="5" width="11.6640625" style="2" hidden="1" customWidth="1" outlineLevel="1"/>
    <col min="6" max="6" width="16.1640625" style="2" hidden="1" customWidth="1" outlineLevel="1"/>
    <col min="7" max="7" width="10" style="2" bestFit="1" customWidth="1" collapsed="1"/>
    <col min="8" max="10" width="12.33203125" style="2" hidden="1" customWidth="1" outlineLevel="1"/>
    <col min="11" max="11" width="12.33203125" style="2" customWidth="1"/>
    <col min="12" max="12" width="13.5" style="7" bestFit="1" customWidth="1" collapsed="1"/>
    <col min="13" max="13" width="8.83203125" style="2" hidden="1" customWidth="1" outlineLevel="1"/>
    <col min="14" max="14" width="8.6640625" style="2" hidden="1" customWidth="1" outlineLevel="1"/>
    <col min="15" max="15" width="12" style="2" hidden="1" customWidth="1" outlineLevel="1"/>
    <col min="16" max="16" width="21" style="2" hidden="1" customWidth="1" outlineLevel="1"/>
    <col min="17" max="17" width="8" style="2" hidden="1" customWidth="1" outlineLevel="1"/>
    <col min="18" max="18" width="8.33203125" style="2" bestFit="1" customWidth="1"/>
    <col min="19" max="19" width="14.83203125" style="2" bestFit="1" customWidth="1"/>
    <col min="20" max="20" width="14.83203125" style="96" customWidth="1"/>
    <col min="21" max="21" width="17.5" style="2" bestFit="1" customWidth="1"/>
    <col min="22" max="22" width="17.5" style="2" customWidth="1"/>
    <col min="23" max="23" width="18.33203125" style="2" bestFit="1" customWidth="1"/>
    <col min="24" max="24" width="10" style="2" customWidth="1"/>
    <col min="25" max="25" width="12.1640625" style="2" customWidth="1" outlineLevel="1"/>
    <col min="26" max="26" width="11.33203125" style="2" bestFit="1" customWidth="1"/>
    <col min="27" max="27" width="11.6640625" style="2" bestFit="1" customWidth="1"/>
    <col min="28" max="28" width="10.6640625" style="2" bestFit="1" customWidth="1"/>
    <col min="29" max="29" width="9.33203125" style="2" bestFit="1" customWidth="1"/>
    <col min="30" max="30" width="13" style="2" bestFit="1" customWidth="1" collapsed="1"/>
    <col min="31" max="31" width="8.83203125" style="9" hidden="1" customWidth="1" outlineLevel="1"/>
    <col min="32" max="32" width="8" style="10" hidden="1" customWidth="1" outlineLevel="1"/>
    <col min="33" max="33" width="12" style="10" hidden="1" customWidth="1" outlineLevel="1"/>
    <col min="34" max="34" width="15" style="8" bestFit="1" customWidth="1" collapsed="1"/>
    <col min="35" max="36" width="14.83203125" style="2" bestFit="1" customWidth="1"/>
    <col min="37" max="37" width="6.6640625" style="2" bestFit="1" customWidth="1"/>
    <col min="38" max="38" width="9.33203125" style="2" bestFit="1" customWidth="1"/>
    <col min="39" max="39" width="10.33203125" style="2" bestFit="1" customWidth="1"/>
    <col min="40" max="40" width="7.6640625" style="2" bestFit="1" customWidth="1"/>
    <col min="41" max="41" width="4" style="2" bestFit="1" customWidth="1"/>
    <col min="42" max="16384" width="13" style="2"/>
  </cols>
  <sheetData>
    <row r="1" spans="1:42" s="29" customFormat="1" ht="21" customHeight="1" thickBot="1" x14ac:dyDescent="0.2">
      <c r="A1" s="22" t="s">
        <v>29</v>
      </c>
      <c r="B1" s="28" t="s">
        <v>0</v>
      </c>
      <c r="C1" s="28" t="s">
        <v>1</v>
      </c>
      <c r="D1" s="141" t="s">
        <v>28</v>
      </c>
      <c r="E1" s="141" t="s">
        <v>20</v>
      </c>
      <c r="F1" s="141" t="s">
        <v>20</v>
      </c>
      <c r="G1" s="28" t="s">
        <v>19</v>
      </c>
      <c r="H1" s="141" t="s">
        <v>35</v>
      </c>
      <c r="I1" s="141" t="s">
        <v>14</v>
      </c>
      <c r="J1" s="141" t="s">
        <v>15</v>
      </c>
      <c r="K1" s="142" t="s">
        <v>54</v>
      </c>
      <c r="L1" s="142" t="s">
        <v>2</v>
      </c>
      <c r="M1" s="143" t="s">
        <v>21</v>
      </c>
      <c r="N1" s="141" t="s">
        <v>24</v>
      </c>
      <c r="O1" s="141" t="s">
        <v>23</v>
      </c>
      <c r="P1" s="144" t="s">
        <v>26</v>
      </c>
      <c r="Q1" s="141" t="s">
        <v>25</v>
      </c>
      <c r="R1" s="28" t="s">
        <v>3</v>
      </c>
      <c r="S1" s="28" t="s">
        <v>48</v>
      </c>
      <c r="T1" s="145" t="s">
        <v>248</v>
      </c>
      <c r="U1" s="28" t="s">
        <v>50</v>
      </c>
      <c r="V1" s="145" t="s">
        <v>249</v>
      </c>
      <c r="W1" s="28" t="s">
        <v>52</v>
      </c>
      <c r="X1" s="141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28" t="s">
        <v>9</v>
      </c>
      <c r="AE1" s="146" t="s">
        <v>16</v>
      </c>
      <c r="AF1" s="146" t="s">
        <v>17</v>
      </c>
      <c r="AG1" s="146" t="s">
        <v>27</v>
      </c>
      <c r="AH1" s="28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142" t="s">
        <v>179</v>
      </c>
    </row>
    <row r="2" spans="1:42" ht="21" customHeight="1" x14ac:dyDescent="0.15">
      <c r="A2" s="12" t="str">
        <f>B2&amp;"_"&amp;C2&amp;"-"&amp;G2&amp;"/"&amp;L2&amp;"&lt;lv"&amp;R2&amp;"&gt;s"&amp;AC2</f>
        <v>20019_1-1/360&lt;lv12&gt;s2</v>
      </c>
      <c r="B2" s="100">
        <v>20019</v>
      </c>
      <c r="C2" s="101">
        <v>1</v>
      </c>
      <c r="D2" s="102" t="str">
        <f>B2&amp;"_"&amp;C2</f>
        <v>20019_1</v>
      </c>
      <c r="E2" s="103" t="str">
        <f ca="1">VLOOKUP($B2,OFFSET([2]quests!$A$1,0,0,COUNTA([2]quests!$A:$A),MATCH(E$1,[2]quests!$1:$1,0)-MATCH($B$1,[2]quests!$1:$1,0)+1),MATCH(E$1,[2]quests!$1:$1,0)-MATCH($B$1,[2]quests!$1:$1,0)+1,FALSE)</f>
        <v>灼熱の舞姫</v>
      </c>
      <c r="F2" s="103" t="str">
        <f ca="1">VLOOKUP($D2,OFFSET([2]stages!$A$1,0,0,COUNTA([2]stages!$A:$A),MATCH(F$1,[2]stages!$2:$2,0)-MATCH($D$1,[2]stages!$2:$2,0)+1),MATCH(F$1,[2]stages!$2:$2,0)-MATCH($D$1,[2]stages!$2:$2,0)+1,FALSE)</f>
        <v>【初級】灼熱の舞姫</v>
      </c>
      <c r="G2" s="101">
        <v>1</v>
      </c>
      <c r="H2" s="102" t="str">
        <f>B2&amp;"_"&amp;C2&amp;"-"&amp;G2</f>
        <v>20019_1-1</v>
      </c>
      <c r="I2" s="103">
        <f ca="1">VLOOKUP($H2,OFFSET(floors!$A$1,0,0,COUNTA(floors!$A:$A),MATCH(I$1,floors!$1:$1,0)-MATCH($H$1,floors!$1:$1,0)+1),MATCH(I$1,floors!$1:$1,0)-MATCH($H$1,floors!$1:$1,0)+1,FALSE)</f>
        <v>60</v>
      </c>
      <c r="J2" s="104">
        <f ca="1">VLOOKUP($H2,OFFSET(floors!$A$1,0,0,COUNTA(floors!$A:$A),MATCH(J$1,floors!$1:$1,0)-MATCH($H$1,floors!$1:$1,0)+1),MATCH(J$1,floors!$1:$1,0)-MATCH($H$1,floors!$1:$1,0)+1,FALSE)</f>
        <v>60</v>
      </c>
      <c r="K2" s="105" t="s">
        <v>53</v>
      </c>
      <c r="L2" s="106">
        <v>360</v>
      </c>
      <c r="M2" s="107" t="str">
        <f ca="1">VLOOKUP($L2,OFFSET([3]enemies!$A$1,0,0,COUNTA([3]enemies!$A:$A),MATCH(M$1,[3]enemies!$1:$1,0)-MATCH($L$1,[3]enemies!$1:$1,0)+1),MATCH(M$1,[3]enemies!$1:$1,0)-MATCH($L$1,[3]enemies!$1:$1,0)+1,FALSE)</f>
        <v>ガンテツ</v>
      </c>
      <c r="N2" s="10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0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0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07">
        <f ca="1">VLOOKUP($L2,OFFSET([3]enemies!$A$1,0,0,COUNTA([3]enemies!$A:$A),MATCH(Q$1,[3]enemies!$1:$1,0)-MATCH($L$1,[3]enemies!$1:$1,0)+1),MATCH(Q$1,[3]enemies!$1:$1,0)-MATCH($L$1,[3]enemies!$1:$1,0)+1,FALSE)</f>
        <v>15</v>
      </c>
      <c r="R2" s="108">
        <v>12</v>
      </c>
      <c r="S2" s="109">
        <v>1.4</v>
      </c>
      <c r="T2" s="110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5481</v>
      </c>
      <c r="U2" s="111">
        <v>0.7</v>
      </c>
      <c r="V2" s="110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540.4</v>
      </c>
      <c r="W2" s="112">
        <v>0</v>
      </c>
      <c r="X2" s="103" t="str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2" s="103">
        <v>0</v>
      </c>
      <c r="Z2" s="113">
        <v>2</v>
      </c>
      <c r="AA2" s="113">
        <v>100</v>
      </c>
      <c r="AB2" s="113">
        <v>0</v>
      </c>
      <c r="AC2" s="104">
        <v>2</v>
      </c>
      <c r="AD2" s="114">
        <f>L2</f>
        <v>360</v>
      </c>
      <c r="AE2" s="103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ガンテツ</v>
      </c>
      <c r="AF2" s="103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103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115">
        <v>1</v>
      </c>
      <c r="AI2" s="114">
        <f ca="1">AF2</f>
        <v>2</v>
      </c>
      <c r="AJ2" s="116">
        <v>60</v>
      </c>
      <c r="AK2" s="115">
        <v>0</v>
      </c>
      <c r="AL2" s="115">
        <v>0</v>
      </c>
      <c r="AM2" s="115">
        <v>0</v>
      </c>
      <c r="AN2" s="115">
        <v>0</v>
      </c>
      <c r="AO2" s="115">
        <v>1</v>
      </c>
      <c r="AP2" s="117">
        <v>1</v>
      </c>
    </row>
    <row r="3" spans="1:42" ht="21" customHeight="1" x14ac:dyDescent="0.15">
      <c r="A3" s="12" t="str">
        <f t="shared" ref="A3:A8" si="0">B3&amp;"_"&amp;C3&amp;"-"&amp;G3&amp;"/"&amp;L3&amp;"&lt;lv"&amp;R3&amp;"&gt;s"&amp;AC3</f>
        <v>20019_1-1/370&lt;lv12&gt;s1</v>
      </c>
      <c r="B3" s="118">
        <v>20019</v>
      </c>
      <c r="C3" s="119">
        <v>1</v>
      </c>
      <c r="D3" s="11" t="str">
        <f t="shared" ref="D3:D8" si="1">B3&amp;"_"&amp;C3</f>
        <v>20019_1</v>
      </c>
      <c r="E3" s="3" t="str">
        <f ca="1">VLOOKUP($B3,OFFSET([2]quests!$A$1,0,0,COUNTA([2]quests!$A:$A),MATCH(E$1,[2]quests!$1:$1,0)-MATCH($B$1,[2]quests!$1:$1,0)+1),MATCH(E$1,[2]quests!$1:$1,0)-MATCH($B$1,[2]quests!$1:$1,0)+1,FALSE)</f>
        <v>灼熱の舞姫</v>
      </c>
      <c r="F3" s="3" t="str">
        <f ca="1">VLOOKUP($D3,OFFSET([2]stages!$A$1,0,0,COUNTA([2]stages!$A:$A),MATCH(F$1,[2]stages!$2:$2,0)-MATCH($D$1,[2]stages!$2:$2,0)+1),MATCH(F$1,[2]stages!$2:$2,0)-MATCH($D$1,[2]stages!$2:$2,0)+1,FALSE)</f>
        <v>【初級】灼熱の舞姫</v>
      </c>
      <c r="G3" s="119">
        <v>1</v>
      </c>
      <c r="H3" s="11" t="str">
        <f t="shared" ref="H3:H8" si="2">B3&amp;"_"&amp;C3&amp;"-"&amp;G3</f>
        <v>20019_1-1</v>
      </c>
      <c r="I3" s="3">
        <f ca="1">VLOOKUP($H3,OFFSET(floors!$A$1,0,0,COUNTA(floors!$A:$A),MATCH(I$1,floors!$1:$1,0)-MATCH($H$1,floors!$1:$1,0)+1),MATCH(I$1,floors!$1:$1,0)-MATCH($H$1,floors!$1:$1,0)+1,FALSE)</f>
        <v>60</v>
      </c>
      <c r="J3" s="13">
        <f ca="1">VLOOKUP($H3,OFFSET(floors!$A$1,0,0,COUNTA(floors!$A:$A),MATCH(J$1,floors!$1:$1,0)-MATCH($H$1,floors!$1:$1,0)+1),MATCH(J$1,floors!$1:$1,0)-MATCH($H$1,floors!$1:$1,0)+1,FALSE)</f>
        <v>60</v>
      </c>
      <c r="K3" s="32" t="s">
        <v>53</v>
      </c>
      <c r="L3" s="63">
        <v>370</v>
      </c>
      <c r="M3" s="14" t="str">
        <f ca="1">VLOOKUP($L3,OFFSET([3]enemies!$A$1,0,0,COUNTA([3]enemies!$A:$A),MATCH(M$1,[3]enemies!$1:$1,0)-MATCH($L$1,[3]enemies!$1:$1,0)+1),MATCH(M$1,[3]enemies!$1:$1,0)-MATCH($L$1,[3]enemies!$1:$1,0)+1,FALSE)</f>
        <v>タイチ</v>
      </c>
      <c r="N3" s="14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4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4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4">
        <f ca="1">VLOOKUP($L3,OFFSET([3]enemies!$A$1,0,0,COUNTA([3]enemies!$A:$A),MATCH(Q$1,[3]enemies!$1:$1,0)-MATCH($L$1,[3]enemies!$1:$1,0)+1),MATCH(Q$1,[3]enemies!$1:$1,0)-MATCH($L$1,[3]enemies!$1:$1,0)+1,FALSE)</f>
        <v>15</v>
      </c>
      <c r="R3" s="98">
        <v>12</v>
      </c>
      <c r="S3" s="97">
        <v>2</v>
      </c>
      <c r="T3" s="95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5400</v>
      </c>
      <c r="U3" s="20">
        <v>0.5</v>
      </c>
      <c r="V3" s="95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549.5</v>
      </c>
      <c r="W3" s="4">
        <v>0</v>
      </c>
      <c r="X3" s="3" t="str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3" s="3">
        <v>0</v>
      </c>
      <c r="Z3" s="5">
        <v>2</v>
      </c>
      <c r="AA3" s="5">
        <v>100</v>
      </c>
      <c r="AB3" s="5">
        <v>0</v>
      </c>
      <c r="AC3" s="13">
        <v>1</v>
      </c>
      <c r="AD3" s="120">
        <f t="shared" ref="AD3:AD8" si="3">L3</f>
        <v>370</v>
      </c>
      <c r="AE3" s="3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3" s="3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3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121">
        <v>1</v>
      </c>
      <c r="AI3" s="120">
        <f t="shared" ref="AI3:AI8" ca="1" si="4">AF3</f>
        <v>2</v>
      </c>
      <c r="AJ3" s="6">
        <v>60</v>
      </c>
      <c r="AK3" s="121">
        <v>0</v>
      </c>
      <c r="AL3" s="121">
        <v>0</v>
      </c>
      <c r="AM3" s="121">
        <v>0</v>
      </c>
      <c r="AN3" s="121">
        <v>0</v>
      </c>
      <c r="AO3" s="121">
        <v>1</v>
      </c>
      <c r="AP3" s="122">
        <v>1</v>
      </c>
    </row>
    <row r="4" spans="1:42" ht="21" customHeight="1" x14ac:dyDescent="0.15">
      <c r="A4" s="12" t="str">
        <f t="shared" si="0"/>
        <v>20019_1-2/85&lt;lv12&gt;s2</v>
      </c>
      <c r="B4" s="118">
        <v>20019</v>
      </c>
      <c r="C4" s="119">
        <v>1</v>
      </c>
      <c r="D4" s="11" t="str">
        <f t="shared" si="1"/>
        <v>20019_1</v>
      </c>
      <c r="E4" s="3" t="str">
        <f ca="1">VLOOKUP($B4,OFFSET([2]quests!$A$1,0,0,COUNTA([2]quests!$A:$A),MATCH(E$1,[2]quests!$1:$1,0)-MATCH($B$1,[2]quests!$1:$1,0)+1),MATCH(E$1,[2]quests!$1:$1,0)-MATCH($B$1,[2]quests!$1:$1,0)+1,FALSE)</f>
        <v>灼熱の舞姫</v>
      </c>
      <c r="F4" s="3" t="str">
        <f ca="1">VLOOKUP($D4,OFFSET([2]stages!$A$1,0,0,COUNTA([2]stages!$A:$A),MATCH(F$1,[2]stages!$2:$2,0)-MATCH($D$1,[2]stages!$2:$2,0)+1),MATCH(F$1,[2]stages!$2:$2,0)-MATCH($D$1,[2]stages!$2:$2,0)+1,FALSE)</f>
        <v>【初級】灼熱の舞姫</v>
      </c>
      <c r="G4" s="119">
        <v>2</v>
      </c>
      <c r="H4" s="11" t="str">
        <f t="shared" si="2"/>
        <v>20019_1-2</v>
      </c>
      <c r="I4" s="3">
        <f ca="1">VLOOKUP($H4,OFFSET(floors!$A$1,0,0,COUNTA(floors!$A:$A),MATCH(I$1,floors!$1:$1,0)-MATCH($H$1,floors!$1:$1,0)+1),MATCH(I$1,floors!$1:$1,0)-MATCH($H$1,floors!$1:$1,0)+1,FALSE)</f>
        <v>45</v>
      </c>
      <c r="J4" s="13">
        <f ca="1">VLOOKUP($H4,OFFSET(floors!$A$1,0,0,COUNTA(floors!$A:$A),MATCH(J$1,floors!$1:$1,0)-MATCH($H$1,floors!$1:$1,0)+1),MATCH(J$1,floors!$1:$1,0)-MATCH($H$1,floors!$1:$1,0)+1,FALSE)</f>
        <v>45</v>
      </c>
      <c r="K4" s="32" t="s">
        <v>53</v>
      </c>
      <c r="L4" s="63">
        <v>85</v>
      </c>
      <c r="M4" s="14" t="str">
        <f ca="1">VLOOKUP($L4,OFFSET([3]enemies!$A$1,0,0,COUNTA([3]enemies!$A:$A),MATCH(M$1,[3]enemies!$1:$1,0)-MATCH($L$1,[3]enemies!$1:$1,0)+1),MATCH(M$1,[3]enemies!$1:$1,0)-MATCH($L$1,[3]enemies!$1:$1,0)+1,FALSE)</f>
        <v>朱雀</v>
      </c>
      <c r="N4" s="14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4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4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4">
        <f ca="1">VLOOKUP($L4,OFFSET([3]enemies!$A$1,0,0,COUNTA([3]enemies!$A:$A),MATCH(Q$1,[3]enemies!$1:$1,0)-MATCH($L$1,[3]enemies!$1:$1,0)+1),MATCH(Q$1,[3]enemies!$1:$1,0)-MATCH($L$1,[3]enemies!$1:$1,0)+1,FALSE)</f>
        <v>20</v>
      </c>
      <c r="R4" s="98">
        <v>12</v>
      </c>
      <c r="S4" s="97">
        <v>0.6</v>
      </c>
      <c r="T4" s="95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11583</v>
      </c>
      <c r="U4" s="20">
        <v>0.3</v>
      </c>
      <c r="V4" s="95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340.2</v>
      </c>
      <c r="W4" s="4">
        <v>0</v>
      </c>
      <c r="X4" s="3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3">
        <v>20019103</v>
      </c>
      <c r="Z4" s="5">
        <v>2</v>
      </c>
      <c r="AA4" s="5">
        <v>100</v>
      </c>
      <c r="AB4" s="5">
        <v>0</v>
      </c>
      <c r="AC4" s="13">
        <v>2</v>
      </c>
      <c r="AD4" s="120">
        <f t="shared" si="3"/>
        <v>85</v>
      </c>
      <c r="AE4" s="3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朱雀</v>
      </c>
      <c r="AF4" s="3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3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121">
        <v>1</v>
      </c>
      <c r="AI4" s="120">
        <f t="shared" ca="1" si="4"/>
        <v>3</v>
      </c>
      <c r="AJ4" s="6">
        <v>0</v>
      </c>
      <c r="AK4" s="121">
        <v>0</v>
      </c>
      <c r="AL4" s="121">
        <v>0</v>
      </c>
      <c r="AM4" s="121">
        <v>0</v>
      </c>
      <c r="AN4" s="121">
        <v>0</v>
      </c>
      <c r="AO4" s="121">
        <v>1</v>
      </c>
      <c r="AP4" s="122">
        <v>1</v>
      </c>
    </row>
    <row r="5" spans="1:42" ht="21" customHeight="1" x14ac:dyDescent="0.15">
      <c r="A5" s="12" t="str">
        <f t="shared" si="0"/>
        <v>20019_1-2/190&lt;lv12&gt;s3</v>
      </c>
      <c r="B5" s="118">
        <v>20019</v>
      </c>
      <c r="C5" s="119">
        <v>1</v>
      </c>
      <c r="D5" s="11" t="str">
        <f t="shared" si="1"/>
        <v>20019_1</v>
      </c>
      <c r="E5" s="3" t="str">
        <f ca="1">VLOOKUP($B5,OFFSET([2]quests!$A$1,0,0,COUNTA([2]quests!$A:$A),MATCH(E$1,[2]quests!$1:$1,0)-MATCH($B$1,[2]quests!$1:$1,0)+1),MATCH(E$1,[2]quests!$1:$1,0)-MATCH($B$1,[2]quests!$1:$1,0)+1,FALSE)</f>
        <v>灼熱の舞姫</v>
      </c>
      <c r="F5" s="3" t="str">
        <f ca="1">VLOOKUP($D5,OFFSET([2]stages!$A$1,0,0,COUNTA([2]stages!$A:$A),MATCH(F$1,[2]stages!$2:$2,0)-MATCH($D$1,[2]stages!$2:$2,0)+1),MATCH(F$1,[2]stages!$2:$2,0)-MATCH($D$1,[2]stages!$2:$2,0)+1,FALSE)</f>
        <v>【初級】灼熱の舞姫</v>
      </c>
      <c r="G5" s="119">
        <v>2</v>
      </c>
      <c r="H5" s="11" t="str">
        <f t="shared" si="2"/>
        <v>20019_1-2</v>
      </c>
      <c r="I5" s="3">
        <f ca="1">VLOOKUP($H5,OFFSET(floors!$A$1,0,0,COUNTA(floors!$A:$A),MATCH(I$1,floors!$1:$1,0)-MATCH($H$1,floors!$1:$1,0)+1),MATCH(I$1,floors!$1:$1,0)-MATCH($H$1,floors!$1:$1,0)+1,FALSE)</f>
        <v>45</v>
      </c>
      <c r="J5" s="13">
        <f ca="1">VLOOKUP($H5,OFFSET(floors!$A$1,0,0,COUNTA(floors!$A:$A),MATCH(J$1,floors!$1:$1,0)-MATCH($H$1,floors!$1:$1,0)+1),MATCH(J$1,floors!$1:$1,0)-MATCH($H$1,floors!$1:$1,0)+1,FALSE)</f>
        <v>45</v>
      </c>
      <c r="K5" s="32" t="s">
        <v>53</v>
      </c>
      <c r="L5" s="63">
        <v>190</v>
      </c>
      <c r="M5" s="14" t="str">
        <f ca="1">VLOOKUP($L5,OFFSET([3]enemies!$A$1,0,0,COUNTA([3]enemies!$A:$A),MATCH(M$1,[3]enemies!$1:$1,0)-MATCH($L$1,[3]enemies!$1:$1,0)+1),MATCH(M$1,[3]enemies!$1:$1,0)-MATCH($L$1,[3]enemies!$1:$1,0)+1,FALSE)</f>
        <v>卑弥呼</v>
      </c>
      <c r="N5" s="14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4" t="str">
        <f ca="1">VLOOKUP($L5,OFFSET([4]characters!$A$1,0,0,COUNTA([4]characters!$A:$A),MATCH(O$1,[4]characters!$1:$1,0)-MATCH($L$1,[4]characters!$1:$1,0)+1),MATCH(O$1,[4]characters!$1:$1,0)-MATCH($L$1,[4]characters!$1:$1,0)+1,FALSE)</f>
        <v>PremiumN</v>
      </c>
      <c r="P5" s="14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4">
        <f ca="1">VLOOKUP($L5,OFFSET([3]enemies!$A$1,0,0,COUNTA([3]enemies!$A:$A),MATCH(Q$1,[3]enemies!$1:$1,0)-MATCH($L$1,[3]enemies!$1:$1,0)+1),MATCH(Q$1,[3]enemies!$1:$1,0)-MATCH($L$1,[3]enemies!$1:$1,0)+1,FALSE)</f>
        <v>20</v>
      </c>
      <c r="R5" s="98">
        <v>12</v>
      </c>
      <c r="S5" s="97">
        <v>1.5</v>
      </c>
      <c r="T5" s="95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20938.5</v>
      </c>
      <c r="U5" s="20">
        <v>0.5</v>
      </c>
      <c r="V5" s="95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638</v>
      </c>
      <c r="W5" s="4">
        <v>0</v>
      </c>
      <c r="X5" s="3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3">
        <v>20019104</v>
      </c>
      <c r="Z5" s="5">
        <v>1</v>
      </c>
      <c r="AA5" s="5">
        <v>100</v>
      </c>
      <c r="AB5" s="5">
        <v>1</v>
      </c>
      <c r="AC5" s="13">
        <v>3</v>
      </c>
      <c r="AD5" s="120">
        <f t="shared" si="3"/>
        <v>190</v>
      </c>
      <c r="AE5" s="3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卑弥呼</v>
      </c>
      <c r="AF5" s="3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3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5" s="121">
        <v>1</v>
      </c>
      <c r="AI5" s="120">
        <f t="shared" ca="1" si="4"/>
        <v>3</v>
      </c>
      <c r="AJ5" s="6">
        <v>0</v>
      </c>
      <c r="AK5" s="121">
        <v>0</v>
      </c>
      <c r="AL5" s="121">
        <v>0</v>
      </c>
      <c r="AM5" s="121">
        <v>0</v>
      </c>
      <c r="AN5" s="121">
        <v>0</v>
      </c>
      <c r="AO5" s="121">
        <v>1</v>
      </c>
      <c r="AP5" s="122">
        <v>1</v>
      </c>
    </row>
    <row r="6" spans="1:42" ht="21" customHeight="1" x14ac:dyDescent="0.15">
      <c r="A6" s="12" t="str">
        <f t="shared" si="0"/>
        <v>20019_1-3/65&lt;lv12&gt;s2</v>
      </c>
      <c r="B6" s="118">
        <v>20019</v>
      </c>
      <c r="C6" s="119">
        <v>1</v>
      </c>
      <c r="D6" s="11" t="str">
        <f t="shared" si="1"/>
        <v>20019_1</v>
      </c>
      <c r="E6" s="3" t="str">
        <f ca="1">VLOOKUP($B6,OFFSET([2]quests!$A$1,0,0,COUNTA([2]quests!$A:$A),MATCH(E$1,[2]quests!$1:$1,0)-MATCH($B$1,[2]quests!$1:$1,0)+1),MATCH(E$1,[2]quests!$1:$1,0)-MATCH($B$1,[2]quests!$1:$1,0)+1,FALSE)</f>
        <v>灼熱の舞姫</v>
      </c>
      <c r="F6" s="3" t="str">
        <f ca="1">VLOOKUP($D6,OFFSET([2]stages!$A$1,0,0,COUNTA([2]stages!$A:$A),MATCH(F$1,[2]stages!$2:$2,0)-MATCH($D$1,[2]stages!$2:$2,0)+1),MATCH(F$1,[2]stages!$2:$2,0)-MATCH($D$1,[2]stages!$2:$2,0)+1,FALSE)</f>
        <v>【初級】灼熱の舞姫</v>
      </c>
      <c r="G6" s="119">
        <v>3</v>
      </c>
      <c r="H6" s="11" t="str">
        <f t="shared" si="2"/>
        <v>20019_1-3</v>
      </c>
      <c r="I6" s="3">
        <f ca="1">VLOOKUP($H6,OFFSET(floors!$A$1,0,0,COUNTA(floors!$A:$A),MATCH(I$1,floors!$1:$1,0)-MATCH($H$1,floors!$1:$1,0)+1),MATCH(I$1,floors!$1:$1,0)-MATCH($H$1,floors!$1:$1,0)+1,FALSE)</f>
        <v>45</v>
      </c>
      <c r="J6" s="13">
        <f ca="1">VLOOKUP($H6,OFFSET(floors!$A$1,0,0,COUNTA(floors!$A:$A),MATCH(J$1,floors!$1:$1,0)-MATCH($H$1,floors!$1:$1,0)+1),MATCH(J$1,floors!$1:$1,0)-MATCH($H$1,floors!$1:$1,0)+1,FALSE)</f>
        <v>45</v>
      </c>
      <c r="K6" s="32" t="s">
        <v>53</v>
      </c>
      <c r="L6" s="63">
        <v>65</v>
      </c>
      <c r="M6" s="14" t="str">
        <f ca="1">VLOOKUP($L6,OFFSET([3]enemies!$A$1,0,0,COUNTA([3]enemies!$A:$A),MATCH(M$1,[3]enemies!$1:$1,0)-MATCH($L$1,[3]enemies!$1:$1,0)+1),MATCH(M$1,[3]enemies!$1:$1,0)-MATCH($L$1,[3]enemies!$1:$1,0)+1,FALSE)</f>
        <v>ファイアフォックス</v>
      </c>
      <c r="N6" s="14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4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4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4">
        <f ca="1">VLOOKUP($L6,OFFSET([3]enemies!$A$1,0,0,COUNTA([3]enemies!$A:$A),MATCH(Q$1,[3]enemies!$1:$1,0)-MATCH($L$1,[3]enemies!$1:$1,0)+1),MATCH(Q$1,[3]enemies!$1:$1,0)-MATCH($L$1,[3]enemies!$1:$1,0)+1,FALSE)</f>
        <v>15</v>
      </c>
      <c r="R6" s="98">
        <v>12</v>
      </c>
      <c r="S6" s="97">
        <v>1.4</v>
      </c>
      <c r="T6" s="95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3779.9999999999995</v>
      </c>
      <c r="U6" s="20">
        <v>0.2</v>
      </c>
      <c r="V6" s="95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241.8</v>
      </c>
      <c r="W6" s="4">
        <v>0</v>
      </c>
      <c r="X6" s="3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3">
        <v>20019105</v>
      </c>
      <c r="Z6" s="5">
        <v>2</v>
      </c>
      <c r="AA6" s="5">
        <v>100</v>
      </c>
      <c r="AB6" s="5">
        <v>0</v>
      </c>
      <c r="AC6" s="13">
        <v>2</v>
      </c>
      <c r="AD6" s="120">
        <f t="shared" si="3"/>
        <v>65</v>
      </c>
      <c r="AE6" s="3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ファイアフォックス</v>
      </c>
      <c r="AF6" s="3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3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Drop1S</v>
      </c>
      <c r="AH6" s="121">
        <v>1</v>
      </c>
      <c r="AI6" s="120">
        <f t="shared" ca="1" si="4"/>
        <v>2</v>
      </c>
      <c r="AJ6" s="6">
        <v>60</v>
      </c>
      <c r="AK6" s="121">
        <v>0</v>
      </c>
      <c r="AL6" s="121">
        <v>0</v>
      </c>
      <c r="AM6" s="121">
        <v>0</v>
      </c>
      <c r="AN6" s="121">
        <v>0</v>
      </c>
      <c r="AO6" s="121">
        <v>1</v>
      </c>
      <c r="AP6" s="122">
        <v>1</v>
      </c>
    </row>
    <row r="7" spans="1:42" ht="21" customHeight="1" x14ac:dyDescent="0.15">
      <c r="A7" s="12" t="str">
        <f t="shared" si="0"/>
        <v>20019_1-3/134&lt;lv12&gt;s3</v>
      </c>
      <c r="B7" s="118">
        <v>20019</v>
      </c>
      <c r="C7" s="119">
        <v>1</v>
      </c>
      <c r="D7" s="11" t="str">
        <f t="shared" si="1"/>
        <v>20019_1</v>
      </c>
      <c r="E7" s="3" t="str">
        <f ca="1">VLOOKUP($B7,OFFSET([2]quests!$A$1,0,0,COUNTA([2]quests!$A:$A),MATCH(E$1,[2]quests!$1:$1,0)-MATCH($B$1,[2]quests!$1:$1,0)+1),MATCH(E$1,[2]quests!$1:$1,0)-MATCH($B$1,[2]quests!$1:$1,0)+1,FALSE)</f>
        <v>灼熱の舞姫</v>
      </c>
      <c r="F7" s="3" t="str">
        <f ca="1">VLOOKUP($D7,OFFSET([2]stages!$A$1,0,0,COUNTA([2]stages!$A:$A),MATCH(F$1,[2]stages!$2:$2,0)-MATCH($D$1,[2]stages!$2:$2,0)+1),MATCH(F$1,[2]stages!$2:$2,0)-MATCH($D$1,[2]stages!$2:$2,0)+1,FALSE)</f>
        <v>【初級】灼熱の舞姫</v>
      </c>
      <c r="G7" s="119">
        <v>3</v>
      </c>
      <c r="H7" s="11" t="str">
        <f t="shared" si="2"/>
        <v>20019_1-3</v>
      </c>
      <c r="I7" s="3">
        <f ca="1">VLOOKUP($H7,OFFSET(floors!$A$1,0,0,COUNTA(floors!$A:$A),MATCH(I$1,floors!$1:$1,0)-MATCH($H$1,floors!$1:$1,0)+1),MATCH(I$1,floors!$1:$1,0)-MATCH($H$1,floors!$1:$1,0)+1,FALSE)</f>
        <v>45</v>
      </c>
      <c r="J7" s="13">
        <f ca="1">VLOOKUP($H7,OFFSET(floors!$A$1,0,0,COUNTA(floors!$A:$A),MATCH(J$1,floors!$1:$1,0)-MATCH($H$1,floors!$1:$1,0)+1),MATCH(J$1,floors!$1:$1,0)-MATCH($H$1,floors!$1:$1,0)+1,FALSE)</f>
        <v>45</v>
      </c>
      <c r="K7" s="32" t="s">
        <v>53</v>
      </c>
      <c r="L7" s="63">
        <v>134</v>
      </c>
      <c r="M7" s="14" t="str">
        <f ca="1">VLOOKUP($L7,OFFSET([3]enemies!$A$1,0,0,COUNTA([3]enemies!$A:$A),MATCH(M$1,[3]enemies!$1:$1,0)-MATCH($L$1,[3]enemies!$1:$1,0)+1),MATCH(M$1,[3]enemies!$1:$1,0)-MATCH($L$1,[3]enemies!$1:$1,0)+1,FALSE)</f>
        <v>妖炎の夕霧</v>
      </c>
      <c r="N7" s="14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4" t="str">
        <f ca="1">VLOOKUP($L7,OFFSET([4]characters!$A$1,0,0,COUNTA([4]characters!$A:$A),MATCH(O$1,[4]characters!$1:$1,0)-MATCH($L$1,[4]characters!$1:$1,0)+1),MATCH(O$1,[4]characters!$1:$1,0)-MATCH($L$1,[4]characters!$1:$1,0)+1,FALSE)</f>
        <v>PremiumW</v>
      </c>
      <c r="P7" s="14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4">
        <f ca="1">VLOOKUP($L7,OFFSET([3]enemies!$A$1,0,0,COUNTA([3]enemies!$A:$A),MATCH(Q$1,[3]enemies!$1:$1,0)-MATCH($L$1,[3]enemies!$1:$1,0)+1),MATCH(Q$1,[3]enemies!$1:$1,0)-MATCH($L$1,[3]enemies!$1:$1,0)+1,FALSE)</f>
        <v>20</v>
      </c>
      <c r="R7" s="98">
        <v>12</v>
      </c>
      <c r="S7" s="97">
        <v>1.5</v>
      </c>
      <c r="T7" s="95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20938.5</v>
      </c>
      <c r="U7" s="20">
        <v>0.5</v>
      </c>
      <c r="V7" s="95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638</v>
      </c>
      <c r="W7" s="4">
        <v>0</v>
      </c>
      <c r="X7" s="3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3">
        <v>20019106</v>
      </c>
      <c r="Z7" s="5">
        <v>1</v>
      </c>
      <c r="AA7" s="5">
        <v>100</v>
      </c>
      <c r="AB7" s="5">
        <v>1</v>
      </c>
      <c r="AC7" s="13">
        <v>3</v>
      </c>
      <c r="AD7" s="120">
        <f t="shared" si="3"/>
        <v>134</v>
      </c>
      <c r="AE7" s="3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妖炎の夕霧</v>
      </c>
      <c r="AF7" s="3">
        <f ca="1">VLOOKUP($AD7,OFFSET([4]characters!$A$1,0,0,COUNTA([4]characters!$A:$A),MATCH(AF$1,[4]characters!$1:$1,0)-MATCH("character_id",[4]characters!$1:$1,0)+1),MATCH(AF$1,[4]characters!$1:$1,0)-MATCH("character_id",[4]characters!$1:$1,0)+1,FALSE)</f>
        <v>3</v>
      </c>
      <c r="AG7" s="3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7" s="121">
        <v>1</v>
      </c>
      <c r="AI7" s="120">
        <f t="shared" ca="1" si="4"/>
        <v>3</v>
      </c>
      <c r="AJ7" s="6">
        <v>0</v>
      </c>
      <c r="AK7" s="121">
        <v>0</v>
      </c>
      <c r="AL7" s="121">
        <v>0</v>
      </c>
      <c r="AM7" s="121">
        <v>0</v>
      </c>
      <c r="AN7" s="121">
        <v>0</v>
      </c>
      <c r="AO7" s="121">
        <v>1</v>
      </c>
      <c r="AP7" s="122">
        <v>1</v>
      </c>
    </row>
    <row r="8" spans="1:42" ht="21" customHeight="1" thickBot="1" x14ac:dyDescent="0.2">
      <c r="A8" s="12" t="str">
        <f t="shared" si="0"/>
        <v>20019_1-4/1020&lt;lv12&gt;s2</v>
      </c>
      <c r="B8" s="123">
        <v>20019</v>
      </c>
      <c r="C8" s="124">
        <v>1</v>
      </c>
      <c r="D8" s="125" t="str">
        <f t="shared" si="1"/>
        <v>20019_1</v>
      </c>
      <c r="E8" s="126" t="str">
        <f ca="1">VLOOKUP($B8,OFFSET([2]quests!$A$1,0,0,COUNTA([2]quests!$A:$A),MATCH(E$1,[2]quests!$1:$1,0)-MATCH($B$1,[2]quests!$1:$1,0)+1),MATCH(E$1,[2]quests!$1:$1,0)-MATCH($B$1,[2]quests!$1:$1,0)+1,FALSE)</f>
        <v>灼熱の舞姫</v>
      </c>
      <c r="F8" s="126" t="str">
        <f ca="1">VLOOKUP($D8,OFFSET([2]stages!$A$1,0,0,COUNTA([2]stages!$A:$A),MATCH(F$1,[2]stages!$2:$2,0)-MATCH($D$1,[2]stages!$2:$2,0)+1),MATCH(F$1,[2]stages!$2:$2,0)-MATCH($D$1,[2]stages!$2:$2,0)+1,FALSE)</f>
        <v>【初級】灼熱の舞姫</v>
      </c>
      <c r="G8" s="124">
        <v>4</v>
      </c>
      <c r="H8" s="125" t="str">
        <f t="shared" si="2"/>
        <v>20019_1-4</v>
      </c>
      <c r="I8" s="126">
        <f ca="1">VLOOKUP($H8,OFFSET(floors!$A$1,0,0,COUNTA(floors!$A:$A),MATCH(I$1,floors!$1:$1,0)-MATCH($H$1,floors!$1:$1,0)+1),MATCH(I$1,floors!$1:$1,0)-MATCH($H$1,floors!$1:$1,0)+1,FALSE)</f>
        <v>60</v>
      </c>
      <c r="J8" s="127">
        <f ca="1">VLOOKUP($H8,OFFSET(floors!$A$1,0,0,COUNTA(floors!$A:$A),MATCH(J$1,floors!$1:$1,0)-MATCH($H$1,floors!$1:$1,0)+1),MATCH(J$1,floors!$1:$1,0)-MATCH($H$1,floors!$1:$1,0)+1,FALSE)</f>
        <v>60</v>
      </c>
      <c r="K8" s="128">
        <v>1</v>
      </c>
      <c r="L8" s="129">
        <v>1020</v>
      </c>
      <c r="M8" s="130" t="str">
        <f ca="1">VLOOKUP($L8,OFFSET([3]enemies!$A$1,0,0,COUNTA([3]enemies!$A:$A),MATCH(M$1,[3]enemies!$1:$1,0)-MATCH($L$1,[3]enemies!$1:$1,0)+1),MATCH(M$1,[3]enemies!$1:$1,0)-MATCH($L$1,[3]enemies!$1:$1,0)+1,FALSE)</f>
        <v>静御前</v>
      </c>
      <c r="N8" s="130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30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30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30">
        <f ca="1">VLOOKUP($L8,OFFSET([3]enemies!$A$1,0,0,COUNTA([3]enemies!$A:$A),MATCH(Q$1,[3]enemies!$1:$1,0)-MATCH($L$1,[3]enemies!$1:$1,0)+1),MATCH(Q$1,[3]enemies!$1:$1,0)-MATCH($L$1,[3]enemies!$1:$1,0)+1,FALSE)</f>
        <v>30</v>
      </c>
      <c r="R8" s="131">
        <v>12</v>
      </c>
      <c r="S8" s="132">
        <v>2.2000000000000002</v>
      </c>
      <c r="T8" s="133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32663.4</v>
      </c>
      <c r="U8" s="134">
        <v>0.9</v>
      </c>
      <c r="V8" s="133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1119.6000000000001</v>
      </c>
      <c r="W8" s="135">
        <v>0</v>
      </c>
      <c r="X8" s="126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126">
        <v>20019107</v>
      </c>
      <c r="Z8" s="136">
        <v>1</v>
      </c>
      <c r="AA8" s="136">
        <v>100</v>
      </c>
      <c r="AB8" s="136">
        <v>1</v>
      </c>
      <c r="AC8" s="127">
        <v>2</v>
      </c>
      <c r="AD8" s="137">
        <f t="shared" si="3"/>
        <v>1020</v>
      </c>
      <c r="AE8" s="126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静御前</v>
      </c>
      <c r="AF8" s="126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126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Drop2N</v>
      </c>
      <c r="AH8" s="138">
        <v>1</v>
      </c>
      <c r="AI8" s="137">
        <f t="shared" ca="1" si="4"/>
        <v>4</v>
      </c>
      <c r="AJ8" s="139">
        <v>20</v>
      </c>
      <c r="AK8" s="138">
        <v>0</v>
      </c>
      <c r="AL8" s="138">
        <v>0</v>
      </c>
      <c r="AM8" s="138">
        <v>0</v>
      </c>
      <c r="AN8" s="138">
        <v>0</v>
      </c>
      <c r="AO8" s="138">
        <v>1</v>
      </c>
      <c r="AP8" s="140">
        <v>1</v>
      </c>
    </row>
    <row r="9" spans="1:42" ht="21" customHeight="1" x14ac:dyDescent="0.15">
      <c r="A9" s="12" t="str">
        <f>B9&amp;"_"&amp;C9&amp;"-"&amp;G9&amp;"/"&amp;L9&amp;"&lt;lv"&amp;R9&amp;"&gt;s"&amp;AC9</f>
        <v>20019_2-1/360&lt;lv24&gt;s2</v>
      </c>
      <c r="B9" s="100">
        <v>20019</v>
      </c>
      <c r="C9" s="101">
        <v>2</v>
      </c>
      <c r="D9" s="102" t="str">
        <f>B9&amp;"_"&amp;C9</f>
        <v>20019_2</v>
      </c>
      <c r="E9" s="103" t="str">
        <f ca="1">VLOOKUP($B9,OFFSET([2]quests!$A$1,0,0,COUNTA([2]quests!$A:$A),MATCH(E$1,[2]quests!$1:$1,0)-MATCH($B$1,[2]quests!$1:$1,0)+1),MATCH(E$1,[2]quests!$1:$1,0)-MATCH($B$1,[2]quests!$1:$1,0)+1,FALSE)</f>
        <v>灼熱の舞姫</v>
      </c>
      <c r="F9" s="103" t="str">
        <f ca="1">VLOOKUP($D9,OFFSET([2]stages!$A$1,0,0,COUNTA([2]stages!$A:$A),MATCH(F$1,[2]stages!$2:$2,0)-MATCH($D$1,[2]stages!$2:$2,0)+1),MATCH(F$1,[2]stages!$2:$2,0)-MATCH($D$1,[2]stages!$2:$2,0)+1,FALSE)</f>
        <v>【中級】灼熱の舞姫</v>
      </c>
      <c r="G9" s="101">
        <v>1</v>
      </c>
      <c r="H9" s="102" t="str">
        <f>B9&amp;"_"&amp;C9&amp;"-"&amp;G9</f>
        <v>20019_2-1</v>
      </c>
      <c r="I9" s="103">
        <f ca="1">VLOOKUP($H9,OFFSET(floors!$A$1,0,0,COUNTA(floors!$A:$A),MATCH(I$1,floors!$1:$1,0)-MATCH($H$1,floors!$1:$1,0)+1),MATCH(I$1,floors!$1:$1,0)-MATCH($H$1,floors!$1:$1,0)+1,FALSE)</f>
        <v>60</v>
      </c>
      <c r="J9" s="104">
        <f ca="1">VLOOKUP($H9,OFFSET(floors!$A$1,0,0,COUNTA(floors!$A:$A),MATCH(J$1,floors!$1:$1,0)-MATCH($H$1,floors!$1:$1,0)+1),MATCH(J$1,floors!$1:$1,0)-MATCH($H$1,floors!$1:$1,0)+1,FALSE)</f>
        <v>60</v>
      </c>
      <c r="K9" s="105" t="s">
        <v>53</v>
      </c>
      <c r="L9" s="106">
        <v>360</v>
      </c>
      <c r="M9" s="107" t="str">
        <f ca="1">VLOOKUP($L9,OFFSET([3]enemies!$A$1,0,0,COUNTA([3]enemies!$A:$A),MATCH(M$1,[3]enemies!$1:$1,0)-MATCH($L$1,[3]enemies!$1:$1,0)+1),MATCH(M$1,[3]enemies!$1:$1,0)-MATCH($L$1,[3]enemies!$1:$1,0)+1,FALSE)</f>
        <v>ガンテツ</v>
      </c>
      <c r="N9" s="10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0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0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07">
        <f ca="1">VLOOKUP($L9,OFFSET([3]enemies!$A$1,0,0,COUNTA([3]enemies!$A:$A),MATCH(Q$1,[3]enemies!$1:$1,0)-MATCH($L$1,[3]enemies!$1:$1,0)+1),MATCH(Q$1,[3]enemies!$1:$1,0)-MATCH($L$1,[3]enemies!$1:$1,0)+1,FALSE)</f>
        <v>15</v>
      </c>
      <c r="R9" s="108">
        <v>24</v>
      </c>
      <c r="S9" s="109">
        <v>1.4</v>
      </c>
      <c r="T9" s="110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10353</v>
      </c>
      <c r="U9" s="111">
        <v>0.7</v>
      </c>
      <c r="V9" s="110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1021.3</v>
      </c>
      <c r="W9" s="112">
        <v>0</v>
      </c>
      <c r="X9" s="103" t="str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9" s="103">
        <v>0</v>
      </c>
      <c r="Z9" s="113">
        <v>2</v>
      </c>
      <c r="AA9" s="113">
        <v>100</v>
      </c>
      <c r="AB9" s="113">
        <v>0</v>
      </c>
      <c r="AC9" s="104">
        <v>2</v>
      </c>
      <c r="AD9" s="114">
        <f>L9</f>
        <v>360</v>
      </c>
      <c r="AE9" s="103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ガンテツ</v>
      </c>
      <c r="AF9" s="103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103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115">
        <v>1</v>
      </c>
      <c r="AI9" s="114">
        <f ca="1">AF9</f>
        <v>2</v>
      </c>
      <c r="AJ9" s="116">
        <v>60</v>
      </c>
      <c r="AK9" s="115">
        <v>0</v>
      </c>
      <c r="AL9" s="115">
        <v>0</v>
      </c>
      <c r="AM9" s="115">
        <v>0</v>
      </c>
      <c r="AN9" s="115">
        <v>0</v>
      </c>
      <c r="AO9" s="115">
        <v>1</v>
      </c>
      <c r="AP9" s="117">
        <v>1</v>
      </c>
    </row>
    <row r="10" spans="1:42" ht="21" customHeight="1" x14ac:dyDescent="0.15">
      <c r="A10" s="12" t="str">
        <f t="shared" ref="A10:A15" si="5">B10&amp;"_"&amp;C10&amp;"-"&amp;G10&amp;"/"&amp;L10&amp;"&lt;lv"&amp;R10&amp;"&gt;s"&amp;AC10</f>
        <v>20019_2-1/370&lt;lv24&gt;s1</v>
      </c>
      <c r="B10" s="118">
        <v>20019</v>
      </c>
      <c r="C10" s="119">
        <v>2</v>
      </c>
      <c r="D10" s="11" t="str">
        <f t="shared" ref="D10:D15" si="6">B10&amp;"_"&amp;C10</f>
        <v>20019_2</v>
      </c>
      <c r="E10" s="3" t="str">
        <f ca="1">VLOOKUP($B10,OFFSET([2]quests!$A$1,0,0,COUNTA([2]quests!$A:$A),MATCH(E$1,[2]quests!$1:$1,0)-MATCH($B$1,[2]quests!$1:$1,0)+1),MATCH(E$1,[2]quests!$1:$1,0)-MATCH($B$1,[2]quests!$1:$1,0)+1,FALSE)</f>
        <v>灼熱の舞姫</v>
      </c>
      <c r="F10" s="3" t="str">
        <f ca="1">VLOOKUP($D10,OFFSET([2]stages!$A$1,0,0,COUNTA([2]stages!$A:$A),MATCH(F$1,[2]stages!$2:$2,0)-MATCH($D$1,[2]stages!$2:$2,0)+1),MATCH(F$1,[2]stages!$2:$2,0)-MATCH($D$1,[2]stages!$2:$2,0)+1,FALSE)</f>
        <v>【中級】灼熱の舞姫</v>
      </c>
      <c r="G10" s="119">
        <v>1</v>
      </c>
      <c r="H10" s="11" t="str">
        <f t="shared" ref="H10:H15" si="7">B10&amp;"_"&amp;C10&amp;"-"&amp;G10</f>
        <v>20019_2-1</v>
      </c>
      <c r="I10" s="3">
        <f ca="1">VLOOKUP($H10,OFFSET(floors!$A$1,0,0,COUNTA(floors!$A:$A),MATCH(I$1,floors!$1:$1,0)-MATCH($H$1,floors!$1:$1,0)+1),MATCH(I$1,floors!$1:$1,0)-MATCH($H$1,floors!$1:$1,0)+1,FALSE)</f>
        <v>60</v>
      </c>
      <c r="J10" s="13">
        <f ca="1">VLOOKUP($H10,OFFSET(floors!$A$1,0,0,COUNTA(floors!$A:$A),MATCH(J$1,floors!$1:$1,0)-MATCH($H$1,floors!$1:$1,0)+1),MATCH(J$1,floors!$1:$1,0)-MATCH($H$1,floors!$1:$1,0)+1,FALSE)</f>
        <v>60</v>
      </c>
      <c r="K10" s="32" t="s">
        <v>53</v>
      </c>
      <c r="L10" s="63">
        <v>370</v>
      </c>
      <c r="M10" s="14" t="str">
        <f ca="1">VLOOKUP($L10,OFFSET([3]enemies!$A$1,0,0,COUNTA([3]enemies!$A:$A),MATCH(M$1,[3]enemies!$1:$1,0)-MATCH($L$1,[3]enemies!$1:$1,0)+1),MATCH(M$1,[3]enemies!$1:$1,0)-MATCH($L$1,[3]enemies!$1:$1,0)+1,FALSE)</f>
        <v>タイチ</v>
      </c>
      <c r="N10" s="14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4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4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4">
        <f ca="1">VLOOKUP($L10,OFFSET([3]enemies!$A$1,0,0,COUNTA([3]enemies!$A:$A),MATCH(Q$1,[3]enemies!$1:$1,0)-MATCH($L$1,[3]enemies!$1:$1,0)+1),MATCH(Q$1,[3]enemies!$1:$1,0)-MATCH($L$1,[3]enemies!$1:$1,0)+1,FALSE)</f>
        <v>15</v>
      </c>
      <c r="R10" s="98">
        <v>24</v>
      </c>
      <c r="S10" s="97">
        <v>2</v>
      </c>
      <c r="T10" s="95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10200</v>
      </c>
      <c r="U10" s="20">
        <v>0.5</v>
      </c>
      <c r="V10" s="95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1038</v>
      </c>
      <c r="W10" s="4">
        <v>0</v>
      </c>
      <c r="X10" s="3" t="str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10" s="3">
        <v>0</v>
      </c>
      <c r="Z10" s="5">
        <v>2</v>
      </c>
      <c r="AA10" s="5">
        <v>100</v>
      </c>
      <c r="AB10" s="5">
        <v>0</v>
      </c>
      <c r="AC10" s="13">
        <v>1</v>
      </c>
      <c r="AD10" s="120">
        <f t="shared" ref="AD10:AD15" si="8">L10</f>
        <v>370</v>
      </c>
      <c r="AE10" s="3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10" s="3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3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Drop1S</v>
      </c>
      <c r="AH10" s="121">
        <v>1</v>
      </c>
      <c r="AI10" s="120">
        <f t="shared" ref="AI10:AI15" ca="1" si="9">AF10</f>
        <v>2</v>
      </c>
      <c r="AJ10" s="6">
        <v>60</v>
      </c>
      <c r="AK10" s="121">
        <v>0</v>
      </c>
      <c r="AL10" s="121">
        <v>0</v>
      </c>
      <c r="AM10" s="121">
        <v>0</v>
      </c>
      <c r="AN10" s="121">
        <v>0</v>
      </c>
      <c r="AO10" s="121">
        <v>1</v>
      </c>
      <c r="AP10" s="122">
        <v>1</v>
      </c>
    </row>
    <row r="11" spans="1:42" ht="21" customHeight="1" x14ac:dyDescent="0.15">
      <c r="A11" s="12" t="str">
        <f t="shared" si="5"/>
        <v>20019_2-2/85&lt;lv24&gt;s2</v>
      </c>
      <c r="B11" s="118">
        <v>20019</v>
      </c>
      <c r="C11" s="119">
        <v>2</v>
      </c>
      <c r="D11" s="11" t="str">
        <f t="shared" si="6"/>
        <v>20019_2</v>
      </c>
      <c r="E11" s="3" t="str">
        <f ca="1">VLOOKUP($B11,OFFSET([2]quests!$A$1,0,0,COUNTA([2]quests!$A:$A),MATCH(E$1,[2]quests!$1:$1,0)-MATCH($B$1,[2]quests!$1:$1,0)+1),MATCH(E$1,[2]quests!$1:$1,0)-MATCH($B$1,[2]quests!$1:$1,0)+1,FALSE)</f>
        <v>灼熱の舞姫</v>
      </c>
      <c r="F11" s="3" t="str">
        <f ca="1">VLOOKUP($D11,OFFSET([2]stages!$A$1,0,0,COUNTA([2]stages!$A:$A),MATCH(F$1,[2]stages!$2:$2,0)-MATCH($D$1,[2]stages!$2:$2,0)+1),MATCH(F$1,[2]stages!$2:$2,0)-MATCH($D$1,[2]stages!$2:$2,0)+1,FALSE)</f>
        <v>【中級】灼熱の舞姫</v>
      </c>
      <c r="G11" s="119">
        <v>2</v>
      </c>
      <c r="H11" s="11" t="str">
        <f t="shared" si="7"/>
        <v>20019_2-2</v>
      </c>
      <c r="I11" s="3">
        <f ca="1">VLOOKUP($H11,OFFSET(floors!$A$1,0,0,COUNTA(floors!$A:$A),MATCH(I$1,floors!$1:$1,0)-MATCH($H$1,floors!$1:$1,0)+1),MATCH(I$1,floors!$1:$1,0)-MATCH($H$1,floors!$1:$1,0)+1,FALSE)</f>
        <v>45</v>
      </c>
      <c r="J11" s="13">
        <f ca="1">VLOOKUP($H11,OFFSET(floors!$A$1,0,0,COUNTA(floors!$A:$A),MATCH(J$1,floors!$1:$1,0)-MATCH($H$1,floors!$1:$1,0)+1),MATCH(J$1,floors!$1:$1,0)-MATCH($H$1,floors!$1:$1,0)+1,FALSE)</f>
        <v>45</v>
      </c>
      <c r="K11" s="32" t="s">
        <v>53</v>
      </c>
      <c r="L11" s="63">
        <v>85</v>
      </c>
      <c r="M11" s="14" t="str">
        <f ca="1">VLOOKUP($L11,OFFSET([3]enemies!$A$1,0,0,COUNTA([3]enemies!$A:$A),MATCH(M$1,[3]enemies!$1:$1,0)-MATCH($L$1,[3]enemies!$1:$1,0)+1),MATCH(M$1,[3]enemies!$1:$1,0)-MATCH($L$1,[3]enemies!$1:$1,0)+1,FALSE)</f>
        <v>朱雀</v>
      </c>
      <c r="N11" s="14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4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4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4">
        <f ca="1">VLOOKUP($L11,OFFSET([3]enemies!$A$1,0,0,COUNTA([3]enemies!$A:$A),MATCH(Q$1,[3]enemies!$1:$1,0)-MATCH($L$1,[3]enemies!$1:$1,0)+1),MATCH(Q$1,[3]enemies!$1:$1,0)-MATCH($L$1,[3]enemies!$1:$1,0)+1,FALSE)</f>
        <v>20</v>
      </c>
      <c r="R11" s="98">
        <v>24</v>
      </c>
      <c r="S11" s="97">
        <v>0.6</v>
      </c>
      <c r="T11" s="95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21879</v>
      </c>
      <c r="U11" s="20">
        <v>0.3</v>
      </c>
      <c r="V11" s="95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642.6</v>
      </c>
      <c r="W11" s="4">
        <v>0</v>
      </c>
      <c r="X11" s="3" t="e">
        <f ca="1">VLOOKUP($Y11,OFFSET([5]enemy_skill_sets!$B$1,0,0,COUNTA([5]enemy_skill_sets!$B:$B),MATCH(M$1,[5]enemy_skill_sets!$1:$1,0)-MATCH($Y$1,[5]enemy_skill_sets!$1:$1,0)+2),MATCH(M$1,[5]enemy_skill_sets!$1:$1,0)-MATCH($Y$1,[5]enemy_skill_sets!$1:$1,0)+2,FALSE)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1" s="3">
        <v>20019103</v>
      </c>
      <c r="Z11" s="5">
        <v>2</v>
      </c>
      <c r="AA11" s="5">
        <v>100</v>
      </c>
      <c r="AB11" s="5">
        <v>0</v>
      </c>
      <c r="AC11" s="13">
        <v>2</v>
      </c>
      <c r="AD11" s="120">
        <f t="shared" si="8"/>
        <v>85</v>
      </c>
      <c r="AE11" s="3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朱雀</v>
      </c>
      <c r="AF11" s="3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3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" s="121">
        <v>1</v>
      </c>
      <c r="AI11" s="120">
        <f t="shared" ca="1" si="9"/>
        <v>3</v>
      </c>
      <c r="AJ11" s="6">
        <v>0</v>
      </c>
      <c r="AK11" s="121">
        <v>0</v>
      </c>
      <c r="AL11" s="121">
        <v>0</v>
      </c>
      <c r="AM11" s="121">
        <v>0</v>
      </c>
      <c r="AN11" s="121">
        <v>0</v>
      </c>
      <c r="AO11" s="121">
        <v>1</v>
      </c>
      <c r="AP11" s="122">
        <v>1</v>
      </c>
    </row>
    <row r="12" spans="1:42" ht="21" customHeight="1" x14ac:dyDescent="0.15">
      <c r="A12" s="12" t="str">
        <f t="shared" si="5"/>
        <v>20019_2-2/190&lt;lv30&gt;s3</v>
      </c>
      <c r="B12" s="118">
        <v>20019</v>
      </c>
      <c r="C12" s="119">
        <v>2</v>
      </c>
      <c r="D12" s="11" t="str">
        <f t="shared" si="6"/>
        <v>20019_2</v>
      </c>
      <c r="E12" s="3" t="str">
        <f ca="1">VLOOKUP($B12,OFFSET([2]quests!$A$1,0,0,COUNTA([2]quests!$A:$A),MATCH(E$1,[2]quests!$1:$1,0)-MATCH($B$1,[2]quests!$1:$1,0)+1),MATCH(E$1,[2]quests!$1:$1,0)-MATCH($B$1,[2]quests!$1:$1,0)+1,FALSE)</f>
        <v>灼熱の舞姫</v>
      </c>
      <c r="F12" s="3" t="str">
        <f ca="1">VLOOKUP($D12,OFFSET([2]stages!$A$1,0,0,COUNTA([2]stages!$A:$A),MATCH(F$1,[2]stages!$2:$2,0)-MATCH($D$1,[2]stages!$2:$2,0)+1),MATCH(F$1,[2]stages!$2:$2,0)-MATCH($D$1,[2]stages!$2:$2,0)+1,FALSE)</f>
        <v>【中級】灼熱の舞姫</v>
      </c>
      <c r="G12" s="119">
        <v>2</v>
      </c>
      <c r="H12" s="11" t="str">
        <f t="shared" si="7"/>
        <v>20019_2-2</v>
      </c>
      <c r="I12" s="3">
        <f ca="1">VLOOKUP($H12,OFFSET(floors!$A$1,0,0,COUNTA(floors!$A:$A),MATCH(I$1,floors!$1:$1,0)-MATCH($H$1,floors!$1:$1,0)+1),MATCH(I$1,floors!$1:$1,0)-MATCH($H$1,floors!$1:$1,0)+1,FALSE)</f>
        <v>45</v>
      </c>
      <c r="J12" s="13">
        <f ca="1">VLOOKUP($H12,OFFSET(floors!$A$1,0,0,COUNTA(floors!$A:$A),MATCH(J$1,floors!$1:$1,0)-MATCH($H$1,floors!$1:$1,0)+1),MATCH(J$1,floors!$1:$1,0)-MATCH($H$1,floors!$1:$1,0)+1,FALSE)</f>
        <v>45</v>
      </c>
      <c r="K12" s="32" t="s">
        <v>53</v>
      </c>
      <c r="L12" s="63">
        <v>190</v>
      </c>
      <c r="M12" s="14" t="str">
        <f ca="1">VLOOKUP($L12,OFFSET([3]enemies!$A$1,0,0,COUNTA([3]enemies!$A:$A),MATCH(M$1,[3]enemies!$1:$1,0)-MATCH($L$1,[3]enemies!$1:$1,0)+1),MATCH(M$1,[3]enemies!$1:$1,0)-MATCH($L$1,[3]enemies!$1:$1,0)+1,FALSE)</f>
        <v>卑弥呼</v>
      </c>
      <c r="N12" s="14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4" t="str">
        <f ca="1">VLOOKUP($L12,OFFSET([4]characters!$A$1,0,0,COUNTA([4]characters!$A:$A),MATCH(O$1,[4]characters!$1:$1,0)-MATCH($L$1,[4]characters!$1:$1,0)+1),MATCH(O$1,[4]characters!$1:$1,0)-MATCH($L$1,[4]characters!$1:$1,0)+1,FALSE)</f>
        <v>PremiumN</v>
      </c>
      <c r="P12" s="14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4">
        <f ca="1">VLOOKUP($L12,OFFSET([3]enemies!$A$1,0,0,COUNTA([3]enemies!$A:$A),MATCH(Q$1,[3]enemies!$1:$1,0)-MATCH($L$1,[3]enemies!$1:$1,0)+1),MATCH(Q$1,[3]enemies!$1:$1,0)-MATCH($L$1,[3]enemies!$1:$1,0)+1,FALSE)</f>
        <v>20</v>
      </c>
      <c r="R12" s="98">
        <v>30</v>
      </c>
      <c r="S12" s="97">
        <v>1.5</v>
      </c>
      <c r="T12" s="95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48856.5</v>
      </c>
      <c r="U12" s="20">
        <v>0.5</v>
      </c>
      <c r="V12" s="95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1488.5</v>
      </c>
      <c r="W12" s="4">
        <v>0</v>
      </c>
      <c r="X12" s="3" t="e">
        <f ca="1">VLOOKUP($Y12,OFFSET([5]enemy_skill_sets!$B$1,0,0,COUNTA([5]enemy_skill_sets!$B:$B),MATCH(M$1,[5]enemy_skill_sets!$1:$1,0)-MATCH($Y$1,[5]enemy_skill_sets!$1:$1,0)+2),MATCH(M$1,[5]enemy_skill_sets!$1:$1,0)-MATCH($Y$1,[5]enemy_skill_sets!$1:$1,0)+2,FALSE)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2" s="3">
        <v>20019104</v>
      </c>
      <c r="Z12" s="5">
        <v>1</v>
      </c>
      <c r="AA12" s="5">
        <v>100</v>
      </c>
      <c r="AB12" s="5">
        <v>1</v>
      </c>
      <c r="AC12" s="13">
        <v>3</v>
      </c>
      <c r="AD12" s="120">
        <f t="shared" si="8"/>
        <v>190</v>
      </c>
      <c r="AE12" s="3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卑弥呼</v>
      </c>
      <c r="AF12" s="3">
        <f ca="1">VLOOKUP($AD12,OFFSET([4]characters!$A$1,0,0,COUNTA([4]characters!$A:$A),MATCH(AF$1,[4]characters!$1:$1,0)-MATCH("character_id",[4]characters!$1:$1,0)+1),MATCH(AF$1,[4]characters!$1:$1,0)-MATCH("character_id",[4]characters!$1:$1,0)+1,FALSE)</f>
        <v>3</v>
      </c>
      <c r="AG12" s="3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2" s="121">
        <v>1</v>
      </c>
      <c r="AI12" s="120">
        <f t="shared" ca="1" si="9"/>
        <v>3</v>
      </c>
      <c r="AJ12" s="6">
        <v>0</v>
      </c>
      <c r="AK12" s="121">
        <v>0</v>
      </c>
      <c r="AL12" s="121">
        <v>0</v>
      </c>
      <c r="AM12" s="121">
        <v>0</v>
      </c>
      <c r="AN12" s="121">
        <v>0</v>
      </c>
      <c r="AO12" s="121">
        <v>1</v>
      </c>
      <c r="AP12" s="122">
        <v>1</v>
      </c>
    </row>
    <row r="13" spans="1:42" ht="21" customHeight="1" x14ac:dyDescent="0.15">
      <c r="A13" s="12" t="str">
        <f t="shared" si="5"/>
        <v>20019_2-3/65&lt;lv24&gt;s2</v>
      </c>
      <c r="B13" s="118">
        <v>20019</v>
      </c>
      <c r="C13" s="119">
        <v>2</v>
      </c>
      <c r="D13" s="11" t="str">
        <f t="shared" si="6"/>
        <v>20019_2</v>
      </c>
      <c r="E13" s="3" t="str">
        <f ca="1">VLOOKUP($B13,OFFSET([2]quests!$A$1,0,0,COUNTA([2]quests!$A:$A),MATCH(E$1,[2]quests!$1:$1,0)-MATCH($B$1,[2]quests!$1:$1,0)+1),MATCH(E$1,[2]quests!$1:$1,0)-MATCH($B$1,[2]quests!$1:$1,0)+1,FALSE)</f>
        <v>灼熱の舞姫</v>
      </c>
      <c r="F13" s="3" t="str">
        <f ca="1">VLOOKUP($D13,OFFSET([2]stages!$A$1,0,0,COUNTA([2]stages!$A:$A),MATCH(F$1,[2]stages!$2:$2,0)-MATCH($D$1,[2]stages!$2:$2,0)+1),MATCH(F$1,[2]stages!$2:$2,0)-MATCH($D$1,[2]stages!$2:$2,0)+1,FALSE)</f>
        <v>【中級】灼熱の舞姫</v>
      </c>
      <c r="G13" s="119">
        <v>3</v>
      </c>
      <c r="H13" s="11" t="str">
        <f t="shared" si="7"/>
        <v>20019_2-3</v>
      </c>
      <c r="I13" s="3">
        <f ca="1">VLOOKUP($H13,OFFSET(floors!$A$1,0,0,COUNTA(floors!$A:$A),MATCH(I$1,floors!$1:$1,0)-MATCH($H$1,floors!$1:$1,0)+1),MATCH(I$1,floors!$1:$1,0)-MATCH($H$1,floors!$1:$1,0)+1,FALSE)</f>
        <v>45</v>
      </c>
      <c r="J13" s="13">
        <f ca="1">VLOOKUP($H13,OFFSET(floors!$A$1,0,0,COUNTA(floors!$A:$A),MATCH(J$1,floors!$1:$1,0)-MATCH($H$1,floors!$1:$1,0)+1),MATCH(J$1,floors!$1:$1,0)-MATCH($H$1,floors!$1:$1,0)+1,FALSE)</f>
        <v>45</v>
      </c>
      <c r="K13" s="32" t="s">
        <v>53</v>
      </c>
      <c r="L13" s="63">
        <v>65</v>
      </c>
      <c r="M13" s="14" t="str">
        <f ca="1">VLOOKUP($L13,OFFSET([3]enemies!$A$1,0,0,COUNTA([3]enemies!$A:$A),MATCH(M$1,[3]enemies!$1:$1,0)-MATCH($L$1,[3]enemies!$1:$1,0)+1),MATCH(M$1,[3]enemies!$1:$1,0)-MATCH($L$1,[3]enemies!$1:$1,0)+1,FALSE)</f>
        <v>ファイアフォックス</v>
      </c>
      <c r="N13" s="14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4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14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4">
        <f ca="1">VLOOKUP($L13,OFFSET([3]enemies!$A$1,0,0,COUNTA([3]enemies!$A:$A),MATCH(Q$1,[3]enemies!$1:$1,0)-MATCH($L$1,[3]enemies!$1:$1,0)+1),MATCH(Q$1,[3]enemies!$1:$1,0)-MATCH($L$1,[3]enemies!$1:$1,0)+1,FALSE)</f>
        <v>15</v>
      </c>
      <c r="R13" s="98">
        <v>24</v>
      </c>
      <c r="S13" s="97">
        <v>1.4</v>
      </c>
      <c r="T13" s="95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7140</v>
      </c>
      <c r="U13" s="20">
        <v>0.2</v>
      </c>
      <c r="V13" s="95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456.6</v>
      </c>
      <c r="W13" s="4">
        <v>0</v>
      </c>
      <c r="X13" s="3" t="e">
        <f ca="1">VLOOKUP($Y13,OFFSET([5]enemy_skill_sets!$B$1,0,0,COUNTA([5]enemy_skill_sets!$B:$B),MATCH(M$1,[5]enemy_skill_sets!$1:$1,0)-MATCH($Y$1,[5]enemy_skill_sets!$1:$1,0)+2),MATCH(M$1,[5]enemy_skill_sets!$1:$1,0)-MATCH($Y$1,[5]enemy_skill_sets!$1:$1,0)+2,FALSE)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3" s="3">
        <v>20019105</v>
      </c>
      <c r="Z13" s="5">
        <v>2</v>
      </c>
      <c r="AA13" s="5">
        <v>100</v>
      </c>
      <c r="AB13" s="5">
        <v>0</v>
      </c>
      <c r="AC13" s="13">
        <v>2</v>
      </c>
      <c r="AD13" s="120">
        <f t="shared" si="8"/>
        <v>65</v>
      </c>
      <c r="AE13" s="3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ファイアフォックス</v>
      </c>
      <c r="AF13" s="3">
        <f ca="1">VLOOKUP($AD13,OFFSET([4]characters!$A$1,0,0,COUNTA([4]characters!$A:$A),MATCH(AF$1,[4]characters!$1:$1,0)-MATCH("character_id",[4]characters!$1:$1,0)+1),MATCH(AF$1,[4]characters!$1:$1,0)-MATCH("character_id",[4]characters!$1:$1,0)+1,FALSE)</f>
        <v>2</v>
      </c>
      <c r="AG13" s="3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Drop1S</v>
      </c>
      <c r="AH13" s="121">
        <v>1</v>
      </c>
      <c r="AI13" s="120">
        <f t="shared" ca="1" si="9"/>
        <v>2</v>
      </c>
      <c r="AJ13" s="6">
        <v>60</v>
      </c>
      <c r="AK13" s="121">
        <v>0</v>
      </c>
      <c r="AL13" s="121">
        <v>0</v>
      </c>
      <c r="AM13" s="121">
        <v>0</v>
      </c>
      <c r="AN13" s="121">
        <v>0</v>
      </c>
      <c r="AO13" s="121">
        <v>1</v>
      </c>
      <c r="AP13" s="122">
        <v>1</v>
      </c>
    </row>
    <row r="14" spans="1:42" ht="21" customHeight="1" x14ac:dyDescent="0.15">
      <c r="A14" s="12" t="str">
        <f t="shared" si="5"/>
        <v>20019_2-3/134&lt;lv24&gt;s3</v>
      </c>
      <c r="B14" s="118">
        <v>20019</v>
      </c>
      <c r="C14" s="119">
        <v>2</v>
      </c>
      <c r="D14" s="11" t="str">
        <f t="shared" si="6"/>
        <v>20019_2</v>
      </c>
      <c r="E14" s="3" t="str">
        <f ca="1">VLOOKUP($B14,OFFSET([2]quests!$A$1,0,0,COUNTA([2]quests!$A:$A),MATCH(E$1,[2]quests!$1:$1,0)-MATCH($B$1,[2]quests!$1:$1,0)+1),MATCH(E$1,[2]quests!$1:$1,0)-MATCH($B$1,[2]quests!$1:$1,0)+1,FALSE)</f>
        <v>灼熱の舞姫</v>
      </c>
      <c r="F14" s="3" t="str">
        <f ca="1">VLOOKUP($D14,OFFSET([2]stages!$A$1,0,0,COUNTA([2]stages!$A:$A),MATCH(F$1,[2]stages!$2:$2,0)-MATCH($D$1,[2]stages!$2:$2,0)+1),MATCH(F$1,[2]stages!$2:$2,0)-MATCH($D$1,[2]stages!$2:$2,0)+1,FALSE)</f>
        <v>【中級】灼熱の舞姫</v>
      </c>
      <c r="G14" s="119">
        <v>3</v>
      </c>
      <c r="H14" s="11" t="str">
        <f t="shared" si="7"/>
        <v>20019_2-3</v>
      </c>
      <c r="I14" s="3">
        <f ca="1">VLOOKUP($H14,OFFSET(floors!$A$1,0,0,COUNTA(floors!$A:$A),MATCH(I$1,floors!$1:$1,0)-MATCH($H$1,floors!$1:$1,0)+1),MATCH(I$1,floors!$1:$1,0)-MATCH($H$1,floors!$1:$1,0)+1,FALSE)</f>
        <v>45</v>
      </c>
      <c r="J14" s="13">
        <f ca="1">VLOOKUP($H14,OFFSET(floors!$A$1,0,0,COUNTA(floors!$A:$A),MATCH(J$1,floors!$1:$1,0)-MATCH($H$1,floors!$1:$1,0)+1),MATCH(J$1,floors!$1:$1,0)-MATCH($H$1,floors!$1:$1,0)+1,FALSE)</f>
        <v>45</v>
      </c>
      <c r="K14" s="32" t="s">
        <v>53</v>
      </c>
      <c r="L14" s="63">
        <v>134</v>
      </c>
      <c r="M14" s="14" t="str">
        <f ca="1">VLOOKUP($L14,OFFSET([3]enemies!$A$1,0,0,COUNTA([3]enemies!$A:$A),MATCH(M$1,[3]enemies!$1:$1,0)-MATCH($L$1,[3]enemies!$1:$1,0)+1),MATCH(M$1,[3]enemies!$1:$1,0)-MATCH($L$1,[3]enemies!$1:$1,0)+1,FALSE)</f>
        <v>妖炎の夕霧</v>
      </c>
      <c r="N14" s="14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4" t="str">
        <f ca="1">VLOOKUP($L14,OFFSET([4]characters!$A$1,0,0,COUNTA([4]characters!$A:$A),MATCH(O$1,[4]characters!$1:$1,0)-MATCH($L$1,[4]characters!$1:$1,0)+1),MATCH(O$1,[4]characters!$1:$1,0)-MATCH($L$1,[4]characters!$1:$1,0)+1,FALSE)</f>
        <v>PremiumW</v>
      </c>
      <c r="P14" s="14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4">
        <f ca="1">VLOOKUP($L14,OFFSET([3]enemies!$A$1,0,0,COUNTA([3]enemies!$A:$A),MATCH(Q$1,[3]enemies!$1:$1,0)-MATCH($L$1,[3]enemies!$1:$1,0)+1),MATCH(Q$1,[3]enemies!$1:$1,0)-MATCH($L$1,[3]enemies!$1:$1,0)+1,FALSE)</f>
        <v>20</v>
      </c>
      <c r="R14" s="98">
        <v>24</v>
      </c>
      <c r="S14" s="97">
        <v>1.5</v>
      </c>
      <c r="T14" s="95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39550.5</v>
      </c>
      <c r="U14" s="20">
        <v>0.5</v>
      </c>
      <c r="V14" s="95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1205</v>
      </c>
      <c r="W14" s="4">
        <v>0</v>
      </c>
      <c r="X14" s="3" t="e">
        <f ca="1">VLOOKUP($Y14,OFFSET([5]enemy_skill_sets!$B$1,0,0,COUNTA([5]enemy_skill_sets!$B:$B),MATCH(M$1,[5]enemy_skill_sets!$1:$1,0)-MATCH($Y$1,[5]enemy_skill_sets!$1:$1,0)+2),MATCH(M$1,[5]enemy_skill_sets!$1:$1,0)-MATCH($Y$1,[5]enemy_skill_sets!$1:$1,0)+2,FALSE)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4" s="3">
        <v>20019106</v>
      </c>
      <c r="Z14" s="5">
        <v>1</v>
      </c>
      <c r="AA14" s="5">
        <v>100</v>
      </c>
      <c r="AB14" s="5">
        <v>1</v>
      </c>
      <c r="AC14" s="13">
        <v>3</v>
      </c>
      <c r="AD14" s="120">
        <f t="shared" si="8"/>
        <v>134</v>
      </c>
      <c r="AE14" s="3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妖炎の夕霧</v>
      </c>
      <c r="AF14" s="3">
        <f ca="1">VLOOKUP($AD14,OFFSET([4]characters!$A$1,0,0,COUNTA([4]characters!$A:$A),MATCH(AF$1,[4]characters!$1:$1,0)-MATCH("character_id",[4]characters!$1:$1,0)+1),MATCH(AF$1,[4]characters!$1:$1,0)-MATCH("character_id",[4]characters!$1:$1,0)+1,FALSE)</f>
        <v>3</v>
      </c>
      <c r="AG14" s="3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4" s="121">
        <v>1</v>
      </c>
      <c r="AI14" s="120">
        <f t="shared" ca="1" si="9"/>
        <v>3</v>
      </c>
      <c r="AJ14" s="6">
        <v>0</v>
      </c>
      <c r="AK14" s="121">
        <v>0</v>
      </c>
      <c r="AL14" s="121">
        <v>0</v>
      </c>
      <c r="AM14" s="121">
        <v>0</v>
      </c>
      <c r="AN14" s="121">
        <v>0</v>
      </c>
      <c r="AO14" s="121">
        <v>1</v>
      </c>
      <c r="AP14" s="122">
        <v>1</v>
      </c>
    </row>
    <row r="15" spans="1:42" ht="21" customHeight="1" thickBot="1" x14ac:dyDescent="0.2">
      <c r="A15" s="12" t="str">
        <f t="shared" si="5"/>
        <v>20019_2-4/1020&lt;lv30&gt;s2</v>
      </c>
      <c r="B15" s="123">
        <v>20019</v>
      </c>
      <c r="C15" s="124">
        <v>2</v>
      </c>
      <c r="D15" s="125" t="str">
        <f t="shared" si="6"/>
        <v>20019_2</v>
      </c>
      <c r="E15" s="126" t="str">
        <f ca="1">VLOOKUP($B15,OFFSET([2]quests!$A$1,0,0,COUNTA([2]quests!$A:$A),MATCH(E$1,[2]quests!$1:$1,0)-MATCH($B$1,[2]quests!$1:$1,0)+1),MATCH(E$1,[2]quests!$1:$1,0)-MATCH($B$1,[2]quests!$1:$1,0)+1,FALSE)</f>
        <v>灼熱の舞姫</v>
      </c>
      <c r="F15" s="126" t="str">
        <f ca="1">VLOOKUP($D15,OFFSET([2]stages!$A$1,0,0,COUNTA([2]stages!$A:$A),MATCH(F$1,[2]stages!$2:$2,0)-MATCH($D$1,[2]stages!$2:$2,0)+1),MATCH(F$1,[2]stages!$2:$2,0)-MATCH($D$1,[2]stages!$2:$2,0)+1,FALSE)</f>
        <v>【中級】灼熱の舞姫</v>
      </c>
      <c r="G15" s="124">
        <v>4</v>
      </c>
      <c r="H15" s="125" t="str">
        <f t="shared" si="7"/>
        <v>20019_2-4</v>
      </c>
      <c r="I15" s="126">
        <f ca="1">VLOOKUP($H15,OFFSET(floors!$A$1,0,0,COUNTA(floors!$A:$A),MATCH(I$1,floors!$1:$1,0)-MATCH($H$1,floors!$1:$1,0)+1),MATCH(I$1,floors!$1:$1,0)-MATCH($H$1,floors!$1:$1,0)+1,FALSE)</f>
        <v>60</v>
      </c>
      <c r="J15" s="127">
        <f ca="1">VLOOKUP($H15,OFFSET(floors!$A$1,0,0,COUNTA(floors!$A:$A),MATCH(J$1,floors!$1:$1,0)-MATCH($H$1,floors!$1:$1,0)+1),MATCH(J$1,floors!$1:$1,0)-MATCH($H$1,floors!$1:$1,0)+1,FALSE)</f>
        <v>60</v>
      </c>
      <c r="K15" s="128">
        <v>2</v>
      </c>
      <c r="L15" s="129">
        <v>1020</v>
      </c>
      <c r="M15" s="130" t="str">
        <f ca="1">VLOOKUP($L15,OFFSET([3]enemies!$A$1,0,0,COUNTA([3]enemies!$A:$A),MATCH(M$1,[3]enemies!$1:$1,0)-MATCH($L$1,[3]enemies!$1:$1,0)+1),MATCH(M$1,[3]enemies!$1:$1,0)-MATCH($L$1,[3]enemies!$1:$1,0)+1,FALSE)</f>
        <v>静御前</v>
      </c>
      <c r="N15" s="130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30" t="str">
        <f ca="1">VLOOKUP($L15,OFFSET([4]characters!$A$1,0,0,COUNTA([4]characters!$A:$A),MATCH(O$1,[4]characters!$1:$1,0)-MATCH($L$1,[4]characters!$1:$1,0)+1),MATCH(O$1,[4]characters!$1:$1,0)-MATCH($L$1,[4]characters!$1:$1,0)+1,FALSE)</f>
        <v>Drop2N</v>
      </c>
      <c r="P15" s="130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30">
        <f ca="1">VLOOKUP($L15,OFFSET([3]enemies!$A$1,0,0,COUNTA([3]enemies!$A:$A),MATCH(Q$1,[3]enemies!$1:$1,0)-MATCH($L$1,[3]enemies!$1:$1,0)+1),MATCH(Q$1,[3]enemies!$1:$1,0)-MATCH($L$1,[3]enemies!$1:$1,0)+1,FALSE)</f>
        <v>30</v>
      </c>
      <c r="R15" s="131">
        <v>30</v>
      </c>
      <c r="S15" s="132">
        <v>2.2000000000000002</v>
      </c>
      <c r="T15" s="133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76216.800000000003</v>
      </c>
      <c r="U15" s="134">
        <v>0.9</v>
      </c>
      <c r="V15" s="133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2612.7000000000003</v>
      </c>
      <c r="W15" s="135">
        <v>0</v>
      </c>
      <c r="X15" s="126" t="e">
        <f ca="1">VLOOKUP($Y15,OFFSET([5]enemy_skill_sets!$B$1,0,0,COUNTA([5]enemy_skill_sets!$B:$B),MATCH(M$1,[5]enemy_skill_sets!$1:$1,0)-MATCH($Y$1,[5]enemy_skill_sets!$1:$1,0)+2),MATCH(M$1,[5]enemy_skill_sets!$1:$1,0)-MATCH($Y$1,[5]enemy_skill_sets!$1:$1,0)+2,FALSE)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5" s="126">
        <v>20019107</v>
      </c>
      <c r="Z15" s="136">
        <v>1</v>
      </c>
      <c r="AA15" s="136">
        <v>100</v>
      </c>
      <c r="AB15" s="136">
        <v>1</v>
      </c>
      <c r="AC15" s="127">
        <v>2</v>
      </c>
      <c r="AD15" s="137">
        <f t="shared" si="8"/>
        <v>1020</v>
      </c>
      <c r="AE15" s="126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静御前</v>
      </c>
      <c r="AF15" s="126">
        <f ca="1">VLOOKUP($AD15,OFFSET([4]characters!$A$1,0,0,COUNTA([4]characters!$A:$A),MATCH(AF$1,[4]characters!$1:$1,0)-MATCH("character_id",[4]characters!$1:$1,0)+1),MATCH(AF$1,[4]characters!$1:$1,0)-MATCH("character_id",[4]characters!$1:$1,0)+1,FALSE)</f>
        <v>4</v>
      </c>
      <c r="AG15" s="126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Drop2N</v>
      </c>
      <c r="AH15" s="138">
        <v>1</v>
      </c>
      <c r="AI15" s="137">
        <f t="shared" ca="1" si="9"/>
        <v>4</v>
      </c>
      <c r="AJ15" s="139">
        <v>50</v>
      </c>
      <c r="AK15" s="138">
        <v>0</v>
      </c>
      <c r="AL15" s="138">
        <v>0</v>
      </c>
      <c r="AM15" s="138">
        <v>0</v>
      </c>
      <c r="AN15" s="138">
        <v>0</v>
      </c>
      <c r="AO15" s="138">
        <v>1</v>
      </c>
      <c r="AP15" s="140">
        <v>1</v>
      </c>
    </row>
    <row r="16" spans="1:42" ht="21" customHeight="1" x14ac:dyDescent="0.15">
      <c r="A16" s="12" t="str">
        <f>B16&amp;"_"&amp;C16&amp;"-"&amp;G16&amp;"/"&amp;L16&amp;"&lt;lv"&amp;R16&amp;"&gt;s"&amp;AC16</f>
        <v>20019_3-1/360&lt;lv40&gt;s2</v>
      </c>
      <c r="B16" s="100">
        <v>20019</v>
      </c>
      <c r="C16" s="101">
        <v>3</v>
      </c>
      <c r="D16" s="102" t="str">
        <f>B16&amp;"_"&amp;C16</f>
        <v>20019_3</v>
      </c>
      <c r="E16" s="103" t="str">
        <f ca="1">VLOOKUP($B16,OFFSET([2]quests!$A$1,0,0,COUNTA([2]quests!$A:$A),MATCH(E$1,[2]quests!$1:$1,0)-MATCH($B$1,[2]quests!$1:$1,0)+1),MATCH(E$1,[2]quests!$1:$1,0)-MATCH($B$1,[2]quests!$1:$1,0)+1,FALSE)</f>
        <v>灼熱の舞姫</v>
      </c>
      <c r="F16" s="103" t="str">
        <f ca="1">VLOOKUP($D16,OFFSET([2]stages!$A$1,0,0,COUNTA([2]stages!$A:$A),MATCH(F$1,[2]stages!$2:$2,0)-MATCH($D$1,[2]stages!$2:$2,0)+1),MATCH(F$1,[2]stages!$2:$2,0)-MATCH($D$1,[2]stages!$2:$2,0)+1,FALSE)</f>
        <v>【上級】灼熱の舞姫</v>
      </c>
      <c r="G16" s="101">
        <v>1</v>
      </c>
      <c r="H16" s="102" t="str">
        <f>B16&amp;"_"&amp;C16&amp;"-"&amp;G16</f>
        <v>20019_3-1</v>
      </c>
      <c r="I16" s="103">
        <f ca="1">VLOOKUP($H16,OFFSET(floors!$A$1,0,0,COUNTA(floors!$A:$A),MATCH(I$1,floors!$1:$1,0)-MATCH($H$1,floors!$1:$1,0)+1),MATCH(I$1,floors!$1:$1,0)-MATCH($H$1,floors!$1:$1,0)+1,FALSE)</f>
        <v>60</v>
      </c>
      <c r="J16" s="104">
        <f ca="1">VLOOKUP($H16,OFFSET(floors!$A$1,0,0,COUNTA(floors!$A:$A),MATCH(J$1,floors!$1:$1,0)-MATCH($H$1,floors!$1:$1,0)+1),MATCH(J$1,floors!$1:$1,0)-MATCH($H$1,floors!$1:$1,0)+1,FALSE)</f>
        <v>60</v>
      </c>
      <c r="K16" s="105" t="s">
        <v>53</v>
      </c>
      <c r="L16" s="106">
        <v>360</v>
      </c>
      <c r="M16" s="107" t="str">
        <f ca="1">VLOOKUP($L16,OFFSET([3]enemies!$A$1,0,0,COUNTA([3]enemies!$A:$A),MATCH(M$1,[3]enemies!$1:$1,0)-MATCH($L$1,[3]enemies!$1:$1,0)+1),MATCH(M$1,[3]enemies!$1:$1,0)-MATCH($L$1,[3]enemies!$1:$1,0)+1,FALSE)</f>
        <v>ガンテツ</v>
      </c>
      <c r="N16" s="107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07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0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07">
        <f ca="1">VLOOKUP($L16,OFFSET([3]enemies!$A$1,0,0,COUNTA([3]enemies!$A:$A),MATCH(Q$1,[3]enemies!$1:$1,0)-MATCH($L$1,[3]enemies!$1:$1,0)+1),MATCH(Q$1,[3]enemies!$1:$1,0)-MATCH($L$1,[3]enemies!$1:$1,0)+1,FALSE)</f>
        <v>15</v>
      </c>
      <c r="R16" s="108">
        <v>40</v>
      </c>
      <c r="S16" s="109">
        <v>1.4</v>
      </c>
      <c r="T16" s="110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16849</v>
      </c>
      <c r="U16" s="111">
        <v>0.7</v>
      </c>
      <c r="V16" s="110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1662.5</v>
      </c>
      <c r="W16" s="112">
        <v>0</v>
      </c>
      <c r="X16" s="103" t="str">
        <f ca="1">VLOOKUP($Y16,OFFSET([5]enemy_skill_sets!$B$1,0,0,COUNTA([5]enemy_skill_sets!$B:$B),MATCH(M$1,[5]enemy_skill_sets!$1:$1,0)-MATCH($Y$1,[5]enemy_skill_sets!$1:$1,0)+2),MATCH(M$1,[5]enemy_skill_sets!$1:$1,0)-MATCH($Y$1,[5]enemy_skill_sets!$1:$1,0)+2,FALSE)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16" s="103">
        <v>0</v>
      </c>
      <c r="Z16" s="113">
        <v>2</v>
      </c>
      <c r="AA16" s="113">
        <v>100</v>
      </c>
      <c r="AB16" s="113">
        <v>0</v>
      </c>
      <c r="AC16" s="104">
        <v>2</v>
      </c>
      <c r="AD16" s="114">
        <f>L16</f>
        <v>360</v>
      </c>
      <c r="AE16" s="103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ガンテツ</v>
      </c>
      <c r="AF16" s="103">
        <f ca="1">VLOOKUP($AD16,OFFSET([4]characters!$A$1,0,0,COUNTA([4]characters!$A:$A),MATCH(AF$1,[4]characters!$1:$1,0)-MATCH("character_id",[4]characters!$1:$1,0)+1),MATCH(AF$1,[4]characters!$1:$1,0)-MATCH("character_id",[4]characters!$1:$1,0)+1,FALSE)</f>
        <v>2</v>
      </c>
      <c r="AG16" s="103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Drop1S</v>
      </c>
      <c r="AH16" s="115">
        <v>1</v>
      </c>
      <c r="AI16" s="114">
        <f ca="1">AF16</f>
        <v>2</v>
      </c>
      <c r="AJ16" s="116">
        <v>60</v>
      </c>
      <c r="AK16" s="115">
        <v>0</v>
      </c>
      <c r="AL16" s="115">
        <v>0</v>
      </c>
      <c r="AM16" s="115">
        <v>0</v>
      </c>
      <c r="AN16" s="115">
        <v>0</v>
      </c>
      <c r="AO16" s="115">
        <v>1</v>
      </c>
      <c r="AP16" s="117">
        <v>1</v>
      </c>
    </row>
    <row r="17" spans="1:42" ht="21" customHeight="1" x14ac:dyDescent="0.15">
      <c r="A17" s="12" t="str">
        <f t="shared" ref="A17:A22" si="10">B17&amp;"_"&amp;C17&amp;"-"&amp;G17&amp;"/"&amp;L17&amp;"&lt;lv"&amp;R17&amp;"&gt;s"&amp;AC17</f>
        <v>20019_3-1/370&lt;lv40&gt;s1</v>
      </c>
      <c r="B17" s="118">
        <v>20019</v>
      </c>
      <c r="C17" s="119">
        <v>3</v>
      </c>
      <c r="D17" s="11" t="str">
        <f t="shared" ref="D17:D22" si="11">B17&amp;"_"&amp;C17</f>
        <v>20019_3</v>
      </c>
      <c r="E17" s="3" t="str">
        <f ca="1">VLOOKUP($B17,OFFSET([2]quests!$A$1,0,0,COUNTA([2]quests!$A:$A),MATCH(E$1,[2]quests!$1:$1,0)-MATCH($B$1,[2]quests!$1:$1,0)+1),MATCH(E$1,[2]quests!$1:$1,0)-MATCH($B$1,[2]quests!$1:$1,0)+1,FALSE)</f>
        <v>灼熱の舞姫</v>
      </c>
      <c r="F17" s="3" t="str">
        <f ca="1">VLOOKUP($D17,OFFSET([2]stages!$A$1,0,0,COUNTA([2]stages!$A:$A),MATCH(F$1,[2]stages!$2:$2,0)-MATCH($D$1,[2]stages!$2:$2,0)+1),MATCH(F$1,[2]stages!$2:$2,0)-MATCH($D$1,[2]stages!$2:$2,0)+1,FALSE)</f>
        <v>【上級】灼熱の舞姫</v>
      </c>
      <c r="G17" s="119">
        <v>1</v>
      </c>
      <c r="H17" s="11" t="str">
        <f t="shared" ref="H17:H22" si="12">B17&amp;"_"&amp;C17&amp;"-"&amp;G17</f>
        <v>20019_3-1</v>
      </c>
      <c r="I17" s="3">
        <f ca="1">VLOOKUP($H17,OFFSET(floors!$A$1,0,0,COUNTA(floors!$A:$A),MATCH(I$1,floors!$1:$1,0)-MATCH($H$1,floors!$1:$1,0)+1),MATCH(I$1,floors!$1:$1,0)-MATCH($H$1,floors!$1:$1,0)+1,FALSE)</f>
        <v>60</v>
      </c>
      <c r="J17" s="13">
        <f ca="1">VLOOKUP($H17,OFFSET(floors!$A$1,0,0,COUNTA(floors!$A:$A),MATCH(J$1,floors!$1:$1,0)-MATCH($H$1,floors!$1:$1,0)+1),MATCH(J$1,floors!$1:$1,0)-MATCH($H$1,floors!$1:$1,0)+1,FALSE)</f>
        <v>60</v>
      </c>
      <c r="K17" s="32" t="s">
        <v>53</v>
      </c>
      <c r="L17" s="63">
        <v>370</v>
      </c>
      <c r="M17" s="14" t="str">
        <f ca="1">VLOOKUP($L17,OFFSET([3]enemies!$A$1,0,0,COUNTA([3]enemies!$A:$A),MATCH(M$1,[3]enemies!$1:$1,0)-MATCH($L$1,[3]enemies!$1:$1,0)+1),MATCH(M$1,[3]enemies!$1:$1,0)-MATCH($L$1,[3]enemies!$1:$1,0)+1,FALSE)</f>
        <v>タイチ</v>
      </c>
      <c r="N17" s="14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4" t="str">
        <f ca="1">VLOOKUP($L17,OFFSET([4]characters!$A$1,0,0,COUNTA([4]characters!$A:$A),MATCH(O$1,[4]characters!$1:$1,0)-MATCH($L$1,[4]characters!$1:$1,0)+1),MATCH(O$1,[4]characters!$1:$1,0)-MATCH($L$1,[4]characters!$1:$1,0)+1,FALSE)</f>
        <v>Drop1S</v>
      </c>
      <c r="P17" s="14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14">
        <f ca="1">VLOOKUP($L17,OFFSET([3]enemies!$A$1,0,0,COUNTA([3]enemies!$A:$A),MATCH(Q$1,[3]enemies!$1:$1,0)-MATCH($L$1,[3]enemies!$1:$1,0)+1),MATCH(Q$1,[3]enemies!$1:$1,0)-MATCH($L$1,[3]enemies!$1:$1,0)+1,FALSE)</f>
        <v>15</v>
      </c>
      <c r="R17" s="98">
        <v>40</v>
      </c>
      <c r="S17" s="97">
        <v>2</v>
      </c>
      <c r="T17" s="95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16600</v>
      </c>
      <c r="U17" s="20">
        <v>0.5</v>
      </c>
      <c r="V17" s="95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1689</v>
      </c>
      <c r="W17" s="4">
        <v>0</v>
      </c>
      <c r="X17" s="3" t="str">
        <f ca="1">VLOOKUP($Y17,OFFSET([5]enemy_skill_sets!$B$1,0,0,COUNTA([5]enemy_skill_sets!$B:$B),MATCH(M$1,[5]enemy_skill_sets!$1:$1,0)-MATCH($Y$1,[5]enemy_skill_sets!$1:$1,0)+2),MATCH(M$1,[5]enemy_skill_sets!$1:$1,0)-MATCH($Y$1,[5]enemy_skill_sets!$1:$1,0)+2,FALSE)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17" s="3">
        <v>0</v>
      </c>
      <c r="Z17" s="5">
        <v>2</v>
      </c>
      <c r="AA17" s="5">
        <v>100</v>
      </c>
      <c r="AB17" s="5">
        <v>0</v>
      </c>
      <c r="AC17" s="13">
        <v>1</v>
      </c>
      <c r="AD17" s="120">
        <f t="shared" ref="AD17:AD22" si="13">L17</f>
        <v>370</v>
      </c>
      <c r="AE17" s="3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17" s="3">
        <f ca="1">VLOOKUP($AD17,OFFSET([4]characters!$A$1,0,0,COUNTA([4]characters!$A:$A),MATCH(AF$1,[4]characters!$1:$1,0)-MATCH("character_id",[4]characters!$1:$1,0)+1),MATCH(AF$1,[4]characters!$1:$1,0)-MATCH("character_id",[4]characters!$1:$1,0)+1,FALSE)</f>
        <v>2</v>
      </c>
      <c r="AG17" s="3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Drop1S</v>
      </c>
      <c r="AH17" s="121">
        <v>1</v>
      </c>
      <c r="AI17" s="120">
        <f t="shared" ref="AI17:AI22" ca="1" si="14">AF17</f>
        <v>2</v>
      </c>
      <c r="AJ17" s="6">
        <v>60</v>
      </c>
      <c r="AK17" s="121">
        <v>0</v>
      </c>
      <c r="AL17" s="121">
        <v>0</v>
      </c>
      <c r="AM17" s="121">
        <v>0</v>
      </c>
      <c r="AN17" s="121">
        <v>0</v>
      </c>
      <c r="AO17" s="121">
        <v>1</v>
      </c>
      <c r="AP17" s="122">
        <v>1</v>
      </c>
    </row>
    <row r="18" spans="1:42" ht="21" customHeight="1" x14ac:dyDescent="0.15">
      <c r="A18" s="12" t="str">
        <f t="shared" si="10"/>
        <v>20019_3-2/85&lt;lv40&gt;s2</v>
      </c>
      <c r="B18" s="118">
        <v>20019</v>
      </c>
      <c r="C18" s="119">
        <v>3</v>
      </c>
      <c r="D18" s="11" t="str">
        <f t="shared" si="11"/>
        <v>20019_3</v>
      </c>
      <c r="E18" s="3" t="str">
        <f ca="1">VLOOKUP($B18,OFFSET([2]quests!$A$1,0,0,COUNTA([2]quests!$A:$A),MATCH(E$1,[2]quests!$1:$1,0)-MATCH($B$1,[2]quests!$1:$1,0)+1),MATCH(E$1,[2]quests!$1:$1,0)-MATCH($B$1,[2]quests!$1:$1,0)+1,FALSE)</f>
        <v>灼熱の舞姫</v>
      </c>
      <c r="F18" s="3" t="str">
        <f ca="1">VLOOKUP($D18,OFFSET([2]stages!$A$1,0,0,COUNTA([2]stages!$A:$A),MATCH(F$1,[2]stages!$2:$2,0)-MATCH($D$1,[2]stages!$2:$2,0)+1),MATCH(F$1,[2]stages!$2:$2,0)-MATCH($D$1,[2]stages!$2:$2,0)+1,FALSE)</f>
        <v>【上級】灼熱の舞姫</v>
      </c>
      <c r="G18" s="119">
        <v>2</v>
      </c>
      <c r="H18" s="11" t="str">
        <f t="shared" si="12"/>
        <v>20019_3-2</v>
      </c>
      <c r="I18" s="3">
        <f ca="1">VLOOKUP($H18,OFFSET(floors!$A$1,0,0,COUNTA(floors!$A:$A),MATCH(I$1,floors!$1:$1,0)-MATCH($H$1,floors!$1:$1,0)+1),MATCH(I$1,floors!$1:$1,0)-MATCH($H$1,floors!$1:$1,0)+1,FALSE)</f>
        <v>45</v>
      </c>
      <c r="J18" s="13">
        <f ca="1">VLOOKUP($H18,OFFSET(floors!$A$1,0,0,COUNTA(floors!$A:$A),MATCH(J$1,floors!$1:$1,0)-MATCH($H$1,floors!$1:$1,0)+1),MATCH(J$1,floors!$1:$1,0)-MATCH($H$1,floors!$1:$1,0)+1,FALSE)</f>
        <v>45</v>
      </c>
      <c r="K18" s="32" t="s">
        <v>53</v>
      </c>
      <c r="L18" s="63">
        <v>85</v>
      </c>
      <c r="M18" s="14" t="str">
        <f ca="1">VLOOKUP($L18,OFFSET([3]enemies!$A$1,0,0,COUNTA([3]enemies!$A:$A),MATCH(M$1,[3]enemies!$1:$1,0)-MATCH($L$1,[3]enemies!$1:$1,0)+1),MATCH(M$1,[3]enemies!$1:$1,0)-MATCH($L$1,[3]enemies!$1:$1,0)+1,FALSE)</f>
        <v>朱雀</v>
      </c>
      <c r="N18" s="14" t="str">
        <f ca="1">VLOOKUP($L18,OFFSET([3]enemies!$A$1,0,0,COUNTA([3]enemies!$A:$A),MATCH(N$1,[3]enemies!$1:$1,0)-MATCH($L$1,[3]enemies!$1:$1,0)+1),MATCH(N$1,[3]enemies!$1:$1,0)-MATCH($L$1,[3]enemies!$1:$1,0)+1,FALSE)</f>
        <v>red</v>
      </c>
      <c r="O18" s="14" t="str">
        <f ca="1">VLOOKUP($L18,OFFSET([4]characters!$A$1,0,0,COUNTA([4]characters!$A:$A),MATCH(O$1,[4]characters!$1:$1,0)-MATCH($L$1,[4]characters!$1:$1,0)+1),MATCH(O$1,[4]characters!$1:$1,0)-MATCH($L$1,[4]characters!$1:$1,0)+1,FALSE)</f>
        <v>Drop2N</v>
      </c>
      <c r="P18" s="14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4">
        <f ca="1">VLOOKUP($L18,OFFSET([3]enemies!$A$1,0,0,COUNTA([3]enemies!$A:$A),MATCH(Q$1,[3]enemies!$1:$1,0)-MATCH($L$1,[3]enemies!$1:$1,0)+1),MATCH(Q$1,[3]enemies!$1:$1,0)-MATCH($L$1,[3]enemies!$1:$1,0)+1,FALSE)</f>
        <v>20</v>
      </c>
      <c r="R18" s="98">
        <v>40</v>
      </c>
      <c r="S18" s="97">
        <v>0.6</v>
      </c>
      <c r="T18" s="95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35607</v>
      </c>
      <c r="U18" s="20">
        <v>0.3</v>
      </c>
      <c r="V18" s="95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1046.0999999999999</v>
      </c>
      <c r="W18" s="4">
        <v>0</v>
      </c>
      <c r="X18" s="3" t="e">
        <f ca="1">VLOOKUP($Y18,OFFSET([5]enemy_skill_sets!$B$1,0,0,COUNTA([5]enemy_skill_sets!$B:$B),MATCH(M$1,[5]enemy_skill_sets!$1:$1,0)-MATCH($Y$1,[5]enemy_skill_sets!$1:$1,0)+2),MATCH(M$1,[5]enemy_skill_sets!$1:$1,0)-MATCH($Y$1,[5]enemy_skill_sets!$1:$1,0)+2,FALSE)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8" s="3">
        <v>20019103</v>
      </c>
      <c r="Z18" s="5">
        <v>2</v>
      </c>
      <c r="AA18" s="5">
        <v>100</v>
      </c>
      <c r="AB18" s="5">
        <v>0</v>
      </c>
      <c r="AC18" s="13">
        <v>2</v>
      </c>
      <c r="AD18" s="120">
        <f t="shared" si="13"/>
        <v>85</v>
      </c>
      <c r="AE18" s="3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朱雀</v>
      </c>
      <c r="AF18" s="3">
        <f ca="1">VLOOKUP($AD18,OFFSET([4]characters!$A$1,0,0,COUNTA([4]characters!$A:$A),MATCH(AF$1,[4]characters!$1:$1,0)-MATCH("character_id",[4]characters!$1:$1,0)+1),MATCH(AF$1,[4]characters!$1:$1,0)-MATCH("character_id",[4]characters!$1:$1,0)+1,FALSE)</f>
        <v>3</v>
      </c>
      <c r="AG18" s="3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Drop2N</v>
      </c>
      <c r="AH18" s="121">
        <v>1</v>
      </c>
      <c r="AI18" s="120">
        <f t="shared" ca="1" si="14"/>
        <v>3</v>
      </c>
      <c r="AJ18" s="6">
        <v>0</v>
      </c>
      <c r="AK18" s="121">
        <v>0</v>
      </c>
      <c r="AL18" s="121">
        <v>0</v>
      </c>
      <c r="AM18" s="121">
        <v>0</v>
      </c>
      <c r="AN18" s="121">
        <v>0</v>
      </c>
      <c r="AO18" s="121">
        <v>1</v>
      </c>
      <c r="AP18" s="122">
        <v>1</v>
      </c>
    </row>
    <row r="19" spans="1:42" ht="21" customHeight="1" x14ac:dyDescent="0.15">
      <c r="A19" s="12" t="str">
        <f t="shared" si="10"/>
        <v>20019_3-2/190&lt;lv40&gt;s3</v>
      </c>
      <c r="B19" s="118">
        <v>20019</v>
      </c>
      <c r="C19" s="119">
        <v>3</v>
      </c>
      <c r="D19" s="11" t="str">
        <f t="shared" si="11"/>
        <v>20019_3</v>
      </c>
      <c r="E19" s="3" t="str">
        <f ca="1">VLOOKUP($B19,OFFSET([2]quests!$A$1,0,0,COUNTA([2]quests!$A:$A),MATCH(E$1,[2]quests!$1:$1,0)-MATCH($B$1,[2]quests!$1:$1,0)+1),MATCH(E$1,[2]quests!$1:$1,0)-MATCH($B$1,[2]quests!$1:$1,0)+1,FALSE)</f>
        <v>灼熱の舞姫</v>
      </c>
      <c r="F19" s="3" t="str">
        <f ca="1">VLOOKUP($D19,OFFSET([2]stages!$A$1,0,0,COUNTA([2]stages!$A:$A),MATCH(F$1,[2]stages!$2:$2,0)-MATCH($D$1,[2]stages!$2:$2,0)+1),MATCH(F$1,[2]stages!$2:$2,0)-MATCH($D$1,[2]stages!$2:$2,0)+1,FALSE)</f>
        <v>【上級】灼熱の舞姫</v>
      </c>
      <c r="G19" s="119">
        <v>2</v>
      </c>
      <c r="H19" s="11" t="str">
        <f t="shared" si="12"/>
        <v>20019_3-2</v>
      </c>
      <c r="I19" s="3">
        <f ca="1">VLOOKUP($H19,OFFSET(floors!$A$1,0,0,COUNTA(floors!$A:$A),MATCH(I$1,floors!$1:$1,0)-MATCH($H$1,floors!$1:$1,0)+1),MATCH(I$1,floors!$1:$1,0)-MATCH($H$1,floors!$1:$1,0)+1,FALSE)</f>
        <v>45</v>
      </c>
      <c r="J19" s="13">
        <f ca="1">VLOOKUP($H19,OFFSET(floors!$A$1,0,0,COUNTA(floors!$A:$A),MATCH(J$1,floors!$1:$1,0)-MATCH($H$1,floors!$1:$1,0)+1),MATCH(J$1,floors!$1:$1,0)-MATCH($H$1,floors!$1:$1,0)+1,FALSE)</f>
        <v>45</v>
      </c>
      <c r="K19" s="32" t="s">
        <v>53</v>
      </c>
      <c r="L19" s="63">
        <v>190</v>
      </c>
      <c r="M19" s="14" t="str">
        <f ca="1">VLOOKUP($L19,OFFSET([3]enemies!$A$1,0,0,COUNTA([3]enemies!$A:$A),MATCH(M$1,[3]enemies!$1:$1,0)-MATCH($L$1,[3]enemies!$1:$1,0)+1),MATCH(M$1,[3]enemies!$1:$1,0)-MATCH($L$1,[3]enemies!$1:$1,0)+1,FALSE)</f>
        <v>卑弥呼</v>
      </c>
      <c r="N19" s="14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14" t="str">
        <f ca="1">VLOOKUP($L19,OFFSET([4]characters!$A$1,0,0,COUNTA([4]characters!$A:$A),MATCH(O$1,[4]characters!$1:$1,0)-MATCH($L$1,[4]characters!$1:$1,0)+1),MATCH(O$1,[4]characters!$1:$1,0)-MATCH($L$1,[4]characters!$1:$1,0)+1,FALSE)</f>
        <v>PremiumN</v>
      </c>
      <c r="P19" s="14" t="str">
        <f ca="1">VLOOKUP($L19,OFFSET([3]enemies!$A$1,0,0,COUNTA([3]enemies!$A:$A),MATCH(P$1,[3]enemies!$1:$1,0)-MATCH($L$1,[3]enemies!$1:$1,0)+1),MATCH(P$1,[3]enemies!$1:$1,0)-MATCH($L$1,[3]enemies!$1:$1,0)+1,FALSE)</f>
        <v>human</v>
      </c>
      <c r="Q19" s="14">
        <f ca="1">VLOOKUP($L19,OFFSET([3]enemies!$A$1,0,0,COUNTA([3]enemies!$A:$A),MATCH(Q$1,[3]enemies!$1:$1,0)-MATCH($L$1,[3]enemies!$1:$1,0)+1),MATCH(Q$1,[3]enemies!$1:$1,0)-MATCH($L$1,[3]enemies!$1:$1,0)+1,FALSE)</f>
        <v>20</v>
      </c>
      <c r="R19" s="98">
        <v>40</v>
      </c>
      <c r="S19" s="97">
        <v>1.5</v>
      </c>
      <c r="T19" s="95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64366.5</v>
      </c>
      <c r="U19" s="20">
        <v>0.5</v>
      </c>
      <c r="V19" s="95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1961</v>
      </c>
      <c r="W19" s="4">
        <v>0</v>
      </c>
      <c r="X19" s="3" t="e">
        <f ca="1">VLOOKUP($Y19,OFFSET([5]enemy_skill_sets!$B$1,0,0,COUNTA([5]enemy_skill_sets!$B:$B),MATCH(M$1,[5]enemy_skill_sets!$1:$1,0)-MATCH($Y$1,[5]enemy_skill_sets!$1:$1,0)+2),MATCH(M$1,[5]enemy_skill_sets!$1:$1,0)-MATCH($Y$1,[5]enemy_skill_sets!$1:$1,0)+2,FALSE)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9" s="3">
        <v>20019104</v>
      </c>
      <c r="Z19" s="5">
        <v>1</v>
      </c>
      <c r="AA19" s="5">
        <v>100</v>
      </c>
      <c r="AB19" s="5">
        <v>1</v>
      </c>
      <c r="AC19" s="13">
        <v>3</v>
      </c>
      <c r="AD19" s="120">
        <f t="shared" si="13"/>
        <v>190</v>
      </c>
      <c r="AE19" s="3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卑弥呼</v>
      </c>
      <c r="AF19" s="3">
        <f ca="1">VLOOKUP($AD19,OFFSET([4]characters!$A$1,0,0,COUNTA([4]characters!$A:$A),MATCH(AF$1,[4]characters!$1:$1,0)-MATCH("character_id",[4]characters!$1:$1,0)+1),MATCH(AF$1,[4]characters!$1:$1,0)-MATCH("character_id",[4]characters!$1:$1,0)+1,FALSE)</f>
        <v>3</v>
      </c>
      <c r="AG19" s="3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9" s="121">
        <v>1</v>
      </c>
      <c r="AI19" s="120">
        <f t="shared" ca="1" si="14"/>
        <v>3</v>
      </c>
      <c r="AJ19" s="6">
        <v>0</v>
      </c>
      <c r="AK19" s="121">
        <v>0</v>
      </c>
      <c r="AL19" s="121">
        <v>0</v>
      </c>
      <c r="AM19" s="121">
        <v>0</v>
      </c>
      <c r="AN19" s="121">
        <v>0</v>
      </c>
      <c r="AO19" s="121">
        <v>1</v>
      </c>
      <c r="AP19" s="122">
        <v>1</v>
      </c>
    </row>
    <row r="20" spans="1:42" ht="21" customHeight="1" x14ac:dyDescent="0.15">
      <c r="A20" s="12" t="str">
        <f t="shared" si="10"/>
        <v>20019_3-3/65&lt;lv40&gt;s2</v>
      </c>
      <c r="B20" s="118">
        <v>20019</v>
      </c>
      <c r="C20" s="119">
        <v>3</v>
      </c>
      <c r="D20" s="11" t="str">
        <f t="shared" si="11"/>
        <v>20019_3</v>
      </c>
      <c r="E20" s="3" t="str">
        <f ca="1">VLOOKUP($B20,OFFSET([2]quests!$A$1,0,0,COUNTA([2]quests!$A:$A),MATCH(E$1,[2]quests!$1:$1,0)-MATCH($B$1,[2]quests!$1:$1,0)+1),MATCH(E$1,[2]quests!$1:$1,0)-MATCH($B$1,[2]quests!$1:$1,0)+1,FALSE)</f>
        <v>灼熱の舞姫</v>
      </c>
      <c r="F20" s="3" t="str">
        <f ca="1">VLOOKUP($D20,OFFSET([2]stages!$A$1,0,0,COUNTA([2]stages!$A:$A),MATCH(F$1,[2]stages!$2:$2,0)-MATCH($D$1,[2]stages!$2:$2,0)+1),MATCH(F$1,[2]stages!$2:$2,0)-MATCH($D$1,[2]stages!$2:$2,0)+1,FALSE)</f>
        <v>【上級】灼熱の舞姫</v>
      </c>
      <c r="G20" s="119">
        <v>3</v>
      </c>
      <c r="H20" s="11" t="str">
        <f t="shared" si="12"/>
        <v>20019_3-3</v>
      </c>
      <c r="I20" s="3">
        <f ca="1">VLOOKUP($H20,OFFSET(floors!$A$1,0,0,COUNTA(floors!$A:$A),MATCH(I$1,floors!$1:$1,0)-MATCH($H$1,floors!$1:$1,0)+1),MATCH(I$1,floors!$1:$1,0)-MATCH($H$1,floors!$1:$1,0)+1,FALSE)</f>
        <v>45</v>
      </c>
      <c r="J20" s="13">
        <f ca="1">VLOOKUP($H20,OFFSET(floors!$A$1,0,0,COUNTA(floors!$A:$A),MATCH(J$1,floors!$1:$1,0)-MATCH($H$1,floors!$1:$1,0)+1),MATCH(J$1,floors!$1:$1,0)-MATCH($H$1,floors!$1:$1,0)+1,FALSE)</f>
        <v>45</v>
      </c>
      <c r="K20" s="32" t="s">
        <v>53</v>
      </c>
      <c r="L20" s="63">
        <v>65</v>
      </c>
      <c r="M20" s="14" t="str">
        <f ca="1">VLOOKUP($L20,OFFSET([3]enemies!$A$1,0,0,COUNTA([3]enemies!$A:$A),MATCH(M$1,[3]enemies!$1:$1,0)-MATCH($L$1,[3]enemies!$1:$1,0)+1),MATCH(M$1,[3]enemies!$1:$1,0)-MATCH($L$1,[3]enemies!$1:$1,0)+1,FALSE)</f>
        <v>ファイアフォックス</v>
      </c>
      <c r="N20" s="14" t="str">
        <f ca="1">VLOOKUP($L20,OFFSET([3]enemies!$A$1,0,0,COUNTA([3]enemies!$A:$A),MATCH(N$1,[3]enemies!$1:$1,0)-MATCH($L$1,[3]enemies!$1:$1,0)+1),MATCH(N$1,[3]enemies!$1:$1,0)-MATCH($L$1,[3]enemies!$1:$1,0)+1,FALSE)</f>
        <v>red</v>
      </c>
      <c r="O20" s="14" t="str">
        <f ca="1">VLOOKUP($L20,OFFSET([4]characters!$A$1,0,0,COUNTA([4]characters!$A:$A),MATCH(O$1,[4]characters!$1:$1,0)-MATCH($L$1,[4]characters!$1:$1,0)+1),MATCH(O$1,[4]characters!$1:$1,0)-MATCH($L$1,[4]characters!$1:$1,0)+1,FALSE)</f>
        <v>Drop1S</v>
      </c>
      <c r="P20" s="14" t="str">
        <f ca="1">VLOOKUP($L20,OFFSET([3]enemies!$A$1,0,0,COUNTA([3]enemies!$A:$A),MATCH(P$1,[3]enemies!$1:$1,0)-MATCH($L$1,[3]enemies!$1:$1,0)+1),MATCH(P$1,[3]enemies!$1:$1,0)-MATCH($L$1,[3]enemies!$1:$1,0)+1,FALSE)</f>
        <v>animal</v>
      </c>
      <c r="Q20" s="14">
        <f ca="1">VLOOKUP($L20,OFFSET([3]enemies!$A$1,0,0,COUNTA([3]enemies!$A:$A),MATCH(Q$1,[3]enemies!$1:$1,0)-MATCH($L$1,[3]enemies!$1:$1,0)+1),MATCH(Q$1,[3]enemies!$1:$1,0)-MATCH($L$1,[3]enemies!$1:$1,0)+1,FALSE)</f>
        <v>15</v>
      </c>
      <c r="R20" s="98">
        <v>40</v>
      </c>
      <c r="S20" s="97">
        <v>1.4</v>
      </c>
      <c r="T20" s="95">
        <f ca="1">ROUND(VLOOKUP(R20,[3]enemy_base_stats!$A:$F,2,FALSE) *INDIRECT("[EnemyMasterData.xlsm]enemies!Y"&amp;(L20+1))*  INDIRECT("[EnemyMasterData.xlsm]enemies!J"&amp;(L20+1))* INDIRECT("[EnemyMasterData.xlsm]enemies!O"&amp;(L20+1))* INDIRECT("[EnemyMasterData.xlsm]enemies!E"&amp;(L20+1))* INDIRECT("[EnemyMasterData.xlsm]enemies!S"&amp;(L20+1))* INDIRECT("[EnemyMasterData.xlsm]enemies!AD"&amp;(L20+1))*[4]ステータス!$B$2,0)*S20</f>
        <v>11620</v>
      </c>
      <c r="U20" s="20">
        <v>0.2</v>
      </c>
      <c r="V20" s="95">
        <f ca="1">ROUND(VLOOKUP(R20,[3]enemy_base_stats!$A:$F,3,FALSE) *INDIRECT("[EnemyMasterData.xlsm]enemies!Z"&amp;(L20+1))*  INDIRECT("[EnemyMasterData.xlsm]enemies!K"&amp;(L20+1))* INDIRECT("[EnemyMasterData.xlsm]enemies!P"&amp;(L20+1))* INDIRECT("[EnemyMasterData.xlsm]enemies!F"&amp;(L20+1))* INDIRECT("[EnemyMasterData.xlsm]enemies!T"&amp;(L20+1))* INDIRECT("[EnemyMasterData.xlsm]enemies!AE"&amp;(L20+1))*[4]ステータス!$C$2,0)*U20</f>
        <v>743.2</v>
      </c>
      <c r="W20" s="4">
        <v>0</v>
      </c>
      <c r="X20" s="3" t="e">
        <f ca="1">VLOOKUP($Y20,OFFSET([5]enemy_skill_sets!$B$1,0,0,COUNTA([5]enemy_skill_sets!$B:$B),MATCH(M$1,[5]enemy_skill_sets!$1:$1,0)-MATCH($Y$1,[5]enemy_skill_sets!$1:$1,0)+2),MATCH(M$1,[5]enemy_skill_sets!$1:$1,0)-MATCH($Y$1,[5]enemy_skill_sets!$1:$1,0)+2,FALSE)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0" s="3">
        <v>20019105</v>
      </c>
      <c r="Z20" s="5">
        <v>2</v>
      </c>
      <c r="AA20" s="5">
        <v>100</v>
      </c>
      <c r="AB20" s="5">
        <v>0</v>
      </c>
      <c r="AC20" s="13">
        <v>2</v>
      </c>
      <c r="AD20" s="120">
        <f t="shared" si="13"/>
        <v>65</v>
      </c>
      <c r="AE20" s="3" t="str">
        <f ca="1">VLOOKUP($AD20,OFFSET([4]characters!$A$1,0,0,COUNTA([4]characters!$A:$A),MATCH(AE$1,[4]characters!$1:$1,0)-MATCH("character_id",[4]characters!$1:$1,0)+1),MATCH(AE$1,[4]characters!$1:$1,0)-MATCH("character_id",[4]characters!$1:$1,0)+1,FALSE)</f>
        <v>ファイアフォックス</v>
      </c>
      <c r="AF20" s="3">
        <f ca="1">VLOOKUP($AD20,OFFSET([4]characters!$A$1,0,0,COUNTA([4]characters!$A:$A),MATCH(AF$1,[4]characters!$1:$1,0)-MATCH("character_id",[4]characters!$1:$1,0)+1),MATCH(AF$1,[4]characters!$1:$1,0)-MATCH("character_id",[4]characters!$1:$1,0)+1,FALSE)</f>
        <v>2</v>
      </c>
      <c r="AG20" s="3" t="str">
        <f ca="1">VLOOKUP($AD20,OFFSET([4]characters!$A$1,0,0,COUNTA([4]characters!$A:$A),MATCH(AG$1,[4]characters!$1:$1,0)-MATCH("character_id",[4]characters!$1:$1,0)+1),MATCH(AG$1,[4]characters!$1:$1,0)-MATCH("character_id",[4]characters!$1:$1,0)+1,FALSE)</f>
        <v>Drop1S</v>
      </c>
      <c r="AH20" s="121">
        <v>1</v>
      </c>
      <c r="AI20" s="120">
        <f t="shared" ca="1" si="14"/>
        <v>2</v>
      </c>
      <c r="AJ20" s="6">
        <v>60</v>
      </c>
      <c r="AK20" s="121">
        <v>0</v>
      </c>
      <c r="AL20" s="121">
        <v>0</v>
      </c>
      <c r="AM20" s="121">
        <v>0</v>
      </c>
      <c r="AN20" s="121">
        <v>0</v>
      </c>
      <c r="AO20" s="121">
        <v>1</v>
      </c>
      <c r="AP20" s="122">
        <v>1</v>
      </c>
    </row>
    <row r="21" spans="1:42" ht="21" customHeight="1" x14ac:dyDescent="0.15">
      <c r="A21" s="12" t="str">
        <f t="shared" si="10"/>
        <v>20019_3-3/134&lt;lv40&gt;s3</v>
      </c>
      <c r="B21" s="118">
        <v>20019</v>
      </c>
      <c r="C21" s="119">
        <v>3</v>
      </c>
      <c r="D21" s="11" t="str">
        <f t="shared" si="11"/>
        <v>20019_3</v>
      </c>
      <c r="E21" s="3" t="str">
        <f ca="1">VLOOKUP($B21,OFFSET([2]quests!$A$1,0,0,COUNTA([2]quests!$A:$A),MATCH(E$1,[2]quests!$1:$1,0)-MATCH($B$1,[2]quests!$1:$1,0)+1),MATCH(E$1,[2]quests!$1:$1,0)-MATCH($B$1,[2]quests!$1:$1,0)+1,FALSE)</f>
        <v>灼熱の舞姫</v>
      </c>
      <c r="F21" s="3" t="str">
        <f ca="1">VLOOKUP($D21,OFFSET([2]stages!$A$1,0,0,COUNTA([2]stages!$A:$A),MATCH(F$1,[2]stages!$2:$2,0)-MATCH($D$1,[2]stages!$2:$2,0)+1),MATCH(F$1,[2]stages!$2:$2,0)-MATCH($D$1,[2]stages!$2:$2,0)+1,FALSE)</f>
        <v>【上級】灼熱の舞姫</v>
      </c>
      <c r="G21" s="119">
        <v>3</v>
      </c>
      <c r="H21" s="11" t="str">
        <f t="shared" si="12"/>
        <v>20019_3-3</v>
      </c>
      <c r="I21" s="3">
        <f ca="1">VLOOKUP($H21,OFFSET(floors!$A$1,0,0,COUNTA(floors!$A:$A),MATCH(I$1,floors!$1:$1,0)-MATCH($H$1,floors!$1:$1,0)+1),MATCH(I$1,floors!$1:$1,0)-MATCH($H$1,floors!$1:$1,0)+1,FALSE)</f>
        <v>45</v>
      </c>
      <c r="J21" s="13">
        <f ca="1">VLOOKUP($H21,OFFSET(floors!$A$1,0,0,COUNTA(floors!$A:$A),MATCH(J$1,floors!$1:$1,0)-MATCH($H$1,floors!$1:$1,0)+1),MATCH(J$1,floors!$1:$1,0)-MATCH($H$1,floors!$1:$1,0)+1,FALSE)</f>
        <v>45</v>
      </c>
      <c r="K21" s="32" t="s">
        <v>53</v>
      </c>
      <c r="L21" s="63">
        <v>134</v>
      </c>
      <c r="M21" s="14" t="str">
        <f ca="1">VLOOKUP($L21,OFFSET([3]enemies!$A$1,0,0,COUNTA([3]enemies!$A:$A),MATCH(M$1,[3]enemies!$1:$1,0)-MATCH($L$1,[3]enemies!$1:$1,0)+1),MATCH(M$1,[3]enemies!$1:$1,0)-MATCH($L$1,[3]enemies!$1:$1,0)+1,FALSE)</f>
        <v>妖炎の夕霧</v>
      </c>
      <c r="N21" s="14" t="str">
        <f ca="1">VLOOKUP($L21,OFFSET([3]enemies!$A$1,0,0,COUNTA([3]enemies!$A:$A),MATCH(N$1,[3]enemies!$1:$1,0)-MATCH($L$1,[3]enemies!$1:$1,0)+1),MATCH(N$1,[3]enemies!$1:$1,0)-MATCH($L$1,[3]enemies!$1:$1,0)+1,FALSE)</f>
        <v>red</v>
      </c>
      <c r="O21" s="14" t="str">
        <f ca="1">VLOOKUP($L21,OFFSET([4]characters!$A$1,0,0,COUNTA([4]characters!$A:$A),MATCH(O$1,[4]characters!$1:$1,0)-MATCH($L$1,[4]characters!$1:$1,0)+1),MATCH(O$1,[4]characters!$1:$1,0)-MATCH($L$1,[4]characters!$1:$1,0)+1,FALSE)</f>
        <v>PremiumW</v>
      </c>
      <c r="P21" s="14" t="str">
        <f ca="1">VLOOKUP($L21,OFFSET([3]enemies!$A$1,0,0,COUNTA([3]enemies!$A:$A),MATCH(P$1,[3]enemies!$1:$1,0)-MATCH($L$1,[3]enemies!$1:$1,0)+1),MATCH(P$1,[3]enemies!$1:$1,0)-MATCH($L$1,[3]enemies!$1:$1,0)+1,FALSE)</f>
        <v>human</v>
      </c>
      <c r="Q21" s="14">
        <f ca="1">VLOOKUP($L21,OFFSET([3]enemies!$A$1,0,0,COUNTA([3]enemies!$A:$A),MATCH(Q$1,[3]enemies!$1:$1,0)-MATCH($L$1,[3]enemies!$1:$1,0)+1),MATCH(Q$1,[3]enemies!$1:$1,0)-MATCH($L$1,[3]enemies!$1:$1,0)+1,FALSE)</f>
        <v>20</v>
      </c>
      <c r="R21" s="98">
        <v>40</v>
      </c>
      <c r="S21" s="97">
        <v>1.5</v>
      </c>
      <c r="T21" s="95">
        <f ca="1">ROUND(VLOOKUP(R21,[3]enemy_base_stats!$A:$F,2,FALSE) *INDIRECT("[EnemyMasterData.xlsm]enemies!Y"&amp;(L21+1))*  INDIRECT("[EnemyMasterData.xlsm]enemies!J"&amp;(L21+1))* INDIRECT("[EnemyMasterData.xlsm]enemies!O"&amp;(L21+1))* INDIRECT("[EnemyMasterData.xlsm]enemies!E"&amp;(L21+1))* INDIRECT("[EnemyMasterData.xlsm]enemies!S"&amp;(L21+1))* INDIRECT("[EnemyMasterData.xlsm]enemies!AD"&amp;(L21+1))*[4]ステータス!$B$2,0)*S21</f>
        <v>64366.5</v>
      </c>
      <c r="U21" s="20">
        <v>0.5</v>
      </c>
      <c r="V21" s="95">
        <f ca="1">ROUND(VLOOKUP(R21,[3]enemy_base_stats!$A:$F,3,FALSE) *INDIRECT("[EnemyMasterData.xlsm]enemies!Z"&amp;(L21+1))*  INDIRECT("[EnemyMasterData.xlsm]enemies!K"&amp;(L21+1))* INDIRECT("[EnemyMasterData.xlsm]enemies!P"&amp;(L21+1))* INDIRECT("[EnemyMasterData.xlsm]enemies!F"&amp;(L21+1))* INDIRECT("[EnemyMasterData.xlsm]enemies!T"&amp;(L21+1))* INDIRECT("[EnemyMasterData.xlsm]enemies!AE"&amp;(L21+1))*[4]ステータス!$C$2,0)*U21</f>
        <v>1961</v>
      </c>
      <c r="W21" s="4">
        <v>0</v>
      </c>
      <c r="X21" s="3" t="e">
        <f ca="1">VLOOKUP($Y21,OFFSET([5]enemy_skill_sets!$B$1,0,0,COUNTA([5]enemy_skill_sets!$B:$B),MATCH(M$1,[5]enemy_skill_sets!$1:$1,0)-MATCH($Y$1,[5]enemy_skill_sets!$1:$1,0)+2),MATCH(M$1,[5]enemy_skill_sets!$1:$1,0)-MATCH($Y$1,[5]enemy_skill_sets!$1:$1,0)+2,FALSE)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1" s="3">
        <v>20019106</v>
      </c>
      <c r="Z21" s="5">
        <v>1</v>
      </c>
      <c r="AA21" s="5">
        <v>100</v>
      </c>
      <c r="AB21" s="5">
        <v>1</v>
      </c>
      <c r="AC21" s="13">
        <v>3</v>
      </c>
      <c r="AD21" s="120">
        <f t="shared" si="13"/>
        <v>134</v>
      </c>
      <c r="AE21" s="3" t="str">
        <f ca="1">VLOOKUP($AD21,OFFSET([4]characters!$A$1,0,0,COUNTA([4]characters!$A:$A),MATCH(AE$1,[4]characters!$1:$1,0)-MATCH("character_id",[4]characters!$1:$1,0)+1),MATCH(AE$1,[4]characters!$1:$1,0)-MATCH("character_id",[4]characters!$1:$1,0)+1,FALSE)</f>
        <v>妖炎の夕霧</v>
      </c>
      <c r="AF21" s="3">
        <f ca="1">VLOOKUP($AD21,OFFSET([4]characters!$A$1,0,0,COUNTA([4]characters!$A:$A),MATCH(AF$1,[4]characters!$1:$1,0)-MATCH("character_id",[4]characters!$1:$1,0)+1),MATCH(AF$1,[4]characters!$1:$1,0)-MATCH("character_id",[4]characters!$1:$1,0)+1,FALSE)</f>
        <v>3</v>
      </c>
      <c r="AG21" s="3" t="str">
        <f ca="1">VLOOKUP($AD21,OFFSET([4]characters!$A$1,0,0,COUNTA([4]characters!$A:$A),MATCH(AG$1,[4]characters!$1:$1,0)-MATCH("character_id",[4]characters!$1:$1,0)+1),MATCH(AG$1,[4]characters!$1:$1,0)-MATCH("character_id",[4]characters!$1:$1,0)+1,FALSE)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1" s="121">
        <v>1</v>
      </c>
      <c r="AI21" s="120">
        <f t="shared" ca="1" si="14"/>
        <v>3</v>
      </c>
      <c r="AJ21" s="6">
        <v>0</v>
      </c>
      <c r="AK21" s="121">
        <v>0</v>
      </c>
      <c r="AL21" s="121">
        <v>0</v>
      </c>
      <c r="AM21" s="121">
        <v>0</v>
      </c>
      <c r="AN21" s="121">
        <v>0</v>
      </c>
      <c r="AO21" s="121">
        <v>1</v>
      </c>
      <c r="AP21" s="122">
        <v>1</v>
      </c>
    </row>
    <row r="22" spans="1:42" ht="21" customHeight="1" thickBot="1" x14ac:dyDescent="0.2">
      <c r="A22" s="12" t="str">
        <f t="shared" si="10"/>
        <v>20019_3-4/1020&lt;lv40&gt;s2</v>
      </c>
      <c r="B22" s="123">
        <v>20019</v>
      </c>
      <c r="C22" s="124">
        <v>3</v>
      </c>
      <c r="D22" s="125" t="str">
        <f t="shared" si="11"/>
        <v>20019_3</v>
      </c>
      <c r="E22" s="126" t="str">
        <f ca="1">VLOOKUP($B22,OFFSET([2]quests!$A$1,0,0,COUNTA([2]quests!$A:$A),MATCH(E$1,[2]quests!$1:$1,0)-MATCH($B$1,[2]quests!$1:$1,0)+1),MATCH(E$1,[2]quests!$1:$1,0)-MATCH($B$1,[2]quests!$1:$1,0)+1,FALSE)</f>
        <v>灼熱の舞姫</v>
      </c>
      <c r="F22" s="126" t="str">
        <f ca="1">VLOOKUP($D22,OFFSET([2]stages!$A$1,0,0,COUNTA([2]stages!$A:$A),MATCH(F$1,[2]stages!$2:$2,0)-MATCH($D$1,[2]stages!$2:$2,0)+1),MATCH(F$1,[2]stages!$2:$2,0)-MATCH($D$1,[2]stages!$2:$2,0)+1,FALSE)</f>
        <v>【上級】灼熱の舞姫</v>
      </c>
      <c r="G22" s="124">
        <v>4</v>
      </c>
      <c r="H22" s="125" t="str">
        <f t="shared" si="12"/>
        <v>20019_3-4</v>
      </c>
      <c r="I22" s="126">
        <f ca="1">VLOOKUP($H22,OFFSET(floors!$A$1,0,0,COUNTA(floors!$A:$A),MATCH(I$1,floors!$1:$1,0)-MATCH($H$1,floors!$1:$1,0)+1),MATCH(I$1,floors!$1:$1,0)-MATCH($H$1,floors!$1:$1,0)+1,FALSE)</f>
        <v>60</v>
      </c>
      <c r="J22" s="127">
        <f ca="1">VLOOKUP($H22,OFFSET(floors!$A$1,0,0,COUNTA(floors!$A:$A),MATCH(J$1,floors!$1:$1,0)-MATCH($H$1,floors!$1:$1,0)+1),MATCH(J$1,floors!$1:$1,0)-MATCH($H$1,floors!$1:$1,0)+1,FALSE)</f>
        <v>60</v>
      </c>
      <c r="K22" s="128">
        <v>3</v>
      </c>
      <c r="L22" s="129">
        <v>1020</v>
      </c>
      <c r="M22" s="130" t="str">
        <f ca="1">VLOOKUP($L22,OFFSET([3]enemies!$A$1,0,0,COUNTA([3]enemies!$A:$A),MATCH(M$1,[3]enemies!$1:$1,0)-MATCH($L$1,[3]enemies!$1:$1,0)+1),MATCH(M$1,[3]enemies!$1:$1,0)-MATCH($L$1,[3]enemies!$1:$1,0)+1,FALSE)</f>
        <v>静御前</v>
      </c>
      <c r="N22" s="130" t="str">
        <f ca="1">VLOOKUP($L22,OFFSET([3]enemies!$A$1,0,0,COUNTA([3]enemies!$A:$A),MATCH(N$1,[3]enemies!$1:$1,0)-MATCH($L$1,[3]enemies!$1:$1,0)+1),MATCH(N$1,[3]enemies!$1:$1,0)-MATCH($L$1,[3]enemies!$1:$1,0)+1,FALSE)</f>
        <v>red</v>
      </c>
      <c r="O22" s="130" t="str">
        <f ca="1">VLOOKUP($L22,OFFSET([4]characters!$A$1,0,0,COUNTA([4]characters!$A:$A),MATCH(O$1,[4]characters!$1:$1,0)-MATCH($L$1,[4]characters!$1:$1,0)+1),MATCH(O$1,[4]characters!$1:$1,0)-MATCH($L$1,[4]characters!$1:$1,0)+1,FALSE)</f>
        <v>Drop2N</v>
      </c>
      <c r="P22" s="130" t="str">
        <f ca="1">VLOOKUP($L22,OFFSET([3]enemies!$A$1,0,0,COUNTA([3]enemies!$A:$A),MATCH(P$1,[3]enemies!$1:$1,0)-MATCH($L$1,[3]enemies!$1:$1,0)+1),MATCH(P$1,[3]enemies!$1:$1,0)-MATCH($L$1,[3]enemies!$1:$1,0)+1,FALSE)</f>
        <v>human</v>
      </c>
      <c r="Q22" s="130">
        <f ca="1">VLOOKUP($L22,OFFSET([3]enemies!$A$1,0,0,COUNTA([3]enemies!$A:$A),MATCH(Q$1,[3]enemies!$1:$1,0)-MATCH($L$1,[3]enemies!$1:$1,0)+1),MATCH(Q$1,[3]enemies!$1:$1,0)-MATCH($L$1,[3]enemies!$1:$1,0)+1,FALSE)</f>
        <v>30</v>
      </c>
      <c r="R22" s="131">
        <v>40</v>
      </c>
      <c r="S22" s="132">
        <v>2.2000000000000002</v>
      </c>
      <c r="T22" s="133">
        <f ca="1">ROUND(VLOOKUP(R22,[3]enemy_base_stats!$A:$F,2,FALSE) *INDIRECT("[EnemyMasterData.xlsm]enemies!Y"&amp;(L22+1))*  INDIRECT("[EnemyMasterData.xlsm]enemies!J"&amp;(L22+1))* INDIRECT("[EnemyMasterData.xlsm]enemies!O"&amp;(L22+1))* INDIRECT("[EnemyMasterData.xlsm]enemies!E"&amp;(L22+1))* INDIRECT("[EnemyMasterData.xlsm]enemies!S"&amp;(L22+1))* INDIRECT("[EnemyMasterData.xlsm]enemies!AD"&amp;(L22+1))*[4]ステータス!$B$2,0)*S22</f>
        <v>100412.40000000001</v>
      </c>
      <c r="U22" s="134">
        <v>0.9</v>
      </c>
      <c r="V22" s="133">
        <f ca="1">ROUND(VLOOKUP(R22,[3]enemy_base_stats!$A:$F,3,FALSE) *INDIRECT("[EnemyMasterData.xlsm]enemies!Z"&amp;(L22+1))*  INDIRECT("[EnemyMasterData.xlsm]enemies!K"&amp;(L22+1))* INDIRECT("[EnemyMasterData.xlsm]enemies!P"&amp;(L22+1))* INDIRECT("[EnemyMasterData.xlsm]enemies!F"&amp;(L22+1))* INDIRECT("[EnemyMasterData.xlsm]enemies!T"&amp;(L22+1))* INDIRECT("[EnemyMasterData.xlsm]enemies!AE"&amp;(L22+1))*[4]ステータス!$C$2,0)*U22</f>
        <v>3441.6</v>
      </c>
      <c r="W22" s="135">
        <v>0</v>
      </c>
      <c r="X22" s="126" t="e">
        <f ca="1">VLOOKUP($Y22,OFFSET([5]enemy_skill_sets!$B$1,0,0,COUNTA([5]enemy_skill_sets!$B:$B),MATCH(M$1,[5]enemy_skill_sets!$1:$1,0)-MATCH($Y$1,[5]enemy_skill_sets!$1:$1,0)+2),MATCH(M$1,[5]enemy_skill_sets!$1:$1,0)-MATCH($Y$1,[5]enemy_skill_sets!$1:$1,0)+2,FALSE)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2" s="126">
        <v>20019107</v>
      </c>
      <c r="Z22" s="136">
        <v>1</v>
      </c>
      <c r="AA22" s="136">
        <v>100</v>
      </c>
      <c r="AB22" s="136">
        <v>1</v>
      </c>
      <c r="AC22" s="127">
        <v>2</v>
      </c>
      <c r="AD22" s="137">
        <f t="shared" si="13"/>
        <v>1020</v>
      </c>
      <c r="AE22" s="126" t="str">
        <f ca="1">VLOOKUP($AD22,OFFSET([4]characters!$A$1,0,0,COUNTA([4]characters!$A:$A),MATCH(AE$1,[4]characters!$1:$1,0)-MATCH("character_id",[4]characters!$1:$1,0)+1),MATCH(AE$1,[4]characters!$1:$1,0)-MATCH("character_id",[4]characters!$1:$1,0)+1,FALSE)</f>
        <v>静御前</v>
      </c>
      <c r="AF22" s="126">
        <f ca="1">VLOOKUP($AD22,OFFSET([4]characters!$A$1,0,0,COUNTA([4]characters!$A:$A),MATCH(AF$1,[4]characters!$1:$1,0)-MATCH("character_id",[4]characters!$1:$1,0)+1),MATCH(AF$1,[4]characters!$1:$1,0)-MATCH("character_id",[4]characters!$1:$1,0)+1,FALSE)</f>
        <v>4</v>
      </c>
      <c r="AG22" s="126" t="str">
        <f ca="1">VLOOKUP($AD22,OFFSET([4]characters!$A$1,0,0,COUNTA([4]characters!$A:$A),MATCH(AG$1,[4]characters!$1:$1,0)-MATCH("character_id",[4]characters!$1:$1,0)+1),MATCH(AG$1,[4]characters!$1:$1,0)-MATCH("character_id",[4]characters!$1:$1,0)+1,FALSE)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2" s="138">
        <v>1</v>
      </c>
      <c r="AI22" s="137">
        <f t="shared" ca="1" si="14"/>
        <v>4</v>
      </c>
      <c r="AJ22" s="139">
        <v>100</v>
      </c>
      <c r="AK22" s="138">
        <v>0</v>
      </c>
      <c r="AL22" s="138">
        <v>0</v>
      </c>
      <c r="AM22" s="138">
        <v>0</v>
      </c>
      <c r="AN22" s="138">
        <v>0</v>
      </c>
      <c r="AO22" s="138">
        <v>1</v>
      </c>
      <c r="AP22" s="14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V12" sqref="V12"/>
    </sheetView>
  </sheetViews>
  <sheetFormatPr baseColWidth="12" defaultColWidth="13" defaultRowHeight="21" customHeight="1" outlineLevelCol="1" x14ac:dyDescent="0.15"/>
  <cols>
    <col min="1" max="1" width="17" style="15" bestFit="1" customWidth="1"/>
    <col min="2" max="2" width="10.83203125" style="2" bestFit="1" customWidth="1"/>
    <col min="3" max="3" width="10.6640625" style="2" bestFit="1" customWidth="1" collapsed="1"/>
    <col min="4" max="4" width="13" style="10" hidden="1" customWidth="1" outlineLevel="1"/>
    <col min="5" max="5" width="11.6640625" style="2" hidden="1" customWidth="1" outlineLevel="1"/>
    <col min="6" max="6" width="16.1640625" style="2" hidden="1" customWidth="1" outlineLevel="1"/>
    <col min="7" max="7" width="10" style="2" bestFit="1" customWidth="1" collapsed="1"/>
    <col min="8" max="10" width="12.33203125" style="2" hidden="1" customWidth="1" outlineLevel="1"/>
    <col min="11" max="11" width="12.33203125" style="2" customWidth="1"/>
    <col min="12" max="12" width="11" style="2" bestFit="1" customWidth="1"/>
    <col min="13" max="13" width="13.5" style="7" bestFit="1" customWidth="1" collapsed="1"/>
    <col min="14" max="14" width="8.83203125" style="2" hidden="1" customWidth="1" outlineLevel="1"/>
    <col min="15" max="15" width="8.6640625" style="2" hidden="1" customWidth="1" outlineLevel="1"/>
    <col min="16" max="16" width="12" style="2" hidden="1" customWidth="1" outlineLevel="1"/>
    <col min="17" max="17" width="21" style="2" hidden="1" customWidth="1" outlineLevel="1"/>
    <col min="18" max="18" width="8" style="2" hidden="1" customWidth="1" outlineLevel="1"/>
    <col min="19" max="19" width="8.33203125" style="2" bestFit="1" customWidth="1"/>
    <col min="20" max="20" width="14.83203125" style="2" bestFit="1" customWidth="1"/>
    <col min="21" max="21" width="14.83203125" style="2" customWidth="1"/>
    <col min="22" max="22" width="17.5" style="2" bestFit="1" customWidth="1"/>
    <col min="23" max="23" width="17.5" style="2" customWidth="1"/>
    <col min="24" max="24" width="18.33203125" style="2" bestFit="1" customWidth="1"/>
    <col min="25" max="25" width="16.6640625" style="2" customWidth="1"/>
    <col min="26" max="26" width="10" style="2" customWidth="1" outlineLevel="1"/>
    <col min="27" max="27" width="9.33203125" style="2" bestFit="1" customWidth="1"/>
    <col min="28" max="16384" width="13" style="2"/>
  </cols>
  <sheetData>
    <row r="1" spans="1:27" s="29" customFormat="1" ht="21" customHeight="1" x14ac:dyDescent="0.15">
      <c r="A1" s="22" t="s">
        <v>29</v>
      </c>
      <c r="B1" s="23" t="s">
        <v>0</v>
      </c>
      <c r="C1" s="23" t="s">
        <v>1</v>
      </c>
      <c r="D1" s="24" t="s">
        <v>28</v>
      </c>
      <c r="E1" s="25" t="s">
        <v>16</v>
      </c>
      <c r="F1" s="25" t="s">
        <v>16</v>
      </c>
      <c r="G1" s="23" t="s">
        <v>19</v>
      </c>
      <c r="H1" s="24" t="s">
        <v>30</v>
      </c>
      <c r="I1" s="24" t="s">
        <v>14</v>
      </c>
      <c r="J1" s="24" t="s">
        <v>15</v>
      </c>
      <c r="K1" s="30" t="s">
        <v>54</v>
      </c>
      <c r="L1" s="30" t="s">
        <v>55</v>
      </c>
      <c r="M1" s="31" t="s">
        <v>2</v>
      </c>
      <c r="N1" s="26" t="s">
        <v>16</v>
      </c>
      <c r="O1" s="24" t="s">
        <v>24</v>
      </c>
      <c r="P1" s="24" t="s">
        <v>23</v>
      </c>
      <c r="Q1" s="27" t="s">
        <v>26</v>
      </c>
      <c r="R1" s="25" t="s">
        <v>25</v>
      </c>
      <c r="S1" s="23" t="s">
        <v>3</v>
      </c>
      <c r="T1" s="21" t="s">
        <v>48</v>
      </c>
      <c r="U1" s="94" t="s">
        <v>248</v>
      </c>
      <c r="V1" s="21" t="s">
        <v>50</v>
      </c>
      <c r="W1" s="94" t="s">
        <v>249</v>
      </c>
      <c r="X1" s="21" t="s">
        <v>52</v>
      </c>
      <c r="Y1" s="23" t="s">
        <v>128</v>
      </c>
      <c r="Z1" s="24" t="s">
        <v>127</v>
      </c>
      <c r="AA1" s="23" t="s">
        <v>8</v>
      </c>
    </row>
    <row r="2" spans="1:27" ht="21" customHeight="1" x14ac:dyDescent="0.15">
      <c r="A2" s="12" t="str">
        <f>B2&amp;"_"&amp;C2&amp;"-"&amp;G2&amp;"/"&amp;M2&amp;"&lt;lv"&amp;S2&amp;"&gt;sq"&amp;K2&amp;"st"&amp;L2</f>
        <v>20019_1-4/1020&lt;lv12&gt;sq1st2</v>
      </c>
      <c r="B2" s="18">
        <v>20019</v>
      </c>
      <c r="C2" s="17">
        <v>1</v>
      </c>
      <c r="D2" s="1" t="str">
        <f>B2&amp;"_"&amp;C2</f>
        <v>20019_1</v>
      </c>
      <c r="E2" s="3" t="str">
        <f ca="1">VLOOKUP($B2,OFFSET([2]quests!$A$1,0,0,COUNTA([2]quests!$A:$A),MATCH(E$1,[2]quests!$1:$1,0)-MATCH($B$1,[2]quests!$1:$1,0)+1),MATCH(E$1,[2]quests!$1:$1,0)-MATCH($B$1,[2]quests!$1:$1,0)+1,FALSE)</f>
        <v>灼熱の舞姫</v>
      </c>
      <c r="F2" s="3" t="str">
        <f ca="1">VLOOKUP($D2,OFFSET([2]stages!$A$1,0,0,COUNTA([2]stages!$A:$A),MATCH(F$1,[2]stages!$2:$2,0)-MATCH($D$1,[2]stages!$2:$2,0)+1),MATCH(F$1,[2]stages!$2:$2,0)-MATCH($D$1,[2]stages!$2:$2,0)+1,FALSE)</f>
        <v>【初級】灼熱の舞姫</v>
      </c>
      <c r="G2" s="17">
        <v>4</v>
      </c>
      <c r="H2" s="11" t="str">
        <f>B2&amp;"_"&amp;C2&amp;"-"&amp;G2</f>
        <v>20019_1-4</v>
      </c>
      <c r="I2" s="3">
        <f ca="1">VLOOKUP($H2,OFFSET(floors!$A$1,0,0,COUNTA(floors!$A:$A),MATCH(I$1,floors!$1:$1,0)-MATCH($H$1,floors!$1:$1,0)+1),MATCH(I$1,floors!$1:$1,0)-MATCH($H$1,floors!$1:$1,0)+1,FALSE)</f>
        <v>60</v>
      </c>
      <c r="J2" s="3">
        <f ca="1">VLOOKUP($H2,OFFSET(floors!$A$1,0,0,COUNTA(floors!$A:$A),MATCH(J$1,floors!$1:$1,0)-MATCH($H$1,floors!$1:$1,0)+1),MATCH(J$1,floors!$1:$1,0)-MATCH($H$1,floors!$1:$1,0)+1,FALSE)</f>
        <v>60</v>
      </c>
      <c r="K2" s="32">
        <v>1</v>
      </c>
      <c r="L2" s="32">
        <v>2</v>
      </c>
      <c r="M2" s="16">
        <v>1020</v>
      </c>
      <c r="N2" s="13" t="str">
        <f ca="1">VLOOKUP($M2,OFFSET([3]enemies!$A$1,0,0,COUNTA([3]enemies!$A:$A),MATCH(N$1,[3]enemies!$1:$1,0)-MATCH($M$1,[3]enemies!$1:$1,0)+1),MATCH(N$1,[3]enemies!$1:$1,0)-MATCH($M$1,[3]enemies!$1:$1,0)+1,FALSE)</f>
        <v>静御前</v>
      </c>
      <c r="O2" s="13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3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3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3">
        <f ca="1">VLOOKUP($M2,OFFSET([3]enemies!$A$1,0,0,COUNTA([3]enemies!$A:$A),MATCH(R$1,[3]enemies!$1:$1,0)-MATCH($M$1,[3]enemies!$1:$1,0)+1),MATCH(R$1,[3]enemies!$1:$1,0)-MATCH($M$1,[3]enemies!$1:$1,0)+1,FALSE)</f>
        <v>30</v>
      </c>
      <c r="S2" s="4">
        <v>12</v>
      </c>
      <c r="T2" s="20">
        <v>3.1</v>
      </c>
      <c r="U2" s="95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46025.700000000004</v>
      </c>
      <c r="V2" s="20">
        <v>1</v>
      </c>
      <c r="W2" s="95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1244</v>
      </c>
      <c r="X2" s="4">
        <v>0</v>
      </c>
      <c r="Y2" s="3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3">
        <v>20019108</v>
      </c>
      <c r="AA2" s="64">
        <v>1</v>
      </c>
    </row>
    <row r="3" spans="1:27" ht="21" customHeight="1" x14ac:dyDescent="0.15">
      <c r="A3" s="12" t="str">
        <f>B3&amp;"_"&amp;C3&amp;"-"&amp;G3&amp;"/"&amp;M3&amp;"&lt;lv"&amp;S3&amp;"&gt;sq"&amp;K3&amp;"st"&amp;L3</f>
        <v>20019_2-4/1020&lt;lv30&gt;sq2st2</v>
      </c>
      <c r="B3" s="18">
        <v>20019</v>
      </c>
      <c r="C3" s="17">
        <v>2</v>
      </c>
      <c r="D3" s="1" t="str">
        <f>B3&amp;"_"&amp;C3</f>
        <v>20019_2</v>
      </c>
      <c r="E3" s="3" t="str">
        <f ca="1">VLOOKUP($B3,OFFSET([2]quests!$A$1,0,0,COUNTA([2]quests!$A:$A),MATCH(E$1,[2]quests!$1:$1,0)-MATCH($B$1,[2]quests!$1:$1,0)+1),MATCH(E$1,[2]quests!$1:$1,0)-MATCH($B$1,[2]quests!$1:$1,0)+1,FALSE)</f>
        <v>灼熱の舞姫</v>
      </c>
      <c r="F3" s="3" t="str">
        <f ca="1">VLOOKUP($D3,OFFSET([2]stages!$A$1,0,0,COUNTA([2]stages!$A:$A),MATCH(F$1,[2]stages!$2:$2,0)-MATCH($D$1,[2]stages!$2:$2,0)+1),MATCH(F$1,[2]stages!$2:$2,0)-MATCH($D$1,[2]stages!$2:$2,0)+1,FALSE)</f>
        <v>【中級】灼熱の舞姫</v>
      </c>
      <c r="G3" s="17">
        <v>4</v>
      </c>
      <c r="H3" s="11" t="str">
        <f>B3&amp;"_"&amp;C3&amp;"-"&amp;G3</f>
        <v>20019_2-4</v>
      </c>
      <c r="I3" s="3">
        <f ca="1">VLOOKUP($H3,OFFSET(floors!$A$1,0,0,COUNTA(floors!$A:$A),MATCH(I$1,floors!$1:$1,0)-MATCH($H$1,floors!$1:$1,0)+1),MATCH(I$1,floors!$1:$1,0)-MATCH($H$1,floors!$1:$1,0)+1,FALSE)</f>
        <v>60</v>
      </c>
      <c r="J3" s="3">
        <f ca="1">VLOOKUP($H3,OFFSET(floors!$A$1,0,0,COUNTA(floors!$A:$A),MATCH(J$1,floors!$1:$1,0)-MATCH($H$1,floors!$1:$1,0)+1),MATCH(J$1,floors!$1:$1,0)-MATCH($H$1,floors!$1:$1,0)+1,FALSE)</f>
        <v>60</v>
      </c>
      <c r="K3" s="32">
        <v>2</v>
      </c>
      <c r="L3" s="32">
        <v>2</v>
      </c>
      <c r="M3" s="16">
        <v>1020</v>
      </c>
      <c r="N3" s="13" t="str">
        <f ca="1">VLOOKUP($M3,OFFSET([3]enemies!$A$1,0,0,COUNTA([3]enemies!$A:$A),MATCH(N$1,[3]enemies!$1:$1,0)-MATCH($M$1,[3]enemies!$1:$1,0)+1),MATCH(N$1,[3]enemies!$1:$1,0)-MATCH($M$1,[3]enemies!$1:$1,0)+1,FALSE)</f>
        <v>静御前</v>
      </c>
      <c r="O3" s="13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3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3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3">
        <f ca="1">VLOOKUP($M3,OFFSET([3]enemies!$A$1,0,0,COUNTA([3]enemies!$A:$A),MATCH(R$1,[3]enemies!$1:$1,0)-MATCH($M$1,[3]enemies!$1:$1,0)+1),MATCH(R$1,[3]enemies!$1:$1,0)-MATCH($M$1,[3]enemies!$1:$1,0)+1,FALSE)</f>
        <v>30</v>
      </c>
      <c r="S3" s="4">
        <v>30</v>
      </c>
      <c r="T3" s="20">
        <v>3.1</v>
      </c>
      <c r="U3" s="95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107396.40000000001</v>
      </c>
      <c r="V3" s="20">
        <v>1</v>
      </c>
      <c r="W3" s="95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2903</v>
      </c>
      <c r="X3" s="4">
        <v>0</v>
      </c>
      <c r="Y3" s="3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3">
        <v>20019108</v>
      </c>
      <c r="AA3" s="64">
        <v>1</v>
      </c>
    </row>
    <row r="4" spans="1:27" ht="21" customHeight="1" x14ac:dyDescent="0.15">
      <c r="A4" s="12" t="str">
        <f>B4&amp;"_"&amp;C4&amp;"-"&amp;G4&amp;"/"&amp;M4&amp;"&lt;lv"&amp;S4&amp;"&gt;sq"&amp;K4&amp;"st"&amp;L4</f>
        <v>20019_3-4/1020&lt;lv40&gt;sq3st2</v>
      </c>
      <c r="B4" s="18">
        <v>20019</v>
      </c>
      <c r="C4" s="17">
        <v>3</v>
      </c>
      <c r="D4" s="1" t="str">
        <f>B4&amp;"_"&amp;C4</f>
        <v>20019_3</v>
      </c>
      <c r="E4" s="3" t="str">
        <f ca="1">VLOOKUP($B4,OFFSET([2]quests!$A$1,0,0,COUNTA([2]quests!$A:$A),MATCH(E$1,[2]quests!$1:$1,0)-MATCH($B$1,[2]quests!$1:$1,0)+1),MATCH(E$1,[2]quests!$1:$1,0)-MATCH($B$1,[2]quests!$1:$1,0)+1,FALSE)</f>
        <v>灼熱の舞姫</v>
      </c>
      <c r="F4" s="3" t="str">
        <f ca="1">VLOOKUP($D4,OFFSET([2]stages!$A$1,0,0,COUNTA([2]stages!$A:$A),MATCH(F$1,[2]stages!$2:$2,0)-MATCH($D$1,[2]stages!$2:$2,0)+1),MATCH(F$1,[2]stages!$2:$2,0)-MATCH($D$1,[2]stages!$2:$2,0)+1,FALSE)</f>
        <v>【上級】灼熱の舞姫</v>
      </c>
      <c r="G4" s="17">
        <v>4</v>
      </c>
      <c r="H4" s="11" t="str">
        <f>B4&amp;"_"&amp;C4&amp;"-"&amp;G4</f>
        <v>20019_3-4</v>
      </c>
      <c r="I4" s="3">
        <f ca="1">VLOOKUP($H4,OFFSET(floors!$A$1,0,0,COUNTA(floors!$A:$A),MATCH(I$1,floors!$1:$1,0)-MATCH($H$1,floors!$1:$1,0)+1),MATCH(I$1,floors!$1:$1,0)-MATCH($H$1,floors!$1:$1,0)+1,FALSE)</f>
        <v>60</v>
      </c>
      <c r="J4" s="3">
        <f ca="1">VLOOKUP($H4,OFFSET(floors!$A$1,0,0,COUNTA(floors!$A:$A),MATCH(J$1,floors!$1:$1,0)-MATCH($H$1,floors!$1:$1,0)+1),MATCH(J$1,floors!$1:$1,0)-MATCH($H$1,floors!$1:$1,0)+1,FALSE)</f>
        <v>60</v>
      </c>
      <c r="K4" s="32">
        <v>3</v>
      </c>
      <c r="L4" s="32">
        <v>2</v>
      </c>
      <c r="M4" s="16">
        <v>1020</v>
      </c>
      <c r="N4" s="13" t="str">
        <f ca="1">VLOOKUP($M4,OFFSET([3]enemies!$A$1,0,0,COUNTA([3]enemies!$A:$A),MATCH(N$1,[3]enemies!$1:$1,0)-MATCH($M$1,[3]enemies!$1:$1,0)+1),MATCH(N$1,[3]enemies!$1:$1,0)-MATCH($M$1,[3]enemies!$1:$1,0)+1,FALSE)</f>
        <v>静御前</v>
      </c>
      <c r="O4" s="13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3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3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3">
        <f ca="1">VLOOKUP($M4,OFFSET([3]enemies!$A$1,0,0,COUNTA([3]enemies!$A:$A),MATCH(R$1,[3]enemies!$1:$1,0)-MATCH($M$1,[3]enemies!$1:$1,0)+1),MATCH(R$1,[3]enemies!$1:$1,0)-MATCH($M$1,[3]enemies!$1:$1,0)+1,FALSE)</f>
        <v>30</v>
      </c>
      <c r="S4" s="4">
        <v>40</v>
      </c>
      <c r="T4" s="20">
        <v>3.1</v>
      </c>
      <c r="U4" s="95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141490.20000000001</v>
      </c>
      <c r="V4" s="20">
        <v>1</v>
      </c>
      <c r="W4" s="95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3824</v>
      </c>
      <c r="X4" s="4">
        <v>0</v>
      </c>
      <c r="Y4" s="3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3">
        <v>20019108</v>
      </c>
      <c r="AA4" s="64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3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C14" sqref="C14"/>
    </sheetView>
  </sheetViews>
  <sheetFormatPr baseColWidth="12" defaultColWidth="12.83203125" defaultRowHeight="21" customHeight="1" outlineLevelCol="1" x14ac:dyDescent="0.15"/>
  <cols>
    <col min="1" max="1" width="11.33203125" style="33" bestFit="1" customWidth="1"/>
    <col min="2" max="2" width="9.5" style="43" bestFit="1" customWidth="1"/>
    <col min="3" max="3" width="9.6640625" style="43" customWidth="1"/>
    <col min="4" max="4" width="18.5" style="43" customWidth="1" outlineLevel="1"/>
    <col min="5" max="5" width="44.1640625" style="43" bestFit="1" customWidth="1" outlineLevel="1"/>
    <col min="6" max="6" width="10.83203125" style="43" bestFit="1" customWidth="1"/>
    <col min="7" max="7" width="8.33203125" style="43" bestFit="1" customWidth="1" outlineLevel="1"/>
    <col min="8" max="9" width="12.83203125" style="43" outlineLevel="1"/>
    <col min="10" max="10" width="17.6640625" style="43" bestFit="1" customWidth="1" outlineLevel="1"/>
    <col min="11" max="15" width="12.83203125" style="43" outlineLevel="1"/>
    <col min="16" max="16" width="8.33203125" style="39" bestFit="1" customWidth="1"/>
    <col min="17" max="17" width="9.6640625" style="39" customWidth="1"/>
    <col min="18" max="18" width="56.5" style="39" bestFit="1" customWidth="1"/>
    <col min="19" max="16384" width="12.83203125" style="39"/>
  </cols>
  <sheetData>
    <row r="1" spans="1:18" ht="21" customHeight="1" x14ac:dyDescent="0.15">
      <c r="A1" s="33" t="s">
        <v>60</v>
      </c>
      <c r="B1" s="34" t="s">
        <v>61</v>
      </c>
      <c r="C1" s="34" t="s">
        <v>62</v>
      </c>
      <c r="D1" s="35" t="s">
        <v>63</v>
      </c>
      <c r="E1" s="35" t="s">
        <v>64</v>
      </c>
      <c r="F1" s="36" t="s">
        <v>65</v>
      </c>
      <c r="G1" s="37" t="s">
        <v>66</v>
      </c>
      <c r="H1" s="37" t="s">
        <v>68</v>
      </c>
      <c r="I1" s="37" t="s">
        <v>69</v>
      </c>
      <c r="J1" s="37" t="s">
        <v>70</v>
      </c>
      <c r="K1" s="38" t="s">
        <v>71</v>
      </c>
      <c r="L1" s="38" t="s">
        <v>72</v>
      </c>
      <c r="M1" s="37" t="s">
        <v>73</v>
      </c>
      <c r="N1" s="37" t="s">
        <v>74</v>
      </c>
      <c r="O1" s="37" t="s">
        <v>75</v>
      </c>
      <c r="P1" s="35" t="s">
        <v>76</v>
      </c>
      <c r="Q1" s="35" t="s">
        <v>77</v>
      </c>
      <c r="R1" s="35" t="s">
        <v>78</v>
      </c>
    </row>
    <row r="2" spans="1:18" ht="21" customHeight="1" x14ac:dyDescent="0.15">
      <c r="A2" s="33" t="str">
        <f t="shared" ref="A2" si="0">B2&amp;"_"&amp;C2</f>
        <v>20019103_20019011</v>
      </c>
      <c r="B2" s="41">
        <v>20019103</v>
      </c>
      <c r="C2" s="41">
        <v>20019011</v>
      </c>
      <c r="D2" s="40" t="str">
        <f ca="1">VLOOKUP($C2,OFFSET(enemy_skills!$A$1,0,0,COUNTA(enemy_skills!$A:$A),MATCH(D$1,enemy_skills!$1:$1,0)-MATCH("enemy_skill_id",enemy_skills!$1:$1,0)+1),MATCH(D$1,enemy_skills!$1:$1,0)-MATCH("enemy_skill_id",enemy_skills!$1:$1,0)+1,FALSE)</f>
        <v>追い風を起こした！</v>
      </c>
      <c r="E2" s="40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3ターン敵全体の攻撃頻度UP</v>
      </c>
      <c r="F2" s="41">
        <v>20019011</v>
      </c>
      <c r="G2" s="42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2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2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" s="42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2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2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2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2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2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" s="41"/>
      <c r="Q2" s="41"/>
      <c r="R2" s="41" t="s">
        <v>252</v>
      </c>
    </row>
    <row r="3" spans="1:18" ht="21" customHeight="1" x14ac:dyDescent="0.15">
      <c r="A3" s="33" t="str">
        <f t="shared" ref="A3" si="1">B3&amp;"_"&amp;C3</f>
        <v>20019104_20019016</v>
      </c>
      <c r="B3" s="41">
        <v>20019104</v>
      </c>
      <c r="C3" s="41">
        <v>20019016</v>
      </c>
      <c r="D3" s="40" t="str">
        <f ca="1">VLOOKUP($C3,OFFSET(enemy_skills!$A$1,0,0,COUNTA(enemy_skills!$A:$A),MATCH(D$1,enemy_skills!$1:$1,0)-MATCH("enemy_skill_id",enemy_skills!$1:$1,0)+1),MATCH(D$1,enemy_skills!$1:$1,0)-MATCH("enemy_skill_id",enemy_skills!$1:$1,0)+1,FALSE)</f>
        <v>妖炎の舞</v>
      </c>
      <c r="E3" s="40" t="str">
        <f ca="1">VLOOKUP($C3,OFFSET(enemy_skills!$A$1,0,0,COUNTA(enemy_skills!$A:$A),MATCH(E$1,enemy_skills!$1:$1,0)-MATCH("enemy_skill_id",enemy_skills!$1:$1,0)+1),MATCH(E$1,enemy_skills!$1:$1,0)-MATCH("enemy_skill_id",enemy_skills!$1:$1,0)+1,FALSE)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" s="41">
        <v>20019016</v>
      </c>
      <c r="G3" s="42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2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2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" s="42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2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2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2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2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2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" s="41"/>
      <c r="Q3" s="41"/>
      <c r="R3" s="41" t="s">
        <v>254</v>
      </c>
    </row>
    <row r="4" spans="1:18" ht="21" customHeight="1" x14ac:dyDescent="0.15">
      <c r="A4" s="33" t="str">
        <f t="shared" ref="A4:A10" si="2">B4&amp;"_"&amp;C4</f>
        <v>20019105_20019021</v>
      </c>
      <c r="B4" s="41">
        <v>20019105</v>
      </c>
      <c r="C4" s="41">
        <v>20019021</v>
      </c>
      <c r="D4" s="40" t="str">
        <f ca="1">VLOOKUP($C4,OFFSET(enemy_skills!$A$1,0,0,COUNTA(enemy_skills!$A:$A),MATCH(D$1,enemy_skills!$1:$1,0)-MATCH("enemy_skill_id",enemy_skills!$1:$1,0)+1),MATCH(D$1,enemy_skills!$1:$1,0)-MATCH("enemy_skill_id",enemy_skills!$1:$1,0)+1,FALSE)</f>
        <v>妖しい火を灯した！</v>
      </c>
      <c r="E4" s="40" t="str">
        <f ca="1">VLOOKUP($C4,OFFSET(enemy_skills!$A$1,0,0,COUNTA(enemy_skills!$A:$A),MATCH(E$1,enemy_skills!$1:$1,0)-MATCH("enemy_skill_id",enemy_skills!$1:$1,0)+1),MATCH(E$1,enemy_skills!$1:$1,0)-MATCH("enemy_skill_id",enemy_skills!$1:$1,0)+1,FALSE)</f>
        <v>3ターン敵全体の攻撃力UP</v>
      </c>
      <c r="F4" s="41">
        <v>20019021</v>
      </c>
      <c r="G4" s="42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2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2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4" s="42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2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2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2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2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2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4" s="41"/>
      <c r="Q4" s="41"/>
      <c r="R4" s="41" t="s">
        <v>256</v>
      </c>
    </row>
    <row r="5" spans="1:18" ht="21" customHeight="1" x14ac:dyDescent="0.15">
      <c r="A5" s="33" t="str">
        <f t="shared" si="2"/>
        <v>20019106_20019026</v>
      </c>
      <c r="B5" s="41">
        <v>20019106</v>
      </c>
      <c r="C5" s="41">
        <v>20019026</v>
      </c>
      <c r="D5" s="40" t="str">
        <f ca="1">VLOOKUP($C5,OFFSET(enemy_skills!$A$1,0,0,COUNTA(enemy_skills!$A:$A),MATCH(D$1,enemy_skills!$1:$1,0)-MATCH("enemy_skill_id",enemy_skills!$1:$1,0)+1),MATCH(D$1,enemy_skills!$1:$1,0)-MATCH("enemy_skill_id",enemy_skills!$1:$1,0)+1,FALSE)</f>
        <v>炎華の舞</v>
      </c>
      <c r="E5" s="40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" s="41">
        <v>20019026</v>
      </c>
      <c r="G5" s="42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2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2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5" s="42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2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2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2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2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2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5" s="41"/>
      <c r="Q5" s="41"/>
      <c r="R5" s="41" t="s">
        <v>258</v>
      </c>
    </row>
    <row r="6" spans="1:18" ht="21" customHeight="1" x14ac:dyDescent="0.15">
      <c r="A6" s="33" t="str">
        <f t="shared" si="2"/>
        <v>20019107_20019031</v>
      </c>
      <c r="B6" s="41">
        <v>20019107</v>
      </c>
      <c r="C6" s="41">
        <v>20019031</v>
      </c>
      <c r="D6" s="40" t="str">
        <f ca="1">VLOOKUP($C6,OFFSET(enemy_skills!$A$1,0,0,COUNTA(enemy_skills!$A:$A),MATCH(D$1,enemy_skills!$1:$1,0)-MATCH("enemy_skill_id",enemy_skills!$1:$1,0)+1),MATCH(D$1,enemy_skills!$1:$1,0)-MATCH("enemy_skill_id",enemy_skills!$1:$1,0)+1,FALSE)</f>
        <v>源氏再興のためあなたを倒します</v>
      </c>
      <c r="E6" s="40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全てのプラス効果を解除</v>
      </c>
      <c r="F6" s="41">
        <v>20019031</v>
      </c>
      <c r="G6" s="42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2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2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2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2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2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2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2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2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1"/>
      <c r="Q6" s="41"/>
      <c r="R6" s="41" t="s">
        <v>260</v>
      </c>
    </row>
    <row r="7" spans="1:18" ht="21" customHeight="1" x14ac:dyDescent="0.15">
      <c r="A7" s="33" t="str">
        <f t="shared" si="2"/>
        <v>20019107_20019032</v>
      </c>
      <c r="B7" s="41">
        <v>20019107</v>
      </c>
      <c r="C7" s="41">
        <v>20019032</v>
      </c>
      <c r="D7" s="40" t="str">
        <f ca="1">VLOOKUP($C7,OFFSET(enemy_skills!$A$1,0,0,COUNTA(enemy_skills!$A:$A),MATCH(D$1,enemy_skills!$1:$1,0)-MATCH("enemy_skill_id",enemy_skills!$1:$1,0)+1),MATCH(D$1,enemy_skills!$1:$1,0)-MATCH("enemy_skill_id",enemy_skills!$1:$1,0)+1,FALSE)</f>
        <v>舞の構え・序</v>
      </c>
      <c r="E7" s="40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3ターン自身の攻撃力UP</v>
      </c>
      <c r="F7" s="41">
        <v>20019032</v>
      </c>
      <c r="G7" s="42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2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2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2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2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2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2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2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2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1"/>
      <c r="Q7" s="41"/>
      <c r="R7" s="41" t="s">
        <v>262</v>
      </c>
    </row>
    <row r="8" spans="1:18" ht="21" customHeight="1" x14ac:dyDescent="0.15">
      <c r="A8" s="33" t="str">
        <f t="shared" si="2"/>
        <v>20019107_20019033</v>
      </c>
      <c r="B8" s="41">
        <v>20019107</v>
      </c>
      <c r="C8" s="41">
        <v>20019033</v>
      </c>
      <c r="D8" s="40" t="str">
        <f ca="1">VLOOKUP($C8,OFFSET(enemy_skills!$A$1,0,0,COUNTA(enemy_skills!$A:$A),MATCH(D$1,enemy_skills!$1:$1,0)-MATCH("enemy_skill_id",enemy_skills!$1:$1,0)+1),MATCH(D$1,enemy_skills!$1:$1,0)-MATCH("enemy_skill_id",enemy_skills!$1:$1,0)+1,FALSE)</f>
        <v>舞の構え・破</v>
      </c>
      <c r="E8" s="40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" s="41">
        <v>20019033</v>
      </c>
      <c r="G8" s="42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2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2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2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2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2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2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2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2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1"/>
      <c r="Q8" s="41"/>
      <c r="R8" s="41" t="s">
        <v>264</v>
      </c>
    </row>
    <row r="9" spans="1:18" ht="21" customHeight="1" x14ac:dyDescent="0.15">
      <c r="A9" s="33" t="str">
        <f>B9&amp;"_"&amp;C9</f>
        <v>20019107_20019034</v>
      </c>
      <c r="B9" s="41">
        <v>20019107</v>
      </c>
      <c r="C9" s="41">
        <v>20019034</v>
      </c>
      <c r="D9" s="40" t="str">
        <f ca="1">VLOOKUP($C9,OFFSET(enemy_skills!$A$1,0,0,COUNTA(enemy_skills!$A:$A),MATCH(D$1,enemy_skills!$1:$1,0)-MATCH("enemy_skill_id",enemy_skills!$1:$1,0)+1),MATCH(D$1,enemy_skills!$1:$1,0)-MATCH("enemy_skill_id",enemy_skills!$1:$1,0)+1,FALSE)</f>
        <v>舞の構え・急</v>
      </c>
      <c r="E9" s="40" t="str">
        <f ca="1">VLOOKUP($C9,OFFSET(enemy_skills!$A$1,0,0,COUNTA(enemy_skills!$A:$A),MATCH(E$1,enemy_skills!$1:$1,0)-MATCH("enemy_skill_id",enemy_skills!$1:$1,0)+1),MATCH(E$1,enemy_skills!$1:$1,0)-MATCH("enemy_skill_id",enemy_skills!$1:$1,0)+1,FALSE)</f>
        <v>自身の攻撃頻度UP</v>
      </c>
      <c r="F9" s="41">
        <v>20019034</v>
      </c>
      <c r="G9" s="42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2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2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2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2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2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2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" s="42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2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1"/>
      <c r="Q9" s="41"/>
      <c r="R9" s="41" t="s">
        <v>263</v>
      </c>
    </row>
    <row r="10" spans="1:18" ht="21" customHeight="1" x14ac:dyDescent="0.15">
      <c r="A10" s="33" t="str">
        <f t="shared" si="2"/>
        <v>20019108_20019035</v>
      </c>
      <c r="B10" s="41">
        <v>20019108</v>
      </c>
      <c r="C10" s="41">
        <v>20019035</v>
      </c>
      <c r="D10" s="40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義経様の邪魔はさせません</v>
      </c>
      <c r="E10" s="40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全てのプラス効果を解除</v>
      </c>
      <c r="F10" s="41">
        <v>20019035</v>
      </c>
      <c r="G10" s="42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2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2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2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2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2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2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2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2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1"/>
      <c r="Q10" s="41"/>
      <c r="R10" s="41" t="s">
        <v>265</v>
      </c>
    </row>
    <row r="11" spans="1:18" ht="21" customHeight="1" x14ac:dyDescent="0.15">
      <c r="A11" s="33" t="str">
        <f t="shared" ref="A11:A12" si="3">B11&amp;"_"&amp;C11</f>
        <v>20019108_20019036</v>
      </c>
      <c r="B11" s="41">
        <v>20019108</v>
      </c>
      <c r="C11" s="41">
        <v>20019036</v>
      </c>
      <c r="D11" s="40" t="str">
        <f ca="1">VLOOKUP($C11,OFFSET(enemy_skills!$A$1,0,0,COUNTA(enemy_skills!$A:$A),MATCH(D$1,enemy_skills!$1:$1,0)-MATCH("enemy_skill_id",enemy_skills!$1:$1,0)+1),MATCH(D$1,enemy_skills!$1:$1,0)-MATCH("enemy_skill_id",enemy_skills!$1:$1,0)+1,FALSE)</f>
        <v>舞が激しくなる！</v>
      </c>
      <c r="E11" s="40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1" s="41">
        <v>20019036</v>
      </c>
      <c r="G11" s="42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2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1" s="42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2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2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2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2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2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2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1"/>
      <c r="Q11" s="41"/>
      <c r="R11" s="41" t="s">
        <v>265</v>
      </c>
    </row>
    <row r="12" spans="1:18" ht="21" customHeight="1" x14ac:dyDescent="0.15">
      <c r="A12" s="33" t="str">
        <f t="shared" si="3"/>
        <v>20019108_20019037</v>
      </c>
      <c r="B12" s="41">
        <v>20019108</v>
      </c>
      <c r="C12" s="41">
        <v>20019037</v>
      </c>
      <c r="D12" s="40" t="str">
        <f ca="1">VLOOKUP($C12,OFFSET(enemy_skills!$A$1,0,0,COUNTA(enemy_skills!$A:$A),MATCH(D$1,enemy_skills!$1:$1,0)-MATCH("enemy_skill_id",enemy_skills!$1:$1,0)+1),MATCH(D$1,enemy_skills!$1:$1,0)-MATCH("enemy_skill_id",enemy_skills!$1:$1,0)+1,FALSE)</f>
        <v>舞が止まらない！</v>
      </c>
      <c r="E12" s="40" t="str">
        <f ca="1">VLOOKUP($C12,OFFSET(enemy_skills!$A$1,0,0,COUNTA(enemy_skills!$A:$A),MATCH(E$1,enemy_skills!$1:$1,0)-MATCH("enemy_skill_id",enemy_skills!$1:$1,0)+1),MATCH(E$1,enemy_skills!$1:$1,0)-MATCH("enemy_skill_id",enemy_skills!$1:$1,0)+1,FALSE)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12" s="41">
        <v>20019037</v>
      </c>
      <c r="G12" s="42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2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2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2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2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2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2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" s="42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2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1"/>
      <c r="Q12" s="41"/>
      <c r="R12" s="41" t="s">
        <v>265</v>
      </c>
    </row>
    <row r="13" spans="1:18" ht="21" customHeight="1" x14ac:dyDescent="0.15">
      <c r="A13" s="33" t="str">
        <f t="shared" ref="A13" si="4">B13&amp;"_"&amp;C13</f>
        <v>20019108_20019038</v>
      </c>
      <c r="B13" s="41">
        <v>20019108</v>
      </c>
      <c r="C13" s="41">
        <v>20019038</v>
      </c>
      <c r="D13" s="40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くっ！</v>
      </c>
      <c r="E13" s="40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義経様・・・</v>
      </c>
      <c r="F13" s="41">
        <v>20019038</v>
      </c>
      <c r="G13" s="42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2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2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2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2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2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" s="42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2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3" s="42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1"/>
      <c r="Q13" s="41"/>
      <c r="R13" s="41" t="s">
        <v>265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3"/>
  <sheetViews>
    <sheetView showGridLines="0" workbookViewId="0">
      <pane ySplit="1" topLeftCell="A2" activePane="bottomLeft" state="frozenSplit"/>
      <selection pane="bottomLeft" activeCell="C14" sqref="C14"/>
    </sheetView>
  </sheetViews>
  <sheetFormatPr baseColWidth="12" defaultColWidth="12.83203125" defaultRowHeight="21" customHeight="1" outlineLevelCol="1" x14ac:dyDescent="0.15"/>
  <cols>
    <col min="1" max="1" width="12.83203125" style="43"/>
    <col min="2" max="2" width="67.1640625" style="43" customWidth="1"/>
    <col min="3" max="4" width="12.83203125" style="43"/>
    <col min="5" max="5" width="23.6640625" style="43" bestFit="1" customWidth="1"/>
    <col min="6" max="6" width="44.1640625" style="43" bestFit="1" customWidth="1"/>
    <col min="7" max="7" width="52" style="43" hidden="1" customWidth="1" outlineLevel="1"/>
    <col min="8" max="8" width="18.33203125" style="43" hidden="1" customWidth="1" outlineLevel="1"/>
    <col min="9" max="11" width="18.6640625" style="43" hidden="1" customWidth="1" outlineLevel="1"/>
    <col min="12" max="12" width="23.6640625" style="43" customWidth="1" collapsed="1"/>
    <col min="13" max="18" width="23.6640625" style="43" hidden="1" customWidth="1" outlineLevel="1"/>
    <col min="19" max="19" width="23.6640625" style="43" customWidth="1" collapsed="1"/>
    <col min="20" max="24" width="23.6640625" style="43" hidden="1" customWidth="1" outlineLevel="1"/>
    <col min="25" max="25" width="23.6640625" style="43" customWidth="1" collapsed="1"/>
    <col min="26" max="27" width="12.83203125" style="43"/>
    <col min="28" max="28" width="44.5" style="43" customWidth="1"/>
    <col min="29" max="16384" width="12.83203125" style="43"/>
  </cols>
  <sheetData>
    <row r="1" spans="1:28" ht="21" customHeight="1" x14ac:dyDescent="0.15">
      <c r="A1" s="34" t="s">
        <v>79</v>
      </c>
      <c r="B1" s="34" t="s">
        <v>80</v>
      </c>
      <c r="C1" s="34" t="s">
        <v>81</v>
      </c>
      <c r="D1" s="34" t="s">
        <v>125</v>
      </c>
      <c r="E1" s="34" t="s">
        <v>82</v>
      </c>
      <c r="F1" s="34" t="s">
        <v>83</v>
      </c>
      <c r="G1" s="35" t="s">
        <v>131</v>
      </c>
      <c r="H1" s="35" t="s">
        <v>137</v>
      </c>
      <c r="I1" s="35" t="s">
        <v>139</v>
      </c>
      <c r="J1" s="35" t="s">
        <v>138</v>
      </c>
      <c r="K1" s="35" t="s">
        <v>140</v>
      </c>
      <c r="L1" s="35" t="s">
        <v>132</v>
      </c>
      <c r="M1" s="35" t="s">
        <v>130</v>
      </c>
      <c r="N1" s="35" t="s">
        <v>133</v>
      </c>
      <c r="O1" s="35" t="s">
        <v>141</v>
      </c>
      <c r="P1" s="35" t="s">
        <v>142</v>
      </c>
      <c r="Q1" s="35" t="s">
        <v>143</v>
      </c>
      <c r="R1" s="35" t="s">
        <v>144</v>
      </c>
      <c r="S1" s="35" t="s">
        <v>134</v>
      </c>
      <c r="T1" s="35" t="s">
        <v>135</v>
      </c>
      <c r="U1" s="35" t="s">
        <v>145</v>
      </c>
      <c r="V1" s="35" t="s">
        <v>146</v>
      </c>
      <c r="W1" s="35" t="s">
        <v>147</v>
      </c>
      <c r="X1" s="35" t="s">
        <v>148</v>
      </c>
      <c r="Y1" s="35" t="s">
        <v>136</v>
      </c>
      <c r="Z1" s="35" t="s">
        <v>76</v>
      </c>
      <c r="AA1" s="35" t="s">
        <v>77</v>
      </c>
      <c r="AB1" s="35" t="s">
        <v>78</v>
      </c>
    </row>
    <row r="2" spans="1:28" ht="21" customHeight="1" x14ac:dyDescent="0.15">
      <c r="A2" s="41">
        <v>20019011</v>
      </c>
      <c r="B2" s="41" t="s">
        <v>305</v>
      </c>
      <c r="C2" s="44">
        <v>3</v>
      </c>
      <c r="D2" s="44" t="s">
        <v>126</v>
      </c>
      <c r="E2" s="45" t="s">
        <v>278</v>
      </c>
      <c r="F2" s="45" t="s">
        <v>308</v>
      </c>
      <c r="G2" s="57" t="str">
        <f t="shared" ref="G2:G12" si="0">IFERROR(LEFT(B2,FIND("],",B2)),B2)</f>
        <v>[effect:freq_turn, target:enemy_all, turn:3, val:1, animation:enemy_freq_turn]</v>
      </c>
      <c r="H2" s="57">
        <f t="shared" ref="H2:H13" si="1">FIND("effect:",G2)+7</f>
        <v>9</v>
      </c>
      <c r="I2" s="57">
        <f t="shared" ref="I2:I12" si="2">IFERROR(FIND(",",G2),LEN(G2))</f>
        <v>18</v>
      </c>
      <c r="J2" s="57">
        <f t="shared" ref="J2:J12" si="3">FIND("target:",G2)+7</f>
        <v>27</v>
      </c>
      <c r="K2" s="57">
        <f t="shared" ref="K2:K12" si="4">FIND(",",G2,I2+1)</f>
        <v>36</v>
      </c>
      <c r="L2" s="57" t="str">
        <f>IFERROR(VLOOKUP(MID(G2,J2,K2-J2),[6]skilldef!$C:$D,2,FALSE),"-") &amp; " / " &amp; IFERROR(VLOOKUP(MID(G2,H2,I2-H2),[6]skilldef!$A:$B,2,FALSE),"-")</f>
        <v>敵全体に / 攻撃頻度がUP</v>
      </c>
      <c r="M2" s="57" t="str">
        <f t="shared" ref="M2:M12" si="5">IFERROR(RIGHT(B2,LEN(B2)-FIND("],",B2)-1),"none")</f>
        <v>none</v>
      </c>
      <c r="N2" s="42" t="str">
        <f>IFERROR(LEFT(M2,FIND("],",M2)+S29),M2)</f>
        <v>none</v>
      </c>
      <c r="O2" s="57" t="e">
        <f t="shared" ref="O2:O13" si="6">FIND("effect:",N2)+7</f>
        <v>#VALUE!</v>
      </c>
      <c r="P2" s="57">
        <f t="shared" ref="P2:P12" si="7">IFERROR(FIND(",",N2),LEN(N2))</f>
        <v>4</v>
      </c>
      <c r="Q2" s="57" t="e">
        <f t="shared" ref="Q2:Q12" si="8">FIND("target:",N2)+7</f>
        <v>#VALUE!</v>
      </c>
      <c r="R2" s="57" t="e">
        <f t="shared" ref="R2:R12" si="9">FIND(",",N2,P2+1)</f>
        <v>#VALUE!</v>
      </c>
      <c r="S2" s="57" t="str">
        <f>IFERROR(VLOOKUP(MID(N2,Q2,R2-Q2),[6]skilldef!$C:$D,2,FALSE),"-") &amp; " / " &amp; IFERROR(VLOOKUP(MID(N2,O2,P2-O2),[6]skilldef!$A:$B,2,FALSE),"-")</f>
        <v>- / -</v>
      </c>
      <c r="T2" s="42" t="str">
        <f t="shared" ref="T2:T12" si="10">IFERROR(RIGHT(M2,LEN(M2)-FIND("],",M2)-1),"none")</f>
        <v>none</v>
      </c>
      <c r="U2" s="57" t="e">
        <f t="shared" ref="U2:U13" si="11">FIND("effect:",T2)+7</f>
        <v>#VALUE!</v>
      </c>
      <c r="V2" s="57">
        <f t="shared" ref="V2:V12" si="12">IFERROR(FIND(",",T2),LEN(T2))</f>
        <v>4</v>
      </c>
      <c r="W2" s="57" t="e">
        <f t="shared" ref="W2:W12" si="13">FIND("target:",T2)+7</f>
        <v>#VALUE!</v>
      </c>
      <c r="X2" s="57" t="e">
        <f t="shared" ref="X2:X12" si="14">FIND(",",T2,V2+1)</f>
        <v>#VALUE!</v>
      </c>
      <c r="Y2" s="57" t="str">
        <f>IFERROR(VLOOKUP(MID(T2,W2,X2-W2),[6]skilldef!$C:$D,2,FALSE),"-") &amp; " / " &amp; IFERROR(VLOOKUP(MID(T2,U2,V2-U2),[6]skilldef!$A:$B,2,FALSE),"-")</f>
        <v>- / -</v>
      </c>
      <c r="Z2" s="44"/>
      <c r="AA2" s="46"/>
      <c r="AB2" s="44" t="s">
        <v>253</v>
      </c>
    </row>
    <row r="3" spans="1:28" ht="21" customHeight="1" x14ac:dyDescent="0.15">
      <c r="A3" s="41">
        <v>20019016</v>
      </c>
      <c r="B3" s="41" t="s">
        <v>306</v>
      </c>
      <c r="C3" s="44">
        <v>3</v>
      </c>
      <c r="D3" s="44" t="s">
        <v>126</v>
      </c>
      <c r="E3" s="45" t="s">
        <v>273</v>
      </c>
      <c r="F3" s="45" t="s">
        <v>289</v>
      </c>
      <c r="G3" s="57" t="str">
        <f t="shared" si="0"/>
        <v>[effect:rush, count:2, val:0.6]</v>
      </c>
      <c r="H3" s="57">
        <f t="shared" si="1"/>
        <v>9</v>
      </c>
      <c r="I3" s="57">
        <f t="shared" si="2"/>
        <v>13</v>
      </c>
      <c r="J3" s="57" t="e">
        <f t="shared" si="3"/>
        <v>#VALUE!</v>
      </c>
      <c r="K3" s="57">
        <f t="shared" si="4"/>
        <v>22</v>
      </c>
      <c r="L3" s="57" t="str">
        <f>IFERROR(VLOOKUP(MID(G3,J3,K3-J3),[6]skilldef!$C:$D,2,FALSE),"-") &amp; " / " &amp; IFERROR(VLOOKUP(MID(G3,H3,I3-H3),[6]skilldef!$A:$B,2,FALSE),"-")</f>
        <v>- / 連続攻撃</v>
      </c>
      <c r="M3" s="57" t="str">
        <f t="shared" si="5"/>
        <v>none</v>
      </c>
      <c r="N3" s="42" t="str">
        <f>IFERROR(LEFT(M3,FIND("],",M3)+S34),M3)</f>
        <v>none</v>
      </c>
      <c r="O3" s="57" t="e">
        <f t="shared" si="6"/>
        <v>#VALUE!</v>
      </c>
      <c r="P3" s="57">
        <f t="shared" si="7"/>
        <v>4</v>
      </c>
      <c r="Q3" s="57" t="e">
        <f t="shared" si="8"/>
        <v>#VALUE!</v>
      </c>
      <c r="R3" s="57" t="e">
        <f t="shared" si="9"/>
        <v>#VALUE!</v>
      </c>
      <c r="S3" s="57" t="str">
        <f>IFERROR(VLOOKUP(MID(N3,Q3,R3-Q3),[6]skilldef!$C:$D,2,FALSE),"-") &amp; " / " &amp; IFERROR(VLOOKUP(MID(N3,O3,P3-O3),[6]skilldef!$A:$B,2,FALSE),"-")</f>
        <v>- / -</v>
      </c>
      <c r="T3" s="42" t="str">
        <f t="shared" si="10"/>
        <v>none</v>
      </c>
      <c r="U3" s="57" t="e">
        <f t="shared" si="11"/>
        <v>#VALUE!</v>
      </c>
      <c r="V3" s="57">
        <f t="shared" si="12"/>
        <v>4</v>
      </c>
      <c r="W3" s="57" t="e">
        <f t="shared" si="13"/>
        <v>#VALUE!</v>
      </c>
      <c r="X3" s="57" t="e">
        <f t="shared" si="14"/>
        <v>#VALUE!</v>
      </c>
      <c r="Y3" s="57" t="str">
        <f>IFERROR(VLOOKUP(MID(T3,W3,X3-W3),[6]skilldef!$C:$D,2,FALSE),"-") &amp; " / " &amp; IFERROR(VLOOKUP(MID(T3,U3,V3-U3),[6]skilldef!$A:$B,2,FALSE),"-")</f>
        <v>- / -</v>
      </c>
      <c r="Z3" s="44"/>
      <c r="AA3" s="46"/>
      <c r="AB3" s="44" t="s">
        <v>255</v>
      </c>
    </row>
    <row r="4" spans="1:28" ht="21" customHeight="1" x14ac:dyDescent="0.15">
      <c r="A4" s="41">
        <v>20019021</v>
      </c>
      <c r="B4" s="41" t="s">
        <v>307</v>
      </c>
      <c r="C4" s="44">
        <v>3</v>
      </c>
      <c r="D4" s="44" t="s">
        <v>126</v>
      </c>
      <c r="E4" s="45" t="s">
        <v>274</v>
      </c>
      <c r="F4" s="45" t="s">
        <v>309</v>
      </c>
      <c r="G4" s="57" t="str">
        <f t="shared" si="0"/>
        <v>[effect:enhance_enemy, target:enemy_all, turn:3, status:attack, val:1.25, animation:enemy_enhance_enemy]</v>
      </c>
      <c r="H4" s="57">
        <f t="shared" si="1"/>
        <v>9</v>
      </c>
      <c r="I4" s="57">
        <f t="shared" si="2"/>
        <v>22</v>
      </c>
      <c r="J4" s="57">
        <f t="shared" si="3"/>
        <v>31</v>
      </c>
      <c r="K4" s="57">
        <f t="shared" si="4"/>
        <v>40</v>
      </c>
      <c r="L4" s="57" t="str">
        <f>IFERROR(VLOOKUP(MID(G4,J4,K4-J4),[6]skilldef!$C:$D,2,FALSE),"-") &amp; " / " &amp; IFERROR(VLOOKUP(MID(G4,H4,I4-H4),[6]skilldef!$A:$B,2,FALSE),"-")</f>
        <v>敵全体に / ステータス強化</v>
      </c>
      <c r="M4" s="57" t="str">
        <f t="shared" si="5"/>
        <v>none</v>
      </c>
      <c r="N4" s="42" t="str">
        <f>IFERROR(LEFT(M4,FIND("],",M4)+S39),M4)</f>
        <v>none</v>
      </c>
      <c r="O4" s="57" t="e">
        <f t="shared" si="6"/>
        <v>#VALUE!</v>
      </c>
      <c r="P4" s="57">
        <f t="shared" si="7"/>
        <v>4</v>
      </c>
      <c r="Q4" s="57" t="e">
        <f t="shared" si="8"/>
        <v>#VALUE!</v>
      </c>
      <c r="R4" s="57" t="e">
        <f t="shared" si="9"/>
        <v>#VALUE!</v>
      </c>
      <c r="S4" s="57" t="str">
        <f>IFERROR(VLOOKUP(MID(N4,Q4,R4-Q4),[6]skilldef!$C:$D,2,FALSE),"-") &amp; " / " &amp; IFERROR(VLOOKUP(MID(N4,O4,P4-O4),[6]skilldef!$A:$B,2,FALSE),"-")</f>
        <v>- / -</v>
      </c>
      <c r="T4" s="42" t="str">
        <f t="shared" si="10"/>
        <v>none</v>
      </c>
      <c r="U4" s="57" t="e">
        <f t="shared" si="11"/>
        <v>#VALUE!</v>
      </c>
      <c r="V4" s="57">
        <f t="shared" si="12"/>
        <v>4</v>
      </c>
      <c r="W4" s="57" t="e">
        <f t="shared" si="13"/>
        <v>#VALUE!</v>
      </c>
      <c r="X4" s="57" t="e">
        <f t="shared" si="14"/>
        <v>#VALUE!</v>
      </c>
      <c r="Y4" s="57" t="str">
        <f>IFERROR(VLOOKUP(MID(T4,W4,X4-W4),[6]skilldef!$C:$D,2,FALSE),"-") &amp; " / " &amp; IFERROR(VLOOKUP(MID(T4,U4,V4-U4),[6]skilldef!$A:$B,2,FALSE),"-")</f>
        <v>- / -</v>
      </c>
      <c r="Z4" s="44"/>
      <c r="AA4" s="46"/>
      <c r="AB4" s="44" t="s">
        <v>257</v>
      </c>
    </row>
    <row r="5" spans="1:28" ht="21" customHeight="1" x14ac:dyDescent="0.15">
      <c r="A5" s="41">
        <v>20019026</v>
      </c>
      <c r="B5" s="41" t="s">
        <v>310</v>
      </c>
      <c r="C5" s="44">
        <v>3</v>
      </c>
      <c r="D5" s="44" t="s">
        <v>126</v>
      </c>
      <c r="E5" s="45" t="s">
        <v>272</v>
      </c>
      <c r="F5" s="45" t="s">
        <v>271</v>
      </c>
      <c r="G5" s="57" t="str">
        <f t="shared" si="0"/>
        <v>[effect:spread, val:0.3, animation:enemy_spread]</v>
      </c>
      <c r="H5" s="57">
        <f t="shared" si="1"/>
        <v>9</v>
      </c>
      <c r="I5" s="57">
        <f t="shared" si="2"/>
        <v>15</v>
      </c>
      <c r="J5" s="57" t="e">
        <f t="shared" si="3"/>
        <v>#VALUE!</v>
      </c>
      <c r="K5" s="57">
        <f t="shared" si="4"/>
        <v>24</v>
      </c>
      <c r="L5" s="57" t="str">
        <f>IFERROR(VLOOKUP(MID(G5,J5,K5-J5),[6]skilldef!$C:$D,2,FALSE),"-") &amp; " / " &amp; IFERROR(VLOOKUP(MID(G5,H5,I5-H5),[6]skilldef!$A:$B,2,FALSE),"-")</f>
        <v>- / 全体攻撃</v>
      </c>
      <c r="M5" s="57" t="str">
        <f t="shared" si="5"/>
        <v>none</v>
      </c>
      <c r="N5" s="42" t="str">
        <f>IFERROR(LEFT(M5,FIND("],",M5)+S44),M5)</f>
        <v>none</v>
      </c>
      <c r="O5" s="57" t="e">
        <f t="shared" si="6"/>
        <v>#VALUE!</v>
      </c>
      <c r="P5" s="57">
        <f t="shared" si="7"/>
        <v>4</v>
      </c>
      <c r="Q5" s="57" t="e">
        <f t="shared" si="8"/>
        <v>#VALUE!</v>
      </c>
      <c r="R5" s="57" t="e">
        <f t="shared" si="9"/>
        <v>#VALUE!</v>
      </c>
      <c r="S5" s="57" t="str">
        <f>IFERROR(VLOOKUP(MID(N5,Q5,R5-Q5),[6]skilldef!$C:$D,2,FALSE),"-") &amp; " / " &amp; IFERROR(VLOOKUP(MID(N5,O5,P5-O5),[6]skilldef!$A:$B,2,FALSE),"-")</f>
        <v>- / -</v>
      </c>
      <c r="T5" s="42" t="str">
        <f t="shared" si="10"/>
        <v>none</v>
      </c>
      <c r="U5" s="57" t="e">
        <f t="shared" si="11"/>
        <v>#VALUE!</v>
      </c>
      <c r="V5" s="57">
        <f t="shared" si="12"/>
        <v>4</v>
      </c>
      <c r="W5" s="57" t="e">
        <f t="shared" si="13"/>
        <v>#VALUE!</v>
      </c>
      <c r="X5" s="57" t="e">
        <f t="shared" si="14"/>
        <v>#VALUE!</v>
      </c>
      <c r="Y5" s="57" t="str">
        <f>IFERROR(VLOOKUP(MID(T5,W5,X5-W5),[6]skilldef!$C:$D,2,FALSE),"-") &amp; " / " &amp; IFERROR(VLOOKUP(MID(T5,U5,V5-U5),[6]skilldef!$A:$B,2,FALSE),"-")</f>
        <v>- / -</v>
      </c>
      <c r="Z5" s="44"/>
      <c r="AA5" s="46"/>
      <c r="AB5" s="44" t="s">
        <v>259</v>
      </c>
    </row>
    <row r="6" spans="1:28" ht="21" customHeight="1" x14ac:dyDescent="0.15">
      <c r="A6" s="41">
        <v>20019031</v>
      </c>
      <c r="B6" s="41" t="s">
        <v>319</v>
      </c>
      <c r="C6" s="44">
        <v>3</v>
      </c>
      <c r="D6" s="44" t="s">
        <v>126</v>
      </c>
      <c r="E6" s="45" t="s">
        <v>280</v>
      </c>
      <c r="F6" s="45" t="s">
        <v>290</v>
      </c>
      <c r="G6" s="57" t="str">
        <f t="shared" si="0"/>
        <v>[effect:remove_enhancement, target:unit_all, target_effect:all, target_type:buff, animation:frozen_wave]</v>
      </c>
      <c r="H6" s="57">
        <f t="shared" si="1"/>
        <v>9</v>
      </c>
      <c r="I6" s="57">
        <f t="shared" si="2"/>
        <v>27</v>
      </c>
      <c r="J6" s="57">
        <f t="shared" si="3"/>
        <v>36</v>
      </c>
      <c r="K6" s="57">
        <f t="shared" si="4"/>
        <v>44</v>
      </c>
      <c r="L6" s="57" t="str">
        <f>IFERROR(VLOOKUP(MID(G6,J6,K6-J6),[6]skilldef!$C:$D,2,FALSE),"-") &amp; " / " &amp; IFERROR(VLOOKUP(MID(G6,H6,I6-H6),[6]skilldef!$A:$B,2,FALSE),"-")</f>
        <v>味方全体に / -</v>
      </c>
      <c r="M6" s="57" t="str">
        <f t="shared" si="5"/>
        <v>[effect:enemy_message, val1:1.5]</v>
      </c>
      <c r="N6" s="42" t="str">
        <f>IFERROR(LEFT(M6,FIND("],",M6)+S49),M6)</f>
        <v>[effect:enemy_message, val1:1.5]</v>
      </c>
      <c r="O6" s="57">
        <f t="shared" si="6"/>
        <v>9</v>
      </c>
      <c r="P6" s="57">
        <f t="shared" si="7"/>
        <v>22</v>
      </c>
      <c r="Q6" s="57" t="e">
        <f t="shared" si="8"/>
        <v>#VALUE!</v>
      </c>
      <c r="R6" s="57" t="e">
        <f t="shared" si="9"/>
        <v>#VALUE!</v>
      </c>
      <c r="S6" s="57" t="str">
        <f>IFERROR(VLOOKUP(MID(N6,Q6,R6-Q6),[6]skilldef!$C:$D,2,FALSE),"-") &amp; " / " &amp; IFERROR(VLOOKUP(MID(N6,O6,P6-O6),[6]skilldef!$A:$B,2,FALSE),"-")</f>
        <v>- / -</v>
      </c>
      <c r="T6" s="42" t="str">
        <f t="shared" si="10"/>
        <v>none</v>
      </c>
      <c r="U6" s="57" t="e">
        <f t="shared" si="11"/>
        <v>#VALUE!</v>
      </c>
      <c r="V6" s="57">
        <f t="shared" si="12"/>
        <v>4</v>
      </c>
      <c r="W6" s="57" t="e">
        <f t="shared" si="13"/>
        <v>#VALUE!</v>
      </c>
      <c r="X6" s="57" t="e">
        <f t="shared" si="14"/>
        <v>#VALUE!</v>
      </c>
      <c r="Y6" s="57" t="str">
        <f>IFERROR(VLOOKUP(MID(T6,W6,X6-W6),[6]skilldef!$C:$D,2,FALSE),"-") &amp; " / " &amp; IFERROR(VLOOKUP(MID(T6,U6,V6-U6),[6]skilldef!$A:$B,2,FALSE),"-")</f>
        <v>- / -</v>
      </c>
      <c r="Z6" s="44"/>
      <c r="AA6" s="46"/>
      <c r="AB6" s="44" t="s">
        <v>261</v>
      </c>
    </row>
    <row r="7" spans="1:28" ht="21" customHeight="1" x14ac:dyDescent="0.15">
      <c r="A7" s="41">
        <v>20019032</v>
      </c>
      <c r="B7" s="41" t="s">
        <v>277</v>
      </c>
      <c r="C7" s="44">
        <v>3</v>
      </c>
      <c r="D7" s="44" t="s">
        <v>126</v>
      </c>
      <c r="E7" s="45" t="s">
        <v>266</v>
      </c>
      <c r="F7" s="45" t="s">
        <v>312</v>
      </c>
      <c r="G7" s="57" t="str">
        <f t="shared" ref="G7" si="15">IFERROR(LEFT(B7,FIND("],",B7)),B7)</f>
        <v>[effect:enhance_enemy, target:myself, turn:3, status:attack, val:1.25, animation:enemy_enhance_enemy]</v>
      </c>
      <c r="H7" s="57">
        <f t="shared" si="1"/>
        <v>9</v>
      </c>
      <c r="I7" s="57">
        <f t="shared" ref="I7" si="16">IFERROR(FIND(",",G7),LEN(G7))</f>
        <v>22</v>
      </c>
      <c r="J7" s="57">
        <f t="shared" ref="J7" si="17">FIND("target:",G7)+7</f>
        <v>31</v>
      </c>
      <c r="K7" s="57">
        <f t="shared" ref="K7" si="18">FIND(",",G7,I7+1)</f>
        <v>37</v>
      </c>
      <c r="L7" s="57" t="str">
        <f>IFERROR(VLOOKUP(MID(G7,J7,K7-J7),[6]skilldef!$C:$D,2,FALSE),"-") &amp; " / " &amp; IFERROR(VLOOKUP(MID(G7,H7,I7-H7),[6]skilldef!$A:$B,2,FALSE),"-")</f>
        <v>自分自身に / ステータス強化</v>
      </c>
      <c r="M7" s="57" t="str">
        <f t="shared" ref="M7" si="19">IFERROR(RIGHT(B7,LEN(B7)-FIND("],",B7)-1),"none")</f>
        <v>none</v>
      </c>
      <c r="N7" s="42" t="str">
        <f>IFERROR(LEFT(M7,FIND("],",M7)+S50),M7)</f>
        <v>none</v>
      </c>
      <c r="O7" s="57" t="e">
        <f t="shared" si="6"/>
        <v>#VALUE!</v>
      </c>
      <c r="P7" s="57">
        <f t="shared" ref="P7" si="20">IFERROR(FIND(",",N7),LEN(N7))</f>
        <v>4</v>
      </c>
      <c r="Q7" s="57" t="e">
        <f t="shared" ref="Q7" si="21">FIND("target:",N7)+7</f>
        <v>#VALUE!</v>
      </c>
      <c r="R7" s="57" t="e">
        <f t="shared" ref="R7" si="22">FIND(",",N7,P7+1)</f>
        <v>#VALUE!</v>
      </c>
      <c r="S7" s="57" t="str">
        <f>IFERROR(VLOOKUP(MID(N7,Q7,R7-Q7),[6]skilldef!$C:$D,2,FALSE),"-") &amp; " / " &amp; IFERROR(VLOOKUP(MID(N7,O7,P7-O7),[6]skilldef!$A:$B,2,FALSE),"-")</f>
        <v>- / -</v>
      </c>
      <c r="T7" s="42" t="str">
        <f t="shared" ref="T7" si="23">IFERROR(RIGHT(M7,LEN(M7)-FIND("],",M7)-1),"none")</f>
        <v>none</v>
      </c>
      <c r="U7" s="57" t="e">
        <f t="shared" si="11"/>
        <v>#VALUE!</v>
      </c>
      <c r="V7" s="57">
        <f t="shared" ref="V7" si="24">IFERROR(FIND(",",T7),LEN(T7))</f>
        <v>4</v>
      </c>
      <c r="W7" s="57" t="e">
        <f t="shared" ref="W7" si="25">FIND("target:",T7)+7</f>
        <v>#VALUE!</v>
      </c>
      <c r="X7" s="57" t="e">
        <f t="shared" ref="X7" si="26">FIND(",",T7,V7+1)</f>
        <v>#VALUE!</v>
      </c>
      <c r="Y7" s="57" t="str">
        <f>IFERROR(VLOOKUP(MID(T7,W7,X7-W7),[6]skilldef!$C:$D,2,FALSE),"-") &amp; " / " &amp; IFERROR(VLOOKUP(MID(T7,U7,V7-U7),[6]skilldef!$A:$B,2,FALSE),"-")</f>
        <v>- / -</v>
      </c>
      <c r="Z7" s="44"/>
      <c r="AA7" s="46"/>
      <c r="AB7" s="44" t="s">
        <v>262</v>
      </c>
    </row>
    <row r="8" spans="1:28" ht="21" customHeight="1" x14ac:dyDescent="0.15">
      <c r="A8" s="41">
        <v>20019033</v>
      </c>
      <c r="B8" s="41" t="s">
        <v>311</v>
      </c>
      <c r="C8" s="44">
        <v>3</v>
      </c>
      <c r="D8" s="44" t="s">
        <v>126</v>
      </c>
      <c r="E8" s="45" t="s">
        <v>267</v>
      </c>
      <c r="F8" s="45" t="s">
        <v>270</v>
      </c>
      <c r="G8" s="57" t="str">
        <f t="shared" si="0"/>
        <v>[effect:critical, val:1.5]</v>
      </c>
      <c r="H8" s="57">
        <f t="shared" si="1"/>
        <v>9</v>
      </c>
      <c r="I8" s="57">
        <f t="shared" si="2"/>
        <v>17</v>
      </c>
      <c r="J8" s="57" t="e">
        <f t="shared" si="3"/>
        <v>#VALUE!</v>
      </c>
      <c r="K8" s="57" t="e">
        <f t="shared" si="4"/>
        <v>#VALUE!</v>
      </c>
      <c r="L8" s="57" t="str">
        <f>IFERROR(VLOOKUP(MID(G8,J8,K8-J8),[6]skilldef!$C:$D,2,FALSE),"-") &amp; " / " &amp; IFERROR(VLOOKUP(MID(G8,H8,I8-H8),[6]skilldef!$A:$B,2,FALSE),"-")</f>
        <v>- / 大攻撃</v>
      </c>
      <c r="M8" s="57" t="str">
        <f t="shared" si="5"/>
        <v>none</v>
      </c>
      <c r="N8" s="42" t="str">
        <f>IFERROR(LEFT(M8,FIND("],",M8)+S50),M8)</f>
        <v>none</v>
      </c>
      <c r="O8" s="57" t="e">
        <f t="shared" si="6"/>
        <v>#VALUE!</v>
      </c>
      <c r="P8" s="57">
        <f t="shared" si="7"/>
        <v>4</v>
      </c>
      <c r="Q8" s="57" t="e">
        <f t="shared" si="8"/>
        <v>#VALUE!</v>
      </c>
      <c r="R8" s="57" t="e">
        <f t="shared" si="9"/>
        <v>#VALUE!</v>
      </c>
      <c r="S8" s="57" t="str">
        <f>IFERROR(VLOOKUP(MID(N8,Q8,R8-Q8),[6]skilldef!$C:$D,2,FALSE),"-") &amp; " / " &amp; IFERROR(VLOOKUP(MID(N8,O8,P8-O8),[6]skilldef!$A:$B,2,FALSE),"-")</f>
        <v>- / -</v>
      </c>
      <c r="T8" s="42" t="str">
        <f t="shared" si="10"/>
        <v>none</v>
      </c>
      <c r="U8" s="57" t="e">
        <f t="shared" si="11"/>
        <v>#VALUE!</v>
      </c>
      <c r="V8" s="57">
        <f t="shared" si="12"/>
        <v>4</v>
      </c>
      <c r="W8" s="57" t="e">
        <f t="shared" si="13"/>
        <v>#VALUE!</v>
      </c>
      <c r="X8" s="57" t="e">
        <f t="shared" si="14"/>
        <v>#VALUE!</v>
      </c>
      <c r="Y8" s="57" t="str">
        <f>IFERROR(VLOOKUP(MID(T8,W8,X8-W8),[6]skilldef!$C:$D,2,FALSE),"-") &amp; " / " &amp; IFERROR(VLOOKUP(MID(T8,U8,V8-U8),[6]skilldef!$A:$B,2,FALSE),"-")</f>
        <v>- / -</v>
      </c>
      <c r="Z8" s="44"/>
      <c r="AA8" s="46"/>
      <c r="AB8" s="44" t="s">
        <v>263</v>
      </c>
    </row>
    <row r="9" spans="1:28" ht="21" customHeight="1" x14ac:dyDescent="0.15">
      <c r="A9" s="41">
        <v>20019034</v>
      </c>
      <c r="B9" s="41" t="s">
        <v>313</v>
      </c>
      <c r="C9" s="44">
        <v>3</v>
      </c>
      <c r="D9" s="44" t="s">
        <v>126</v>
      </c>
      <c r="E9" s="45" t="s">
        <v>268</v>
      </c>
      <c r="F9" s="45" t="s">
        <v>314</v>
      </c>
      <c r="G9" s="57" t="str">
        <f t="shared" si="0"/>
        <v>[effect:fix_speed, target:myself, turn:1]</v>
      </c>
      <c r="H9" s="57">
        <f t="shared" si="1"/>
        <v>9</v>
      </c>
      <c r="I9" s="57">
        <f t="shared" si="2"/>
        <v>18</v>
      </c>
      <c r="J9" s="57">
        <f t="shared" si="3"/>
        <v>27</v>
      </c>
      <c r="K9" s="57">
        <f t="shared" si="4"/>
        <v>33</v>
      </c>
      <c r="L9" s="57" t="str">
        <f>IFERROR(VLOOKUP(MID(G9,J9,K9-J9),[6]skilldef!$C:$D,2,FALSE),"-") &amp; " / " &amp; IFERROR(VLOOKUP(MID(G9,H9,I9-H9),[6]skilldef!$A:$B,2,FALSE),"-")</f>
        <v>自分自身に / 行動値設定</v>
      </c>
      <c r="M9" s="57" t="str">
        <f t="shared" si="5"/>
        <v>none</v>
      </c>
      <c r="N9" s="42" t="str">
        <f>IFERROR(LEFT(M9,FIND("],",M9)+S52),M9)</f>
        <v>none</v>
      </c>
      <c r="O9" s="57" t="e">
        <f t="shared" si="6"/>
        <v>#VALUE!</v>
      </c>
      <c r="P9" s="57">
        <f t="shared" si="7"/>
        <v>4</v>
      </c>
      <c r="Q9" s="57" t="e">
        <f t="shared" si="8"/>
        <v>#VALUE!</v>
      </c>
      <c r="R9" s="57" t="e">
        <f t="shared" si="9"/>
        <v>#VALUE!</v>
      </c>
      <c r="S9" s="57" t="str">
        <f>IFERROR(VLOOKUP(MID(N9,Q9,R9-Q9),[6]skilldef!$C:$D,2,FALSE),"-") &amp; " / " &amp; IFERROR(VLOOKUP(MID(N9,O9,P9-O9),[6]skilldef!$A:$B,2,FALSE),"-")</f>
        <v>- / -</v>
      </c>
      <c r="T9" s="42" t="str">
        <f t="shared" si="10"/>
        <v>none</v>
      </c>
      <c r="U9" s="57" t="e">
        <f t="shared" si="11"/>
        <v>#VALUE!</v>
      </c>
      <c r="V9" s="57">
        <f t="shared" si="12"/>
        <v>4</v>
      </c>
      <c r="W9" s="57" t="e">
        <f t="shared" si="13"/>
        <v>#VALUE!</v>
      </c>
      <c r="X9" s="57" t="e">
        <f t="shared" si="14"/>
        <v>#VALUE!</v>
      </c>
      <c r="Y9" s="57" t="str">
        <f>IFERROR(VLOOKUP(MID(T9,W9,X9-W9),[6]skilldef!$C:$D,2,FALSE),"-") &amp; " / " &amp; IFERROR(VLOOKUP(MID(T9,U9,V9-U9),[6]skilldef!$A:$B,2,FALSE),"-")</f>
        <v>- / -</v>
      </c>
      <c r="Z9" s="44"/>
      <c r="AA9" s="46"/>
      <c r="AB9" s="44" t="s">
        <v>264</v>
      </c>
    </row>
    <row r="10" spans="1:28" ht="21" customHeight="1" x14ac:dyDescent="0.15">
      <c r="A10" s="41">
        <v>20019035</v>
      </c>
      <c r="B10" s="41" t="s">
        <v>320</v>
      </c>
      <c r="C10" s="44">
        <v>3</v>
      </c>
      <c r="D10" s="44" t="s">
        <v>126</v>
      </c>
      <c r="E10" s="45" t="s">
        <v>279</v>
      </c>
      <c r="F10" s="45" t="s">
        <v>290</v>
      </c>
      <c r="G10" s="57" t="str">
        <f t="shared" ref="G10" si="27">IFERROR(LEFT(B10,FIND("],",B10)),B10)</f>
        <v>[effect:remove_enhancement, target:unit_all, target_effect:all, target_type:buff, animation:frozen_wave]</v>
      </c>
      <c r="H10" s="57">
        <f t="shared" si="1"/>
        <v>9</v>
      </c>
      <c r="I10" s="57">
        <f t="shared" ref="I10" si="28">IFERROR(FIND(",",G10),LEN(G10))</f>
        <v>27</v>
      </c>
      <c r="J10" s="57">
        <f t="shared" ref="J10" si="29">FIND("target:",G10)+7</f>
        <v>36</v>
      </c>
      <c r="K10" s="57">
        <f t="shared" ref="K10" si="30">FIND(",",G10,I10+1)</f>
        <v>44</v>
      </c>
      <c r="L10" s="57" t="str">
        <f>IFERROR(VLOOKUP(MID(G10,J10,K10-J10),[6]skilldef!$C:$D,2,FALSE),"-") &amp; " / " &amp; IFERROR(VLOOKUP(MID(G10,H10,I10-H10),[6]skilldef!$A:$B,2,FALSE),"-")</f>
        <v>味方全体に / -</v>
      </c>
      <c r="M10" s="57" t="str">
        <f t="shared" ref="M10" si="31">IFERROR(RIGHT(B10,LEN(B10)-FIND("],",B10)-1),"none")</f>
        <v>[effect:enemy_message, val1:1.5]</v>
      </c>
      <c r="N10" s="42" t="str">
        <f>IFERROR(LEFT(M10,FIND("],",M10)+S53),M10)</f>
        <v>[effect:enemy_message, val1:1.5]</v>
      </c>
      <c r="O10" s="57">
        <f t="shared" si="6"/>
        <v>9</v>
      </c>
      <c r="P10" s="57">
        <f t="shared" ref="P10" si="32">IFERROR(FIND(",",N10),LEN(N10))</f>
        <v>22</v>
      </c>
      <c r="Q10" s="57" t="e">
        <f t="shared" ref="Q10" si="33">FIND("target:",N10)+7</f>
        <v>#VALUE!</v>
      </c>
      <c r="R10" s="57" t="e">
        <f t="shared" ref="R10" si="34">FIND(",",N10,P10+1)</f>
        <v>#VALUE!</v>
      </c>
      <c r="S10" s="57" t="str">
        <f>IFERROR(VLOOKUP(MID(N10,Q10,R10-Q10),[6]skilldef!$C:$D,2,FALSE),"-") &amp; " / " &amp; IFERROR(VLOOKUP(MID(N10,O10,P10-O10),[6]skilldef!$A:$B,2,FALSE),"-")</f>
        <v>- / -</v>
      </c>
      <c r="T10" s="42" t="str">
        <f t="shared" ref="T10" si="35">IFERROR(RIGHT(M10,LEN(M10)-FIND("],",M10)-1),"none")</f>
        <v>none</v>
      </c>
      <c r="U10" s="57" t="e">
        <f t="shared" si="11"/>
        <v>#VALUE!</v>
      </c>
      <c r="V10" s="57">
        <f t="shared" ref="V10" si="36">IFERROR(FIND(",",T10),LEN(T10))</f>
        <v>4</v>
      </c>
      <c r="W10" s="57" t="e">
        <f t="shared" ref="W10" si="37">FIND("target:",T10)+7</f>
        <v>#VALUE!</v>
      </c>
      <c r="X10" s="57" t="e">
        <f t="shared" ref="X10" si="38">FIND(",",T10,V10+1)</f>
        <v>#VALUE!</v>
      </c>
      <c r="Y10" s="57" t="str">
        <f>IFERROR(VLOOKUP(MID(T10,W10,X10-W10),[6]skilldef!$C:$D,2,FALSE),"-") &amp; " / " &amp; IFERROR(VLOOKUP(MID(T10,U10,V10-U10),[6]skilldef!$A:$B,2,FALSE),"-")</f>
        <v>- / -</v>
      </c>
      <c r="Z10" s="44"/>
      <c r="AA10" s="46"/>
      <c r="AB10" s="44" t="s">
        <v>265</v>
      </c>
    </row>
    <row r="11" spans="1:28" ht="21" customHeight="1" x14ac:dyDescent="0.15">
      <c r="A11" s="41">
        <v>20019036</v>
      </c>
      <c r="B11" s="41" t="s">
        <v>287</v>
      </c>
      <c r="C11" s="44">
        <v>3</v>
      </c>
      <c r="D11" s="44" t="s">
        <v>126</v>
      </c>
      <c r="E11" s="45" t="s">
        <v>288</v>
      </c>
      <c r="F11" s="45" t="s">
        <v>291</v>
      </c>
      <c r="G11" s="57" t="str">
        <f t="shared" si="0"/>
        <v>[effect:rush, count:3, val:0.4]</v>
      </c>
      <c r="H11" s="57">
        <f t="shared" si="1"/>
        <v>9</v>
      </c>
      <c r="I11" s="57">
        <f t="shared" si="2"/>
        <v>13</v>
      </c>
      <c r="J11" s="57" t="e">
        <f t="shared" si="3"/>
        <v>#VALUE!</v>
      </c>
      <c r="K11" s="57">
        <f t="shared" si="4"/>
        <v>22</v>
      </c>
      <c r="L11" s="57" t="str">
        <f>IFERROR(VLOOKUP(MID(G11,J11,K11-J11),[6]skilldef!$C:$D,2,FALSE),"-") &amp; " / " &amp; IFERROR(VLOOKUP(MID(G11,H11,I11-H11),[6]skilldef!$A:$B,2,FALSE),"-")</f>
        <v>- / 連続攻撃</v>
      </c>
      <c r="M11" s="57" t="str">
        <f t="shared" si="5"/>
        <v>none</v>
      </c>
      <c r="N11" s="42" t="str">
        <f>IFERROR(LEFT(M11,FIND("],",M11)+S51),M11)</f>
        <v>none</v>
      </c>
      <c r="O11" s="57" t="e">
        <f t="shared" si="6"/>
        <v>#VALUE!</v>
      </c>
      <c r="P11" s="57">
        <f t="shared" si="7"/>
        <v>4</v>
      </c>
      <c r="Q11" s="57" t="e">
        <f t="shared" si="8"/>
        <v>#VALUE!</v>
      </c>
      <c r="R11" s="57" t="e">
        <f t="shared" si="9"/>
        <v>#VALUE!</v>
      </c>
      <c r="S11" s="57" t="str">
        <f>IFERROR(VLOOKUP(MID(N11,Q11,R11-Q11),[6]skilldef!$C:$D,2,FALSE),"-") &amp; " / " &amp; IFERROR(VLOOKUP(MID(N11,O11,P11-O11),[6]skilldef!$A:$B,2,FALSE),"-")</f>
        <v>- / -</v>
      </c>
      <c r="T11" s="42" t="str">
        <f t="shared" si="10"/>
        <v>none</v>
      </c>
      <c r="U11" s="57" t="e">
        <f t="shared" si="11"/>
        <v>#VALUE!</v>
      </c>
      <c r="V11" s="57">
        <f t="shared" si="12"/>
        <v>4</v>
      </c>
      <c r="W11" s="57" t="e">
        <f t="shared" si="13"/>
        <v>#VALUE!</v>
      </c>
      <c r="X11" s="57" t="e">
        <f t="shared" si="14"/>
        <v>#VALUE!</v>
      </c>
      <c r="Y11" s="57" t="str">
        <f>IFERROR(VLOOKUP(MID(T11,W11,X11-W11),[6]skilldef!$C:$D,2,FALSE),"-") &amp; " / " &amp; IFERROR(VLOOKUP(MID(T11,U11,V11-U11),[6]skilldef!$A:$B,2,FALSE),"-")</f>
        <v>- / -</v>
      </c>
      <c r="Z11" s="44"/>
      <c r="AA11" s="46"/>
      <c r="AB11" s="44" t="s">
        <v>284</v>
      </c>
    </row>
    <row r="12" spans="1:28" ht="21" customHeight="1" x14ac:dyDescent="0.15">
      <c r="A12" s="41">
        <v>20019037</v>
      </c>
      <c r="B12" s="41" t="s">
        <v>315</v>
      </c>
      <c r="C12" s="44">
        <v>3</v>
      </c>
      <c r="D12" s="44" t="s">
        <v>126</v>
      </c>
      <c r="E12" s="45" t="s">
        <v>269</v>
      </c>
      <c r="F12" s="45" t="s">
        <v>292</v>
      </c>
      <c r="G12" s="57" t="str">
        <f t="shared" si="0"/>
        <v>[effect:rush, count:5, val:0.25]</v>
      </c>
      <c r="H12" s="57">
        <f t="shared" si="1"/>
        <v>9</v>
      </c>
      <c r="I12" s="57">
        <f t="shared" si="2"/>
        <v>13</v>
      </c>
      <c r="J12" s="57" t="e">
        <f t="shared" si="3"/>
        <v>#VALUE!</v>
      </c>
      <c r="K12" s="57">
        <f t="shared" si="4"/>
        <v>22</v>
      </c>
      <c r="L12" s="57" t="str">
        <f>IFERROR(VLOOKUP(MID(G12,J12,K12-J12),[6]skilldef!$C:$D,2,FALSE),"-") &amp; " / " &amp; IFERROR(VLOOKUP(MID(G12,H12,I12-H12),[6]skilldef!$A:$B,2,FALSE),"-")</f>
        <v>- / 連続攻撃</v>
      </c>
      <c r="M12" s="57" t="str">
        <f t="shared" si="5"/>
        <v>none</v>
      </c>
      <c r="N12" s="42" t="str">
        <f>IFERROR(LEFT(M12,FIND("],",M12)+S53),M12)</f>
        <v>none</v>
      </c>
      <c r="O12" s="57" t="e">
        <f t="shared" si="6"/>
        <v>#VALUE!</v>
      </c>
      <c r="P12" s="57">
        <f t="shared" si="7"/>
        <v>4</v>
      </c>
      <c r="Q12" s="57" t="e">
        <f t="shared" si="8"/>
        <v>#VALUE!</v>
      </c>
      <c r="R12" s="57" t="e">
        <f t="shared" si="9"/>
        <v>#VALUE!</v>
      </c>
      <c r="S12" s="57" t="str">
        <f>IFERROR(VLOOKUP(MID(N12,Q12,R12-Q12),[6]skilldef!$C:$D,2,FALSE),"-") &amp; " / " &amp; IFERROR(VLOOKUP(MID(N12,O12,P12-O12),[6]skilldef!$A:$B,2,FALSE),"-")</f>
        <v>- / -</v>
      </c>
      <c r="T12" s="42" t="str">
        <f t="shared" si="10"/>
        <v>none</v>
      </c>
      <c r="U12" s="57" t="e">
        <f t="shared" si="11"/>
        <v>#VALUE!</v>
      </c>
      <c r="V12" s="57">
        <f t="shared" si="12"/>
        <v>4</v>
      </c>
      <c r="W12" s="57" t="e">
        <f t="shared" si="13"/>
        <v>#VALUE!</v>
      </c>
      <c r="X12" s="57" t="e">
        <f t="shared" si="14"/>
        <v>#VALUE!</v>
      </c>
      <c r="Y12" s="57" t="str">
        <f>IFERROR(VLOOKUP(MID(T12,W12,X12-W12),[6]skilldef!$C:$D,2,FALSE),"-") &amp; " / " &amp; IFERROR(VLOOKUP(MID(T12,U12,V12-U12),[6]skilldef!$A:$B,2,FALSE),"-")</f>
        <v>- / -</v>
      </c>
      <c r="Z12" s="44"/>
      <c r="AA12" s="46"/>
      <c r="AB12" s="44" t="s">
        <v>285</v>
      </c>
    </row>
    <row r="13" spans="1:28" ht="21" customHeight="1" x14ac:dyDescent="0.15">
      <c r="A13" s="41">
        <v>20019038</v>
      </c>
      <c r="B13" s="41" t="s">
        <v>316</v>
      </c>
      <c r="C13" s="44">
        <v>3</v>
      </c>
      <c r="D13" s="44" t="s">
        <v>126</v>
      </c>
      <c r="E13" s="45" t="s">
        <v>282</v>
      </c>
      <c r="F13" s="45" t="s">
        <v>281</v>
      </c>
      <c r="G13" s="57" t="str">
        <f t="shared" ref="G13" si="39">IFERROR(LEFT(B13,FIND("],",B13)),B13)</f>
        <v>[effect:enemy_message, val1:2, val2:3]</v>
      </c>
      <c r="H13" s="57">
        <f t="shared" si="1"/>
        <v>9</v>
      </c>
      <c r="I13" s="57">
        <f t="shared" ref="I13" si="40">IFERROR(FIND(",",G13),LEN(G13))</f>
        <v>22</v>
      </c>
      <c r="J13" s="57" t="e">
        <f t="shared" ref="J13" si="41">FIND("target:",G13)+7</f>
        <v>#VALUE!</v>
      </c>
      <c r="K13" s="57">
        <f t="shared" ref="K13" si="42">FIND(",",G13,I13+1)</f>
        <v>30</v>
      </c>
      <c r="L13" s="57" t="str">
        <f>IFERROR(VLOOKUP(MID(G13,J13,K13-J13),[6]skilldef!$C:$D,2,FALSE),"-") &amp; " / " &amp; IFERROR(VLOOKUP(MID(G13,H13,I13-H13),[6]skilldef!$A:$B,2,FALSE),"-")</f>
        <v>- / -</v>
      </c>
      <c r="M13" s="57" t="str">
        <f t="shared" ref="M13" si="43">IFERROR(RIGHT(B13,LEN(B13)-FIND("],",B13)-1),"none")</f>
        <v>none</v>
      </c>
      <c r="N13" s="42" t="str">
        <f>IFERROR(LEFT(M13,FIND("],",M13)+S55),M13)</f>
        <v>none</v>
      </c>
      <c r="O13" s="57" t="e">
        <f t="shared" si="6"/>
        <v>#VALUE!</v>
      </c>
      <c r="P13" s="57">
        <f t="shared" ref="P13" si="44">IFERROR(FIND(",",N13),LEN(N13))</f>
        <v>4</v>
      </c>
      <c r="Q13" s="57" t="e">
        <f t="shared" ref="Q13" si="45">FIND("target:",N13)+7</f>
        <v>#VALUE!</v>
      </c>
      <c r="R13" s="57" t="e">
        <f t="shared" ref="R13" si="46">FIND(",",N13,P13+1)</f>
        <v>#VALUE!</v>
      </c>
      <c r="S13" s="57" t="str">
        <f>IFERROR(VLOOKUP(MID(N13,Q13,R13-Q13),[6]skilldef!$C:$D,2,FALSE),"-") &amp; " / " &amp; IFERROR(VLOOKUP(MID(N13,O13,P13-O13),[6]skilldef!$A:$B,2,FALSE),"-")</f>
        <v>- / -</v>
      </c>
      <c r="T13" s="42" t="str">
        <f t="shared" ref="T13" si="47">IFERROR(RIGHT(M13,LEN(M13)-FIND("],",M13)-1),"none")</f>
        <v>none</v>
      </c>
      <c r="U13" s="57" t="e">
        <f t="shared" si="11"/>
        <v>#VALUE!</v>
      </c>
      <c r="V13" s="57">
        <f t="shared" ref="V13" si="48">IFERROR(FIND(",",T13),LEN(T13))</f>
        <v>4</v>
      </c>
      <c r="W13" s="57" t="e">
        <f t="shared" ref="W13" si="49">FIND("target:",T13)+7</f>
        <v>#VALUE!</v>
      </c>
      <c r="X13" s="57" t="e">
        <f t="shared" ref="X13" si="50">FIND(",",T13,V13+1)</f>
        <v>#VALUE!</v>
      </c>
      <c r="Y13" s="57" t="str">
        <f>IFERROR(VLOOKUP(MID(T13,W13,X13-W13),[6]skilldef!$C:$D,2,FALSE),"-") &amp; " / " &amp; IFERROR(VLOOKUP(MID(T13,U13,V13-U13),[6]skilldef!$A:$B,2,FALSE),"-")</f>
        <v>- / -</v>
      </c>
      <c r="Z13" s="44"/>
      <c r="AA13" s="46"/>
      <c r="AB13" s="44" t="s">
        <v>286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3"/>
  <sheetViews>
    <sheetView showGridLines="0" workbookViewId="0">
      <pane ySplit="1" topLeftCell="A2" activePane="bottomLeft" state="frozenSplit"/>
      <selection pane="bottomLeft" activeCell="B14" sqref="B14"/>
    </sheetView>
  </sheetViews>
  <sheetFormatPr baseColWidth="12" defaultColWidth="12.83203125" defaultRowHeight="21" customHeight="1" x14ac:dyDescent="0.15"/>
  <cols>
    <col min="1" max="1" width="16.1640625" style="43" bestFit="1" customWidth="1"/>
    <col min="2" max="2" width="13.33203125" style="43" bestFit="1" customWidth="1"/>
    <col min="3" max="3" width="11.83203125" style="43" bestFit="1" customWidth="1"/>
    <col min="4" max="4" width="14.6640625" style="43" bestFit="1" customWidth="1"/>
    <col min="5" max="5" width="15.6640625" style="43" bestFit="1" customWidth="1"/>
    <col min="6" max="6" width="17" style="43" bestFit="1" customWidth="1"/>
    <col min="7" max="7" width="15.6640625" style="43" bestFit="1" customWidth="1"/>
    <col min="8" max="9" width="14.6640625" style="43" customWidth="1"/>
    <col min="10" max="10" width="14.6640625" style="43" bestFit="1" customWidth="1"/>
    <col min="11" max="11" width="22.83203125" style="33" bestFit="1" customWidth="1"/>
    <col min="12" max="16384" width="12.83203125" style="39"/>
  </cols>
  <sheetData>
    <row r="1" spans="1:11" ht="21" customHeight="1" x14ac:dyDescent="0.15">
      <c r="A1" s="36" t="s">
        <v>84</v>
      </c>
      <c r="B1" s="36" t="s">
        <v>85</v>
      </c>
      <c r="C1" s="36" t="s">
        <v>86</v>
      </c>
      <c r="D1" s="36" t="s">
        <v>87</v>
      </c>
      <c r="E1" s="36" t="s">
        <v>70</v>
      </c>
      <c r="F1" s="47" t="s">
        <v>71</v>
      </c>
      <c r="G1" s="47" t="s">
        <v>72</v>
      </c>
      <c r="H1" s="36" t="s">
        <v>73</v>
      </c>
      <c r="I1" s="36" t="s">
        <v>74</v>
      </c>
      <c r="J1" s="36" t="s">
        <v>75</v>
      </c>
      <c r="K1" s="48" t="s">
        <v>88</v>
      </c>
    </row>
    <row r="2" spans="1:11" ht="21" customHeight="1" x14ac:dyDescent="0.15">
      <c r="A2" s="41">
        <v>20019011</v>
      </c>
      <c r="B2" s="41">
        <v>0</v>
      </c>
      <c r="C2" s="41" t="s">
        <v>53</v>
      </c>
      <c r="D2" s="41">
        <v>70</v>
      </c>
      <c r="E2" s="41" t="s">
        <v>53</v>
      </c>
      <c r="F2" s="41" t="s">
        <v>53</v>
      </c>
      <c r="G2" s="41">
        <v>1</v>
      </c>
      <c r="H2" s="41" t="s">
        <v>53</v>
      </c>
      <c r="I2" s="41" t="s">
        <v>53</v>
      </c>
      <c r="J2" s="42">
        <f t="shared" ref="J2:J3" si="0">D2</f>
        <v>70</v>
      </c>
    </row>
    <row r="3" spans="1:11" ht="21" customHeight="1" x14ac:dyDescent="0.15">
      <c r="A3" s="41">
        <v>20019016</v>
      </c>
      <c r="B3" s="41">
        <v>0</v>
      </c>
      <c r="C3" s="41" t="s">
        <v>53</v>
      </c>
      <c r="D3" s="41">
        <v>40</v>
      </c>
      <c r="E3" s="41" t="s">
        <v>53</v>
      </c>
      <c r="F3" s="41" t="s">
        <v>53</v>
      </c>
      <c r="G3" s="41" t="s">
        <v>53</v>
      </c>
      <c r="H3" s="41" t="s">
        <v>53</v>
      </c>
      <c r="I3" s="41" t="s">
        <v>53</v>
      </c>
      <c r="J3" s="42">
        <f t="shared" si="0"/>
        <v>40</v>
      </c>
    </row>
    <row r="4" spans="1:11" ht="21" customHeight="1" x14ac:dyDescent="0.15">
      <c r="A4" s="41">
        <v>20019021</v>
      </c>
      <c r="B4" s="41">
        <v>0</v>
      </c>
      <c r="C4" s="41" t="s">
        <v>53</v>
      </c>
      <c r="D4" s="41">
        <v>70</v>
      </c>
      <c r="E4" s="41" t="s">
        <v>53</v>
      </c>
      <c r="F4" s="41" t="s">
        <v>53</v>
      </c>
      <c r="G4" s="41">
        <v>1</v>
      </c>
      <c r="H4" s="41" t="s">
        <v>53</v>
      </c>
      <c r="I4" s="41" t="s">
        <v>53</v>
      </c>
      <c r="J4" s="42">
        <f t="shared" ref="J4:J5" si="1">D4</f>
        <v>70</v>
      </c>
    </row>
    <row r="5" spans="1:11" ht="21" customHeight="1" x14ac:dyDescent="0.15">
      <c r="A5" s="41">
        <v>20019026</v>
      </c>
      <c r="B5" s="41">
        <v>0</v>
      </c>
      <c r="C5" s="41" t="s">
        <v>53</v>
      </c>
      <c r="D5" s="41">
        <v>45</v>
      </c>
      <c r="E5" s="41" t="s">
        <v>53</v>
      </c>
      <c r="F5" s="41" t="s">
        <v>53</v>
      </c>
      <c r="G5" s="41" t="s">
        <v>275</v>
      </c>
      <c r="H5" s="41" t="s">
        <v>53</v>
      </c>
      <c r="I5" s="41" t="s">
        <v>53</v>
      </c>
      <c r="J5" s="42">
        <f t="shared" si="1"/>
        <v>45</v>
      </c>
    </row>
    <row r="6" spans="1:11" ht="21" customHeight="1" x14ac:dyDescent="0.15">
      <c r="A6" s="41">
        <v>20019031</v>
      </c>
      <c r="B6" s="41">
        <v>1</v>
      </c>
      <c r="C6" s="41" t="s">
        <v>53</v>
      </c>
      <c r="D6" s="41">
        <v>100</v>
      </c>
      <c r="E6" s="41" t="s">
        <v>53</v>
      </c>
      <c r="F6" s="41" t="s">
        <v>53</v>
      </c>
      <c r="G6" s="41">
        <v>1</v>
      </c>
      <c r="H6" s="41" t="s">
        <v>53</v>
      </c>
      <c r="I6" s="41" t="s">
        <v>53</v>
      </c>
      <c r="J6" s="42">
        <f t="shared" ref="J6:J10" si="2">D6</f>
        <v>100</v>
      </c>
    </row>
    <row r="7" spans="1:11" ht="21" customHeight="1" x14ac:dyDescent="0.15">
      <c r="A7" s="41">
        <v>20019032</v>
      </c>
      <c r="B7" s="41">
        <v>0</v>
      </c>
      <c r="C7" s="41" t="s">
        <v>53</v>
      </c>
      <c r="D7" s="41">
        <v>100</v>
      </c>
      <c r="E7" s="41" t="s">
        <v>53</v>
      </c>
      <c r="F7" s="41" t="s">
        <v>53</v>
      </c>
      <c r="G7" s="41">
        <v>1</v>
      </c>
      <c r="H7" s="41">
        <v>1</v>
      </c>
      <c r="I7" s="41" t="s">
        <v>53</v>
      </c>
      <c r="J7" s="42">
        <f t="shared" si="2"/>
        <v>100</v>
      </c>
    </row>
    <row r="8" spans="1:11" ht="21" customHeight="1" x14ac:dyDescent="0.15">
      <c r="A8" s="41">
        <v>20019033</v>
      </c>
      <c r="B8" s="41">
        <v>0</v>
      </c>
      <c r="C8" s="41" t="s">
        <v>53</v>
      </c>
      <c r="D8" s="41">
        <v>100</v>
      </c>
      <c r="E8" s="41" t="s">
        <v>53</v>
      </c>
      <c r="F8" s="41" t="s">
        <v>53</v>
      </c>
      <c r="G8" s="41">
        <v>1</v>
      </c>
      <c r="H8" s="41">
        <v>2</v>
      </c>
      <c r="I8" s="41" t="s">
        <v>53</v>
      </c>
      <c r="J8" s="42">
        <f t="shared" si="2"/>
        <v>100</v>
      </c>
    </row>
    <row r="9" spans="1:11" ht="21" customHeight="1" x14ac:dyDescent="0.15">
      <c r="A9" s="41">
        <v>20019034</v>
      </c>
      <c r="B9" s="41">
        <v>0</v>
      </c>
      <c r="C9" s="41" t="s">
        <v>53</v>
      </c>
      <c r="D9" s="41">
        <v>100</v>
      </c>
      <c r="E9" s="41" t="s">
        <v>53</v>
      </c>
      <c r="F9" s="41" t="s">
        <v>53</v>
      </c>
      <c r="G9" s="41">
        <v>1</v>
      </c>
      <c r="H9" s="41">
        <v>3</v>
      </c>
      <c r="I9" s="41" t="s">
        <v>53</v>
      </c>
      <c r="J9" s="42">
        <f>D9</f>
        <v>100</v>
      </c>
    </row>
    <row r="10" spans="1:11" ht="21" customHeight="1" x14ac:dyDescent="0.15">
      <c r="A10" s="41">
        <v>20019035</v>
      </c>
      <c r="B10" s="41">
        <v>1</v>
      </c>
      <c r="C10" s="41" t="s">
        <v>53</v>
      </c>
      <c r="D10" s="41">
        <v>100</v>
      </c>
      <c r="E10" s="41" t="s">
        <v>53</v>
      </c>
      <c r="F10" s="41" t="s">
        <v>53</v>
      </c>
      <c r="G10" s="41">
        <v>1</v>
      </c>
      <c r="H10" s="41" t="s">
        <v>53</v>
      </c>
      <c r="I10" s="41" t="s">
        <v>53</v>
      </c>
      <c r="J10" s="42">
        <f t="shared" si="2"/>
        <v>100</v>
      </c>
    </row>
    <row r="11" spans="1:11" ht="21" customHeight="1" x14ac:dyDescent="0.15">
      <c r="A11" s="41">
        <v>20019036</v>
      </c>
      <c r="B11" s="41">
        <v>0</v>
      </c>
      <c r="C11" s="41">
        <v>90</v>
      </c>
      <c r="D11" s="41">
        <v>100</v>
      </c>
      <c r="E11" s="41" t="s">
        <v>53</v>
      </c>
      <c r="F11" s="41" t="s">
        <v>53</v>
      </c>
      <c r="G11" s="41" t="s">
        <v>283</v>
      </c>
      <c r="H11" s="41">
        <v>1</v>
      </c>
      <c r="I11" s="41" t="s">
        <v>53</v>
      </c>
      <c r="J11" s="42">
        <f t="shared" ref="J11:J13" si="3">D11</f>
        <v>100</v>
      </c>
    </row>
    <row r="12" spans="1:11" ht="21" customHeight="1" x14ac:dyDescent="0.15">
      <c r="A12" s="41">
        <v>20019037</v>
      </c>
      <c r="B12" s="41">
        <v>0</v>
      </c>
      <c r="C12" s="41">
        <v>100</v>
      </c>
      <c r="D12" s="41">
        <v>100</v>
      </c>
      <c r="E12" s="41" t="s">
        <v>53</v>
      </c>
      <c r="F12" s="41" t="s">
        <v>53</v>
      </c>
      <c r="G12" s="41" t="s">
        <v>283</v>
      </c>
      <c r="H12" s="41">
        <v>2</v>
      </c>
      <c r="I12" s="41" t="s">
        <v>53</v>
      </c>
      <c r="J12" s="42">
        <f t="shared" si="3"/>
        <v>100</v>
      </c>
    </row>
    <row r="13" spans="1:11" ht="21" customHeight="1" x14ac:dyDescent="0.15">
      <c r="A13" s="41">
        <v>20019038</v>
      </c>
      <c r="B13" s="41">
        <v>0</v>
      </c>
      <c r="C13" s="41" t="s">
        <v>53</v>
      </c>
      <c r="D13" s="41">
        <v>100</v>
      </c>
      <c r="E13" s="41" t="s">
        <v>53</v>
      </c>
      <c r="F13" s="41" t="s">
        <v>53</v>
      </c>
      <c r="G13" s="41">
        <v>0</v>
      </c>
      <c r="H13" s="41" t="s">
        <v>53</v>
      </c>
      <c r="I13" s="41">
        <v>0</v>
      </c>
      <c r="J13" s="42">
        <f t="shared" si="3"/>
        <v>100</v>
      </c>
    </row>
  </sheetData>
  <autoFilter ref="A1:G1"/>
  <phoneticPr fontId="5"/>
  <conditionalFormatting sqref="K14:K1048576 K1">
    <cfRule type="duplicateValues" dxfId="12" priority="39"/>
  </conditionalFormatting>
  <conditionalFormatting sqref="K2">
    <cfRule type="duplicateValues" dxfId="11" priority="27"/>
  </conditionalFormatting>
  <conditionalFormatting sqref="K3">
    <cfRule type="duplicateValues" dxfId="10" priority="22"/>
  </conditionalFormatting>
  <conditionalFormatting sqref="K4">
    <cfRule type="duplicateValues" dxfId="9" priority="17"/>
  </conditionalFormatting>
  <conditionalFormatting sqref="K5">
    <cfRule type="duplicateValues" dxfId="8" priority="12"/>
  </conditionalFormatting>
  <conditionalFormatting sqref="K6">
    <cfRule type="duplicateValues" dxfId="7" priority="8"/>
  </conditionalFormatting>
  <conditionalFormatting sqref="K7">
    <cfRule type="duplicateValues" dxfId="6" priority="7"/>
  </conditionalFormatting>
  <conditionalFormatting sqref="K9">
    <cfRule type="duplicateValues" dxfId="5" priority="6"/>
  </conditionalFormatting>
  <conditionalFormatting sqref="K8">
    <cfRule type="duplicateValues" dxfId="4" priority="5"/>
  </conditionalFormatting>
  <conditionalFormatting sqref="K10">
    <cfRule type="duplicateValues" dxfId="3" priority="4"/>
  </conditionalFormatting>
  <conditionalFormatting sqref="K11">
    <cfRule type="duplicateValues" dxfId="2" priority="3"/>
  </conditionalFormatting>
  <conditionalFormatting sqref="K12">
    <cfRule type="duplicateValues" dxfId="1" priority="2"/>
  </conditionalFormatting>
  <conditionalFormatting sqref="K1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2"/>
  <sheetViews>
    <sheetView tabSelected="1" workbookViewId="0">
      <selection activeCell="M37" sqref="M37"/>
    </sheetView>
  </sheetViews>
  <sheetFormatPr baseColWidth="12" defaultRowHeight="15" x14ac:dyDescent="0.15"/>
  <cols>
    <col min="17" max="18" width="19" bestFit="1" customWidth="1"/>
  </cols>
  <sheetData>
    <row r="1" spans="1:18" ht="16" thickBot="1" x14ac:dyDescent="0.2">
      <c r="A1" s="158" t="s">
        <v>149</v>
      </c>
      <c r="B1" s="158" t="s">
        <v>150</v>
      </c>
      <c r="C1" s="59" t="s">
        <v>151</v>
      </c>
      <c r="D1" s="159" t="s">
        <v>152</v>
      </c>
      <c r="E1" s="160" t="s">
        <v>153</v>
      </c>
      <c r="F1" s="158" t="s">
        <v>154</v>
      </c>
      <c r="G1" s="158" t="s">
        <v>155</v>
      </c>
      <c r="H1" s="158" t="s">
        <v>156</v>
      </c>
      <c r="I1" s="158" t="s">
        <v>157</v>
      </c>
      <c r="J1" s="158" t="s">
        <v>158</v>
      </c>
      <c r="K1" s="158" t="s">
        <v>159</v>
      </c>
      <c r="L1" s="158" t="s">
        <v>160</v>
      </c>
      <c r="M1" s="158" t="s">
        <v>161</v>
      </c>
      <c r="N1" s="158" t="s">
        <v>162</v>
      </c>
      <c r="O1" s="158" t="s">
        <v>163</v>
      </c>
      <c r="P1" s="158" t="s">
        <v>164</v>
      </c>
      <c r="Q1" s="158" t="s">
        <v>165</v>
      </c>
      <c r="R1" s="158" t="s">
        <v>166</v>
      </c>
    </row>
    <row r="2" spans="1:18" x14ac:dyDescent="0.15">
      <c r="A2" s="161">
        <f>floors!$C$2</f>
        <v>20019</v>
      </c>
      <c r="B2" s="162">
        <v>1</v>
      </c>
      <c r="C2" s="163" t="str">
        <f>A2&amp; "_"&amp;B2</f>
        <v>20019_1</v>
      </c>
      <c r="D2" s="107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62">
        <v>1</v>
      </c>
      <c r="F2" s="162" t="s">
        <v>167</v>
      </c>
      <c r="G2" s="162">
        <v>1700</v>
      </c>
      <c r="H2" s="162" t="s">
        <v>168</v>
      </c>
      <c r="I2" s="162">
        <v>1</v>
      </c>
      <c r="J2" s="162">
        <v>1</v>
      </c>
      <c r="K2" s="162">
        <v>0</v>
      </c>
      <c r="L2" s="162">
        <v>0</v>
      </c>
      <c r="M2" s="162">
        <v>0</v>
      </c>
      <c r="N2" s="162">
        <v>0</v>
      </c>
      <c r="O2" s="162">
        <v>1</v>
      </c>
      <c r="P2" s="162">
        <v>200</v>
      </c>
      <c r="Q2" s="162" t="s">
        <v>169</v>
      </c>
      <c r="R2" s="164" t="s">
        <v>170</v>
      </c>
    </row>
    <row r="3" spans="1:18" x14ac:dyDescent="0.15">
      <c r="A3" s="165">
        <f>floors!$C$2</f>
        <v>20019</v>
      </c>
      <c r="B3" s="51">
        <v>1</v>
      </c>
      <c r="C3" s="65" t="str">
        <f t="shared" ref="C3:C11" si="0">A3&amp; "_"&amp;B3</f>
        <v>20019_1</v>
      </c>
      <c r="D3" s="14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1">
        <v>2</v>
      </c>
      <c r="F3" s="51" t="s">
        <v>317</v>
      </c>
      <c r="G3" s="51">
        <v>20</v>
      </c>
      <c r="H3" s="51" t="s">
        <v>168</v>
      </c>
      <c r="I3" s="51">
        <v>1</v>
      </c>
      <c r="J3" s="51">
        <v>1</v>
      </c>
      <c r="K3" s="51">
        <v>0</v>
      </c>
      <c r="L3" s="51">
        <v>0</v>
      </c>
      <c r="M3" s="51">
        <v>0</v>
      </c>
      <c r="N3" s="51">
        <v>0</v>
      </c>
      <c r="O3" s="51">
        <v>1</v>
      </c>
      <c r="P3" s="51">
        <v>200</v>
      </c>
      <c r="Q3" s="51" t="s">
        <v>169</v>
      </c>
      <c r="R3" s="166" t="s">
        <v>170</v>
      </c>
    </row>
    <row r="4" spans="1:18" x14ac:dyDescent="0.15">
      <c r="A4" s="165">
        <f>floors!$C$2</f>
        <v>20019</v>
      </c>
      <c r="B4" s="51">
        <v>1</v>
      </c>
      <c r="C4" s="65" t="str">
        <f t="shared" si="0"/>
        <v>20019_1</v>
      </c>
      <c r="D4" s="14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1">
        <v>3</v>
      </c>
      <c r="F4" s="51" t="s">
        <v>318</v>
      </c>
      <c r="G4" s="51">
        <v>332</v>
      </c>
      <c r="H4" s="51">
        <v>1</v>
      </c>
      <c r="I4" s="51">
        <v>1</v>
      </c>
      <c r="J4" s="51">
        <v>1</v>
      </c>
      <c r="K4" s="51">
        <v>0</v>
      </c>
      <c r="L4" s="51">
        <v>0</v>
      </c>
      <c r="M4" s="51">
        <v>0</v>
      </c>
      <c r="N4" s="51">
        <v>0</v>
      </c>
      <c r="O4" s="51">
        <v>1</v>
      </c>
      <c r="P4" s="51">
        <v>98</v>
      </c>
      <c r="Q4" s="51" t="s">
        <v>169</v>
      </c>
      <c r="R4" s="166" t="s">
        <v>170</v>
      </c>
    </row>
    <row r="5" spans="1:18" x14ac:dyDescent="0.15">
      <c r="A5" s="165">
        <f>floors!$C$2</f>
        <v>20019</v>
      </c>
      <c r="B5" s="51">
        <v>1</v>
      </c>
      <c r="C5" s="65" t="str">
        <f t="shared" si="0"/>
        <v>20019_1</v>
      </c>
      <c r="D5" s="14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1">
        <v>4</v>
      </c>
      <c r="F5" s="51" t="s">
        <v>318</v>
      </c>
      <c r="G5" s="51">
        <v>333</v>
      </c>
      <c r="H5" s="51">
        <v>1</v>
      </c>
      <c r="I5" s="51">
        <v>1</v>
      </c>
      <c r="J5" s="51">
        <v>1</v>
      </c>
      <c r="K5" s="51">
        <v>0</v>
      </c>
      <c r="L5" s="51">
        <v>0</v>
      </c>
      <c r="M5" s="51">
        <v>0</v>
      </c>
      <c r="N5" s="51">
        <v>0</v>
      </c>
      <c r="O5" s="51">
        <v>1</v>
      </c>
      <c r="P5" s="51">
        <v>42</v>
      </c>
      <c r="Q5" s="51" t="s">
        <v>169</v>
      </c>
      <c r="R5" s="166" t="s">
        <v>170</v>
      </c>
    </row>
    <row r="6" spans="1:18" x14ac:dyDescent="0.15">
      <c r="A6" s="165">
        <f>floors!$C$2</f>
        <v>20019</v>
      </c>
      <c r="B6" s="51">
        <v>1</v>
      </c>
      <c r="C6" s="65" t="str">
        <f t="shared" si="0"/>
        <v>20019_1</v>
      </c>
      <c r="D6" s="14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1">
        <v>5</v>
      </c>
      <c r="F6" s="51" t="s">
        <v>318</v>
      </c>
      <c r="G6" s="51">
        <v>348</v>
      </c>
      <c r="H6" s="51">
        <v>1</v>
      </c>
      <c r="I6" s="51">
        <v>1</v>
      </c>
      <c r="J6" s="51">
        <v>1</v>
      </c>
      <c r="K6" s="51">
        <v>0</v>
      </c>
      <c r="L6" s="51">
        <v>0</v>
      </c>
      <c r="M6" s="51">
        <v>0</v>
      </c>
      <c r="N6" s="51">
        <v>0</v>
      </c>
      <c r="O6" s="51">
        <v>1</v>
      </c>
      <c r="P6" s="51">
        <v>100</v>
      </c>
      <c r="Q6" s="51" t="s">
        <v>169</v>
      </c>
      <c r="R6" s="166" t="s">
        <v>170</v>
      </c>
    </row>
    <row r="7" spans="1:18" x14ac:dyDescent="0.15">
      <c r="A7" s="165">
        <f>floors!$C$2</f>
        <v>20019</v>
      </c>
      <c r="B7" s="51">
        <v>1</v>
      </c>
      <c r="C7" s="65" t="str">
        <f t="shared" si="0"/>
        <v>20019_1</v>
      </c>
      <c r="D7" s="14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1">
        <v>6</v>
      </c>
      <c r="F7" s="51" t="s">
        <v>318</v>
      </c>
      <c r="G7" s="51">
        <v>121</v>
      </c>
      <c r="H7" s="51">
        <v>1</v>
      </c>
      <c r="I7" s="51">
        <v>1</v>
      </c>
      <c r="J7" s="51">
        <v>1</v>
      </c>
      <c r="K7" s="51">
        <v>0</v>
      </c>
      <c r="L7" s="51">
        <v>0</v>
      </c>
      <c r="M7" s="51">
        <v>0</v>
      </c>
      <c r="N7" s="51">
        <v>0</v>
      </c>
      <c r="O7" s="51">
        <v>1</v>
      </c>
      <c r="P7" s="51">
        <v>50</v>
      </c>
      <c r="Q7" s="51" t="s">
        <v>169</v>
      </c>
      <c r="R7" s="166" t="s">
        <v>170</v>
      </c>
    </row>
    <row r="8" spans="1:18" x14ac:dyDescent="0.15">
      <c r="A8" s="165">
        <f>floors!$C$2</f>
        <v>20019</v>
      </c>
      <c r="B8" s="51">
        <v>1</v>
      </c>
      <c r="C8" s="65" t="str">
        <f t="shared" si="0"/>
        <v>20019_1</v>
      </c>
      <c r="D8" s="14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1">
        <v>7</v>
      </c>
      <c r="F8" s="51" t="s">
        <v>318</v>
      </c>
      <c r="G8" s="51">
        <v>123</v>
      </c>
      <c r="H8" s="51">
        <v>1</v>
      </c>
      <c r="I8" s="51">
        <v>1</v>
      </c>
      <c r="J8" s="51">
        <v>1</v>
      </c>
      <c r="K8" s="51">
        <v>0</v>
      </c>
      <c r="L8" s="51">
        <v>0</v>
      </c>
      <c r="M8" s="51">
        <v>0</v>
      </c>
      <c r="N8" s="51">
        <v>0</v>
      </c>
      <c r="O8" s="51">
        <v>1</v>
      </c>
      <c r="P8" s="51">
        <v>50</v>
      </c>
      <c r="Q8" s="51" t="s">
        <v>169</v>
      </c>
      <c r="R8" s="166" t="s">
        <v>170</v>
      </c>
    </row>
    <row r="9" spans="1:18" x14ac:dyDescent="0.15">
      <c r="A9" s="165">
        <f>floors!$C$2</f>
        <v>20019</v>
      </c>
      <c r="B9" s="51">
        <v>1</v>
      </c>
      <c r="C9" s="65" t="str">
        <f t="shared" si="0"/>
        <v>20019_1</v>
      </c>
      <c r="D9" s="14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1">
        <v>8</v>
      </c>
      <c r="F9" s="51" t="s">
        <v>318</v>
      </c>
      <c r="G9" s="51">
        <v>122</v>
      </c>
      <c r="H9" s="51">
        <v>1</v>
      </c>
      <c r="I9" s="51">
        <v>1</v>
      </c>
      <c r="J9" s="51">
        <v>1</v>
      </c>
      <c r="K9" s="51">
        <v>0</v>
      </c>
      <c r="L9" s="51">
        <v>0</v>
      </c>
      <c r="M9" s="51">
        <v>0</v>
      </c>
      <c r="N9" s="51">
        <v>0</v>
      </c>
      <c r="O9" s="51">
        <v>1</v>
      </c>
      <c r="P9" s="51">
        <v>50</v>
      </c>
      <c r="Q9" s="51" t="s">
        <v>169</v>
      </c>
      <c r="R9" s="166" t="s">
        <v>170</v>
      </c>
    </row>
    <row r="10" spans="1:18" x14ac:dyDescent="0.15">
      <c r="A10" s="165">
        <f>floors!$C$2</f>
        <v>20019</v>
      </c>
      <c r="B10" s="51">
        <v>1</v>
      </c>
      <c r="C10" s="65" t="str">
        <f t="shared" si="0"/>
        <v>20019_1</v>
      </c>
      <c r="D10" s="14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171">
        <v>9</v>
      </c>
      <c r="F10" s="51" t="s">
        <v>318</v>
      </c>
      <c r="G10" s="171">
        <v>125</v>
      </c>
      <c r="H10" s="51">
        <v>1</v>
      </c>
      <c r="I10" s="51">
        <v>1</v>
      </c>
      <c r="J10" s="51">
        <v>1</v>
      </c>
      <c r="K10" s="51">
        <v>0</v>
      </c>
      <c r="L10" s="51">
        <v>0</v>
      </c>
      <c r="M10" s="51">
        <v>0</v>
      </c>
      <c r="N10" s="51">
        <v>0</v>
      </c>
      <c r="O10" s="51">
        <v>1</v>
      </c>
      <c r="P10" s="51">
        <v>10</v>
      </c>
      <c r="Q10" s="51" t="s">
        <v>169</v>
      </c>
      <c r="R10" s="166" t="s">
        <v>170</v>
      </c>
    </row>
    <row r="11" spans="1:18" ht="16" thickBot="1" x14ac:dyDescent="0.2">
      <c r="A11" s="167">
        <f>floors!$C$2</f>
        <v>20019</v>
      </c>
      <c r="B11" s="168">
        <v>1</v>
      </c>
      <c r="C11" s="169" t="str">
        <f t="shared" si="0"/>
        <v>20019_1</v>
      </c>
      <c r="D11" s="130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68">
        <v>10</v>
      </c>
      <c r="F11" s="168" t="s">
        <v>318</v>
      </c>
      <c r="G11" s="168">
        <v>1020</v>
      </c>
      <c r="H11" s="168">
        <v>1</v>
      </c>
      <c r="I11" s="168">
        <v>1</v>
      </c>
      <c r="J11" s="168">
        <v>1</v>
      </c>
      <c r="K11" s="168">
        <v>0</v>
      </c>
      <c r="L11" s="168">
        <v>0</v>
      </c>
      <c r="M11" s="168">
        <v>0</v>
      </c>
      <c r="N11" s="168">
        <v>0</v>
      </c>
      <c r="O11" s="168">
        <v>1</v>
      </c>
      <c r="P11" s="168">
        <v>200</v>
      </c>
      <c r="Q11" s="168" t="s">
        <v>169</v>
      </c>
      <c r="R11" s="170" t="s">
        <v>170</v>
      </c>
    </row>
    <row r="12" spans="1:18" x14ac:dyDescent="0.15">
      <c r="A12" s="161">
        <f>floors!$C$2</f>
        <v>20019</v>
      </c>
      <c r="B12" s="162">
        <v>2</v>
      </c>
      <c r="C12" s="163" t="str">
        <f>A12&amp; "_"&amp;B12</f>
        <v>20019_2</v>
      </c>
      <c r="D12" s="107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62">
        <v>11</v>
      </c>
      <c r="F12" s="162" t="s">
        <v>167</v>
      </c>
      <c r="G12" s="162">
        <v>3200</v>
      </c>
      <c r="H12" s="162" t="s">
        <v>168</v>
      </c>
      <c r="I12" s="162">
        <v>1</v>
      </c>
      <c r="J12" s="162">
        <v>1</v>
      </c>
      <c r="K12" s="162">
        <v>0</v>
      </c>
      <c r="L12" s="162">
        <v>0</v>
      </c>
      <c r="M12" s="162">
        <v>0</v>
      </c>
      <c r="N12" s="162">
        <v>0</v>
      </c>
      <c r="O12" s="162">
        <v>1</v>
      </c>
      <c r="P12" s="162">
        <v>200</v>
      </c>
      <c r="Q12" s="162" t="s">
        <v>169</v>
      </c>
      <c r="R12" s="164" t="s">
        <v>170</v>
      </c>
    </row>
    <row r="13" spans="1:18" x14ac:dyDescent="0.15">
      <c r="A13" s="165">
        <f>floors!$C$2</f>
        <v>20019</v>
      </c>
      <c r="B13" s="51">
        <v>2</v>
      </c>
      <c r="C13" s="65" t="str">
        <f t="shared" ref="C13:C21" si="1">A13&amp; "_"&amp;B13</f>
        <v>20019_2</v>
      </c>
      <c r="D13" s="14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1">
        <v>12</v>
      </c>
      <c r="F13" s="51" t="s">
        <v>317</v>
      </c>
      <c r="G13" s="51">
        <v>20</v>
      </c>
      <c r="H13" s="51" t="s">
        <v>168</v>
      </c>
      <c r="I13" s="51">
        <v>1</v>
      </c>
      <c r="J13" s="51">
        <v>1</v>
      </c>
      <c r="K13" s="51">
        <v>0</v>
      </c>
      <c r="L13" s="51">
        <v>0</v>
      </c>
      <c r="M13" s="51">
        <v>0</v>
      </c>
      <c r="N13" s="51">
        <v>0</v>
      </c>
      <c r="O13" s="51">
        <v>1</v>
      </c>
      <c r="P13" s="51">
        <v>150</v>
      </c>
      <c r="Q13" s="51" t="s">
        <v>169</v>
      </c>
      <c r="R13" s="166" t="s">
        <v>170</v>
      </c>
    </row>
    <row r="14" spans="1:18" x14ac:dyDescent="0.15">
      <c r="A14" s="165">
        <f>floors!$C$2</f>
        <v>20019</v>
      </c>
      <c r="B14" s="51">
        <v>2</v>
      </c>
      <c r="C14" s="65" t="str">
        <f t="shared" si="1"/>
        <v>20019_2</v>
      </c>
      <c r="D14" s="14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1">
        <v>13</v>
      </c>
      <c r="F14" s="51" t="s">
        <v>318</v>
      </c>
      <c r="G14" s="51">
        <v>332</v>
      </c>
      <c r="H14" s="51">
        <v>1</v>
      </c>
      <c r="I14" s="51">
        <v>1</v>
      </c>
      <c r="J14" s="51">
        <v>1</v>
      </c>
      <c r="K14" s="51">
        <v>0</v>
      </c>
      <c r="L14" s="51">
        <v>0</v>
      </c>
      <c r="M14" s="51">
        <v>0</v>
      </c>
      <c r="N14" s="51">
        <v>0</v>
      </c>
      <c r="O14" s="51">
        <v>1</v>
      </c>
      <c r="P14" s="51">
        <v>70</v>
      </c>
      <c r="Q14" s="51" t="s">
        <v>169</v>
      </c>
      <c r="R14" s="166" t="s">
        <v>170</v>
      </c>
    </row>
    <row r="15" spans="1:18" x14ac:dyDescent="0.15">
      <c r="A15" s="165">
        <f>floors!$C$2</f>
        <v>20019</v>
      </c>
      <c r="B15" s="51">
        <v>2</v>
      </c>
      <c r="C15" s="65" t="str">
        <f t="shared" si="1"/>
        <v>20019_2</v>
      </c>
      <c r="D15" s="14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1">
        <v>14</v>
      </c>
      <c r="F15" s="51" t="s">
        <v>318</v>
      </c>
      <c r="G15" s="51">
        <v>333</v>
      </c>
      <c r="H15" s="51">
        <v>1</v>
      </c>
      <c r="I15" s="51">
        <v>1</v>
      </c>
      <c r="J15" s="51">
        <v>1</v>
      </c>
      <c r="K15" s="51">
        <v>0</v>
      </c>
      <c r="L15" s="51">
        <v>0</v>
      </c>
      <c r="M15" s="51">
        <v>0</v>
      </c>
      <c r="N15" s="51">
        <v>0</v>
      </c>
      <c r="O15" s="51">
        <v>1</v>
      </c>
      <c r="P15" s="51">
        <v>70</v>
      </c>
      <c r="Q15" s="51" t="s">
        <v>169</v>
      </c>
      <c r="R15" s="166" t="s">
        <v>170</v>
      </c>
    </row>
    <row r="16" spans="1:18" x14ac:dyDescent="0.15">
      <c r="A16" s="165">
        <f>floors!$C$2</f>
        <v>20019</v>
      </c>
      <c r="B16" s="51">
        <v>2</v>
      </c>
      <c r="C16" s="65" t="str">
        <f t="shared" si="1"/>
        <v>20019_2</v>
      </c>
      <c r="D16" s="14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1">
        <v>15</v>
      </c>
      <c r="F16" s="51" t="s">
        <v>318</v>
      </c>
      <c r="G16" s="51">
        <v>348</v>
      </c>
      <c r="H16" s="51">
        <v>1</v>
      </c>
      <c r="I16" s="51">
        <v>1</v>
      </c>
      <c r="J16" s="51">
        <v>1</v>
      </c>
      <c r="K16" s="51">
        <v>0</v>
      </c>
      <c r="L16" s="51">
        <v>0</v>
      </c>
      <c r="M16" s="51">
        <v>0</v>
      </c>
      <c r="N16" s="51">
        <v>0</v>
      </c>
      <c r="O16" s="51">
        <v>1</v>
      </c>
      <c r="P16" s="51">
        <v>100</v>
      </c>
      <c r="Q16" s="51" t="s">
        <v>169</v>
      </c>
      <c r="R16" s="166" t="s">
        <v>170</v>
      </c>
    </row>
    <row r="17" spans="1:18" x14ac:dyDescent="0.15">
      <c r="A17" s="165">
        <f>floors!$C$2</f>
        <v>20019</v>
      </c>
      <c r="B17" s="51">
        <v>2</v>
      </c>
      <c r="C17" s="65" t="str">
        <f t="shared" si="1"/>
        <v>20019_2</v>
      </c>
      <c r="D17" s="14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1">
        <v>16</v>
      </c>
      <c r="F17" s="51" t="s">
        <v>318</v>
      </c>
      <c r="G17" s="51">
        <v>121</v>
      </c>
      <c r="H17" s="51">
        <v>1</v>
      </c>
      <c r="I17" s="51">
        <v>1</v>
      </c>
      <c r="J17" s="51">
        <v>1</v>
      </c>
      <c r="K17" s="51">
        <v>0</v>
      </c>
      <c r="L17" s="51">
        <v>0</v>
      </c>
      <c r="M17" s="51">
        <v>0</v>
      </c>
      <c r="N17" s="51">
        <v>0</v>
      </c>
      <c r="O17" s="51">
        <v>1</v>
      </c>
      <c r="P17" s="51">
        <v>50</v>
      </c>
      <c r="Q17" s="51" t="s">
        <v>169</v>
      </c>
      <c r="R17" s="166" t="s">
        <v>170</v>
      </c>
    </row>
    <row r="18" spans="1:18" x14ac:dyDescent="0.15">
      <c r="A18" s="165">
        <f>floors!$C$2</f>
        <v>20019</v>
      </c>
      <c r="B18" s="51">
        <v>2</v>
      </c>
      <c r="C18" s="65" t="str">
        <f t="shared" si="1"/>
        <v>20019_2</v>
      </c>
      <c r="D18" s="14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1">
        <v>17</v>
      </c>
      <c r="F18" s="51" t="s">
        <v>318</v>
      </c>
      <c r="G18" s="51">
        <v>123</v>
      </c>
      <c r="H18" s="51">
        <v>1</v>
      </c>
      <c r="I18" s="51">
        <v>1</v>
      </c>
      <c r="J18" s="51">
        <v>1</v>
      </c>
      <c r="K18" s="51">
        <v>0</v>
      </c>
      <c r="L18" s="51">
        <v>0</v>
      </c>
      <c r="M18" s="51">
        <v>0</v>
      </c>
      <c r="N18" s="51">
        <v>0</v>
      </c>
      <c r="O18" s="51">
        <v>1</v>
      </c>
      <c r="P18" s="51">
        <v>50</v>
      </c>
      <c r="Q18" s="51" t="s">
        <v>169</v>
      </c>
      <c r="R18" s="166" t="s">
        <v>170</v>
      </c>
    </row>
    <row r="19" spans="1:18" x14ac:dyDescent="0.15">
      <c r="A19" s="165">
        <f>floors!$C$2</f>
        <v>20019</v>
      </c>
      <c r="B19" s="51">
        <v>2</v>
      </c>
      <c r="C19" s="65" t="str">
        <f t="shared" si="1"/>
        <v>20019_2</v>
      </c>
      <c r="D19" s="14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1">
        <v>18</v>
      </c>
      <c r="F19" s="51" t="s">
        <v>318</v>
      </c>
      <c r="G19" s="51">
        <v>122</v>
      </c>
      <c r="H19" s="51">
        <v>1</v>
      </c>
      <c r="I19" s="51">
        <v>1</v>
      </c>
      <c r="J19" s="51">
        <v>1</v>
      </c>
      <c r="K19" s="51">
        <v>0</v>
      </c>
      <c r="L19" s="51">
        <v>0</v>
      </c>
      <c r="M19" s="51">
        <v>0</v>
      </c>
      <c r="N19" s="51">
        <v>0</v>
      </c>
      <c r="O19" s="51">
        <v>1</v>
      </c>
      <c r="P19" s="51">
        <v>50</v>
      </c>
      <c r="Q19" s="51" t="s">
        <v>169</v>
      </c>
      <c r="R19" s="166" t="s">
        <v>170</v>
      </c>
    </row>
    <row r="20" spans="1:18" x14ac:dyDescent="0.15">
      <c r="A20" s="165">
        <f>floors!$C$2</f>
        <v>20019</v>
      </c>
      <c r="B20" s="51">
        <v>2</v>
      </c>
      <c r="C20" s="65" t="str">
        <f t="shared" si="1"/>
        <v>20019_2</v>
      </c>
      <c r="D20" s="14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171">
        <v>19</v>
      </c>
      <c r="F20" s="51" t="s">
        <v>318</v>
      </c>
      <c r="G20" s="171">
        <v>125</v>
      </c>
      <c r="H20" s="51">
        <v>1</v>
      </c>
      <c r="I20" s="51">
        <v>1</v>
      </c>
      <c r="J20" s="51">
        <v>1</v>
      </c>
      <c r="K20" s="51">
        <v>0</v>
      </c>
      <c r="L20" s="51">
        <v>0</v>
      </c>
      <c r="M20" s="51">
        <v>0</v>
      </c>
      <c r="N20" s="51">
        <v>0</v>
      </c>
      <c r="O20" s="51">
        <v>1</v>
      </c>
      <c r="P20" s="51">
        <v>10</v>
      </c>
      <c r="Q20" s="51" t="s">
        <v>169</v>
      </c>
      <c r="R20" s="166" t="s">
        <v>170</v>
      </c>
    </row>
    <row r="21" spans="1:18" ht="16" thickBot="1" x14ac:dyDescent="0.2">
      <c r="A21" s="167">
        <f>floors!$C$2</f>
        <v>20019</v>
      </c>
      <c r="B21" s="168">
        <v>2</v>
      </c>
      <c r="C21" s="169" t="str">
        <f t="shared" si="1"/>
        <v>20019_2</v>
      </c>
      <c r="D21" s="130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168">
        <v>20</v>
      </c>
      <c r="F21" s="168" t="s">
        <v>318</v>
      </c>
      <c r="G21" s="168">
        <v>1020</v>
      </c>
      <c r="H21" s="168">
        <v>1</v>
      </c>
      <c r="I21" s="168">
        <v>1</v>
      </c>
      <c r="J21" s="168">
        <v>1</v>
      </c>
      <c r="K21" s="168">
        <v>0</v>
      </c>
      <c r="L21" s="168">
        <v>0</v>
      </c>
      <c r="M21" s="168">
        <v>0</v>
      </c>
      <c r="N21" s="168">
        <v>0</v>
      </c>
      <c r="O21" s="168">
        <v>1</v>
      </c>
      <c r="P21" s="168">
        <v>250</v>
      </c>
      <c r="Q21" s="168" t="s">
        <v>169</v>
      </c>
      <c r="R21" s="170" t="s">
        <v>170</v>
      </c>
    </row>
    <row r="22" spans="1:18" x14ac:dyDescent="0.15">
      <c r="A22" s="161">
        <f>floors!$C$2</f>
        <v>20019</v>
      </c>
      <c r="B22" s="162">
        <v>3</v>
      </c>
      <c r="C22" s="163" t="str">
        <f>A22&amp; "_"&amp;B22</f>
        <v>20019_3</v>
      </c>
      <c r="D22" s="107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62">
        <v>21</v>
      </c>
      <c r="F22" s="162" t="s">
        <v>167</v>
      </c>
      <c r="G22" s="162">
        <v>5000</v>
      </c>
      <c r="H22" s="162" t="s">
        <v>168</v>
      </c>
      <c r="I22" s="162">
        <v>1</v>
      </c>
      <c r="J22" s="162">
        <v>1</v>
      </c>
      <c r="K22" s="162">
        <v>0</v>
      </c>
      <c r="L22" s="162">
        <v>0</v>
      </c>
      <c r="M22" s="162">
        <v>0</v>
      </c>
      <c r="N22" s="162">
        <v>0</v>
      </c>
      <c r="O22" s="162">
        <v>1</v>
      </c>
      <c r="P22" s="162">
        <v>100</v>
      </c>
      <c r="Q22" s="162" t="s">
        <v>169</v>
      </c>
      <c r="R22" s="164" t="s">
        <v>170</v>
      </c>
    </row>
    <row r="23" spans="1:18" x14ac:dyDescent="0.15">
      <c r="A23" s="165">
        <f>floors!$C$2</f>
        <v>20019</v>
      </c>
      <c r="B23" s="51">
        <v>3</v>
      </c>
      <c r="C23" s="65" t="str">
        <f t="shared" ref="C23:C32" si="2">A23&amp; "_"&amp;B23</f>
        <v>20019_3</v>
      </c>
      <c r="D23" s="14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1">
        <v>22</v>
      </c>
      <c r="F23" s="51" t="s">
        <v>317</v>
      </c>
      <c r="G23" s="51">
        <v>25</v>
      </c>
      <c r="H23" s="51" t="s">
        <v>168</v>
      </c>
      <c r="I23" s="51">
        <v>1</v>
      </c>
      <c r="J23" s="51">
        <v>1</v>
      </c>
      <c r="K23" s="51">
        <v>0</v>
      </c>
      <c r="L23" s="51">
        <v>0</v>
      </c>
      <c r="M23" s="51">
        <v>0</v>
      </c>
      <c r="N23" s="51">
        <v>0</v>
      </c>
      <c r="O23" s="51">
        <v>1</v>
      </c>
      <c r="P23" s="51">
        <v>100</v>
      </c>
      <c r="Q23" s="51" t="s">
        <v>169</v>
      </c>
      <c r="R23" s="166" t="s">
        <v>170</v>
      </c>
    </row>
    <row r="24" spans="1:18" x14ac:dyDescent="0.15">
      <c r="A24" s="165">
        <f>floors!$C$2</f>
        <v>20019</v>
      </c>
      <c r="B24" s="51">
        <v>3</v>
      </c>
      <c r="C24" s="65" t="str">
        <f t="shared" si="2"/>
        <v>20019_3</v>
      </c>
      <c r="D24" s="14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1">
        <v>23</v>
      </c>
      <c r="F24" s="51" t="s">
        <v>318</v>
      </c>
      <c r="G24" s="51">
        <v>332</v>
      </c>
      <c r="H24" s="51">
        <v>1</v>
      </c>
      <c r="I24" s="51">
        <v>1</v>
      </c>
      <c r="J24" s="51">
        <v>1</v>
      </c>
      <c r="K24" s="51">
        <v>0</v>
      </c>
      <c r="L24" s="51">
        <v>0</v>
      </c>
      <c r="M24" s="51">
        <v>0</v>
      </c>
      <c r="N24" s="51">
        <v>0</v>
      </c>
      <c r="O24" s="51">
        <v>1</v>
      </c>
      <c r="P24" s="51">
        <v>56</v>
      </c>
      <c r="Q24" s="51" t="s">
        <v>169</v>
      </c>
      <c r="R24" s="166" t="s">
        <v>170</v>
      </c>
    </row>
    <row r="25" spans="1:18" x14ac:dyDescent="0.15">
      <c r="A25" s="165">
        <f>floors!$C$2</f>
        <v>20019</v>
      </c>
      <c r="B25" s="51">
        <v>3</v>
      </c>
      <c r="C25" s="65" t="str">
        <f t="shared" si="2"/>
        <v>20019_3</v>
      </c>
      <c r="D25" s="14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1">
        <v>24</v>
      </c>
      <c r="F25" s="51" t="s">
        <v>318</v>
      </c>
      <c r="G25" s="51">
        <v>333</v>
      </c>
      <c r="H25" s="51">
        <v>1</v>
      </c>
      <c r="I25" s="51">
        <v>1</v>
      </c>
      <c r="J25" s="51">
        <v>1</v>
      </c>
      <c r="K25" s="51">
        <v>0</v>
      </c>
      <c r="L25" s="51">
        <v>0</v>
      </c>
      <c r="M25" s="51">
        <v>0</v>
      </c>
      <c r="N25" s="51">
        <v>0</v>
      </c>
      <c r="O25" s="51">
        <v>1</v>
      </c>
      <c r="P25" s="51">
        <v>56</v>
      </c>
      <c r="Q25" s="51" t="s">
        <v>169</v>
      </c>
      <c r="R25" s="166" t="s">
        <v>170</v>
      </c>
    </row>
    <row r="26" spans="1:18" x14ac:dyDescent="0.15">
      <c r="A26" s="165">
        <f>floors!$C$2</f>
        <v>20019</v>
      </c>
      <c r="B26" s="51">
        <v>3</v>
      </c>
      <c r="C26" s="65" t="str">
        <f t="shared" si="2"/>
        <v>20019_3</v>
      </c>
      <c r="D26" s="14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1">
        <v>25</v>
      </c>
      <c r="F26" s="51" t="s">
        <v>318</v>
      </c>
      <c r="G26" s="51">
        <v>334</v>
      </c>
      <c r="H26" s="51">
        <v>1</v>
      </c>
      <c r="I26" s="51">
        <v>1</v>
      </c>
      <c r="J26" s="51">
        <v>1</v>
      </c>
      <c r="K26" s="51">
        <v>0</v>
      </c>
      <c r="L26" s="51">
        <v>0</v>
      </c>
      <c r="M26" s="51">
        <v>0</v>
      </c>
      <c r="N26" s="51">
        <v>0</v>
      </c>
      <c r="O26" s="51">
        <v>1</v>
      </c>
      <c r="P26" s="51">
        <v>28</v>
      </c>
      <c r="Q26" s="51" t="s">
        <v>169</v>
      </c>
      <c r="R26" s="166" t="s">
        <v>170</v>
      </c>
    </row>
    <row r="27" spans="1:18" x14ac:dyDescent="0.15">
      <c r="A27" s="165">
        <f>floors!$C$2</f>
        <v>20019</v>
      </c>
      <c r="B27" s="51">
        <v>3</v>
      </c>
      <c r="C27" s="65" t="str">
        <f t="shared" si="2"/>
        <v>20019_3</v>
      </c>
      <c r="D27" s="14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1">
        <v>26</v>
      </c>
      <c r="F27" s="51" t="s">
        <v>318</v>
      </c>
      <c r="G27" s="51">
        <v>348</v>
      </c>
      <c r="H27" s="51">
        <v>1</v>
      </c>
      <c r="I27" s="51">
        <v>1</v>
      </c>
      <c r="J27" s="51">
        <v>1</v>
      </c>
      <c r="K27" s="51">
        <v>0</v>
      </c>
      <c r="L27" s="51">
        <v>0</v>
      </c>
      <c r="M27" s="51">
        <v>0</v>
      </c>
      <c r="N27" s="51">
        <v>0</v>
      </c>
      <c r="O27" s="51">
        <v>1</v>
      </c>
      <c r="P27" s="51">
        <v>100</v>
      </c>
      <c r="Q27" s="51" t="s">
        <v>169</v>
      </c>
      <c r="R27" s="166" t="s">
        <v>170</v>
      </c>
    </row>
    <row r="28" spans="1:18" x14ac:dyDescent="0.15">
      <c r="A28" s="165">
        <f>floors!$C$2</f>
        <v>20019</v>
      </c>
      <c r="B28" s="51">
        <v>3</v>
      </c>
      <c r="C28" s="65" t="str">
        <f t="shared" si="2"/>
        <v>20019_3</v>
      </c>
      <c r="D28" s="14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1">
        <v>27</v>
      </c>
      <c r="F28" s="51" t="s">
        <v>318</v>
      </c>
      <c r="G28" s="51">
        <v>121</v>
      </c>
      <c r="H28" s="51">
        <v>1</v>
      </c>
      <c r="I28" s="51">
        <v>1</v>
      </c>
      <c r="J28" s="51">
        <v>1</v>
      </c>
      <c r="K28" s="51">
        <v>0</v>
      </c>
      <c r="L28" s="51">
        <v>0</v>
      </c>
      <c r="M28" s="51">
        <v>0</v>
      </c>
      <c r="N28" s="51">
        <v>0</v>
      </c>
      <c r="O28" s="51">
        <v>1</v>
      </c>
      <c r="P28" s="51">
        <v>50</v>
      </c>
      <c r="Q28" s="51" t="s">
        <v>169</v>
      </c>
      <c r="R28" s="166" t="s">
        <v>170</v>
      </c>
    </row>
    <row r="29" spans="1:18" x14ac:dyDescent="0.15">
      <c r="A29" s="165">
        <f>floors!$C$2</f>
        <v>20019</v>
      </c>
      <c r="B29" s="51">
        <v>3</v>
      </c>
      <c r="C29" s="65" t="str">
        <f t="shared" si="2"/>
        <v>20019_3</v>
      </c>
      <c r="D29" s="14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1">
        <v>28</v>
      </c>
      <c r="F29" s="51" t="s">
        <v>318</v>
      </c>
      <c r="G29" s="51">
        <v>123</v>
      </c>
      <c r="H29" s="51">
        <v>1</v>
      </c>
      <c r="I29" s="51">
        <v>1</v>
      </c>
      <c r="J29" s="51">
        <v>1</v>
      </c>
      <c r="K29" s="51">
        <v>0</v>
      </c>
      <c r="L29" s="51">
        <v>0</v>
      </c>
      <c r="M29" s="51">
        <v>0</v>
      </c>
      <c r="N29" s="51">
        <v>0</v>
      </c>
      <c r="O29" s="51">
        <v>1</v>
      </c>
      <c r="P29" s="51">
        <v>50</v>
      </c>
      <c r="Q29" s="51" t="s">
        <v>169</v>
      </c>
      <c r="R29" s="166" t="s">
        <v>170</v>
      </c>
    </row>
    <row r="30" spans="1:18" x14ac:dyDescent="0.15">
      <c r="A30" s="165">
        <f>floors!$C$2</f>
        <v>20019</v>
      </c>
      <c r="B30" s="51">
        <v>3</v>
      </c>
      <c r="C30" s="65" t="str">
        <f t="shared" si="2"/>
        <v>20019_3</v>
      </c>
      <c r="D30" s="14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1">
        <v>29</v>
      </c>
      <c r="F30" s="51" t="s">
        <v>318</v>
      </c>
      <c r="G30" s="51">
        <v>122</v>
      </c>
      <c r="H30" s="51">
        <v>1</v>
      </c>
      <c r="I30" s="51">
        <v>1</v>
      </c>
      <c r="J30" s="51">
        <v>1</v>
      </c>
      <c r="K30" s="51">
        <v>0</v>
      </c>
      <c r="L30" s="51">
        <v>0</v>
      </c>
      <c r="M30" s="51">
        <v>0</v>
      </c>
      <c r="N30" s="51">
        <v>0</v>
      </c>
      <c r="O30" s="51">
        <v>1</v>
      </c>
      <c r="P30" s="51">
        <v>50</v>
      </c>
      <c r="Q30" s="51" t="s">
        <v>169</v>
      </c>
      <c r="R30" s="166" t="s">
        <v>170</v>
      </c>
    </row>
    <row r="31" spans="1:18" x14ac:dyDescent="0.15">
      <c r="A31" s="165">
        <f>floors!$C$2</f>
        <v>20019</v>
      </c>
      <c r="B31" s="51">
        <v>3</v>
      </c>
      <c r="C31" s="65" t="str">
        <f t="shared" si="2"/>
        <v>20019_3</v>
      </c>
      <c r="D31" s="14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171">
        <v>30</v>
      </c>
      <c r="F31" s="51" t="s">
        <v>318</v>
      </c>
      <c r="G31" s="51">
        <v>125</v>
      </c>
      <c r="H31" s="171">
        <v>1</v>
      </c>
      <c r="I31" s="171">
        <v>1</v>
      </c>
      <c r="J31" s="171">
        <v>1</v>
      </c>
      <c r="K31" s="171">
        <v>0</v>
      </c>
      <c r="L31" s="171">
        <v>0</v>
      </c>
      <c r="M31" s="171">
        <v>0</v>
      </c>
      <c r="N31" s="171">
        <v>0</v>
      </c>
      <c r="O31" s="171">
        <v>1</v>
      </c>
      <c r="P31" s="51">
        <v>10</v>
      </c>
      <c r="Q31" s="51" t="s">
        <v>169</v>
      </c>
      <c r="R31" s="166" t="s">
        <v>170</v>
      </c>
    </row>
    <row r="32" spans="1:18" ht="16" thickBot="1" x14ac:dyDescent="0.2">
      <c r="A32" s="167">
        <f>floors!$C$2</f>
        <v>20019</v>
      </c>
      <c r="B32" s="168">
        <v>3</v>
      </c>
      <c r="C32" s="169" t="str">
        <f t="shared" si="2"/>
        <v>20019_3</v>
      </c>
      <c r="D32" s="130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168">
        <v>31</v>
      </c>
      <c r="F32" s="168" t="s">
        <v>318</v>
      </c>
      <c r="G32" s="168">
        <v>1020</v>
      </c>
      <c r="H32" s="168">
        <v>1</v>
      </c>
      <c r="I32" s="168">
        <v>1</v>
      </c>
      <c r="J32" s="168">
        <v>1</v>
      </c>
      <c r="K32" s="168">
        <v>0</v>
      </c>
      <c r="L32" s="168">
        <v>0</v>
      </c>
      <c r="M32" s="168">
        <v>0</v>
      </c>
      <c r="N32" s="168">
        <v>0</v>
      </c>
      <c r="O32" s="168">
        <v>1</v>
      </c>
      <c r="P32" s="168">
        <v>400</v>
      </c>
      <c r="Q32" s="168" t="s">
        <v>169</v>
      </c>
      <c r="R32" s="170" t="s">
        <v>170</v>
      </c>
    </row>
  </sheetData>
  <phoneticPr fontId="5"/>
  <dataValidations count="1">
    <dataValidation type="list" allowBlank="1" showInputMessage="1" showErrorMessage="1" sqref="F2:F3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93"/>
  <sheetViews>
    <sheetView showGridLines="0" workbookViewId="0">
      <pane ySplit="1" topLeftCell="A2" activePane="bottomLeft" state="frozen"/>
      <selection pane="bottomLeft" activeCell="L2" sqref="L2"/>
    </sheetView>
  </sheetViews>
  <sheetFormatPr baseColWidth="12" defaultColWidth="13" defaultRowHeight="15" outlineLevelCol="1" x14ac:dyDescent="0.15"/>
  <cols>
    <col min="1" max="1" width="13" style="81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9" t="s">
        <v>187</v>
      </c>
      <c r="B1" s="66" t="s">
        <v>188</v>
      </c>
      <c r="C1" s="70" t="s">
        <v>189</v>
      </c>
      <c r="D1" s="70" t="s">
        <v>33</v>
      </c>
      <c r="E1" s="66" t="s">
        <v>190</v>
      </c>
      <c r="F1" s="70" t="s">
        <v>191</v>
      </c>
      <c r="G1" s="70" t="s">
        <v>33</v>
      </c>
      <c r="H1" s="66" t="s">
        <v>192</v>
      </c>
      <c r="I1" s="84" t="s">
        <v>194</v>
      </c>
      <c r="J1" s="72" t="s">
        <v>125</v>
      </c>
      <c r="K1" s="71" t="s">
        <v>186</v>
      </c>
      <c r="L1" s="85" t="s">
        <v>185</v>
      </c>
      <c r="M1" s="73" t="s">
        <v>195</v>
      </c>
    </row>
    <row r="2" spans="1:13" x14ac:dyDescent="0.15">
      <c r="A2" s="74" t="s">
        <v>200</v>
      </c>
      <c r="B2" s="75">
        <f>floors!$C$2</f>
        <v>20019</v>
      </c>
      <c r="C2" s="76" t="str">
        <f ca="1">VLOOKUP($B2,OFFSET([2]quests!$A$1,0,0,COUNTA([2]quests!$A:$A),MATCH(C$1,[2]quests!$1:$1,0)-MATCH($B$1,[2]quests!$1:$1,0)+1),MATCH(C$1,[2]quests!$1:$1,0)-MATCH($B$1,[2]quests!$1:$1,0)+1,FALSE)</f>
        <v>灼熱の舞姫</v>
      </c>
      <c r="D2" s="76" t="str">
        <f ca="1">VLOOKUP($B2,OFFSET([2]quests!$A$1,0,0,COUNTA([2]quests!$A:$A),MATCH(D$1,[2]quests!$1:$1,0)-MATCH($B$1,[2]quests!$1:$1,0)+1),MATCH(D$1,[2]quests!$1:$1,0)-MATCH($B$1,[2]quests!$1:$1,0)+1,FALSE)</f>
        <v>平安01</v>
      </c>
      <c r="E2" s="80">
        <v>1</v>
      </c>
      <c r="F2" s="76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【初級】灼熱の舞姫</v>
      </c>
      <c r="G2" s="76" t="str">
        <f ca="1">VLOOKUP($B2&amp;"_"&amp;$E2,OFFSET([2]stages!$A$1,0,0,COUNTA([2]stages!$A:$A),MATCH(G$1,[2]stages!$2:$2,0)-MATCH("temp_stage",[2]stages!$2:$2,0)+1),MATCH(G$1,[2]stages!$2:$2,0)-MATCH("temp_stage",[2]stages!$2:$2,0)+1,FALSE)</f>
        <v>平安01</v>
      </c>
      <c r="H2" s="78">
        <v>0</v>
      </c>
      <c r="I2">
        <v>1</v>
      </c>
      <c r="J2" s="77" t="s">
        <v>197</v>
      </c>
      <c r="K2" s="86" t="str">
        <f>VLOOKUP(I2,[7]stage_hints!$A:$C,3,FALSE)</f>
        <v>長くつなげて大ダメージ</v>
      </c>
      <c r="L2" s="87" t="str">
        <f>VLOOKUP(I2,[7]stage_hints!$A:$D,4,FALSE)</f>
        <v>パネルを長くつなげるほど_x000D_大ダメージを与えることができます</v>
      </c>
      <c r="M2" s="51" t="s">
        <v>210</v>
      </c>
    </row>
    <row r="3" spans="1:13" x14ac:dyDescent="0.15">
      <c r="A3" s="74" t="s">
        <v>200</v>
      </c>
      <c r="B3" s="75">
        <f>floors!$C$2</f>
        <v>20019</v>
      </c>
      <c r="C3" s="76" t="str">
        <f ca="1">VLOOKUP($B3,OFFSET([2]quests!$A$1,0,0,COUNTA([2]quests!$A:$A),MATCH(C$1,[2]quests!$1:$1,0)-MATCH($B$1,[2]quests!$1:$1,0)+1),MATCH(C$1,[2]quests!$1:$1,0)-MATCH($B$1,[2]quests!$1:$1,0)+1,FALSE)</f>
        <v>灼熱の舞姫</v>
      </c>
      <c r="D3" s="76" t="str">
        <f ca="1">VLOOKUP($B3,OFFSET([2]quests!$A$1,0,0,COUNTA([2]quests!$A:$A),MATCH(D$1,[2]quests!$1:$1,0)-MATCH($B$1,[2]quests!$1:$1,0)+1),MATCH(D$1,[2]quests!$1:$1,0)-MATCH($B$1,[2]quests!$1:$1,0)+1,FALSE)</f>
        <v>平安01</v>
      </c>
      <c r="E3" s="80">
        <v>1</v>
      </c>
      <c r="F3" s="76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【初級】灼熱の舞姫</v>
      </c>
      <c r="G3" s="76" t="str">
        <f ca="1">VLOOKUP($B3&amp;"_"&amp;$E3,OFFSET([2]stages!$A$1,0,0,COUNTA([2]stages!$A:$A),MATCH(G$1,[2]stages!$2:$2,0)-MATCH("temp_stage",[2]stages!$2:$2,0)+1),MATCH(G$1,[2]stages!$2:$2,0)-MATCH("temp_stage",[2]stages!$2:$2,0)+1,FALSE)</f>
        <v>平安01</v>
      </c>
      <c r="H3" s="78">
        <v>0</v>
      </c>
      <c r="I3">
        <v>2</v>
      </c>
      <c r="J3" s="77" t="s">
        <v>197</v>
      </c>
      <c r="K3" s="86" t="str">
        <f>VLOOKUP(I3,[7]stage_hints!$A:$C,3,FALSE)</f>
        <v>属性の相性</v>
      </c>
      <c r="L3" s="87" t="str">
        <f>VLOOKUP(I3,[7]stage_hints!$A:$D,4,FALSE)</f>
        <v>赤＞青　青＞黄　黄＞緑　緑＞赤_x000D_敵属性に最適なパーティがオススメです</v>
      </c>
      <c r="M3" s="51" t="s">
        <v>210</v>
      </c>
    </row>
    <row r="4" spans="1:13" x14ac:dyDescent="0.15">
      <c r="A4" s="74" t="s">
        <v>200</v>
      </c>
      <c r="B4" s="75">
        <f>floors!$C$2</f>
        <v>20019</v>
      </c>
      <c r="C4" s="76" t="str">
        <f ca="1">VLOOKUP($B4,OFFSET([2]quests!$A$1,0,0,COUNTA([2]quests!$A:$A),MATCH(C$1,[2]quests!$1:$1,0)-MATCH($B$1,[2]quests!$1:$1,0)+1),MATCH(C$1,[2]quests!$1:$1,0)-MATCH($B$1,[2]quests!$1:$1,0)+1,FALSE)</f>
        <v>灼熱の舞姫</v>
      </c>
      <c r="D4" s="76" t="str">
        <f ca="1">VLOOKUP($B4,OFFSET([2]quests!$A$1,0,0,COUNTA([2]quests!$A:$A),MATCH(D$1,[2]quests!$1:$1,0)-MATCH($B$1,[2]quests!$1:$1,0)+1),MATCH(D$1,[2]quests!$1:$1,0)-MATCH($B$1,[2]quests!$1:$1,0)+1,FALSE)</f>
        <v>平安01</v>
      </c>
      <c r="E4" s="80">
        <v>1</v>
      </c>
      <c r="F4" s="76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【初級】灼熱の舞姫</v>
      </c>
      <c r="G4" s="76" t="str">
        <f ca="1">VLOOKUP($B4&amp;"_"&amp;$E4,OFFSET([2]stages!$A$1,0,0,COUNTA([2]stages!$A:$A),MATCH(G$1,[2]stages!$2:$2,0)-MATCH("temp_stage",[2]stages!$2:$2,0)+1),MATCH(G$1,[2]stages!$2:$2,0)-MATCH("temp_stage",[2]stages!$2:$2,0)+1,FALSE)</f>
        <v>平安01</v>
      </c>
      <c r="H4" s="78">
        <v>0</v>
      </c>
      <c r="I4">
        <v>3</v>
      </c>
      <c r="J4" s="77" t="s">
        <v>197</v>
      </c>
      <c r="K4" s="86" t="str">
        <f>VLOOKUP(I4,[7]stage_hints!$A:$C,3,FALSE)</f>
        <v>ターゲット</v>
      </c>
      <c r="L4" s="87" t="str">
        <f>VLOOKUP(I4,[7]stage_hints!$A:$D,4,FALSE)</f>
        <v>敵ユニットをタップすると_x000D_その敵を狙い撃ちできます</v>
      </c>
      <c r="M4" s="51" t="s">
        <v>210</v>
      </c>
    </row>
    <row r="5" spans="1:13" x14ac:dyDescent="0.15">
      <c r="A5" s="74" t="s">
        <v>200</v>
      </c>
      <c r="B5" s="75">
        <f>floors!$C$2</f>
        <v>20019</v>
      </c>
      <c r="C5" s="76" t="str">
        <f ca="1">VLOOKUP($B5,OFFSET([2]quests!$A$1,0,0,COUNTA([2]quests!$A:$A),MATCH(C$1,[2]quests!$1:$1,0)-MATCH($B$1,[2]quests!$1:$1,0)+1),MATCH(C$1,[2]quests!$1:$1,0)-MATCH($B$1,[2]quests!$1:$1,0)+1,FALSE)</f>
        <v>灼熱の舞姫</v>
      </c>
      <c r="D5" s="76" t="str">
        <f ca="1">VLOOKUP($B5,OFFSET([2]quests!$A$1,0,0,COUNTA([2]quests!$A:$A),MATCH(D$1,[2]quests!$1:$1,0)-MATCH($B$1,[2]quests!$1:$1,0)+1),MATCH(D$1,[2]quests!$1:$1,0)-MATCH($B$1,[2]quests!$1:$1,0)+1,FALSE)</f>
        <v>平安01</v>
      </c>
      <c r="E5" s="80">
        <v>1</v>
      </c>
      <c r="F5" s="76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【初級】灼熱の舞姫</v>
      </c>
      <c r="G5" s="76" t="str">
        <f ca="1">VLOOKUP($B5&amp;"_"&amp;$E5,OFFSET([2]stages!$A$1,0,0,COUNTA([2]stages!$A:$A),MATCH(G$1,[2]stages!$2:$2,0)-MATCH("temp_stage",[2]stages!$2:$2,0)+1),MATCH(G$1,[2]stages!$2:$2,0)-MATCH("temp_stage",[2]stages!$2:$2,0)+1,FALSE)</f>
        <v>平安01</v>
      </c>
      <c r="H5" s="78">
        <v>0</v>
      </c>
      <c r="I5">
        <v>5</v>
      </c>
      <c r="J5" s="77" t="s">
        <v>197</v>
      </c>
      <c r="K5" s="86" t="str">
        <f>VLOOKUP(I5,[7]stage_hints!$A:$C,3,FALSE)</f>
        <v>ユニット強化でレベルアップ</v>
      </c>
      <c r="L5" s="87" t="str">
        <f>VLOOKUP(I5,[7]stage_hints!$A:$D,4,FALSE)</f>
        <v>「ユニット強化」でレベルアップすると_x000D_勝てない敵にも勝てるようになります</v>
      </c>
      <c r="M5" s="51" t="s">
        <v>210</v>
      </c>
    </row>
    <row r="6" spans="1:13" x14ac:dyDescent="0.15">
      <c r="A6" s="74" t="s">
        <v>200</v>
      </c>
      <c r="B6" s="75">
        <f>floors!$C$2</f>
        <v>20019</v>
      </c>
      <c r="C6" s="76" t="str">
        <f ca="1">VLOOKUP($B6,OFFSET([2]quests!$A$1,0,0,COUNTA([2]quests!$A:$A),MATCH(C$1,[2]quests!$1:$1,0)-MATCH($B$1,[2]quests!$1:$1,0)+1),MATCH(C$1,[2]quests!$1:$1,0)-MATCH($B$1,[2]quests!$1:$1,0)+1,FALSE)</f>
        <v>灼熱の舞姫</v>
      </c>
      <c r="D6" s="76" t="str">
        <f ca="1">VLOOKUP($B6,OFFSET([2]quests!$A$1,0,0,COUNTA([2]quests!$A:$A),MATCH(D$1,[2]quests!$1:$1,0)-MATCH($B$1,[2]quests!$1:$1,0)+1),MATCH(D$1,[2]quests!$1:$1,0)-MATCH($B$1,[2]quests!$1:$1,0)+1,FALSE)</f>
        <v>平安01</v>
      </c>
      <c r="E6" s="80">
        <v>1</v>
      </c>
      <c r="F6" s="76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【初級】灼熱の舞姫</v>
      </c>
      <c r="G6" s="76" t="str">
        <f ca="1">VLOOKUP($B6&amp;"_"&amp;$E6,OFFSET([2]stages!$A$1,0,0,COUNTA([2]stages!$A:$A),MATCH(G$1,[2]stages!$2:$2,0)-MATCH("temp_stage",[2]stages!$2:$2,0)+1),MATCH(G$1,[2]stages!$2:$2,0)-MATCH("temp_stage",[2]stages!$2:$2,0)+1,FALSE)</f>
        <v>平安01</v>
      </c>
      <c r="H6" s="78">
        <v>0</v>
      </c>
      <c r="I6">
        <v>6</v>
      </c>
      <c r="J6" s="77" t="s">
        <v>197</v>
      </c>
      <c r="K6" s="86" t="str">
        <f>VLOOKUP(I6,[7]stage_hints!$A:$C,3,FALSE)</f>
        <v>ユニット強化の属性ボーナス</v>
      </c>
      <c r="L6" s="87" t="str">
        <f>VLOOKUP(I6,[7]stage_hints!$A:$D,4,FALSE)</f>
        <v>同属性ユニットを強化素材にすると_x000D_経験値が多くもらえます</v>
      </c>
      <c r="M6" s="51" t="s">
        <v>210</v>
      </c>
    </row>
    <row r="7" spans="1:13" x14ac:dyDescent="0.15">
      <c r="A7" s="74" t="s">
        <v>200</v>
      </c>
      <c r="B7" s="75">
        <f>floors!$C$2</f>
        <v>20019</v>
      </c>
      <c r="C7" s="76" t="str">
        <f ca="1">VLOOKUP($B7,OFFSET([2]quests!$A$1,0,0,COUNTA([2]quests!$A:$A),MATCH(C$1,[2]quests!$1:$1,0)-MATCH($B$1,[2]quests!$1:$1,0)+1),MATCH(C$1,[2]quests!$1:$1,0)-MATCH($B$1,[2]quests!$1:$1,0)+1,FALSE)</f>
        <v>灼熱の舞姫</v>
      </c>
      <c r="D7" s="76" t="str">
        <f ca="1">VLOOKUP($B7,OFFSET([2]quests!$A$1,0,0,COUNTA([2]quests!$A:$A),MATCH(D$1,[2]quests!$1:$1,0)-MATCH($B$1,[2]quests!$1:$1,0)+1),MATCH(D$1,[2]quests!$1:$1,0)-MATCH($B$1,[2]quests!$1:$1,0)+1,FALSE)</f>
        <v>平安01</v>
      </c>
      <c r="E7" s="80">
        <v>1</v>
      </c>
      <c r="F7" s="76" t="str">
        <f ca="1">VLOOKUP($B7&amp;"_"&amp;$E7,OFFSET([2]stages!$A$1,0,0,COUNTA([2]stages!$A:$A),MATCH(F$1,[2]stages!$2:$2,0)-MATCH("temp_stage",[2]stages!$2:$2,0)+1),MATCH(F$1,[2]stages!$2:$2,0)-MATCH("temp_stage",[2]stages!$2:$2,0)+1,FALSE)</f>
        <v>【初級】灼熱の舞姫</v>
      </c>
      <c r="G7" s="76" t="str">
        <f ca="1">VLOOKUP($B7&amp;"_"&amp;$E7,OFFSET([2]stages!$A$1,0,0,COUNTA([2]stages!$A:$A),MATCH(G$1,[2]stages!$2:$2,0)-MATCH("temp_stage",[2]stages!$2:$2,0)+1),MATCH(G$1,[2]stages!$2:$2,0)-MATCH("temp_stage",[2]stages!$2:$2,0)+1,FALSE)</f>
        <v>平安01</v>
      </c>
      <c r="H7" s="78">
        <v>0</v>
      </c>
      <c r="I7">
        <v>7</v>
      </c>
      <c r="J7" s="77" t="s">
        <v>197</v>
      </c>
      <c r="K7" s="86" t="str">
        <f>VLOOKUP(I7,[7]stage_hints!$A:$C,3,FALSE)</f>
        <v>メタルダックで経験値を獲得</v>
      </c>
      <c r="L7" s="87" t="str">
        <f>VLOOKUP(I7,[7]stage_hints!$A:$D,4,FALSE)</f>
        <v>「メタルなアヒル」を強化素材にすると_x000D_大量の経験値がもらえます</v>
      </c>
      <c r="M7" s="51" t="s">
        <v>210</v>
      </c>
    </row>
    <row r="8" spans="1:13" x14ac:dyDescent="0.15">
      <c r="A8" s="74" t="s">
        <v>200</v>
      </c>
      <c r="B8" s="75">
        <f>floors!$C$2</f>
        <v>20019</v>
      </c>
      <c r="C8" s="76" t="str">
        <f ca="1">VLOOKUP($B8,OFFSET([2]quests!$A$1,0,0,COUNTA([2]quests!$A:$A),MATCH(C$1,[2]quests!$1:$1,0)-MATCH($B$1,[2]quests!$1:$1,0)+1),MATCH(C$1,[2]quests!$1:$1,0)-MATCH($B$1,[2]quests!$1:$1,0)+1,FALSE)</f>
        <v>灼熱の舞姫</v>
      </c>
      <c r="D8" s="76" t="str">
        <f ca="1">VLOOKUP($B8,OFFSET([2]quests!$A$1,0,0,COUNTA([2]quests!$A:$A),MATCH(D$1,[2]quests!$1:$1,0)-MATCH($B$1,[2]quests!$1:$1,0)+1),MATCH(D$1,[2]quests!$1:$1,0)-MATCH($B$1,[2]quests!$1:$1,0)+1,FALSE)</f>
        <v>平安01</v>
      </c>
      <c r="E8" s="80">
        <v>1</v>
      </c>
      <c r="F8" s="76" t="str">
        <f ca="1">VLOOKUP($B8&amp;"_"&amp;$E8,OFFSET([2]stages!$A$1,0,0,COUNTA([2]stages!$A:$A),MATCH(F$1,[2]stages!$2:$2,0)-MATCH("temp_stage",[2]stages!$2:$2,0)+1),MATCH(F$1,[2]stages!$2:$2,0)-MATCH("temp_stage",[2]stages!$2:$2,0)+1,FALSE)</f>
        <v>【初級】灼熱の舞姫</v>
      </c>
      <c r="G8" s="76" t="str">
        <f ca="1">VLOOKUP($B8&amp;"_"&amp;$E8,OFFSET([2]stages!$A$1,0,0,COUNTA([2]stages!$A:$A),MATCH(G$1,[2]stages!$2:$2,0)-MATCH("temp_stage",[2]stages!$2:$2,0)+1),MATCH(G$1,[2]stages!$2:$2,0)-MATCH("temp_stage",[2]stages!$2:$2,0)+1,FALSE)</f>
        <v>平安01</v>
      </c>
      <c r="H8" s="78">
        <v>0</v>
      </c>
      <c r="I8">
        <v>8</v>
      </c>
      <c r="J8" s="77" t="s">
        <v>197</v>
      </c>
      <c r="K8" s="86" t="str">
        <f>VLOOKUP(I8,[7]stage_hints!$A:$C,3,FALSE)</f>
        <v>ゲリラクエストは要チェック</v>
      </c>
      <c r="L8" s="87" t="str">
        <f>VLOOKUP(I8,[7]stage_hints!$A:$D,4,FALSE)</f>
        <v>時間限定の「アヒル捕獲作戦」では_x000D_経験値素材ユニットが多く手に入ります</v>
      </c>
      <c r="M8" s="51" t="s">
        <v>210</v>
      </c>
    </row>
    <row r="9" spans="1:13" x14ac:dyDescent="0.15">
      <c r="A9" s="74" t="s">
        <v>200</v>
      </c>
      <c r="B9" s="75">
        <f>floors!$C$2</f>
        <v>20019</v>
      </c>
      <c r="C9" s="76" t="str">
        <f ca="1">VLOOKUP($B9,OFFSET([2]quests!$A$1,0,0,COUNTA([2]quests!$A:$A),MATCH(C$1,[2]quests!$1:$1,0)-MATCH($B$1,[2]quests!$1:$1,0)+1),MATCH(C$1,[2]quests!$1:$1,0)-MATCH($B$1,[2]quests!$1:$1,0)+1,FALSE)</f>
        <v>灼熱の舞姫</v>
      </c>
      <c r="D9" s="76" t="str">
        <f ca="1">VLOOKUP($B9,OFFSET([2]quests!$A$1,0,0,COUNTA([2]quests!$A:$A),MATCH(D$1,[2]quests!$1:$1,0)-MATCH($B$1,[2]quests!$1:$1,0)+1),MATCH(D$1,[2]quests!$1:$1,0)-MATCH($B$1,[2]quests!$1:$1,0)+1,FALSE)</f>
        <v>平安01</v>
      </c>
      <c r="E9" s="80">
        <v>1</v>
      </c>
      <c r="F9" s="76" t="str">
        <f ca="1">VLOOKUP($B9&amp;"_"&amp;$E9,OFFSET([2]stages!$A$1,0,0,COUNTA([2]stages!$A:$A),MATCH(F$1,[2]stages!$2:$2,0)-MATCH("temp_stage",[2]stages!$2:$2,0)+1),MATCH(F$1,[2]stages!$2:$2,0)-MATCH("temp_stage",[2]stages!$2:$2,0)+1,FALSE)</f>
        <v>【初級】灼熱の舞姫</v>
      </c>
      <c r="G9" s="76" t="str">
        <f ca="1">VLOOKUP($B9&amp;"_"&amp;$E9,OFFSET([2]stages!$A$1,0,0,COUNTA([2]stages!$A:$A),MATCH(G$1,[2]stages!$2:$2,0)-MATCH("temp_stage",[2]stages!$2:$2,0)+1),MATCH(G$1,[2]stages!$2:$2,0)-MATCH("temp_stage",[2]stages!$2:$2,0)+1,FALSE)</f>
        <v>平安01</v>
      </c>
      <c r="H9" s="78">
        <v>0</v>
      </c>
      <c r="I9">
        <v>9</v>
      </c>
      <c r="J9" s="77" t="s">
        <v>197</v>
      </c>
      <c r="K9" s="86" t="str">
        <f>VLOOKUP(I9,[7]stage_hints!$A:$C,3,FALSE)</f>
        <v>ゴールドダックでビットを獲得</v>
      </c>
      <c r="L9" s="87" t="str">
        <f>VLOOKUP(I9,[7]stage_hints!$A:$D,4,FALSE)</f>
        <v>「ゴールドなアヒル」を売却すると_x000D_大量のビットがもらえます</v>
      </c>
      <c r="M9" s="51" t="s">
        <v>210</v>
      </c>
    </row>
    <row r="10" spans="1:13" x14ac:dyDescent="0.15">
      <c r="A10" s="74" t="s">
        <v>200</v>
      </c>
      <c r="B10" s="75">
        <f>floors!$C$2</f>
        <v>20019</v>
      </c>
      <c r="C10" s="76" t="str">
        <f ca="1">VLOOKUP($B10,OFFSET([2]quests!$A$1,0,0,COUNTA([2]quests!$A:$A),MATCH(C$1,[2]quests!$1:$1,0)-MATCH($B$1,[2]quests!$1:$1,0)+1),MATCH(C$1,[2]quests!$1:$1,0)-MATCH($B$1,[2]quests!$1:$1,0)+1,FALSE)</f>
        <v>灼熱の舞姫</v>
      </c>
      <c r="D10" s="76" t="str">
        <f ca="1">VLOOKUP($B10,OFFSET([2]quests!$A$1,0,0,COUNTA([2]quests!$A:$A),MATCH(D$1,[2]quests!$1:$1,0)-MATCH($B$1,[2]quests!$1:$1,0)+1),MATCH(D$1,[2]quests!$1:$1,0)-MATCH($B$1,[2]quests!$1:$1,0)+1,FALSE)</f>
        <v>平安01</v>
      </c>
      <c r="E10" s="80">
        <v>1</v>
      </c>
      <c r="F10" s="76" t="str">
        <f ca="1">VLOOKUP($B10&amp;"_"&amp;$E10,OFFSET([2]stages!$A$1,0,0,COUNTA([2]stages!$A:$A),MATCH(F$1,[2]stages!$2:$2,0)-MATCH("temp_stage",[2]stages!$2:$2,0)+1),MATCH(F$1,[2]stages!$2:$2,0)-MATCH("temp_stage",[2]stages!$2:$2,0)+1,FALSE)</f>
        <v>【初級】灼熱の舞姫</v>
      </c>
      <c r="G10" s="76" t="str">
        <f ca="1">VLOOKUP($B10&amp;"_"&amp;$E10,OFFSET([2]stages!$A$1,0,0,COUNTA([2]stages!$A:$A),MATCH(G$1,[2]stages!$2:$2,0)-MATCH("temp_stage",[2]stages!$2:$2,0)+1),MATCH(G$1,[2]stages!$2:$2,0)-MATCH("temp_stage",[2]stages!$2:$2,0)+1,FALSE)</f>
        <v>平安01</v>
      </c>
      <c r="H10" s="78">
        <v>0</v>
      </c>
      <c r="I10">
        <v>10</v>
      </c>
      <c r="J10" s="77" t="s">
        <v>197</v>
      </c>
      <c r="K10" s="86" t="str">
        <f>VLOOKUP(I10,[7]stage_hints!$A:$C,3,FALSE)</f>
        <v>土日に大量のビットを獲得</v>
      </c>
      <c r="L10" s="87" t="str">
        <f>VLOOKUP(I10,[7]stage_hints!$A:$D,4,FALSE)</f>
        <v>土日限定の「ゴールドカジノ」では_x000D_売却素材ユニットが多く手に入ります</v>
      </c>
      <c r="M10" s="51" t="s">
        <v>210</v>
      </c>
    </row>
    <row r="11" spans="1:13" x14ac:dyDescent="0.15">
      <c r="A11" s="74" t="s">
        <v>200</v>
      </c>
      <c r="B11" s="75">
        <f>floors!$C$2</f>
        <v>20019</v>
      </c>
      <c r="C11" s="76" t="str">
        <f ca="1">VLOOKUP($B11,OFFSET([2]quests!$A$1,0,0,COUNTA([2]quests!$A:$A),MATCH(C$1,[2]quests!$1:$1,0)-MATCH($B$1,[2]quests!$1:$1,0)+1),MATCH(C$1,[2]quests!$1:$1,0)-MATCH($B$1,[2]quests!$1:$1,0)+1,FALSE)</f>
        <v>灼熱の舞姫</v>
      </c>
      <c r="D11" s="76" t="str">
        <f ca="1">VLOOKUP($B11,OFFSET([2]quests!$A$1,0,0,COUNTA([2]quests!$A:$A),MATCH(D$1,[2]quests!$1:$1,0)-MATCH($B$1,[2]quests!$1:$1,0)+1),MATCH(D$1,[2]quests!$1:$1,0)-MATCH($B$1,[2]quests!$1:$1,0)+1,FALSE)</f>
        <v>平安01</v>
      </c>
      <c r="E11" s="80">
        <v>1</v>
      </c>
      <c r="F11" s="76" t="str">
        <f ca="1">VLOOKUP($B11&amp;"_"&amp;$E11,OFFSET([2]stages!$A$1,0,0,COUNTA([2]stages!$A:$A),MATCH(F$1,[2]stages!$2:$2,0)-MATCH("temp_stage",[2]stages!$2:$2,0)+1),MATCH(F$1,[2]stages!$2:$2,0)-MATCH("temp_stage",[2]stages!$2:$2,0)+1,FALSE)</f>
        <v>【初級】灼熱の舞姫</v>
      </c>
      <c r="G11" s="76" t="str">
        <f ca="1">VLOOKUP($B11&amp;"_"&amp;$E11,OFFSET([2]stages!$A$1,0,0,COUNTA([2]stages!$A:$A),MATCH(G$1,[2]stages!$2:$2,0)-MATCH("temp_stage",[2]stages!$2:$2,0)+1),MATCH(G$1,[2]stages!$2:$2,0)-MATCH("temp_stage",[2]stages!$2:$2,0)+1,FALSE)</f>
        <v>平安01</v>
      </c>
      <c r="H11" s="78">
        <v>0</v>
      </c>
      <c r="I11">
        <v>11</v>
      </c>
      <c r="J11" s="77" t="s">
        <v>197</v>
      </c>
      <c r="K11" s="86" t="str">
        <f>VLOOKUP(I11,[7]stage_hints!$A:$C,3,FALSE)</f>
        <v>ランク解放クエスト</v>
      </c>
      <c r="L11" s="87" t="str">
        <f>VLOOKUP(I11,[7]stage_hints!$A:$D,4,FALSE)</f>
        <v>一定ランクに到達すると_x000D_報酬付きのランク開放クエストが現れます</v>
      </c>
      <c r="M11" s="51" t="s">
        <v>210</v>
      </c>
    </row>
    <row r="12" spans="1:13" x14ac:dyDescent="0.15">
      <c r="A12" s="74" t="s">
        <v>200</v>
      </c>
      <c r="B12" s="75">
        <f>floors!$C$2</f>
        <v>20019</v>
      </c>
      <c r="C12" s="76" t="str">
        <f ca="1">VLOOKUP($B12,OFFSET([2]quests!$A$1,0,0,COUNTA([2]quests!$A:$A),MATCH(C$1,[2]quests!$1:$1,0)-MATCH($B$1,[2]quests!$1:$1,0)+1),MATCH(C$1,[2]quests!$1:$1,0)-MATCH($B$1,[2]quests!$1:$1,0)+1,FALSE)</f>
        <v>灼熱の舞姫</v>
      </c>
      <c r="D12" s="76" t="str">
        <f ca="1">VLOOKUP($B12,OFFSET([2]quests!$A$1,0,0,COUNTA([2]quests!$A:$A),MATCH(D$1,[2]quests!$1:$1,0)-MATCH($B$1,[2]quests!$1:$1,0)+1),MATCH(D$1,[2]quests!$1:$1,0)-MATCH($B$1,[2]quests!$1:$1,0)+1,FALSE)</f>
        <v>平安01</v>
      </c>
      <c r="E12" s="80">
        <v>1</v>
      </c>
      <c r="F12" s="76" t="str">
        <f ca="1">VLOOKUP($B12&amp;"_"&amp;$E12,OFFSET([2]stages!$A$1,0,0,COUNTA([2]stages!$A:$A),MATCH(F$1,[2]stages!$2:$2,0)-MATCH("temp_stage",[2]stages!$2:$2,0)+1),MATCH(F$1,[2]stages!$2:$2,0)-MATCH("temp_stage",[2]stages!$2:$2,0)+1,FALSE)</f>
        <v>【初級】灼熱の舞姫</v>
      </c>
      <c r="G12" s="76" t="str">
        <f ca="1">VLOOKUP($B12&amp;"_"&amp;$E12,OFFSET([2]stages!$A$1,0,0,COUNTA([2]stages!$A:$A),MATCH(G$1,[2]stages!$2:$2,0)-MATCH("temp_stage",[2]stages!$2:$2,0)+1),MATCH(G$1,[2]stages!$2:$2,0)-MATCH("temp_stage",[2]stages!$2:$2,0)+1,FALSE)</f>
        <v>平安01</v>
      </c>
      <c r="H12" s="78">
        <v>0</v>
      </c>
      <c r="I12">
        <v>12</v>
      </c>
      <c r="J12" s="77" t="s">
        <v>197</v>
      </c>
      <c r="K12" s="86" t="str">
        <f>VLOOKUP(I12,[7]stage_hints!$A:$C,3,FALSE)</f>
        <v>ユニットのお気に入り登録</v>
      </c>
      <c r="L12" s="87" t="str">
        <f>VLOOKUP(I12,[7]stage_hints!$A:$D,4,FALSE)</f>
        <v>大事なユニットを誤って消さないように_x000D_フォルダから「お気に入り登録」しましょう</v>
      </c>
      <c r="M12" s="51" t="s">
        <v>210</v>
      </c>
    </row>
    <row r="13" spans="1:13" x14ac:dyDescent="0.15">
      <c r="A13" s="74" t="s">
        <v>200</v>
      </c>
      <c r="B13" s="75">
        <f>floors!$C$2</f>
        <v>20019</v>
      </c>
      <c r="C13" s="76" t="str">
        <f ca="1">VLOOKUP($B13,OFFSET([2]quests!$A$1,0,0,COUNTA([2]quests!$A:$A),MATCH(C$1,[2]quests!$1:$1,0)-MATCH($B$1,[2]quests!$1:$1,0)+1),MATCH(C$1,[2]quests!$1:$1,0)-MATCH($B$1,[2]quests!$1:$1,0)+1,FALSE)</f>
        <v>灼熱の舞姫</v>
      </c>
      <c r="D13" s="76" t="str">
        <f ca="1">VLOOKUP($B13,OFFSET([2]quests!$A$1,0,0,COUNTA([2]quests!$A:$A),MATCH(D$1,[2]quests!$1:$1,0)-MATCH($B$1,[2]quests!$1:$1,0)+1),MATCH(D$1,[2]quests!$1:$1,0)-MATCH($B$1,[2]quests!$1:$1,0)+1,FALSE)</f>
        <v>平安01</v>
      </c>
      <c r="E13" s="80">
        <v>1</v>
      </c>
      <c r="F13" s="76" t="str">
        <f ca="1">VLOOKUP($B13&amp;"_"&amp;$E13,OFFSET([2]stages!$A$1,0,0,COUNTA([2]stages!$A:$A),MATCH(F$1,[2]stages!$2:$2,0)-MATCH("temp_stage",[2]stages!$2:$2,0)+1),MATCH(F$1,[2]stages!$2:$2,0)-MATCH("temp_stage",[2]stages!$2:$2,0)+1,FALSE)</f>
        <v>【初級】灼熱の舞姫</v>
      </c>
      <c r="G13" s="76" t="str">
        <f ca="1">VLOOKUP($B13&amp;"_"&amp;$E13,OFFSET([2]stages!$A$1,0,0,COUNTA([2]stages!$A:$A),MATCH(G$1,[2]stages!$2:$2,0)-MATCH("temp_stage",[2]stages!$2:$2,0)+1),MATCH(G$1,[2]stages!$2:$2,0)-MATCH("temp_stage",[2]stages!$2:$2,0)+1,FALSE)</f>
        <v>平安01</v>
      </c>
      <c r="H13" s="78">
        <v>0</v>
      </c>
      <c r="I13">
        <v>13</v>
      </c>
      <c r="J13" s="77" t="s">
        <v>197</v>
      </c>
      <c r="K13" s="86" t="str">
        <f>VLOOKUP(I13,[7]stage_hints!$A:$C,3,FALSE)</f>
        <v>ユニットの覚醒</v>
      </c>
      <c r="L13" s="87" t="str">
        <f>VLOOKUP(I13,[7]stage_hints!$A:$D,4,FALSE)</f>
        <v>ユニットを覚醒させると_x000D_比べものにならない強さが手に入ります</v>
      </c>
      <c r="M13" s="51" t="s">
        <v>210</v>
      </c>
    </row>
    <row r="14" spans="1:13" x14ac:dyDescent="0.15">
      <c r="A14" s="74" t="s">
        <v>200</v>
      </c>
      <c r="B14" s="75">
        <f>floors!$C$2</f>
        <v>20019</v>
      </c>
      <c r="C14" s="76" t="str">
        <f ca="1">VLOOKUP($B14,OFFSET([2]quests!$A$1,0,0,COUNTA([2]quests!$A:$A),MATCH(C$1,[2]quests!$1:$1,0)-MATCH($B$1,[2]quests!$1:$1,0)+1),MATCH(C$1,[2]quests!$1:$1,0)-MATCH($B$1,[2]quests!$1:$1,0)+1,FALSE)</f>
        <v>灼熱の舞姫</v>
      </c>
      <c r="D14" s="76" t="str">
        <f ca="1">VLOOKUP($B14,OFFSET([2]quests!$A$1,0,0,COUNTA([2]quests!$A:$A),MATCH(D$1,[2]quests!$1:$1,0)-MATCH($B$1,[2]quests!$1:$1,0)+1),MATCH(D$1,[2]quests!$1:$1,0)-MATCH($B$1,[2]quests!$1:$1,0)+1,FALSE)</f>
        <v>平安01</v>
      </c>
      <c r="E14" s="80">
        <v>1</v>
      </c>
      <c r="F14" s="76" t="str">
        <f ca="1">VLOOKUP($B14&amp;"_"&amp;$E14,OFFSET([2]stages!$A$1,0,0,COUNTA([2]stages!$A:$A),MATCH(F$1,[2]stages!$2:$2,0)-MATCH("temp_stage",[2]stages!$2:$2,0)+1),MATCH(F$1,[2]stages!$2:$2,0)-MATCH("temp_stage",[2]stages!$2:$2,0)+1,FALSE)</f>
        <v>【初級】灼熱の舞姫</v>
      </c>
      <c r="G14" s="76" t="str">
        <f ca="1">VLOOKUP($B14&amp;"_"&amp;$E14,OFFSET([2]stages!$A$1,0,0,COUNTA([2]stages!$A:$A),MATCH(G$1,[2]stages!$2:$2,0)-MATCH("temp_stage",[2]stages!$2:$2,0)+1),MATCH(G$1,[2]stages!$2:$2,0)-MATCH("temp_stage",[2]stages!$2:$2,0)+1,FALSE)</f>
        <v>平安01</v>
      </c>
      <c r="H14" s="78">
        <v>0</v>
      </c>
      <c r="I14">
        <v>14</v>
      </c>
      <c r="J14" s="77" t="s">
        <v>197</v>
      </c>
      <c r="K14" s="86" t="str">
        <f>VLOOKUP(I14,[7]stage_hints!$A:$C,3,FALSE)</f>
        <v>覚醒するにはレベルを最大に</v>
      </c>
      <c r="L14" s="87" t="str">
        <f>VLOOKUP(I14,[7]stage_hints!$A:$D,4,FALSE)</f>
        <v>覚醒するにはユニットのレベルを_x000D_最大まで上げる必要があります</v>
      </c>
      <c r="M14" s="51" t="s">
        <v>210</v>
      </c>
    </row>
    <row r="15" spans="1:13" x14ac:dyDescent="0.15">
      <c r="A15" s="74" t="s">
        <v>200</v>
      </c>
      <c r="B15" s="75">
        <f>floors!$C$2</f>
        <v>20019</v>
      </c>
      <c r="C15" s="76" t="str">
        <f ca="1">VLOOKUP($B15,OFFSET([2]quests!$A$1,0,0,COUNTA([2]quests!$A:$A),MATCH(C$1,[2]quests!$1:$1,0)-MATCH($B$1,[2]quests!$1:$1,0)+1),MATCH(C$1,[2]quests!$1:$1,0)-MATCH($B$1,[2]quests!$1:$1,0)+1,FALSE)</f>
        <v>灼熱の舞姫</v>
      </c>
      <c r="D15" s="76" t="str">
        <f ca="1">VLOOKUP($B15,OFFSET([2]quests!$A$1,0,0,COUNTA([2]quests!$A:$A),MATCH(D$1,[2]quests!$1:$1,0)-MATCH($B$1,[2]quests!$1:$1,0)+1),MATCH(D$1,[2]quests!$1:$1,0)-MATCH($B$1,[2]quests!$1:$1,0)+1,FALSE)</f>
        <v>平安01</v>
      </c>
      <c r="E15" s="80">
        <v>1</v>
      </c>
      <c r="F15" s="76" t="str">
        <f ca="1">VLOOKUP($B15&amp;"_"&amp;$E15,OFFSET([2]stages!$A$1,0,0,COUNTA([2]stages!$A:$A),MATCH(F$1,[2]stages!$2:$2,0)-MATCH("temp_stage",[2]stages!$2:$2,0)+1),MATCH(F$1,[2]stages!$2:$2,0)-MATCH("temp_stage",[2]stages!$2:$2,0)+1,FALSE)</f>
        <v>【初級】灼熱の舞姫</v>
      </c>
      <c r="G15" s="76" t="str">
        <f ca="1">VLOOKUP($B15&amp;"_"&amp;$E15,OFFSET([2]stages!$A$1,0,0,COUNTA([2]stages!$A:$A),MATCH(G$1,[2]stages!$2:$2,0)-MATCH("temp_stage",[2]stages!$2:$2,0)+1),MATCH(G$1,[2]stages!$2:$2,0)-MATCH("temp_stage",[2]stages!$2:$2,0)+1,FALSE)</f>
        <v>平安01</v>
      </c>
      <c r="H15" s="78">
        <v>0</v>
      </c>
      <c r="I15">
        <v>15</v>
      </c>
      <c r="J15" s="77" t="s">
        <v>197</v>
      </c>
      <c r="K15" s="86" t="str">
        <f>VLOOKUP(I15,[7]stage_hints!$A:$C,3,FALSE)</f>
        <v>覚醒素材を獲得</v>
      </c>
      <c r="L15" s="87" t="str">
        <f>VLOOKUP(I15,[7]stage_hints!$A:$D,4,FALSE)</f>
        <v>「曜日クエスト」では_x000D_ユニットの覚醒に必要な素材が手に入ります</v>
      </c>
      <c r="M15" s="51" t="s">
        <v>210</v>
      </c>
    </row>
    <row r="16" spans="1:13" x14ac:dyDescent="0.15">
      <c r="A16" s="74" t="s">
        <v>200</v>
      </c>
      <c r="B16" s="75">
        <f>floors!$C$2</f>
        <v>20019</v>
      </c>
      <c r="C16" s="76" t="str">
        <f ca="1">VLOOKUP($B16,OFFSET([2]quests!$A$1,0,0,COUNTA([2]quests!$A:$A),MATCH(C$1,[2]quests!$1:$1,0)-MATCH($B$1,[2]quests!$1:$1,0)+1),MATCH(C$1,[2]quests!$1:$1,0)-MATCH($B$1,[2]quests!$1:$1,0)+1,FALSE)</f>
        <v>灼熱の舞姫</v>
      </c>
      <c r="D16" s="76" t="str">
        <f ca="1">VLOOKUP($B16,OFFSET([2]quests!$A$1,0,0,COUNTA([2]quests!$A:$A),MATCH(D$1,[2]quests!$1:$1,0)-MATCH($B$1,[2]quests!$1:$1,0)+1),MATCH(D$1,[2]quests!$1:$1,0)-MATCH($B$1,[2]quests!$1:$1,0)+1,FALSE)</f>
        <v>平安01</v>
      </c>
      <c r="E16" s="80">
        <v>1</v>
      </c>
      <c r="F16" s="76" t="str">
        <f ca="1">VLOOKUP($B16&amp;"_"&amp;$E16,OFFSET([2]stages!$A$1,0,0,COUNTA([2]stages!$A:$A),MATCH(F$1,[2]stages!$2:$2,0)-MATCH("temp_stage",[2]stages!$2:$2,0)+1),MATCH(F$1,[2]stages!$2:$2,0)-MATCH("temp_stage",[2]stages!$2:$2,0)+1,FALSE)</f>
        <v>【初級】灼熱の舞姫</v>
      </c>
      <c r="G16" s="76" t="str">
        <f ca="1">VLOOKUP($B16&amp;"_"&amp;$E16,OFFSET([2]stages!$A$1,0,0,COUNTA([2]stages!$A:$A),MATCH(G$1,[2]stages!$2:$2,0)-MATCH("temp_stage",[2]stages!$2:$2,0)+1),MATCH(G$1,[2]stages!$2:$2,0)-MATCH("temp_stage",[2]stages!$2:$2,0)+1,FALSE)</f>
        <v>平安01</v>
      </c>
      <c r="H16" s="78">
        <v>0</v>
      </c>
      <c r="I16">
        <v>16</v>
      </c>
      <c r="J16" s="77" t="s">
        <v>197</v>
      </c>
      <c r="K16" s="86" t="str">
        <f>VLOOKUP(I16,[7]stage_hints!$A:$C,3,FALSE)</f>
        <v>マルチプレイのメリット（その1）</v>
      </c>
      <c r="L16" s="87" t="str">
        <f>VLOOKUP(I16,[7]stage_hints!$A:$D,4,FALSE)</f>
        <v>他のプレイヤーとマルチプレイで遊ぶと_x000D_ポリゴンがもらえます（100人まで）</v>
      </c>
      <c r="M16" s="51" t="s">
        <v>210</v>
      </c>
    </row>
    <row r="17" spans="1:13" x14ac:dyDescent="0.15">
      <c r="A17" s="74" t="s">
        <v>200</v>
      </c>
      <c r="B17" s="75">
        <f>floors!$C$2</f>
        <v>20019</v>
      </c>
      <c r="C17" s="76" t="str">
        <f ca="1">VLOOKUP($B17,OFFSET([2]quests!$A$1,0,0,COUNTA([2]quests!$A:$A),MATCH(C$1,[2]quests!$1:$1,0)-MATCH($B$1,[2]quests!$1:$1,0)+1),MATCH(C$1,[2]quests!$1:$1,0)-MATCH($B$1,[2]quests!$1:$1,0)+1,FALSE)</f>
        <v>灼熱の舞姫</v>
      </c>
      <c r="D17" s="76" t="str">
        <f ca="1">VLOOKUP($B17,OFFSET([2]quests!$A$1,0,0,COUNTA([2]quests!$A:$A),MATCH(D$1,[2]quests!$1:$1,0)-MATCH($B$1,[2]quests!$1:$1,0)+1),MATCH(D$1,[2]quests!$1:$1,0)-MATCH($B$1,[2]quests!$1:$1,0)+1,FALSE)</f>
        <v>平安01</v>
      </c>
      <c r="E17" s="80">
        <v>1</v>
      </c>
      <c r="F17" s="76" t="str">
        <f ca="1">VLOOKUP($B17&amp;"_"&amp;$E17,OFFSET([2]stages!$A$1,0,0,COUNTA([2]stages!$A:$A),MATCH(F$1,[2]stages!$2:$2,0)-MATCH("temp_stage",[2]stages!$2:$2,0)+1),MATCH(F$1,[2]stages!$2:$2,0)-MATCH("temp_stage",[2]stages!$2:$2,0)+1,FALSE)</f>
        <v>【初級】灼熱の舞姫</v>
      </c>
      <c r="G17" s="76" t="str">
        <f ca="1">VLOOKUP($B17&amp;"_"&amp;$E17,OFFSET([2]stages!$A$1,0,0,COUNTA([2]stages!$A:$A),MATCH(G$1,[2]stages!$2:$2,0)-MATCH("temp_stage",[2]stages!$2:$2,0)+1),MATCH(G$1,[2]stages!$2:$2,0)-MATCH("temp_stage",[2]stages!$2:$2,0)+1,FALSE)</f>
        <v>平安01</v>
      </c>
      <c r="H17" s="78">
        <v>0</v>
      </c>
      <c r="I17">
        <v>17</v>
      </c>
      <c r="J17" s="77" t="s">
        <v>197</v>
      </c>
      <c r="K17" s="86" t="str">
        <f>VLOOKUP(I17,[7]stage_hints!$A:$C,3,FALSE)</f>
        <v>リンクガチャ</v>
      </c>
      <c r="L17" s="87" t="str">
        <f>VLOOKUP(I17,[7]stage_hints!$A:$D,4,FALSE)</f>
        <v>無料のリンクガチャを回して_x000D_経験値素材や売却素材を獲得しましょう</v>
      </c>
      <c r="M17" s="51" t="s">
        <v>210</v>
      </c>
    </row>
    <row r="18" spans="1:13" x14ac:dyDescent="0.15">
      <c r="A18" s="74" t="s">
        <v>200</v>
      </c>
      <c r="B18" s="75">
        <f>floors!$C$2</f>
        <v>20019</v>
      </c>
      <c r="C18" s="76" t="str">
        <f ca="1">VLOOKUP($B18,OFFSET([2]quests!$A$1,0,0,COUNTA([2]quests!$A:$A),MATCH(C$1,[2]quests!$1:$1,0)-MATCH($B$1,[2]quests!$1:$1,0)+1),MATCH(C$1,[2]quests!$1:$1,0)-MATCH($B$1,[2]quests!$1:$1,0)+1,FALSE)</f>
        <v>灼熱の舞姫</v>
      </c>
      <c r="D18" s="76" t="str">
        <f ca="1">VLOOKUP($B18,OFFSET([2]quests!$A$1,0,0,COUNTA([2]quests!$A:$A),MATCH(D$1,[2]quests!$1:$1,0)-MATCH($B$1,[2]quests!$1:$1,0)+1),MATCH(D$1,[2]quests!$1:$1,0)-MATCH($B$1,[2]quests!$1:$1,0)+1,FALSE)</f>
        <v>平安01</v>
      </c>
      <c r="E18" s="80">
        <v>1</v>
      </c>
      <c r="F18" s="76" t="str">
        <f ca="1">VLOOKUP($B18&amp;"_"&amp;$E18,OFFSET([2]stages!$A$1,0,0,COUNTA([2]stages!$A:$A),MATCH(F$1,[2]stages!$2:$2,0)-MATCH("temp_stage",[2]stages!$2:$2,0)+1),MATCH(F$1,[2]stages!$2:$2,0)-MATCH("temp_stage",[2]stages!$2:$2,0)+1,FALSE)</f>
        <v>【初級】灼熱の舞姫</v>
      </c>
      <c r="G18" s="76" t="str">
        <f ca="1">VLOOKUP($B18&amp;"_"&amp;$E18,OFFSET([2]stages!$A$1,0,0,COUNTA([2]stages!$A:$A),MATCH(G$1,[2]stages!$2:$2,0)-MATCH("temp_stage",[2]stages!$2:$2,0)+1),MATCH(G$1,[2]stages!$2:$2,0)-MATCH("temp_stage",[2]stages!$2:$2,0)+1,FALSE)</f>
        <v>平安01</v>
      </c>
      <c r="H18" s="78">
        <v>0</v>
      </c>
      <c r="I18">
        <v>18</v>
      </c>
      <c r="J18" s="77" t="s">
        <v>197</v>
      </c>
      <c r="K18" s="86" t="str">
        <f>VLOOKUP(I18,[7]stage_hints!$A:$C,3,FALSE)</f>
        <v>マルチプレイのメリット（その2）</v>
      </c>
      <c r="L18" s="87" t="str">
        <f>VLOOKUP(I18,[7]stage_hints!$A:$D,4,FALSE)</f>
        <v>マルチプレイならリンクが2倍もらえます_x000D_リンクガチャをたくさん回しましょう</v>
      </c>
      <c r="M18" s="51" t="s">
        <v>210</v>
      </c>
    </row>
    <row r="19" spans="1:13" x14ac:dyDescent="0.15">
      <c r="A19" s="74" t="s">
        <v>200</v>
      </c>
      <c r="B19" s="75">
        <f>floors!$C$2</f>
        <v>20019</v>
      </c>
      <c r="C19" s="76" t="str">
        <f ca="1">VLOOKUP($B19,OFFSET([2]quests!$A$1,0,0,COUNTA([2]quests!$A:$A),MATCH(C$1,[2]quests!$1:$1,0)-MATCH($B$1,[2]quests!$1:$1,0)+1),MATCH(C$1,[2]quests!$1:$1,0)-MATCH($B$1,[2]quests!$1:$1,0)+1,FALSE)</f>
        <v>灼熱の舞姫</v>
      </c>
      <c r="D19" s="76" t="str">
        <f ca="1">VLOOKUP($B19,OFFSET([2]quests!$A$1,0,0,COUNTA([2]quests!$A:$A),MATCH(D$1,[2]quests!$1:$1,0)-MATCH($B$1,[2]quests!$1:$1,0)+1),MATCH(D$1,[2]quests!$1:$1,0)-MATCH($B$1,[2]quests!$1:$1,0)+1,FALSE)</f>
        <v>平安01</v>
      </c>
      <c r="E19" s="80">
        <v>1</v>
      </c>
      <c r="F19" s="76" t="str">
        <f ca="1">VLOOKUP($B19&amp;"_"&amp;$E19,OFFSET([2]stages!$A$1,0,0,COUNTA([2]stages!$A:$A),MATCH(F$1,[2]stages!$2:$2,0)-MATCH("temp_stage",[2]stages!$2:$2,0)+1),MATCH(F$1,[2]stages!$2:$2,0)-MATCH("temp_stage",[2]stages!$2:$2,0)+1,FALSE)</f>
        <v>【初級】灼熱の舞姫</v>
      </c>
      <c r="G19" s="76" t="str">
        <f ca="1">VLOOKUP($B19&amp;"_"&amp;$E19,OFFSET([2]stages!$A$1,0,0,COUNTA([2]stages!$A:$A),MATCH(G$1,[2]stages!$2:$2,0)-MATCH("temp_stage",[2]stages!$2:$2,0)+1),MATCH(G$1,[2]stages!$2:$2,0)-MATCH("temp_stage",[2]stages!$2:$2,0)+1,FALSE)</f>
        <v>平安01</v>
      </c>
      <c r="H19" s="78">
        <v>0</v>
      </c>
      <c r="I19">
        <v>19</v>
      </c>
      <c r="J19" s="77" t="s">
        <v>197</v>
      </c>
      <c r="K19" s="86" t="str">
        <f>VLOOKUP(I19,[7]stage_hints!$A:$C,3,FALSE)</f>
        <v>ソロ専用タワーオブザクイーン</v>
      </c>
      <c r="L19" s="87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1" t="s">
        <v>210</v>
      </c>
    </row>
    <row r="20" spans="1:13" x14ac:dyDescent="0.15">
      <c r="A20" s="74" t="s">
        <v>200</v>
      </c>
      <c r="B20" s="75">
        <f>floors!$C$2</f>
        <v>20019</v>
      </c>
      <c r="C20" s="76" t="str">
        <f ca="1">VLOOKUP($B20,OFFSET([2]quests!$A$1,0,0,COUNTA([2]quests!$A:$A),MATCH(C$1,[2]quests!$1:$1,0)-MATCH($B$1,[2]quests!$1:$1,0)+1),MATCH(C$1,[2]quests!$1:$1,0)-MATCH($B$1,[2]quests!$1:$1,0)+1,FALSE)</f>
        <v>灼熱の舞姫</v>
      </c>
      <c r="D20" s="76" t="str">
        <f ca="1">VLOOKUP($B20,OFFSET([2]quests!$A$1,0,0,COUNTA([2]quests!$A:$A),MATCH(D$1,[2]quests!$1:$1,0)-MATCH($B$1,[2]quests!$1:$1,0)+1),MATCH(D$1,[2]quests!$1:$1,0)-MATCH($B$1,[2]quests!$1:$1,0)+1,FALSE)</f>
        <v>平安01</v>
      </c>
      <c r="E20" s="80">
        <v>1</v>
      </c>
      <c r="F20" s="76" t="str">
        <f ca="1">VLOOKUP($B20&amp;"_"&amp;$E20,OFFSET([2]stages!$A$1,0,0,COUNTA([2]stages!$A:$A),MATCH(F$1,[2]stages!$2:$2,0)-MATCH("temp_stage",[2]stages!$2:$2,0)+1),MATCH(F$1,[2]stages!$2:$2,0)-MATCH("temp_stage",[2]stages!$2:$2,0)+1,FALSE)</f>
        <v>【初級】灼熱の舞姫</v>
      </c>
      <c r="G20" s="76" t="str">
        <f ca="1">VLOOKUP($B20&amp;"_"&amp;$E20,OFFSET([2]stages!$A$1,0,0,COUNTA([2]stages!$A:$A),MATCH(G$1,[2]stages!$2:$2,0)-MATCH("temp_stage",[2]stages!$2:$2,0)+1),MATCH(G$1,[2]stages!$2:$2,0)-MATCH("temp_stage",[2]stages!$2:$2,0)+1,FALSE)</f>
        <v>平安01</v>
      </c>
      <c r="H20" s="78">
        <v>0</v>
      </c>
      <c r="I20">
        <v>20</v>
      </c>
      <c r="J20" s="77" t="s">
        <v>197</v>
      </c>
      <c r="K20" s="86" t="str">
        <f>VLOOKUP(I20,[7]stage_hints!$A:$C,3,FALSE)</f>
        <v>マルチプレイのメリット（その3）</v>
      </c>
      <c r="L20" s="87" t="str">
        <f>VLOOKUP(I20,[7]stage_hints!$A:$D,4,FALSE)</f>
        <v>マルチプレイへの参加はエナジー消費ゼロ_x000D_いつでも好きなだけ遊ぶことができます</v>
      </c>
      <c r="M20" s="51" t="s">
        <v>210</v>
      </c>
    </row>
    <row r="21" spans="1:13" x14ac:dyDescent="0.15">
      <c r="A21" s="74" t="s">
        <v>200</v>
      </c>
      <c r="B21" s="75">
        <f>floors!$C$2</f>
        <v>20019</v>
      </c>
      <c r="C21" s="76" t="str">
        <f ca="1">VLOOKUP($B21,OFFSET([2]quests!$A$1,0,0,COUNTA([2]quests!$A:$A),MATCH(C$1,[2]quests!$1:$1,0)-MATCH($B$1,[2]quests!$1:$1,0)+1),MATCH(C$1,[2]quests!$1:$1,0)-MATCH($B$1,[2]quests!$1:$1,0)+1,FALSE)</f>
        <v>灼熱の舞姫</v>
      </c>
      <c r="D21" s="76" t="str">
        <f ca="1">VLOOKUP($B21,OFFSET([2]quests!$A$1,0,0,COUNTA([2]quests!$A:$A),MATCH(D$1,[2]quests!$1:$1,0)-MATCH($B$1,[2]quests!$1:$1,0)+1),MATCH(D$1,[2]quests!$1:$1,0)-MATCH($B$1,[2]quests!$1:$1,0)+1,FALSE)</f>
        <v>平安01</v>
      </c>
      <c r="E21" s="80">
        <v>1</v>
      </c>
      <c r="F21" s="76" t="str">
        <f ca="1">VLOOKUP($B21&amp;"_"&amp;$E21,OFFSET([2]stages!$A$1,0,0,COUNTA([2]stages!$A:$A),MATCH(F$1,[2]stages!$2:$2,0)-MATCH("temp_stage",[2]stages!$2:$2,0)+1),MATCH(F$1,[2]stages!$2:$2,0)-MATCH("temp_stage",[2]stages!$2:$2,0)+1,FALSE)</f>
        <v>【初級】灼熱の舞姫</v>
      </c>
      <c r="G21" s="76" t="str">
        <f ca="1">VLOOKUP($B21&amp;"_"&amp;$E21,OFFSET([2]stages!$A$1,0,0,COUNTA([2]stages!$A:$A),MATCH(G$1,[2]stages!$2:$2,0)-MATCH("temp_stage",[2]stages!$2:$2,0)+1),MATCH(G$1,[2]stages!$2:$2,0)-MATCH("temp_stage",[2]stages!$2:$2,0)+1,FALSE)</f>
        <v>平安01</v>
      </c>
      <c r="H21" s="78">
        <v>0</v>
      </c>
      <c r="I21">
        <v>21</v>
      </c>
      <c r="J21" s="77" t="s">
        <v>197</v>
      </c>
      <c r="K21" s="86" t="str">
        <f>VLOOKUP(I21,[7]stage_hints!$A:$C,3,FALSE)</f>
        <v>スキルを有効に</v>
      </c>
      <c r="L21" s="87" t="str">
        <f>VLOOKUP(I21,[7]stage_hints!$A:$D,4,FALSE)</f>
        <v>ターン経過でユニットのスキルが使えます_x000D_強力スキルでバトルを有利に進めましょう</v>
      </c>
      <c r="M21" s="51" t="s">
        <v>210</v>
      </c>
    </row>
    <row r="22" spans="1:13" x14ac:dyDescent="0.15">
      <c r="A22" s="74" t="s">
        <v>200</v>
      </c>
      <c r="B22" s="75">
        <f>floors!$C$2</f>
        <v>20019</v>
      </c>
      <c r="C22" s="76" t="str">
        <f ca="1">VLOOKUP($B22,OFFSET([2]quests!$A$1,0,0,COUNTA([2]quests!$A:$A),MATCH(C$1,[2]quests!$1:$1,0)-MATCH($B$1,[2]quests!$1:$1,0)+1),MATCH(C$1,[2]quests!$1:$1,0)-MATCH($B$1,[2]quests!$1:$1,0)+1,FALSE)</f>
        <v>灼熱の舞姫</v>
      </c>
      <c r="D22" s="76" t="str">
        <f ca="1">VLOOKUP($B22,OFFSET([2]quests!$A$1,0,0,COUNTA([2]quests!$A:$A),MATCH(D$1,[2]quests!$1:$1,0)-MATCH($B$1,[2]quests!$1:$1,0)+1),MATCH(D$1,[2]quests!$1:$1,0)-MATCH($B$1,[2]quests!$1:$1,0)+1,FALSE)</f>
        <v>平安01</v>
      </c>
      <c r="E22" s="80">
        <v>1</v>
      </c>
      <c r="F22" s="76" t="str">
        <f ca="1">VLOOKUP($B22&amp;"_"&amp;$E22,OFFSET([2]stages!$A$1,0,0,COUNTA([2]stages!$A:$A),MATCH(F$1,[2]stages!$2:$2,0)-MATCH("temp_stage",[2]stages!$2:$2,0)+1),MATCH(F$1,[2]stages!$2:$2,0)-MATCH("temp_stage",[2]stages!$2:$2,0)+1,FALSE)</f>
        <v>【初級】灼熱の舞姫</v>
      </c>
      <c r="G22" s="76" t="str">
        <f ca="1">VLOOKUP($B22&amp;"_"&amp;$E22,OFFSET([2]stages!$A$1,0,0,COUNTA([2]stages!$A:$A),MATCH(G$1,[2]stages!$2:$2,0)-MATCH("temp_stage",[2]stages!$2:$2,0)+1),MATCH(G$1,[2]stages!$2:$2,0)-MATCH("temp_stage",[2]stages!$2:$2,0)+1,FALSE)</f>
        <v>平安01</v>
      </c>
      <c r="H22" s="78">
        <v>0</v>
      </c>
      <c r="I22">
        <v>22</v>
      </c>
      <c r="J22" s="77" t="s">
        <v>197</v>
      </c>
      <c r="K22" s="86" t="str">
        <f>VLOOKUP(I22,[7]stage_hints!$A:$C,3,FALSE)</f>
        <v>フィーバーで一発逆転（その1）</v>
      </c>
      <c r="L22" s="87" t="str">
        <f>VLOOKUP(I22,[7]stage_hints!$A:$D,4,FALSE)</f>
        <v>フィーバーは攻撃と回復を兼ね備えます_x000D_ピンチからの一発逆転を狙いましょう</v>
      </c>
      <c r="M22" s="51" t="s">
        <v>210</v>
      </c>
    </row>
    <row r="23" spans="1:13" x14ac:dyDescent="0.15">
      <c r="A23" s="74" t="s">
        <v>200</v>
      </c>
      <c r="B23" s="75">
        <f>floors!$C$2</f>
        <v>20019</v>
      </c>
      <c r="C23" s="76" t="str">
        <f ca="1">VLOOKUP($B23,OFFSET([2]quests!$A$1,0,0,COUNTA([2]quests!$A:$A),MATCH(C$1,[2]quests!$1:$1,0)-MATCH($B$1,[2]quests!$1:$1,0)+1),MATCH(C$1,[2]quests!$1:$1,0)-MATCH($B$1,[2]quests!$1:$1,0)+1,FALSE)</f>
        <v>灼熱の舞姫</v>
      </c>
      <c r="D23" s="76" t="str">
        <f ca="1">VLOOKUP($B23,OFFSET([2]quests!$A$1,0,0,COUNTA([2]quests!$A:$A),MATCH(D$1,[2]quests!$1:$1,0)-MATCH($B$1,[2]quests!$1:$1,0)+1),MATCH(D$1,[2]quests!$1:$1,0)-MATCH($B$1,[2]quests!$1:$1,0)+1,FALSE)</f>
        <v>平安01</v>
      </c>
      <c r="E23" s="80">
        <v>1</v>
      </c>
      <c r="F23" s="76" t="str">
        <f ca="1">VLOOKUP($B23&amp;"_"&amp;$E23,OFFSET([2]stages!$A$1,0,0,COUNTA([2]stages!$A:$A),MATCH(F$1,[2]stages!$2:$2,0)-MATCH("temp_stage",[2]stages!$2:$2,0)+1),MATCH(F$1,[2]stages!$2:$2,0)-MATCH("temp_stage",[2]stages!$2:$2,0)+1,FALSE)</f>
        <v>【初級】灼熱の舞姫</v>
      </c>
      <c r="G23" s="76" t="str">
        <f ca="1">VLOOKUP($B23&amp;"_"&amp;$E23,OFFSET([2]stages!$A$1,0,0,COUNTA([2]stages!$A:$A),MATCH(G$1,[2]stages!$2:$2,0)-MATCH("temp_stage",[2]stages!$2:$2,0)+1),MATCH(G$1,[2]stages!$2:$2,0)-MATCH("temp_stage",[2]stages!$2:$2,0)+1,FALSE)</f>
        <v>平安01</v>
      </c>
      <c r="H23" s="78">
        <v>0</v>
      </c>
      <c r="I23">
        <v>23</v>
      </c>
      <c r="J23" s="77" t="s">
        <v>197</v>
      </c>
      <c r="K23" s="86" t="str">
        <f>VLOOKUP(I23,[7]stage_hints!$A:$C,3,FALSE)</f>
        <v>フィーバーで一発逆転（その2）</v>
      </c>
      <c r="L23" s="87" t="str">
        <f>VLOOKUP(I23,[7]stage_hints!$A:$D,4,FALSE)</f>
        <v>フィーバー中は虹色のボムパネルを狙って_x000D_画面上のパネルを一気に破壊しましょう</v>
      </c>
      <c r="M23" s="51" t="s">
        <v>210</v>
      </c>
    </row>
    <row r="24" spans="1:13" x14ac:dyDescent="0.15">
      <c r="A24" s="74" t="s">
        <v>200</v>
      </c>
      <c r="B24" s="75">
        <f>floors!$C$2</f>
        <v>20019</v>
      </c>
      <c r="C24" s="76" t="str">
        <f ca="1">VLOOKUP($B24,OFFSET([2]quests!$A$1,0,0,COUNTA([2]quests!$A:$A),MATCH(C$1,[2]quests!$1:$1,0)-MATCH($B$1,[2]quests!$1:$1,0)+1),MATCH(C$1,[2]quests!$1:$1,0)-MATCH($B$1,[2]quests!$1:$1,0)+1,FALSE)</f>
        <v>灼熱の舞姫</v>
      </c>
      <c r="D24" s="76" t="str">
        <f ca="1">VLOOKUP($B24,OFFSET([2]quests!$A$1,0,0,COUNTA([2]quests!$A:$A),MATCH(D$1,[2]quests!$1:$1,0)-MATCH($B$1,[2]quests!$1:$1,0)+1),MATCH(D$1,[2]quests!$1:$1,0)-MATCH($B$1,[2]quests!$1:$1,0)+1,FALSE)</f>
        <v>平安01</v>
      </c>
      <c r="E24" s="80">
        <v>1</v>
      </c>
      <c r="F24" s="76" t="str">
        <f ca="1">VLOOKUP($B24&amp;"_"&amp;$E24,OFFSET([2]stages!$A$1,0,0,COUNTA([2]stages!$A:$A),MATCH(F$1,[2]stages!$2:$2,0)-MATCH("temp_stage",[2]stages!$2:$2,0)+1),MATCH(F$1,[2]stages!$2:$2,0)-MATCH("temp_stage",[2]stages!$2:$2,0)+1,FALSE)</f>
        <v>【初級】灼熱の舞姫</v>
      </c>
      <c r="G24" s="76" t="str">
        <f ca="1">VLOOKUP($B24&amp;"_"&amp;$E24,OFFSET([2]stages!$A$1,0,0,COUNTA([2]stages!$A:$A),MATCH(G$1,[2]stages!$2:$2,0)-MATCH("temp_stage",[2]stages!$2:$2,0)+1),MATCH(G$1,[2]stages!$2:$2,0)-MATCH("temp_stage",[2]stages!$2:$2,0)+1,FALSE)</f>
        <v>平安01</v>
      </c>
      <c r="H24" s="78">
        <v>0</v>
      </c>
      <c r="I24">
        <v>24</v>
      </c>
      <c r="J24" s="77" t="s">
        <v>197</v>
      </c>
      <c r="K24" s="86" t="str">
        <f>VLOOKUP(I24,[7]stage_hints!$A:$C,3,FALSE)</f>
        <v>果実を使って限界突破</v>
      </c>
      <c r="L24" s="87" t="str">
        <f>VLOOKUP(I24,[7]stage_hints!$A:$D,4,FALSE)</f>
        <v>攻めの果実 癒しの果実_x000D_生命の果実をユニット強化に使うと_x000D_ステータスが限界突破します（計99個迄）</v>
      </c>
      <c r="M24" s="51" t="s">
        <v>210</v>
      </c>
    </row>
    <row r="25" spans="1:13" x14ac:dyDescent="0.15">
      <c r="A25" s="74" t="s">
        <v>200</v>
      </c>
      <c r="B25" s="75">
        <f>floors!$C$2</f>
        <v>20019</v>
      </c>
      <c r="C25" s="76" t="str">
        <f ca="1">VLOOKUP($B25,OFFSET([2]quests!$A$1,0,0,COUNTA([2]quests!$A:$A),MATCH(C$1,[2]quests!$1:$1,0)-MATCH($B$1,[2]quests!$1:$1,0)+1),MATCH(C$1,[2]quests!$1:$1,0)-MATCH($B$1,[2]quests!$1:$1,0)+1,FALSE)</f>
        <v>灼熱の舞姫</v>
      </c>
      <c r="D25" s="76" t="str">
        <f ca="1">VLOOKUP($B25,OFFSET([2]quests!$A$1,0,0,COUNTA([2]quests!$A:$A),MATCH(D$1,[2]quests!$1:$1,0)-MATCH($B$1,[2]quests!$1:$1,0)+1),MATCH(D$1,[2]quests!$1:$1,0)-MATCH($B$1,[2]quests!$1:$1,0)+1,FALSE)</f>
        <v>平安01</v>
      </c>
      <c r="E25" s="80">
        <v>1</v>
      </c>
      <c r="F25" s="76" t="str">
        <f ca="1">VLOOKUP($B25&amp;"_"&amp;$E25,OFFSET([2]stages!$A$1,0,0,COUNTA([2]stages!$A:$A),MATCH(F$1,[2]stages!$2:$2,0)-MATCH("temp_stage",[2]stages!$2:$2,0)+1),MATCH(F$1,[2]stages!$2:$2,0)-MATCH("temp_stage",[2]stages!$2:$2,0)+1,FALSE)</f>
        <v>【初級】灼熱の舞姫</v>
      </c>
      <c r="G25" s="76" t="str">
        <f ca="1">VLOOKUP($B25&amp;"_"&amp;$E25,OFFSET([2]stages!$A$1,0,0,COUNTA([2]stages!$A:$A),MATCH(G$1,[2]stages!$2:$2,0)-MATCH("temp_stage",[2]stages!$2:$2,0)+1),MATCH(G$1,[2]stages!$2:$2,0)-MATCH("temp_stage",[2]stages!$2:$2,0)+1,FALSE)</f>
        <v>平安01</v>
      </c>
      <c r="H25" s="78">
        <v>0</v>
      </c>
      <c r="I25">
        <v>25</v>
      </c>
      <c r="J25" s="77" t="s">
        <v>197</v>
      </c>
      <c r="K25" s="86" t="str">
        <f>VLOOKUP(I25,[7]stage_hints!$A:$C,3,FALSE)</f>
        <v>スキルレベルアップ</v>
      </c>
      <c r="L25" s="87" t="str">
        <f>VLOOKUP(I25,[7]stage_hints!$A:$D,4,FALSE)</f>
        <v>「秘術の果実」を強化に使うと_x000D_スキルレベルを上げることができます</v>
      </c>
      <c r="M25" s="51" t="s">
        <v>210</v>
      </c>
    </row>
    <row r="26" spans="1:13" x14ac:dyDescent="0.15">
      <c r="A26" s="74" t="s">
        <v>200</v>
      </c>
      <c r="B26" s="75">
        <f>floors!$C$2</f>
        <v>20019</v>
      </c>
      <c r="C26" s="76" t="str">
        <f ca="1">VLOOKUP($B26,OFFSET([2]quests!$A$1,0,0,COUNTA([2]quests!$A:$A),MATCH(C$1,[2]quests!$1:$1,0)-MATCH($B$1,[2]quests!$1:$1,0)+1),MATCH(C$1,[2]quests!$1:$1,0)-MATCH($B$1,[2]quests!$1:$1,0)+1,FALSE)</f>
        <v>灼熱の舞姫</v>
      </c>
      <c r="D26" s="76" t="str">
        <f ca="1">VLOOKUP($B26,OFFSET([2]quests!$A$1,0,0,COUNTA([2]quests!$A:$A),MATCH(D$1,[2]quests!$1:$1,0)-MATCH($B$1,[2]quests!$1:$1,0)+1),MATCH(D$1,[2]quests!$1:$1,0)-MATCH($B$1,[2]quests!$1:$1,0)+1,FALSE)</f>
        <v>平安01</v>
      </c>
      <c r="E26" s="80">
        <v>1</v>
      </c>
      <c r="F26" s="76" t="str">
        <f ca="1">VLOOKUP($B26&amp;"_"&amp;$E26,OFFSET([2]stages!$A$1,0,0,COUNTA([2]stages!$A:$A),MATCH(F$1,[2]stages!$2:$2,0)-MATCH("temp_stage",[2]stages!$2:$2,0)+1),MATCH(F$1,[2]stages!$2:$2,0)-MATCH("temp_stage",[2]stages!$2:$2,0)+1,FALSE)</f>
        <v>【初級】灼熱の舞姫</v>
      </c>
      <c r="G26" s="76" t="str">
        <f ca="1">VLOOKUP($B26&amp;"_"&amp;$E26,OFFSET([2]stages!$A$1,0,0,COUNTA([2]stages!$A:$A),MATCH(G$1,[2]stages!$2:$2,0)-MATCH("temp_stage",[2]stages!$2:$2,0)+1),MATCH(G$1,[2]stages!$2:$2,0)-MATCH("temp_stage",[2]stages!$2:$2,0)+1,FALSE)</f>
        <v>平安01</v>
      </c>
      <c r="H26" s="78">
        <v>0</v>
      </c>
      <c r="I26">
        <v>26</v>
      </c>
      <c r="J26" s="77" t="s">
        <v>197</v>
      </c>
      <c r="K26" s="86" t="str">
        <f>VLOOKUP(I26,[7]stage_hints!$A:$C,3,FALSE)</f>
        <v>スキルレベルの効果</v>
      </c>
      <c r="L26" s="87" t="str">
        <f>VLOOKUP(I26,[7]stage_hints!$A:$D,4,FALSE)</f>
        <v>スキルレベルが上がると_x000D_短いターンでスキルを使うことができます</v>
      </c>
      <c r="M26" s="51" t="s">
        <v>210</v>
      </c>
    </row>
    <row r="27" spans="1:13" x14ac:dyDescent="0.15">
      <c r="A27" s="74" t="s">
        <v>200</v>
      </c>
      <c r="B27" s="75">
        <f>floors!$C$2</f>
        <v>20019</v>
      </c>
      <c r="C27" s="76" t="str">
        <f ca="1">VLOOKUP($B27,OFFSET([2]quests!$A$1,0,0,COUNTA([2]quests!$A:$A),MATCH(C$1,[2]quests!$1:$1,0)-MATCH($B$1,[2]quests!$1:$1,0)+1),MATCH(C$1,[2]quests!$1:$1,0)-MATCH($B$1,[2]quests!$1:$1,0)+1,FALSE)</f>
        <v>灼熱の舞姫</v>
      </c>
      <c r="D27" s="76" t="str">
        <f ca="1">VLOOKUP($B27,OFFSET([2]quests!$A$1,0,0,COUNTA([2]quests!$A:$A),MATCH(D$1,[2]quests!$1:$1,0)-MATCH($B$1,[2]quests!$1:$1,0)+1),MATCH(D$1,[2]quests!$1:$1,0)-MATCH($B$1,[2]quests!$1:$1,0)+1,FALSE)</f>
        <v>平安01</v>
      </c>
      <c r="E27" s="80">
        <v>1</v>
      </c>
      <c r="F27" s="76" t="str">
        <f ca="1">VLOOKUP($B27&amp;"_"&amp;$E27,OFFSET([2]stages!$A$1,0,0,COUNTA([2]stages!$A:$A),MATCH(F$1,[2]stages!$2:$2,0)-MATCH("temp_stage",[2]stages!$2:$2,0)+1),MATCH(F$1,[2]stages!$2:$2,0)-MATCH("temp_stage",[2]stages!$2:$2,0)+1,FALSE)</f>
        <v>【初級】灼熱の舞姫</v>
      </c>
      <c r="G27" s="76" t="str">
        <f ca="1">VLOOKUP($B27&amp;"_"&amp;$E27,OFFSET([2]stages!$A$1,0,0,COUNTA([2]stages!$A:$A),MATCH(G$1,[2]stages!$2:$2,0)-MATCH("temp_stage",[2]stages!$2:$2,0)+1),MATCH(G$1,[2]stages!$2:$2,0)-MATCH("temp_stage",[2]stages!$2:$2,0)+1,FALSE)</f>
        <v>平安01</v>
      </c>
      <c r="H27" s="78">
        <v>0</v>
      </c>
      <c r="I27">
        <v>39</v>
      </c>
      <c r="J27" s="77" t="s">
        <v>197</v>
      </c>
      <c r="K27" s="86" t="str">
        <f>VLOOKUP(I27,[7]stage_hints!$A:$C,3,FALSE)</f>
        <v>システム適合者を確認</v>
      </c>
      <c r="L27" s="87" t="str">
        <f>VLOOKUP(I27,[7]stage_hints!$A:$D,4,FALSE)</f>
        <v>ALICEが 「アナタ」を呼んでいます</v>
      </c>
      <c r="M27" s="51" t="s">
        <v>210</v>
      </c>
    </row>
    <row r="28" spans="1:13" x14ac:dyDescent="0.15">
      <c r="A28" s="74" t="s">
        <v>200</v>
      </c>
      <c r="B28" s="75">
        <f>floors!$C$2</f>
        <v>20019</v>
      </c>
      <c r="C28" s="76" t="str">
        <f ca="1">VLOOKUP($B28,OFFSET([2]quests!$A$1,0,0,COUNTA([2]quests!$A:$A),MATCH(C$1,[2]quests!$1:$1,0)-MATCH($B$1,[2]quests!$1:$1,0)+1),MATCH(C$1,[2]quests!$1:$1,0)-MATCH($B$1,[2]quests!$1:$1,0)+1,FALSE)</f>
        <v>灼熱の舞姫</v>
      </c>
      <c r="D28" s="76" t="str">
        <f ca="1">VLOOKUP($B28,OFFSET([2]quests!$A$1,0,0,COUNTA([2]quests!$A:$A),MATCH(D$1,[2]quests!$1:$1,0)-MATCH($B$1,[2]quests!$1:$1,0)+1),MATCH(D$1,[2]quests!$1:$1,0)-MATCH($B$1,[2]quests!$1:$1,0)+1,FALSE)</f>
        <v>平安01</v>
      </c>
      <c r="E28" s="80">
        <v>2</v>
      </c>
      <c r="F28" s="76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【中級】灼熱の舞姫</v>
      </c>
      <c r="G28" s="76" t="str">
        <f ca="1">VLOOKUP($B28&amp;"_"&amp;$E28,OFFSET([2]stages!$A$1,0,0,COUNTA([2]stages!$A:$A),MATCH(G$1,[2]stages!$2:$2,0)-MATCH("temp_stage",[2]stages!$2:$2,0)+1),MATCH(G$1,[2]stages!$2:$2,0)-MATCH("temp_stage",[2]stages!$2:$2,0)+1,FALSE)</f>
        <v>平安01</v>
      </c>
      <c r="H28" s="78">
        <v>0</v>
      </c>
      <c r="I28">
        <v>3</v>
      </c>
      <c r="J28" s="77" t="s">
        <v>197</v>
      </c>
      <c r="K28" s="86" t="str">
        <f>VLOOKUP(I28,[7]stage_hints!$A:$C,3,FALSE)</f>
        <v>ターゲット</v>
      </c>
      <c r="L28" s="87" t="str">
        <f>VLOOKUP(I28,[7]stage_hints!$A:$D,4,FALSE)</f>
        <v>敵ユニットをタップすると_x000D_その敵を狙い撃ちできます</v>
      </c>
      <c r="M28" s="51" t="s">
        <v>210</v>
      </c>
    </row>
    <row r="29" spans="1:13" x14ac:dyDescent="0.15">
      <c r="A29" s="74" t="s">
        <v>200</v>
      </c>
      <c r="B29" s="75">
        <f>floors!$C$2</f>
        <v>20019</v>
      </c>
      <c r="C29" s="76" t="str">
        <f ca="1">VLOOKUP($B29,OFFSET([2]quests!$A$1,0,0,COUNTA([2]quests!$A:$A),MATCH(C$1,[2]quests!$1:$1,0)-MATCH($B$1,[2]quests!$1:$1,0)+1),MATCH(C$1,[2]quests!$1:$1,0)-MATCH($B$1,[2]quests!$1:$1,0)+1,FALSE)</f>
        <v>灼熱の舞姫</v>
      </c>
      <c r="D29" s="76" t="str">
        <f ca="1">VLOOKUP($B29,OFFSET([2]quests!$A$1,0,0,COUNTA([2]quests!$A:$A),MATCH(D$1,[2]quests!$1:$1,0)-MATCH($B$1,[2]quests!$1:$1,0)+1),MATCH(D$1,[2]quests!$1:$1,0)-MATCH($B$1,[2]quests!$1:$1,0)+1,FALSE)</f>
        <v>平安01</v>
      </c>
      <c r="E29" s="80">
        <v>2</v>
      </c>
      <c r="F29" s="76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【中級】灼熱の舞姫</v>
      </c>
      <c r="G29" s="76" t="str">
        <f ca="1">VLOOKUP($B29&amp;"_"&amp;$E29,OFFSET([2]stages!$A$1,0,0,COUNTA([2]stages!$A:$A),MATCH(G$1,[2]stages!$2:$2,0)-MATCH("temp_stage",[2]stages!$2:$2,0)+1),MATCH(G$1,[2]stages!$2:$2,0)-MATCH("temp_stage",[2]stages!$2:$2,0)+1,FALSE)</f>
        <v>平安01</v>
      </c>
      <c r="H29" s="78">
        <v>0</v>
      </c>
      <c r="I29">
        <v>6</v>
      </c>
      <c r="J29" s="77" t="s">
        <v>197</v>
      </c>
      <c r="K29" s="86" t="str">
        <f>VLOOKUP(I29,[7]stage_hints!$A:$C,3,FALSE)</f>
        <v>ユニット強化の属性ボーナス</v>
      </c>
      <c r="L29" s="87" t="str">
        <f>VLOOKUP(I29,[7]stage_hints!$A:$D,4,FALSE)</f>
        <v>同属性ユニットを強化素材にすると_x000D_経験値が多くもらえます</v>
      </c>
      <c r="M29" s="51" t="s">
        <v>210</v>
      </c>
    </row>
    <row r="30" spans="1:13" x14ac:dyDescent="0.15">
      <c r="A30" s="74" t="s">
        <v>200</v>
      </c>
      <c r="B30" s="75">
        <f>floors!$C$2</f>
        <v>20019</v>
      </c>
      <c r="C30" s="76" t="str">
        <f ca="1">VLOOKUP($B30,OFFSET([2]quests!$A$1,0,0,COUNTA([2]quests!$A:$A),MATCH(C$1,[2]quests!$1:$1,0)-MATCH($B$1,[2]quests!$1:$1,0)+1),MATCH(C$1,[2]quests!$1:$1,0)-MATCH($B$1,[2]quests!$1:$1,0)+1,FALSE)</f>
        <v>灼熱の舞姫</v>
      </c>
      <c r="D30" s="76" t="str">
        <f ca="1">VLOOKUP($B30,OFFSET([2]quests!$A$1,0,0,COUNTA([2]quests!$A:$A),MATCH(D$1,[2]quests!$1:$1,0)-MATCH($B$1,[2]quests!$1:$1,0)+1),MATCH(D$1,[2]quests!$1:$1,0)-MATCH($B$1,[2]quests!$1:$1,0)+1,FALSE)</f>
        <v>平安01</v>
      </c>
      <c r="E30" s="80">
        <v>2</v>
      </c>
      <c r="F30" s="76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【中級】灼熱の舞姫</v>
      </c>
      <c r="G30" s="76" t="str">
        <f ca="1">VLOOKUP($B30&amp;"_"&amp;$E30,OFFSET([2]stages!$A$1,0,0,COUNTA([2]stages!$A:$A),MATCH(G$1,[2]stages!$2:$2,0)-MATCH("temp_stage",[2]stages!$2:$2,0)+1),MATCH(G$1,[2]stages!$2:$2,0)-MATCH("temp_stage",[2]stages!$2:$2,0)+1,FALSE)</f>
        <v>平安01</v>
      </c>
      <c r="H30" s="78">
        <v>0</v>
      </c>
      <c r="I30">
        <v>7</v>
      </c>
      <c r="J30" s="77" t="s">
        <v>197</v>
      </c>
      <c r="K30" s="86" t="str">
        <f>VLOOKUP(I30,[7]stage_hints!$A:$C,3,FALSE)</f>
        <v>メタルダックで経験値を獲得</v>
      </c>
      <c r="L30" s="87" t="str">
        <f>VLOOKUP(I30,[7]stage_hints!$A:$D,4,FALSE)</f>
        <v>「メタルなアヒル」を強化素材にすると_x000D_大量の経験値がもらえます</v>
      </c>
      <c r="M30" s="51" t="s">
        <v>210</v>
      </c>
    </row>
    <row r="31" spans="1:13" x14ac:dyDescent="0.15">
      <c r="A31" s="74" t="s">
        <v>200</v>
      </c>
      <c r="B31" s="75">
        <f>floors!$C$2</f>
        <v>20019</v>
      </c>
      <c r="C31" s="76" t="str">
        <f ca="1">VLOOKUP($B31,OFFSET([2]quests!$A$1,0,0,COUNTA([2]quests!$A:$A),MATCH(C$1,[2]quests!$1:$1,0)-MATCH($B$1,[2]quests!$1:$1,0)+1),MATCH(C$1,[2]quests!$1:$1,0)-MATCH($B$1,[2]quests!$1:$1,0)+1,FALSE)</f>
        <v>灼熱の舞姫</v>
      </c>
      <c r="D31" s="76" t="str">
        <f ca="1">VLOOKUP($B31,OFFSET([2]quests!$A$1,0,0,COUNTA([2]quests!$A:$A),MATCH(D$1,[2]quests!$1:$1,0)-MATCH($B$1,[2]quests!$1:$1,0)+1),MATCH(D$1,[2]quests!$1:$1,0)-MATCH($B$1,[2]quests!$1:$1,0)+1,FALSE)</f>
        <v>平安01</v>
      </c>
      <c r="E31" s="80">
        <v>2</v>
      </c>
      <c r="F31" s="76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【中級】灼熱の舞姫</v>
      </c>
      <c r="G31" s="76" t="str">
        <f ca="1">VLOOKUP($B31&amp;"_"&amp;$E31,OFFSET([2]stages!$A$1,0,0,COUNTA([2]stages!$A:$A),MATCH(G$1,[2]stages!$2:$2,0)-MATCH("temp_stage",[2]stages!$2:$2,0)+1),MATCH(G$1,[2]stages!$2:$2,0)-MATCH("temp_stage",[2]stages!$2:$2,0)+1,FALSE)</f>
        <v>平安01</v>
      </c>
      <c r="H31" s="78">
        <v>0</v>
      </c>
      <c r="I31">
        <v>8</v>
      </c>
      <c r="J31" s="77" t="s">
        <v>197</v>
      </c>
      <c r="K31" s="86" t="str">
        <f>VLOOKUP(I31,[7]stage_hints!$A:$C,3,FALSE)</f>
        <v>ゲリラクエストは要チェック</v>
      </c>
      <c r="L31" s="87" t="str">
        <f>VLOOKUP(I31,[7]stage_hints!$A:$D,4,FALSE)</f>
        <v>時間限定の「アヒル捕獲作戦」では_x000D_経験値素材ユニットが多く手に入ります</v>
      </c>
      <c r="M31" s="51" t="s">
        <v>210</v>
      </c>
    </row>
    <row r="32" spans="1:13" x14ac:dyDescent="0.15">
      <c r="A32" s="74" t="s">
        <v>200</v>
      </c>
      <c r="B32" s="75">
        <f>floors!$C$2</f>
        <v>20019</v>
      </c>
      <c r="C32" s="76" t="str">
        <f ca="1">VLOOKUP($B32,OFFSET([2]quests!$A$1,0,0,COUNTA([2]quests!$A:$A),MATCH(C$1,[2]quests!$1:$1,0)-MATCH($B$1,[2]quests!$1:$1,0)+1),MATCH(C$1,[2]quests!$1:$1,0)-MATCH($B$1,[2]quests!$1:$1,0)+1,FALSE)</f>
        <v>灼熱の舞姫</v>
      </c>
      <c r="D32" s="76" t="str">
        <f ca="1">VLOOKUP($B32,OFFSET([2]quests!$A$1,0,0,COUNTA([2]quests!$A:$A),MATCH(D$1,[2]quests!$1:$1,0)-MATCH($B$1,[2]quests!$1:$1,0)+1),MATCH(D$1,[2]quests!$1:$1,0)-MATCH($B$1,[2]quests!$1:$1,0)+1,FALSE)</f>
        <v>平安01</v>
      </c>
      <c r="E32" s="80">
        <v>2</v>
      </c>
      <c r="F32" s="76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【中級】灼熱の舞姫</v>
      </c>
      <c r="G32" s="76" t="str">
        <f ca="1">VLOOKUP($B32&amp;"_"&amp;$E32,OFFSET([2]stages!$A$1,0,0,COUNTA([2]stages!$A:$A),MATCH(G$1,[2]stages!$2:$2,0)-MATCH("temp_stage",[2]stages!$2:$2,0)+1),MATCH(G$1,[2]stages!$2:$2,0)-MATCH("temp_stage",[2]stages!$2:$2,0)+1,FALSE)</f>
        <v>平安01</v>
      </c>
      <c r="H32" s="78">
        <v>0</v>
      </c>
      <c r="I32">
        <v>9</v>
      </c>
      <c r="J32" s="77" t="s">
        <v>197</v>
      </c>
      <c r="K32" s="86" t="str">
        <f>VLOOKUP(I32,[7]stage_hints!$A:$C,3,FALSE)</f>
        <v>ゴールドダックでビットを獲得</v>
      </c>
      <c r="L32" s="87" t="str">
        <f>VLOOKUP(I32,[7]stage_hints!$A:$D,4,FALSE)</f>
        <v>「ゴールドなアヒル」を売却すると_x000D_大量のビットがもらえます</v>
      </c>
      <c r="M32" s="51" t="s">
        <v>210</v>
      </c>
    </row>
    <row r="33" spans="1:13" x14ac:dyDescent="0.15">
      <c r="A33" s="74" t="s">
        <v>200</v>
      </c>
      <c r="B33" s="75">
        <f>floors!$C$2</f>
        <v>20019</v>
      </c>
      <c r="C33" s="76" t="str">
        <f ca="1">VLOOKUP($B33,OFFSET([2]quests!$A$1,0,0,COUNTA([2]quests!$A:$A),MATCH(C$1,[2]quests!$1:$1,0)-MATCH($B$1,[2]quests!$1:$1,0)+1),MATCH(C$1,[2]quests!$1:$1,0)-MATCH($B$1,[2]quests!$1:$1,0)+1,FALSE)</f>
        <v>灼熱の舞姫</v>
      </c>
      <c r="D33" s="76" t="str">
        <f ca="1">VLOOKUP($B33,OFFSET([2]quests!$A$1,0,0,COUNTA([2]quests!$A:$A),MATCH(D$1,[2]quests!$1:$1,0)-MATCH($B$1,[2]quests!$1:$1,0)+1),MATCH(D$1,[2]quests!$1:$1,0)-MATCH($B$1,[2]quests!$1:$1,0)+1,FALSE)</f>
        <v>平安01</v>
      </c>
      <c r="E33" s="80">
        <v>2</v>
      </c>
      <c r="F33" s="76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【中級】灼熱の舞姫</v>
      </c>
      <c r="G33" s="76" t="str">
        <f ca="1">VLOOKUP($B33&amp;"_"&amp;$E33,OFFSET([2]stages!$A$1,0,0,COUNTA([2]stages!$A:$A),MATCH(G$1,[2]stages!$2:$2,0)-MATCH("temp_stage",[2]stages!$2:$2,0)+1),MATCH(G$1,[2]stages!$2:$2,0)-MATCH("temp_stage",[2]stages!$2:$2,0)+1,FALSE)</f>
        <v>平安01</v>
      </c>
      <c r="H33" s="78">
        <v>0</v>
      </c>
      <c r="I33">
        <v>10</v>
      </c>
      <c r="J33" s="77" t="s">
        <v>197</v>
      </c>
      <c r="K33" s="86" t="str">
        <f>VLOOKUP(I33,[7]stage_hints!$A:$C,3,FALSE)</f>
        <v>土日に大量のビットを獲得</v>
      </c>
      <c r="L33" s="87" t="str">
        <f>VLOOKUP(I33,[7]stage_hints!$A:$D,4,FALSE)</f>
        <v>土日限定の「ゴールドカジノ」では_x000D_売却素材ユニットが多く手に入ります</v>
      </c>
      <c r="M33" s="51" t="s">
        <v>210</v>
      </c>
    </row>
    <row r="34" spans="1:13" x14ac:dyDescent="0.15">
      <c r="A34" s="74" t="s">
        <v>200</v>
      </c>
      <c r="B34" s="75">
        <f>floors!$C$2</f>
        <v>20019</v>
      </c>
      <c r="C34" s="76" t="str">
        <f ca="1">VLOOKUP($B34,OFFSET([2]quests!$A$1,0,0,COUNTA([2]quests!$A:$A),MATCH(C$1,[2]quests!$1:$1,0)-MATCH($B$1,[2]quests!$1:$1,0)+1),MATCH(C$1,[2]quests!$1:$1,0)-MATCH($B$1,[2]quests!$1:$1,0)+1,FALSE)</f>
        <v>灼熱の舞姫</v>
      </c>
      <c r="D34" s="76" t="str">
        <f ca="1">VLOOKUP($B34,OFFSET([2]quests!$A$1,0,0,COUNTA([2]quests!$A:$A),MATCH(D$1,[2]quests!$1:$1,0)-MATCH($B$1,[2]quests!$1:$1,0)+1),MATCH(D$1,[2]quests!$1:$1,0)-MATCH($B$1,[2]quests!$1:$1,0)+1,FALSE)</f>
        <v>平安01</v>
      </c>
      <c r="E34" s="80">
        <v>2</v>
      </c>
      <c r="F34" s="76" t="str">
        <f ca="1">VLOOKUP($B34&amp;"_"&amp;$E34,OFFSET([2]stages!$A$1,0,0,COUNTA([2]stages!$A:$A),MATCH(F$1,[2]stages!$2:$2,0)-MATCH("temp_stage",[2]stages!$2:$2,0)+1),MATCH(F$1,[2]stages!$2:$2,0)-MATCH("temp_stage",[2]stages!$2:$2,0)+1,FALSE)</f>
        <v>【中級】灼熱の舞姫</v>
      </c>
      <c r="G34" s="76" t="str">
        <f ca="1">VLOOKUP($B34&amp;"_"&amp;$E34,OFFSET([2]stages!$A$1,0,0,COUNTA([2]stages!$A:$A),MATCH(G$1,[2]stages!$2:$2,0)-MATCH("temp_stage",[2]stages!$2:$2,0)+1),MATCH(G$1,[2]stages!$2:$2,0)-MATCH("temp_stage",[2]stages!$2:$2,0)+1,FALSE)</f>
        <v>平安01</v>
      </c>
      <c r="H34" s="78">
        <v>0</v>
      </c>
      <c r="I34">
        <v>11</v>
      </c>
      <c r="J34" s="77" t="s">
        <v>197</v>
      </c>
      <c r="K34" s="86" t="str">
        <f>VLOOKUP(I34,[7]stage_hints!$A:$C,3,FALSE)</f>
        <v>ランク解放クエスト</v>
      </c>
      <c r="L34" s="87" t="str">
        <f>VLOOKUP(I34,[7]stage_hints!$A:$D,4,FALSE)</f>
        <v>一定ランクに到達すると_x000D_報酬付きのランク開放クエストが現れます</v>
      </c>
      <c r="M34" s="51" t="s">
        <v>210</v>
      </c>
    </row>
    <row r="35" spans="1:13" x14ac:dyDescent="0.15">
      <c r="A35" s="74" t="s">
        <v>200</v>
      </c>
      <c r="B35" s="75">
        <f>floors!$C$2</f>
        <v>20019</v>
      </c>
      <c r="C35" s="76" t="str">
        <f ca="1">VLOOKUP($B35,OFFSET([2]quests!$A$1,0,0,COUNTA([2]quests!$A:$A),MATCH(C$1,[2]quests!$1:$1,0)-MATCH($B$1,[2]quests!$1:$1,0)+1),MATCH(C$1,[2]quests!$1:$1,0)-MATCH($B$1,[2]quests!$1:$1,0)+1,FALSE)</f>
        <v>灼熱の舞姫</v>
      </c>
      <c r="D35" s="76" t="str">
        <f ca="1">VLOOKUP($B35,OFFSET([2]quests!$A$1,0,0,COUNTA([2]quests!$A:$A),MATCH(D$1,[2]quests!$1:$1,0)-MATCH($B$1,[2]quests!$1:$1,0)+1),MATCH(D$1,[2]quests!$1:$1,0)-MATCH($B$1,[2]quests!$1:$1,0)+1,FALSE)</f>
        <v>平安01</v>
      </c>
      <c r="E35" s="80">
        <v>2</v>
      </c>
      <c r="F35" s="76" t="str">
        <f ca="1">VLOOKUP($B35&amp;"_"&amp;$E35,OFFSET([2]stages!$A$1,0,0,COUNTA([2]stages!$A:$A),MATCH(F$1,[2]stages!$2:$2,0)-MATCH("temp_stage",[2]stages!$2:$2,0)+1),MATCH(F$1,[2]stages!$2:$2,0)-MATCH("temp_stage",[2]stages!$2:$2,0)+1,FALSE)</f>
        <v>【中級】灼熱の舞姫</v>
      </c>
      <c r="G35" s="76" t="str">
        <f ca="1">VLOOKUP($B35&amp;"_"&amp;$E35,OFFSET([2]stages!$A$1,0,0,COUNTA([2]stages!$A:$A),MATCH(G$1,[2]stages!$2:$2,0)-MATCH("temp_stage",[2]stages!$2:$2,0)+1),MATCH(G$1,[2]stages!$2:$2,0)-MATCH("temp_stage",[2]stages!$2:$2,0)+1,FALSE)</f>
        <v>平安01</v>
      </c>
      <c r="H35" s="78">
        <v>0</v>
      </c>
      <c r="I35">
        <v>12</v>
      </c>
      <c r="J35" s="77" t="s">
        <v>197</v>
      </c>
      <c r="K35" s="86" t="str">
        <f>VLOOKUP(I35,[7]stage_hints!$A:$C,3,FALSE)</f>
        <v>ユニットのお気に入り登録</v>
      </c>
      <c r="L35" s="87" t="str">
        <f>VLOOKUP(I35,[7]stage_hints!$A:$D,4,FALSE)</f>
        <v>大事なユニットを誤って消さないように_x000D_フォルダから「お気に入り登録」しましょう</v>
      </c>
      <c r="M35" s="51" t="s">
        <v>210</v>
      </c>
    </row>
    <row r="36" spans="1:13" x14ac:dyDescent="0.15">
      <c r="A36" s="74" t="s">
        <v>200</v>
      </c>
      <c r="B36" s="75">
        <f>floors!$C$2</f>
        <v>20019</v>
      </c>
      <c r="C36" s="76" t="str">
        <f ca="1">VLOOKUP($B36,OFFSET([2]quests!$A$1,0,0,COUNTA([2]quests!$A:$A),MATCH(C$1,[2]quests!$1:$1,0)-MATCH($B$1,[2]quests!$1:$1,0)+1),MATCH(C$1,[2]quests!$1:$1,0)-MATCH($B$1,[2]quests!$1:$1,0)+1,FALSE)</f>
        <v>灼熱の舞姫</v>
      </c>
      <c r="D36" s="76" t="str">
        <f ca="1">VLOOKUP($B36,OFFSET([2]quests!$A$1,0,0,COUNTA([2]quests!$A:$A),MATCH(D$1,[2]quests!$1:$1,0)-MATCH($B$1,[2]quests!$1:$1,0)+1),MATCH(D$1,[2]quests!$1:$1,0)-MATCH($B$1,[2]quests!$1:$1,0)+1,FALSE)</f>
        <v>平安01</v>
      </c>
      <c r="E36" s="80">
        <v>2</v>
      </c>
      <c r="F36" s="76" t="str">
        <f ca="1">VLOOKUP($B36&amp;"_"&amp;$E36,OFFSET([2]stages!$A$1,0,0,COUNTA([2]stages!$A:$A),MATCH(F$1,[2]stages!$2:$2,0)-MATCH("temp_stage",[2]stages!$2:$2,0)+1),MATCH(F$1,[2]stages!$2:$2,0)-MATCH("temp_stage",[2]stages!$2:$2,0)+1,FALSE)</f>
        <v>【中級】灼熱の舞姫</v>
      </c>
      <c r="G36" s="76" t="str">
        <f ca="1">VLOOKUP($B36&amp;"_"&amp;$E36,OFFSET([2]stages!$A$1,0,0,COUNTA([2]stages!$A:$A),MATCH(G$1,[2]stages!$2:$2,0)-MATCH("temp_stage",[2]stages!$2:$2,0)+1),MATCH(G$1,[2]stages!$2:$2,0)-MATCH("temp_stage",[2]stages!$2:$2,0)+1,FALSE)</f>
        <v>平安01</v>
      </c>
      <c r="H36" s="78">
        <v>0</v>
      </c>
      <c r="I36">
        <v>13</v>
      </c>
      <c r="J36" s="77" t="s">
        <v>197</v>
      </c>
      <c r="K36" s="86" t="str">
        <f>VLOOKUP(I36,[7]stage_hints!$A:$C,3,FALSE)</f>
        <v>ユニットの覚醒</v>
      </c>
      <c r="L36" s="87" t="str">
        <f>VLOOKUP(I36,[7]stage_hints!$A:$D,4,FALSE)</f>
        <v>ユニットを覚醒させると_x000D_比べものにならない強さが手に入ります</v>
      </c>
      <c r="M36" s="51" t="s">
        <v>210</v>
      </c>
    </row>
    <row r="37" spans="1:13" x14ac:dyDescent="0.15">
      <c r="A37" s="74" t="s">
        <v>200</v>
      </c>
      <c r="B37" s="75">
        <f>floors!$C$2</f>
        <v>20019</v>
      </c>
      <c r="C37" s="76" t="str">
        <f ca="1">VLOOKUP($B37,OFFSET([2]quests!$A$1,0,0,COUNTA([2]quests!$A:$A),MATCH(C$1,[2]quests!$1:$1,0)-MATCH($B$1,[2]quests!$1:$1,0)+1),MATCH(C$1,[2]quests!$1:$1,0)-MATCH($B$1,[2]quests!$1:$1,0)+1,FALSE)</f>
        <v>灼熱の舞姫</v>
      </c>
      <c r="D37" s="76" t="str">
        <f ca="1">VLOOKUP($B37,OFFSET([2]quests!$A$1,0,0,COUNTA([2]quests!$A:$A),MATCH(D$1,[2]quests!$1:$1,0)-MATCH($B$1,[2]quests!$1:$1,0)+1),MATCH(D$1,[2]quests!$1:$1,0)-MATCH($B$1,[2]quests!$1:$1,0)+1,FALSE)</f>
        <v>平安01</v>
      </c>
      <c r="E37" s="80">
        <v>2</v>
      </c>
      <c r="F37" s="76" t="str">
        <f ca="1">VLOOKUP($B37&amp;"_"&amp;$E37,OFFSET([2]stages!$A$1,0,0,COUNTA([2]stages!$A:$A),MATCH(F$1,[2]stages!$2:$2,0)-MATCH("temp_stage",[2]stages!$2:$2,0)+1),MATCH(F$1,[2]stages!$2:$2,0)-MATCH("temp_stage",[2]stages!$2:$2,0)+1,FALSE)</f>
        <v>【中級】灼熱の舞姫</v>
      </c>
      <c r="G37" s="76" t="str">
        <f ca="1">VLOOKUP($B37&amp;"_"&amp;$E37,OFFSET([2]stages!$A$1,0,0,COUNTA([2]stages!$A:$A),MATCH(G$1,[2]stages!$2:$2,0)-MATCH("temp_stage",[2]stages!$2:$2,0)+1),MATCH(G$1,[2]stages!$2:$2,0)-MATCH("temp_stage",[2]stages!$2:$2,0)+1,FALSE)</f>
        <v>平安01</v>
      </c>
      <c r="H37" s="78">
        <v>0</v>
      </c>
      <c r="I37">
        <v>14</v>
      </c>
      <c r="J37" s="77" t="s">
        <v>197</v>
      </c>
      <c r="K37" s="86" t="str">
        <f>VLOOKUP(I37,[7]stage_hints!$A:$C,3,FALSE)</f>
        <v>覚醒するにはレベルを最大に</v>
      </c>
      <c r="L37" s="87" t="str">
        <f>VLOOKUP(I37,[7]stage_hints!$A:$D,4,FALSE)</f>
        <v>覚醒するにはユニットのレベルを_x000D_最大まで上げる必要があります</v>
      </c>
      <c r="M37" s="51" t="s">
        <v>210</v>
      </c>
    </row>
    <row r="38" spans="1:13" x14ac:dyDescent="0.15">
      <c r="A38" s="74" t="s">
        <v>200</v>
      </c>
      <c r="B38" s="75">
        <f>floors!$C$2</f>
        <v>20019</v>
      </c>
      <c r="C38" s="76" t="str">
        <f ca="1">VLOOKUP($B38,OFFSET([2]quests!$A$1,0,0,COUNTA([2]quests!$A:$A),MATCH(C$1,[2]quests!$1:$1,0)-MATCH($B$1,[2]quests!$1:$1,0)+1),MATCH(C$1,[2]quests!$1:$1,0)-MATCH($B$1,[2]quests!$1:$1,0)+1,FALSE)</f>
        <v>灼熱の舞姫</v>
      </c>
      <c r="D38" s="76" t="str">
        <f ca="1">VLOOKUP($B38,OFFSET([2]quests!$A$1,0,0,COUNTA([2]quests!$A:$A),MATCH(D$1,[2]quests!$1:$1,0)-MATCH($B$1,[2]quests!$1:$1,0)+1),MATCH(D$1,[2]quests!$1:$1,0)-MATCH($B$1,[2]quests!$1:$1,0)+1,FALSE)</f>
        <v>平安01</v>
      </c>
      <c r="E38" s="80">
        <v>2</v>
      </c>
      <c r="F38" s="76" t="str">
        <f ca="1">VLOOKUP($B38&amp;"_"&amp;$E38,OFFSET([2]stages!$A$1,0,0,COUNTA([2]stages!$A:$A),MATCH(F$1,[2]stages!$2:$2,0)-MATCH("temp_stage",[2]stages!$2:$2,0)+1),MATCH(F$1,[2]stages!$2:$2,0)-MATCH("temp_stage",[2]stages!$2:$2,0)+1,FALSE)</f>
        <v>【中級】灼熱の舞姫</v>
      </c>
      <c r="G38" s="76" t="str">
        <f ca="1">VLOOKUP($B38&amp;"_"&amp;$E38,OFFSET([2]stages!$A$1,0,0,COUNTA([2]stages!$A:$A),MATCH(G$1,[2]stages!$2:$2,0)-MATCH("temp_stage",[2]stages!$2:$2,0)+1),MATCH(G$1,[2]stages!$2:$2,0)-MATCH("temp_stage",[2]stages!$2:$2,0)+1,FALSE)</f>
        <v>平安01</v>
      </c>
      <c r="H38" s="78">
        <v>0</v>
      </c>
      <c r="I38">
        <v>15</v>
      </c>
      <c r="J38" s="77" t="s">
        <v>197</v>
      </c>
      <c r="K38" s="86" t="str">
        <f>VLOOKUP(I38,[7]stage_hints!$A:$C,3,FALSE)</f>
        <v>覚醒素材を獲得</v>
      </c>
      <c r="L38" s="87" t="str">
        <f>VLOOKUP(I38,[7]stage_hints!$A:$D,4,FALSE)</f>
        <v>「曜日クエスト」では_x000D_ユニットの覚醒に必要な素材が手に入ります</v>
      </c>
      <c r="M38" s="51" t="s">
        <v>210</v>
      </c>
    </row>
    <row r="39" spans="1:13" x14ac:dyDescent="0.15">
      <c r="A39" s="74" t="s">
        <v>200</v>
      </c>
      <c r="B39" s="75">
        <f>floors!$C$2</f>
        <v>20019</v>
      </c>
      <c r="C39" s="76" t="str">
        <f ca="1">VLOOKUP($B39,OFFSET([2]quests!$A$1,0,0,COUNTA([2]quests!$A:$A),MATCH(C$1,[2]quests!$1:$1,0)-MATCH($B$1,[2]quests!$1:$1,0)+1),MATCH(C$1,[2]quests!$1:$1,0)-MATCH($B$1,[2]quests!$1:$1,0)+1,FALSE)</f>
        <v>灼熱の舞姫</v>
      </c>
      <c r="D39" s="76" t="str">
        <f ca="1">VLOOKUP($B39,OFFSET([2]quests!$A$1,0,0,COUNTA([2]quests!$A:$A),MATCH(D$1,[2]quests!$1:$1,0)-MATCH($B$1,[2]quests!$1:$1,0)+1),MATCH(D$1,[2]quests!$1:$1,0)-MATCH($B$1,[2]quests!$1:$1,0)+1,FALSE)</f>
        <v>平安01</v>
      </c>
      <c r="E39" s="80">
        <v>2</v>
      </c>
      <c r="F39" s="76" t="str">
        <f ca="1">VLOOKUP($B39&amp;"_"&amp;$E39,OFFSET([2]stages!$A$1,0,0,COUNTA([2]stages!$A:$A),MATCH(F$1,[2]stages!$2:$2,0)-MATCH("temp_stage",[2]stages!$2:$2,0)+1),MATCH(F$1,[2]stages!$2:$2,0)-MATCH("temp_stage",[2]stages!$2:$2,0)+1,FALSE)</f>
        <v>【中級】灼熱の舞姫</v>
      </c>
      <c r="G39" s="76" t="str">
        <f ca="1">VLOOKUP($B39&amp;"_"&amp;$E39,OFFSET([2]stages!$A$1,0,0,COUNTA([2]stages!$A:$A),MATCH(G$1,[2]stages!$2:$2,0)-MATCH("temp_stage",[2]stages!$2:$2,0)+1),MATCH(G$1,[2]stages!$2:$2,0)-MATCH("temp_stage",[2]stages!$2:$2,0)+1,FALSE)</f>
        <v>平安01</v>
      </c>
      <c r="H39" s="78">
        <v>0</v>
      </c>
      <c r="I39">
        <v>16</v>
      </c>
      <c r="J39" s="77" t="s">
        <v>197</v>
      </c>
      <c r="K39" s="86" t="str">
        <f>VLOOKUP(I39,[7]stage_hints!$A:$C,3,FALSE)</f>
        <v>マルチプレイのメリット（その1）</v>
      </c>
      <c r="L39" s="87" t="str">
        <f>VLOOKUP(I39,[7]stage_hints!$A:$D,4,FALSE)</f>
        <v>他のプレイヤーとマルチプレイで遊ぶと_x000D_ポリゴンがもらえます（100人まで）</v>
      </c>
      <c r="M39" s="51" t="s">
        <v>210</v>
      </c>
    </row>
    <row r="40" spans="1:13" x14ac:dyDescent="0.15">
      <c r="A40" s="74" t="s">
        <v>200</v>
      </c>
      <c r="B40" s="75">
        <f>floors!$C$2</f>
        <v>20019</v>
      </c>
      <c r="C40" s="76" t="str">
        <f ca="1">VLOOKUP($B40,OFFSET([2]quests!$A$1,0,0,COUNTA([2]quests!$A:$A),MATCH(C$1,[2]quests!$1:$1,0)-MATCH($B$1,[2]quests!$1:$1,0)+1),MATCH(C$1,[2]quests!$1:$1,0)-MATCH($B$1,[2]quests!$1:$1,0)+1,FALSE)</f>
        <v>灼熱の舞姫</v>
      </c>
      <c r="D40" s="76" t="str">
        <f ca="1">VLOOKUP($B40,OFFSET([2]quests!$A$1,0,0,COUNTA([2]quests!$A:$A),MATCH(D$1,[2]quests!$1:$1,0)-MATCH($B$1,[2]quests!$1:$1,0)+1),MATCH(D$1,[2]quests!$1:$1,0)-MATCH($B$1,[2]quests!$1:$1,0)+1,FALSE)</f>
        <v>平安01</v>
      </c>
      <c r="E40" s="80">
        <v>2</v>
      </c>
      <c r="F40" s="76" t="str">
        <f ca="1">VLOOKUP($B40&amp;"_"&amp;$E40,OFFSET([2]stages!$A$1,0,0,COUNTA([2]stages!$A:$A),MATCH(F$1,[2]stages!$2:$2,0)-MATCH("temp_stage",[2]stages!$2:$2,0)+1),MATCH(F$1,[2]stages!$2:$2,0)-MATCH("temp_stage",[2]stages!$2:$2,0)+1,FALSE)</f>
        <v>【中級】灼熱の舞姫</v>
      </c>
      <c r="G40" s="76" t="str">
        <f ca="1">VLOOKUP($B40&amp;"_"&amp;$E40,OFFSET([2]stages!$A$1,0,0,COUNTA([2]stages!$A:$A),MATCH(G$1,[2]stages!$2:$2,0)-MATCH("temp_stage",[2]stages!$2:$2,0)+1),MATCH(G$1,[2]stages!$2:$2,0)-MATCH("temp_stage",[2]stages!$2:$2,0)+1,FALSE)</f>
        <v>平安01</v>
      </c>
      <c r="H40" s="78">
        <v>0</v>
      </c>
      <c r="I40">
        <v>17</v>
      </c>
      <c r="J40" s="77" t="s">
        <v>197</v>
      </c>
      <c r="K40" s="86" t="str">
        <f>VLOOKUP(I40,[7]stage_hints!$A:$C,3,FALSE)</f>
        <v>リンクガチャ</v>
      </c>
      <c r="L40" s="87" t="str">
        <f>VLOOKUP(I40,[7]stage_hints!$A:$D,4,FALSE)</f>
        <v>無料のリンクガチャを回して_x000D_経験値素材や売却素材を獲得しましょう</v>
      </c>
      <c r="M40" s="51" t="s">
        <v>210</v>
      </c>
    </row>
    <row r="41" spans="1:13" x14ac:dyDescent="0.15">
      <c r="A41" s="74" t="s">
        <v>200</v>
      </c>
      <c r="B41" s="75">
        <f>floors!$C$2</f>
        <v>20019</v>
      </c>
      <c r="C41" s="76" t="str">
        <f ca="1">VLOOKUP($B41,OFFSET([2]quests!$A$1,0,0,COUNTA([2]quests!$A:$A),MATCH(C$1,[2]quests!$1:$1,0)-MATCH($B$1,[2]quests!$1:$1,0)+1),MATCH(C$1,[2]quests!$1:$1,0)-MATCH($B$1,[2]quests!$1:$1,0)+1,FALSE)</f>
        <v>灼熱の舞姫</v>
      </c>
      <c r="D41" s="76" t="str">
        <f ca="1">VLOOKUP($B41,OFFSET([2]quests!$A$1,0,0,COUNTA([2]quests!$A:$A),MATCH(D$1,[2]quests!$1:$1,0)-MATCH($B$1,[2]quests!$1:$1,0)+1),MATCH(D$1,[2]quests!$1:$1,0)-MATCH($B$1,[2]quests!$1:$1,0)+1,FALSE)</f>
        <v>平安01</v>
      </c>
      <c r="E41" s="80">
        <v>2</v>
      </c>
      <c r="F41" s="76" t="str">
        <f ca="1">VLOOKUP($B41&amp;"_"&amp;$E41,OFFSET([2]stages!$A$1,0,0,COUNTA([2]stages!$A:$A),MATCH(F$1,[2]stages!$2:$2,0)-MATCH("temp_stage",[2]stages!$2:$2,0)+1),MATCH(F$1,[2]stages!$2:$2,0)-MATCH("temp_stage",[2]stages!$2:$2,0)+1,FALSE)</f>
        <v>【中級】灼熱の舞姫</v>
      </c>
      <c r="G41" s="76" t="str">
        <f ca="1">VLOOKUP($B41&amp;"_"&amp;$E41,OFFSET([2]stages!$A$1,0,0,COUNTA([2]stages!$A:$A),MATCH(G$1,[2]stages!$2:$2,0)-MATCH("temp_stage",[2]stages!$2:$2,0)+1),MATCH(G$1,[2]stages!$2:$2,0)-MATCH("temp_stage",[2]stages!$2:$2,0)+1,FALSE)</f>
        <v>平安01</v>
      </c>
      <c r="H41" s="78">
        <v>0</v>
      </c>
      <c r="I41">
        <v>18</v>
      </c>
      <c r="J41" s="77" t="s">
        <v>197</v>
      </c>
      <c r="K41" s="86" t="str">
        <f>VLOOKUP(I41,[7]stage_hints!$A:$C,3,FALSE)</f>
        <v>マルチプレイのメリット（その2）</v>
      </c>
      <c r="L41" s="87" t="str">
        <f>VLOOKUP(I41,[7]stage_hints!$A:$D,4,FALSE)</f>
        <v>マルチプレイならリンクが2倍もらえます_x000D_リンクガチャをたくさん回しましょう</v>
      </c>
      <c r="M41" s="51" t="s">
        <v>210</v>
      </c>
    </row>
    <row r="42" spans="1:13" x14ac:dyDescent="0.15">
      <c r="A42" s="74" t="s">
        <v>200</v>
      </c>
      <c r="B42" s="75">
        <f>floors!$C$2</f>
        <v>20019</v>
      </c>
      <c r="C42" s="76" t="str">
        <f ca="1">VLOOKUP($B42,OFFSET([2]quests!$A$1,0,0,COUNTA([2]quests!$A:$A),MATCH(C$1,[2]quests!$1:$1,0)-MATCH($B$1,[2]quests!$1:$1,0)+1),MATCH(C$1,[2]quests!$1:$1,0)-MATCH($B$1,[2]quests!$1:$1,0)+1,FALSE)</f>
        <v>灼熱の舞姫</v>
      </c>
      <c r="D42" s="76" t="str">
        <f ca="1">VLOOKUP($B42,OFFSET([2]quests!$A$1,0,0,COUNTA([2]quests!$A:$A),MATCH(D$1,[2]quests!$1:$1,0)-MATCH($B$1,[2]quests!$1:$1,0)+1),MATCH(D$1,[2]quests!$1:$1,0)-MATCH($B$1,[2]quests!$1:$1,0)+1,FALSE)</f>
        <v>平安01</v>
      </c>
      <c r="E42" s="80">
        <v>2</v>
      </c>
      <c r="F42" s="76" t="str">
        <f ca="1">VLOOKUP($B42&amp;"_"&amp;$E42,OFFSET([2]stages!$A$1,0,0,COUNTA([2]stages!$A:$A),MATCH(F$1,[2]stages!$2:$2,0)-MATCH("temp_stage",[2]stages!$2:$2,0)+1),MATCH(F$1,[2]stages!$2:$2,0)-MATCH("temp_stage",[2]stages!$2:$2,0)+1,FALSE)</f>
        <v>【中級】灼熱の舞姫</v>
      </c>
      <c r="G42" s="76" t="str">
        <f ca="1">VLOOKUP($B42&amp;"_"&amp;$E42,OFFSET([2]stages!$A$1,0,0,COUNTA([2]stages!$A:$A),MATCH(G$1,[2]stages!$2:$2,0)-MATCH("temp_stage",[2]stages!$2:$2,0)+1),MATCH(G$1,[2]stages!$2:$2,0)-MATCH("temp_stage",[2]stages!$2:$2,0)+1,FALSE)</f>
        <v>平安01</v>
      </c>
      <c r="H42" s="78">
        <v>0</v>
      </c>
      <c r="I42">
        <v>19</v>
      </c>
      <c r="J42" s="77" t="s">
        <v>197</v>
      </c>
      <c r="K42" s="86" t="str">
        <f>VLOOKUP(I42,[7]stage_hints!$A:$C,3,FALSE)</f>
        <v>ソロ専用タワーオブザクイーン</v>
      </c>
      <c r="L42" s="87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1" t="s">
        <v>210</v>
      </c>
    </row>
    <row r="43" spans="1:13" x14ac:dyDescent="0.15">
      <c r="A43" s="74" t="s">
        <v>200</v>
      </c>
      <c r="B43" s="75">
        <f>floors!$C$2</f>
        <v>20019</v>
      </c>
      <c r="C43" s="76" t="str">
        <f ca="1">VLOOKUP($B43,OFFSET([2]quests!$A$1,0,0,COUNTA([2]quests!$A:$A),MATCH(C$1,[2]quests!$1:$1,0)-MATCH($B$1,[2]quests!$1:$1,0)+1),MATCH(C$1,[2]quests!$1:$1,0)-MATCH($B$1,[2]quests!$1:$1,0)+1,FALSE)</f>
        <v>灼熱の舞姫</v>
      </c>
      <c r="D43" s="76" t="str">
        <f ca="1">VLOOKUP($B43,OFFSET([2]quests!$A$1,0,0,COUNTA([2]quests!$A:$A),MATCH(D$1,[2]quests!$1:$1,0)-MATCH($B$1,[2]quests!$1:$1,0)+1),MATCH(D$1,[2]quests!$1:$1,0)-MATCH($B$1,[2]quests!$1:$1,0)+1,FALSE)</f>
        <v>平安01</v>
      </c>
      <c r="E43" s="80">
        <v>2</v>
      </c>
      <c r="F43" s="76" t="str">
        <f ca="1">VLOOKUP($B43&amp;"_"&amp;$E43,OFFSET([2]stages!$A$1,0,0,COUNTA([2]stages!$A:$A),MATCH(F$1,[2]stages!$2:$2,0)-MATCH("temp_stage",[2]stages!$2:$2,0)+1),MATCH(F$1,[2]stages!$2:$2,0)-MATCH("temp_stage",[2]stages!$2:$2,0)+1,FALSE)</f>
        <v>【中級】灼熱の舞姫</v>
      </c>
      <c r="G43" s="76" t="str">
        <f ca="1">VLOOKUP($B43&amp;"_"&amp;$E43,OFFSET([2]stages!$A$1,0,0,COUNTA([2]stages!$A:$A),MATCH(G$1,[2]stages!$2:$2,0)-MATCH("temp_stage",[2]stages!$2:$2,0)+1),MATCH(G$1,[2]stages!$2:$2,0)-MATCH("temp_stage",[2]stages!$2:$2,0)+1,FALSE)</f>
        <v>平安01</v>
      </c>
      <c r="H43" s="78">
        <v>0</v>
      </c>
      <c r="I43">
        <v>20</v>
      </c>
      <c r="J43" s="77" t="s">
        <v>197</v>
      </c>
      <c r="K43" s="86" t="str">
        <f>VLOOKUP(I43,[7]stage_hints!$A:$C,3,FALSE)</f>
        <v>マルチプレイのメリット（その3）</v>
      </c>
      <c r="L43" s="87" t="str">
        <f>VLOOKUP(I43,[7]stage_hints!$A:$D,4,FALSE)</f>
        <v>マルチプレイへの参加はエナジー消費ゼロ_x000D_いつでも好きなだけ遊ぶことができます</v>
      </c>
      <c r="M43" s="51" t="s">
        <v>210</v>
      </c>
    </row>
    <row r="44" spans="1:13" x14ac:dyDescent="0.15">
      <c r="A44" s="74" t="s">
        <v>200</v>
      </c>
      <c r="B44" s="75">
        <f>floors!$C$2</f>
        <v>20019</v>
      </c>
      <c r="C44" s="76" t="str">
        <f ca="1">VLOOKUP($B44,OFFSET([2]quests!$A$1,0,0,COUNTA([2]quests!$A:$A),MATCH(C$1,[2]quests!$1:$1,0)-MATCH($B$1,[2]quests!$1:$1,0)+1),MATCH(C$1,[2]quests!$1:$1,0)-MATCH($B$1,[2]quests!$1:$1,0)+1,FALSE)</f>
        <v>灼熱の舞姫</v>
      </c>
      <c r="D44" s="76" t="str">
        <f ca="1">VLOOKUP($B44,OFFSET([2]quests!$A$1,0,0,COUNTA([2]quests!$A:$A),MATCH(D$1,[2]quests!$1:$1,0)-MATCH($B$1,[2]quests!$1:$1,0)+1),MATCH(D$1,[2]quests!$1:$1,0)-MATCH($B$1,[2]quests!$1:$1,0)+1,FALSE)</f>
        <v>平安01</v>
      </c>
      <c r="E44" s="80">
        <v>2</v>
      </c>
      <c r="F44" s="76" t="str">
        <f ca="1">VLOOKUP($B44&amp;"_"&amp;$E44,OFFSET([2]stages!$A$1,0,0,COUNTA([2]stages!$A:$A),MATCH(F$1,[2]stages!$2:$2,0)-MATCH("temp_stage",[2]stages!$2:$2,0)+1),MATCH(F$1,[2]stages!$2:$2,0)-MATCH("temp_stage",[2]stages!$2:$2,0)+1,FALSE)</f>
        <v>【中級】灼熱の舞姫</v>
      </c>
      <c r="G44" s="76" t="str">
        <f ca="1">VLOOKUP($B44&amp;"_"&amp;$E44,OFFSET([2]stages!$A$1,0,0,COUNTA([2]stages!$A:$A),MATCH(G$1,[2]stages!$2:$2,0)-MATCH("temp_stage",[2]stages!$2:$2,0)+1),MATCH(G$1,[2]stages!$2:$2,0)-MATCH("temp_stage",[2]stages!$2:$2,0)+1,FALSE)</f>
        <v>平安01</v>
      </c>
      <c r="H44" s="78">
        <v>0</v>
      </c>
      <c r="I44">
        <v>21</v>
      </c>
      <c r="J44" s="77" t="s">
        <v>197</v>
      </c>
      <c r="K44" s="86" t="str">
        <f>VLOOKUP(I44,[7]stage_hints!$A:$C,3,FALSE)</f>
        <v>スキルを有効に</v>
      </c>
      <c r="L44" s="87" t="str">
        <f>VLOOKUP(I44,[7]stage_hints!$A:$D,4,FALSE)</f>
        <v>ターン経過でユニットのスキルが使えます_x000D_強力スキルでバトルを有利に進めましょう</v>
      </c>
      <c r="M44" s="51" t="s">
        <v>210</v>
      </c>
    </row>
    <row r="45" spans="1:13" x14ac:dyDescent="0.15">
      <c r="A45" s="74" t="s">
        <v>200</v>
      </c>
      <c r="B45" s="75">
        <f>floors!$C$2</f>
        <v>20019</v>
      </c>
      <c r="C45" s="76" t="str">
        <f ca="1">VLOOKUP($B45,OFFSET([2]quests!$A$1,0,0,COUNTA([2]quests!$A:$A),MATCH(C$1,[2]quests!$1:$1,0)-MATCH($B$1,[2]quests!$1:$1,0)+1),MATCH(C$1,[2]quests!$1:$1,0)-MATCH($B$1,[2]quests!$1:$1,0)+1,FALSE)</f>
        <v>灼熱の舞姫</v>
      </c>
      <c r="D45" s="76" t="str">
        <f ca="1">VLOOKUP($B45,OFFSET([2]quests!$A$1,0,0,COUNTA([2]quests!$A:$A),MATCH(D$1,[2]quests!$1:$1,0)-MATCH($B$1,[2]quests!$1:$1,0)+1),MATCH(D$1,[2]quests!$1:$1,0)-MATCH($B$1,[2]quests!$1:$1,0)+1,FALSE)</f>
        <v>平安01</v>
      </c>
      <c r="E45" s="80">
        <v>2</v>
      </c>
      <c r="F45" s="76" t="str">
        <f ca="1">VLOOKUP($B45&amp;"_"&amp;$E45,OFFSET([2]stages!$A$1,0,0,COUNTA([2]stages!$A:$A),MATCH(F$1,[2]stages!$2:$2,0)-MATCH("temp_stage",[2]stages!$2:$2,0)+1),MATCH(F$1,[2]stages!$2:$2,0)-MATCH("temp_stage",[2]stages!$2:$2,0)+1,FALSE)</f>
        <v>【中級】灼熱の舞姫</v>
      </c>
      <c r="G45" s="76" t="str">
        <f ca="1">VLOOKUP($B45&amp;"_"&amp;$E45,OFFSET([2]stages!$A$1,0,0,COUNTA([2]stages!$A:$A),MATCH(G$1,[2]stages!$2:$2,0)-MATCH("temp_stage",[2]stages!$2:$2,0)+1),MATCH(G$1,[2]stages!$2:$2,0)-MATCH("temp_stage",[2]stages!$2:$2,0)+1,FALSE)</f>
        <v>平安01</v>
      </c>
      <c r="H45" s="78">
        <v>0</v>
      </c>
      <c r="I45">
        <v>22</v>
      </c>
      <c r="J45" s="77" t="s">
        <v>197</v>
      </c>
      <c r="K45" s="86" t="str">
        <f>VLOOKUP(I45,[7]stage_hints!$A:$C,3,FALSE)</f>
        <v>フィーバーで一発逆転（その1）</v>
      </c>
      <c r="L45" s="87" t="str">
        <f>VLOOKUP(I45,[7]stage_hints!$A:$D,4,FALSE)</f>
        <v>フィーバーは攻撃と回復を兼ね備えます_x000D_ピンチからの一発逆転を狙いましょう</v>
      </c>
      <c r="M45" s="51" t="s">
        <v>210</v>
      </c>
    </row>
    <row r="46" spans="1:13" x14ac:dyDescent="0.15">
      <c r="A46" s="74" t="s">
        <v>200</v>
      </c>
      <c r="B46" s="75">
        <f>floors!$C$2</f>
        <v>20019</v>
      </c>
      <c r="C46" s="76" t="str">
        <f ca="1">VLOOKUP($B46,OFFSET([2]quests!$A$1,0,0,COUNTA([2]quests!$A:$A),MATCH(C$1,[2]quests!$1:$1,0)-MATCH($B$1,[2]quests!$1:$1,0)+1),MATCH(C$1,[2]quests!$1:$1,0)-MATCH($B$1,[2]quests!$1:$1,0)+1,FALSE)</f>
        <v>灼熱の舞姫</v>
      </c>
      <c r="D46" s="76" t="str">
        <f ca="1">VLOOKUP($B46,OFFSET([2]quests!$A$1,0,0,COUNTA([2]quests!$A:$A),MATCH(D$1,[2]quests!$1:$1,0)-MATCH($B$1,[2]quests!$1:$1,0)+1),MATCH(D$1,[2]quests!$1:$1,0)-MATCH($B$1,[2]quests!$1:$1,0)+1,FALSE)</f>
        <v>平安01</v>
      </c>
      <c r="E46" s="80">
        <v>2</v>
      </c>
      <c r="F46" s="76" t="str">
        <f ca="1">VLOOKUP($B46&amp;"_"&amp;$E46,OFFSET([2]stages!$A$1,0,0,COUNTA([2]stages!$A:$A),MATCH(F$1,[2]stages!$2:$2,0)-MATCH("temp_stage",[2]stages!$2:$2,0)+1),MATCH(F$1,[2]stages!$2:$2,0)-MATCH("temp_stage",[2]stages!$2:$2,0)+1,FALSE)</f>
        <v>【中級】灼熱の舞姫</v>
      </c>
      <c r="G46" s="76" t="str">
        <f ca="1">VLOOKUP($B46&amp;"_"&amp;$E46,OFFSET([2]stages!$A$1,0,0,COUNTA([2]stages!$A:$A),MATCH(G$1,[2]stages!$2:$2,0)-MATCH("temp_stage",[2]stages!$2:$2,0)+1),MATCH(G$1,[2]stages!$2:$2,0)-MATCH("temp_stage",[2]stages!$2:$2,0)+1,FALSE)</f>
        <v>平安01</v>
      </c>
      <c r="H46" s="78">
        <v>0</v>
      </c>
      <c r="I46">
        <v>23</v>
      </c>
      <c r="J46" s="77" t="s">
        <v>197</v>
      </c>
      <c r="K46" s="86" t="str">
        <f>VLOOKUP(I46,[7]stage_hints!$A:$C,3,FALSE)</f>
        <v>フィーバーで一発逆転（その2）</v>
      </c>
      <c r="L46" s="87" t="str">
        <f>VLOOKUP(I46,[7]stage_hints!$A:$D,4,FALSE)</f>
        <v>フィーバー中は虹色のボムパネルを狙って_x000D_画面上のパネルを一気に破壊しましょう</v>
      </c>
      <c r="M46" s="51" t="s">
        <v>210</v>
      </c>
    </row>
    <row r="47" spans="1:13" x14ac:dyDescent="0.15">
      <c r="A47" s="74" t="s">
        <v>200</v>
      </c>
      <c r="B47" s="75">
        <f>floors!$C$2</f>
        <v>20019</v>
      </c>
      <c r="C47" s="76" t="str">
        <f ca="1">VLOOKUP($B47,OFFSET([2]quests!$A$1,0,0,COUNTA([2]quests!$A:$A),MATCH(C$1,[2]quests!$1:$1,0)-MATCH($B$1,[2]quests!$1:$1,0)+1),MATCH(C$1,[2]quests!$1:$1,0)-MATCH($B$1,[2]quests!$1:$1,0)+1,FALSE)</f>
        <v>灼熱の舞姫</v>
      </c>
      <c r="D47" s="76" t="str">
        <f ca="1">VLOOKUP($B47,OFFSET([2]quests!$A$1,0,0,COUNTA([2]quests!$A:$A),MATCH(D$1,[2]quests!$1:$1,0)-MATCH($B$1,[2]quests!$1:$1,0)+1),MATCH(D$1,[2]quests!$1:$1,0)-MATCH($B$1,[2]quests!$1:$1,0)+1,FALSE)</f>
        <v>平安01</v>
      </c>
      <c r="E47" s="80">
        <v>2</v>
      </c>
      <c r="F47" s="76" t="str">
        <f ca="1">VLOOKUP($B47&amp;"_"&amp;$E47,OFFSET([2]stages!$A$1,0,0,COUNTA([2]stages!$A:$A),MATCH(F$1,[2]stages!$2:$2,0)-MATCH("temp_stage",[2]stages!$2:$2,0)+1),MATCH(F$1,[2]stages!$2:$2,0)-MATCH("temp_stage",[2]stages!$2:$2,0)+1,FALSE)</f>
        <v>【中級】灼熱の舞姫</v>
      </c>
      <c r="G47" s="76" t="str">
        <f ca="1">VLOOKUP($B47&amp;"_"&amp;$E47,OFFSET([2]stages!$A$1,0,0,COUNTA([2]stages!$A:$A),MATCH(G$1,[2]stages!$2:$2,0)-MATCH("temp_stage",[2]stages!$2:$2,0)+1),MATCH(G$1,[2]stages!$2:$2,0)-MATCH("temp_stage",[2]stages!$2:$2,0)+1,FALSE)</f>
        <v>平安01</v>
      </c>
      <c r="H47" s="78">
        <v>0</v>
      </c>
      <c r="I47">
        <v>24</v>
      </c>
      <c r="J47" s="77" t="s">
        <v>197</v>
      </c>
      <c r="K47" s="86" t="str">
        <f>VLOOKUP(I47,[7]stage_hints!$A:$C,3,FALSE)</f>
        <v>果実を使って限界突破</v>
      </c>
      <c r="L47" s="87" t="str">
        <f>VLOOKUP(I47,[7]stage_hints!$A:$D,4,FALSE)</f>
        <v>攻めの果実 癒しの果実_x000D_生命の果実をユニット強化に使うと_x000D_ステータスが限界突破します（計99個迄）</v>
      </c>
      <c r="M47" s="51" t="s">
        <v>210</v>
      </c>
    </row>
    <row r="48" spans="1:13" x14ac:dyDescent="0.15">
      <c r="A48" s="74" t="s">
        <v>200</v>
      </c>
      <c r="B48" s="75">
        <f>floors!$C$2</f>
        <v>20019</v>
      </c>
      <c r="C48" s="76" t="str">
        <f ca="1">VLOOKUP($B48,OFFSET([2]quests!$A$1,0,0,COUNTA([2]quests!$A:$A),MATCH(C$1,[2]quests!$1:$1,0)-MATCH($B$1,[2]quests!$1:$1,0)+1),MATCH(C$1,[2]quests!$1:$1,0)-MATCH($B$1,[2]quests!$1:$1,0)+1,FALSE)</f>
        <v>灼熱の舞姫</v>
      </c>
      <c r="D48" s="76" t="str">
        <f ca="1">VLOOKUP($B48,OFFSET([2]quests!$A$1,0,0,COUNTA([2]quests!$A:$A),MATCH(D$1,[2]quests!$1:$1,0)-MATCH($B$1,[2]quests!$1:$1,0)+1),MATCH(D$1,[2]quests!$1:$1,0)-MATCH($B$1,[2]quests!$1:$1,0)+1,FALSE)</f>
        <v>平安01</v>
      </c>
      <c r="E48" s="80">
        <v>2</v>
      </c>
      <c r="F48" s="76" t="str">
        <f ca="1">VLOOKUP($B48&amp;"_"&amp;$E48,OFFSET([2]stages!$A$1,0,0,COUNTA([2]stages!$A:$A),MATCH(F$1,[2]stages!$2:$2,0)-MATCH("temp_stage",[2]stages!$2:$2,0)+1),MATCH(F$1,[2]stages!$2:$2,0)-MATCH("temp_stage",[2]stages!$2:$2,0)+1,FALSE)</f>
        <v>【中級】灼熱の舞姫</v>
      </c>
      <c r="G48" s="76" t="str">
        <f ca="1">VLOOKUP($B48&amp;"_"&amp;$E48,OFFSET([2]stages!$A$1,0,0,COUNTA([2]stages!$A:$A),MATCH(G$1,[2]stages!$2:$2,0)-MATCH("temp_stage",[2]stages!$2:$2,0)+1),MATCH(G$1,[2]stages!$2:$2,0)-MATCH("temp_stage",[2]stages!$2:$2,0)+1,FALSE)</f>
        <v>平安01</v>
      </c>
      <c r="H48" s="78">
        <v>0</v>
      </c>
      <c r="I48">
        <v>25</v>
      </c>
      <c r="J48" s="77" t="s">
        <v>197</v>
      </c>
      <c r="K48" s="86" t="str">
        <f>VLOOKUP(I48,[7]stage_hints!$A:$C,3,FALSE)</f>
        <v>スキルレベルアップ</v>
      </c>
      <c r="L48" s="87" t="str">
        <f>VLOOKUP(I48,[7]stage_hints!$A:$D,4,FALSE)</f>
        <v>「秘術の果実」を強化に使うと_x000D_スキルレベルを上げることができます</v>
      </c>
      <c r="M48" s="51" t="s">
        <v>210</v>
      </c>
    </row>
    <row r="49" spans="1:13" x14ac:dyDescent="0.15">
      <c r="A49" s="74" t="s">
        <v>200</v>
      </c>
      <c r="B49" s="75">
        <f>floors!$C$2</f>
        <v>20019</v>
      </c>
      <c r="C49" s="76" t="str">
        <f ca="1">VLOOKUP($B49,OFFSET([2]quests!$A$1,0,0,COUNTA([2]quests!$A:$A),MATCH(C$1,[2]quests!$1:$1,0)-MATCH($B$1,[2]quests!$1:$1,0)+1),MATCH(C$1,[2]quests!$1:$1,0)-MATCH($B$1,[2]quests!$1:$1,0)+1,FALSE)</f>
        <v>灼熱の舞姫</v>
      </c>
      <c r="D49" s="76" t="str">
        <f ca="1">VLOOKUP($B49,OFFSET([2]quests!$A$1,0,0,COUNTA([2]quests!$A:$A),MATCH(D$1,[2]quests!$1:$1,0)-MATCH($B$1,[2]quests!$1:$1,0)+1),MATCH(D$1,[2]quests!$1:$1,0)-MATCH($B$1,[2]quests!$1:$1,0)+1,FALSE)</f>
        <v>平安01</v>
      </c>
      <c r="E49" s="80">
        <v>2</v>
      </c>
      <c r="F49" s="76" t="str">
        <f ca="1">VLOOKUP($B49&amp;"_"&amp;$E49,OFFSET([2]stages!$A$1,0,0,COUNTA([2]stages!$A:$A),MATCH(F$1,[2]stages!$2:$2,0)-MATCH("temp_stage",[2]stages!$2:$2,0)+1),MATCH(F$1,[2]stages!$2:$2,0)-MATCH("temp_stage",[2]stages!$2:$2,0)+1,FALSE)</f>
        <v>【中級】灼熱の舞姫</v>
      </c>
      <c r="G49" s="76" t="str">
        <f ca="1">VLOOKUP($B49&amp;"_"&amp;$E49,OFFSET([2]stages!$A$1,0,0,COUNTA([2]stages!$A:$A),MATCH(G$1,[2]stages!$2:$2,0)-MATCH("temp_stage",[2]stages!$2:$2,0)+1),MATCH(G$1,[2]stages!$2:$2,0)-MATCH("temp_stage",[2]stages!$2:$2,0)+1,FALSE)</f>
        <v>平安01</v>
      </c>
      <c r="H49" s="78">
        <v>0</v>
      </c>
      <c r="I49">
        <v>26</v>
      </c>
      <c r="J49" s="77" t="s">
        <v>197</v>
      </c>
      <c r="K49" s="86" t="str">
        <f>VLOOKUP(I49,[7]stage_hints!$A:$C,3,FALSE)</f>
        <v>スキルレベルの効果</v>
      </c>
      <c r="L49" s="87" t="str">
        <f>VLOOKUP(I49,[7]stage_hints!$A:$D,4,FALSE)</f>
        <v>スキルレベルが上がると_x000D_短いターンでスキルを使うことができます</v>
      </c>
      <c r="M49" s="51" t="s">
        <v>210</v>
      </c>
    </row>
    <row r="50" spans="1:13" x14ac:dyDescent="0.15">
      <c r="A50" s="74" t="s">
        <v>200</v>
      </c>
      <c r="B50" s="75">
        <f>floors!$C$2</f>
        <v>20019</v>
      </c>
      <c r="C50" s="76" t="str">
        <f ca="1">VLOOKUP($B50,OFFSET([2]quests!$A$1,0,0,COUNTA([2]quests!$A:$A),MATCH(C$1,[2]quests!$1:$1,0)-MATCH($B$1,[2]quests!$1:$1,0)+1),MATCH(C$1,[2]quests!$1:$1,0)-MATCH($B$1,[2]quests!$1:$1,0)+1,FALSE)</f>
        <v>灼熱の舞姫</v>
      </c>
      <c r="D50" s="76" t="str">
        <f ca="1">VLOOKUP($B50,OFFSET([2]quests!$A$1,0,0,COUNTA([2]quests!$A:$A),MATCH(D$1,[2]quests!$1:$1,0)-MATCH($B$1,[2]quests!$1:$1,0)+1),MATCH(D$1,[2]quests!$1:$1,0)-MATCH($B$1,[2]quests!$1:$1,0)+1,FALSE)</f>
        <v>平安01</v>
      </c>
      <c r="E50" s="80">
        <v>2</v>
      </c>
      <c r="F50" s="76" t="str">
        <f ca="1">VLOOKUP($B50&amp;"_"&amp;$E50,OFFSET([2]stages!$A$1,0,0,COUNTA([2]stages!$A:$A),MATCH(F$1,[2]stages!$2:$2,0)-MATCH("temp_stage",[2]stages!$2:$2,0)+1),MATCH(F$1,[2]stages!$2:$2,0)-MATCH("temp_stage",[2]stages!$2:$2,0)+1,FALSE)</f>
        <v>【中級】灼熱の舞姫</v>
      </c>
      <c r="G50" s="76" t="str">
        <f ca="1">VLOOKUP($B50&amp;"_"&amp;$E50,OFFSET([2]stages!$A$1,0,0,COUNTA([2]stages!$A:$A),MATCH(G$1,[2]stages!$2:$2,0)-MATCH("temp_stage",[2]stages!$2:$2,0)+1),MATCH(G$1,[2]stages!$2:$2,0)-MATCH("temp_stage",[2]stages!$2:$2,0)+1,FALSE)</f>
        <v>平安01</v>
      </c>
      <c r="H50" s="78">
        <v>0</v>
      </c>
      <c r="I50">
        <v>27</v>
      </c>
      <c r="J50" s="77" t="s">
        <v>197</v>
      </c>
      <c r="K50" s="86" t="str">
        <f>VLOOKUP(I50,[7]stage_hints!$A:$C,3,FALSE)</f>
        <v>ホーム画面からデッキを編成</v>
      </c>
      <c r="L50" s="87" t="str">
        <f>VLOOKUP(I50,[7]stage_hints!$A:$D,4,FALSE)</f>
        <v>ホーム画面でユニットを長押しすると_x000D_すぐにパーティ編成に移動できます</v>
      </c>
      <c r="M50" s="51" t="s">
        <v>210</v>
      </c>
    </row>
    <row r="51" spans="1:13" x14ac:dyDescent="0.15">
      <c r="A51" s="74" t="s">
        <v>200</v>
      </c>
      <c r="B51" s="75">
        <f>floors!$C$2</f>
        <v>20019</v>
      </c>
      <c r="C51" s="76" t="str">
        <f ca="1">VLOOKUP($B51,OFFSET([2]quests!$A$1,0,0,COUNTA([2]quests!$A:$A),MATCH(C$1,[2]quests!$1:$1,0)-MATCH($B$1,[2]quests!$1:$1,0)+1),MATCH(C$1,[2]quests!$1:$1,0)-MATCH($B$1,[2]quests!$1:$1,0)+1,FALSE)</f>
        <v>灼熱の舞姫</v>
      </c>
      <c r="D51" s="76" t="str">
        <f ca="1">VLOOKUP($B51,OFFSET([2]quests!$A$1,0,0,COUNTA([2]quests!$A:$A),MATCH(D$1,[2]quests!$1:$1,0)-MATCH($B$1,[2]quests!$1:$1,0)+1),MATCH(D$1,[2]quests!$1:$1,0)-MATCH($B$1,[2]quests!$1:$1,0)+1,FALSE)</f>
        <v>平安01</v>
      </c>
      <c r="E51" s="80">
        <v>2</v>
      </c>
      <c r="F51" s="76" t="str">
        <f ca="1">VLOOKUP($B51&amp;"_"&amp;$E51,OFFSET([2]stages!$A$1,0,0,COUNTA([2]stages!$A:$A),MATCH(F$1,[2]stages!$2:$2,0)-MATCH("temp_stage",[2]stages!$2:$2,0)+1),MATCH(F$1,[2]stages!$2:$2,0)-MATCH("temp_stage",[2]stages!$2:$2,0)+1,FALSE)</f>
        <v>【中級】灼熱の舞姫</v>
      </c>
      <c r="G51" s="76" t="str">
        <f ca="1">VLOOKUP($B51&amp;"_"&amp;$E51,OFFSET([2]stages!$A$1,0,0,COUNTA([2]stages!$A:$A),MATCH(G$1,[2]stages!$2:$2,0)-MATCH("temp_stage",[2]stages!$2:$2,0)+1),MATCH(G$1,[2]stages!$2:$2,0)-MATCH("temp_stage",[2]stages!$2:$2,0)+1,FALSE)</f>
        <v>平安01</v>
      </c>
      <c r="H51" s="78">
        <v>0</v>
      </c>
      <c r="I51">
        <v>28</v>
      </c>
      <c r="J51" s="77" t="s">
        <v>197</v>
      </c>
      <c r="K51" s="86" t="str">
        <f>VLOOKUP(I51,[7]stage_hints!$A:$C,3,FALSE)</f>
        <v>ステータス情報は長押しで</v>
      </c>
      <c r="L51" s="87" t="str">
        <f>VLOOKUP(I51,[7]stage_hints!$A:$D,4,FALSE)</f>
        <v>ユニットのアイコンを長押しすると_x000D_ステータス情報を確認することができます</v>
      </c>
      <c r="M51" s="51" t="s">
        <v>210</v>
      </c>
    </row>
    <row r="52" spans="1:13" x14ac:dyDescent="0.15">
      <c r="A52" s="74" t="s">
        <v>200</v>
      </c>
      <c r="B52" s="75">
        <f>floors!$C$2</f>
        <v>20019</v>
      </c>
      <c r="C52" s="76" t="str">
        <f ca="1">VLOOKUP($B52,OFFSET([2]quests!$A$1,0,0,COUNTA([2]quests!$A:$A),MATCH(C$1,[2]quests!$1:$1,0)-MATCH($B$1,[2]quests!$1:$1,0)+1),MATCH(C$1,[2]quests!$1:$1,0)-MATCH($B$1,[2]quests!$1:$1,0)+1,FALSE)</f>
        <v>灼熱の舞姫</v>
      </c>
      <c r="D52" s="76" t="str">
        <f ca="1">VLOOKUP($B52,OFFSET([2]quests!$A$1,0,0,COUNTA([2]quests!$A:$A),MATCH(D$1,[2]quests!$1:$1,0)-MATCH($B$1,[2]quests!$1:$1,0)+1),MATCH(D$1,[2]quests!$1:$1,0)-MATCH($B$1,[2]quests!$1:$1,0)+1,FALSE)</f>
        <v>平安01</v>
      </c>
      <c r="E52" s="80">
        <v>2</v>
      </c>
      <c r="F52" s="76" t="str">
        <f ca="1">VLOOKUP($B52&amp;"_"&amp;$E52,OFFSET([2]stages!$A$1,0,0,COUNTA([2]stages!$A:$A),MATCH(F$1,[2]stages!$2:$2,0)-MATCH("temp_stage",[2]stages!$2:$2,0)+1),MATCH(F$1,[2]stages!$2:$2,0)-MATCH("temp_stage",[2]stages!$2:$2,0)+1,FALSE)</f>
        <v>【中級】灼熱の舞姫</v>
      </c>
      <c r="G52" s="76" t="str">
        <f ca="1">VLOOKUP($B52&amp;"_"&amp;$E52,OFFSET([2]stages!$A$1,0,0,COUNTA([2]stages!$A:$A),MATCH(G$1,[2]stages!$2:$2,0)-MATCH("temp_stage",[2]stages!$2:$2,0)+1),MATCH(G$1,[2]stages!$2:$2,0)-MATCH("temp_stage",[2]stages!$2:$2,0)+1,FALSE)</f>
        <v>平安01</v>
      </c>
      <c r="H52" s="78">
        <v>0</v>
      </c>
      <c r="I52">
        <v>29</v>
      </c>
      <c r="J52" s="77" t="s">
        <v>197</v>
      </c>
      <c r="K52" s="86" t="str">
        <f>VLOOKUP(I52,[7]stage_hints!$A:$C,3,FALSE)</f>
        <v>「バグ」のメリット</v>
      </c>
      <c r="L52" s="87" t="str">
        <f>VLOOKUP(I52,[7]stage_hints!$A:$D,4,FALSE)</f>
        <v>ユニットの「バグ」を増やすと_x000D_報酬をもらえる確率がアップします</v>
      </c>
      <c r="M52" s="51" t="s">
        <v>210</v>
      </c>
    </row>
    <row r="53" spans="1:13" x14ac:dyDescent="0.15">
      <c r="A53" s="74" t="s">
        <v>200</v>
      </c>
      <c r="B53" s="75">
        <f>floors!$C$2</f>
        <v>20019</v>
      </c>
      <c r="C53" s="76" t="str">
        <f ca="1">VLOOKUP($B53,OFFSET([2]quests!$A$1,0,0,COUNTA([2]quests!$A:$A),MATCH(C$1,[2]quests!$1:$1,0)-MATCH($B$1,[2]quests!$1:$1,0)+1),MATCH(C$1,[2]quests!$1:$1,0)-MATCH($B$1,[2]quests!$1:$1,0)+1,FALSE)</f>
        <v>灼熱の舞姫</v>
      </c>
      <c r="D53" s="76" t="str">
        <f ca="1">VLOOKUP($B53,OFFSET([2]quests!$A$1,0,0,COUNTA([2]quests!$A:$A),MATCH(D$1,[2]quests!$1:$1,0)-MATCH($B$1,[2]quests!$1:$1,0)+1),MATCH(D$1,[2]quests!$1:$1,0)-MATCH($B$1,[2]quests!$1:$1,0)+1,FALSE)</f>
        <v>平安01</v>
      </c>
      <c r="E53" s="80">
        <v>2</v>
      </c>
      <c r="F53" s="76" t="str">
        <f ca="1">VLOOKUP($B53&amp;"_"&amp;$E53,OFFSET([2]stages!$A$1,0,0,COUNTA([2]stages!$A:$A),MATCH(F$1,[2]stages!$2:$2,0)-MATCH("temp_stage",[2]stages!$2:$2,0)+1),MATCH(F$1,[2]stages!$2:$2,0)-MATCH("temp_stage",[2]stages!$2:$2,0)+1,FALSE)</f>
        <v>【中級】灼熱の舞姫</v>
      </c>
      <c r="G53" s="76" t="str">
        <f ca="1">VLOOKUP($B53&amp;"_"&amp;$E53,OFFSET([2]stages!$A$1,0,0,COUNTA([2]stages!$A:$A),MATCH(G$1,[2]stages!$2:$2,0)-MATCH("temp_stage",[2]stages!$2:$2,0)+1),MATCH(G$1,[2]stages!$2:$2,0)-MATCH("temp_stage",[2]stages!$2:$2,0)+1,FALSE)</f>
        <v>平安01</v>
      </c>
      <c r="H53" s="78">
        <v>0</v>
      </c>
      <c r="I53">
        <v>30</v>
      </c>
      <c r="J53" s="77" t="s">
        <v>197</v>
      </c>
      <c r="K53" s="86" t="str">
        <f>VLOOKUP(I53,[7]stage_hints!$A:$C,3,FALSE)</f>
        <v>「バグ」の増やし方</v>
      </c>
      <c r="L53" s="87" t="str">
        <f>VLOOKUP(I53,[7]stage_hints!$A:$D,4,FALSE)</f>
        <v>同じユニット同士を強化で合成すると_x000D_「バグ」を増やすことができます</v>
      </c>
      <c r="M53" s="51" t="s">
        <v>210</v>
      </c>
    </row>
    <row r="54" spans="1:13" x14ac:dyDescent="0.15">
      <c r="A54" s="74" t="s">
        <v>200</v>
      </c>
      <c r="B54" s="75">
        <f>floors!$C$2</f>
        <v>20019</v>
      </c>
      <c r="C54" s="76" t="str">
        <f ca="1">VLOOKUP($B54,OFFSET([2]quests!$A$1,0,0,COUNTA([2]quests!$A:$A),MATCH(C$1,[2]quests!$1:$1,0)-MATCH($B$1,[2]quests!$1:$1,0)+1),MATCH(C$1,[2]quests!$1:$1,0)-MATCH($B$1,[2]quests!$1:$1,0)+1,FALSE)</f>
        <v>灼熱の舞姫</v>
      </c>
      <c r="D54" s="76" t="str">
        <f ca="1">VLOOKUP($B54,OFFSET([2]quests!$A$1,0,0,COUNTA([2]quests!$A:$A),MATCH(D$1,[2]quests!$1:$1,0)-MATCH($B$1,[2]quests!$1:$1,0)+1),MATCH(D$1,[2]quests!$1:$1,0)-MATCH($B$1,[2]quests!$1:$1,0)+1,FALSE)</f>
        <v>平安01</v>
      </c>
      <c r="E54" s="80">
        <v>2</v>
      </c>
      <c r="F54" s="76" t="str">
        <f ca="1">VLOOKUP($B54&amp;"_"&amp;$E54,OFFSET([2]stages!$A$1,0,0,COUNTA([2]stages!$A:$A),MATCH(F$1,[2]stages!$2:$2,0)-MATCH("temp_stage",[2]stages!$2:$2,0)+1),MATCH(F$1,[2]stages!$2:$2,0)-MATCH("temp_stage",[2]stages!$2:$2,0)+1,FALSE)</f>
        <v>【中級】灼熱の舞姫</v>
      </c>
      <c r="G54" s="76" t="str">
        <f ca="1">VLOOKUP($B54&amp;"_"&amp;$E54,OFFSET([2]stages!$A$1,0,0,COUNTA([2]stages!$A:$A),MATCH(G$1,[2]stages!$2:$2,0)-MATCH("temp_stage",[2]stages!$2:$2,0)+1),MATCH(G$1,[2]stages!$2:$2,0)-MATCH("temp_stage",[2]stages!$2:$2,0)+1,FALSE)</f>
        <v>平安01</v>
      </c>
      <c r="H54" s="78">
        <v>0</v>
      </c>
      <c r="I54">
        <v>31</v>
      </c>
      <c r="J54" s="77" t="s">
        <v>197</v>
      </c>
      <c r="K54" s="86" t="str">
        <f>VLOOKUP(I54,[7]stage_hints!$A:$C,3,FALSE)</f>
        <v>イベントはお知らせでチェック</v>
      </c>
      <c r="L54" s="87" t="str">
        <f>VLOOKUP(I54,[7]stage_hints!$A:$D,4,FALSE)</f>
        <v>イベント限定ユニットを取り忘れないように_x000D_お知らせをこまめにチェックしましょう</v>
      </c>
      <c r="M54" s="51" t="s">
        <v>210</v>
      </c>
    </row>
    <row r="55" spans="1:13" x14ac:dyDescent="0.15">
      <c r="A55" s="74" t="s">
        <v>200</v>
      </c>
      <c r="B55" s="75">
        <f>floors!$C$2</f>
        <v>20019</v>
      </c>
      <c r="C55" s="76" t="str">
        <f ca="1">VLOOKUP($B55,OFFSET([2]quests!$A$1,0,0,COUNTA([2]quests!$A:$A),MATCH(C$1,[2]quests!$1:$1,0)-MATCH($B$1,[2]quests!$1:$1,0)+1),MATCH(C$1,[2]quests!$1:$1,0)-MATCH($B$1,[2]quests!$1:$1,0)+1,FALSE)</f>
        <v>灼熱の舞姫</v>
      </c>
      <c r="D55" s="76" t="str">
        <f ca="1">VLOOKUP($B55,OFFSET([2]quests!$A$1,0,0,COUNTA([2]quests!$A:$A),MATCH(D$1,[2]quests!$1:$1,0)-MATCH($B$1,[2]quests!$1:$1,0)+1),MATCH(D$1,[2]quests!$1:$1,0)-MATCH($B$1,[2]quests!$1:$1,0)+1,FALSE)</f>
        <v>平安01</v>
      </c>
      <c r="E55" s="80">
        <v>2</v>
      </c>
      <c r="F55" s="76" t="str">
        <f ca="1">VLOOKUP($B55&amp;"_"&amp;$E55,OFFSET([2]stages!$A$1,0,0,COUNTA([2]stages!$A:$A),MATCH(F$1,[2]stages!$2:$2,0)-MATCH("temp_stage",[2]stages!$2:$2,0)+1),MATCH(F$1,[2]stages!$2:$2,0)-MATCH("temp_stage",[2]stages!$2:$2,0)+1,FALSE)</f>
        <v>【中級】灼熱の舞姫</v>
      </c>
      <c r="G55" s="76" t="str">
        <f ca="1">VLOOKUP($B55&amp;"_"&amp;$E55,OFFSET([2]stages!$A$1,0,0,COUNTA([2]stages!$A:$A),MATCH(G$1,[2]stages!$2:$2,0)-MATCH("temp_stage",[2]stages!$2:$2,0)+1),MATCH(G$1,[2]stages!$2:$2,0)-MATCH("temp_stage",[2]stages!$2:$2,0)+1,FALSE)</f>
        <v>平安01</v>
      </c>
      <c r="H55" s="78">
        <v>0</v>
      </c>
      <c r="I55">
        <v>32</v>
      </c>
      <c r="J55" s="77" t="s">
        <v>197</v>
      </c>
      <c r="K55" s="86" t="str">
        <f>VLOOKUP(I55,[7]stage_hints!$A:$C,3,FALSE)</f>
        <v>敵の連続攻撃には</v>
      </c>
      <c r="L55" s="87" t="str">
        <f>VLOOKUP(I55,[7]stage_hints!$A:$D,4,FALSE)</f>
        <v>カウンタースキルを持つユニットがいれば_x000D_ダメージ回数分の反撃ができます</v>
      </c>
      <c r="M55" s="51" t="s">
        <v>210</v>
      </c>
    </row>
    <row r="56" spans="1:13" x14ac:dyDescent="0.15">
      <c r="A56" s="74" t="s">
        <v>200</v>
      </c>
      <c r="B56" s="75">
        <f>floors!$C$2</f>
        <v>20019</v>
      </c>
      <c r="C56" s="76" t="str">
        <f ca="1">VLOOKUP($B56,OFFSET([2]quests!$A$1,0,0,COUNTA([2]quests!$A:$A),MATCH(C$1,[2]quests!$1:$1,0)-MATCH($B$1,[2]quests!$1:$1,0)+1),MATCH(C$1,[2]quests!$1:$1,0)-MATCH($B$1,[2]quests!$1:$1,0)+1,FALSE)</f>
        <v>灼熱の舞姫</v>
      </c>
      <c r="D56" s="76" t="str">
        <f ca="1">VLOOKUP($B56,OFFSET([2]quests!$A$1,0,0,COUNTA([2]quests!$A:$A),MATCH(D$1,[2]quests!$1:$1,0)-MATCH($B$1,[2]quests!$1:$1,0)+1),MATCH(D$1,[2]quests!$1:$1,0)-MATCH($B$1,[2]quests!$1:$1,0)+1,FALSE)</f>
        <v>平安01</v>
      </c>
      <c r="E56" s="80">
        <v>2</v>
      </c>
      <c r="F56" s="76" t="str">
        <f ca="1">VLOOKUP($B56&amp;"_"&amp;$E56,OFFSET([2]stages!$A$1,0,0,COUNTA([2]stages!$A:$A),MATCH(F$1,[2]stages!$2:$2,0)-MATCH("temp_stage",[2]stages!$2:$2,0)+1),MATCH(F$1,[2]stages!$2:$2,0)-MATCH("temp_stage",[2]stages!$2:$2,0)+1,FALSE)</f>
        <v>【中級】灼熱の舞姫</v>
      </c>
      <c r="G56" s="76" t="str">
        <f ca="1">VLOOKUP($B56&amp;"_"&amp;$E56,OFFSET([2]stages!$A$1,0,0,COUNTA([2]stages!$A:$A),MATCH(G$1,[2]stages!$2:$2,0)-MATCH("temp_stage",[2]stages!$2:$2,0)+1),MATCH(G$1,[2]stages!$2:$2,0)-MATCH("temp_stage",[2]stages!$2:$2,0)+1,FALSE)</f>
        <v>平安01</v>
      </c>
      <c r="H56" s="78">
        <v>0</v>
      </c>
      <c r="I56">
        <v>33</v>
      </c>
      <c r="J56" s="77" t="s">
        <v>197</v>
      </c>
      <c r="K56" s="86" t="str">
        <f>VLOOKUP(I56,[7]stage_hints!$A:$C,3,FALSE)</f>
        <v>敵のカウンター攻撃には</v>
      </c>
      <c r="L56" s="87" t="str">
        <f>VLOOKUP(I56,[7]stage_hints!$A:$D,4,FALSE)</f>
        <v>カウンターブレイクスキルを持っていれば_x000D_敵のカウンターを解除して攻撃ができます</v>
      </c>
      <c r="M56" s="51" t="s">
        <v>210</v>
      </c>
    </row>
    <row r="57" spans="1:13" x14ac:dyDescent="0.15">
      <c r="A57" s="74" t="s">
        <v>200</v>
      </c>
      <c r="B57" s="75">
        <f>floors!$C$2</f>
        <v>20019</v>
      </c>
      <c r="C57" s="76" t="str">
        <f ca="1">VLOOKUP($B57,OFFSET([2]quests!$A$1,0,0,COUNTA([2]quests!$A:$A),MATCH(C$1,[2]quests!$1:$1,0)-MATCH($B$1,[2]quests!$1:$1,0)+1),MATCH(C$1,[2]quests!$1:$1,0)-MATCH($B$1,[2]quests!$1:$1,0)+1,FALSE)</f>
        <v>灼熱の舞姫</v>
      </c>
      <c r="D57" s="76" t="str">
        <f ca="1">VLOOKUP($B57,OFFSET([2]quests!$A$1,0,0,COUNTA([2]quests!$A:$A),MATCH(D$1,[2]quests!$1:$1,0)-MATCH($B$1,[2]quests!$1:$1,0)+1),MATCH(D$1,[2]quests!$1:$1,0)-MATCH($B$1,[2]quests!$1:$1,0)+1,FALSE)</f>
        <v>平安01</v>
      </c>
      <c r="E57" s="80">
        <v>2</v>
      </c>
      <c r="F57" s="76" t="str">
        <f ca="1">VLOOKUP($B57&amp;"_"&amp;$E57,OFFSET([2]stages!$A$1,0,0,COUNTA([2]stages!$A:$A),MATCH(F$1,[2]stages!$2:$2,0)-MATCH("temp_stage",[2]stages!$2:$2,0)+1),MATCH(F$1,[2]stages!$2:$2,0)-MATCH("temp_stage",[2]stages!$2:$2,0)+1,FALSE)</f>
        <v>【中級】灼熱の舞姫</v>
      </c>
      <c r="G57" s="76" t="str">
        <f ca="1">VLOOKUP($B57&amp;"_"&amp;$E57,OFFSET([2]stages!$A$1,0,0,COUNTA([2]stages!$A:$A),MATCH(G$1,[2]stages!$2:$2,0)-MATCH("temp_stage",[2]stages!$2:$2,0)+1),MATCH(G$1,[2]stages!$2:$2,0)-MATCH("temp_stage",[2]stages!$2:$2,0)+1,FALSE)</f>
        <v>平安01</v>
      </c>
      <c r="H57" s="78">
        <v>0</v>
      </c>
      <c r="I57">
        <v>34</v>
      </c>
      <c r="J57" s="77" t="s">
        <v>197</v>
      </c>
      <c r="K57" s="86" t="str">
        <f>VLOOKUP(I57,[7]stage_hints!$A:$C,3,FALSE)</f>
        <v>ステータスをスキルで下げられたら</v>
      </c>
      <c r="L57" s="87" t="str">
        <f>VLOOKUP(I57,[7]stage_hints!$A:$D,4,FALSE)</f>
        <v>ステータスダウンのスキルを受けたら_x000D_ステータスアップスキルで上書きしましょう</v>
      </c>
      <c r="M57" s="51" t="s">
        <v>210</v>
      </c>
    </row>
    <row r="58" spans="1:13" x14ac:dyDescent="0.15">
      <c r="A58" s="74" t="s">
        <v>200</v>
      </c>
      <c r="B58" s="75">
        <f>floors!$C$2</f>
        <v>20019</v>
      </c>
      <c r="C58" s="76" t="str">
        <f ca="1">VLOOKUP($B58,OFFSET([2]quests!$A$1,0,0,COUNTA([2]quests!$A:$A),MATCH(C$1,[2]quests!$1:$1,0)-MATCH($B$1,[2]quests!$1:$1,0)+1),MATCH(C$1,[2]quests!$1:$1,0)-MATCH($B$1,[2]quests!$1:$1,0)+1,FALSE)</f>
        <v>灼熱の舞姫</v>
      </c>
      <c r="D58" s="76" t="str">
        <f ca="1">VLOOKUP($B58,OFFSET([2]quests!$A$1,0,0,COUNTA([2]quests!$A:$A),MATCH(D$1,[2]quests!$1:$1,0)-MATCH($B$1,[2]quests!$1:$1,0)+1),MATCH(D$1,[2]quests!$1:$1,0)-MATCH($B$1,[2]quests!$1:$1,0)+1,FALSE)</f>
        <v>平安01</v>
      </c>
      <c r="E58" s="80">
        <v>2</v>
      </c>
      <c r="F58" s="76" t="str">
        <f ca="1">VLOOKUP($B58&amp;"_"&amp;$E58,OFFSET([2]stages!$A$1,0,0,COUNTA([2]stages!$A:$A),MATCH(F$1,[2]stages!$2:$2,0)-MATCH("temp_stage",[2]stages!$2:$2,0)+1),MATCH(F$1,[2]stages!$2:$2,0)-MATCH("temp_stage",[2]stages!$2:$2,0)+1,FALSE)</f>
        <v>【中級】灼熱の舞姫</v>
      </c>
      <c r="G58" s="76" t="str">
        <f ca="1">VLOOKUP($B58&amp;"_"&amp;$E58,OFFSET([2]stages!$A$1,0,0,COUNTA([2]stages!$A:$A),MATCH(G$1,[2]stages!$2:$2,0)-MATCH("temp_stage",[2]stages!$2:$2,0)+1),MATCH(G$1,[2]stages!$2:$2,0)-MATCH("temp_stage",[2]stages!$2:$2,0)+1,FALSE)</f>
        <v>平安01</v>
      </c>
      <c r="H58" s="78">
        <v>0</v>
      </c>
      <c r="I58">
        <v>35</v>
      </c>
      <c r="J58" s="77" t="s">
        <v>197</v>
      </c>
      <c r="K58" s="86" t="str">
        <f>VLOOKUP(I58,[7]stage_hints!$A:$C,3,FALSE)</f>
        <v>敵のステータスがスキルで上がったら</v>
      </c>
      <c r="L58" s="87" t="str">
        <f>VLOOKUP(I58,[7]stage_hints!$A:$D,4,FALSE)</f>
        <v>敵のステータスがスキルでアップしたときは_x000D_ステータスダウンスキルで上書きしましょう</v>
      </c>
      <c r="M58" s="51" t="s">
        <v>210</v>
      </c>
    </row>
    <row r="59" spans="1:13" x14ac:dyDescent="0.15">
      <c r="A59" s="74" t="s">
        <v>200</v>
      </c>
      <c r="B59" s="75">
        <f>floors!$C$2</f>
        <v>20019</v>
      </c>
      <c r="C59" s="76" t="str">
        <f ca="1">VLOOKUP($B59,OFFSET([2]quests!$A$1,0,0,COUNTA([2]quests!$A:$A),MATCH(C$1,[2]quests!$1:$1,0)-MATCH($B$1,[2]quests!$1:$1,0)+1),MATCH(C$1,[2]quests!$1:$1,0)-MATCH($B$1,[2]quests!$1:$1,0)+1,FALSE)</f>
        <v>灼熱の舞姫</v>
      </c>
      <c r="D59" s="76" t="str">
        <f ca="1">VLOOKUP($B59,OFFSET([2]quests!$A$1,0,0,COUNTA([2]quests!$A:$A),MATCH(D$1,[2]quests!$1:$1,0)-MATCH($B$1,[2]quests!$1:$1,0)+1),MATCH(D$1,[2]quests!$1:$1,0)-MATCH($B$1,[2]quests!$1:$1,0)+1,FALSE)</f>
        <v>平安01</v>
      </c>
      <c r="E59" s="80">
        <v>2</v>
      </c>
      <c r="F59" s="76" t="str">
        <f ca="1">VLOOKUP($B59&amp;"_"&amp;$E59,OFFSET([2]stages!$A$1,0,0,COUNTA([2]stages!$A:$A),MATCH(F$1,[2]stages!$2:$2,0)-MATCH("temp_stage",[2]stages!$2:$2,0)+1),MATCH(F$1,[2]stages!$2:$2,0)-MATCH("temp_stage",[2]stages!$2:$2,0)+1,FALSE)</f>
        <v>【中級】灼熱の舞姫</v>
      </c>
      <c r="G59" s="76" t="str">
        <f ca="1">VLOOKUP($B59&amp;"_"&amp;$E59,OFFSET([2]stages!$A$1,0,0,COUNTA([2]stages!$A:$A),MATCH(G$1,[2]stages!$2:$2,0)-MATCH("temp_stage",[2]stages!$2:$2,0)+1),MATCH(G$1,[2]stages!$2:$2,0)-MATCH("temp_stage",[2]stages!$2:$2,0)+1,FALSE)</f>
        <v>平安01</v>
      </c>
      <c r="H59" s="78">
        <v>0</v>
      </c>
      <c r="I59">
        <v>39</v>
      </c>
      <c r="J59" s="77" t="s">
        <v>197</v>
      </c>
      <c r="K59" s="86" t="str">
        <f>VLOOKUP(I59,[7]stage_hints!$A:$C,3,FALSE)</f>
        <v>システム適合者を確認</v>
      </c>
      <c r="L59" s="87" t="str">
        <f>VLOOKUP(I59,[7]stage_hints!$A:$D,4,FALSE)</f>
        <v>ALICEが 「アナタ」を呼んでいます</v>
      </c>
      <c r="M59" s="51" t="s">
        <v>210</v>
      </c>
    </row>
    <row r="60" spans="1:13" x14ac:dyDescent="0.15">
      <c r="A60" s="74" t="s">
        <v>200</v>
      </c>
      <c r="B60" s="75">
        <f>floors!$C$2</f>
        <v>20019</v>
      </c>
      <c r="C60" s="76" t="str">
        <f ca="1">VLOOKUP($B60,OFFSET([2]quests!$A$1,0,0,COUNTA([2]quests!$A:$A),MATCH(C$1,[2]quests!$1:$1,0)-MATCH($B$1,[2]quests!$1:$1,0)+1),MATCH(C$1,[2]quests!$1:$1,0)-MATCH($B$1,[2]quests!$1:$1,0)+1,FALSE)</f>
        <v>灼熱の舞姫</v>
      </c>
      <c r="D60" s="76" t="str">
        <f ca="1">VLOOKUP($B60,OFFSET([2]quests!$A$1,0,0,COUNTA([2]quests!$A:$A),MATCH(D$1,[2]quests!$1:$1,0)-MATCH($B$1,[2]quests!$1:$1,0)+1),MATCH(D$1,[2]quests!$1:$1,0)-MATCH($B$1,[2]quests!$1:$1,0)+1,FALSE)</f>
        <v>平安01</v>
      </c>
      <c r="E60" s="80">
        <v>3</v>
      </c>
      <c r="F60" s="76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【上級】灼熱の舞姫</v>
      </c>
      <c r="G60" s="76" t="str">
        <f ca="1">VLOOKUP($B60&amp;"_"&amp;$E60,OFFSET([2]stages!$A$1,0,0,COUNTA([2]stages!$A:$A),MATCH(G$1,[2]stages!$2:$2,0)-MATCH("temp_stage",[2]stages!$2:$2,0)+1),MATCH(G$1,[2]stages!$2:$2,0)-MATCH("temp_stage",[2]stages!$2:$2,0)+1,FALSE)</f>
        <v>平安01</v>
      </c>
      <c r="H60" s="78">
        <v>0</v>
      </c>
      <c r="I60" s="89">
        <v>3</v>
      </c>
      <c r="J60" s="77" t="s">
        <v>197</v>
      </c>
      <c r="K60" s="86" t="str">
        <f>VLOOKUP(I60,[7]stage_hints!$A:$C,3,FALSE)</f>
        <v>ターゲット</v>
      </c>
      <c r="L60" s="87" t="str">
        <f>VLOOKUP(I60,[7]stage_hints!$A:$D,4,FALSE)</f>
        <v>敵ユニットをタップすると_x000D_その敵を狙い撃ちできます</v>
      </c>
      <c r="M60" s="51" t="s">
        <v>210</v>
      </c>
    </row>
    <row r="61" spans="1:13" x14ac:dyDescent="0.15">
      <c r="A61" s="74" t="s">
        <v>200</v>
      </c>
      <c r="B61" s="75">
        <f>floors!$C$2</f>
        <v>20019</v>
      </c>
      <c r="C61" s="76" t="str">
        <f ca="1">VLOOKUP($B61,OFFSET([2]quests!$A$1,0,0,COUNTA([2]quests!$A:$A),MATCH(C$1,[2]quests!$1:$1,0)-MATCH($B$1,[2]quests!$1:$1,0)+1),MATCH(C$1,[2]quests!$1:$1,0)-MATCH($B$1,[2]quests!$1:$1,0)+1,FALSE)</f>
        <v>灼熱の舞姫</v>
      </c>
      <c r="D61" s="76" t="str">
        <f ca="1">VLOOKUP($B61,OFFSET([2]quests!$A$1,0,0,COUNTA([2]quests!$A:$A),MATCH(D$1,[2]quests!$1:$1,0)-MATCH($B$1,[2]quests!$1:$1,0)+1),MATCH(D$1,[2]quests!$1:$1,0)-MATCH($B$1,[2]quests!$1:$1,0)+1,FALSE)</f>
        <v>平安01</v>
      </c>
      <c r="E61" s="80">
        <v>3</v>
      </c>
      <c r="F61" s="76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【上級】灼熱の舞姫</v>
      </c>
      <c r="G61" s="76" t="str">
        <f ca="1">VLOOKUP($B61&amp;"_"&amp;$E61,OFFSET([2]stages!$A$1,0,0,COUNTA([2]stages!$A:$A),MATCH(G$1,[2]stages!$2:$2,0)-MATCH("temp_stage",[2]stages!$2:$2,0)+1),MATCH(G$1,[2]stages!$2:$2,0)-MATCH("temp_stage",[2]stages!$2:$2,0)+1,FALSE)</f>
        <v>平安01</v>
      </c>
      <c r="H61" s="78">
        <v>0</v>
      </c>
      <c r="I61" s="89">
        <v>6</v>
      </c>
      <c r="J61" s="77" t="s">
        <v>197</v>
      </c>
      <c r="K61" s="86" t="str">
        <f>VLOOKUP(I61,[7]stage_hints!$A:$C,3,FALSE)</f>
        <v>ユニット強化の属性ボーナス</v>
      </c>
      <c r="L61" s="87" t="str">
        <f>VLOOKUP(I61,[7]stage_hints!$A:$D,4,FALSE)</f>
        <v>同属性ユニットを強化素材にすると_x000D_経験値が多くもらえます</v>
      </c>
      <c r="M61" s="51" t="s">
        <v>210</v>
      </c>
    </row>
    <row r="62" spans="1:13" x14ac:dyDescent="0.15">
      <c r="A62" s="74" t="s">
        <v>200</v>
      </c>
      <c r="B62" s="75">
        <f>floors!$C$2</f>
        <v>20019</v>
      </c>
      <c r="C62" s="76" t="str">
        <f ca="1">VLOOKUP($B62,OFFSET([2]quests!$A$1,0,0,COUNTA([2]quests!$A:$A),MATCH(C$1,[2]quests!$1:$1,0)-MATCH($B$1,[2]quests!$1:$1,0)+1),MATCH(C$1,[2]quests!$1:$1,0)-MATCH($B$1,[2]quests!$1:$1,0)+1,FALSE)</f>
        <v>灼熱の舞姫</v>
      </c>
      <c r="D62" s="76" t="str">
        <f ca="1">VLOOKUP($B62,OFFSET([2]quests!$A$1,0,0,COUNTA([2]quests!$A:$A),MATCH(D$1,[2]quests!$1:$1,0)-MATCH($B$1,[2]quests!$1:$1,0)+1),MATCH(D$1,[2]quests!$1:$1,0)-MATCH($B$1,[2]quests!$1:$1,0)+1,FALSE)</f>
        <v>平安01</v>
      </c>
      <c r="E62" s="80">
        <v>3</v>
      </c>
      <c r="F62" s="76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【上級】灼熱の舞姫</v>
      </c>
      <c r="G62" s="76" t="str">
        <f ca="1">VLOOKUP($B62&amp;"_"&amp;$E62,OFFSET([2]stages!$A$1,0,0,COUNTA([2]stages!$A:$A),MATCH(G$1,[2]stages!$2:$2,0)-MATCH("temp_stage",[2]stages!$2:$2,0)+1),MATCH(G$1,[2]stages!$2:$2,0)-MATCH("temp_stage",[2]stages!$2:$2,0)+1,FALSE)</f>
        <v>平安01</v>
      </c>
      <c r="H62" s="78">
        <v>0</v>
      </c>
      <c r="I62" s="89">
        <v>7</v>
      </c>
      <c r="J62" s="77" t="s">
        <v>197</v>
      </c>
      <c r="K62" s="86" t="str">
        <f>VLOOKUP(I62,[7]stage_hints!$A:$C,3,FALSE)</f>
        <v>メタルダックで経験値を獲得</v>
      </c>
      <c r="L62" s="87" t="str">
        <f>VLOOKUP(I62,[7]stage_hints!$A:$D,4,FALSE)</f>
        <v>「メタルなアヒル」を強化素材にすると_x000D_大量の経験値がもらえます</v>
      </c>
      <c r="M62" s="51" t="s">
        <v>210</v>
      </c>
    </row>
    <row r="63" spans="1:13" x14ac:dyDescent="0.15">
      <c r="A63" s="74" t="s">
        <v>200</v>
      </c>
      <c r="B63" s="75">
        <f>floors!$C$2</f>
        <v>20019</v>
      </c>
      <c r="C63" s="76" t="str">
        <f ca="1">VLOOKUP($B63,OFFSET([2]quests!$A$1,0,0,COUNTA([2]quests!$A:$A),MATCH(C$1,[2]quests!$1:$1,0)-MATCH($B$1,[2]quests!$1:$1,0)+1),MATCH(C$1,[2]quests!$1:$1,0)-MATCH($B$1,[2]quests!$1:$1,0)+1,FALSE)</f>
        <v>灼熱の舞姫</v>
      </c>
      <c r="D63" s="76" t="str">
        <f ca="1">VLOOKUP($B63,OFFSET([2]quests!$A$1,0,0,COUNTA([2]quests!$A:$A),MATCH(D$1,[2]quests!$1:$1,0)-MATCH($B$1,[2]quests!$1:$1,0)+1),MATCH(D$1,[2]quests!$1:$1,0)-MATCH($B$1,[2]quests!$1:$1,0)+1,FALSE)</f>
        <v>平安01</v>
      </c>
      <c r="E63" s="80">
        <v>3</v>
      </c>
      <c r="F63" s="76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【上級】灼熱の舞姫</v>
      </c>
      <c r="G63" s="76" t="str">
        <f ca="1">VLOOKUP($B63&amp;"_"&amp;$E63,OFFSET([2]stages!$A$1,0,0,COUNTA([2]stages!$A:$A),MATCH(G$1,[2]stages!$2:$2,0)-MATCH("temp_stage",[2]stages!$2:$2,0)+1),MATCH(G$1,[2]stages!$2:$2,0)-MATCH("temp_stage",[2]stages!$2:$2,0)+1,FALSE)</f>
        <v>平安01</v>
      </c>
      <c r="H63" s="78">
        <v>0</v>
      </c>
      <c r="I63" s="89">
        <v>8</v>
      </c>
      <c r="J63" s="77" t="s">
        <v>197</v>
      </c>
      <c r="K63" s="86" t="str">
        <f>VLOOKUP(I63,[7]stage_hints!$A:$C,3,FALSE)</f>
        <v>ゲリラクエストは要チェック</v>
      </c>
      <c r="L63" s="87" t="str">
        <f>VLOOKUP(I63,[7]stage_hints!$A:$D,4,FALSE)</f>
        <v>時間限定の「アヒル捕獲作戦」では_x000D_経験値素材ユニットが多く手に入ります</v>
      </c>
      <c r="M63" s="51" t="s">
        <v>210</v>
      </c>
    </row>
    <row r="64" spans="1:13" x14ac:dyDescent="0.15">
      <c r="A64" s="74" t="s">
        <v>200</v>
      </c>
      <c r="B64" s="75">
        <f>floors!$C$2</f>
        <v>20019</v>
      </c>
      <c r="C64" s="76" t="str">
        <f ca="1">VLOOKUP($B64,OFFSET([2]quests!$A$1,0,0,COUNTA([2]quests!$A:$A),MATCH(C$1,[2]quests!$1:$1,0)-MATCH($B$1,[2]quests!$1:$1,0)+1),MATCH(C$1,[2]quests!$1:$1,0)-MATCH($B$1,[2]quests!$1:$1,0)+1,FALSE)</f>
        <v>灼熱の舞姫</v>
      </c>
      <c r="D64" s="76" t="str">
        <f ca="1">VLOOKUP($B64,OFFSET([2]quests!$A$1,0,0,COUNTA([2]quests!$A:$A),MATCH(D$1,[2]quests!$1:$1,0)-MATCH($B$1,[2]quests!$1:$1,0)+1),MATCH(D$1,[2]quests!$1:$1,0)-MATCH($B$1,[2]quests!$1:$1,0)+1,FALSE)</f>
        <v>平安01</v>
      </c>
      <c r="E64" s="80">
        <v>3</v>
      </c>
      <c r="F64" s="76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【上級】灼熱の舞姫</v>
      </c>
      <c r="G64" s="76" t="str">
        <f ca="1">VLOOKUP($B64&amp;"_"&amp;$E64,OFFSET([2]stages!$A$1,0,0,COUNTA([2]stages!$A:$A),MATCH(G$1,[2]stages!$2:$2,0)-MATCH("temp_stage",[2]stages!$2:$2,0)+1),MATCH(G$1,[2]stages!$2:$2,0)-MATCH("temp_stage",[2]stages!$2:$2,0)+1,FALSE)</f>
        <v>平安01</v>
      </c>
      <c r="H64" s="78">
        <v>0</v>
      </c>
      <c r="I64" s="89">
        <v>9</v>
      </c>
      <c r="J64" s="77" t="s">
        <v>197</v>
      </c>
      <c r="K64" s="86" t="str">
        <f>VLOOKUP(I64,[7]stage_hints!$A:$C,3,FALSE)</f>
        <v>ゴールドダックでビットを獲得</v>
      </c>
      <c r="L64" s="87" t="str">
        <f>VLOOKUP(I64,[7]stage_hints!$A:$D,4,FALSE)</f>
        <v>「ゴールドなアヒル」を売却すると_x000D_大量のビットがもらえます</v>
      </c>
      <c r="M64" s="51" t="s">
        <v>210</v>
      </c>
    </row>
    <row r="65" spans="1:13" x14ac:dyDescent="0.15">
      <c r="A65" s="74" t="s">
        <v>200</v>
      </c>
      <c r="B65" s="75">
        <f>floors!$C$2</f>
        <v>20019</v>
      </c>
      <c r="C65" s="76" t="str">
        <f ca="1">VLOOKUP($B65,OFFSET([2]quests!$A$1,0,0,COUNTA([2]quests!$A:$A),MATCH(C$1,[2]quests!$1:$1,0)-MATCH($B$1,[2]quests!$1:$1,0)+1),MATCH(C$1,[2]quests!$1:$1,0)-MATCH($B$1,[2]quests!$1:$1,0)+1,FALSE)</f>
        <v>灼熱の舞姫</v>
      </c>
      <c r="D65" s="76" t="str">
        <f ca="1">VLOOKUP($B65,OFFSET([2]quests!$A$1,0,0,COUNTA([2]quests!$A:$A),MATCH(D$1,[2]quests!$1:$1,0)-MATCH($B$1,[2]quests!$1:$1,0)+1),MATCH(D$1,[2]quests!$1:$1,0)-MATCH($B$1,[2]quests!$1:$1,0)+1,FALSE)</f>
        <v>平安01</v>
      </c>
      <c r="E65" s="80">
        <v>3</v>
      </c>
      <c r="F65" s="76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【上級】灼熱の舞姫</v>
      </c>
      <c r="G65" s="76" t="str">
        <f ca="1">VLOOKUP($B65&amp;"_"&amp;$E65,OFFSET([2]stages!$A$1,0,0,COUNTA([2]stages!$A:$A),MATCH(G$1,[2]stages!$2:$2,0)-MATCH("temp_stage",[2]stages!$2:$2,0)+1),MATCH(G$1,[2]stages!$2:$2,0)-MATCH("temp_stage",[2]stages!$2:$2,0)+1,FALSE)</f>
        <v>平安01</v>
      </c>
      <c r="H65" s="78">
        <v>0</v>
      </c>
      <c r="I65" s="89">
        <v>10</v>
      </c>
      <c r="J65" s="77" t="s">
        <v>197</v>
      </c>
      <c r="K65" s="86" t="str">
        <f>VLOOKUP(I65,[7]stage_hints!$A:$C,3,FALSE)</f>
        <v>土日に大量のビットを獲得</v>
      </c>
      <c r="L65" s="87" t="str">
        <f>VLOOKUP(I65,[7]stage_hints!$A:$D,4,FALSE)</f>
        <v>土日限定の「ゴールドカジノ」では_x000D_売却素材ユニットが多く手に入ります</v>
      </c>
      <c r="M65" s="51" t="s">
        <v>210</v>
      </c>
    </row>
    <row r="66" spans="1:13" x14ac:dyDescent="0.15">
      <c r="A66" s="74" t="s">
        <v>200</v>
      </c>
      <c r="B66" s="75">
        <f>floors!$C$2</f>
        <v>20019</v>
      </c>
      <c r="C66" s="76" t="str">
        <f ca="1">VLOOKUP($B66,OFFSET([2]quests!$A$1,0,0,COUNTA([2]quests!$A:$A),MATCH(C$1,[2]quests!$1:$1,0)-MATCH($B$1,[2]quests!$1:$1,0)+1),MATCH(C$1,[2]quests!$1:$1,0)-MATCH($B$1,[2]quests!$1:$1,0)+1,FALSE)</f>
        <v>灼熱の舞姫</v>
      </c>
      <c r="D66" s="76" t="str">
        <f ca="1">VLOOKUP($B66,OFFSET([2]quests!$A$1,0,0,COUNTA([2]quests!$A:$A),MATCH(D$1,[2]quests!$1:$1,0)-MATCH($B$1,[2]quests!$1:$1,0)+1),MATCH(D$1,[2]quests!$1:$1,0)-MATCH($B$1,[2]quests!$1:$1,0)+1,FALSE)</f>
        <v>平安01</v>
      </c>
      <c r="E66" s="80">
        <v>3</v>
      </c>
      <c r="F66" s="76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【上級】灼熱の舞姫</v>
      </c>
      <c r="G66" s="76" t="str">
        <f ca="1">VLOOKUP($B66&amp;"_"&amp;$E66,OFFSET([2]stages!$A$1,0,0,COUNTA([2]stages!$A:$A),MATCH(G$1,[2]stages!$2:$2,0)-MATCH("temp_stage",[2]stages!$2:$2,0)+1),MATCH(G$1,[2]stages!$2:$2,0)-MATCH("temp_stage",[2]stages!$2:$2,0)+1,FALSE)</f>
        <v>平安01</v>
      </c>
      <c r="H66" s="78">
        <v>0</v>
      </c>
      <c r="I66" s="89">
        <v>11</v>
      </c>
      <c r="J66" s="77" t="s">
        <v>197</v>
      </c>
      <c r="K66" s="86" t="str">
        <f>VLOOKUP(I66,[7]stage_hints!$A:$C,3,FALSE)</f>
        <v>ランク解放クエスト</v>
      </c>
      <c r="L66" s="87" t="str">
        <f>VLOOKUP(I66,[7]stage_hints!$A:$D,4,FALSE)</f>
        <v>一定ランクに到達すると_x000D_報酬付きのランク開放クエストが現れます</v>
      </c>
      <c r="M66" s="51" t="s">
        <v>210</v>
      </c>
    </row>
    <row r="67" spans="1:13" x14ac:dyDescent="0.15">
      <c r="A67" s="74" t="s">
        <v>200</v>
      </c>
      <c r="B67" s="75">
        <f>floors!$C$2</f>
        <v>20019</v>
      </c>
      <c r="C67" s="76" t="str">
        <f ca="1">VLOOKUP($B67,OFFSET([2]quests!$A$1,0,0,COUNTA([2]quests!$A:$A),MATCH(C$1,[2]quests!$1:$1,0)-MATCH($B$1,[2]quests!$1:$1,0)+1),MATCH(C$1,[2]quests!$1:$1,0)-MATCH($B$1,[2]quests!$1:$1,0)+1,FALSE)</f>
        <v>灼熱の舞姫</v>
      </c>
      <c r="D67" s="76" t="str">
        <f ca="1">VLOOKUP($B67,OFFSET([2]quests!$A$1,0,0,COUNTA([2]quests!$A:$A),MATCH(D$1,[2]quests!$1:$1,0)-MATCH($B$1,[2]quests!$1:$1,0)+1),MATCH(D$1,[2]quests!$1:$1,0)-MATCH($B$1,[2]quests!$1:$1,0)+1,FALSE)</f>
        <v>平安01</v>
      </c>
      <c r="E67" s="80">
        <v>3</v>
      </c>
      <c r="F67" s="76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【上級】灼熱の舞姫</v>
      </c>
      <c r="G67" s="76" t="str">
        <f ca="1">VLOOKUP($B67&amp;"_"&amp;$E67,OFFSET([2]stages!$A$1,0,0,COUNTA([2]stages!$A:$A),MATCH(G$1,[2]stages!$2:$2,0)-MATCH("temp_stage",[2]stages!$2:$2,0)+1),MATCH(G$1,[2]stages!$2:$2,0)-MATCH("temp_stage",[2]stages!$2:$2,0)+1,FALSE)</f>
        <v>平安01</v>
      </c>
      <c r="H67" s="78">
        <v>0</v>
      </c>
      <c r="I67" s="89">
        <v>12</v>
      </c>
      <c r="J67" s="77" t="s">
        <v>197</v>
      </c>
      <c r="K67" s="86" t="str">
        <f>VLOOKUP(I67,[7]stage_hints!$A:$C,3,FALSE)</f>
        <v>ユニットのお気に入り登録</v>
      </c>
      <c r="L67" s="87" t="str">
        <f>VLOOKUP(I67,[7]stage_hints!$A:$D,4,FALSE)</f>
        <v>大事なユニットを誤って消さないように_x000D_フォルダから「お気に入り登録」しましょう</v>
      </c>
      <c r="M67" s="51" t="s">
        <v>210</v>
      </c>
    </row>
    <row r="68" spans="1:13" x14ac:dyDescent="0.15">
      <c r="A68" s="74" t="s">
        <v>200</v>
      </c>
      <c r="B68" s="75">
        <f>floors!$C$2</f>
        <v>20019</v>
      </c>
      <c r="C68" s="76" t="str">
        <f ca="1">VLOOKUP($B68,OFFSET([2]quests!$A$1,0,0,COUNTA([2]quests!$A:$A),MATCH(C$1,[2]quests!$1:$1,0)-MATCH($B$1,[2]quests!$1:$1,0)+1),MATCH(C$1,[2]quests!$1:$1,0)-MATCH($B$1,[2]quests!$1:$1,0)+1,FALSE)</f>
        <v>灼熱の舞姫</v>
      </c>
      <c r="D68" s="76" t="str">
        <f ca="1">VLOOKUP($B68,OFFSET([2]quests!$A$1,0,0,COUNTA([2]quests!$A:$A),MATCH(D$1,[2]quests!$1:$1,0)-MATCH($B$1,[2]quests!$1:$1,0)+1),MATCH(D$1,[2]quests!$1:$1,0)-MATCH($B$1,[2]quests!$1:$1,0)+1,FALSE)</f>
        <v>平安01</v>
      </c>
      <c r="E68" s="80">
        <v>3</v>
      </c>
      <c r="F68" s="76" t="str">
        <f ca="1">VLOOKUP($B68&amp;"_"&amp;$E68,OFFSET([2]stages!$A$1,0,0,COUNTA([2]stages!$A:$A),MATCH(F$1,[2]stages!$2:$2,0)-MATCH("temp_stage",[2]stages!$2:$2,0)+1),MATCH(F$1,[2]stages!$2:$2,0)-MATCH("temp_stage",[2]stages!$2:$2,0)+1,FALSE)</f>
        <v>【上級】灼熱の舞姫</v>
      </c>
      <c r="G68" s="76" t="str">
        <f ca="1">VLOOKUP($B68&amp;"_"&amp;$E68,OFFSET([2]stages!$A$1,0,0,COUNTA([2]stages!$A:$A),MATCH(G$1,[2]stages!$2:$2,0)-MATCH("temp_stage",[2]stages!$2:$2,0)+1),MATCH(G$1,[2]stages!$2:$2,0)-MATCH("temp_stage",[2]stages!$2:$2,0)+1,FALSE)</f>
        <v>平安01</v>
      </c>
      <c r="H68" s="78">
        <v>0</v>
      </c>
      <c r="I68" s="89">
        <v>13</v>
      </c>
      <c r="J68" s="77" t="s">
        <v>197</v>
      </c>
      <c r="K68" s="86" t="str">
        <f>VLOOKUP(I68,[7]stage_hints!$A:$C,3,FALSE)</f>
        <v>ユニットの覚醒</v>
      </c>
      <c r="L68" s="87" t="str">
        <f>VLOOKUP(I68,[7]stage_hints!$A:$D,4,FALSE)</f>
        <v>ユニットを覚醒させると_x000D_比べものにならない強さが手に入ります</v>
      </c>
      <c r="M68" s="51" t="s">
        <v>210</v>
      </c>
    </row>
    <row r="69" spans="1:13" x14ac:dyDescent="0.15">
      <c r="A69" s="74" t="s">
        <v>200</v>
      </c>
      <c r="B69" s="75">
        <f>floors!$C$2</f>
        <v>20019</v>
      </c>
      <c r="C69" s="76" t="str">
        <f ca="1">VLOOKUP($B69,OFFSET([2]quests!$A$1,0,0,COUNTA([2]quests!$A:$A),MATCH(C$1,[2]quests!$1:$1,0)-MATCH($B$1,[2]quests!$1:$1,0)+1),MATCH(C$1,[2]quests!$1:$1,0)-MATCH($B$1,[2]quests!$1:$1,0)+1,FALSE)</f>
        <v>灼熱の舞姫</v>
      </c>
      <c r="D69" s="76" t="str">
        <f ca="1">VLOOKUP($B69,OFFSET([2]quests!$A$1,0,0,COUNTA([2]quests!$A:$A),MATCH(D$1,[2]quests!$1:$1,0)-MATCH($B$1,[2]quests!$1:$1,0)+1),MATCH(D$1,[2]quests!$1:$1,0)-MATCH($B$1,[2]quests!$1:$1,0)+1,FALSE)</f>
        <v>平安01</v>
      </c>
      <c r="E69" s="80">
        <v>3</v>
      </c>
      <c r="F69" s="76" t="str">
        <f ca="1">VLOOKUP($B69&amp;"_"&amp;$E69,OFFSET([2]stages!$A$1,0,0,COUNTA([2]stages!$A:$A),MATCH(F$1,[2]stages!$2:$2,0)-MATCH("temp_stage",[2]stages!$2:$2,0)+1),MATCH(F$1,[2]stages!$2:$2,0)-MATCH("temp_stage",[2]stages!$2:$2,0)+1,FALSE)</f>
        <v>【上級】灼熱の舞姫</v>
      </c>
      <c r="G69" s="76" t="str">
        <f ca="1">VLOOKUP($B69&amp;"_"&amp;$E69,OFFSET([2]stages!$A$1,0,0,COUNTA([2]stages!$A:$A),MATCH(G$1,[2]stages!$2:$2,0)-MATCH("temp_stage",[2]stages!$2:$2,0)+1),MATCH(G$1,[2]stages!$2:$2,0)-MATCH("temp_stage",[2]stages!$2:$2,0)+1,FALSE)</f>
        <v>平安01</v>
      </c>
      <c r="H69" s="78">
        <v>0</v>
      </c>
      <c r="I69" s="89">
        <v>14</v>
      </c>
      <c r="J69" s="77" t="s">
        <v>197</v>
      </c>
      <c r="K69" s="86" t="str">
        <f>VLOOKUP(I69,[7]stage_hints!$A:$C,3,FALSE)</f>
        <v>覚醒するにはレベルを最大に</v>
      </c>
      <c r="L69" s="87" t="str">
        <f>VLOOKUP(I69,[7]stage_hints!$A:$D,4,FALSE)</f>
        <v>覚醒するにはユニットのレベルを_x000D_最大まで上げる必要があります</v>
      </c>
      <c r="M69" s="51" t="s">
        <v>210</v>
      </c>
    </row>
    <row r="70" spans="1:13" x14ac:dyDescent="0.15">
      <c r="A70" s="74" t="s">
        <v>200</v>
      </c>
      <c r="B70" s="75">
        <f>floors!$C$2</f>
        <v>20019</v>
      </c>
      <c r="C70" s="76" t="str">
        <f ca="1">VLOOKUP($B70,OFFSET([2]quests!$A$1,0,0,COUNTA([2]quests!$A:$A),MATCH(C$1,[2]quests!$1:$1,0)-MATCH($B$1,[2]quests!$1:$1,0)+1),MATCH(C$1,[2]quests!$1:$1,0)-MATCH($B$1,[2]quests!$1:$1,0)+1,FALSE)</f>
        <v>灼熱の舞姫</v>
      </c>
      <c r="D70" s="76" t="str">
        <f ca="1">VLOOKUP($B70,OFFSET([2]quests!$A$1,0,0,COUNTA([2]quests!$A:$A),MATCH(D$1,[2]quests!$1:$1,0)-MATCH($B$1,[2]quests!$1:$1,0)+1),MATCH(D$1,[2]quests!$1:$1,0)-MATCH($B$1,[2]quests!$1:$1,0)+1,FALSE)</f>
        <v>平安01</v>
      </c>
      <c r="E70" s="80">
        <v>3</v>
      </c>
      <c r="F70" s="76" t="str">
        <f ca="1">VLOOKUP($B70&amp;"_"&amp;$E70,OFFSET([2]stages!$A$1,0,0,COUNTA([2]stages!$A:$A),MATCH(F$1,[2]stages!$2:$2,0)-MATCH("temp_stage",[2]stages!$2:$2,0)+1),MATCH(F$1,[2]stages!$2:$2,0)-MATCH("temp_stage",[2]stages!$2:$2,0)+1,FALSE)</f>
        <v>【上級】灼熱の舞姫</v>
      </c>
      <c r="G70" s="76" t="str">
        <f ca="1">VLOOKUP($B70&amp;"_"&amp;$E70,OFFSET([2]stages!$A$1,0,0,COUNTA([2]stages!$A:$A),MATCH(G$1,[2]stages!$2:$2,0)-MATCH("temp_stage",[2]stages!$2:$2,0)+1),MATCH(G$1,[2]stages!$2:$2,0)-MATCH("temp_stage",[2]stages!$2:$2,0)+1,FALSE)</f>
        <v>平安01</v>
      </c>
      <c r="H70" s="78">
        <v>0</v>
      </c>
      <c r="I70" s="89">
        <v>15</v>
      </c>
      <c r="J70" s="77" t="s">
        <v>197</v>
      </c>
      <c r="K70" s="86" t="str">
        <f>VLOOKUP(I70,[7]stage_hints!$A:$C,3,FALSE)</f>
        <v>覚醒素材を獲得</v>
      </c>
      <c r="L70" s="87" t="str">
        <f>VLOOKUP(I70,[7]stage_hints!$A:$D,4,FALSE)</f>
        <v>「曜日クエスト」では_x000D_ユニットの覚醒に必要な素材が手に入ります</v>
      </c>
      <c r="M70" s="51" t="s">
        <v>210</v>
      </c>
    </row>
    <row r="71" spans="1:13" x14ac:dyDescent="0.15">
      <c r="A71" s="74" t="s">
        <v>200</v>
      </c>
      <c r="B71" s="75">
        <f>floors!$C$2</f>
        <v>20019</v>
      </c>
      <c r="C71" s="76" t="str">
        <f ca="1">VLOOKUP($B71,OFFSET([2]quests!$A$1,0,0,COUNTA([2]quests!$A:$A),MATCH(C$1,[2]quests!$1:$1,0)-MATCH($B$1,[2]quests!$1:$1,0)+1),MATCH(C$1,[2]quests!$1:$1,0)-MATCH($B$1,[2]quests!$1:$1,0)+1,FALSE)</f>
        <v>灼熱の舞姫</v>
      </c>
      <c r="D71" s="76" t="str">
        <f ca="1">VLOOKUP($B71,OFFSET([2]quests!$A$1,0,0,COUNTA([2]quests!$A:$A),MATCH(D$1,[2]quests!$1:$1,0)-MATCH($B$1,[2]quests!$1:$1,0)+1),MATCH(D$1,[2]quests!$1:$1,0)-MATCH($B$1,[2]quests!$1:$1,0)+1,FALSE)</f>
        <v>平安01</v>
      </c>
      <c r="E71" s="80">
        <v>3</v>
      </c>
      <c r="F71" s="76" t="str">
        <f ca="1">VLOOKUP($B71&amp;"_"&amp;$E71,OFFSET([2]stages!$A$1,0,0,COUNTA([2]stages!$A:$A),MATCH(F$1,[2]stages!$2:$2,0)-MATCH("temp_stage",[2]stages!$2:$2,0)+1),MATCH(F$1,[2]stages!$2:$2,0)-MATCH("temp_stage",[2]stages!$2:$2,0)+1,FALSE)</f>
        <v>【上級】灼熱の舞姫</v>
      </c>
      <c r="G71" s="76" t="str">
        <f ca="1">VLOOKUP($B71&amp;"_"&amp;$E71,OFFSET([2]stages!$A$1,0,0,COUNTA([2]stages!$A:$A),MATCH(G$1,[2]stages!$2:$2,0)-MATCH("temp_stage",[2]stages!$2:$2,0)+1),MATCH(G$1,[2]stages!$2:$2,0)-MATCH("temp_stage",[2]stages!$2:$2,0)+1,FALSE)</f>
        <v>平安01</v>
      </c>
      <c r="H71" s="78">
        <v>0</v>
      </c>
      <c r="I71" s="89">
        <v>16</v>
      </c>
      <c r="J71" s="77" t="s">
        <v>197</v>
      </c>
      <c r="K71" s="86" t="str">
        <f>VLOOKUP(I71,[7]stage_hints!$A:$C,3,FALSE)</f>
        <v>マルチプレイのメリット（その1）</v>
      </c>
      <c r="L71" s="87" t="str">
        <f>VLOOKUP(I71,[7]stage_hints!$A:$D,4,FALSE)</f>
        <v>他のプレイヤーとマルチプレイで遊ぶと_x000D_ポリゴンがもらえます（100人まで）</v>
      </c>
      <c r="M71" s="51" t="s">
        <v>210</v>
      </c>
    </row>
    <row r="72" spans="1:13" x14ac:dyDescent="0.15">
      <c r="A72" s="74" t="s">
        <v>200</v>
      </c>
      <c r="B72" s="75">
        <f>floors!$C$2</f>
        <v>20019</v>
      </c>
      <c r="C72" s="76" t="str">
        <f ca="1">VLOOKUP($B72,OFFSET([2]quests!$A$1,0,0,COUNTA([2]quests!$A:$A),MATCH(C$1,[2]quests!$1:$1,0)-MATCH($B$1,[2]quests!$1:$1,0)+1),MATCH(C$1,[2]quests!$1:$1,0)-MATCH($B$1,[2]quests!$1:$1,0)+1,FALSE)</f>
        <v>灼熱の舞姫</v>
      </c>
      <c r="D72" s="76" t="str">
        <f ca="1">VLOOKUP($B72,OFFSET([2]quests!$A$1,0,0,COUNTA([2]quests!$A:$A),MATCH(D$1,[2]quests!$1:$1,0)-MATCH($B$1,[2]quests!$1:$1,0)+1),MATCH(D$1,[2]quests!$1:$1,0)-MATCH($B$1,[2]quests!$1:$1,0)+1,FALSE)</f>
        <v>平安01</v>
      </c>
      <c r="E72" s="80">
        <v>3</v>
      </c>
      <c r="F72" s="76" t="str">
        <f ca="1">VLOOKUP($B72&amp;"_"&amp;$E72,OFFSET([2]stages!$A$1,0,0,COUNTA([2]stages!$A:$A),MATCH(F$1,[2]stages!$2:$2,0)-MATCH("temp_stage",[2]stages!$2:$2,0)+1),MATCH(F$1,[2]stages!$2:$2,0)-MATCH("temp_stage",[2]stages!$2:$2,0)+1,FALSE)</f>
        <v>【上級】灼熱の舞姫</v>
      </c>
      <c r="G72" s="76" t="str">
        <f ca="1">VLOOKUP($B72&amp;"_"&amp;$E72,OFFSET([2]stages!$A$1,0,0,COUNTA([2]stages!$A:$A),MATCH(G$1,[2]stages!$2:$2,0)-MATCH("temp_stage",[2]stages!$2:$2,0)+1),MATCH(G$1,[2]stages!$2:$2,0)-MATCH("temp_stage",[2]stages!$2:$2,0)+1,FALSE)</f>
        <v>平安01</v>
      </c>
      <c r="H72" s="78">
        <v>0</v>
      </c>
      <c r="I72" s="89">
        <v>17</v>
      </c>
      <c r="J72" s="77" t="s">
        <v>197</v>
      </c>
      <c r="K72" s="86" t="str">
        <f>VLOOKUP(I72,[7]stage_hints!$A:$C,3,FALSE)</f>
        <v>リンクガチャ</v>
      </c>
      <c r="L72" s="87" t="str">
        <f>VLOOKUP(I72,[7]stage_hints!$A:$D,4,FALSE)</f>
        <v>無料のリンクガチャを回して_x000D_経験値素材や売却素材を獲得しましょう</v>
      </c>
      <c r="M72" s="51" t="s">
        <v>210</v>
      </c>
    </row>
    <row r="73" spans="1:13" x14ac:dyDescent="0.15">
      <c r="A73" s="74" t="s">
        <v>200</v>
      </c>
      <c r="B73" s="75">
        <f>floors!$C$2</f>
        <v>20019</v>
      </c>
      <c r="C73" s="76" t="str">
        <f ca="1">VLOOKUP($B73,OFFSET([2]quests!$A$1,0,0,COUNTA([2]quests!$A:$A),MATCH(C$1,[2]quests!$1:$1,0)-MATCH($B$1,[2]quests!$1:$1,0)+1),MATCH(C$1,[2]quests!$1:$1,0)-MATCH($B$1,[2]quests!$1:$1,0)+1,FALSE)</f>
        <v>灼熱の舞姫</v>
      </c>
      <c r="D73" s="76" t="str">
        <f ca="1">VLOOKUP($B73,OFFSET([2]quests!$A$1,0,0,COUNTA([2]quests!$A:$A),MATCH(D$1,[2]quests!$1:$1,0)-MATCH($B$1,[2]quests!$1:$1,0)+1),MATCH(D$1,[2]quests!$1:$1,0)-MATCH($B$1,[2]quests!$1:$1,0)+1,FALSE)</f>
        <v>平安01</v>
      </c>
      <c r="E73" s="80">
        <v>3</v>
      </c>
      <c r="F73" s="76" t="str">
        <f ca="1">VLOOKUP($B73&amp;"_"&amp;$E73,OFFSET([2]stages!$A$1,0,0,COUNTA([2]stages!$A:$A),MATCH(F$1,[2]stages!$2:$2,0)-MATCH("temp_stage",[2]stages!$2:$2,0)+1),MATCH(F$1,[2]stages!$2:$2,0)-MATCH("temp_stage",[2]stages!$2:$2,0)+1,FALSE)</f>
        <v>【上級】灼熱の舞姫</v>
      </c>
      <c r="G73" s="76" t="str">
        <f ca="1">VLOOKUP($B73&amp;"_"&amp;$E73,OFFSET([2]stages!$A$1,0,0,COUNTA([2]stages!$A:$A),MATCH(G$1,[2]stages!$2:$2,0)-MATCH("temp_stage",[2]stages!$2:$2,0)+1),MATCH(G$1,[2]stages!$2:$2,0)-MATCH("temp_stage",[2]stages!$2:$2,0)+1,FALSE)</f>
        <v>平安01</v>
      </c>
      <c r="H73" s="78">
        <v>0</v>
      </c>
      <c r="I73" s="89">
        <v>18</v>
      </c>
      <c r="J73" s="77" t="s">
        <v>197</v>
      </c>
      <c r="K73" s="86" t="str">
        <f>VLOOKUP(I73,[7]stage_hints!$A:$C,3,FALSE)</f>
        <v>マルチプレイのメリット（その2）</v>
      </c>
      <c r="L73" s="87" t="str">
        <f>VLOOKUP(I73,[7]stage_hints!$A:$D,4,FALSE)</f>
        <v>マルチプレイならリンクが2倍もらえます_x000D_リンクガチャをたくさん回しましょう</v>
      </c>
      <c r="M73" s="51" t="s">
        <v>210</v>
      </c>
    </row>
    <row r="74" spans="1:13" x14ac:dyDescent="0.15">
      <c r="A74" s="74" t="s">
        <v>200</v>
      </c>
      <c r="B74" s="75">
        <f>floors!$C$2</f>
        <v>20019</v>
      </c>
      <c r="C74" s="76" t="str">
        <f ca="1">VLOOKUP($B74,OFFSET([2]quests!$A$1,0,0,COUNTA([2]quests!$A:$A),MATCH(C$1,[2]quests!$1:$1,0)-MATCH($B$1,[2]quests!$1:$1,0)+1),MATCH(C$1,[2]quests!$1:$1,0)-MATCH($B$1,[2]quests!$1:$1,0)+1,FALSE)</f>
        <v>灼熱の舞姫</v>
      </c>
      <c r="D74" s="76" t="str">
        <f ca="1">VLOOKUP($B74,OFFSET([2]quests!$A$1,0,0,COUNTA([2]quests!$A:$A),MATCH(D$1,[2]quests!$1:$1,0)-MATCH($B$1,[2]quests!$1:$1,0)+1),MATCH(D$1,[2]quests!$1:$1,0)-MATCH($B$1,[2]quests!$1:$1,0)+1,FALSE)</f>
        <v>平安01</v>
      </c>
      <c r="E74" s="80">
        <v>3</v>
      </c>
      <c r="F74" s="76" t="str">
        <f ca="1">VLOOKUP($B74&amp;"_"&amp;$E74,OFFSET([2]stages!$A$1,0,0,COUNTA([2]stages!$A:$A),MATCH(F$1,[2]stages!$2:$2,0)-MATCH("temp_stage",[2]stages!$2:$2,0)+1),MATCH(F$1,[2]stages!$2:$2,0)-MATCH("temp_stage",[2]stages!$2:$2,0)+1,FALSE)</f>
        <v>【上級】灼熱の舞姫</v>
      </c>
      <c r="G74" s="76" t="str">
        <f ca="1">VLOOKUP($B74&amp;"_"&amp;$E74,OFFSET([2]stages!$A$1,0,0,COUNTA([2]stages!$A:$A),MATCH(G$1,[2]stages!$2:$2,0)-MATCH("temp_stage",[2]stages!$2:$2,0)+1),MATCH(G$1,[2]stages!$2:$2,0)-MATCH("temp_stage",[2]stages!$2:$2,0)+1,FALSE)</f>
        <v>平安01</v>
      </c>
      <c r="H74" s="78">
        <v>0</v>
      </c>
      <c r="I74" s="89">
        <v>19</v>
      </c>
      <c r="J74" s="77" t="s">
        <v>197</v>
      </c>
      <c r="K74" s="86" t="str">
        <f>VLOOKUP(I74,[7]stage_hints!$A:$C,3,FALSE)</f>
        <v>ソロ専用タワーオブザクイーン</v>
      </c>
      <c r="L74" s="87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1" t="s">
        <v>210</v>
      </c>
    </row>
    <row r="75" spans="1:13" x14ac:dyDescent="0.15">
      <c r="A75" s="74" t="s">
        <v>200</v>
      </c>
      <c r="B75" s="75">
        <f>floors!$C$2</f>
        <v>20019</v>
      </c>
      <c r="C75" s="76" t="str">
        <f ca="1">VLOOKUP($B75,OFFSET([2]quests!$A$1,0,0,COUNTA([2]quests!$A:$A),MATCH(C$1,[2]quests!$1:$1,0)-MATCH($B$1,[2]quests!$1:$1,0)+1),MATCH(C$1,[2]quests!$1:$1,0)-MATCH($B$1,[2]quests!$1:$1,0)+1,FALSE)</f>
        <v>灼熱の舞姫</v>
      </c>
      <c r="D75" s="76" t="str">
        <f ca="1">VLOOKUP($B75,OFFSET([2]quests!$A$1,0,0,COUNTA([2]quests!$A:$A),MATCH(D$1,[2]quests!$1:$1,0)-MATCH($B$1,[2]quests!$1:$1,0)+1),MATCH(D$1,[2]quests!$1:$1,0)-MATCH($B$1,[2]quests!$1:$1,0)+1,FALSE)</f>
        <v>平安01</v>
      </c>
      <c r="E75" s="80">
        <v>3</v>
      </c>
      <c r="F75" s="76" t="str">
        <f ca="1">VLOOKUP($B75&amp;"_"&amp;$E75,OFFSET([2]stages!$A$1,0,0,COUNTA([2]stages!$A:$A),MATCH(F$1,[2]stages!$2:$2,0)-MATCH("temp_stage",[2]stages!$2:$2,0)+1),MATCH(F$1,[2]stages!$2:$2,0)-MATCH("temp_stage",[2]stages!$2:$2,0)+1,FALSE)</f>
        <v>【上級】灼熱の舞姫</v>
      </c>
      <c r="G75" s="76" t="str">
        <f ca="1">VLOOKUP($B75&amp;"_"&amp;$E75,OFFSET([2]stages!$A$1,0,0,COUNTA([2]stages!$A:$A),MATCH(G$1,[2]stages!$2:$2,0)-MATCH("temp_stage",[2]stages!$2:$2,0)+1),MATCH(G$1,[2]stages!$2:$2,0)-MATCH("temp_stage",[2]stages!$2:$2,0)+1,FALSE)</f>
        <v>平安01</v>
      </c>
      <c r="H75" s="78">
        <v>0</v>
      </c>
      <c r="I75" s="89">
        <v>20</v>
      </c>
      <c r="J75" s="77" t="s">
        <v>197</v>
      </c>
      <c r="K75" s="86" t="str">
        <f>VLOOKUP(I75,[7]stage_hints!$A:$C,3,FALSE)</f>
        <v>マルチプレイのメリット（その3）</v>
      </c>
      <c r="L75" s="87" t="str">
        <f>VLOOKUP(I75,[7]stage_hints!$A:$D,4,FALSE)</f>
        <v>マルチプレイへの参加はエナジー消費ゼロ_x000D_いつでも好きなだけ遊ぶことができます</v>
      </c>
      <c r="M75" s="51" t="s">
        <v>210</v>
      </c>
    </row>
    <row r="76" spans="1:13" x14ac:dyDescent="0.15">
      <c r="A76" s="74" t="s">
        <v>200</v>
      </c>
      <c r="B76" s="75">
        <f>floors!$C$2</f>
        <v>20019</v>
      </c>
      <c r="C76" s="76" t="str">
        <f ca="1">VLOOKUP($B76,OFFSET([2]quests!$A$1,0,0,COUNTA([2]quests!$A:$A),MATCH(C$1,[2]quests!$1:$1,0)-MATCH($B$1,[2]quests!$1:$1,0)+1),MATCH(C$1,[2]quests!$1:$1,0)-MATCH($B$1,[2]quests!$1:$1,0)+1,FALSE)</f>
        <v>灼熱の舞姫</v>
      </c>
      <c r="D76" s="76" t="str">
        <f ca="1">VLOOKUP($B76,OFFSET([2]quests!$A$1,0,0,COUNTA([2]quests!$A:$A),MATCH(D$1,[2]quests!$1:$1,0)-MATCH($B$1,[2]quests!$1:$1,0)+1),MATCH(D$1,[2]quests!$1:$1,0)-MATCH($B$1,[2]quests!$1:$1,0)+1,FALSE)</f>
        <v>平安01</v>
      </c>
      <c r="E76" s="80">
        <v>3</v>
      </c>
      <c r="F76" s="76" t="str">
        <f ca="1">VLOOKUP($B76&amp;"_"&amp;$E76,OFFSET([2]stages!$A$1,0,0,COUNTA([2]stages!$A:$A),MATCH(F$1,[2]stages!$2:$2,0)-MATCH("temp_stage",[2]stages!$2:$2,0)+1),MATCH(F$1,[2]stages!$2:$2,0)-MATCH("temp_stage",[2]stages!$2:$2,0)+1,FALSE)</f>
        <v>【上級】灼熱の舞姫</v>
      </c>
      <c r="G76" s="76" t="str">
        <f ca="1">VLOOKUP($B76&amp;"_"&amp;$E76,OFFSET([2]stages!$A$1,0,0,COUNTA([2]stages!$A:$A),MATCH(G$1,[2]stages!$2:$2,0)-MATCH("temp_stage",[2]stages!$2:$2,0)+1),MATCH(G$1,[2]stages!$2:$2,0)-MATCH("temp_stage",[2]stages!$2:$2,0)+1,FALSE)</f>
        <v>平安01</v>
      </c>
      <c r="H76" s="78">
        <v>0</v>
      </c>
      <c r="I76" s="89">
        <v>21</v>
      </c>
      <c r="J76" s="77" t="s">
        <v>197</v>
      </c>
      <c r="K76" s="86" t="str">
        <f>VLOOKUP(I76,[7]stage_hints!$A:$C,3,FALSE)</f>
        <v>スキルを有効に</v>
      </c>
      <c r="L76" s="87" t="str">
        <f>VLOOKUP(I76,[7]stage_hints!$A:$D,4,FALSE)</f>
        <v>ターン経過でユニットのスキルが使えます_x000D_強力スキルでバトルを有利に進めましょう</v>
      </c>
      <c r="M76" s="51" t="s">
        <v>210</v>
      </c>
    </row>
    <row r="77" spans="1:13" x14ac:dyDescent="0.15">
      <c r="A77" s="74" t="s">
        <v>200</v>
      </c>
      <c r="B77" s="75">
        <f>floors!$C$2</f>
        <v>20019</v>
      </c>
      <c r="C77" s="76" t="str">
        <f ca="1">VLOOKUP($B77,OFFSET([2]quests!$A$1,0,0,COUNTA([2]quests!$A:$A),MATCH(C$1,[2]quests!$1:$1,0)-MATCH($B$1,[2]quests!$1:$1,0)+1),MATCH(C$1,[2]quests!$1:$1,0)-MATCH($B$1,[2]quests!$1:$1,0)+1,FALSE)</f>
        <v>灼熱の舞姫</v>
      </c>
      <c r="D77" s="76" t="str">
        <f ca="1">VLOOKUP($B77,OFFSET([2]quests!$A$1,0,0,COUNTA([2]quests!$A:$A),MATCH(D$1,[2]quests!$1:$1,0)-MATCH($B$1,[2]quests!$1:$1,0)+1),MATCH(D$1,[2]quests!$1:$1,0)-MATCH($B$1,[2]quests!$1:$1,0)+1,FALSE)</f>
        <v>平安01</v>
      </c>
      <c r="E77" s="80">
        <v>3</v>
      </c>
      <c r="F77" s="76" t="str">
        <f ca="1">VLOOKUP($B77&amp;"_"&amp;$E77,OFFSET([2]stages!$A$1,0,0,COUNTA([2]stages!$A:$A),MATCH(F$1,[2]stages!$2:$2,0)-MATCH("temp_stage",[2]stages!$2:$2,0)+1),MATCH(F$1,[2]stages!$2:$2,0)-MATCH("temp_stage",[2]stages!$2:$2,0)+1,FALSE)</f>
        <v>【上級】灼熱の舞姫</v>
      </c>
      <c r="G77" s="76" t="str">
        <f ca="1">VLOOKUP($B77&amp;"_"&amp;$E77,OFFSET([2]stages!$A$1,0,0,COUNTA([2]stages!$A:$A),MATCH(G$1,[2]stages!$2:$2,0)-MATCH("temp_stage",[2]stages!$2:$2,0)+1),MATCH(G$1,[2]stages!$2:$2,0)-MATCH("temp_stage",[2]stages!$2:$2,0)+1,FALSE)</f>
        <v>平安01</v>
      </c>
      <c r="H77" s="78">
        <v>0</v>
      </c>
      <c r="I77" s="89">
        <v>22</v>
      </c>
      <c r="J77" s="77" t="s">
        <v>197</v>
      </c>
      <c r="K77" s="86" t="str">
        <f>VLOOKUP(I77,[7]stage_hints!$A:$C,3,FALSE)</f>
        <v>フィーバーで一発逆転（その1）</v>
      </c>
      <c r="L77" s="87" t="str">
        <f>VLOOKUP(I77,[7]stage_hints!$A:$D,4,FALSE)</f>
        <v>フィーバーは攻撃と回復を兼ね備えます_x000D_ピンチからの一発逆転を狙いましょう</v>
      </c>
      <c r="M77" s="51" t="s">
        <v>210</v>
      </c>
    </row>
    <row r="78" spans="1:13" x14ac:dyDescent="0.15">
      <c r="A78" s="74" t="s">
        <v>200</v>
      </c>
      <c r="B78" s="75">
        <f>floors!$C$2</f>
        <v>20019</v>
      </c>
      <c r="C78" s="76" t="str">
        <f ca="1">VLOOKUP($B78,OFFSET([2]quests!$A$1,0,0,COUNTA([2]quests!$A:$A),MATCH(C$1,[2]quests!$1:$1,0)-MATCH($B$1,[2]quests!$1:$1,0)+1),MATCH(C$1,[2]quests!$1:$1,0)-MATCH($B$1,[2]quests!$1:$1,0)+1,FALSE)</f>
        <v>灼熱の舞姫</v>
      </c>
      <c r="D78" s="76" t="str">
        <f ca="1">VLOOKUP($B78,OFFSET([2]quests!$A$1,0,0,COUNTA([2]quests!$A:$A),MATCH(D$1,[2]quests!$1:$1,0)-MATCH($B$1,[2]quests!$1:$1,0)+1),MATCH(D$1,[2]quests!$1:$1,0)-MATCH($B$1,[2]quests!$1:$1,0)+1,FALSE)</f>
        <v>平安01</v>
      </c>
      <c r="E78" s="80">
        <v>3</v>
      </c>
      <c r="F78" s="76" t="str">
        <f ca="1">VLOOKUP($B78&amp;"_"&amp;$E78,OFFSET([2]stages!$A$1,0,0,COUNTA([2]stages!$A:$A),MATCH(F$1,[2]stages!$2:$2,0)-MATCH("temp_stage",[2]stages!$2:$2,0)+1),MATCH(F$1,[2]stages!$2:$2,0)-MATCH("temp_stage",[2]stages!$2:$2,0)+1,FALSE)</f>
        <v>【上級】灼熱の舞姫</v>
      </c>
      <c r="G78" s="76" t="str">
        <f ca="1">VLOOKUP($B78&amp;"_"&amp;$E78,OFFSET([2]stages!$A$1,0,0,COUNTA([2]stages!$A:$A),MATCH(G$1,[2]stages!$2:$2,0)-MATCH("temp_stage",[2]stages!$2:$2,0)+1),MATCH(G$1,[2]stages!$2:$2,0)-MATCH("temp_stage",[2]stages!$2:$2,0)+1,FALSE)</f>
        <v>平安01</v>
      </c>
      <c r="H78" s="78">
        <v>0</v>
      </c>
      <c r="I78" s="89">
        <v>23</v>
      </c>
      <c r="J78" s="77" t="s">
        <v>197</v>
      </c>
      <c r="K78" s="86" t="str">
        <f>VLOOKUP(I78,[7]stage_hints!$A:$C,3,FALSE)</f>
        <v>フィーバーで一発逆転（その2）</v>
      </c>
      <c r="L78" s="87" t="str">
        <f>VLOOKUP(I78,[7]stage_hints!$A:$D,4,FALSE)</f>
        <v>フィーバー中は虹色のボムパネルを狙って_x000D_画面上のパネルを一気に破壊しましょう</v>
      </c>
      <c r="M78" s="51" t="s">
        <v>210</v>
      </c>
    </row>
    <row r="79" spans="1:13" x14ac:dyDescent="0.15">
      <c r="A79" s="74" t="s">
        <v>200</v>
      </c>
      <c r="B79" s="75">
        <f>floors!$C$2</f>
        <v>20019</v>
      </c>
      <c r="C79" s="76" t="str">
        <f ca="1">VLOOKUP($B79,OFFSET([2]quests!$A$1,0,0,COUNTA([2]quests!$A:$A),MATCH(C$1,[2]quests!$1:$1,0)-MATCH($B$1,[2]quests!$1:$1,0)+1),MATCH(C$1,[2]quests!$1:$1,0)-MATCH($B$1,[2]quests!$1:$1,0)+1,FALSE)</f>
        <v>灼熱の舞姫</v>
      </c>
      <c r="D79" s="76" t="str">
        <f ca="1">VLOOKUP($B79,OFFSET([2]quests!$A$1,0,0,COUNTA([2]quests!$A:$A),MATCH(D$1,[2]quests!$1:$1,0)-MATCH($B$1,[2]quests!$1:$1,0)+1),MATCH(D$1,[2]quests!$1:$1,0)-MATCH($B$1,[2]quests!$1:$1,0)+1,FALSE)</f>
        <v>平安01</v>
      </c>
      <c r="E79" s="80">
        <v>3</v>
      </c>
      <c r="F79" s="76" t="str">
        <f ca="1">VLOOKUP($B79&amp;"_"&amp;$E79,OFFSET([2]stages!$A$1,0,0,COUNTA([2]stages!$A:$A),MATCH(F$1,[2]stages!$2:$2,0)-MATCH("temp_stage",[2]stages!$2:$2,0)+1),MATCH(F$1,[2]stages!$2:$2,0)-MATCH("temp_stage",[2]stages!$2:$2,0)+1,FALSE)</f>
        <v>【上級】灼熱の舞姫</v>
      </c>
      <c r="G79" s="76" t="str">
        <f ca="1">VLOOKUP($B79&amp;"_"&amp;$E79,OFFSET([2]stages!$A$1,0,0,COUNTA([2]stages!$A:$A),MATCH(G$1,[2]stages!$2:$2,0)-MATCH("temp_stage",[2]stages!$2:$2,0)+1),MATCH(G$1,[2]stages!$2:$2,0)-MATCH("temp_stage",[2]stages!$2:$2,0)+1,FALSE)</f>
        <v>平安01</v>
      </c>
      <c r="H79" s="78">
        <v>0</v>
      </c>
      <c r="I79" s="89">
        <v>24</v>
      </c>
      <c r="J79" s="77" t="s">
        <v>197</v>
      </c>
      <c r="K79" s="86" t="str">
        <f>VLOOKUP(I79,[7]stage_hints!$A:$C,3,FALSE)</f>
        <v>果実を使って限界突破</v>
      </c>
      <c r="L79" s="87" t="str">
        <f>VLOOKUP(I79,[7]stage_hints!$A:$D,4,FALSE)</f>
        <v>攻めの果実 癒しの果実_x000D_生命の果実をユニット強化に使うと_x000D_ステータスが限界突破します（計99個迄）</v>
      </c>
      <c r="M79" s="51" t="s">
        <v>210</v>
      </c>
    </row>
    <row r="80" spans="1:13" x14ac:dyDescent="0.15">
      <c r="A80" s="74" t="s">
        <v>200</v>
      </c>
      <c r="B80" s="75">
        <f>floors!$C$2</f>
        <v>20019</v>
      </c>
      <c r="C80" s="76" t="str">
        <f ca="1">VLOOKUP($B80,OFFSET([2]quests!$A$1,0,0,COUNTA([2]quests!$A:$A),MATCH(C$1,[2]quests!$1:$1,0)-MATCH($B$1,[2]quests!$1:$1,0)+1),MATCH(C$1,[2]quests!$1:$1,0)-MATCH($B$1,[2]quests!$1:$1,0)+1,FALSE)</f>
        <v>灼熱の舞姫</v>
      </c>
      <c r="D80" s="76" t="str">
        <f ca="1">VLOOKUP($B80,OFFSET([2]quests!$A$1,0,0,COUNTA([2]quests!$A:$A),MATCH(D$1,[2]quests!$1:$1,0)-MATCH($B$1,[2]quests!$1:$1,0)+1),MATCH(D$1,[2]quests!$1:$1,0)-MATCH($B$1,[2]quests!$1:$1,0)+1,FALSE)</f>
        <v>平安01</v>
      </c>
      <c r="E80" s="80">
        <v>3</v>
      </c>
      <c r="F80" s="76" t="str">
        <f ca="1">VLOOKUP($B80&amp;"_"&amp;$E80,OFFSET([2]stages!$A$1,0,0,COUNTA([2]stages!$A:$A),MATCH(F$1,[2]stages!$2:$2,0)-MATCH("temp_stage",[2]stages!$2:$2,0)+1),MATCH(F$1,[2]stages!$2:$2,0)-MATCH("temp_stage",[2]stages!$2:$2,0)+1,FALSE)</f>
        <v>【上級】灼熱の舞姫</v>
      </c>
      <c r="G80" s="76" t="str">
        <f ca="1">VLOOKUP($B80&amp;"_"&amp;$E80,OFFSET([2]stages!$A$1,0,0,COUNTA([2]stages!$A:$A),MATCH(G$1,[2]stages!$2:$2,0)-MATCH("temp_stage",[2]stages!$2:$2,0)+1),MATCH(G$1,[2]stages!$2:$2,0)-MATCH("temp_stage",[2]stages!$2:$2,0)+1,FALSE)</f>
        <v>平安01</v>
      </c>
      <c r="H80" s="78">
        <v>0</v>
      </c>
      <c r="I80" s="89">
        <v>25</v>
      </c>
      <c r="J80" s="77" t="s">
        <v>197</v>
      </c>
      <c r="K80" s="86" t="str">
        <f>VLOOKUP(I80,[7]stage_hints!$A:$C,3,FALSE)</f>
        <v>スキルレベルアップ</v>
      </c>
      <c r="L80" s="87" t="str">
        <f>VLOOKUP(I80,[7]stage_hints!$A:$D,4,FALSE)</f>
        <v>「秘術の果実」を強化に使うと_x000D_スキルレベルを上げることができます</v>
      </c>
      <c r="M80" s="51" t="s">
        <v>210</v>
      </c>
    </row>
    <row r="81" spans="1:13" x14ac:dyDescent="0.15">
      <c r="A81" s="74" t="s">
        <v>200</v>
      </c>
      <c r="B81" s="75">
        <f>floors!$C$2</f>
        <v>20019</v>
      </c>
      <c r="C81" s="76" t="str">
        <f ca="1">VLOOKUP($B81,OFFSET([2]quests!$A$1,0,0,COUNTA([2]quests!$A:$A),MATCH(C$1,[2]quests!$1:$1,0)-MATCH($B$1,[2]quests!$1:$1,0)+1),MATCH(C$1,[2]quests!$1:$1,0)-MATCH($B$1,[2]quests!$1:$1,0)+1,FALSE)</f>
        <v>灼熱の舞姫</v>
      </c>
      <c r="D81" s="76" t="str">
        <f ca="1">VLOOKUP($B81,OFFSET([2]quests!$A$1,0,0,COUNTA([2]quests!$A:$A),MATCH(D$1,[2]quests!$1:$1,0)-MATCH($B$1,[2]quests!$1:$1,0)+1),MATCH(D$1,[2]quests!$1:$1,0)-MATCH($B$1,[2]quests!$1:$1,0)+1,FALSE)</f>
        <v>平安01</v>
      </c>
      <c r="E81" s="80">
        <v>3</v>
      </c>
      <c r="F81" s="76" t="str">
        <f ca="1">VLOOKUP($B81&amp;"_"&amp;$E81,OFFSET([2]stages!$A$1,0,0,COUNTA([2]stages!$A:$A),MATCH(F$1,[2]stages!$2:$2,0)-MATCH("temp_stage",[2]stages!$2:$2,0)+1),MATCH(F$1,[2]stages!$2:$2,0)-MATCH("temp_stage",[2]stages!$2:$2,0)+1,FALSE)</f>
        <v>【上級】灼熱の舞姫</v>
      </c>
      <c r="G81" s="76" t="str">
        <f ca="1">VLOOKUP($B81&amp;"_"&amp;$E81,OFFSET([2]stages!$A$1,0,0,COUNTA([2]stages!$A:$A),MATCH(G$1,[2]stages!$2:$2,0)-MATCH("temp_stage",[2]stages!$2:$2,0)+1),MATCH(G$1,[2]stages!$2:$2,0)-MATCH("temp_stage",[2]stages!$2:$2,0)+1,FALSE)</f>
        <v>平安01</v>
      </c>
      <c r="H81" s="78">
        <v>0</v>
      </c>
      <c r="I81" s="89">
        <v>26</v>
      </c>
      <c r="J81" s="77" t="s">
        <v>197</v>
      </c>
      <c r="K81" s="86" t="str">
        <f>VLOOKUP(I81,[7]stage_hints!$A:$C,3,FALSE)</f>
        <v>スキルレベルの効果</v>
      </c>
      <c r="L81" s="87" t="str">
        <f>VLOOKUP(I81,[7]stage_hints!$A:$D,4,FALSE)</f>
        <v>スキルレベルが上がると_x000D_短いターンでスキルを使うことができます</v>
      </c>
      <c r="M81" s="51" t="s">
        <v>210</v>
      </c>
    </row>
    <row r="82" spans="1:13" x14ac:dyDescent="0.15">
      <c r="A82" s="74" t="s">
        <v>200</v>
      </c>
      <c r="B82" s="75">
        <f>floors!$C$2</f>
        <v>20019</v>
      </c>
      <c r="C82" s="76" t="str">
        <f ca="1">VLOOKUP($B82,OFFSET([2]quests!$A$1,0,0,COUNTA([2]quests!$A:$A),MATCH(C$1,[2]quests!$1:$1,0)-MATCH($B$1,[2]quests!$1:$1,0)+1),MATCH(C$1,[2]quests!$1:$1,0)-MATCH($B$1,[2]quests!$1:$1,0)+1,FALSE)</f>
        <v>灼熱の舞姫</v>
      </c>
      <c r="D82" s="76" t="str">
        <f ca="1">VLOOKUP($B82,OFFSET([2]quests!$A$1,0,0,COUNTA([2]quests!$A:$A),MATCH(D$1,[2]quests!$1:$1,0)-MATCH($B$1,[2]quests!$1:$1,0)+1),MATCH(D$1,[2]quests!$1:$1,0)-MATCH($B$1,[2]quests!$1:$1,0)+1,FALSE)</f>
        <v>平安01</v>
      </c>
      <c r="E82" s="80">
        <v>3</v>
      </c>
      <c r="F82" s="76" t="str">
        <f ca="1">VLOOKUP($B82&amp;"_"&amp;$E82,OFFSET([2]stages!$A$1,0,0,COUNTA([2]stages!$A:$A),MATCH(F$1,[2]stages!$2:$2,0)-MATCH("temp_stage",[2]stages!$2:$2,0)+1),MATCH(F$1,[2]stages!$2:$2,0)-MATCH("temp_stage",[2]stages!$2:$2,0)+1,FALSE)</f>
        <v>【上級】灼熱の舞姫</v>
      </c>
      <c r="G82" s="76" t="str">
        <f ca="1">VLOOKUP($B82&amp;"_"&amp;$E82,OFFSET([2]stages!$A$1,0,0,COUNTA([2]stages!$A:$A),MATCH(G$1,[2]stages!$2:$2,0)-MATCH("temp_stage",[2]stages!$2:$2,0)+1),MATCH(G$1,[2]stages!$2:$2,0)-MATCH("temp_stage",[2]stages!$2:$2,0)+1,FALSE)</f>
        <v>平安01</v>
      </c>
      <c r="H82" s="78">
        <v>0</v>
      </c>
      <c r="I82" s="89">
        <v>27</v>
      </c>
      <c r="J82" s="77" t="s">
        <v>197</v>
      </c>
      <c r="K82" s="86" t="str">
        <f>VLOOKUP(I82,[7]stage_hints!$A:$C,3,FALSE)</f>
        <v>ホーム画面からデッキを編成</v>
      </c>
      <c r="L82" s="87" t="str">
        <f>VLOOKUP(I82,[7]stage_hints!$A:$D,4,FALSE)</f>
        <v>ホーム画面でユニットを長押しすると_x000D_すぐにパーティ編成に移動できます</v>
      </c>
      <c r="M82" s="51" t="s">
        <v>210</v>
      </c>
    </row>
    <row r="83" spans="1:13" x14ac:dyDescent="0.15">
      <c r="A83" s="74" t="s">
        <v>200</v>
      </c>
      <c r="B83" s="75">
        <f>floors!$C$2</f>
        <v>20019</v>
      </c>
      <c r="C83" s="76" t="str">
        <f ca="1">VLOOKUP($B83,OFFSET([2]quests!$A$1,0,0,COUNTA([2]quests!$A:$A),MATCH(C$1,[2]quests!$1:$1,0)-MATCH($B$1,[2]quests!$1:$1,0)+1),MATCH(C$1,[2]quests!$1:$1,0)-MATCH($B$1,[2]quests!$1:$1,0)+1,FALSE)</f>
        <v>灼熱の舞姫</v>
      </c>
      <c r="D83" s="76" t="str">
        <f ca="1">VLOOKUP($B83,OFFSET([2]quests!$A$1,0,0,COUNTA([2]quests!$A:$A),MATCH(D$1,[2]quests!$1:$1,0)-MATCH($B$1,[2]quests!$1:$1,0)+1),MATCH(D$1,[2]quests!$1:$1,0)-MATCH($B$1,[2]quests!$1:$1,0)+1,FALSE)</f>
        <v>平安01</v>
      </c>
      <c r="E83" s="80">
        <v>3</v>
      </c>
      <c r="F83" s="76" t="str">
        <f ca="1">VLOOKUP($B83&amp;"_"&amp;$E83,OFFSET([2]stages!$A$1,0,0,COUNTA([2]stages!$A:$A),MATCH(F$1,[2]stages!$2:$2,0)-MATCH("temp_stage",[2]stages!$2:$2,0)+1),MATCH(F$1,[2]stages!$2:$2,0)-MATCH("temp_stage",[2]stages!$2:$2,0)+1,FALSE)</f>
        <v>【上級】灼熱の舞姫</v>
      </c>
      <c r="G83" s="76" t="str">
        <f ca="1">VLOOKUP($B83&amp;"_"&amp;$E83,OFFSET([2]stages!$A$1,0,0,COUNTA([2]stages!$A:$A),MATCH(G$1,[2]stages!$2:$2,0)-MATCH("temp_stage",[2]stages!$2:$2,0)+1),MATCH(G$1,[2]stages!$2:$2,0)-MATCH("temp_stage",[2]stages!$2:$2,0)+1,FALSE)</f>
        <v>平安01</v>
      </c>
      <c r="H83" s="78">
        <v>0</v>
      </c>
      <c r="I83" s="89">
        <v>28</v>
      </c>
      <c r="J83" s="77" t="s">
        <v>197</v>
      </c>
      <c r="K83" s="86" t="str">
        <f>VLOOKUP(I83,[7]stage_hints!$A:$C,3,FALSE)</f>
        <v>ステータス情報は長押しで</v>
      </c>
      <c r="L83" s="87" t="str">
        <f>VLOOKUP(I83,[7]stage_hints!$A:$D,4,FALSE)</f>
        <v>ユニットのアイコンを長押しすると_x000D_ステータス情報を確認することができます</v>
      </c>
      <c r="M83" s="51" t="s">
        <v>210</v>
      </c>
    </row>
    <row r="84" spans="1:13" x14ac:dyDescent="0.15">
      <c r="A84" s="74" t="s">
        <v>200</v>
      </c>
      <c r="B84" s="75">
        <f>floors!$C$2</f>
        <v>20019</v>
      </c>
      <c r="C84" s="76" t="str">
        <f ca="1">VLOOKUP($B84,OFFSET([2]quests!$A$1,0,0,COUNTA([2]quests!$A:$A),MATCH(C$1,[2]quests!$1:$1,0)-MATCH($B$1,[2]quests!$1:$1,0)+1),MATCH(C$1,[2]quests!$1:$1,0)-MATCH($B$1,[2]quests!$1:$1,0)+1,FALSE)</f>
        <v>灼熱の舞姫</v>
      </c>
      <c r="D84" s="76" t="str">
        <f ca="1">VLOOKUP($B84,OFFSET([2]quests!$A$1,0,0,COUNTA([2]quests!$A:$A),MATCH(D$1,[2]quests!$1:$1,0)-MATCH($B$1,[2]quests!$1:$1,0)+1),MATCH(D$1,[2]quests!$1:$1,0)-MATCH($B$1,[2]quests!$1:$1,0)+1,FALSE)</f>
        <v>平安01</v>
      </c>
      <c r="E84" s="80">
        <v>3</v>
      </c>
      <c r="F84" s="76" t="str">
        <f ca="1">VLOOKUP($B84&amp;"_"&amp;$E84,OFFSET([2]stages!$A$1,0,0,COUNTA([2]stages!$A:$A),MATCH(F$1,[2]stages!$2:$2,0)-MATCH("temp_stage",[2]stages!$2:$2,0)+1),MATCH(F$1,[2]stages!$2:$2,0)-MATCH("temp_stage",[2]stages!$2:$2,0)+1,FALSE)</f>
        <v>【上級】灼熱の舞姫</v>
      </c>
      <c r="G84" s="76" t="str">
        <f ca="1">VLOOKUP($B84&amp;"_"&amp;$E84,OFFSET([2]stages!$A$1,0,0,COUNTA([2]stages!$A:$A),MATCH(G$1,[2]stages!$2:$2,0)-MATCH("temp_stage",[2]stages!$2:$2,0)+1),MATCH(G$1,[2]stages!$2:$2,0)-MATCH("temp_stage",[2]stages!$2:$2,0)+1,FALSE)</f>
        <v>平安01</v>
      </c>
      <c r="H84" s="78">
        <v>0</v>
      </c>
      <c r="I84" s="89">
        <v>29</v>
      </c>
      <c r="J84" s="77" t="s">
        <v>197</v>
      </c>
      <c r="K84" s="86" t="str">
        <f>VLOOKUP(I84,[7]stage_hints!$A:$C,3,FALSE)</f>
        <v>「バグ」のメリット</v>
      </c>
      <c r="L84" s="87" t="str">
        <f>VLOOKUP(I84,[7]stage_hints!$A:$D,4,FALSE)</f>
        <v>ユニットの「バグ」を増やすと_x000D_報酬をもらえる確率がアップします</v>
      </c>
      <c r="M84" s="51" t="s">
        <v>210</v>
      </c>
    </row>
    <row r="85" spans="1:13" x14ac:dyDescent="0.15">
      <c r="A85" s="74" t="s">
        <v>200</v>
      </c>
      <c r="B85" s="75">
        <f>floors!$C$2</f>
        <v>20019</v>
      </c>
      <c r="C85" s="76" t="str">
        <f ca="1">VLOOKUP($B85,OFFSET([2]quests!$A$1,0,0,COUNTA([2]quests!$A:$A),MATCH(C$1,[2]quests!$1:$1,0)-MATCH($B$1,[2]quests!$1:$1,0)+1),MATCH(C$1,[2]quests!$1:$1,0)-MATCH($B$1,[2]quests!$1:$1,0)+1,FALSE)</f>
        <v>灼熱の舞姫</v>
      </c>
      <c r="D85" s="76" t="str">
        <f ca="1">VLOOKUP($B85,OFFSET([2]quests!$A$1,0,0,COUNTA([2]quests!$A:$A),MATCH(D$1,[2]quests!$1:$1,0)-MATCH($B$1,[2]quests!$1:$1,0)+1),MATCH(D$1,[2]quests!$1:$1,0)-MATCH($B$1,[2]quests!$1:$1,0)+1,FALSE)</f>
        <v>平安01</v>
      </c>
      <c r="E85" s="80">
        <v>3</v>
      </c>
      <c r="F85" s="76" t="str">
        <f ca="1">VLOOKUP($B85&amp;"_"&amp;$E85,OFFSET([2]stages!$A$1,0,0,COUNTA([2]stages!$A:$A),MATCH(F$1,[2]stages!$2:$2,0)-MATCH("temp_stage",[2]stages!$2:$2,0)+1),MATCH(F$1,[2]stages!$2:$2,0)-MATCH("temp_stage",[2]stages!$2:$2,0)+1,FALSE)</f>
        <v>【上級】灼熱の舞姫</v>
      </c>
      <c r="G85" s="76" t="str">
        <f ca="1">VLOOKUP($B85&amp;"_"&amp;$E85,OFFSET([2]stages!$A$1,0,0,COUNTA([2]stages!$A:$A),MATCH(G$1,[2]stages!$2:$2,0)-MATCH("temp_stage",[2]stages!$2:$2,0)+1),MATCH(G$1,[2]stages!$2:$2,0)-MATCH("temp_stage",[2]stages!$2:$2,0)+1,FALSE)</f>
        <v>平安01</v>
      </c>
      <c r="H85" s="78">
        <v>0</v>
      </c>
      <c r="I85" s="89">
        <v>30</v>
      </c>
      <c r="J85" s="77" t="s">
        <v>197</v>
      </c>
      <c r="K85" s="86" t="str">
        <f>VLOOKUP(I85,[7]stage_hints!$A:$C,3,FALSE)</f>
        <v>「バグ」の増やし方</v>
      </c>
      <c r="L85" s="87" t="str">
        <f>VLOOKUP(I85,[7]stage_hints!$A:$D,4,FALSE)</f>
        <v>同じユニット同士を強化で合成すると_x000D_「バグ」を増やすことができます</v>
      </c>
      <c r="M85" s="51" t="s">
        <v>210</v>
      </c>
    </row>
    <row r="86" spans="1:13" x14ac:dyDescent="0.15">
      <c r="A86" s="74" t="s">
        <v>200</v>
      </c>
      <c r="B86" s="75">
        <f>floors!$C$2</f>
        <v>20019</v>
      </c>
      <c r="C86" s="76" t="str">
        <f ca="1">VLOOKUP($B86,OFFSET([2]quests!$A$1,0,0,COUNTA([2]quests!$A:$A),MATCH(C$1,[2]quests!$1:$1,0)-MATCH($B$1,[2]quests!$1:$1,0)+1),MATCH(C$1,[2]quests!$1:$1,0)-MATCH($B$1,[2]quests!$1:$1,0)+1,FALSE)</f>
        <v>灼熱の舞姫</v>
      </c>
      <c r="D86" s="76" t="str">
        <f ca="1">VLOOKUP($B86,OFFSET([2]quests!$A$1,0,0,COUNTA([2]quests!$A:$A),MATCH(D$1,[2]quests!$1:$1,0)-MATCH($B$1,[2]quests!$1:$1,0)+1),MATCH(D$1,[2]quests!$1:$1,0)-MATCH($B$1,[2]quests!$1:$1,0)+1,FALSE)</f>
        <v>平安01</v>
      </c>
      <c r="E86" s="80">
        <v>3</v>
      </c>
      <c r="F86" s="76" t="str">
        <f ca="1">VLOOKUP($B86&amp;"_"&amp;$E86,OFFSET([2]stages!$A$1,0,0,COUNTA([2]stages!$A:$A),MATCH(F$1,[2]stages!$2:$2,0)-MATCH("temp_stage",[2]stages!$2:$2,0)+1),MATCH(F$1,[2]stages!$2:$2,0)-MATCH("temp_stage",[2]stages!$2:$2,0)+1,FALSE)</f>
        <v>【上級】灼熱の舞姫</v>
      </c>
      <c r="G86" s="76" t="str">
        <f ca="1">VLOOKUP($B86&amp;"_"&amp;$E86,OFFSET([2]stages!$A$1,0,0,COUNTA([2]stages!$A:$A),MATCH(G$1,[2]stages!$2:$2,0)-MATCH("temp_stage",[2]stages!$2:$2,0)+1),MATCH(G$1,[2]stages!$2:$2,0)-MATCH("temp_stage",[2]stages!$2:$2,0)+1,FALSE)</f>
        <v>平安01</v>
      </c>
      <c r="H86" s="78">
        <v>0</v>
      </c>
      <c r="I86" s="89">
        <v>31</v>
      </c>
      <c r="J86" s="77" t="s">
        <v>197</v>
      </c>
      <c r="K86" s="86" t="str">
        <f>VLOOKUP(I86,[7]stage_hints!$A:$C,3,FALSE)</f>
        <v>イベントはお知らせでチェック</v>
      </c>
      <c r="L86" s="87" t="str">
        <f>VLOOKUP(I86,[7]stage_hints!$A:$D,4,FALSE)</f>
        <v>イベント限定ユニットを取り忘れないように_x000D_お知らせをこまめにチェックしましょう</v>
      </c>
      <c r="M86" s="51" t="s">
        <v>210</v>
      </c>
    </row>
    <row r="87" spans="1:13" x14ac:dyDescent="0.15">
      <c r="A87" s="74" t="s">
        <v>200</v>
      </c>
      <c r="B87" s="75">
        <f>floors!$C$2</f>
        <v>20019</v>
      </c>
      <c r="C87" s="76" t="str">
        <f ca="1">VLOOKUP($B87,OFFSET([2]quests!$A$1,0,0,COUNTA([2]quests!$A:$A),MATCH(C$1,[2]quests!$1:$1,0)-MATCH($B$1,[2]quests!$1:$1,0)+1),MATCH(C$1,[2]quests!$1:$1,0)-MATCH($B$1,[2]quests!$1:$1,0)+1,FALSE)</f>
        <v>灼熱の舞姫</v>
      </c>
      <c r="D87" s="76" t="str">
        <f ca="1">VLOOKUP($B87,OFFSET([2]quests!$A$1,0,0,COUNTA([2]quests!$A:$A),MATCH(D$1,[2]quests!$1:$1,0)-MATCH($B$1,[2]quests!$1:$1,0)+1),MATCH(D$1,[2]quests!$1:$1,0)-MATCH($B$1,[2]quests!$1:$1,0)+1,FALSE)</f>
        <v>平安01</v>
      </c>
      <c r="E87" s="80">
        <v>3</v>
      </c>
      <c r="F87" s="76" t="str">
        <f ca="1">VLOOKUP($B87&amp;"_"&amp;$E87,OFFSET([2]stages!$A$1,0,0,COUNTA([2]stages!$A:$A),MATCH(F$1,[2]stages!$2:$2,0)-MATCH("temp_stage",[2]stages!$2:$2,0)+1),MATCH(F$1,[2]stages!$2:$2,0)-MATCH("temp_stage",[2]stages!$2:$2,0)+1,FALSE)</f>
        <v>【上級】灼熱の舞姫</v>
      </c>
      <c r="G87" s="76" t="str">
        <f ca="1">VLOOKUP($B87&amp;"_"&amp;$E87,OFFSET([2]stages!$A$1,0,0,COUNTA([2]stages!$A:$A),MATCH(G$1,[2]stages!$2:$2,0)-MATCH("temp_stage",[2]stages!$2:$2,0)+1),MATCH(G$1,[2]stages!$2:$2,0)-MATCH("temp_stage",[2]stages!$2:$2,0)+1,FALSE)</f>
        <v>平安01</v>
      </c>
      <c r="H87" s="78">
        <v>0</v>
      </c>
      <c r="I87" s="89">
        <v>32</v>
      </c>
      <c r="J87" s="77" t="s">
        <v>197</v>
      </c>
      <c r="K87" s="86" t="str">
        <f>VLOOKUP(I87,[7]stage_hints!$A:$C,3,FALSE)</f>
        <v>敵の連続攻撃には</v>
      </c>
      <c r="L87" s="87" t="str">
        <f>VLOOKUP(I87,[7]stage_hints!$A:$D,4,FALSE)</f>
        <v>カウンタースキルを持つユニットがいれば_x000D_ダメージ回数分の反撃ができます</v>
      </c>
      <c r="M87" s="51" t="s">
        <v>210</v>
      </c>
    </row>
    <row r="88" spans="1:13" x14ac:dyDescent="0.15">
      <c r="A88" s="74" t="s">
        <v>200</v>
      </c>
      <c r="B88" s="75">
        <f>floors!$C$2</f>
        <v>20019</v>
      </c>
      <c r="C88" s="76" t="str">
        <f ca="1">VLOOKUP($B88,OFFSET([2]quests!$A$1,0,0,COUNTA([2]quests!$A:$A),MATCH(C$1,[2]quests!$1:$1,0)-MATCH($B$1,[2]quests!$1:$1,0)+1),MATCH(C$1,[2]quests!$1:$1,0)-MATCH($B$1,[2]quests!$1:$1,0)+1,FALSE)</f>
        <v>灼熱の舞姫</v>
      </c>
      <c r="D88" s="76" t="str">
        <f ca="1">VLOOKUP($B88,OFFSET([2]quests!$A$1,0,0,COUNTA([2]quests!$A:$A),MATCH(D$1,[2]quests!$1:$1,0)-MATCH($B$1,[2]quests!$1:$1,0)+1),MATCH(D$1,[2]quests!$1:$1,0)-MATCH($B$1,[2]quests!$1:$1,0)+1,FALSE)</f>
        <v>平安01</v>
      </c>
      <c r="E88" s="80">
        <v>3</v>
      </c>
      <c r="F88" s="76" t="str">
        <f ca="1">VLOOKUP($B88&amp;"_"&amp;$E88,OFFSET([2]stages!$A$1,0,0,COUNTA([2]stages!$A:$A),MATCH(F$1,[2]stages!$2:$2,0)-MATCH("temp_stage",[2]stages!$2:$2,0)+1),MATCH(F$1,[2]stages!$2:$2,0)-MATCH("temp_stage",[2]stages!$2:$2,0)+1,FALSE)</f>
        <v>【上級】灼熱の舞姫</v>
      </c>
      <c r="G88" s="76" t="str">
        <f ca="1">VLOOKUP($B88&amp;"_"&amp;$E88,OFFSET([2]stages!$A$1,0,0,COUNTA([2]stages!$A:$A),MATCH(G$1,[2]stages!$2:$2,0)-MATCH("temp_stage",[2]stages!$2:$2,0)+1),MATCH(G$1,[2]stages!$2:$2,0)-MATCH("temp_stage",[2]stages!$2:$2,0)+1,FALSE)</f>
        <v>平安01</v>
      </c>
      <c r="H88" s="78">
        <v>0</v>
      </c>
      <c r="I88" s="89">
        <v>33</v>
      </c>
      <c r="J88" s="77" t="s">
        <v>197</v>
      </c>
      <c r="K88" s="86" t="str">
        <f>VLOOKUP(I88,[7]stage_hints!$A:$C,3,FALSE)</f>
        <v>敵のカウンター攻撃には</v>
      </c>
      <c r="L88" s="87" t="str">
        <f>VLOOKUP(I88,[7]stage_hints!$A:$D,4,FALSE)</f>
        <v>カウンターブレイクスキルを持っていれば_x000D_敵のカウンターを解除して攻撃ができます</v>
      </c>
      <c r="M88" s="51" t="s">
        <v>210</v>
      </c>
    </row>
    <row r="89" spans="1:13" x14ac:dyDescent="0.15">
      <c r="A89" s="74" t="s">
        <v>200</v>
      </c>
      <c r="B89" s="75">
        <f>floors!$C$2</f>
        <v>20019</v>
      </c>
      <c r="C89" s="76" t="str">
        <f ca="1">VLOOKUP($B89,OFFSET([2]quests!$A$1,0,0,COUNTA([2]quests!$A:$A),MATCH(C$1,[2]quests!$1:$1,0)-MATCH($B$1,[2]quests!$1:$1,0)+1),MATCH(C$1,[2]quests!$1:$1,0)-MATCH($B$1,[2]quests!$1:$1,0)+1,FALSE)</f>
        <v>灼熱の舞姫</v>
      </c>
      <c r="D89" s="76" t="str">
        <f ca="1">VLOOKUP($B89,OFFSET([2]quests!$A$1,0,0,COUNTA([2]quests!$A:$A),MATCH(D$1,[2]quests!$1:$1,0)-MATCH($B$1,[2]quests!$1:$1,0)+1),MATCH(D$1,[2]quests!$1:$1,0)-MATCH($B$1,[2]quests!$1:$1,0)+1,FALSE)</f>
        <v>平安01</v>
      </c>
      <c r="E89" s="80">
        <v>3</v>
      </c>
      <c r="F89" s="76" t="str">
        <f ca="1">VLOOKUP($B89&amp;"_"&amp;$E89,OFFSET([2]stages!$A$1,0,0,COUNTA([2]stages!$A:$A),MATCH(F$1,[2]stages!$2:$2,0)-MATCH("temp_stage",[2]stages!$2:$2,0)+1),MATCH(F$1,[2]stages!$2:$2,0)-MATCH("temp_stage",[2]stages!$2:$2,0)+1,FALSE)</f>
        <v>【上級】灼熱の舞姫</v>
      </c>
      <c r="G89" s="76" t="str">
        <f ca="1">VLOOKUP($B89&amp;"_"&amp;$E89,OFFSET([2]stages!$A$1,0,0,COUNTA([2]stages!$A:$A),MATCH(G$1,[2]stages!$2:$2,0)-MATCH("temp_stage",[2]stages!$2:$2,0)+1),MATCH(G$1,[2]stages!$2:$2,0)-MATCH("temp_stage",[2]stages!$2:$2,0)+1,FALSE)</f>
        <v>平安01</v>
      </c>
      <c r="H89" s="78">
        <v>0</v>
      </c>
      <c r="I89" s="89">
        <v>34</v>
      </c>
      <c r="J89" s="77" t="s">
        <v>197</v>
      </c>
      <c r="K89" s="86" t="str">
        <f>VLOOKUP(I89,[7]stage_hints!$A:$C,3,FALSE)</f>
        <v>ステータスをスキルで下げられたら</v>
      </c>
      <c r="L89" s="87" t="str">
        <f>VLOOKUP(I89,[7]stage_hints!$A:$D,4,FALSE)</f>
        <v>ステータスダウンのスキルを受けたら_x000D_ステータスアップスキルで上書きしましょう</v>
      </c>
      <c r="M89" s="51" t="s">
        <v>210</v>
      </c>
    </row>
    <row r="90" spans="1:13" x14ac:dyDescent="0.15">
      <c r="A90" s="74" t="s">
        <v>200</v>
      </c>
      <c r="B90" s="75">
        <f>floors!$C$2</f>
        <v>20019</v>
      </c>
      <c r="C90" s="76" t="str">
        <f ca="1">VLOOKUP($B90,OFFSET([2]quests!$A$1,0,0,COUNTA([2]quests!$A:$A),MATCH(C$1,[2]quests!$1:$1,0)-MATCH($B$1,[2]quests!$1:$1,0)+1),MATCH(C$1,[2]quests!$1:$1,0)-MATCH($B$1,[2]quests!$1:$1,0)+1,FALSE)</f>
        <v>灼熱の舞姫</v>
      </c>
      <c r="D90" s="76" t="str">
        <f ca="1">VLOOKUP($B90,OFFSET([2]quests!$A$1,0,0,COUNTA([2]quests!$A:$A),MATCH(D$1,[2]quests!$1:$1,0)-MATCH($B$1,[2]quests!$1:$1,0)+1),MATCH(D$1,[2]quests!$1:$1,0)-MATCH($B$1,[2]quests!$1:$1,0)+1,FALSE)</f>
        <v>平安01</v>
      </c>
      <c r="E90" s="80">
        <v>3</v>
      </c>
      <c r="F90" s="76" t="str">
        <f ca="1">VLOOKUP($B90&amp;"_"&amp;$E90,OFFSET([2]stages!$A$1,0,0,COUNTA([2]stages!$A:$A),MATCH(F$1,[2]stages!$2:$2,0)-MATCH("temp_stage",[2]stages!$2:$2,0)+1),MATCH(F$1,[2]stages!$2:$2,0)-MATCH("temp_stage",[2]stages!$2:$2,0)+1,FALSE)</f>
        <v>【上級】灼熱の舞姫</v>
      </c>
      <c r="G90" s="76" t="str">
        <f ca="1">VLOOKUP($B90&amp;"_"&amp;$E90,OFFSET([2]stages!$A$1,0,0,COUNTA([2]stages!$A:$A),MATCH(G$1,[2]stages!$2:$2,0)-MATCH("temp_stage",[2]stages!$2:$2,0)+1),MATCH(G$1,[2]stages!$2:$2,0)-MATCH("temp_stage",[2]stages!$2:$2,0)+1,FALSE)</f>
        <v>平安01</v>
      </c>
      <c r="H90" s="78">
        <v>0</v>
      </c>
      <c r="I90" s="89">
        <v>35</v>
      </c>
      <c r="J90" s="77" t="s">
        <v>197</v>
      </c>
      <c r="K90" s="86" t="str">
        <f>VLOOKUP(I90,[7]stage_hints!$A:$C,3,FALSE)</f>
        <v>敵のステータスがスキルで上がったら</v>
      </c>
      <c r="L90" s="87" t="str">
        <f>VLOOKUP(I90,[7]stage_hints!$A:$D,4,FALSE)</f>
        <v>敵のステータスがスキルでアップしたときは_x000D_ステータスダウンスキルで上書きしましょう</v>
      </c>
      <c r="M90" s="51" t="s">
        <v>210</v>
      </c>
    </row>
    <row r="91" spans="1:13" x14ac:dyDescent="0.15">
      <c r="A91" s="74" t="s">
        <v>200</v>
      </c>
      <c r="B91" s="75">
        <f>floors!$C$2</f>
        <v>20019</v>
      </c>
      <c r="C91" s="76" t="str">
        <f ca="1">VLOOKUP($B91,OFFSET([2]quests!$A$1,0,0,COUNTA([2]quests!$A:$A),MATCH(C$1,[2]quests!$1:$1,0)-MATCH($B$1,[2]quests!$1:$1,0)+1),MATCH(C$1,[2]quests!$1:$1,0)-MATCH($B$1,[2]quests!$1:$1,0)+1,FALSE)</f>
        <v>灼熱の舞姫</v>
      </c>
      <c r="D91" s="76" t="str">
        <f ca="1">VLOOKUP($B91,OFFSET([2]quests!$A$1,0,0,COUNTA([2]quests!$A:$A),MATCH(D$1,[2]quests!$1:$1,0)-MATCH($B$1,[2]quests!$1:$1,0)+1),MATCH(D$1,[2]quests!$1:$1,0)-MATCH($B$1,[2]quests!$1:$1,0)+1,FALSE)</f>
        <v>平安01</v>
      </c>
      <c r="E91" s="80">
        <v>3</v>
      </c>
      <c r="F91" s="76" t="str">
        <f ca="1">VLOOKUP($B91&amp;"_"&amp;$E91,OFFSET([2]stages!$A$1,0,0,COUNTA([2]stages!$A:$A),MATCH(F$1,[2]stages!$2:$2,0)-MATCH("temp_stage",[2]stages!$2:$2,0)+1),MATCH(F$1,[2]stages!$2:$2,0)-MATCH("temp_stage",[2]stages!$2:$2,0)+1,FALSE)</f>
        <v>【上級】灼熱の舞姫</v>
      </c>
      <c r="G91" s="76" t="str">
        <f ca="1">VLOOKUP($B91&amp;"_"&amp;$E91,OFFSET([2]stages!$A$1,0,0,COUNTA([2]stages!$A:$A),MATCH(G$1,[2]stages!$2:$2,0)-MATCH("temp_stage",[2]stages!$2:$2,0)+1),MATCH(G$1,[2]stages!$2:$2,0)-MATCH("temp_stage",[2]stages!$2:$2,0)+1,FALSE)</f>
        <v>平安01</v>
      </c>
      <c r="H91" s="78">
        <v>0</v>
      </c>
      <c r="I91" s="89">
        <v>36</v>
      </c>
      <c r="J91" s="77" t="s">
        <v>197</v>
      </c>
      <c r="K91" s="86" t="str">
        <f>VLOOKUP(I91,[7]stage_hints!$A:$C,3,FALSE)</f>
        <v>タワーオブザクイーンのボス</v>
      </c>
      <c r="L91" s="87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1" t="s">
        <v>210</v>
      </c>
    </row>
    <row r="92" spans="1:13" x14ac:dyDescent="0.15">
      <c r="A92" s="74" t="s">
        <v>200</v>
      </c>
      <c r="B92" s="75">
        <f>floors!$C$2</f>
        <v>20019</v>
      </c>
      <c r="C92" s="76" t="str">
        <f ca="1">VLOOKUP($B92,OFFSET([2]quests!$A$1,0,0,COUNTA([2]quests!$A:$A),MATCH(C$1,[2]quests!$1:$1,0)-MATCH($B$1,[2]quests!$1:$1,0)+1),MATCH(C$1,[2]quests!$1:$1,0)-MATCH($B$1,[2]quests!$1:$1,0)+1,FALSE)</f>
        <v>灼熱の舞姫</v>
      </c>
      <c r="D92" s="76" t="str">
        <f ca="1">VLOOKUP($B92,OFFSET([2]quests!$A$1,0,0,COUNTA([2]quests!$A:$A),MATCH(D$1,[2]quests!$1:$1,0)-MATCH($B$1,[2]quests!$1:$1,0)+1),MATCH(D$1,[2]quests!$1:$1,0)-MATCH($B$1,[2]quests!$1:$1,0)+1,FALSE)</f>
        <v>平安01</v>
      </c>
      <c r="E92" s="80">
        <v>3</v>
      </c>
      <c r="F92" s="76" t="str">
        <f ca="1">VLOOKUP($B92&amp;"_"&amp;$E92,OFFSET([2]stages!$A$1,0,0,COUNTA([2]stages!$A:$A),MATCH(F$1,[2]stages!$2:$2,0)-MATCH("temp_stage",[2]stages!$2:$2,0)+1),MATCH(F$1,[2]stages!$2:$2,0)-MATCH("temp_stage",[2]stages!$2:$2,0)+1,FALSE)</f>
        <v>【上級】灼熱の舞姫</v>
      </c>
      <c r="G92" s="76" t="str">
        <f ca="1">VLOOKUP($B92&amp;"_"&amp;$E92,OFFSET([2]stages!$A$1,0,0,COUNTA([2]stages!$A:$A),MATCH(G$1,[2]stages!$2:$2,0)-MATCH("temp_stage",[2]stages!$2:$2,0)+1),MATCH(G$1,[2]stages!$2:$2,0)-MATCH("temp_stage",[2]stages!$2:$2,0)+1,FALSE)</f>
        <v>平安01</v>
      </c>
      <c r="H92" s="78">
        <v>0</v>
      </c>
      <c r="I92" s="89">
        <v>37</v>
      </c>
      <c r="J92" s="77" t="s">
        <v>197</v>
      </c>
      <c r="K92" s="86" t="str">
        <f>VLOOKUP(I92,[7]stage_hints!$A:$C,3,FALSE)</f>
        <v>限界突破値の引き継ぎ</v>
      </c>
      <c r="L92" s="87" t="str">
        <f>VLOOKUP(I92,[7]stage_hints!$A:$D,4,FALSE)</f>
        <v>同じユニットを強化で合成すると_x000D_限界突破値を引き継げます（覚醒前後も可）</v>
      </c>
      <c r="M92" s="51" t="s">
        <v>210</v>
      </c>
    </row>
    <row r="93" spans="1:13" x14ac:dyDescent="0.15">
      <c r="A93" s="74" t="s">
        <v>200</v>
      </c>
      <c r="B93" s="75">
        <f>floors!$C$2</f>
        <v>20019</v>
      </c>
      <c r="C93" s="76" t="str">
        <f ca="1">VLOOKUP($B93,OFFSET([2]quests!$A$1,0,0,COUNTA([2]quests!$A:$A),MATCH(C$1,[2]quests!$1:$1,0)-MATCH($B$1,[2]quests!$1:$1,0)+1),MATCH(C$1,[2]quests!$1:$1,0)-MATCH($B$1,[2]quests!$1:$1,0)+1,FALSE)</f>
        <v>灼熱の舞姫</v>
      </c>
      <c r="D93" s="76" t="str">
        <f ca="1">VLOOKUP($B93,OFFSET([2]quests!$A$1,0,0,COUNTA([2]quests!$A:$A),MATCH(D$1,[2]quests!$1:$1,0)-MATCH($B$1,[2]quests!$1:$1,0)+1),MATCH(D$1,[2]quests!$1:$1,0)-MATCH($B$1,[2]quests!$1:$1,0)+1,FALSE)</f>
        <v>平安01</v>
      </c>
      <c r="E93" s="80">
        <v>3</v>
      </c>
      <c r="F93" s="76" t="str">
        <f ca="1">VLOOKUP($B93&amp;"_"&amp;$E93,OFFSET([2]stages!$A$1,0,0,COUNTA([2]stages!$A:$A),MATCH(F$1,[2]stages!$2:$2,0)-MATCH("temp_stage",[2]stages!$2:$2,0)+1),MATCH(F$1,[2]stages!$2:$2,0)-MATCH("temp_stage",[2]stages!$2:$2,0)+1,FALSE)</f>
        <v>【上級】灼熱の舞姫</v>
      </c>
      <c r="G93" s="76" t="str">
        <f ca="1">VLOOKUP($B93&amp;"_"&amp;$E93,OFFSET([2]stages!$A$1,0,0,COUNTA([2]stages!$A:$A),MATCH(G$1,[2]stages!$2:$2,0)-MATCH("temp_stage",[2]stages!$2:$2,0)+1),MATCH(G$1,[2]stages!$2:$2,0)-MATCH("temp_stage",[2]stages!$2:$2,0)+1,FALSE)</f>
        <v>平安01</v>
      </c>
      <c r="H93" s="78">
        <v>0</v>
      </c>
      <c r="I93" s="89">
        <v>39</v>
      </c>
      <c r="J93" s="77" t="s">
        <v>197</v>
      </c>
      <c r="K93" s="86" t="str">
        <f>VLOOKUP(I93,[7]stage_hints!$A:$C,3,FALSE)</f>
        <v>システム適合者を確認</v>
      </c>
      <c r="L93" s="87" t="str">
        <f>VLOOKUP(I93,[7]stage_hints!$A:$D,4,FALSE)</f>
        <v>ALICEが 「アナタ」を呼んでいます</v>
      </c>
      <c r="M93" s="51" t="s">
        <v>210</v>
      </c>
    </row>
  </sheetData>
  <phoneticPr fontId="5"/>
  <dataValidations count="1">
    <dataValidation type="list" allowBlank="1" showInputMessage="1" showErrorMessage="1" sqref="A2:A9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6"/>
  <sheetViews>
    <sheetView showGridLines="0" workbookViewId="0">
      <pane ySplit="1" topLeftCell="A2" activePane="bottomLeft" state="frozen"/>
      <selection pane="bottomLeft" activeCell="B17" sqref="B17"/>
    </sheetView>
  </sheetViews>
  <sheetFormatPr baseColWidth="12" defaultColWidth="13" defaultRowHeight="15" outlineLevelCol="1" x14ac:dyDescent="0.15"/>
  <cols>
    <col min="1" max="1" width="13" style="81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69" t="s">
        <v>187</v>
      </c>
      <c r="B1" s="66" t="s">
        <v>149</v>
      </c>
      <c r="C1" s="70" t="s">
        <v>189</v>
      </c>
      <c r="D1" s="70" t="s">
        <v>33</v>
      </c>
      <c r="E1" s="66" t="s">
        <v>190</v>
      </c>
      <c r="F1" s="70" t="s">
        <v>18</v>
      </c>
      <c r="G1" s="70" t="s">
        <v>33</v>
      </c>
      <c r="H1" s="66" t="s">
        <v>192</v>
      </c>
      <c r="I1" s="82" t="s">
        <v>193</v>
      </c>
      <c r="J1" s="84" t="s">
        <v>194</v>
      </c>
      <c r="K1" s="72" t="s">
        <v>125</v>
      </c>
      <c r="L1" s="71" t="s">
        <v>186</v>
      </c>
      <c r="M1" s="85" t="s">
        <v>185</v>
      </c>
      <c r="N1" s="73" t="s">
        <v>195</v>
      </c>
    </row>
    <row r="2" spans="1:14" ht="28" x14ac:dyDescent="0.15">
      <c r="A2" s="74" t="s">
        <v>196</v>
      </c>
      <c r="B2" s="75">
        <f>floors!$C$2</f>
        <v>20019</v>
      </c>
      <c r="C2" s="76" t="str">
        <f ca="1">VLOOKUP($B2,OFFSET([2]quests!$A$1,0,0,COUNTA([2]quests!$A:$A),MATCH(C$1,[2]quests!$1:$1,0)-MATCH($B$1,[2]quests!$1:$1,0)+1),MATCH(C$1,[2]quests!$1:$1,0)-MATCH($B$1,[2]quests!$1:$1,0)+1,FALSE)</f>
        <v>灼熱の舞姫</v>
      </c>
      <c r="D2" s="76" t="str">
        <f ca="1">VLOOKUP($B2,OFFSET([2]quests!$A$1,0,0,COUNTA([2]quests!$A:$A),MATCH(D$1,[2]quests!$1:$1,0)-MATCH($B$1,[2]quests!$1:$1,0)+1),MATCH(D$1,[2]quests!$1:$1,0)-MATCH($B$1,[2]quests!$1:$1,0)+1,FALSE)</f>
        <v>平安01</v>
      </c>
      <c r="E2" s="77">
        <v>1</v>
      </c>
      <c r="F2" s="76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【初級】灼熱の舞姫</v>
      </c>
      <c r="G2" s="76" t="str">
        <f ca="1">VLOOKUP($B2&amp;"_"&amp;$E2,OFFSET([2]stages!$A$1,0,0,COUNTA([2]stages!$A:$A),MATCH(G$1,[2]stages!$2:$2,0)-MATCH("temp_stage",[2]stages!$2:$2,0)+1),MATCH(G$1,[2]stages!$2:$2,0)-MATCH("temp_stage",[2]stages!$2:$2,0)+1,FALSE)</f>
        <v>平安01</v>
      </c>
      <c r="H2" s="78">
        <v>1</v>
      </c>
      <c r="I2" s="83">
        <f t="shared" ref="I2:I16" si="0">ROW()-1</f>
        <v>1</v>
      </c>
      <c r="J2" s="79" t="str">
        <f t="shared" ref="J2:J15" si="1">B2&amp;TEXT(I2,"00")</f>
        <v>2001901</v>
      </c>
      <c r="K2" s="77" t="s">
        <v>197</v>
      </c>
      <c r="L2" s="80" t="s">
        <v>198</v>
      </c>
      <c r="M2" s="157" t="s">
        <v>293</v>
      </c>
      <c r="N2" s="51" t="s">
        <v>199</v>
      </c>
    </row>
    <row r="3" spans="1:14" ht="28" x14ac:dyDescent="0.15">
      <c r="A3" s="74" t="s">
        <v>196</v>
      </c>
      <c r="B3" s="75">
        <f>floors!$C$2</f>
        <v>20019</v>
      </c>
      <c r="C3" s="76" t="str">
        <f ca="1">VLOOKUP($B3,OFFSET([2]quests!$A$1,0,0,COUNTA([2]quests!$A:$A),MATCH(C$1,[2]quests!$1:$1,0)-MATCH($B$1,[2]quests!$1:$1,0)+1),MATCH(C$1,[2]quests!$1:$1,0)-MATCH($B$1,[2]quests!$1:$1,0)+1,FALSE)</f>
        <v>灼熱の舞姫</v>
      </c>
      <c r="D3" s="76" t="str">
        <f ca="1">VLOOKUP($B3,OFFSET([2]quests!$A$1,0,0,COUNTA([2]quests!$A:$A),MATCH(D$1,[2]quests!$1:$1,0)-MATCH($B$1,[2]quests!$1:$1,0)+1),MATCH(D$1,[2]quests!$1:$1,0)-MATCH($B$1,[2]quests!$1:$1,0)+1,FALSE)</f>
        <v>平安01</v>
      </c>
      <c r="E3" s="77">
        <v>1</v>
      </c>
      <c r="F3" s="76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【初級】灼熱の舞姫</v>
      </c>
      <c r="G3" s="76" t="str">
        <f ca="1">VLOOKUP($B3&amp;"_"&amp;$E3,OFFSET([2]stages!$A$1,0,0,COUNTA([2]stages!$A:$A),MATCH(G$1,[2]stages!$2:$2,0)-MATCH("temp_stage",[2]stages!$2:$2,0)+1),MATCH(G$1,[2]stages!$2:$2,0)-MATCH("temp_stage",[2]stages!$2:$2,0)+1,FALSE)</f>
        <v>平安01</v>
      </c>
      <c r="H3" s="78">
        <v>2</v>
      </c>
      <c r="I3" s="83">
        <f t="shared" si="0"/>
        <v>2</v>
      </c>
      <c r="J3" s="79" t="str">
        <f t="shared" si="1"/>
        <v>2001902</v>
      </c>
      <c r="K3" s="77" t="s">
        <v>126</v>
      </c>
      <c r="L3" s="80" t="s">
        <v>198</v>
      </c>
      <c r="M3" s="157" t="s">
        <v>295</v>
      </c>
      <c r="N3" s="51" t="s">
        <v>199</v>
      </c>
    </row>
    <row r="4" spans="1:14" ht="28" x14ac:dyDescent="0.15">
      <c r="A4" s="74" t="s">
        <v>196</v>
      </c>
      <c r="B4" s="75">
        <f>floors!$C$2</f>
        <v>20019</v>
      </c>
      <c r="C4" s="76" t="str">
        <f ca="1">VLOOKUP($B4,OFFSET([2]quests!$A$1,0,0,COUNTA([2]quests!$A:$A),MATCH(C$1,[2]quests!$1:$1,0)-MATCH($B$1,[2]quests!$1:$1,0)+1),MATCH(C$1,[2]quests!$1:$1,0)-MATCH($B$1,[2]quests!$1:$1,0)+1,FALSE)</f>
        <v>灼熱の舞姫</v>
      </c>
      <c r="D4" s="76" t="str">
        <f ca="1">VLOOKUP($B4,OFFSET([2]quests!$A$1,0,0,COUNTA([2]quests!$A:$A),MATCH(D$1,[2]quests!$1:$1,0)-MATCH($B$1,[2]quests!$1:$1,0)+1),MATCH(D$1,[2]quests!$1:$1,0)-MATCH($B$1,[2]quests!$1:$1,0)+1,FALSE)</f>
        <v>平安01</v>
      </c>
      <c r="E4" s="77">
        <v>1</v>
      </c>
      <c r="F4" s="76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【初級】灼熱の舞姫</v>
      </c>
      <c r="G4" s="76" t="str">
        <f ca="1">VLOOKUP($B4&amp;"_"&amp;$E4,OFFSET([2]stages!$A$1,0,0,COUNTA([2]stages!$A:$A),MATCH(G$1,[2]stages!$2:$2,0)-MATCH("temp_stage",[2]stages!$2:$2,0)+1),MATCH(G$1,[2]stages!$2:$2,0)-MATCH("temp_stage",[2]stages!$2:$2,0)+1,FALSE)</f>
        <v>平安01</v>
      </c>
      <c r="H4" s="78">
        <v>3</v>
      </c>
      <c r="I4" s="83">
        <f t="shared" si="0"/>
        <v>3</v>
      </c>
      <c r="J4" s="79" t="str">
        <f t="shared" si="1"/>
        <v>2001903</v>
      </c>
      <c r="K4" s="77" t="s">
        <v>126</v>
      </c>
      <c r="L4" s="80" t="s">
        <v>198</v>
      </c>
      <c r="M4" s="157" t="s">
        <v>296</v>
      </c>
      <c r="N4" s="51" t="s">
        <v>199</v>
      </c>
    </row>
    <row r="5" spans="1:14" ht="28" x14ac:dyDescent="0.15">
      <c r="A5" s="74" t="s">
        <v>196</v>
      </c>
      <c r="B5" s="75">
        <f>floors!$C$2</f>
        <v>20019</v>
      </c>
      <c r="C5" s="76" t="str">
        <f ca="1">VLOOKUP($B5,OFFSET([2]quests!$A$1,0,0,COUNTA([2]quests!$A:$A),MATCH(C$1,[2]quests!$1:$1,0)-MATCH($B$1,[2]quests!$1:$1,0)+1),MATCH(C$1,[2]quests!$1:$1,0)-MATCH($B$1,[2]quests!$1:$1,0)+1,FALSE)</f>
        <v>灼熱の舞姫</v>
      </c>
      <c r="D5" s="76" t="str">
        <f ca="1">VLOOKUP($B5,OFFSET([2]quests!$A$1,0,0,COUNTA([2]quests!$A:$A),MATCH(D$1,[2]quests!$1:$1,0)-MATCH($B$1,[2]quests!$1:$1,0)+1),MATCH(D$1,[2]quests!$1:$1,0)-MATCH($B$1,[2]quests!$1:$1,0)+1,FALSE)</f>
        <v>平安01</v>
      </c>
      <c r="E5" s="77">
        <v>1</v>
      </c>
      <c r="F5" s="76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【初級】灼熱の舞姫</v>
      </c>
      <c r="G5" s="76" t="str">
        <f ca="1">VLOOKUP($B5&amp;"_"&amp;$E5,OFFSET([2]stages!$A$1,0,0,COUNTA([2]stages!$A:$A),MATCH(G$1,[2]stages!$2:$2,0)-MATCH("temp_stage",[2]stages!$2:$2,0)+1),MATCH(G$1,[2]stages!$2:$2,0)-MATCH("temp_stage",[2]stages!$2:$2,0)+1,FALSE)</f>
        <v>平安01</v>
      </c>
      <c r="H5" s="78">
        <v>4</v>
      </c>
      <c r="I5" s="83">
        <f t="shared" si="0"/>
        <v>4</v>
      </c>
      <c r="J5" s="79" t="str">
        <f t="shared" si="1"/>
        <v>2001904</v>
      </c>
      <c r="K5" s="77" t="s">
        <v>126</v>
      </c>
      <c r="L5" s="80" t="s">
        <v>198</v>
      </c>
      <c r="M5" s="157" t="s">
        <v>294</v>
      </c>
      <c r="N5" s="51" t="s">
        <v>199</v>
      </c>
    </row>
    <row r="6" spans="1:14" ht="28" x14ac:dyDescent="0.15">
      <c r="A6" s="74" t="s">
        <v>196</v>
      </c>
      <c r="B6" s="75">
        <f>floors!$C$2</f>
        <v>20019</v>
      </c>
      <c r="C6" s="76" t="str">
        <f ca="1">VLOOKUP($B6,OFFSET([2]quests!$A$1,0,0,COUNTA([2]quests!$A:$A),MATCH(C$1,[2]quests!$1:$1,0)-MATCH($B$1,[2]quests!$1:$1,0)+1),MATCH(C$1,[2]quests!$1:$1,0)-MATCH($B$1,[2]quests!$1:$1,0)+1,FALSE)</f>
        <v>灼熱の舞姫</v>
      </c>
      <c r="D6" s="76" t="str">
        <f ca="1">VLOOKUP($B6,OFFSET([2]quests!$A$1,0,0,COUNTA([2]quests!$A:$A),MATCH(D$1,[2]quests!$1:$1,0)-MATCH($B$1,[2]quests!$1:$1,0)+1),MATCH(D$1,[2]quests!$1:$1,0)-MATCH($B$1,[2]quests!$1:$1,0)+1,FALSE)</f>
        <v>平安01</v>
      </c>
      <c r="E6" s="77">
        <v>1</v>
      </c>
      <c r="F6" s="76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【初級】灼熱の舞姫</v>
      </c>
      <c r="G6" s="76" t="str">
        <f ca="1">VLOOKUP($B6&amp;"_"&amp;$E6,OFFSET([2]stages!$A$1,0,0,COUNTA([2]stages!$A:$A),MATCH(G$1,[2]stages!$2:$2,0)-MATCH("temp_stage",[2]stages!$2:$2,0)+1),MATCH(G$1,[2]stages!$2:$2,0)-MATCH("temp_stage",[2]stages!$2:$2,0)+1,FALSE)</f>
        <v>平安01</v>
      </c>
      <c r="H6" s="78">
        <v>4</v>
      </c>
      <c r="I6" s="83">
        <f t="shared" si="0"/>
        <v>5</v>
      </c>
      <c r="J6" s="79" t="str">
        <f t="shared" ref="J6" si="2">B6&amp;TEXT(I6,"00")</f>
        <v>2001905</v>
      </c>
      <c r="K6" s="77" t="s">
        <v>126</v>
      </c>
      <c r="L6" s="80" t="s">
        <v>198</v>
      </c>
      <c r="M6" s="157" t="s">
        <v>297</v>
      </c>
      <c r="N6" s="51" t="s">
        <v>199</v>
      </c>
    </row>
    <row r="7" spans="1:14" ht="28" x14ac:dyDescent="0.15">
      <c r="A7" s="74" t="s">
        <v>196</v>
      </c>
      <c r="B7" s="75">
        <f>floors!$C$2</f>
        <v>20019</v>
      </c>
      <c r="C7" s="76" t="str">
        <f ca="1">VLOOKUP($B7,OFFSET([2]quests!$A$1,0,0,COUNTA([2]quests!$A:$A),MATCH(C$1,[2]quests!$1:$1,0)-MATCH($B$1,[2]quests!$1:$1,0)+1),MATCH(C$1,[2]quests!$1:$1,0)-MATCH($B$1,[2]quests!$1:$1,0)+1,FALSE)</f>
        <v>灼熱の舞姫</v>
      </c>
      <c r="D7" s="76" t="str">
        <f ca="1">VLOOKUP($B7,OFFSET([2]quests!$A$1,0,0,COUNTA([2]quests!$A:$A),MATCH(D$1,[2]quests!$1:$1,0)-MATCH($B$1,[2]quests!$1:$1,0)+1),MATCH(D$1,[2]quests!$1:$1,0)-MATCH($B$1,[2]quests!$1:$1,0)+1,FALSE)</f>
        <v>平安01</v>
      </c>
      <c r="E7" s="77">
        <v>2</v>
      </c>
      <c r="F7" s="76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【中級】灼熱の舞姫</v>
      </c>
      <c r="G7" s="76" t="str">
        <f ca="1">VLOOKUP($B7&amp;"_"&amp;$E7,OFFSET([2]stages!$A$1,0,0,COUNTA([2]stages!$A:$A),MATCH(G$1,[2]stages!$2:$2,0)-MATCH("temp_stage",[2]stages!$2:$2,0)+1),MATCH(G$1,[2]stages!$2:$2,0)-MATCH("temp_stage",[2]stages!$2:$2,0)+1,FALSE)</f>
        <v>平安01</v>
      </c>
      <c r="H7" s="78">
        <v>1</v>
      </c>
      <c r="I7" s="83">
        <f t="shared" si="0"/>
        <v>6</v>
      </c>
      <c r="J7" s="79" t="str">
        <f t="shared" si="1"/>
        <v>2001906</v>
      </c>
      <c r="K7" s="77" t="s">
        <v>126</v>
      </c>
      <c r="L7" s="80" t="s">
        <v>198</v>
      </c>
      <c r="M7" s="157" t="s">
        <v>293</v>
      </c>
      <c r="N7" s="51" t="s">
        <v>199</v>
      </c>
    </row>
    <row r="8" spans="1:14" ht="28" x14ac:dyDescent="0.15">
      <c r="A8" s="74" t="s">
        <v>196</v>
      </c>
      <c r="B8" s="75">
        <f>floors!$C$2</f>
        <v>20019</v>
      </c>
      <c r="C8" s="76" t="str">
        <f ca="1">VLOOKUP($B8,OFFSET([2]quests!$A$1,0,0,COUNTA([2]quests!$A:$A),MATCH(C$1,[2]quests!$1:$1,0)-MATCH($B$1,[2]quests!$1:$1,0)+1),MATCH(C$1,[2]quests!$1:$1,0)-MATCH($B$1,[2]quests!$1:$1,0)+1,FALSE)</f>
        <v>灼熱の舞姫</v>
      </c>
      <c r="D8" s="76" t="str">
        <f ca="1">VLOOKUP($B8,OFFSET([2]quests!$A$1,0,0,COUNTA([2]quests!$A:$A),MATCH(D$1,[2]quests!$1:$1,0)-MATCH($B$1,[2]quests!$1:$1,0)+1),MATCH(D$1,[2]quests!$1:$1,0)-MATCH($B$1,[2]quests!$1:$1,0)+1,FALSE)</f>
        <v>平安01</v>
      </c>
      <c r="E8" s="77">
        <v>2</v>
      </c>
      <c r="F8" s="76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【中級】灼熱の舞姫</v>
      </c>
      <c r="G8" s="76" t="str">
        <f ca="1">VLOOKUP($B8&amp;"_"&amp;$E8,OFFSET([2]stages!$A$1,0,0,COUNTA([2]stages!$A:$A),MATCH(G$1,[2]stages!$2:$2,0)-MATCH("temp_stage",[2]stages!$2:$2,0)+1),MATCH(G$1,[2]stages!$2:$2,0)-MATCH("temp_stage",[2]stages!$2:$2,0)+1,FALSE)</f>
        <v>平安01</v>
      </c>
      <c r="H8" s="78">
        <v>2</v>
      </c>
      <c r="I8" s="83">
        <f t="shared" si="0"/>
        <v>7</v>
      </c>
      <c r="J8" s="79" t="str">
        <f t="shared" si="1"/>
        <v>2001907</v>
      </c>
      <c r="K8" s="77" t="s">
        <v>126</v>
      </c>
      <c r="L8" s="80" t="s">
        <v>198</v>
      </c>
      <c r="M8" s="157" t="s">
        <v>298</v>
      </c>
      <c r="N8" s="51" t="s">
        <v>199</v>
      </c>
    </row>
    <row r="9" spans="1:14" ht="28" x14ac:dyDescent="0.15">
      <c r="A9" s="74" t="s">
        <v>196</v>
      </c>
      <c r="B9" s="75">
        <f>floors!$C$2</f>
        <v>20019</v>
      </c>
      <c r="C9" s="76" t="str">
        <f ca="1">VLOOKUP($B9,OFFSET([2]quests!$A$1,0,0,COUNTA([2]quests!$A:$A),MATCH(C$1,[2]quests!$1:$1,0)-MATCH($B$1,[2]quests!$1:$1,0)+1),MATCH(C$1,[2]quests!$1:$1,0)-MATCH($B$1,[2]quests!$1:$1,0)+1,FALSE)</f>
        <v>灼熱の舞姫</v>
      </c>
      <c r="D9" s="76" t="str">
        <f ca="1">VLOOKUP($B9,OFFSET([2]quests!$A$1,0,0,COUNTA([2]quests!$A:$A),MATCH(D$1,[2]quests!$1:$1,0)-MATCH($B$1,[2]quests!$1:$1,0)+1),MATCH(D$1,[2]quests!$1:$1,0)-MATCH($B$1,[2]quests!$1:$1,0)+1,FALSE)</f>
        <v>平安01</v>
      </c>
      <c r="E9" s="77">
        <v>2</v>
      </c>
      <c r="F9" s="76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【中級】灼熱の舞姫</v>
      </c>
      <c r="G9" s="76" t="str">
        <f ca="1">VLOOKUP($B9&amp;"_"&amp;$E9,OFFSET([2]stages!$A$1,0,0,COUNTA([2]stages!$A:$A),MATCH(G$1,[2]stages!$2:$2,0)-MATCH("temp_stage",[2]stages!$2:$2,0)+1),MATCH(G$1,[2]stages!$2:$2,0)-MATCH("temp_stage",[2]stages!$2:$2,0)+1,FALSE)</f>
        <v>平安01</v>
      </c>
      <c r="H9" s="78">
        <v>3</v>
      </c>
      <c r="I9" s="83">
        <f t="shared" si="0"/>
        <v>8</v>
      </c>
      <c r="J9" s="79" t="str">
        <f t="shared" si="1"/>
        <v>2001908</v>
      </c>
      <c r="K9" s="77" t="s">
        <v>126</v>
      </c>
      <c r="L9" s="80" t="s">
        <v>198</v>
      </c>
      <c r="M9" s="157" t="s">
        <v>299</v>
      </c>
      <c r="N9" s="51" t="s">
        <v>199</v>
      </c>
    </row>
    <row r="10" spans="1:14" ht="28" x14ac:dyDescent="0.15">
      <c r="A10" s="74" t="s">
        <v>196</v>
      </c>
      <c r="B10" s="75">
        <f>floors!$C$2</f>
        <v>20019</v>
      </c>
      <c r="C10" s="76" t="str">
        <f ca="1">VLOOKUP($B10,OFFSET([2]quests!$A$1,0,0,COUNTA([2]quests!$A:$A),MATCH(C$1,[2]quests!$1:$1,0)-MATCH($B$1,[2]quests!$1:$1,0)+1),MATCH(C$1,[2]quests!$1:$1,0)-MATCH($B$1,[2]quests!$1:$1,0)+1,FALSE)</f>
        <v>灼熱の舞姫</v>
      </c>
      <c r="D10" s="76" t="str">
        <f ca="1">VLOOKUP($B10,OFFSET([2]quests!$A$1,0,0,COUNTA([2]quests!$A:$A),MATCH(D$1,[2]quests!$1:$1,0)-MATCH($B$1,[2]quests!$1:$1,0)+1),MATCH(D$1,[2]quests!$1:$1,0)-MATCH($B$1,[2]quests!$1:$1,0)+1,FALSE)</f>
        <v>平安01</v>
      </c>
      <c r="E10" s="77">
        <v>2</v>
      </c>
      <c r="F10" s="76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【中級】灼熱の舞姫</v>
      </c>
      <c r="G10" s="76" t="str">
        <f ca="1">VLOOKUP($B10&amp;"_"&amp;$E10,OFFSET([2]stages!$A$1,0,0,COUNTA([2]stages!$A:$A),MATCH(G$1,[2]stages!$2:$2,0)-MATCH("temp_stage",[2]stages!$2:$2,0)+1),MATCH(G$1,[2]stages!$2:$2,0)-MATCH("temp_stage",[2]stages!$2:$2,0)+1,FALSE)</f>
        <v>平安01</v>
      </c>
      <c r="H10" s="78">
        <v>4</v>
      </c>
      <c r="I10" s="83">
        <f t="shared" si="0"/>
        <v>9</v>
      </c>
      <c r="J10" s="79" t="str">
        <f t="shared" si="1"/>
        <v>2001909</v>
      </c>
      <c r="K10" s="77" t="s">
        <v>126</v>
      </c>
      <c r="L10" s="80" t="s">
        <v>198</v>
      </c>
      <c r="M10" s="157" t="s">
        <v>300</v>
      </c>
      <c r="N10" s="51" t="s">
        <v>199</v>
      </c>
    </row>
    <row r="11" spans="1:14" ht="28" x14ac:dyDescent="0.15">
      <c r="A11" s="74" t="s">
        <v>196</v>
      </c>
      <c r="B11" s="75">
        <f>floors!$C$2</f>
        <v>20019</v>
      </c>
      <c r="C11" s="76" t="str">
        <f ca="1">VLOOKUP($B11,OFFSET([2]quests!$A$1,0,0,COUNTA([2]quests!$A:$A),MATCH(C$1,[2]quests!$1:$1,0)-MATCH($B$1,[2]quests!$1:$1,0)+1),MATCH(C$1,[2]quests!$1:$1,0)-MATCH($B$1,[2]quests!$1:$1,0)+1,FALSE)</f>
        <v>灼熱の舞姫</v>
      </c>
      <c r="D11" s="76" t="str">
        <f ca="1">VLOOKUP($B11,OFFSET([2]quests!$A$1,0,0,COUNTA([2]quests!$A:$A),MATCH(D$1,[2]quests!$1:$1,0)-MATCH($B$1,[2]quests!$1:$1,0)+1),MATCH(D$1,[2]quests!$1:$1,0)-MATCH($B$1,[2]quests!$1:$1,0)+1,FALSE)</f>
        <v>平安01</v>
      </c>
      <c r="E11" s="77">
        <v>2</v>
      </c>
      <c r="F11" s="76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【中級】灼熱の舞姫</v>
      </c>
      <c r="G11" s="76" t="str">
        <f ca="1">VLOOKUP($B11&amp;"_"&amp;$E11,OFFSET([2]stages!$A$1,0,0,COUNTA([2]stages!$A:$A),MATCH(G$1,[2]stages!$2:$2,0)-MATCH("temp_stage",[2]stages!$2:$2,0)+1),MATCH(G$1,[2]stages!$2:$2,0)-MATCH("temp_stage",[2]stages!$2:$2,0)+1,FALSE)</f>
        <v>平安01</v>
      </c>
      <c r="H11" s="78">
        <v>4</v>
      </c>
      <c r="I11" s="83">
        <f t="shared" si="0"/>
        <v>10</v>
      </c>
      <c r="J11" s="79" t="str">
        <f t="shared" ref="J11" si="3">B11&amp;TEXT(I11,"00")</f>
        <v>2001910</v>
      </c>
      <c r="K11" s="77" t="s">
        <v>126</v>
      </c>
      <c r="L11" s="80" t="s">
        <v>198</v>
      </c>
      <c r="M11" s="157" t="s">
        <v>301</v>
      </c>
      <c r="N11" s="51" t="s">
        <v>199</v>
      </c>
    </row>
    <row r="12" spans="1:14" ht="28" x14ac:dyDescent="0.15">
      <c r="A12" s="74" t="s">
        <v>196</v>
      </c>
      <c r="B12" s="75">
        <f>floors!$C$2</f>
        <v>20019</v>
      </c>
      <c r="C12" s="76" t="str">
        <f ca="1">VLOOKUP($B12,OFFSET([2]quests!$A$1,0,0,COUNTA([2]quests!$A:$A),MATCH(C$1,[2]quests!$1:$1,0)-MATCH($B$1,[2]quests!$1:$1,0)+1),MATCH(C$1,[2]quests!$1:$1,0)-MATCH($B$1,[2]quests!$1:$1,0)+1,FALSE)</f>
        <v>灼熱の舞姫</v>
      </c>
      <c r="D12" s="76" t="str">
        <f ca="1">VLOOKUP($B12,OFFSET([2]quests!$A$1,0,0,COUNTA([2]quests!$A:$A),MATCH(D$1,[2]quests!$1:$1,0)-MATCH($B$1,[2]quests!$1:$1,0)+1),MATCH(D$1,[2]quests!$1:$1,0)-MATCH($B$1,[2]quests!$1:$1,0)+1,FALSE)</f>
        <v>平安01</v>
      </c>
      <c r="E12" s="77">
        <v>3</v>
      </c>
      <c r="F12" s="76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【上級】灼熱の舞姫</v>
      </c>
      <c r="G12" s="76" t="str">
        <f ca="1">VLOOKUP($B12&amp;"_"&amp;$E12,OFFSET([2]stages!$A$1,0,0,COUNTA([2]stages!$A:$A),MATCH(G$1,[2]stages!$2:$2,0)-MATCH("temp_stage",[2]stages!$2:$2,0)+1),MATCH(G$1,[2]stages!$2:$2,0)-MATCH("temp_stage",[2]stages!$2:$2,0)+1,FALSE)</f>
        <v>平安01</v>
      </c>
      <c r="H12" s="78">
        <v>1</v>
      </c>
      <c r="I12" s="83">
        <f t="shared" si="0"/>
        <v>11</v>
      </c>
      <c r="J12" s="79" t="str">
        <f t="shared" si="1"/>
        <v>2001911</v>
      </c>
      <c r="K12" s="77" t="s">
        <v>126</v>
      </c>
      <c r="L12" s="80" t="s">
        <v>198</v>
      </c>
      <c r="M12" s="157" t="s">
        <v>302</v>
      </c>
      <c r="N12" s="51" t="s">
        <v>199</v>
      </c>
    </row>
    <row r="13" spans="1:14" ht="28" x14ac:dyDescent="0.15">
      <c r="A13" s="74" t="s">
        <v>196</v>
      </c>
      <c r="B13" s="75">
        <f>floors!$C$2</f>
        <v>20019</v>
      </c>
      <c r="C13" s="76" t="str">
        <f ca="1">VLOOKUP($B13,OFFSET([2]quests!$A$1,0,0,COUNTA([2]quests!$A:$A),MATCH(C$1,[2]quests!$1:$1,0)-MATCH($B$1,[2]quests!$1:$1,0)+1),MATCH(C$1,[2]quests!$1:$1,0)-MATCH($B$1,[2]quests!$1:$1,0)+1,FALSE)</f>
        <v>灼熱の舞姫</v>
      </c>
      <c r="D13" s="76" t="str">
        <f ca="1">VLOOKUP($B13,OFFSET([2]quests!$A$1,0,0,COUNTA([2]quests!$A:$A),MATCH(D$1,[2]quests!$1:$1,0)-MATCH($B$1,[2]quests!$1:$1,0)+1),MATCH(D$1,[2]quests!$1:$1,0)-MATCH($B$1,[2]quests!$1:$1,0)+1,FALSE)</f>
        <v>平安01</v>
      </c>
      <c r="E13" s="77">
        <v>3</v>
      </c>
      <c r="F13" s="76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【上級】灼熱の舞姫</v>
      </c>
      <c r="G13" s="76" t="str">
        <f ca="1">VLOOKUP($B13&amp;"_"&amp;$E13,OFFSET([2]stages!$A$1,0,0,COUNTA([2]stages!$A:$A),MATCH(G$1,[2]stages!$2:$2,0)-MATCH("temp_stage",[2]stages!$2:$2,0)+1),MATCH(G$1,[2]stages!$2:$2,0)-MATCH("temp_stage",[2]stages!$2:$2,0)+1,FALSE)</f>
        <v>平安01</v>
      </c>
      <c r="H13" s="78">
        <v>2</v>
      </c>
      <c r="I13" s="83">
        <f t="shared" si="0"/>
        <v>12</v>
      </c>
      <c r="J13" s="79" t="str">
        <f t="shared" si="1"/>
        <v>2001912</v>
      </c>
      <c r="K13" s="77" t="s">
        <v>126</v>
      </c>
      <c r="L13" s="80" t="s">
        <v>198</v>
      </c>
      <c r="M13" s="157" t="s">
        <v>303</v>
      </c>
      <c r="N13" s="51" t="s">
        <v>199</v>
      </c>
    </row>
    <row r="14" spans="1:14" ht="28" x14ac:dyDescent="0.15">
      <c r="A14" s="74" t="s">
        <v>196</v>
      </c>
      <c r="B14" s="75">
        <f>floors!$C$2</f>
        <v>20019</v>
      </c>
      <c r="C14" s="76" t="str">
        <f ca="1">VLOOKUP($B14,OFFSET([2]quests!$A$1,0,0,COUNTA([2]quests!$A:$A),MATCH(C$1,[2]quests!$1:$1,0)-MATCH($B$1,[2]quests!$1:$1,0)+1),MATCH(C$1,[2]quests!$1:$1,0)-MATCH($B$1,[2]quests!$1:$1,0)+1,FALSE)</f>
        <v>灼熱の舞姫</v>
      </c>
      <c r="D14" s="76" t="str">
        <f ca="1">VLOOKUP($B14,OFFSET([2]quests!$A$1,0,0,COUNTA([2]quests!$A:$A),MATCH(D$1,[2]quests!$1:$1,0)-MATCH($B$1,[2]quests!$1:$1,0)+1),MATCH(D$1,[2]quests!$1:$1,0)-MATCH($B$1,[2]quests!$1:$1,0)+1,FALSE)</f>
        <v>平安01</v>
      </c>
      <c r="E14" s="77">
        <v>3</v>
      </c>
      <c r="F14" s="76" t="str">
        <f ca="1">VLOOKUP($B14&amp;"_"&amp;$E14,OFFSET([2]stages!$A$1,0,0,COUNTA([2]stages!$A:$A),MATCH(F$1,[2]stages!$2:$2,0)-MATCH("temp_stage",[2]stages!$2:$2,0)+1),MATCH(F$1,[2]stages!$2:$2,0)-MATCH("temp_stage",[2]stages!$2:$2,0)+1,FALSE)</f>
        <v>【上級】灼熱の舞姫</v>
      </c>
      <c r="G14" s="76" t="str">
        <f ca="1">VLOOKUP($B14&amp;"_"&amp;$E14,OFFSET([2]stages!$A$1,0,0,COUNTA([2]stages!$A:$A),MATCH(G$1,[2]stages!$2:$2,0)-MATCH("temp_stage",[2]stages!$2:$2,0)+1),MATCH(G$1,[2]stages!$2:$2,0)-MATCH("temp_stage",[2]stages!$2:$2,0)+1,FALSE)</f>
        <v>平安01</v>
      </c>
      <c r="H14" s="78">
        <v>3</v>
      </c>
      <c r="I14" s="83">
        <f t="shared" si="0"/>
        <v>13</v>
      </c>
      <c r="J14" s="79" t="str">
        <f t="shared" si="1"/>
        <v>2001913</v>
      </c>
      <c r="K14" s="77" t="s">
        <v>126</v>
      </c>
      <c r="L14" s="80" t="s">
        <v>198</v>
      </c>
      <c r="M14" s="157" t="s">
        <v>299</v>
      </c>
      <c r="N14" s="51" t="s">
        <v>199</v>
      </c>
    </row>
    <row r="15" spans="1:14" ht="28" x14ac:dyDescent="0.15">
      <c r="A15" s="74" t="s">
        <v>196</v>
      </c>
      <c r="B15" s="75">
        <f>floors!$C$2</f>
        <v>20019</v>
      </c>
      <c r="C15" s="76" t="str">
        <f ca="1">VLOOKUP($B15,OFFSET([2]quests!$A$1,0,0,COUNTA([2]quests!$A:$A),MATCH(C$1,[2]quests!$1:$1,0)-MATCH($B$1,[2]quests!$1:$1,0)+1),MATCH(C$1,[2]quests!$1:$1,0)-MATCH($B$1,[2]quests!$1:$1,0)+1,FALSE)</f>
        <v>灼熱の舞姫</v>
      </c>
      <c r="D15" s="76" t="str">
        <f ca="1">VLOOKUP($B15,OFFSET([2]quests!$A$1,0,0,COUNTA([2]quests!$A:$A),MATCH(D$1,[2]quests!$1:$1,0)-MATCH($B$1,[2]quests!$1:$1,0)+1),MATCH(D$1,[2]quests!$1:$1,0)-MATCH($B$1,[2]quests!$1:$1,0)+1,FALSE)</f>
        <v>平安01</v>
      </c>
      <c r="E15" s="77">
        <v>3</v>
      </c>
      <c r="F15" s="76" t="str">
        <f ca="1">VLOOKUP($B15&amp;"_"&amp;$E15,OFFSET([2]stages!$A$1,0,0,COUNTA([2]stages!$A:$A),MATCH(F$1,[2]stages!$2:$2,0)-MATCH("temp_stage",[2]stages!$2:$2,0)+1),MATCH(F$1,[2]stages!$2:$2,0)-MATCH("temp_stage",[2]stages!$2:$2,0)+1,FALSE)</f>
        <v>【上級】灼熱の舞姫</v>
      </c>
      <c r="G15" s="76" t="str">
        <f ca="1">VLOOKUP($B15&amp;"_"&amp;$E15,OFFSET([2]stages!$A$1,0,0,COUNTA([2]stages!$A:$A),MATCH(G$1,[2]stages!$2:$2,0)-MATCH("temp_stage",[2]stages!$2:$2,0)+1),MATCH(G$1,[2]stages!$2:$2,0)-MATCH("temp_stage",[2]stages!$2:$2,0)+1,FALSE)</f>
        <v>平安01</v>
      </c>
      <c r="H15" s="78">
        <v>4</v>
      </c>
      <c r="I15" s="83">
        <f t="shared" si="0"/>
        <v>14</v>
      </c>
      <c r="J15" s="79" t="str">
        <f t="shared" si="1"/>
        <v>2001914</v>
      </c>
      <c r="K15" s="77" t="s">
        <v>126</v>
      </c>
      <c r="L15" s="80" t="s">
        <v>198</v>
      </c>
      <c r="M15" s="157" t="s">
        <v>300</v>
      </c>
      <c r="N15" s="51" t="s">
        <v>199</v>
      </c>
    </row>
    <row r="16" spans="1:14" ht="28" x14ac:dyDescent="0.15">
      <c r="A16" s="74" t="s">
        <v>196</v>
      </c>
      <c r="B16" s="75">
        <f>floors!$C$2</f>
        <v>20019</v>
      </c>
      <c r="C16" s="76" t="str">
        <f ca="1">VLOOKUP($B16,OFFSET([2]quests!$A$1,0,0,COUNTA([2]quests!$A:$A),MATCH(C$1,[2]quests!$1:$1,0)-MATCH($B$1,[2]quests!$1:$1,0)+1),MATCH(C$1,[2]quests!$1:$1,0)-MATCH($B$1,[2]quests!$1:$1,0)+1,FALSE)</f>
        <v>灼熱の舞姫</v>
      </c>
      <c r="D16" s="76" t="str">
        <f ca="1">VLOOKUP($B16,OFFSET([2]quests!$A$1,0,0,COUNTA([2]quests!$A:$A),MATCH(D$1,[2]quests!$1:$1,0)-MATCH($B$1,[2]quests!$1:$1,0)+1),MATCH(D$1,[2]quests!$1:$1,0)-MATCH($B$1,[2]quests!$1:$1,0)+1,FALSE)</f>
        <v>平安01</v>
      </c>
      <c r="E16" s="77">
        <v>3</v>
      </c>
      <c r="F16" s="76" t="str">
        <f ca="1">VLOOKUP($B16&amp;"_"&amp;$E16,OFFSET([2]stages!$A$1,0,0,COUNTA([2]stages!$A:$A),MATCH(F$1,[2]stages!$2:$2,0)-MATCH("temp_stage",[2]stages!$2:$2,0)+1),MATCH(F$1,[2]stages!$2:$2,0)-MATCH("temp_stage",[2]stages!$2:$2,0)+1,FALSE)</f>
        <v>【上級】灼熱の舞姫</v>
      </c>
      <c r="G16" s="76" t="str">
        <f ca="1">VLOOKUP($B16&amp;"_"&amp;$E16,OFFSET([2]stages!$A$1,0,0,COUNTA([2]stages!$A:$A),MATCH(G$1,[2]stages!$2:$2,0)-MATCH("temp_stage",[2]stages!$2:$2,0)+1),MATCH(G$1,[2]stages!$2:$2,0)-MATCH("temp_stage",[2]stages!$2:$2,0)+1,FALSE)</f>
        <v>平安01</v>
      </c>
      <c r="H16" s="78">
        <v>4</v>
      </c>
      <c r="I16" s="83">
        <f t="shared" si="0"/>
        <v>15</v>
      </c>
      <c r="J16" s="79" t="str">
        <f t="shared" ref="J16" si="4">B16&amp;TEXT(I16,"00")</f>
        <v>2001915</v>
      </c>
      <c r="K16" s="77" t="s">
        <v>126</v>
      </c>
      <c r="L16" s="80" t="s">
        <v>198</v>
      </c>
      <c r="M16" s="157" t="s">
        <v>304</v>
      </c>
      <c r="N16" s="51" t="s">
        <v>199</v>
      </c>
    </row>
  </sheetData>
  <phoneticPr fontId="5"/>
  <dataValidations count="1">
    <dataValidation type="list" allowBlank="1" showInputMessage="1" showErrorMessage="1" sqref="A2:A1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0" t="s">
        <v>213</v>
      </c>
      <c r="B1" s="91" t="s">
        <v>214</v>
      </c>
      <c r="C1" s="70" t="s">
        <v>215</v>
      </c>
      <c r="D1" s="70" t="s">
        <v>33</v>
      </c>
      <c r="E1" s="91" t="s">
        <v>216</v>
      </c>
      <c r="F1" s="70" t="s">
        <v>217</v>
      </c>
      <c r="G1" s="70" t="s">
        <v>33</v>
      </c>
      <c r="H1" s="91" t="s">
        <v>218</v>
      </c>
      <c r="I1" s="91" t="s">
        <v>219</v>
      </c>
      <c r="J1" s="91" t="s">
        <v>220</v>
      </c>
      <c r="K1" s="66" t="s">
        <v>221</v>
      </c>
      <c r="L1" s="66" t="s">
        <v>222</v>
      </c>
      <c r="M1" s="66" t="s">
        <v>155</v>
      </c>
      <c r="N1" s="70" t="s">
        <v>16</v>
      </c>
      <c r="O1" s="66" t="s">
        <v>223</v>
      </c>
      <c r="P1" s="66" t="s">
        <v>57</v>
      </c>
      <c r="Q1" s="66" t="s">
        <v>224</v>
      </c>
      <c r="R1" s="66" t="s">
        <v>38</v>
      </c>
      <c r="S1" s="66" t="s">
        <v>40</v>
      </c>
      <c r="T1" s="66" t="s">
        <v>42</v>
      </c>
      <c r="U1" s="66" t="s">
        <v>44</v>
      </c>
      <c r="V1" s="66" t="s">
        <v>46</v>
      </c>
      <c r="W1" s="66" t="s">
        <v>225</v>
      </c>
      <c r="X1" s="66" t="s">
        <v>226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2017-03-08T03:55:22Z</dcterms:modified>
</cp:coreProperties>
</file>