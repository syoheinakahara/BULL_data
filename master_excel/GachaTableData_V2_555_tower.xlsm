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240" yWindow="-18440" windowWidth="25840" windowHeight="18440" tabRatio="943" activeTab="2"/>
  </bookViews>
  <sheets>
    <sheet name="確率の考え方" sheetId="110" r:id="rId1"/>
    <sheet name="Sheet1" sheetId="107" r:id="rId2"/>
    <sheet name="output" sheetId="103" r:id="rId3"/>
    <sheet name="input_555010" sheetId="157" r:id="rId4"/>
    <sheet name="tables_555010" sheetId="158" r:id="rId5"/>
    <sheet name="input_555100" sheetId="153" r:id="rId6"/>
    <sheet name="tables_555100" sheetId="154" r:id="rId7"/>
    <sheet name="input_settle_555100" sheetId="159" r:id="rId8"/>
    <sheet name="tables_settle_555100" sheetId="160" r:id="rId9"/>
    <sheet name="gacha_bonus_tables" sheetId="98" r:id="rId10"/>
    <sheet name="R6追加前" sheetId="111" r:id="rId11"/>
    <sheet name="R6開放" sheetId="112" r:id="rId12"/>
  </sheets>
  <externalReferences>
    <externalReference r:id="rId13"/>
  </externalReferences>
  <definedNames>
    <definedName name="_xlnm._FilterDatabase" localSheetId="9" hidden="1">gacha_bonus_tables!$A$1:$F$1</definedName>
    <definedName name="_xlnm._FilterDatabase" localSheetId="4" hidden="1">tables_555010!$A$1:$V$294</definedName>
    <definedName name="_xlnm._FilterDatabase" localSheetId="6" hidden="1">tables_555100!$A$1:$V$294</definedName>
    <definedName name="_xlnm._FilterDatabase" localSheetId="8" hidden="1">tables_settle_555100!$A$1:$V$294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59" l="1"/>
  <c r="I355" i="160"/>
  <c r="D355" i="160"/>
  <c r="J355" i="160"/>
  <c r="E355" i="160"/>
  <c r="C355" i="160"/>
  <c r="I2" i="160"/>
  <c r="J2" i="160"/>
  <c r="D2" i="160"/>
  <c r="E2" i="160"/>
  <c r="C2" i="160"/>
  <c r="I3" i="160"/>
  <c r="J3" i="160"/>
  <c r="D3" i="160"/>
  <c r="E3" i="160"/>
  <c r="C3" i="160"/>
  <c r="I4" i="160"/>
  <c r="J4" i="160"/>
  <c r="D4" i="160"/>
  <c r="E4" i="160"/>
  <c r="C4" i="160"/>
  <c r="I5" i="160"/>
  <c r="J5" i="160"/>
  <c r="D5" i="160"/>
  <c r="E5" i="160"/>
  <c r="C5" i="160"/>
  <c r="I6" i="160"/>
  <c r="J6" i="160"/>
  <c r="D6" i="160"/>
  <c r="E6" i="160"/>
  <c r="C6" i="160"/>
  <c r="I7" i="160"/>
  <c r="J7" i="160"/>
  <c r="D7" i="160"/>
  <c r="E7" i="160"/>
  <c r="C7" i="160"/>
  <c r="I8" i="160"/>
  <c r="J8" i="160"/>
  <c r="D8" i="160"/>
  <c r="E8" i="160"/>
  <c r="C8" i="160"/>
  <c r="I9" i="160"/>
  <c r="J9" i="160"/>
  <c r="D9" i="160"/>
  <c r="E9" i="160"/>
  <c r="C9" i="160"/>
  <c r="I10" i="160"/>
  <c r="J10" i="160"/>
  <c r="D10" i="160"/>
  <c r="E10" i="160"/>
  <c r="C10" i="160"/>
  <c r="I11" i="160"/>
  <c r="J11" i="160"/>
  <c r="D11" i="160"/>
  <c r="E11" i="160"/>
  <c r="C11" i="160"/>
  <c r="I12" i="160"/>
  <c r="J12" i="160"/>
  <c r="D12" i="160"/>
  <c r="E12" i="160"/>
  <c r="C12" i="160"/>
  <c r="I13" i="160"/>
  <c r="J13" i="160"/>
  <c r="D13" i="160"/>
  <c r="E13" i="160"/>
  <c r="C13" i="160"/>
  <c r="I14" i="160"/>
  <c r="J14" i="160"/>
  <c r="D14" i="160"/>
  <c r="E14" i="160"/>
  <c r="C14" i="160"/>
  <c r="I15" i="160"/>
  <c r="J15" i="160"/>
  <c r="D15" i="160"/>
  <c r="E15" i="160"/>
  <c r="C15" i="160"/>
  <c r="I16" i="160"/>
  <c r="J16" i="160"/>
  <c r="D16" i="160"/>
  <c r="E16" i="160"/>
  <c r="C16" i="160"/>
  <c r="I17" i="160"/>
  <c r="J17" i="160"/>
  <c r="D17" i="160"/>
  <c r="E17" i="160"/>
  <c r="C17" i="160"/>
  <c r="I18" i="160"/>
  <c r="J18" i="160"/>
  <c r="D18" i="160"/>
  <c r="E18" i="160"/>
  <c r="C18" i="160"/>
  <c r="I19" i="160"/>
  <c r="J19" i="160"/>
  <c r="D19" i="160"/>
  <c r="E19" i="160"/>
  <c r="C19" i="160"/>
  <c r="I20" i="160"/>
  <c r="J20" i="160"/>
  <c r="D20" i="160"/>
  <c r="E20" i="160"/>
  <c r="C20" i="160"/>
  <c r="I21" i="160"/>
  <c r="J21" i="160"/>
  <c r="D21" i="160"/>
  <c r="E21" i="160"/>
  <c r="C21" i="160"/>
  <c r="I22" i="160"/>
  <c r="J22" i="160"/>
  <c r="D22" i="160"/>
  <c r="E22" i="160"/>
  <c r="C22" i="160"/>
  <c r="I23" i="160"/>
  <c r="J23" i="160"/>
  <c r="D23" i="160"/>
  <c r="E23" i="160"/>
  <c r="C23" i="160"/>
  <c r="I24" i="160"/>
  <c r="J24" i="160"/>
  <c r="D24" i="160"/>
  <c r="E24" i="160"/>
  <c r="C24" i="160"/>
  <c r="I25" i="160"/>
  <c r="J25" i="160"/>
  <c r="D25" i="160"/>
  <c r="E25" i="160"/>
  <c r="C25" i="160"/>
  <c r="I26" i="160"/>
  <c r="J26" i="160"/>
  <c r="D26" i="160"/>
  <c r="E26" i="160"/>
  <c r="C26" i="160"/>
  <c r="I27" i="160"/>
  <c r="J27" i="160"/>
  <c r="D27" i="160"/>
  <c r="E27" i="160"/>
  <c r="C27" i="160"/>
  <c r="I28" i="160"/>
  <c r="J28" i="160"/>
  <c r="D28" i="160"/>
  <c r="E28" i="160"/>
  <c r="C28" i="160"/>
  <c r="I29" i="160"/>
  <c r="J29" i="160"/>
  <c r="D29" i="160"/>
  <c r="E29" i="160"/>
  <c r="C29" i="160"/>
  <c r="I30" i="160"/>
  <c r="J30" i="160"/>
  <c r="D30" i="160"/>
  <c r="E30" i="160"/>
  <c r="C30" i="160"/>
  <c r="I31" i="160"/>
  <c r="J31" i="160"/>
  <c r="D31" i="160"/>
  <c r="E31" i="160"/>
  <c r="C31" i="160"/>
  <c r="I32" i="160"/>
  <c r="J32" i="160"/>
  <c r="D32" i="160"/>
  <c r="E32" i="160"/>
  <c r="C32" i="160"/>
  <c r="I33" i="160"/>
  <c r="J33" i="160"/>
  <c r="D33" i="160"/>
  <c r="E33" i="160"/>
  <c r="C33" i="160"/>
  <c r="I34" i="160"/>
  <c r="J34" i="160"/>
  <c r="D34" i="160"/>
  <c r="E34" i="160"/>
  <c r="C34" i="160"/>
  <c r="I35" i="160"/>
  <c r="J35" i="160"/>
  <c r="D35" i="160"/>
  <c r="E35" i="160"/>
  <c r="C35" i="160"/>
  <c r="I36" i="160"/>
  <c r="J36" i="160"/>
  <c r="D36" i="160"/>
  <c r="E36" i="160"/>
  <c r="C36" i="160"/>
  <c r="I37" i="160"/>
  <c r="J37" i="160"/>
  <c r="D37" i="160"/>
  <c r="E37" i="160"/>
  <c r="C37" i="160"/>
  <c r="I38" i="160"/>
  <c r="J38" i="160"/>
  <c r="D38" i="160"/>
  <c r="E38" i="160"/>
  <c r="C38" i="160"/>
  <c r="I39" i="160"/>
  <c r="J39" i="160"/>
  <c r="D39" i="160"/>
  <c r="E39" i="160"/>
  <c r="C39" i="160"/>
  <c r="I40" i="160"/>
  <c r="J40" i="160"/>
  <c r="D40" i="160"/>
  <c r="E40" i="160"/>
  <c r="C40" i="160"/>
  <c r="I41" i="160"/>
  <c r="J41" i="160"/>
  <c r="D41" i="160"/>
  <c r="E41" i="160"/>
  <c r="C41" i="160"/>
  <c r="I42" i="160"/>
  <c r="D42" i="160"/>
  <c r="J42" i="160"/>
  <c r="E42" i="160"/>
  <c r="C42" i="160"/>
  <c r="I43" i="160"/>
  <c r="D43" i="160"/>
  <c r="J43" i="160"/>
  <c r="E43" i="160"/>
  <c r="C43" i="160"/>
  <c r="I44" i="160"/>
  <c r="D44" i="160"/>
  <c r="J44" i="160"/>
  <c r="E44" i="160"/>
  <c r="C44" i="160"/>
  <c r="I45" i="160"/>
  <c r="D45" i="160"/>
  <c r="J45" i="160"/>
  <c r="E45" i="160"/>
  <c r="C45" i="160"/>
  <c r="I46" i="160"/>
  <c r="D46" i="160"/>
  <c r="J46" i="160"/>
  <c r="E46" i="160"/>
  <c r="C46" i="160"/>
  <c r="I47" i="160"/>
  <c r="D47" i="160"/>
  <c r="J47" i="160"/>
  <c r="E47" i="160"/>
  <c r="C47" i="160"/>
  <c r="I48" i="160"/>
  <c r="D48" i="160"/>
  <c r="J48" i="160"/>
  <c r="E48" i="160"/>
  <c r="C48" i="160"/>
  <c r="I49" i="160"/>
  <c r="D49" i="160"/>
  <c r="J49" i="160"/>
  <c r="E49" i="160"/>
  <c r="C49" i="160"/>
  <c r="I50" i="160"/>
  <c r="D50" i="160"/>
  <c r="J50" i="160"/>
  <c r="E50" i="160"/>
  <c r="C50" i="160"/>
  <c r="I51" i="160"/>
  <c r="D51" i="160"/>
  <c r="J51" i="160"/>
  <c r="E51" i="160"/>
  <c r="C51" i="160"/>
  <c r="I52" i="160"/>
  <c r="D52" i="160"/>
  <c r="J52" i="160"/>
  <c r="E52" i="160"/>
  <c r="C52" i="160"/>
  <c r="I53" i="160"/>
  <c r="D53" i="160"/>
  <c r="J53" i="160"/>
  <c r="E53" i="160"/>
  <c r="C53" i="160"/>
  <c r="I54" i="160"/>
  <c r="D54" i="160"/>
  <c r="J54" i="160"/>
  <c r="E54" i="160"/>
  <c r="C54" i="160"/>
  <c r="I55" i="160"/>
  <c r="D55" i="160"/>
  <c r="J55" i="160"/>
  <c r="E55" i="160"/>
  <c r="C55" i="160"/>
  <c r="I56" i="160"/>
  <c r="D56" i="160"/>
  <c r="J56" i="160"/>
  <c r="E56" i="160"/>
  <c r="C56" i="160"/>
  <c r="I57" i="160"/>
  <c r="D57" i="160"/>
  <c r="J57" i="160"/>
  <c r="E57" i="160"/>
  <c r="C57" i="160"/>
  <c r="I58" i="160"/>
  <c r="D58" i="160"/>
  <c r="J58" i="160"/>
  <c r="E58" i="160"/>
  <c r="C58" i="160"/>
  <c r="I59" i="160"/>
  <c r="D59" i="160"/>
  <c r="J59" i="160"/>
  <c r="E59" i="160"/>
  <c r="C59" i="160"/>
  <c r="I60" i="160"/>
  <c r="D60" i="160"/>
  <c r="J60" i="160"/>
  <c r="E60" i="160"/>
  <c r="C60" i="160"/>
  <c r="I61" i="160"/>
  <c r="D61" i="160"/>
  <c r="J61" i="160"/>
  <c r="E61" i="160"/>
  <c r="C61" i="160"/>
  <c r="I62" i="160"/>
  <c r="D62" i="160"/>
  <c r="J62" i="160"/>
  <c r="E62" i="160"/>
  <c r="C62" i="160"/>
  <c r="I63" i="160"/>
  <c r="D63" i="160"/>
  <c r="J63" i="160"/>
  <c r="E63" i="160"/>
  <c r="C63" i="160"/>
  <c r="I64" i="160"/>
  <c r="D64" i="160"/>
  <c r="J64" i="160"/>
  <c r="E64" i="160"/>
  <c r="C64" i="160"/>
  <c r="I65" i="160"/>
  <c r="D65" i="160"/>
  <c r="J65" i="160"/>
  <c r="E65" i="160"/>
  <c r="C65" i="160"/>
  <c r="I66" i="160"/>
  <c r="D66" i="160"/>
  <c r="J66" i="160"/>
  <c r="E66" i="160"/>
  <c r="C66" i="160"/>
  <c r="I67" i="160"/>
  <c r="D67" i="160"/>
  <c r="J67" i="160"/>
  <c r="E67" i="160"/>
  <c r="C67" i="160"/>
  <c r="I68" i="160"/>
  <c r="D68" i="160"/>
  <c r="J68" i="160"/>
  <c r="E68" i="160"/>
  <c r="C68" i="160"/>
  <c r="I69" i="160"/>
  <c r="D69" i="160"/>
  <c r="J69" i="160"/>
  <c r="E69" i="160"/>
  <c r="C69" i="160"/>
  <c r="I70" i="160"/>
  <c r="D70" i="160"/>
  <c r="J70" i="160"/>
  <c r="E70" i="160"/>
  <c r="C70" i="160"/>
  <c r="I71" i="160"/>
  <c r="D71" i="160"/>
  <c r="J71" i="160"/>
  <c r="E71" i="160"/>
  <c r="C71" i="160"/>
  <c r="I72" i="160"/>
  <c r="D72" i="160"/>
  <c r="J72" i="160"/>
  <c r="E72" i="160"/>
  <c r="C72" i="160"/>
  <c r="I73" i="160"/>
  <c r="D73" i="160"/>
  <c r="J73" i="160"/>
  <c r="E73" i="160"/>
  <c r="C73" i="160"/>
  <c r="I74" i="160"/>
  <c r="D74" i="160"/>
  <c r="J74" i="160"/>
  <c r="E74" i="160"/>
  <c r="C74" i="160"/>
  <c r="I75" i="160"/>
  <c r="D75" i="160"/>
  <c r="J75" i="160"/>
  <c r="E75" i="160"/>
  <c r="C75" i="160"/>
  <c r="I76" i="160"/>
  <c r="D76" i="160"/>
  <c r="J76" i="160"/>
  <c r="E76" i="160"/>
  <c r="C76" i="160"/>
  <c r="I77" i="160"/>
  <c r="D77" i="160"/>
  <c r="J77" i="160"/>
  <c r="E77" i="160"/>
  <c r="C77" i="160"/>
  <c r="I78" i="160"/>
  <c r="D78" i="160"/>
  <c r="J78" i="160"/>
  <c r="E78" i="160"/>
  <c r="C78" i="160"/>
  <c r="I79" i="160"/>
  <c r="D79" i="160"/>
  <c r="J79" i="160"/>
  <c r="E79" i="160"/>
  <c r="C79" i="160"/>
  <c r="I80" i="160"/>
  <c r="D80" i="160"/>
  <c r="J80" i="160"/>
  <c r="E80" i="160"/>
  <c r="C80" i="160"/>
  <c r="I81" i="160"/>
  <c r="D81" i="160"/>
  <c r="J81" i="160"/>
  <c r="E81" i="160"/>
  <c r="C81" i="160"/>
  <c r="I82" i="160"/>
  <c r="D82" i="160"/>
  <c r="J82" i="160"/>
  <c r="E82" i="160"/>
  <c r="C82" i="160"/>
  <c r="I83" i="160"/>
  <c r="D83" i="160"/>
  <c r="J83" i="160"/>
  <c r="E83" i="160"/>
  <c r="C83" i="160"/>
  <c r="I84" i="160"/>
  <c r="D84" i="160"/>
  <c r="J84" i="160"/>
  <c r="E84" i="160"/>
  <c r="C84" i="160"/>
  <c r="I85" i="160"/>
  <c r="D85" i="160"/>
  <c r="J85" i="160"/>
  <c r="E85" i="160"/>
  <c r="C85" i="160"/>
  <c r="I86" i="160"/>
  <c r="D86" i="160"/>
  <c r="J86" i="160"/>
  <c r="E86" i="160"/>
  <c r="C86" i="160"/>
  <c r="I87" i="160"/>
  <c r="D87" i="160"/>
  <c r="J87" i="160"/>
  <c r="E87" i="160"/>
  <c r="C87" i="160"/>
  <c r="I88" i="160"/>
  <c r="D88" i="160"/>
  <c r="J88" i="160"/>
  <c r="E88" i="160"/>
  <c r="C88" i="160"/>
  <c r="I89" i="160"/>
  <c r="D89" i="160"/>
  <c r="J89" i="160"/>
  <c r="E89" i="160"/>
  <c r="C89" i="160"/>
  <c r="I90" i="160"/>
  <c r="D90" i="160"/>
  <c r="J90" i="160"/>
  <c r="E90" i="160"/>
  <c r="C90" i="160"/>
  <c r="I91" i="160"/>
  <c r="D91" i="160"/>
  <c r="J91" i="160"/>
  <c r="E91" i="160"/>
  <c r="C91" i="160"/>
  <c r="I92" i="160"/>
  <c r="D92" i="160"/>
  <c r="J92" i="160"/>
  <c r="E92" i="160"/>
  <c r="C92" i="160"/>
  <c r="I93" i="160"/>
  <c r="D93" i="160"/>
  <c r="J93" i="160"/>
  <c r="E93" i="160"/>
  <c r="C93" i="160"/>
  <c r="I94" i="160"/>
  <c r="D94" i="160"/>
  <c r="J94" i="160"/>
  <c r="E94" i="160"/>
  <c r="C94" i="160"/>
  <c r="I95" i="160"/>
  <c r="D95" i="160"/>
  <c r="J95" i="160"/>
  <c r="E95" i="160"/>
  <c r="C95" i="160"/>
  <c r="I96" i="160"/>
  <c r="D96" i="160"/>
  <c r="J96" i="160"/>
  <c r="E96" i="160"/>
  <c r="C96" i="160"/>
  <c r="I97" i="160"/>
  <c r="D97" i="160"/>
  <c r="J97" i="160"/>
  <c r="E97" i="160"/>
  <c r="C97" i="160"/>
  <c r="I98" i="160"/>
  <c r="D98" i="160"/>
  <c r="J98" i="160"/>
  <c r="E98" i="160"/>
  <c r="C98" i="160"/>
  <c r="I99" i="160"/>
  <c r="D99" i="160"/>
  <c r="J99" i="160"/>
  <c r="E99" i="160"/>
  <c r="C99" i="160"/>
  <c r="I100" i="160"/>
  <c r="D100" i="160"/>
  <c r="J100" i="160"/>
  <c r="E100" i="160"/>
  <c r="C100" i="160"/>
  <c r="I101" i="160"/>
  <c r="D101" i="160"/>
  <c r="J101" i="160"/>
  <c r="E101" i="160"/>
  <c r="C101" i="160"/>
  <c r="I102" i="160"/>
  <c r="D102" i="160"/>
  <c r="J102" i="160"/>
  <c r="E102" i="160"/>
  <c r="C102" i="160"/>
  <c r="I103" i="160"/>
  <c r="D103" i="160"/>
  <c r="J103" i="160"/>
  <c r="E103" i="160"/>
  <c r="C103" i="160"/>
  <c r="I104" i="160"/>
  <c r="D104" i="160"/>
  <c r="J104" i="160"/>
  <c r="E104" i="160"/>
  <c r="C104" i="160"/>
  <c r="I105" i="160"/>
  <c r="D105" i="160"/>
  <c r="J105" i="160"/>
  <c r="E105" i="160"/>
  <c r="C105" i="160"/>
  <c r="I106" i="160"/>
  <c r="D106" i="160"/>
  <c r="J106" i="160"/>
  <c r="E106" i="160"/>
  <c r="C106" i="160"/>
  <c r="I107" i="160"/>
  <c r="D107" i="160"/>
  <c r="J107" i="160"/>
  <c r="E107" i="160"/>
  <c r="C107" i="160"/>
  <c r="I108" i="160"/>
  <c r="D108" i="160"/>
  <c r="J108" i="160"/>
  <c r="E108" i="160"/>
  <c r="C108" i="160"/>
  <c r="I109" i="160"/>
  <c r="D109" i="160"/>
  <c r="J109" i="160"/>
  <c r="E109" i="160"/>
  <c r="C109" i="160"/>
  <c r="I110" i="160"/>
  <c r="D110" i="160"/>
  <c r="J110" i="160"/>
  <c r="E110" i="160"/>
  <c r="C110" i="160"/>
  <c r="I111" i="160"/>
  <c r="D111" i="160"/>
  <c r="J111" i="160"/>
  <c r="E111" i="160"/>
  <c r="C111" i="160"/>
  <c r="I112" i="160"/>
  <c r="D112" i="160"/>
  <c r="J112" i="160"/>
  <c r="E112" i="160"/>
  <c r="C112" i="160"/>
  <c r="I113" i="160"/>
  <c r="D113" i="160"/>
  <c r="J113" i="160"/>
  <c r="E113" i="160"/>
  <c r="C113" i="160"/>
  <c r="I114" i="160"/>
  <c r="D114" i="160"/>
  <c r="J114" i="160"/>
  <c r="E114" i="160"/>
  <c r="C114" i="160"/>
  <c r="I115" i="160"/>
  <c r="D115" i="160"/>
  <c r="J115" i="160"/>
  <c r="E115" i="160"/>
  <c r="C115" i="160"/>
  <c r="I116" i="160"/>
  <c r="D116" i="160"/>
  <c r="J116" i="160"/>
  <c r="E116" i="160"/>
  <c r="C116" i="160"/>
  <c r="I117" i="160"/>
  <c r="D117" i="160"/>
  <c r="J117" i="160"/>
  <c r="E117" i="160"/>
  <c r="C117" i="160"/>
  <c r="I118" i="160"/>
  <c r="D118" i="160"/>
  <c r="J118" i="160"/>
  <c r="E118" i="160"/>
  <c r="C118" i="160"/>
  <c r="I119" i="160"/>
  <c r="D119" i="160"/>
  <c r="J119" i="160"/>
  <c r="E119" i="160"/>
  <c r="C119" i="160"/>
  <c r="I120" i="160"/>
  <c r="D120" i="160"/>
  <c r="J120" i="160"/>
  <c r="E120" i="160"/>
  <c r="C120" i="160"/>
  <c r="I121" i="160"/>
  <c r="D121" i="160"/>
  <c r="J121" i="160"/>
  <c r="E121" i="160"/>
  <c r="C121" i="160"/>
  <c r="I122" i="160"/>
  <c r="D122" i="160"/>
  <c r="J122" i="160"/>
  <c r="E122" i="160"/>
  <c r="C122" i="160"/>
  <c r="I123" i="160"/>
  <c r="D123" i="160"/>
  <c r="J123" i="160"/>
  <c r="E123" i="160"/>
  <c r="C123" i="160"/>
  <c r="I124" i="160"/>
  <c r="D124" i="160"/>
  <c r="J124" i="160"/>
  <c r="E124" i="160"/>
  <c r="C124" i="160"/>
  <c r="I125" i="160"/>
  <c r="D125" i="160"/>
  <c r="J125" i="160"/>
  <c r="E125" i="160"/>
  <c r="C125" i="160"/>
  <c r="I126" i="160"/>
  <c r="D126" i="160"/>
  <c r="J126" i="160"/>
  <c r="E126" i="160"/>
  <c r="C126" i="160"/>
  <c r="I127" i="160"/>
  <c r="D127" i="160"/>
  <c r="J127" i="160"/>
  <c r="E127" i="160"/>
  <c r="C127" i="160"/>
  <c r="I128" i="160"/>
  <c r="D128" i="160"/>
  <c r="J128" i="160"/>
  <c r="E128" i="160"/>
  <c r="C128" i="160"/>
  <c r="I129" i="160"/>
  <c r="D129" i="160"/>
  <c r="J129" i="160"/>
  <c r="E129" i="160"/>
  <c r="C129" i="160"/>
  <c r="I130" i="160"/>
  <c r="D130" i="160"/>
  <c r="J130" i="160"/>
  <c r="E130" i="160"/>
  <c r="C130" i="160"/>
  <c r="I131" i="160"/>
  <c r="D131" i="160"/>
  <c r="J131" i="160"/>
  <c r="E131" i="160"/>
  <c r="C131" i="160"/>
  <c r="I132" i="160"/>
  <c r="D132" i="160"/>
  <c r="J132" i="160"/>
  <c r="E132" i="160"/>
  <c r="C132" i="160"/>
  <c r="I133" i="160"/>
  <c r="D133" i="160"/>
  <c r="J133" i="160"/>
  <c r="E133" i="160"/>
  <c r="C133" i="160"/>
  <c r="I134" i="160"/>
  <c r="D134" i="160"/>
  <c r="J134" i="160"/>
  <c r="E134" i="160"/>
  <c r="C134" i="160"/>
  <c r="I135" i="160"/>
  <c r="D135" i="160"/>
  <c r="J135" i="160"/>
  <c r="E135" i="160"/>
  <c r="C135" i="160"/>
  <c r="I136" i="160"/>
  <c r="D136" i="160"/>
  <c r="J136" i="160"/>
  <c r="E136" i="160"/>
  <c r="C136" i="160"/>
  <c r="I137" i="160"/>
  <c r="D137" i="160"/>
  <c r="J137" i="160"/>
  <c r="E137" i="160"/>
  <c r="C137" i="160"/>
  <c r="I138" i="160"/>
  <c r="D138" i="160"/>
  <c r="J138" i="160"/>
  <c r="E138" i="160"/>
  <c r="C138" i="160"/>
  <c r="I139" i="160"/>
  <c r="D139" i="160"/>
  <c r="J139" i="160"/>
  <c r="E139" i="160"/>
  <c r="C139" i="160"/>
  <c r="I140" i="160"/>
  <c r="D140" i="160"/>
  <c r="J140" i="160"/>
  <c r="E140" i="160"/>
  <c r="C140" i="160"/>
  <c r="I141" i="160"/>
  <c r="D141" i="160"/>
  <c r="J141" i="160"/>
  <c r="E141" i="160"/>
  <c r="C141" i="160"/>
  <c r="I142" i="160"/>
  <c r="D142" i="160"/>
  <c r="J142" i="160"/>
  <c r="E142" i="160"/>
  <c r="C142" i="160"/>
  <c r="I143" i="160"/>
  <c r="D143" i="160"/>
  <c r="J143" i="160"/>
  <c r="E143" i="160"/>
  <c r="C143" i="160"/>
  <c r="I144" i="160"/>
  <c r="D144" i="160"/>
  <c r="J144" i="160"/>
  <c r="E144" i="160"/>
  <c r="C144" i="160"/>
  <c r="I145" i="160"/>
  <c r="D145" i="160"/>
  <c r="J145" i="160"/>
  <c r="E145" i="160"/>
  <c r="C145" i="160"/>
  <c r="I146" i="160"/>
  <c r="D146" i="160"/>
  <c r="J146" i="160"/>
  <c r="E146" i="160"/>
  <c r="C146" i="160"/>
  <c r="I147" i="160"/>
  <c r="D147" i="160"/>
  <c r="J147" i="160"/>
  <c r="E147" i="160"/>
  <c r="C147" i="160"/>
  <c r="I148" i="160"/>
  <c r="D148" i="160"/>
  <c r="J148" i="160"/>
  <c r="E148" i="160"/>
  <c r="C148" i="160"/>
  <c r="I149" i="160"/>
  <c r="D149" i="160"/>
  <c r="J149" i="160"/>
  <c r="E149" i="160"/>
  <c r="C149" i="160"/>
  <c r="I150" i="160"/>
  <c r="D150" i="160"/>
  <c r="J150" i="160"/>
  <c r="E150" i="160"/>
  <c r="C150" i="160"/>
  <c r="I151" i="160"/>
  <c r="D151" i="160"/>
  <c r="J151" i="160"/>
  <c r="E151" i="160"/>
  <c r="C151" i="160"/>
  <c r="I152" i="160"/>
  <c r="D152" i="160"/>
  <c r="J152" i="160"/>
  <c r="E152" i="160"/>
  <c r="C152" i="160"/>
  <c r="I153" i="160"/>
  <c r="D153" i="160"/>
  <c r="J153" i="160"/>
  <c r="E153" i="160"/>
  <c r="C153" i="160"/>
  <c r="I154" i="160"/>
  <c r="D154" i="160"/>
  <c r="J154" i="160"/>
  <c r="E154" i="160"/>
  <c r="C154" i="160"/>
  <c r="I155" i="160"/>
  <c r="D155" i="160"/>
  <c r="J155" i="160"/>
  <c r="E155" i="160"/>
  <c r="C155" i="160"/>
  <c r="I156" i="160"/>
  <c r="D156" i="160"/>
  <c r="J156" i="160"/>
  <c r="E156" i="160"/>
  <c r="C156" i="160"/>
  <c r="I157" i="160"/>
  <c r="D157" i="160"/>
  <c r="J157" i="160"/>
  <c r="E157" i="160"/>
  <c r="C157" i="160"/>
  <c r="I158" i="160"/>
  <c r="D158" i="160"/>
  <c r="J158" i="160"/>
  <c r="E158" i="160"/>
  <c r="C158" i="160"/>
  <c r="I159" i="160"/>
  <c r="D159" i="160"/>
  <c r="J159" i="160"/>
  <c r="E159" i="160"/>
  <c r="C159" i="160"/>
  <c r="I160" i="160"/>
  <c r="D160" i="160"/>
  <c r="J160" i="160"/>
  <c r="E160" i="160"/>
  <c r="C160" i="160"/>
  <c r="I161" i="160"/>
  <c r="D161" i="160"/>
  <c r="J161" i="160"/>
  <c r="E161" i="160"/>
  <c r="C161" i="160"/>
  <c r="I162" i="160"/>
  <c r="D162" i="160"/>
  <c r="J162" i="160"/>
  <c r="E162" i="160"/>
  <c r="C162" i="160"/>
  <c r="I163" i="160"/>
  <c r="D163" i="160"/>
  <c r="J163" i="160"/>
  <c r="E163" i="160"/>
  <c r="C163" i="160"/>
  <c r="I164" i="160"/>
  <c r="D164" i="160"/>
  <c r="J164" i="160"/>
  <c r="E164" i="160"/>
  <c r="C164" i="160"/>
  <c r="I165" i="160"/>
  <c r="D165" i="160"/>
  <c r="J165" i="160"/>
  <c r="E165" i="160"/>
  <c r="C165" i="160"/>
  <c r="I166" i="160"/>
  <c r="D166" i="160"/>
  <c r="J166" i="160"/>
  <c r="E166" i="160"/>
  <c r="C166" i="160"/>
  <c r="I167" i="160"/>
  <c r="D167" i="160"/>
  <c r="J167" i="160"/>
  <c r="E167" i="160"/>
  <c r="C167" i="160"/>
  <c r="I168" i="160"/>
  <c r="D168" i="160"/>
  <c r="J168" i="160"/>
  <c r="E168" i="160"/>
  <c r="C168" i="160"/>
  <c r="I169" i="160"/>
  <c r="D169" i="160"/>
  <c r="J169" i="160"/>
  <c r="E169" i="160"/>
  <c r="C169" i="160"/>
  <c r="I170" i="160"/>
  <c r="D170" i="160"/>
  <c r="J170" i="160"/>
  <c r="E170" i="160"/>
  <c r="C170" i="160"/>
  <c r="I171" i="160"/>
  <c r="D171" i="160"/>
  <c r="J171" i="160"/>
  <c r="E171" i="160"/>
  <c r="C171" i="160"/>
  <c r="I172" i="160"/>
  <c r="D172" i="160"/>
  <c r="J172" i="160"/>
  <c r="E172" i="160"/>
  <c r="C172" i="160"/>
  <c r="I173" i="160"/>
  <c r="D173" i="160"/>
  <c r="J173" i="160"/>
  <c r="E173" i="160"/>
  <c r="C173" i="160"/>
  <c r="I174" i="160"/>
  <c r="D174" i="160"/>
  <c r="J174" i="160"/>
  <c r="E174" i="160"/>
  <c r="C174" i="160"/>
  <c r="I175" i="160"/>
  <c r="D175" i="160"/>
  <c r="J175" i="160"/>
  <c r="E175" i="160"/>
  <c r="C175" i="160"/>
  <c r="I176" i="160"/>
  <c r="D176" i="160"/>
  <c r="J176" i="160"/>
  <c r="E176" i="160"/>
  <c r="C176" i="160"/>
  <c r="I177" i="160"/>
  <c r="D177" i="160"/>
  <c r="J177" i="160"/>
  <c r="E177" i="160"/>
  <c r="C177" i="160"/>
  <c r="I178" i="160"/>
  <c r="D178" i="160"/>
  <c r="J178" i="160"/>
  <c r="E178" i="160"/>
  <c r="C178" i="160"/>
  <c r="I179" i="160"/>
  <c r="D179" i="160"/>
  <c r="J179" i="160"/>
  <c r="E179" i="160"/>
  <c r="C179" i="160"/>
  <c r="I180" i="160"/>
  <c r="D180" i="160"/>
  <c r="J180" i="160"/>
  <c r="E180" i="160"/>
  <c r="C180" i="160"/>
  <c r="I181" i="160"/>
  <c r="D181" i="160"/>
  <c r="J181" i="160"/>
  <c r="E181" i="160"/>
  <c r="C181" i="160"/>
  <c r="I182" i="160"/>
  <c r="D182" i="160"/>
  <c r="J182" i="160"/>
  <c r="E182" i="160"/>
  <c r="C182" i="160"/>
  <c r="I183" i="160"/>
  <c r="D183" i="160"/>
  <c r="J183" i="160"/>
  <c r="E183" i="160"/>
  <c r="C183" i="160"/>
  <c r="I184" i="160"/>
  <c r="D184" i="160"/>
  <c r="J184" i="160"/>
  <c r="E184" i="160"/>
  <c r="C184" i="160"/>
  <c r="I185" i="160"/>
  <c r="D185" i="160"/>
  <c r="J185" i="160"/>
  <c r="E185" i="160"/>
  <c r="C185" i="160"/>
  <c r="I186" i="160"/>
  <c r="D186" i="160"/>
  <c r="J186" i="160"/>
  <c r="E186" i="160"/>
  <c r="C186" i="160"/>
  <c r="I187" i="160"/>
  <c r="D187" i="160"/>
  <c r="J187" i="160"/>
  <c r="E187" i="160"/>
  <c r="C187" i="160"/>
  <c r="I188" i="160"/>
  <c r="D188" i="160"/>
  <c r="J188" i="160"/>
  <c r="E188" i="160"/>
  <c r="C188" i="160"/>
  <c r="I189" i="160"/>
  <c r="D189" i="160"/>
  <c r="J189" i="160"/>
  <c r="E189" i="160"/>
  <c r="C189" i="160"/>
  <c r="I190" i="160"/>
  <c r="D190" i="160"/>
  <c r="J190" i="160"/>
  <c r="E190" i="160"/>
  <c r="C190" i="160"/>
  <c r="I191" i="160"/>
  <c r="D191" i="160"/>
  <c r="J191" i="160"/>
  <c r="E191" i="160"/>
  <c r="C191" i="160"/>
  <c r="I192" i="160"/>
  <c r="D192" i="160"/>
  <c r="J192" i="160"/>
  <c r="E192" i="160"/>
  <c r="C192" i="160"/>
  <c r="I193" i="160"/>
  <c r="D193" i="160"/>
  <c r="J193" i="160"/>
  <c r="E193" i="160"/>
  <c r="C193" i="160"/>
  <c r="I194" i="160"/>
  <c r="D194" i="160"/>
  <c r="J194" i="160"/>
  <c r="E194" i="160"/>
  <c r="C194" i="160"/>
  <c r="I195" i="160"/>
  <c r="D195" i="160"/>
  <c r="J195" i="160"/>
  <c r="E195" i="160"/>
  <c r="C195" i="160"/>
  <c r="I196" i="160"/>
  <c r="D196" i="160"/>
  <c r="J196" i="160"/>
  <c r="E196" i="160"/>
  <c r="C196" i="160"/>
  <c r="I197" i="160"/>
  <c r="D197" i="160"/>
  <c r="J197" i="160"/>
  <c r="E197" i="160"/>
  <c r="C197" i="160"/>
  <c r="I198" i="160"/>
  <c r="D198" i="160"/>
  <c r="J198" i="160"/>
  <c r="E198" i="160"/>
  <c r="C198" i="160"/>
  <c r="I199" i="160"/>
  <c r="D199" i="160"/>
  <c r="J199" i="160"/>
  <c r="E199" i="160"/>
  <c r="C199" i="160"/>
  <c r="I200" i="160"/>
  <c r="D200" i="160"/>
  <c r="J200" i="160"/>
  <c r="E200" i="160"/>
  <c r="C200" i="160"/>
  <c r="I201" i="160"/>
  <c r="D201" i="160"/>
  <c r="J201" i="160"/>
  <c r="E201" i="160"/>
  <c r="C201" i="160"/>
  <c r="I202" i="160"/>
  <c r="D202" i="160"/>
  <c r="J202" i="160"/>
  <c r="E202" i="160"/>
  <c r="C202" i="160"/>
  <c r="I203" i="160"/>
  <c r="D203" i="160"/>
  <c r="J203" i="160"/>
  <c r="E203" i="160"/>
  <c r="C203" i="160"/>
  <c r="I204" i="160"/>
  <c r="D204" i="160"/>
  <c r="J204" i="160"/>
  <c r="E204" i="160"/>
  <c r="C204" i="160"/>
  <c r="I205" i="160"/>
  <c r="D205" i="160"/>
  <c r="J205" i="160"/>
  <c r="E205" i="160"/>
  <c r="C205" i="160"/>
  <c r="I206" i="160"/>
  <c r="D206" i="160"/>
  <c r="J206" i="160"/>
  <c r="E206" i="160"/>
  <c r="C206" i="160"/>
  <c r="I207" i="160"/>
  <c r="D207" i="160"/>
  <c r="J207" i="160"/>
  <c r="E207" i="160"/>
  <c r="C207" i="160"/>
  <c r="I208" i="160"/>
  <c r="D208" i="160"/>
  <c r="J208" i="160"/>
  <c r="E208" i="160"/>
  <c r="C208" i="160"/>
  <c r="I209" i="160"/>
  <c r="D209" i="160"/>
  <c r="J209" i="160"/>
  <c r="E209" i="160"/>
  <c r="C209" i="160"/>
  <c r="I210" i="160"/>
  <c r="D210" i="160"/>
  <c r="J210" i="160"/>
  <c r="E210" i="160"/>
  <c r="C210" i="160"/>
  <c r="I211" i="160"/>
  <c r="D211" i="160"/>
  <c r="J211" i="160"/>
  <c r="E211" i="160"/>
  <c r="C211" i="160"/>
  <c r="I212" i="160"/>
  <c r="D212" i="160"/>
  <c r="J212" i="160"/>
  <c r="E212" i="160"/>
  <c r="C212" i="160"/>
  <c r="I213" i="160"/>
  <c r="D213" i="160"/>
  <c r="J213" i="160"/>
  <c r="E213" i="160"/>
  <c r="C213" i="160"/>
  <c r="I214" i="160"/>
  <c r="D214" i="160"/>
  <c r="J214" i="160"/>
  <c r="E214" i="160"/>
  <c r="C214" i="160"/>
  <c r="I215" i="160"/>
  <c r="J215" i="160"/>
  <c r="D215" i="160"/>
  <c r="E215" i="160"/>
  <c r="C215" i="160"/>
  <c r="I216" i="160"/>
  <c r="J216" i="160"/>
  <c r="D216" i="160"/>
  <c r="E216" i="160"/>
  <c r="C216" i="160"/>
  <c r="I217" i="160"/>
  <c r="J217" i="160"/>
  <c r="D217" i="160"/>
  <c r="E217" i="160"/>
  <c r="C217" i="160"/>
  <c r="I218" i="160"/>
  <c r="J218" i="160"/>
  <c r="D218" i="160"/>
  <c r="E218" i="160"/>
  <c r="C218" i="160"/>
  <c r="I219" i="160"/>
  <c r="J219" i="160"/>
  <c r="D219" i="160"/>
  <c r="E219" i="160"/>
  <c r="C219" i="160"/>
  <c r="I220" i="160"/>
  <c r="J220" i="160"/>
  <c r="D220" i="160"/>
  <c r="E220" i="160"/>
  <c r="C220" i="160"/>
  <c r="I221" i="160"/>
  <c r="D221" i="160"/>
  <c r="J221" i="160"/>
  <c r="E221" i="160"/>
  <c r="C221" i="160"/>
  <c r="I222" i="160"/>
  <c r="D222" i="160"/>
  <c r="J222" i="160"/>
  <c r="E222" i="160"/>
  <c r="C222" i="160"/>
  <c r="I223" i="160"/>
  <c r="D223" i="160"/>
  <c r="J223" i="160"/>
  <c r="E223" i="160"/>
  <c r="C223" i="160"/>
  <c r="I224" i="160"/>
  <c r="D224" i="160"/>
  <c r="J224" i="160"/>
  <c r="E224" i="160"/>
  <c r="C224" i="160"/>
  <c r="I225" i="160"/>
  <c r="D225" i="160"/>
  <c r="J225" i="160"/>
  <c r="E225" i="160"/>
  <c r="C225" i="160"/>
  <c r="I226" i="160"/>
  <c r="D226" i="160"/>
  <c r="J226" i="160"/>
  <c r="E226" i="160"/>
  <c r="C226" i="160"/>
  <c r="I227" i="160"/>
  <c r="D227" i="160"/>
  <c r="J227" i="160"/>
  <c r="E227" i="160"/>
  <c r="C227" i="160"/>
  <c r="I228" i="160"/>
  <c r="D228" i="160"/>
  <c r="J228" i="160"/>
  <c r="E228" i="160"/>
  <c r="C228" i="160"/>
  <c r="I229" i="160"/>
  <c r="D229" i="160"/>
  <c r="J229" i="160"/>
  <c r="E229" i="160"/>
  <c r="C229" i="160"/>
  <c r="I230" i="160"/>
  <c r="D230" i="160"/>
  <c r="J230" i="160"/>
  <c r="E230" i="160"/>
  <c r="C230" i="160"/>
  <c r="I231" i="160"/>
  <c r="D231" i="160"/>
  <c r="J231" i="160"/>
  <c r="E231" i="160"/>
  <c r="C231" i="160"/>
  <c r="I232" i="160"/>
  <c r="D232" i="160"/>
  <c r="J232" i="160"/>
  <c r="E232" i="160"/>
  <c r="C232" i="160"/>
  <c r="I233" i="160"/>
  <c r="D233" i="160"/>
  <c r="J233" i="160"/>
  <c r="E233" i="160"/>
  <c r="C233" i="160"/>
  <c r="I234" i="160"/>
  <c r="D234" i="160"/>
  <c r="J234" i="160"/>
  <c r="E234" i="160"/>
  <c r="C234" i="160"/>
  <c r="I235" i="160"/>
  <c r="D235" i="160"/>
  <c r="J235" i="160"/>
  <c r="E235" i="160"/>
  <c r="C235" i="160"/>
  <c r="I236" i="160"/>
  <c r="D236" i="160"/>
  <c r="J236" i="160"/>
  <c r="E236" i="160"/>
  <c r="C236" i="160"/>
  <c r="I237" i="160"/>
  <c r="D237" i="160"/>
  <c r="J237" i="160"/>
  <c r="E237" i="160"/>
  <c r="C237" i="160"/>
  <c r="I238" i="160"/>
  <c r="D238" i="160"/>
  <c r="J238" i="160"/>
  <c r="E238" i="160"/>
  <c r="C238" i="160"/>
  <c r="I239" i="160"/>
  <c r="D239" i="160"/>
  <c r="J239" i="160"/>
  <c r="E239" i="160"/>
  <c r="C239" i="160"/>
  <c r="I240" i="160"/>
  <c r="D240" i="160"/>
  <c r="J240" i="160"/>
  <c r="E240" i="160"/>
  <c r="C240" i="160"/>
  <c r="I241" i="160"/>
  <c r="D241" i="160"/>
  <c r="J241" i="160"/>
  <c r="E241" i="160"/>
  <c r="C241" i="160"/>
  <c r="I242" i="160"/>
  <c r="D242" i="160"/>
  <c r="J242" i="160"/>
  <c r="E242" i="160"/>
  <c r="C242" i="160"/>
  <c r="I243" i="160"/>
  <c r="D243" i="160"/>
  <c r="J243" i="160"/>
  <c r="E243" i="160"/>
  <c r="C243" i="160"/>
  <c r="I244" i="160"/>
  <c r="D244" i="160"/>
  <c r="J244" i="160"/>
  <c r="E244" i="160"/>
  <c r="C244" i="160"/>
  <c r="I245" i="160"/>
  <c r="D245" i="160"/>
  <c r="J245" i="160"/>
  <c r="E245" i="160"/>
  <c r="C245" i="160"/>
  <c r="I246" i="160"/>
  <c r="D246" i="160"/>
  <c r="J246" i="160"/>
  <c r="E246" i="160"/>
  <c r="C246" i="160"/>
  <c r="I247" i="160"/>
  <c r="D247" i="160"/>
  <c r="J247" i="160"/>
  <c r="E247" i="160"/>
  <c r="C247" i="160"/>
  <c r="I248" i="160"/>
  <c r="D248" i="160"/>
  <c r="J248" i="160"/>
  <c r="E248" i="160"/>
  <c r="C248" i="160"/>
  <c r="I249" i="160"/>
  <c r="D249" i="160"/>
  <c r="J249" i="160"/>
  <c r="E249" i="160"/>
  <c r="C249" i="160"/>
  <c r="I250" i="160"/>
  <c r="D250" i="160"/>
  <c r="J250" i="160"/>
  <c r="E250" i="160"/>
  <c r="C250" i="160"/>
  <c r="I251" i="160"/>
  <c r="D251" i="160"/>
  <c r="J251" i="160"/>
  <c r="E251" i="160"/>
  <c r="C251" i="160"/>
  <c r="I252" i="160"/>
  <c r="D252" i="160"/>
  <c r="J252" i="160"/>
  <c r="E252" i="160"/>
  <c r="C252" i="160"/>
  <c r="I253" i="160"/>
  <c r="D253" i="160"/>
  <c r="J253" i="160"/>
  <c r="E253" i="160"/>
  <c r="C253" i="160"/>
  <c r="I254" i="160"/>
  <c r="D254" i="160"/>
  <c r="J254" i="160"/>
  <c r="E254" i="160"/>
  <c r="C254" i="160"/>
  <c r="I255" i="160"/>
  <c r="D255" i="160"/>
  <c r="J255" i="160"/>
  <c r="E255" i="160"/>
  <c r="C255" i="160"/>
  <c r="I256" i="160"/>
  <c r="D256" i="160"/>
  <c r="J256" i="160"/>
  <c r="E256" i="160"/>
  <c r="C256" i="160"/>
  <c r="I257" i="160"/>
  <c r="D257" i="160"/>
  <c r="J257" i="160"/>
  <c r="E257" i="160"/>
  <c r="C257" i="160"/>
  <c r="I258" i="160"/>
  <c r="D258" i="160"/>
  <c r="J258" i="160"/>
  <c r="E258" i="160"/>
  <c r="C258" i="160"/>
  <c r="I259" i="160"/>
  <c r="D259" i="160"/>
  <c r="J259" i="160"/>
  <c r="E259" i="160"/>
  <c r="C259" i="160"/>
  <c r="I260" i="160"/>
  <c r="D260" i="160"/>
  <c r="J260" i="160"/>
  <c r="E260" i="160"/>
  <c r="C260" i="160"/>
  <c r="I261" i="160"/>
  <c r="D261" i="160"/>
  <c r="J261" i="160"/>
  <c r="E261" i="160"/>
  <c r="C261" i="160"/>
  <c r="I262" i="160"/>
  <c r="D262" i="160"/>
  <c r="J262" i="160"/>
  <c r="E262" i="160"/>
  <c r="C262" i="160"/>
  <c r="I263" i="160"/>
  <c r="D263" i="160"/>
  <c r="J263" i="160"/>
  <c r="E263" i="160"/>
  <c r="C263" i="160"/>
  <c r="I264" i="160"/>
  <c r="D264" i="160"/>
  <c r="J264" i="160"/>
  <c r="E264" i="160"/>
  <c r="C264" i="160"/>
  <c r="I265" i="160"/>
  <c r="D265" i="160"/>
  <c r="J265" i="160"/>
  <c r="E265" i="160"/>
  <c r="C265" i="160"/>
  <c r="I266" i="160"/>
  <c r="D266" i="160"/>
  <c r="J266" i="160"/>
  <c r="E266" i="160"/>
  <c r="C266" i="160"/>
  <c r="I267" i="160"/>
  <c r="D267" i="160"/>
  <c r="J267" i="160"/>
  <c r="E267" i="160"/>
  <c r="C267" i="160"/>
  <c r="I268" i="160"/>
  <c r="D268" i="160"/>
  <c r="J268" i="160"/>
  <c r="E268" i="160"/>
  <c r="C268" i="160"/>
  <c r="I269" i="160"/>
  <c r="D269" i="160"/>
  <c r="J269" i="160"/>
  <c r="E269" i="160"/>
  <c r="C269" i="160"/>
  <c r="I270" i="160"/>
  <c r="D270" i="160"/>
  <c r="J270" i="160"/>
  <c r="E270" i="160"/>
  <c r="C270" i="160"/>
  <c r="I271" i="160"/>
  <c r="D271" i="160"/>
  <c r="J271" i="160"/>
  <c r="E271" i="160"/>
  <c r="C271" i="160"/>
  <c r="I272" i="160"/>
  <c r="D272" i="160"/>
  <c r="J272" i="160"/>
  <c r="E272" i="160"/>
  <c r="C272" i="160"/>
  <c r="I273" i="160"/>
  <c r="D273" i="160"/>
  <c r="J273" i="160"/>
  <c r="E273" i="160"/>
  <c r="C273" i="160"/>
  <c r="I274" i="160"/>
  <c r="D274" i="160"/>
  <c r="J274" i="160"/>
  <c r="E274" i="160"/>
  <c r="C274" i="160"/>
  <c r="I275" i="160"/>
  <c r="D275" i="160"/>
  <c r="J275" i="160"/>
  <c r="E275" i="160"/>
  <c r="C275" i="160"/>
  <c r="I276" i="160"/>
  <c r="D276" i="160"/>
  <c r="J276" i="160"/>
  <c r="E276" i="160"/>
  <c r="C276" i="160"/>
  <c r="I277" i="160"/>
  <c r="D277" i="160"/>
  <c r="J277" i="160"/>
  <c r="E277" i="160"/>
  <c r="C277" i="160"/>
  <c r="I278" i="160"/>
  <c r="D278" i="160"/>
  <c r="J278" i="160"/>
  <c r="E278" i="160"/>
  <c r="C278" i="160"/>
  <c r="I279" i="160"/>
  <c r="D279" i="160"/>
  <c r="J279" i="160"/>
  <c r="E279" i="160"/>
  <c r="C279" i="160"/>
  <c r="I280" i="160"/>
  <c r="D280" i="160"/>
  <c r="J280" i="160"/>
  <c r="E280" i="160"/>
  <c r="C280" i="160"/>
  <c r="I281" i="160"/>
  <c r="D281" i="160"/>
  <c r="J281" i="160"/>
  <c r="E281" i="160"/>
  <c r="C281" i="160"/>
  <c r="I282" i="160"/>
  <c r="D282" i="160"/>
  <c r="J282" i="160"/>
  <c r="E282" i="160"/>
  <c r="C282" i="160"/>
  <c r="I283" i="160"/>
  <c r="D283" i="160"/>
  <c r="J283" i="160"/>
  <c r="E283" i="160"/>
  <c r="C283" i="160"/>
  <c r="I284" i="160"/>
  <c r="D284" i="160"/>
  <c r="J284" i="160"/>
  <c r="E284" i="160"/>
  <c r="C284" i="160"/>
  <c r="I285" i="160"/>
  <c r="D285" i="160"/>
  <c r="J285" i="160"/>
  <c r="E285" i="160"/>
  <c r="C285" i="160"/>
  <c r="I286" i="160"/>
  <c r="D286" i="160"/>
  <c r="J286" i="160"/>
  <c r="E286" i="160"/>
  <c r="C286" i="160"/>
  <c r="I287" i="160"/>
  <c r="D287" i="160"/>
  <c r="J287" i="160"/>
  <c r="E287" i="160"/>
  <c r="C287" i="160"/>
  <c r="I288" i="160"/>
  <c r="D288" i="160"/>
  <c r="J288" i="160"/>
  <c r="E288" i="160"/>
  <c r="C288" i="160"/>
  <c r="I289" i="160"/>
  <c r="D289" i="160"/>
  <c r="J289" i="160"/>
  <c r="E289" i="160"/>
  <c r="C289" i="160"/>
  <c r="I290" i="160"/>
  <c r="D290" i="160"/>
  <c r="J290" i="160"/>
  <c r="E290" i="160"/>
  <c r="C290" i="160"/>
  <c r="I291" i="160"/>
  <c r="D291" i="160"/>
  <c r="J291" i="160"/>
  <c r="E291" i="160"/>
  <c r="C291" i="160"/>
  <c r="I292" i="160"/>
  <c r="D292" i="160"/>
  <c r="J292" i="160"/>
  <c r="E292" i="160"/>
  <c r="C292" i="160"/>
  <c r="I293" i="160"/>
  <c r="D293" i="160"/>
  <c r="J293" i="160"/>
  <c r="E293" i="160"/>
  <c r="C293" i="160"/>
  <c r="I294" i="160"/>
  <c r="D294" i="160"/>
  <c r="J294" i="160"/>
  <c r="E294" i="160"/>
  <c r="C294" i="160"/>
  <c r="I295" i="160"/>
  <c r="D295" i="160"/>
  <c r="J295" i="160"/>
  <c r="E295" i="160"/>
  <c r="C295" i="160"/>
  <c r="I296" i="160"/>
  <c r="D296" i="160"/>
  <c r="J296" i="160"/>
  <c r="E296" i="160"/>
  <c r="C296" i="160"/>
  <c r="I297" i="160"/>
  <c r="D297" i="160"/>
  <c r="J297" i="160"/>
  <c r="E297" i="160"/>
  <c r="C297" i="160"/>
  <c r="I298" i="160"/>
  <c r="D298" i="160"/>
  <c r="J298" i="160"/>
  <c r="E298" i="160"/>
  <c r="C298" i="160"/>
  <c r="I299" i="160"/>
  <c r="D299" i="160"/>
  <c r="J299" i="160"/>
  <c r="E299" i="160"/>
  <c r="C299" i="160"/>
  <c r="I300" i="160"/>
  <c r="D300" i="160"/>
  <c r="J300" i="160"/>
  <c r="E300" i="160"/>
  <c r="C300" i="160"/>
  <c r="I301" i="160"/>
  <c r="D301" i="160"/>
  <c r="J301" i="160"/>
  <c r="E301" i="160"/>
  <c r="C301" i="160"/>
  <c r="I302" i="160"/>
  <c r="D302" i="160"/>
  <c r="J302" i="160"/>
  <c r="E302" i="160"/>
  <c r="C302" i="160"/>
  <c r="I303" i="160"/>
  <c r="D303" i="160"/>
  <c r="J303" i="160"/>
  <c r="E303" i="160"/>
  <c r="C303" i="160"/>
  <c r="I304" i="160"/>
  <c r="D304" i="160"/>
  <c r="J304" i="160"/>
  <c r="E304" i="160"/>
  <c r="C304" i="160"/>
  <c r="I305" i="160"/>
  <c r="D305" i="160"/>
  <c r="J305" i="160"/>
  <c r="E305" i="160"/>
  <c r="C305" i="160"/>
  <c r="I306" i="160"/>
  <c r="D306" i="160"/>
  <c r="J306" i="160"/>
  <c r="E306" i="160"/>
  <c r="C306" i="160"/>
  <c r="I307" i="160"/>
  <c r="D307" i="160"/>
  <c r="J307" i="160"/>
  <c r="E307" i="160"/>
  <c r="C307" i="160"/>
  <c r="I308" i="160"/>
  <c r="D308" i="160"/>
  <c r="J308" i="160"/>
  <c r="E308" i="160"/>
  <c r="C308" i="160"/>
  <c r="I309" i="160"/>
  <c r="D309" i="160"/>
  <c r="J309" i="160"/>
  <c r="E309" i="160"/>
  <c r="C309" i="160"/>
  <c r="I310" i="160"/>
  <c r="D310" i="160"/>
  <c r="J310" i="160"/>
  <c r="E310" i="160"/>
  <c r="C310" i="160"/>
  <c r="I311" i="160"/>
  <c r="D311" i="160"/>
  <c r="J311" i="160"/>
  <c r="E311" i="160"/>
  <c r="C311" i="160"/>
  <c r="I312" i="160"/>
  <c r="D312" i="160"/>
  <c r="J312" i="160"/>
  <c r="E312" i="160"/>
  <c r="C312" i="160"/>
  <c r="I313" i="160"/>
  <c r="D313" i="160"/>
  <c r="J313" i="160"/>
  <c r="E313" i="160"/>
  <c r="C313" i="160"/>
  <c r="I314" i="160"/>
  <c r="D314" i="160"/>
  <c r="J314" i="160"/>
  <c r="E314" i="160"/>
  <c r="C314" i="160"/>
  <c r="I315" i="160"/>
  <c r="D315" i="160"/>
  <c r="J315" i="160"/>
  <c r="E315" i="160"/>
  <c r="C315" i="160"/>
  <c r="I316" i="160"/>
  <c r="D316" i="160"/>
  <c r="J316" i="160"/>
  <c r="E316" i="160"/>
  <c r="C316" i="160"/>
  <c r="I317" i="160"/>
  <c r="D317" i="160"/>
  <c r="J317" i="160"/>
  <c r="E317" i="160"/>
  <c r="C317" i="160"/>
  <c r="I318" i="160"/>
  <c r="D318" i="160"/>
  <c r="J318" i="160"/>
  <c r="E318" i="160"/>
  <c r="C318" i="160"/>
  <c r="I319" i="160"/>
  <c r="D319" i="160"/>
  <c r="J319" i="160"/>
  <c r="E319" i="160"/>
  <c r="C319" i="160"/>
  <c r="I320" i="160"/>
  <c r="D320" i="160"/>
  <c r="J320" i="160"/>
  <c r="E320" i="160"/>
  <c r="C320" i="160"/>
  <c r="I321" i="160"/>
  <c r="D321" i="160"/>
  <c r="J321" i="160"/>
  <c r="E321" i="160"/>
  <c r="C321" i="160"/>
  <c r="I322" i="160"/>
  <c r="D322" i="160"/>
  <c r="J322" i="160"/>
  <c r="E322" i="160"/>
  <c r="C322" i="160"/>
  <c r="I323" i="160"/>
  <c r="D323" i="160"/>
  <c r="J323" i="160"/>
  <c r="E323" i="160"/>
  <c r="C323" i="160"/>
  <c r="I324" i="160"/>
  <c r="D324" i="160"/>
  <c r="J324" i="160"/>
  <c r="E324" i="160"/>
  <c r="C324" i="160"/>
  <c r="I325" i="160"/>
  <c r="D325" i="160"/>
  <c r="J325" i="160"/>
  <c r="E325" i="160"/>
  <c r="C325" i="160"/>
  <c r="I326" i="160"/>
  <c r="D326" i="160"/>
  <c r="J326" i="160"/>
  <c r="E326" i="160"/>
  <c r="C326" i="160"/>
  <c r="I327" i="160"/>
  <c r="D327" i="160"/>
  <c r="J327" i="160"/>
  <c r="E327" i="160"/>
  <c r="C327" i="160"/>
  <c r="I328" i="160"/>
  <c r="D328" i="160"/>
  <c r="J328" i="160"/>
  <c r="E328" i="160"/>
  <c r="C328" i="160"/>
  <c r="I329" i="160"/>
  <c r="D329" i="160"/>
  <c r="J329" i="160"/>
  <c r="E329" i="160"/>
  <c r="C329" i="160"/>
  <c r="I330" i="160"/>
  <c r="D330" i="160"/>
  <c r="J330" i="160"/>
  <c r="E330" i="160"/>
  <c r="C330" i="160"/>
  <c r="I331" i="160"/>
  <c r="D331" i="160"/>
  <c r="J331" i="160"/>
  <c r="E331" i="160"/>
  <c r="C331" i="160"/>
  <c r="I332" i="160"/>
  <c r="D332" i="160"/>
  <c r="J332" i="160"/>
  <c r="E332" i="160"/>
  <c r="C332" i="160"/>
  <c r="I333" i="160"/>
  <c r="D333" i="160"/>
  <c r="J333" i="160"/>
  <c r="E333" i="160"/>
  <c r="C333" i="160"/>
  <c r="I334" i="160"/>
  <c r="D334" i="160"/>
  <c r="J334" i="160"/>
  <c r="E334" i="160"/>
  <c r="C334" i="160"/>
  <c r="I335" i="160"/>
  <c r="D335" i="160"/>
  <c r="J335" i="160"/>
  <c r="E335" i="160"/>
  <c r="C335" i="160"/>
  <c r="I336" i="160"/>
  <c r="D336" i="160"/>
  <c r="J336" i="160"/>
  <c r="E336" i="160"/>
  <c r="C336" i="160"/>
  <c r="I337" i="160"/>
  <c r="D337" i="160"/>
  <c r="J337" i="160"/>
  <c r="E337" i="160"/>
  <c r="C337" i="160"/>
  <c r="I338" i="160"/>
  <c r="D338" i="160"/>
  <c r="J338" i="160"/>
  <c r="E338" i="160"/>
  <c r="C338" i="160"/>
  <c r="I339" i="160"/>
  <c r="D339" i="160"/>
  <c r="J339" i="160"/>
  <c r="E339" i="160"/>
  <c r="C339" i="160"/>
  <c r="I340" i="160"/>
  <c r="D340" i="160"/>
  <c r="J340" i="160"/>
  <c r="E340" i="160"/>
  <c r="C340" i="160"/>
  <c r="I341" i="160"/>
  <c r="D341" i="160"/>
  <c r="J341" i="160"/>
  <c r="E341" i="160"/>
  <c r="C341" i="160"/>
  <c r="I342" i="160"/>
  <c r="D342" i="160"/>
  <c r="J342" i="160"/>
  <c r="E342" i="160"/>
  <c r="C342" i="160"/>
  <c r="I343" i="160"/>
  <c r="D343" i="160"/>
  <c r="J343" i="160"/>
  <c r="E343" i="160"/>
  <c r="C343" i="160"/>
  <c r="I344" i="160"/>
  <c r="D344" i="160"/>
  <c r="J344" i="160"/>
  <c r="E344" i="160"/>
  <c r="C344" i="160"/>
  <c r="I345" i="160"/>
  <c r="D345" i="160"/>
  <c r="J345" i="160"/>
  <c r="E345" i="160"/>
  <c r="C345" i="160"/>
  <c r="I346" i="160"/>
  <c r="D346" i="160"/>
  <c r="J346" i="160"/>
  <c r="E346" i="160"/>
  <c r="C346" i="160"/>
  <c r="I347" i="160"/>
  <c r="D347" i="160"/>
  <c r="J347" i="160"/>
  <c r="E347" i="160"/>
  <c r="C347" i="160"/>
  <c r="I348" i="160"/>
  <c r="D348" i="160"/>
  <c r="J348" i="160"/>
  <c r="E348" i="160"/>
  <c r="C348" i="160"/>
  <c r="I349" i="160"/>
  <c r="D349" i="160"/>
  <c r="J349" i="160"/>
  <c r="E349" i="160"/>
  <c r="C349" i="160"/>
  <c r="I350" i="160"/>
  <c r="D350" i="160"/>
  <c r="J350" i="160"/>
  <c r="E350" i="160"/>
  <c r="C350" i="160"/>
  <c r="I351" i="160"/>
  <c r="D351" i="160"/>
  <c r="J351" i="160"/>
  <c r="E351" i="160"/>
  <c r="C351" i="160"/>
  <c r="I352" i="160"/>
  <c r="D352" i="160"/>
  <c r="J352" i="160"/>
  <c r="E352" i="160"/>
  <c r="C352" i="160"/>
  <c r="I353" i="160"/>
  <c r="D353" i="160"/>
  <c r="J353" i="160"/>
  <c r="E353" i="160"/>
  <c r="C353" i="160"/>
  <c r="I354" i="160"/>
  <c r="D354" i="160"/>
  <c r="J354" i="160"/>
  <c r="E354" i="160"/>
  <c r="C354" i="160"/>
  <c r="F5" i="159"/>
  <c r="F6" i="159"/>
  <c r="A36" i="159"/>
  <c r="Q3" i="159"/>
  <c r="Q4" i="159"/>
  <c r="Q5" i="159"/>
  <c r="Q6" i="159"/>
  <c r="Q7" i="159"/>
  <c r="Q8" i="159"/>
  <c r="Q9" i="159"/>
  <c r="Q10" i="159"/>
  <c r="Q11" i="159"/>
  <c r="Q12" i="159"/>
  <c r="Q13" i="159"/>
  <c r="Q14" i="159"/>
  <c r="Q15" i="159"/>
  <c r="Q16" i="159"/>
  <c r="Q17" i="159"/>
  <c r="Q18" i="159"/>
  <c r="Q19" i="159"/>
  <c r="Q20" i="159"/>
  <c r="E23" i="159"/>
  <c r="E6" i="159"/>
  <c r="B23" i="159"/>
  <c r="G23" i="159"/>
  <c r="H23" i="159"/>
  <c r="O355" i="160"/>
  <c r="G22" i="159"/>
  <c r="E22" i="159"/>
  <c r="H22" i="159"/>
  <c r="O354" i="160"/>
  <c r="E5" i="159"/>
  <c r="E29" i="159"/>
  <c r="B29" i="159"/>
  <c r="G29" i="159"/>
  <c r="H29" i="159"/>
  <c r="O353" i="160"/>
  <c r="O352" i="160"/>
  <c r="O351" i="160"/>
  <c r="O350" i="160"/>
  <c r="A2" i="153"/>
  <c r="I355" i="154"/>
  <c r="D355" i="154"/>
  <c r="J355" i="154"/>
  <c r="E355" i="154"/>
  <c r="C355" i="154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I348" i="154"/>
  <c r="D348" i="154"/>
  <c r="J348" i="154"/>
  <c r="E348" i="154"/>
  <c r="C348" i="154"/>
  <c r="I349" i="154"/>
  <c r="D349" i="154"/>
  <c r="J349" i="154"/>
  <c r="E349" i="154"/>
  <c r="C349" i="154"/>
  <c r="I350" i="154"/>
  <c r="D350" i="154"/>
  <c r="J350" i="154"/>
  <c r="E350" i="154"/>
  <c r="C350" i="154"/>
  <c r="I351" i="154"/>
  <c r="D351" i="154"/>
  <c r="J351" i="154"/>
  <c r="E351" i="154"/>
  <c r="C351" i="154"/>
  <c r="I352" i="154"/>
  <c r="D352" i="154"/>
  <c r="J352" i="154"/>
  <c r="E352" i="154"/>
  <c r="C352" i="154"/>
  <c r="I353" i="154"/>
  <c r="D353" i="154"/>
  <c r="J353" i="154"/>
  <c r="E353" i="154"/>
  <c r="C353" i="154"/>
  <c r="I354" i="154"/>
  <c r="D354" i="154"/>
  <c r="J354" i="154"/>
  <c r="E354" i="154"/>
  <c r="C354" i="154"/>
  <c r="F5" i="153"/>
  <c r="F6" i="153"/>
  <c r="A3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3" i="153"/>
  <c r="E6" i="153"/>
  <c r="B23" i="153"/>
  <c r="G23" i="153"/>
  <c r="H23" i="153"/>
  <c r="O355" i="154"/>
  <c r="E22" i="153"/>
  <c r="B22" i="153"/>
  <c r="G22" i="153"/>
  <c r="H22" i="153"/>
  <c r="O354" i="154"/>
  <c r="E5" i="153"/>
  <c r="E29" i="153"/>
  <c r="B29" i="153"/>
  <c r="G29" i="153"/>
  <c r="H29" i="153"/>
  <c r="O353" i="154"/>
  <c r="O352" i="154"/>
  <c r="O351" i="154"/>
  <c r="G18" i="159"/>
  <c r="E18" i="159"/>
  <c r="H18" i="159"/>
  <c r="O3" i="160"/>
  <c r="O5" i="160"/>
  <c r="O7" i="160"/>
  <c r="O9" i="160"/>
  <c r="E19" i="159"/>
  <c r="B19" i="159"/>
  <c r="E24" i="159"/>
  <c r="B24" i="159"/>
  <c r="B17" i="159"/>
  <c r="G17" i="159"/>
  <c r="E17" i="159"/>
  <c r="H17" i="159"/>
  <c r="O2" i="160"/>
  <c r="O4" i="160"/>
  <c r="O6" i="160"/>
  <c r="O8" i="160"/>
  <c r="O10" i="160"/>
  <c r="O11" i="160"/>
  <c r="O12" i="160"/>
  <c r="O13" i="160"/>
  <c r="O14" i="160"/>
  <c r="O15" i="160"/>
  <c r="O16" i="160"/>
  <c r="O17" i="160"/>
  <c r="O18" i="160"/>
  <c r="O19" i="160"/>
  <c r="O20" i="160"/>
  <c r="O21" i="160"/>
  <c r="O22" i="160"/>
  <c r="O23" i="160"/>
  <c r="O24" i="160"/>
  <c r="O25" i="160"/>
  <c r="O26" i="160"/>
  <c r="O27" i="160"/>
  <c r="O28" i="160"/>
  <c r="O29" i="160"/>
  <c r="O30" i="160"/>
  <c r="O31" i="160"/>
  <c r="O32" i="160"/>
  <c r="O33" i="160"/>
  <c r="O34" i="160"/>
  <c r="O35" i="160"/>
  <c r="O36" i="160"/>
  <c r="O37" i="160"/>
  <c r="O38" i="160"/>
  <c r="O39" i="160"/>
  <c r="O40" i="160"/>
  <c r="O41" i="160"/>
  <c r="G24" i="159"/>
  <c r="H24" i="159"/>
  <c r="O42" i="160"/>
  <c r="E25" i="159"/>
  <c r="B25" i="159"/>
  <c r="G25" i="159"/>
  <c r="H25" i="159"/>
  <c r="O43" i="160"/>
  <c r="E26" i="159"/>
  <c r="B26" i="159"/>
  <c r="G26" i="159"/>
  <c r="H26" i="159"/>
  <c r="O44" i="160"/>
  <c r="O45" i="160"/>
  <c r="O46" i="160"/>
  <c r="O47" i="160"/>
  <c r="O48" i="160"/>
  <c r="O49" i="160"/>
  <c r="O50" i="160"/>
  <c r="G19" i="159"/>
  <c r="H19" i="159"/>
  <c r="O51" i="160"/>
  <c r="E20" i="159"/>
  <c r="B20" i="159"/>
  <c r="G20" i="159"/>
  <c r="H20" i="159"/>
  <c r="O52" i="160"/>
  <c r="E28" i="159"/>
  <c r="B28" i="159"/>
  <c r="B21" i="159"/>
  <c r="G21" i="159"/>
  <c r="E21" i="159"/>
  <c r="H21" i="159"/>
  <c r="O53" i="160"/>
  <c r="O54" i="160"/>
  <c r="O55" i="160"/>
  <c r="O56" i="160"/>
  <c r="O57" i="160"/>
  <c r="O58" i="160"/>
  <c r="O59" i="160"/>
  <c r="O60" i="160"/>
  <c r="O61" i="160"/>
  <c r="O62" i="160"/>
  <c r="O63" i="160"/>
  <c r="O64" i="160"/>
  <c r="O65" i="160"/>
  <c r="O66" i="160"/>
  <c r="O67" i="160"/>
  <c r="O68" i="160"/>
  <c r="O69" i="160"/>
  <c r="O70" i="160"/>
  <c r="O71" i="160"/>
  <c r="O72" i="160"/>
  <c r="O73" i="160"/>
  <c r="O74" i="160"/>
  <c r="O75" i="160"/>
  <c r="O76" i="160"/>
  <c r="O77" i="160"/>
  <c r="O78" i="160"/>
  <c r="O79" i="160"/>
  <c r="O80" i="160"/>
  <c r="O81" i="160"/>
  <c r="O82" i="160"/>
  <c r="O83" i="160"/>
  <c r="O84" i="160"/>
  <c r="O85" i="160"/>
  <c r="O86" i="160"/>
  <c r="O87" i="160"/>
  <c r="O88" i="160"/>
  <c r="O89" i="160"/>
  <c r="O90" i="160"/>
  <c r="O91" i="160"/>
  <c r="O92" i="160"/>
  <c r="O93" i="160"/>
  <c r="O94" i="160"/>
  <c r="O95" i="160"/>
  <c r="O96" i="160"/>
  <c r="O97" i="160"/>
  <c r="O98" i="160"/>
  <c r="O99" i="160"/>
  <c r="O100" i="160"/>
  <c r="O101" i="160"/>
  <c r="O102" i="160"/>
  <c r="O103" i="160"/>
  <c r="O104" i="160"/>
  <c r="O105" i="160"/>
  <c r="O106" i="160"/>
  <c r="O107" i="160"/>
  <c r="O108" i="160"/>
  <c r="O109" i="160"/>
  <c r="O110" i="160"/>
  <c r="O111" i="160"/>
  <c r="O112" i="160"/>
  <c r="O113" i="160"/>
  <c r="O114" i="160"/>
  <c r="O115" i="160"/>
  <c r="O116" i="160"/>
  <c r="O117" i="160"/>
  <c r="O118" i="160"/>
  <c r="O119" i="160"/>
  <c r="O120" i="160"/>
  <c r="O121" i="160"/>
  <c r="O122" i="160"/>
  <c r="O123" i="160"/>
  <c r="O124" i="160"/>
  <c r="O125" i="160"/>
  <c r="O126" i="160"/>
  <c r="O127" i="160"/>
  <c r="O128" i="160"/>
  <c r="O129" i="160"/>
  <c r="O130" i="160"/>
  <c r="O131" i="160"/>
  <c r="O132" i="160"/>
  <c r="O133" i="160"/>
  <c r="O134" i="160"/>
  <c r="O135" i="160"/>
  <c r="O136" i="160"/>
  <c r="O137" i="160"/>
  <c r="E27" i="159"/>
  <c r="B27" i="159"/>
  <c r="G27" i="159"/>
  <c r="H27" i="159"/>
  <c r="O138" i="160"/>
  <c r="G28" i="159"/>
  <c r="H28" i="159"/>
  <c r="O139" i="160"/>
  <c r="O140" i="160"/>
  <c r="O141" i="160"/>
  <c r="O142" i="160"/>
  <c r="O143" i="160"/>
  <c r="O144" i="160"/>
  <c r="O145" i="160"/>
  <c r="O146" i="160"/>
  <c r="O147" i="160"/>
  <c r="O148" i="160"/>
  <c r="O149" i="160"/>
  <c r="O150" i="160"/>
  <c r="O151" i="160"/>
  <c r="O152" i="160"/>
  <c r="O153" i="160"/>
  <c r="O154" i="160"/>
  <c r="O155" i="160"/>
  <c r="O156" i="160"/>
  <c r="O157" i="160"/>
  <c r="O158" i="160"/>
  <c r="O159" i="160"/>
  <c r="O160" i="160"/>
  <c r="O161" i="160"/>
  <c r="O162" i="160"/>
  <c r="O163" i="160"/>
  <c r="O164" i="160"/>
  <c r="O165" i="160"/>
  <c r="O166" i="160"/>
  <c r="O167" i="160"/>
  <c r="O168" i="160"/>
  <c r="O169" i="160"/>
  <c r="O170" i="160"/>
  <c r="O171" i="160"/>
  <c r="O172" i="160"/>
  <c r="O173" i="160"/>
  <c r="O174" i="160"/>
  <c r="O175" i="160"/>
  <c r="O176" i="160"/>
  <c r="O177" i="160"/>
  <c r="O178" i="160"/>
  <c r="O179" i="160"/>
  <c r="O180" i="160"/>
  <c r="O181" i="160"/>
  <c r="O182" i="160"/>
  <c r="O183" i="160"/>
  <c r="O184" i="160"/>
  <c r="O185" i="160"/>
  <c r="O186" i="160"/>
  <c r="O187" i="160"/>
  <c r="O188" i="160"/>
  <c r="O189" i="160"/>
  <c r="O190" i="160"/>
  <c r="O191" i="160"/>
  <c r="O192" i="160"/>
  <c r="O193" i="160"/>
  <c r="O194" i="160"/>
  <c r="O195" i="160"/>
  <c r="O196" i="160"/>
  <c r="O197" i="160"/>
  <c r="O198" i="160"/>
  <c r="O199" i="160"/>
  <c r="O200" i="160"/>
  <c r="O201" i="160"/>
  <c r="O202" i="160"/>
  <c r="O203" i="160"/>
  <c r="O204" i="160"/>
  <c r="O205" i="160"/>
  <c r="O206" i="160"/>
  <c r="O207" i="160"/>
  <c r="O208" i="160"/>
  <c r="O209" i="160"/>
  <c r="O210" i="160"/>
  <c r="O211" i="160"/>
  <c r="O212" i="160"/>
  <c r="O213" i="160"/>
  <c r="O214" i="160"/>
  <c r="O215" i="160"/>
  <c r="O216" i="160"/>
  <c r="O217" i="160"/>
  <c r="O218" i="160"/>
  <c r="O219" i="160"/>
  <c r="O220" i="160"/>
  <c r="O221" i="160"/>
  <c r="O222" i="160"/>
  <c r="O223" i="160"/>
  <c r="O224" i="160"/>
  <c r="O225" i="160"/>
  <c r="O226" i="160"/>
  <c r="O227" i="160"/>
  <c r="O228" i="160"/>
  <c r="O229" i="160"/>
  <c r="O230" i="160"/>
  <c r="O231" i="160"/>
  <c r="O232" i="160"/>
  <c r="O233" i="160"/>
  <c r="O234" i="160"/>
  <c r="O235" i="160"/>
  <c r="O236" i="160"/>
  <c r="O237" i="160"/>
  <c r="O238" i="160"/>
  <c r="O239" i="160"/>
  <c r="O240" i="160"/>
  <c r="O241" i="160"/>
  <c r="O242" i="160"/>
  <c r="O243" i="160"/>
  <c r="O244" i="160"/>
  <c r="O245" i="160"/>
  <c r="O246" i="160"/>
  <c r="O247" i="160"/>
  <c r="O248" i="160"/>
  <c r="O249" i="160"/>
  <c r="O250" i="160"/>
  <c r="O251" i="160"/>
  <c r="O252" i="160"/>
  <c r="O253" i="160"/>
  <c r="O254" i="160"/>
  <c r="O255" i="160"/>
  <c r="O256" i="160"/>
  <c r="O257" i="160"/>
  <c r="O258" i="160"/>
  <c r="O259" i="160"/>
  <c r="O260" i="160"/>
  <c r="O261" i="160"/>
  <c r="O262" i="160"/>
  <c r="O263" i="160"/>
  <c r="O264" i="160"/>
  <c r="O265" i="160"/>
  <c r="O266" i="160"/>
  <c r="O267" i="160"/>
  <c r="O268" i="160"/>
  <c r="O269" i="160"/>
  <c r="O270" i="160"/>
  <c r="O271" i="160"/>
  <c r="O272" i="160"/>
  <c r="O273" i="160"/>
  <c r="O274" i="160"/>
  <c r="O275" i="160"/>
  <c r="O276" i="160"/>
  <c r="O277" i="160"/>
  <c r="O278" i="160"/>
  <c r="O279" i="160"/>
  <c r="O280" i="160"/>
  <c r="O281" i="160"/>
  <c r="O282" i="160"/>
  <c r="O283" i="160"/>
  <c r="O284" i="160"/>
  <c r="O285" i="160"/>
  <c r="O286" i="160"/>
  <c r="O287" i="160"/>
  <c r="O288" i="160"/>
  <c r="O289" i="160"/>
  <c r="O290" i="160"/>
  <c r="O291" i="160"/>
  <c r="O292" i="160"/>
  <c r="O293" i="160"/>
  <c r="O294" i="160"/>
  <c r="O295" i="160"/>
  <c r="O296" i="160"/>
  <c r="O297" i="160"/>
  <c r="O298" i="160"/>
  <c r="O299" i="160"/>
  <c r="O300" i="160"/>
  <c r="O301" i="160"/>
  <c r="O302" i="160"/>
  <c r="O303" i="160"/>
  <c r="O304" i="160"/>
  <c r="O305" i="160"/>
  <c r="O306" i="160"/>
  <c r="O307" i="160"/>
  <c r="O308" i="160"/>
  <c r="O309" i="160"/>
  <c r="O310" i="160"/>
  <c r="O311" i="160"/>
  <c r="O312" i="160"/>
  <c r="O313" i="160"/>
  <c r="O314" i="160"/>
  <c r="O315" i="160"/>
  <c r="O316" i="160"/>
  <c r="O317" i="160"/>
  <c r="O318" i="160"/>
  <c r="O319" i="160"/>
  <c r="O320" i="160"/>
  <c r="O321" i="160"/>
  <c r="O322" i="160"/>
  <c r="O323" i="160"/>
  <c r="O324" i="160"/>
  <c r="O325" i="160"/>
  <c r="O326" i="160"/>
  <c r="O327" i="160"/>
  <c r="O328" i="160"/>
  <c r="O329" i="160"/>
  <c r="O330" i="160"/>
  <c r="O331" i="160"/>
  <c r="O332" i="160"/>
  <c r="O333" i="160"/>
  <c r="O334" i="160"/>
  <c r="O335" i="160"/>
  <c r="O336" i="160"/>
  <c r="O337" i="160"/>
  <c r="O338" i="160"/>
  <c r="O339" i="160"/>
  <c r="O340" i="160"/>
  <c r="O341" i="160"/>
  <c r="O342" i="160"/>
  <c r="O343" i="160"/>
  <c r="O344" i="160"/>
  <c r="O345" i="160"/>
  <c r="O346" i="160"/>
  <c r="O347" i="160"/>
  <c r="O348" i="160"/>
  <c r="O349" i="160"/>
  <c r="A2" i="157"/>
  <c r="F41" i="159"/>
  <c r="G41" i="159"/>
  <c r="A355" i="154"/>
  <c r="A354" i="154"/>
  <c r="A353" i="154"/>
  <c r="A352" i="154"/>
  <c r="A351" i="154"/>
  <c r="A355" i="160"/>
  <c r="A354" i="160"/>
  <c r="A353" i="160"/>
  <c r="A352" i="160"/>
  <c r="A351" i="160"/>
  <c r="Q355" i="160"/>
  <c r="I355" i="158"/>
  <c r="D355" i="158"/>
  <c r="J355" i="158"/>
  <c r="E355" i="158"/>
  <c r="C355" i="158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I342" i="158"/>
  <c r="D342" i="158"/>
  <c r="J342" i="158"/>
  <c r="E342" i="158"/>
  <c r="C342" i="158"/>
  <c r="I343" i="158"/>
  <c r="D343" i="158"/>
  <c r="J343" i="158"/>
  <c r="E343" i="158"/>
  <c r="C343" i="158"/>
  <c r="I344" i="158"/>
  <c r="D344" i="158"/>
  <c r="J344" i="158"/>
  <c r="E344" i="158"/>
  <c r="C344" i="158"/>
  <c r="I345" i="158"/>
  <c r="D345" i="158"/>
  <c r="J345" i="158"/>
  <c r="E345" i="158"/>
  <c r="C345" i="158"/>
  <c r="I346" i="158"/>
  <c r="D346" i="158"/>
  <c r="J346" i="158"/>
  <c r="E346" i="158"/>
  <c r="C346" i="158"/>
  <c r="I347" i="158"/>
  <c r="D347" i="158"/>
  <c r="J347" i="158"/>
  <c r="E347" i="158"/>
  <c r="C347" i="158"/>
  <c r="I348" i="158"/>
  <c r="D348" i="158"/>
  <c r="J348" i="158"/>
  <c r="E348" i="158"/>
  <c r="C348" i="158"/>
  <c r="I349" i="158"/>
  <c r="D349" i="158"/>
  <c r="J349" i="158"/>
  <c r="E349" i="158"/>
  <c r="C349" i="158"/>
  <c r="I350" i="158"/>
  <c r="D350" i="158"/>
  <c r="J350" i="158"/>
  <c r="E350" i="158"/>
  <c r="C350" i="158"/>
  <c r="I351" i="158"/>
  <c r="D351" i="158"/>
  <c r="J351" i="158"/>
  <c r="E351" i="158"/>
  <c r="C351" i="158"/>
  <c r="I352" i="158"/>
  <c r="D352" i="158"/>
  <c r="J352" i="158"/>
  <c r="E352" i="158"/>
  <c r="C352" i="158"/>
  <c r="I353" i="158"/>
  <c r="D353" i="158"/>
  <c r="J353" i="158"/>
  <c r="E353" i="158"/>
  <c r="C353" i="158"/>
  <c r="I354" i="158"/>
  <c r="D354" i="158"/>
  <c r="J354" i="158"/>
  <c r="E354" i="158"/>
  <c r="C354" i="158"/>
  <c r="F5" i="157"/>
  <c r="F6" i="157"/>
  <c r="A3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3" i="157"/>
  <c r="E6" i="157"/>
  <c r="B23" i="157"/>
  <c r="G23" i="157"/>
  <c r="H23" i="157"/>
  <c r="F351" i="160"/>
  <c r="F352" i="160"/>
  <c r="F353" i="160"/>
  <c r="F354" i="160"/>
  <c r="F355" i="160"/>
  <c r="E5" i="157"/>
  <c r="E29" i="157"/>
  <c r="B29" i="157"/>
  <c r="G29" i="157"/>
  <c r="H29" i="157"/>
  <c r="E22" i="157"/>
  <c r="B22" i="157"/>
  <c r="G22" i="157"/>
  <c r="H22" i="157"/>
  <c r="P355" i="160"/>
  <c r="N355" i="160"/>
  <c r="M355" i="160"/>
  <c r="L355" i="160"/>
  <c r="K355" i="160"/>
  <c r="H355" i="160"/>
  <c r="Q354" i="160"/>
  <c r="P354" i="160"/>
  <c r="N354" i="160"/>
  <c r="M354" i="160"/>
  <c r="L354" i="160"/>
  <c r="K354" i="160"/>
  <c r="H354" i="160"/>
  <c r="Q353" i="160"/>
  <c r="P353" i="160"/>
  <c r="N353" i="160"/>
  <c r="M353" i="160"/>
  <c r="L353" i="160"/>
  <c r="K353" i="160"/>
  <c r="H353" i="160"/>
  <c r="Q352" i="160"/>
  <c r="P352" i="160"/>
  <c r="N352" i="160"/>
  <c r="M352" i="160"/>
  <c r="L352" i="160"/>
  <c r="K352" i="160"/>
  <c r="H352" i="160"/>
  <c r="Q351" i="160"/>
  <c r="P351" i="160"/>
  <c r="N351" i="160"/>
  <c r="M351" i="160"/>
  <c r="L351" i="160"/>
  <c r="K351" i="160"/>
  <c r="H351" i="160"/>
  <c r="F351" i="154"/>
  <c r="F352" i="154"/>
  <c r="F353" i="154"/>
  <c r="F354" i="154"/>
  <c r="F355" i="154"/>
  <c r="E19" i="153"/>
  <c r="B19" i="153"/>
  <c r="E24" i="153"/>
  <c r="B24" i="153"/>
  <c r="B17" i="153"/>
  <c r="G17" i="153"/>
  <c r="E17" i="153"/>
  <c r="H17" i="153"/>
  <c r="O2" i="154"/>
  <c r="E20" i="153"/>
  <c r="B20" i="153"/>
  <c r="E25" i="153"/>
  <c r="B25" i="153"/>
  <c r="E27" i="153"/>
  <c r="B27" i="153"/>
  <c r="B18" i="153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E28" i="153"/>
  <c r="B28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P355" i="154"/>
  <c r="N355" i="154"/>
  <c r="M355" i="154"/>
  <c r="L355" i="154"/>
  <c r="K355" i="154"/>
  <c r="H355" i="154"/>
  <c r="P354" i="154"/>
  <c r="N354" i="154"/>
  <c r="M354" i="154"/>
  <c r="L354" i="154"/>
  <c r="K354" i="154"/>
  <c r="H354" i="154"/>
  <c r="P353" i="154"/>
  <c r="N353" i="154"/>
  <c r="M353" i="154"/>
  <c r="L353" i="154"/>
  <c r="K353" i="154"/>
  <c r="H353" i="154"/>
  <c r="P352" i="154"/>
  <c r="N352" i="154"/>
  <c r="M352" i="154"/>
  <c r="L352" i="154"/>
  <c r="K352" i="154"/>
  <c r="H352" i="154"/>
  <c r="P351" i="154"/>
  <c r="N351" i="154"/>
  <c r="M351" i="154"/>
  <c r="L351" i="154"/>
  <c r="K351" i="154"/>
  <c r="H351" i="154"/>
  <c r="F355" i="158"/>
  <c r="O355" i="158"/>
  <c r="E19" i="157"/>
  <c r="B19" i="157"/>
  <c r="E24" i="157"/>
  <c r="B24" i="157"/>
  <c r="B17" i="157"/>
  <c r="G17" i="157"/>
  <c r="E17" i="157"/>
  <c r="H17" i="157"/>
  <c r="O2" i="158"/>
  <c r="E20" i="157"/>
  <c r="B20" i="157"/>
  <c r="E25" i="157"/>
  <c r="B25" i="157"/>
  <c r="E27" i="157"/>
  <c r="B27" i="157"/>
  <c r="B18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8" i="157"/>
  <c r="B28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3" i="158"/>
  <c r="O354" i="158"/>
  <c r="P355" i="158"/>
  <c r="N355" i="158"/>
  <c r="M355" i="158"/>
  <c r="L355" i="158"/>
  <c r="K355" i="158"/>
  <c r="H355" i="158"/>
  <c r="F354" i="158"/>
  <c r="P354" i="158"/>
  <c r="N354" i="158"/>
  <c r="M354" i="158"/>
  <c r="L354" i="158"/>
  <c r="K354" i="158"/>
  <c r="H354" i="158"/>
  <c r="F353" i="158"/>
  <c r="P353" i="158"/>
  <c r="N353" i="158"/>
  <c r="M353" i="158"/>
  <c r="L353" i="158"/>
  <c r="K353" i="158"/>
  <c r="H353" i="158"/>
  <c r="F352" i="158"/>
  <c r="P352" i="158"/>
  <c r="N352" i="158"/>
  <c r="M352" i="158"/>
  <c r="L352" i="158"/>
  <c r="K352" i="158"/>
  <c r="H352" i="158"/>
  <c r="F351" i="158"/>
  <c r="P351" i="158"/>
  <c r="N351" i="158"/>
  <c r="M351" i="158"/>
  <c r="L351" i="158"/>
  <c r="K351" i="158"/>
  <c r="H351" i="158"/>
  <c r="A355" i="158"/>
  <c r="A354" i="158"/>
  <c r="A353" i="158"/>
  <c r="A352" i="158"/>
  <c r="A351" i="158"/>
  <c r="B6" i="153"/>
  <c r="B10" i="159"/>
  <c r="F2" i="160"/>
  <c r="F3" i="160"/>
  <c r="F4" i="160"/>
  <c r="F5" i="160"/>
  <c r="F6" i="160"/>
  <c r="F7" i="160"/>
  <c r="F8" i="160"/>
  <c r="F9" i="160"/>
  <c r="F10" i="160"/>
  <c r="F11" i="160"/>
  <c r="F12" i="160"/>
  <c r="F13" i="160"/>
  <c r="F14" i="160"/>
  <c r="F15" i="160"/>
  <c r="F16" i="160"/>
  <c r="F17" i="160"/>
  <c r="F18" i="160"/>
  <c r="F19" i="160"/>
  <c r="F20" i="160"/>
  <c r="F21" i="160"/>
  <c r="F22" i="160"/>
  <c r="F23" i="160"/>
  <c r="F24" i="160"/>
  <c r="F25" i="160"/>
  <c r="F26" i="160"/>
  <c r="F27" i="160"/>
  <c r="F28" i="160"/>
  <c r="F29" i="160"/>
  <c r="F30" i="160"/>
  <c r="F31" i="160"/>
  <c r="F32" i="160"/>
  <c r="F33" i="160"/>
  <c r="F34" i="160"/>
  <c r="F35" i="160"/>
  <c r="F36" i="160"/>
  <c r="F37" i="160"/>
  <c r="F38" i="160"/>
  <c r="F39" i="160"/>
  <c r="F40" i="160"/>
  <c r="F41" i="160"/>
  <c r="F42" i="160"/>
  <c r="F43" i="160"/>
  <c r="F44" i="160"/>
  <c r="F45" i="160"/>
  <c r="F46" i="160"/>
  <c r="F47" i="160"/>
  <c r="F48" i="160"/>
  <c r="F49" i="160"/>
  <c r="F50" i="160"/>
  <c r="F51" i="160"/>
  <c r="F52" i="160"/>
  <c r="F53" i="160"/>
  <c r="F54" i="160"/>
  <c r="F55" i="160"/>
  <c r="F56" i="160"/>
  <c r="F57" i="160"/>
  <c r="F58" i="160"/>
  <c r="F59" i="160"/>
  <c r="F60" i="160"/>
  <c r="F61" i="160"/>
  <c r="F62" i="160"/>
  <c r="F63" i="160"/>
  <c r="F64" i="160"/>
  <c r="F65" i="160"/>
  <c r="F66" i="160"/>
  <c r="F67" i="160"/>
  <c r="F68" i="160"/>
  <c r="F69" i="160"/>
  <c r="F70" i="160"/>
  <c r="F71" i="160"/>
  <c r="F72" i="160"/>
  <c r="F73" i="160"/>
  <c r="F74" i="160"/>
  <c r="F75" i="160"/>
  <c r="F76" i="160"/>
  <c r="F77" i="160"/>
  <c r="F78" i="160"/>
  <c r="F79" i="160"/>
  <c r="F80" i="160"/>
  <c r="F81" i="160"/>
  <c r="F82" i="160"/>
  <c r="F83" i="160"/>
  <c r="F84" i="160"/>
  <c r="F85" i="160"/>
  <c r="F86" i="160"/>
  <c r="F87" i="160"/>
  <c r="F88" i="160"/>
  <c r="F89" i="160"/>
  <c r="F90" i="160"/>
  <c r="F91" i="160"/>
  <c r="F92" i="160"/>
  <c r="F93" i="160"/>
  <c r="F94" i="160"/>
  <c r="F95" i="160"/>
  <c r="F96" i="160"/>
  <c r="F97" i="160"/>
  <c r="F98" i="160"/>
  <c r="F99" i="160"/>
  <c r="F100" i="160"/>
  <c r="F101" i="160"/>
  <c r="F102" i="160"/>
  <c r="F103" i="160"/>
  <c r="F104" i="160"/>
  <c r="F105" i="160"/>
  <c r="F106" i="160"/>
  <c r="F107" i="160"/>
  <c r="F108" i="160"/>
  <c r="F109" i="160"/>
  <c r="F110" i="160"/>
  <c r="F111" i="160"/>
  <c r="F112" i="160"/>
  <c r="F113" i="160"/>
  <c r="F114" i="160"/>
  <c r="F115" i="160"/>
  <c r="F116" i="160"/>
  <c r="F117" i="160"/>
  <c r="F118" i="160"/>
  <c r="F119" i="160"/>
  <c r="F120" i="160"/>
  <c r="F121" i="160"/>
  <c r="F122" i="160"/>
  <c r="F123" i="160"/>
  <c r="F124" i="160"/>
  <c r="F125" i="160"/>
  <c r="F126" i="160"/>
  <c r="F127" i="160"/>
  <c r="F128" i="160"/>
  <c r="F129" i="160"/>
  <c r="F130" i="160"/>
  <c r="F131" i="160"/>
  <c r="F132" i="160"/>
  <c r="F133" i="160"/>
  <c r="F134" i="160"/>
  <c r="F135" i="160"/>
  <c r="F136" i="160"/>
  <c r="F137" i="160"/>
  <c r="F138" i="160"/>
  <c r="F139" i="160"/>
  <c r="F140" i="160"/>
  <c r="F141" i="160"/>
  <c r="F142" i="160"/>
  <c r="F143" i="160"/>
  <c r="F144" i="160"/>
  <c r="F145" i="160"/>
  <c r="F146" i="160"/>
  <c r="F147" i="160"/>
  <c r="F148" i="160"/>
  <c r="F149" i="160"/>
  <c r="F150" i="160"/>
  <c r="F151" i="160"/>
  <c r="F152" i="160"/>
  <c r="F153" i="160"/>
  <c r="F154" i="160"/>
  <c r="F155" i="160"/>
  <c r="F156" i="160"/>
  <c r="F157" i="160"/>
  <c r="F158" i="160"/>
  <c r="F159" i="160"/>
  <c r="F160" i="160"/>
  <c r="F161" i="160"/>
  <c r="F162" i="160"/>
  <c r="F163" i="160"/>
  <c r="F164" i="160"/>
  <c r="F165" i="160"/>
  <c r="F166" i="160"/>
  <c r="F167" i="160"/>
  <c r="F168" i="160"/>
  <c r="F169" i="160"/>
  <c r="F170" i="160"/>
  <c r="F171" i="160"/>
  <c r="F172" i="160"/>
  <c r="F173" i="160"/>
  <c r="F174" i="160"/>
  <c r="F175" i="160"/>
  <c r="F176" i="160"/>
  <c r="F177" i="160"/>
  <c r="F178" i="160"/>
  <c r="F179" i="160"/>
  <c r="F180" i="160"/>
  <c r="F181" i="160"/>
  <c r="F182" i="160"/>
  <c r="F183" i="160"/>
  <c r="F184" i="160"/>
  <c r="F185" i="160"/>
  <c r="F186" i="160"/>
  <c r="F187" i="160"/>
  <c r="F188" i="160"/>
  <c r="F189" i="160"/>
  <c r="F190" i="160"/>
  <c r="F191" i="160"/>
  <c r="F192" i="160"/>
  <c r="F193" i="160"/>
  <c r="F194" i="160"/>
  <c r="F195" i="160"/>
  <c r="F196" i="160"/>
  <c r="F197" i="160"/>
  <c r="F198" i="160"/>
  <c r="F199" i="160"/>
  <c r="F200" i="160"/>
  <c r="F201" i="160"/>
  <c r="F202" i="160"/>
  <c r="F203" i="160"/>
  <c r="F204" i="160"/>
  <c r="F205" i="160"/>
  <c r="F206" i="160"/>
  <c r="F207" i="160"/>
  <c r="F208" i="160"/>
  <c r="F209" i="160"/>
  <c r="F210" i="160"/>
  <c r="F211" i="160"/>
  <c r="F212" i="160"/>
  <c r="F213" i="160"/>
  <c r="F214" i="160"/>
  <c r="F215" i="160"/>
  <c r="F216" i="160"/>
  <c r="F217" i="160"/>
  <c r="F218" i="160"/>
  <c r="F219" i="160"/>
  <c r="F220" i="160"/>
  <c r="F221" i="160"/>
  <c r="F222" i="160"/>
  <c r="F223" i="160"/>
  <c r="F224" i="160"/>
  <c r="F225" i="160"/>
  <c r="F226" i="160"/>
  <c r="F227" i="160"/>
  <c r="F228" i="160"/>
  <c r="F229" i="160"/>
  <c r="F230" i="160"/>
  <c r="F231" i="160"/>
  <c r="F232" i="160"/>
  <c r="F233" i="160"/>
  <c r="F234" i="160"/>
  <c r="F235" i="160"/>
  <c r="F236" i="160"/>
  <c r="F237" i="160"/>
  <c r="F238" i="160"/>
  <c r="F239" i="160"/>
  <c r="F240" i="160"/>
  <c r="F241" i="160"/>
  <c r="F242" i="160"/>
  <c r="F243" i="160"/>
  <c r="F244" i="160"/>
  <c r="F245" i="160"/>
  <c r="F246" i="160"/>
  <c r="F247" i="160"/>
  <c r="F248" i="160"/>
  <c r="F249" i="160"/>
  <c r="F250" i="160"/>
  <c r="F251" i="160"/>
  <c r="F252" i="160"/>
  <c r="F253" i="160"/>
  <c r="F254" i="160"/>
  <c r="F255" i="160"/>
  <c r="F256" i="160"/>
  <c r="F257" i="160"/>
  <c r="F258" i="160"/>
  <c r="F259" i="160"/>
  <c r="F260" i="160"/>
  <c r="F261" i="160"/>
  <c r="F262" i="160"/>
  <c r="F263" i="160"/>
  <c r="F264" i="160"/>
  <c r="F265" i="160"/>
  <c r="F266" i="160"/>
  <c r="F267" i="160"/>
  <c r="F268" i="160"/>
  <c r="F269" i="160"/>
  <c r="F270" i="160"/>
  <c r="F271" i="160"/>
  <c r="F272" i="160"/>
  <c r="F273" i="160"/>
  <c r="F274" i="160"/>
  <c r="F275" i="160"/>
  <c r="F276" i="160"/>
  <c r="F277" i="160"/>
  <c r="F278" i="160"/>
  <c r="F279" i="160"/>
  <c r="F280" i="160"/>
  <c r="F281" i="160"/>
  <c r="F282" i="160"/>
  <c r="F283" i="160"/>
  <c r="F284" i="160"/>
  <c r="F285" i="160"/>
  <c r="F286" i="160"/>
  <c r="F287" i="160"/>
  <c r="F288" i="160"/>
  <c r="F289" i="160"/>
  <c r="F290" i="160"/>
  <c r="F291" i="160"/>
  <c r="F292" i="160"/>
  <c r="F293" i="160"/>
  <c r="F294" i="160"/>
  <c r="F295" i="160"/>
  <c r="F296" i="160"/>
  <c r="F297" i="160"/>
  <c r="F298" i="160"/>
  <c r="F299" i="160"/>
  <c r="F300" i="160"/>
  <c r="F301" i="160"/>
  <c r="F302" i="160"/>
  <c r="F303" i="160"/>
  <c r="F304" i="160"/>
  <c r="F305" i="160"/>
  <c r="F306" i="160"/>
  <c r="F307" i="160"/>
  <c r="F308" i="160"/>
  <c r="F309" i="160"/>
  <c r="F310" i="160"/>
  <c r="F311" i="160"/>
  <c r="F312" i="160"/>
  <c r="F313" i="160"/>
  <c r="F314" i="160"/>
  <c r="F315" i="160"/>
  <c r="F316" i="160"/>
  <c r="F317" i="160"/>
  <c r="F318" i="160"/>
  <c r="F319" i="160"/>
  <c r="F320" i="160"/>
  <c r="F321" i="160"/>
  <c r="F322" i="160"/>
  <c r="F323" i="160"/>
  <c r="F324" i="160"/>
  <c r="F325" i="160"/>
  <c r="F326" i="160"/>
  <c r="F327" i="160"/>
  <c r="F328" i="160"/>
  <c r="F329" i="160"/>
  <c r="F330" i="160"/>
  <c r="F331" i="160"/>
  <c r="F332" i="160"/>
  <c r="F333" i="160"/>
  <c r="F334" i="160"/>
  <c r="F335" i="160"/>
  <c r="F336" i="160"/>
  <c r="F337" i="160"/>
  <c r="F338" i="160"/>
  <c r="F339" i="160"/>
  <c r="F340" i="160"/>
  <c r="F341" i="160"/>
  <c r="F342" i="160"/>
  <c r="F343" i="160"/>
  <c r="F344" i="160"/>
  <c r="F345" i="160"/>
  <c r="F346" i="160"/>
  <c r="F347" i="160"/>
  <c r="F348" i="160"/>
  <c r="F349" i="160"/>
  <c r="F350" i="160"/>
  <c r="Q350" i="160"/>
  <c r="B30" i="159"/>
  <c r="P350" i="160"/>
  <c r="N350" i="160"/>
  <c r="M350" i="160"/>
  <c r="L350" i="160"/>
  <c r="K350" i="160"/>
  <c r="H350" i="160"/>
  <c r="A350" i="160"/>
  <c r="Q349" i="160"/>
  <c r="P349" i="160"/>
  <c r="N349" i="160"/>
  <c r="M349" i="160"/>
  <c r="L349" i="160"/>
  <c r="K349" i="160"/>
  <c r="H349" i="160"/>
  <c r="A349" i="160"/>
  <c r="Q348" i="160"/>
  <c r="P348" i="160"/>
  <c r="N348" i="160"/>
  <c r="M348" i="160"/>
  <c r="L348" i="160"/>
  <c r="K348" i="160"/>
  <c r="H348" i="160"/>
  <c r="A348" i="160"/>
  <c r="Q347" i="160"/>
  <c r="P347" i="160"/>
  <c r="N347" i="160"/>
  <c r="M347" i="160"/>
  <c r="L347" i="160"/>
  <c r="K347" i="160"/>
  <c r="H347" i="160"/>
  <c r="A347" i="160"/>
  <c r="Q346" i="160"/>
  <c r="P346" i="160"/>
  <c r="N346" i="160"/>
  <c r="M346" i="160"/>
  <c r="L346" i="160"/>
  <c r="K346" i="160"/>
  <c r="H346" i="160"/>
  <c r="A346" i="160"/>
  <c r="Q345" i="160"/>
  <c r="P345" i="160"/>
  <c r="N345" i="160"/>
  <c r="M345" i="160"/>
  <c r="L345" i="160"/>
  <c r="K345" i="160"/>
  <c r="H345" i="160"/>
  <c r="A345" i="160"/>
  <c r="Q344" i="160"/>
  <c r="P344" i="160"/>
  <c r="N344" i="160"/>
  <c r="M344" i="160"/>
  <c r="L344" i="160"/>
  <c r="K344" i="160"/>
  <c r="H344" i="160"/>
  <c r="A344" i="160"/>
  <c r="Q343" i="160"/>
  <c r="P343" i="160"/>
  <c r="N343" i="160"/>
  <c r="M343" i="160"/>
  <c r="L343" i="160"/>
  <c r="K343" i="160"/>
  <c r="H343" i="160"/>
  <c r="A343" i="160"/>
  <c r="Q342" i="160"/>
  <c r="P342" i="160"/>
  <c r="N342" i="160"/>
  <c r="M342" i="160"/>
  <c r="L342" i="160"/>
  <c r="K342" i="160"/>
  <c r="H342" i="160"/>
  <c r="A342" i="160"/>
  <c r="Q341" i="160"/>
  <c r="P341" i="160"/>
  <c r="N341" i="160"/>
  <c r="M341" i="160"/>
  <c r="L341" i="160"/>
  <c r="K341" i="160"/>
  <c r="H341" i="160"/>
  <c r="A341" i="160"/>
  <c r="Q340" i="160"/>
  <c r="P340" i="160"/>
  <c r="N340" i="160"/>
  <c r="M340" i="160"/>
  <c r="L340" i="160"/>
  <c r="K340" i="160"/>
  <c r="H340" i="160"/>
  <c r="A340" i="160"/>
  <c r="Q339" i="160"/>
  <c r="P339" i="160"/>
  <c r="N339" i="160"/>
  <c r="M339" i="160"/>
  <c r="L339" i="160"/>
  <c r="K339" i="160"/>
  <c r="H339" i="160"/>
  <c r="A339" i="160"/>
  <c r="Q338" i="160"/>
  <c r="P338" i="160"/>
  <c r="N338" i="160"/>
  <c r="M338" i="160"/>
  <c r="L338" i="160"/>
  <c r="K338" i="160"/>
  <c r="H338" i="160"/>
  <c r="A338" i="160"/>
  <c r="Q337" i="160"/>
  <c r="P337" i="160"/>
  <c r="N337" i="160"/>
  <c r="M337" i="160"/>
  <c r="L337" i="160"/>
  <c r="K337" i="160"/>
  <c r="H337" i="160"/>
  <c r="A337" i="160"/>
  <c r="Q336" i="160"/>
  <c r="P336" i="160"/>
  <c r="N336" i="160"/>
  <c r="M336" i="160"/>
  <c r="L336" i="160"/>
  <c r="K336" i="160"/>
  <c r="H336" i="160"/>
  <c r="A336" i="160"/>
  <c r="Q335" i="160"/>
  <c r="P335" i="160"/>
  <c r="N335" i="160"/>
  <c r="M335" i="160"/>
  <c r="L335" i="160"/>
  <c r="K335" i="160"/>
  <c r="H335" i="160"/>
  <c r="A335" i="160"/>
  <c r="Q334" i="160"/>
  <c r="P334" i="160"/>
  <c r="N334" i="160"/>
  <c r="M334" i="160"/>
  <c r="L334" i="160"/>
  <c r="K334" i="160"/>
  <c r="H334" i="160"/>
  <c r="A334" i="160"/>
  <c r="Q333" i="160"/>
  <c r="P333" i="160"/>
  <c r="N333" i="160"/>
  <c r="M333" i="160"/>
  <c r="L333" i="160"/>
  <c r="K333" i="160"/>
  <c r="H333" i="160"/>
  <c r="A333" i="160"/>
  <c r="Q332" i="160"/>
  <c r="P332" i="160"/>
  <c r="N332" i="160"/>
  <c r="M332" i="160"/>
  <c r="L332" i="160"/>
  <c r="K332" i="160"/>
  <c r="H332" i="160"/>
  <c r="A332" i="160"/>
  <c r="Q331" i="160"/>
  <c r="P331" i="160"/>
  <c r="N331" i="160"/>
  <c r="M331" i="160"/>
  <c r="L331" i="160"/>
  <c r="K331" i="160"/>
  <c r="H331" i="160"/>
  <c r="A331" i="160"/>
  <c r="Q330" i="160"/>
  <c r="P330" i="160"/>
  <c r="N330" i="160"/>
  <c r="M330" i="160"/>
  <c r="L330" i="160"/>
  <c r="K330" i="160"/>
  <c r="H330" i="160"/>
  <c r="A330" i="160"/>
  <c r="Q329" i="160"/>
  <c r="P329" i="160"/>
  <c r="N329" i="160"/>
  <c r="M329" i="160"/>
  <c r="L329" i="160"/>
  <c r="K329" i="160"/>
  <c r="H329" i="160"/>
  <c r="A329" i="160"/>
  <c r="Q328" i="160"/>
  <c r="P328" i="160"/>
  <c r="N328" i="160"/>
  <c r="M328" i="160"/>
  <c r="L328" i="160"/>
  <c r="K328" i="160"/>
  <c r="H328" i="160"/>
  <c r="A328" i="160"/>
  <c r="Q327" i="160"/>
  <c r="P327" i="160"/>
  <c r="N327" i="160"/>
  <c r="M327" i="160"/>
  <c r="L327" i="160"/>
  <c r="K327" i="160"/>
  <c r="H327" i="160"/>
  <c r="A327" i="160"/>
  <c r="Q326" i="160"/>
  <c r="P326" i="160"/>
  <c r="N326" i="160"/>
  <c r="M326" i="160"/>
  <c r="L326" i="160"/>
  <c r="K326" i="160"/>
  <c r="H326" i="160"/>
  <c r="A326" i="160"/>
  <c r="Q325" i="160"/>
  <c r="P325" i="160"/>
  <c r="N325" i="160"/>
  <c r="M325" i="160"/>
  <c r="L325" i="160"/>
  <c r="K325" i="160"/>
  <c r="H325" i="160"/>
  <c r="A325" i="160"/>
  <c r="Q324" i="160"/>
  <c r="P324" i="160"/>
  <c r="N324" i="160"/>
  <c r="M324" i="160"/>
  <c r="L324" i="160"/>
  <c r="K324" i="160"/>
  <c r="H324" i="160"/>
  <c r="A324" i="160"/>
  <c r="Q323" i="160"/>
  <c r="P323" i="160"/>
  <c r="N323" i="160"/>
  <c r="M323" i="160"/>
  <c r="L323" i="160"/>
  <c r="K323" i="160"/>
  <c r="H323" i="160"/>
  <c r="A323" i="160"/>
  <c r="Q322" i="160"/>
  <c r="P322" i="160"/>
  <c r="N322" i="160"/>
  <c r="M322" i="160"/>
  <c r="L322" i="160"/>
  <c r="K322" i="160"/>
  <c r="H322" i="160"/>
  <c r="A322" i="160"/>
  <c r="Q321" i="160"/>
  <c r="P321" i="160"/>
  <c r="N321" i="160"/>
  <c r="M321" i="160"/>
  <c r="L321" i="160"/>
  <c r="K321" i="160"/>
  <c r="H321" i="160"/>
  <c r="A321" i="160"/>
  <c r="Q320" i="160"/>
  <c r="P320" i="160"/>
  <c r="N320" i="160"/>
  <c r="M320" i="160"/>
  <c r="L320" i="160"/>
  <c r="K320" i="160"/>
  <c r="H320" i="160"/>
  <c r="A320" i="160"/>
  <c r="Q319" i="160"/>
  <c r="P319" i="160"/>
  <c r="N319" i="160"/>
  <c r="M319" i="160"/>
  <c r="L319" i="160"/>
  <c r="K319" i="160"/>
  <c r="H319" i="160"/>
  <c r="A319" i="160"/>
  <c r="Q318" i="160"/>
  <c r="P318" i="160"/>
  <c r="N318" i="160"/>
  <c r="M318" i="160"/>
  <c r="L318" i="160"/>
  <c r="K318" i="160"/>
  <c r="H318" i="160"/>
  <c r="A318" i="160"/>
  <c r="Q317" i="160"/>
  <c r="P317" i="160"/>
  <c r="N317" i="160"/>
  <c r="M317" i="160"/>
  <c r="L317" i="160"/>
  <c r="K317" i="160"/>
  <c r="H317" i="160"/>
  <c r="A317" i="160"/>
  <c r="Q316" i="160"/>
  <c r="P316" i="160"/>
  <c r="N316" i="160"/>
  <c r="M316" i="160"/>
  <c r="L316" i="160"/>
  <c r="K316" i="160"/>
  <c r="H316" i="160"/>
  <c r="A316" i="160"/>
  <c r="Q315" i="160"/>
  <c r="P315" i="160"/>
  <c r="N315" i="160"/>
  <c r="M315" i="160"/>
  <c r="L315" i="160"/>
  <c r="K315" i="160"/>
  <c r="H315" i="160"/>
  <c r="A315" i="160"/>
  <c r="Q314" i="160"/>
  <c r="P314" i="160"/>
  <c r="N314" i="160"/>
  <c r="M314" i="160"/>
  <c r="L314" i="160"/>
  <c r="K314" i="160"/>
  <c r="H314" i="160"/>
  <c r="A314" i="160"/>
  <c r="Q313" i="160"/>
  <c r="P313" i="160"/>
  <c r="N313" i="160"/>
  <c r="M313" i="160"/>
  <c r="L313" i="160"/>
  <c r="K313" i="160"/>
  <c r="H313" i="160"/>
  <c r="A313" i="160"/>
  <c r="Q312" i="160"/>
  <c r="P312" i="160"/>
  <c r="N312" i="160"/>
  <c r="M312" i="160"/>
  <c r="L312" i="160"/>
  <c r="K312" i="160"/>
  <c r="H312" i="160"/>
  <c r="A312" i="160"/>
  <c r="Q311" i="160"/>
  <c r="P311" i="160"/>
  <c r="N311" i="160"/>
  <c r="M311" i="160"/>
  <c r="L311" i="160"/>
  <c r="K311" i="160"/>
  <c r="H311" i="160"/>
  <c r="A311" i="160"/>
  <c r="Q310" i="160"/>
  <c r="P310" i="160"/>
  <c r="N310" i="160"/>
  <c r="M310" i="160"/>
  <c r="L310" i="160"/>
  <c r="K310" i="160"/>
  <c r="H310" i="160"/>
  <c r="A310" i="160"/>
  <c r="Q309" i="160"/>
  <c r="P309" i="160"/>
  <c r="N309" i="160"/>
  <c r="M309" i="160"/>
  <c r="L309" i="160"/>
  <c r="K309" i="160"/>
  <c r="H309" i="160"/>
  <c r="A309" i="160"/>
  <c r="Q308" i="160"/>
  <c r="P308" i="160"/>
  <c r="N308" i="160"/>
  <c r="M308" i="160"/>
  <c r="L308" i="160"/>
  <c r="K308" i="160"/>
  <c r="H308" i="160"/>
  <c r="A308" i="160"/>
  <c r="Q307" i="160"/>
  <c r="P307" i="160"/>
  <c r="N307" i="160"/>
  <c r="M307" i="160"/>
  <c r="L307" i="160"/>
  <c r="K307" i="160"/>
  <c r="H307" i="160"/>
  <c r="A307" i="160"/>
  <c r="Q306" i="160"/>
  <c r="P306" i="160"/>
  <c r="N306" i="160"/>
  <c r="M306" i="160"/>
  <c r="L306" i="160"/>
  <c r="K306" i="160"/>
  <c r="H306" i="160"/>
  <c r="A306" i="160"/>
  <c r="Q305" i="160"/>
  <c r="P305" i="160"/>
  <c r="N305" i="160"/>
  <c r="M305" i="160"/>
  <c r="L305" i="160"/>
  <c r="K305" i="160"/>
  <c r="H305" i="160"/>
  <c r="A305" i="160"/>
  <c r="Q304" i="160"/>
  <c r="P304" i="160"/>
  <c r="N304" i="160"/>
  <c r="M304" i="160"/>
  <c r="L304" i="160"/>
  <c r="K304" i="160"/>
  <c r="H304" i="160"/>
  <c r="A304" i="160"/>
  <c r="Q303" i="160"/>
  <c r="P303" i="160"/>
  <c r="N303" i="160"/>
  <c r="M303" i="160"/>
  <c r="L303" i="160"/>
  <c r="K303" i="160"/>
  <c r="H303" i="160"/>
  <c r="A303" i="160"/>
  <c r="Q302" i="160"/>
  <c r="P302" i="160"/>
  <c r="N302" i="160"/>
  <c r="M302" i="160"/>
  <c r="L302" i="160"/>
  <c r="K302" i="160"/>
  <c r="H302" i="160"/>
  <c r="A302" i="160"/>
  <c r="Q301" i="160"/>
  <c r="P301" i="160"/>
  <c r="N301" i="160"/>
  <c r="M301" i="160"/>
  <c r="L301" i="160"/>
  <c r="K301" i="160"/>
  <c r="H301" i="160"/>
  <c r="A301" i="160"/>
  <c r="Q300" i="160"/>
  <c r="P300" i="160"/>
  <c r="N300" i="160"/>
  <c r="M300" i="160"/>
  <c r="L300" i="160"/>
  <c r="K300" i="160"/>
  <c r="H300" i="160"/>
  <c r="A300" i="160"/>
  <c r="Q299" i="160"/>
  <c r="P299" i="160"/>
  <c r="N299" i="160"/>
  <c r="M299" i="160"/>
  <c r="L299" i="160"/>
  <c r="K299" i="160"/>
  <c r="H299" i="160"/>
  <c r="A299" i="160"/>
  <c r="Q298" i="160"/>
  <c r="P298" i="160"/>
  <c r="N298" i="160"/>
  <c r="M298" i="160"/>
  <c r="L298" i="160"/>
  <c r="K298" i="160"/>
  <c r="H298" i="160"/>
  <c r="A298" i="160"/>
  <c r="Q297" i="160"/>
  <c r="P297" i="160"/>
  <c r="N297" i="160"/>
  <c r="M297" i="160"/>
  <c r="L297" i="160"/>
  <c r="K297" i="160"/>
  <c r="H297" i="160"/>
  <c r="A297" i="160"/>
  <c r="Q296" i="160"/>
  <c r="P296" i="160"/>
  <c r="N296" i="160"/>
  <c r="M296" i="160"/>
  <c r="L296" i="160"/>
  <c r="K296" i="160"/>
  <c r="H296" i="160"/>
  <c r="A296" i="160"/>
  <c r="Q295" i="160"/>
  <c r="P295" i="160"/>
  <c r="N295" i="160"/>
  <c r="M295" i="160"/>
  <c r="L295" i="160"/>
  <c r="K295" i="160"/>
  <c r="H295" i="160"/>
  <c r="A295" i="160"/>
  <c r="Q294" i="160"/>
  <c r="P294" i="160"/>
  <c r="N294" i="160"/>
  <c r="M294" i="160"/>
  <c r="L294" i="160"/>
  <c r="K294" i="160"/>
  <c r="H294" i="160"/>
  <c r="A294" i="160"/>
  <c r="Q293" i="160"/>
  <c r="P293" i="160"/>
  <c r="N293" i="160"/>
  <c r="M293" i="160"/>
  <c r="L293" i="160"/>
  <c r="K293" i="160"/>
  <c r="H293" i="160"/>
  <c r="A293" i="160"/>
  <c r="Q292" i="160"/>
  <c r="P292" i="160"/>
  <c r="N292" i="160"/>
  <c r="M292" i="160"/>
  <c r="L292" i="160"/>
  <c r="K292" i="160"/>
  <c r="H292" i="160"/>
  <c r="A292" i="160"/>
  <c r="Q291" i="160"/>
  <c r="P291" i="160"/>
  <c r="N291" i="160"/>
  <c r="M291" i="160"/>
  <c r="L291" i="160"/>
  <c r="K291" i="160"/>
  <c r="H291" i="160"/>
  <c r="A291" i="160"/>
  <c r="Q290" i="160"/>
  <c r="P290" i="160"/>
  <c r="N290" i="160"/>
  <c r="M290" i="160"/>
  <c r="L290" i="160"/>
  <c r="K290" i="160"/>
  <c r="H290" i="160"/>
  <c r="A290" i="160"/>
  <c r="Q289" i="160"/>
  <c r="P289" i="160"/>
  <c r="N289" i="160"/>
  <c r="M289" i="160"/>
  <c r="L289" i="160"/>
  <c r="K289" i="160"/>
  <c r="H289" i="160"/>
  <c r="A289" i="160"/>
  <c r="Q288" i="160"/>
  <c r="P288" i="160"/>
  <c r="N288" i="160"/>
  <c r="M288" i="160"/>
  <c r="L288" i="160"/>
  <c r="K288" i="160"/>
  <c r="H288" i="160"/>
  <c r="A288" i="160"/>
  <c r="Q287" i="160"/>
  <c r="P287" i="160"/>
  <c r="N287" i="160"/>
  <c r="M287" i="160"/>
  <c r="L287" i="160"/>
  <c r="K287" i="160"/>
  <c r="H287" i="160"/>
  <c r="A287" i="160"/>
  <c r="Q286" i="160"/>
  <c r="P286" i="160"/>
  <c r="N286" i="160"/>
  <c r="M286" i="160"/>
  <c r="L286" i="160"/>
  <c r="K286" i="160"/>
  <c r="H286" i="160"/>
  <c r="A286" i="160"/>
  <c r="Q285" i="160"/>
  <c r="P285" i="160"/>
  <c r="N285" i="160"/>
  <c r="M285" i="160"/>
  <c r="L285" i="160"/>
  <c r="K285" i="160"/>
  <c r="H285" i="160"/>
  <c r="A285" i="160"/>
  <c r="Q284" i="160"/>
  <c r="P284" i="160"/>
  <c r="N284" i="160"/>
  <c r="M284" i="160"/>
  <c r="L284" i="160"/>
  <c r="K284" i="160"/>
  <c r="H284" i="160"/>
  <c r="A284" i="160"/>
  <c r="Q283" i="160"/>
  <c r="P283" i="160"/>
  <c r="N283" i="160"/>
  <c r="M283" i="160"/>
  <c r="L283" i="160"/>
  <c r="K283" i="160"/>
  <c r="H283" i="160"/>
  <c r="A283" i="160"/>
  <c r="Q282" i="160"/>
  <c r="P282" i="160"/>
  <c r="N282" i="160"/>
  <c r="M282" i="160"/>
  <c r="L282" i="160"/>
  <c r="K282" i="160"/>
  <c r="H282" i="160"/>
  <c r="A282" i="160"/>
  <c r="Q281" i="160"/>
  <c r="P281" i="160"/>
  <c r="N281" i="160"/>
  <c r="M281" i="160"/>
  <c r="L281" i="160"/>
  <c r="K281" i="160"/>
  <c r="H281" i="160"/>
  <c r="A281" i="160"/>
  <c r="Q280" i="160"/>
  <c r="P280" i="160"/>
  <c r="N280" i="160"/>
  <c r="M280" i="160"/>
  <c r="L280" i="160"/>
  <c r="K280" i="160"/>
  <c r="H280" i="160"/>
  <c r="A280" i="160"/>
  <c r="Q279" i="160"/>
  <c r="P279" i="160"/>
  <c r="N279" i="160"/>
  <c r="M279" i="160"/>
  <c r="L279" i="160"/>
  <c r="K279" i="160"/>
  <c r="H279" i="160"/>
  <c r="A279" i="160"/>
  <c r="Q278" i="160"/>
  <c r="P278" i="160"/>
  <c r="N278" i="160"/>
  <c r="M278" i="160"/>
  <c r="L278" i="160"/>
  <c r="K278" i="160"/>
  <c r="H278" i="160"/>
  <c r="A278" i="160"/>
  <c r="Q277" i="160"/>
  <c r="P277" i="160"/>
  <c r="N277" i="160"/>
  <c r="M277" i="160"/>
  <c r="L277" i="160"/>
  <c r="K277" i="160"/>
  <c r="H277" i="160"/>
  <c r="A277" i="160"/>
  <c r="Q276" i="160"/>
  <c r="P276" i="160"/>
  <c r="N276" i="160"/>
  <c r="M276" i="160"/>
  <c r="L276" i="160"/>
  <c r="K276" i="160"/>
  <c r="H276" i="160"/>
  <c r="A276" i="160"/>
  <c r="Q275" i="160"/>
  <c r="P275" i="160"/>
  <c r="N275" i="160"/>
  <c r="M275" i="160"/>
  <c r="L275" i="160"/>
  <c r="K275" i="160"/>
  <c r="H275" i="160"/>
  <c r="A275" i="160"/>
  <c r="Q274" i="160"/>
  <c r="P274" i="160"/>
  <c r="N274" i="160"/>
  <c r="M274" i="160"/>
  <c r="L274" i="160"/>
  <c r="K274" i="160"/>
  <c r="H274" i="160"/>
  <c r="A274" i="160"/>
  <c r="Q273" i="160"/>
  <c r="P273" i="160"/>
  <c r="N273" i="160"/>
  <c r="M273" i="160"/>
  <c r="L273" i="160"/>
  <c r="K273" i="160"/>
  <c r="H273" i="160"/>
  <c r="A273" i="160"/>
  <c r="Q272" i="160"/>
  <c r="P272" i="160"/>
  <c r="N272" i="160"/>
  <c r="M272" i="160"/>
  <c r="L272" i="160"/>
  <c r="K272" i="160"/>
  <c r="H272" i="160"/>
  <c r="A272" i="160"/>
  <c r="Q271" i="160"/>
  <c r="P271" i="160"/>
  <c r="N271" i="160"/>
  <c r="M271" i="160"/>
  <c r="L271" i="160"/>
  <c r="K271" i="160"/>
  <c r="H271" i="160"/>
  <c r="A271" i="160"/>
  <c r="Q270" i="160"/>
  <c r="P270" i="160"/>
  <c r="N270" i="160"/>
  <c r="M270" i="160"/>
  <c r="L270" i="160"/>
  <c r="K270" i="160"/>
  <c r="H270" i="160"/>
  <c r="A270" i="160"/>
  <c r="Q269" i="160"/>
  <c r="P269" i="160"/>
  <c r="N269" i="160"/>
  <c r="M269" i="160"/>
  <c r="L269" i="160"/>
  <c r="K269" i="160"/>
  <c r="H269" i="160"/>
  <c r="A269" i="160"/>
  <c r="Q268" i="160"/>
  <c r="P268" i="160"/>
  <c r="N268" i="160"/>
  <c r="M268" i="160"/>
  <c r="L268" i="160"/>
  <c r="K268" i="160"/>
  <c r="H268" i="160"/>
  <c r="A268" i="160"/>
  <c r="Q267" i="160"/>
  <c r="P267" i="160"/>
  <c r="N267" i="160"/>
  <c r="M267" i="160"/>
  <c r="L267" i="160"/>
  <c r="K267" i="160"/>
  <c r="H267" i="160"/>
  <c r="A267" i="160"/>
  <c r="Q266" i="160"/>
  <c r="P266" i="160"/>
  <c r="N266" i="160"/>
  <c r="M266" i="160"/>
  <c r="L266" i="160"/>
  <c r="K266" i="160"/>
  <c r="H266" i="160"/>
  <c r="A266" i="160"/>
  <c r="Q265" i="160"/>
  <c r="P265" i="160"/>
  <c r="N265" i="160"/>
  <c r="M265" i="160"/>
  <c r="L265" i="160"/>
  <c r="K265" i="160"/>
  <c r="H265" i="160"/>
  <c r="A265" i="160"/>
  <c r="Q264" i="160"/>
  <c r="P264" i="160"/>
  <c r="N264" i="160"/>
  <c r="M264" i="160"/>
  <c r="L264" i="160"/>
  <c r="K264" i="160"/>
  <c r="H264" i="160"/>
  <c r="A264" i="160"/>
  <c r="Q263" i="160"/>
  <c r="P263" i="160"/>
  <c r="N263" i="160"/>
  <c r="M263" i="160"/>
  <c r="L263" i="160"/>
  <c r="K263" i="160"/>
  <c r="H263" i="160"/>
  <c r="A263" i="160"/>
  <c r="Q262" i="160"/>
  <c r="P262" i="160"/>
  <c r="N262" i="160"/>
  <c r="M262" i="160"/>
  <c r="L262" i="160"/>
  <c r="K262" i="160"/>
  <c r="H262" i="160"/>
  <c r="A262" i="160"/>
  <c r="Q261" i="160"/>
  <c r="P261" i="160"/>
  <c r="N261" i="160"/>
  <c r="M261" i="160"/>
  <c r="L261" i="160"/>
  <c r="K261" i="160"/>
  <c r="H261" i="160"/>
  <c r="A261" i="160"/>
  <c r="Q260" i="160"/>
  <c r="P260" i="160"/>
  <c r="N260" i="160"/>
  <c r="M260" i="160"/>
  <c r="L260" i="160"/>
  <c r="K260" i="160"/>
  <c r="H260" i="160"/>
  <c r="A260" i="160"/>
  <c r="Q259" i="160"/>
  <c r="P259" i="160"/>
  <c r="N259" i="160"/>
  <c r="M259" i="160"/>
  <c r="L259" i="160"/>
  <c r="K259" i="160"/>
  <c r="H259" i="160"/>
  <c r="A259" i="160"/>
  <c r="Q258" i="160"/>
  <c r="P258" i="160"/>
  <c r="N258" i="160"/>
  <c r="M258" i="160"/>
  <c r="L258" i="160"/>
  <c r="K258" i="160"/>
  <c r="H258" i="160"/>
  <c r="A258" i="160"/>
  <c r="Q257" i="160"/>
  <c r="P257" i="160"/>
  <c r="N257" i="160"/>
  <c r="M257" i="160"/>
  <c r="L257" i="160"/>
  <c r="K257" i="160"/>
  <c r="H257" i="160"/>
  <c r="A257" i="160"/>
  <c r="Q256" i="160"/>
  <c r="P256" i="160"/>
  <c r="N256" i="160"/>
  <c r="M256" i="160"/>
  <c r="L256" i="160"/>
  <c r="K256" i="160"/>
  <c r="H256" i="160"/>
  <c r="A256" i="160"/>
  <c r="Q255" i="160"/>
  <c r="P255" i="160"/>
  <c r="N255" i="160"/>
  <c r="M255" i="160"/>
  <c r="L255" i="160"/>
  <c r="K255" i="160"/>
  <c r="H255" i="160"/>
  <c r="A255" i="160"/>
  <c r="Q254" i="160"/>
  <c r="P254" i="160"/>
  <c r="N254" i="160"/>
  <c r="M254" i="160"/>
  <c r="L254" i="160"/>
  <c r="K254" i="160"/>
  <c r="H254" i="160"/>
  <c r="A254" i="160"/>
  <c r="Q253" i="160"/>
  <c r="P253" i="160"/>
  <c r="N253" i="160"/>
  <c r="M253" i="160"/>
  <c r="L253" i="160"/>
  <c r="K253" i="160"/>
  <c r="H253" i="160"/>
  <c r="A253" i="160"/>
  <c r="Q252" i="160"/>
  <c r="P252" i="160"/>
  <c r="N252" i="160"/>
  <c r="M252" i="160"/>
  <c r="L252" i="160"/>
  <c r="K252" i="160"/>
  <c r="H252" i="160"/>
  <c r="A252" i="160"/>
  <c r="Q251" i="160"/>
  <c r="P251" i="160"/>
  <c r="N251" i="160"/>
  <c r="M251" i="160"/>
  <c r="L251" i="160"/>
  <c r="K251" i="160"/>
  <c r="H251" i="160"/>
  <c r="A251" i="160"/>
  <c r="Q250" i="160"/>
  <c r="P250" i="160"/>
  <c r="N250" i="160"/>
  <c r="M250" i="160"/>
  <c r="L250" i="160"/>
  <c r="K250" i="160"/>
  <c r="H250" i="160"/>
  <c r="A250" i="160"/>
  <c r="Q249" i="160"/>
  <c r="P249" i="160"/>
  <c r="N249" i="160"/>
  <c r="M249" i="160"/>
  <c r="L249" i="160"/>
  <c r="K249" i="160"/>
  <c r="H249" i="160"/>
  <c r="A249" i="160"/>
  <c r="Q248" i="160"/>
  <c r="P248" i="160"/>
  <c r="N248" i="160"/>
  <c r="M248" i="160"/>
  <c r="L248" i="160"/>
  <c r="K248" i="160"/>
  <c r="H248" i="160"/>
  <c r="A248" i="160"/>
  <c r="Q247" i="160"/>
  <c r="P247" i="160"/>
  <c r="N247" i="160"/>
  <c r="M247" i="160"/>
  <c r="L247" i="160"/>
  <c r="K247" i="160"/>
  <c r="H247" i="160"/>
  <c r="A247" i="160"/>
  <c r="Q246" i="160"/>
  <c r="P246" i="160"/>
  <c r="N246" i="160"/>
  <c r="M246" i="160"/>
  <c r="L246" i="160"/>
  <c r="K246" i="160"/>
  <c r="H246" i="160"/>
  <c r="A246" i="160"/>
  <c r="Q245" i="160"/>
  <c r="P245" i="160"/>
  <c r="N245" i="160"/>
  <c r="M245" i="160"/>
  <c r="L245" i="160"/>
  <c r="K245" i="160"/>
  <c r="H245" i="160"/>
  <c r="A245" i="160"/>
  <c r="Q244" i="160"/>
  <c r="P244" i="160"/>
  <c r="N244" i="160"/>
  <c r="M244" i="160"/>
  <c r="L244" i="160"/>
  <c r="K244" i="160"/>
  <c r="H244" i="160"/>
  <c r="A244" i="160"/>
  <c r="Q243" i="160"/>
  <c r="P243" i="160"/>
  <c r="N243" i="160"/>
  <c r="M243" i="160"/>
  <c r="L243" i="160"/>
  <c r="K243" i="160"/>
  <c r="H243" i="160"/>
  <c r="A243" i="160"/>
  <c r="Q242" i="160"/>
  <c r="P242" i="160"/>
  <c r="N242" i="160"/>
  <c r="M242" i="160"/>
  <c r="L242" i="160"/>
  <c r="K242" i="160"/>
  <c r="H242" i="160"/>
  <c r="A242" i="160"/>
  <c r="Q241" i="160"/>
  <c r="P241" i="160"/>
  <c r="N241" i="160"/>
  <c r="M241" i="160"/>
  <c r="L241" i="160"/>
  <c r="K241" i="160"/>
  <c r="H241" i="160"/>
  <c r="A241" i="160"/>
  <c r="Q240" i="160"/>
  <c r="P240" i="160"/>
  <c r="N240" i="160"/>
  <c r="M240" i="160"/>
  <c r="L240" i="160"/>
  <c r="K240" i="160"/>
  <c r="H240" i="160"/>
  <c r="A240" i="160"/>
  <c r="Q239" i="160"/>
  <c r="P239" i="160"/>
  <c r="N239" i="160"/>
  <c r="M239" i="160"/>
  <c r="L239" i="160"/>
  <c r="K239" i="160"/>
  <c r="H239" i="160"/>
  <c r="A239" i="160"/>
  <c r="Q238" i="160"/>
  <c r="P238" i="160"/>
  <c r="N238" i="160"/>
  <c r="M238" i="160"/>
  <c r="L238" i="160"/>
  <c r="K238" i="160"/>
  <c r="H238" i="160"/>
  <c r="A238" i="160"/>
  <c r="Q237" i="160"/>
  <c r="P237" i="160"/>
  <c r="N237" i="160"/>
  <c r="M237" i="160"/>
  <c r="L237" i="160"/>
  <c r="K237" i="160"/>
  <c r="H237" i="160"/>
  <c r="A237" i="160"/>
  <c r="Q236" i="160"/>
  <c r="P236" i="160"/>
  <c r="N236" i="160"/>
  <c r="M236" i="160"/>
  <c r="L236" i="160"/>
  <c r="K236" i="160"/>
  <c r="H236" i="160"/>
  <c r="A236" i="160"/>
  <c r="Q235" i="160"/>
  <c r="P235" i="160"/>
  <c r="N235" i="160"/>
  <c r="M235" i="160"/>
  <c r="L235" i="160"/>
  <c r="K235" i="160"/>
  <c r="H235" i="160"/>
  <c r="A235" i="160"/>
  <c r="Q234" i="160"/>
  <c r="P234" i="160"/>
  <c r="N234" i="160"/>
  <c r="M234" i="160"/>
  <c r="L234" i="160"/>
  <c r="K234" i="160"/>
  <c r="H234" i="160"/>
  <c r="A234" i="160"/>
  <c r="Q233" i="160"/>
  <c r="P233" i="160"/>
  <c r="N233" i="160"/>
  <c r="M233" i="160"/>
  <c r="L233" i="160"/>
  <c r="K233" i="160"/>
  <c r="H233" i="160"/>
  <c r="A233" i="160"/>
  <c r="Q232" i="160"/>
  <c r="P232" i="160"/>
  <c r="N232" i="160"/>
  <c r="M232" i="160"/>
  <c r="L232" i="160"/>
  <c r="K232" i="160"/>
  <c r="H232" i="160"/>
  <c r="A232" i="160"/>
  <c r="Q231" i="160"/>
  <c r="P231" i="160"/>
  <c r="N231" i="160"/>
  <c r="M231" i="160"/>
  <c r="L231" i="160"/>
  <c r="K231" i="160"/>
  <c r="H231" i="160"/>
  <c r="A231" i="160"/>
  <c r="Q230" i="160"/>
  <c r="P230" i="160"/>
  <c r="N230" i="160"/>
  <c r="M230" i="160"/>
  <c r="L230" i="160"/>
  <c r="K230" i="160"/>
  <c r="H230" i="160"/>
  <c r="A230" i="160"/>
  <c r="Q229" i="160"/>
  <c r="P229" i="160"/>
  <c r="N229" i="160"/>
  <c r="M229" i="160"/>
  <c r="L229" i="160"/>
  <c r="K229" i="160"/>
  <c r="H229" i="160"/>
  <c r="A229" i="160"/>
  <c r="Q228" i="160"/>
  <c r="P228" i="160"/>
  <c r="N228" i="160"/>
  <c r="M228" i="160"/>
  <c r="L228" i="160"/>
  <c r="K228" i="160"/>
  <c r="H228" i="160"/>
  <c r="A228" i="160"/>
  <c r="Q227" i="160"/>
  <c r="P227" i="160"/>
  <c r="N227" i="160"/>
  <c r="M227" i="160"/>
  <c r="L227" i="160"/>
  <c r="K227" i="160"/>
  <c r="H227" i="160"/>
  <c r="A227" i="160"/>
  <c r="Q226" i="160"/>
  <c r="P226" i="160"/>
  <c r="N226" i="160"/>
  <c r="M226" i="160"/>
  <c r="L226" i="160"/>
  <c r="K226" i="160"/>
  <c r="H226" i="160"/>
  <c r="A226" i="160"/>
  <c r="Q225" i="160"/>
  <c r="P225" i="160"/>
  <c r="N225" i="160"/>
  <c r="M225" i="160"/>
  <c r="L225" i="160"/>
  <c r="K225" i="160"/>
  <c r="H225" i="160"/>
  <c r="A225" i="160"/>
  <c r="Q224" i="160"/>
  <c r="P224" i="160"/>
  <c r="N224" i="160"/>
  <c r="M224" i="160"/>
  <c r="L224" i="160"/>
  <c r="K224" i="160"/>
  <c r="H224" i="160"/>
  <c r="A224" i="160"/>
  <c r="Q223" i="160"/>
  <c r="P223" i="160"/>
  <c r="N223" i="160"/>
  <c r="M223" i="160"/>
  <c r="L223" i="160"/>
  <c r="K223" i="160"/>
  <c r="H223" i="160"/>
  <c r="A223" i="160"/>
  <c r="Q222" i="160"/>
  <c r="P222" i="160"/>
  <c r="N222" i="160"/>
  <c r="M222" i="160"/>
  <c r="L222" i="160"/>
  <c r="K222" i="160"/>
  <c r="H222" i="160"/>
  <c r="A222" i="160"/>
  <c r="Q221" i="160"/>
  <c r="P221" i="160"/>
  <c r="N221" i="160"/>
  <c r="M221" i="160"/>
  <c r="L221" i="160"/>
  <c r="K221" i="160"/>
  <c r="H221" i="160"/>
  <c r="A221" i="160"/>
  <c r="Q220" i="160"/>
  <c r="P220" i="160"/>
  <c r="N220" i="160"/>
  <c r="M220" i="160"/>
  <c r="L220" i="160"/>
  <c r="K220" i="160"/>
  <c r="H220" i="160"/>
  <c r="A220" i="160"/>
  <c r="Q219" i="160"/>
  <c r="P219" i="160"/>
  <c r="N219" i="160"/>
  <c r="M219" i="160"/>
  <c r="L219" i="160"/>
  <c r="K219" i="160"/>
  <c r="H219" i="160"/>
  <c r="A219" i="160"/>
  <c r="Q218" i="160"/>
  <c r="P218" i="160"/>
  <c r="N218" i="160"/>
  <c r="M218" i="160"/>
  <c r="L218" i="160"/>
  <c r="K218" i="160"/>
  <c r="H218" i="160"/>
  <c r="A218" i="160"/>
  <c r="Q217" i="160"/>
  <c r="P217" i="160"/>
  <c r="N217" i="160"/>
  <c r="M217" i="160"/>
  <c r="L217" i="160"/>
  <c r="K217" i="160"/>
  <c r="H217" i="160"/>
  <c r="A217" i="160"/>
  <c r="Q216" i="160"/>
  <c r="P216" i="160"/>
  <c r="N216" i="160"/>
  <c r="M216" i="160"/>
  <c r="L216" i="160"/>
  <c r="K216" i="160"/>
  <c r="H216" i="160"/>
  <c r="A216" i="160"/>
  <c r="Q215" i="160"/>
  <c r="P215" i="160"/>
  <c r="N215" i="160"/>
  <c r="M215" i="160"/>
  <c r="L215" i="160"/>
  <c r="K215" i="160"/>
  <c r="H215" i="160"/>
  <c r="A215" i="160"/>
  <c r="Q214" i="160"/>
  <c r="P214" i="160"/>
  <c r="N214" i="160"/>
  <c r="M214" i="160"/>
  <c r="L214" i="160"/>
  <c r="K214" i="160"/>
  <c r="H214" i="160"/>
  <c r="A214" i="160"/>
  <c r="Q213" i="160"/>
  <c r="P213" i="160"/>
  <c r="N213" i="160"/>
  <c r="M213" i="160"/>
  <c r="L213" i="160"/>
  <c r="K213" i="160"/>
  <c r="H213" i="160"/>
  <c r="A213" i="160"/>
  <c r="Q212" i="160"/>
  <c r="P212" i="160"/>
  <c r="N212" i="160"/>
  <c r="M212" i="160"/>
  <c r="L212" i="160"/>
  <c r="K212" i="160"/>
  <c r="H212" i="160"/>
  <c r="A212" i="160"/>
  <c r="Q211" i="160"/>
  <c r="P211" i="160"/>
  <c r="N211" i="160"/>
  <c r="M211" i="160"/>
  <c r="L211" i="160"/>
  <c r="K211" i="160"/>
  <c r="H211" i="160"/>
  <c r="A211" i="160"/>
  <c r="Q210" i="160"/>
  <c r="P210" i="160"/>
  <c r="N210" i="160"/>
  <c r="M210" i="160"/>
  <c r="L210" i="160"/>
  <c r="K210" i="160"/>
  <c r="H210" i="160"/>
  <c r="A210" i="160"/>
  <c r="Q209" i="160"/>
  <c r="P209" i="160"/>
  <c r="N209" i="160"/>
  <c r="M209" i="160"/>
  <c r="L209" i="160"/>
  <c r="K209" i="160"/>
  <c r="H209" i="160"/>
  <c r="A209" i="160"/>
  <c r="Q208" i="160"/>
  <c r="P208" i="160"/>
  <c r="N208" i="160"/>
  <c r="M208" i="160"/>
  <c r="L208" i="160"/>
  <c r="K208" i="160"/>
  <c r="H208" i="160"/>
  <c r="A208" i="160"/>
  <c r="Q207" i="160"/>
  <c r="P207" i="160"/>
  <c r="N207" i="160"/>
  <c r="M207" i="160"/>
  <c r="L207" i="160"/>
  <c r="K207" i="160"/>
  <c r="H207" i="160"/>
  <c r="A207" i="160"/>
  <c r="Q206" i="160"/>
  <c r="P206" i="160"/>
  <c r="N206" i="160"/>
  <c r="M206" i="160"/>
  <c r="L206" i="160"/>
  <c r="K206" i="160"/>
  <c r="H206" i="160"/>
  <c r="A206" i="160"/>
  <c r="Q205" i="160"/>
  <c r="P205" i="160"/>
  <c r="N205" i="160"/>
  <c r="M205" i="160"/>
  <c r="L205" i="160"/>
  <c r="K205" i="160"/>
  <c r="H205" i="160"/>
  <c r="A205" i="160"/>
  <c r="Q204" i="160"/>
  <c r="P204" i="160"/>
  <c r="N204" i="160"/>
  <c r="M204" i="160"/>
  <c r="L204" i="160"/>
  <c r="K204" i="160"/>
  <c r="H204" i="160"/>
  <c r="A204" i="160"/>
  <c r="Q203" i="160"/>
  <c r="P203" i="160"/>
  <c r="N203" i="160"/>
  <c r="M203" i="160"/>
  <c r="L203" i="160"/>
  <c r="K203" i="160"/>
  <c r="H203" i="160"/>
  <c r="A203" i="160"/>
  <c r="Q202" i="160"/>
  <c r="P202" i="160"/>
  <c r="N202" i="160"/>
  <c r="M202" i="160"/>
  <c r="L202" i="160"/>
  <c r="K202" i="160"/>
  <c r="H202" i="160"/>
  <c r="A202" i="160"/>
  <c r="Q201" i="160"/>
  <c r="P201" i="160"/>
  <c r="N201" i="160"/>
  <c r="M201" i="160"/>
  <c r="L201" i="160"/>
  <c r="K201" i="160"/>
  <c r="H201" i="160"/>
  <c r="A201" i="160"/>
  <c r="Q200" i="160"/>
  <c r="P200" i="160"/>
  <c r="N200" i="160"/>
  <c r="M200" i="160"/>
  <c r="L200" i="160"/>
  <c r="K200" i="160"/>
  <c r="H200" i="160"/>
  <c r="A200" i="160"/>
  <c r="Q199" i="160"/>
  <c r="P199" i="160"/>
  <c r="N199" i="160"/>
  <c r="M199" i="160"/>
  <c r="L199" i="160"/>
  <c r="K199" i="160"/>
  <c r="H199" i="160"/>
  <c r="A199" i="160"/>
  <c r="Q198" i="160"/>
  <c r="P198" i="160"/>
  <c r="N198" i="160"/>
  <c r="M198" i="160"/>
  <c r="L198" i="160"/>
  <c r="K198" i="160"/>
  <c r="H198" i="160"/>
  <c r="A198" i="160"/>
  <c r="Q197" i="160"/>
  <c r="P197" i="160"/>
  <c r="N197" i="160"/>
  <c r="M197" i="160"/>
  <c r="L197" i="160"/>
  <c r="K197" i="160"/>
  <c r="H197" i="160"/>
  <c r="A197" i="160"/>
  <c r="Q196" i="160"/>
  <c r="P196" i="160"/>
  <c r="N196" i="160"/>
  <c r="M196" i="160"/>
  <c r="L196" i="160"/>
  <c r="K196" i="160"/>
  <c r="H196" i="160"/>
  <c r="A196" i="160"/>
  <c r="Q195" i="160"/>
  <c r="P195" i="160"/>
  <c r="N195" i="160"/>
  <c r="M195" i="160"/>
  <c r="L195" i="160"/>
  <c r="K195" i="160"/>
  <c r="H195" i="160"/>
  <c r="A195" i="160"/>
  <c r="Q194" i="160"/>
  <c r="P194" i="160"/>
  <c r="N194" i="160"/>
  <c r="M194" i="160"/>
  <c r="L194" i="160"/>
  <c r="K194" i="160"/>
  <c r="H194" i="160"/>
  <c r="A194" i="160"/>
  <c r="Q193" i="160"/>
  <c r="P193" i="160"/>
  <c r="N193" i="160"/>
  <c r="M193" i="160"/>
  <c r="L193" i="160"/>
  <c r="K193" i="160"/>
  <c r="H193" i="160"/>
  <c r="A193" i="160"/>
  <c r="Q192" i="160"/>
  <c r="P192" i="160"/>
  <c r="N192" i="160"/>
  <c r="M192" i="160"/>
  <c r="L192" i="160"/>
  <c r="K192" i="160"/>
  <c r="H192" i="160"/>
  <c r="A192" i="160"/>
  <c r="Q191" i="160"/>
  <c r="P191" i="160"/>
  <c r="N191" i="160"/>
  <c r="M191" i="160"/>
  <c r="L191" i="160"/>
  <c r="K191" i="160"/>
  <c r="H191" i="160"/>
  <c r="A191" i="160"/>
  <c r="Q190" i="160"/>
  <c r="P190" i="160"/>
  <c r="N190" i="160"/>
  <c r="M190" i="160"/>
  <c r="L190" i="160"/>
  <c r="K190" i="160"/>
  <c r="H190" i="160"/>
  <c r="A190" i="160"/>
  <c r="Q189" i="160"/>
  <c r="P189" i="160"/>
  <c r="N189" i="160"/>
  <c r="M189" i="160"/>
  <c r="L189" i="160"/>
  <c r="K189" i="160"/>
  <c r="H189" i="160"/>
  <c r="A189" i="160"/>
  <c r="Q188" i="160"/>
  <c r="P188" i="160"/>
  <c r="N188" i="160"/>
  <c r="M188" i="160"/>
  <c r="L188" i="160"/>
  <c r="K188" i="160"/>
  <c r="H188" i="160"/>
  <c r="A188" i="160"/>
  <c r="Q187" i="160"/>
  <c r="P187" i="160"/>
  <c r="N187" i="160"/>
  <c r="M187" i="160"/>
  <c r="L187" i="160"/>
  <c r="K187" i="160"/>
  <c r="H187" i="160"/>
  <c r="A187" i="160"/>
  <c r="Q186" i="160"/>
  <c r="P186" i="160"/>
  <c r="N186" i="160"/>
  <c r="M186" i="160"/>
  <c r="L186" i="160"/>
  <c r="K186" i="160"/>
  <c r="H186" i="160"/>
  <c r="A186" i="160"/>
  <c r="Q185" i="160"/>
  <c r="P185" i="160"/>
  <c r="N185" i="160"/>
  <c r="M185" i="160"/>
  <c r="L185" i="160"/>
  <c r="K185" i="160"/>
  <c r="H185" i="160"/>
  <c r="A185" i="160"/>
  <c r="Q184" i="160"/>
  <c r="P184" i="160"/>
  <c r="N184" i="160"/>
  <c r="M184" i="160"/>
  <c r="L184" i="160"/>
  <c r="K184" i="160"/>
  <c r="H184" i="160"/>
  <c r="A184" i="160"/>
  <c r="Q183" i="160"/>
  <c r="P183" i="160"/>
  <c r="N183" i="160"/>
  <c r="M183" i="160"/>
  <c r="L183" i="160"/>
  <c r="K183" i="160"/>
  <c r="H183" i="160"/>
  <c r="A183" i="160"/>
  <c r="Q182" i="160"/>
  <c r="P182" i="160"/>
  <c r="N182" i="160"/>
  <c r="M182" i="160"/>
  <c r="L182" i="160"/>
  <c r="K182" i="160"/>
  <c r="H182" i="160"/>
  <c r="A182" i="160"/>
  <c r="Q181" i="160"/>
  <c r="P181" i="160"/>
  <c r="N181" i="160"/>
  <c r="M181" i="160"/>
  <c r="L181" i="160"/>
  <c r="K181" i="160"/>
  <c r="H181" i="160"/>
  <c r="A181" i="160"/>
  <c r="Q180" i="160"/>
  <c r="P180" i="160"/>
  <c r="N180" i="160"/>
  <c r="M180" i="160"/>
  <c r="L180" i="160"/>
  <c r="K180" i="160"/>
  <c r="H180" i="160"/>
  <c r="A180" i="160"/>
  <c r="Q179" i="160"/>
  <c r="P179" i="160"/>
  <c r="N179" i="160"/>
  <c r="M179" i="160"/>
  <c r="L179" i="160"/>
  <c r="K179" i="160"/>
  <c r="H179" i="160"/>
  <c r="A179" i="160"/>
  <c r="Q178" i="160"/>
  <c r="P178" i="160"/>
  <c r="N178" i="160"/>
  <c r="M178" i="160"/>
  <c r="L178" i="160"/>
  <c r="K178" i="160"/>
  <c r="H178" i="160"/>
  <c r="A178" i="160"/>
  <c r="Q177" i="160"/>
  <c r="P177" i="160"/>
  <c r="N177" i="160"/>
  <c r="M177" i="160"/>
  <c r="L177" i="160"/>
  <c r="K177" i="160"/>
  <c r="H177" i="160"/>
  <c r="A177" i="160"/>
  <c r="Q176" i="160"/>
  <c r="P176" i="160"/>
  <c r="N176" i="160"/>
  <c r="M176" i="160"/>
  <c r="L176" i="160"/>
  <c r="K176" i="160"/>
  <c r="H176" i="160"/>
  <c r="A176" i="160"/>
  <c r="Q175" i="160"/>
  <c r="P175" i="160"/>
  <c r="N175" i="160"/>
  <c r="M175" i="160"/>
  <c r="L175" i="160"/>
  <c r="K175" i="160"/>
  <c r="H175" i="160"/>
  <c r="A175" i="160"/>
  <c r="Q174" i="160"/>
  <c r="P174" i="160"/>
  <c r="N174" i="160"/>
  <c r="M174" i="160"/>
  <c r="L174" i="160"/>
  <c r="K174" i="160"/>
  <c r="H174" i="160"/>
  <c r="A174" i="160"/>
  <c r="Q173" i="160"/>
  <c r="P173" i="160"/>
  <c r="N173" i="160"/>
  <c r="M173" i="160"/>
  <c r="L173" i="160"/>
  <c r="K173" i="160"/>
  <c r="H173" i="160"/>
  <c r="A173" i="160"/>
  <c r="Q172" i="160"/>
  <c r="P172" i="160"/>
  <c r="N172" i="160"/>
  <c r="M172" i="160"/>
  <c r="L172" i="160"/>
  <c r="K172" i="160"/>
  <c r="H172" i="160"/>
  <c r="A172" i="160"/>
  <c r="Q171" i="160"/>
  <c r="P171" i="160"/>
  <c r="N171" i="160"/>
  <c r="M171" i="160"/>
  <c r="L171" i="160"/>
  <c r="K171" i="160"/>
  <c r="H171" i="160"/>
  <c r="A171" i="160"/>
  <c r="Q170" i="160"/>
  <c r="P170" i="160"/>
  <c r="N170" i="160"/>
  <c r="M170" i="160"/>
  <c r="L170" i="160"/>
  <c r="K170" i="160"/>
  <c r="H170" i="160"/>
  <c r="A170" i="160"/>
  <c r="Q169" i="160"/>
  <c r="P169" i="160"/>
  <c r="N169" i="160"/>
  <c r="M169" i="160"/>
  <c r="L169" i="160"/>
  <c r="K169" i="160"/>
  <c r="H169" i="160"/>
  <c r="A169" i="160"/>
  <c r="Q168" i="160"/>
  <c r="P168" i="160"/>
  <c r="N168" i="160"/>
  <c r="M168" i="160"/>
  <c r="L168" i="160"/>
  <c r="K168" i="160"/>
  <c r="H168" i="160"/>
  <c r="A168" i="160"/>
  <c r="Q167" i="160"/>
  <c r="P167" i="160"/>
  <c r="N167" i="160"/>
  <c r="M167" i="160"/>
  <c r="L167" i="160"/>
  <c r="K167" i="160"/>
  <c r="H167" i="160"/>
  <c r="A167" i="160"/>
  <c r="Q166" i="160"/>
  <c r="P166" i="160"/>
  <c r="N166" i="160"/>
  <c r="M166" i="160"/>
  <c r="L166" i="160"/>
  <c r="K166" i="160"/>
  <c r="H166" i="160"/>
  <c r="A166" i="160"/>
  <c r="Q165" i="160"/>
  <c r="P165" i="160"/>
  <c r="N165" i="160"/>
  <c r="M165" i="160"/>
  <c r="L165" i="160"/>
  <c r="K165" i="160"/>
  <c r="H165" i="160"/>
  <c r="A165" i="160"/>
  <c r="Q164" i="160"/>
  <c r="P164" i="160"/>
  <c r="N164" i="160"/>
  <c r="M164" i="160"/>
  <c r="L164" i="160"/>
  <c r="K164" i="160"/>
  <c r="H164" i="160"/>
  <c r="A164" i="160"/>
  <c r="Q163" i="160"/>
  <c r="P163" i="160"/>
  <c r="N163" i="160"/>
  <c r="M163" i="160"/>
  <c r="L163" i="160"/>
  <c r="K163" i="160"/>
  <c r="H163" i="160"/>
  <c r="A163" i="160"/>
  <c r="Q162" i="160"/>
  <c r="P162" i="160"/>
  <c r="N162" i="160"/>
  <c r="M162" i="160"/>
  <c r="L162" i="160"/>
  <c r="K162" i="160"/>
  <c r="H162" i="160"/>
  <c r="A162" i="160"/>
  <c r="Q161" i="160"/>
  <c r="P161" i="160"/>
  <c r="N161" i="160"/>
  <c r="M161" i="160"/>
  <c r="L161" i="160"/>
  <c r="K161" i="160"/>
  <c r="H161" i="160"/>
  <c r="A161" i="160"/>
  <c r="Q160" i="160"/>
  <c r="P160" i="160"/>
  <c r="N160" i="160"/>
  <c r="M160" i="160"/>
  <c r="L160" i="160"/>
  <c r="K160" i="160"/>
  <c r="H160" i="160"/>
  <c r="A160" i="160"/>
  <c r="Q159" i="160"/>
  <c r="P159" i="160"/>
  <c r="N159" i="160"/>
  <c r="M159" i="160"/>
  <c r="L159" i="160"/>
  <c r="K159" i="160"/>
  <c r="H159" i="160"/>
  <c r="A159" i="160"/>
  <c r="Q158" i="160"/>
  <c r="P158" i="160"/>
  <c r="N158" i="160"/>
  <c r="M158" i="160"/>
  <c r="L158" i="160"/>
  <c r="K158" i="160"/>
  <c r="H158" i="160"/>
  <c r="A158" i="160"/>
  <c r="Q157" i="160"/>
  <c r="P157" i="160"/>
  <c r="N157" i="160"/>
  <c r="M157" i="160"/>
  <c r="L157" i="160"/>
  <c r="K157" i="160"/>
  <c r="H157" i="160"/>
  <c r="A157" i="160"/>
  <c r="Q156" i="160"/>
  <c r="P156" i="160"/>
  <c r="N156" i="160"/>
  <c r="M156" i="160"/>
  <c r="L156" i="160"/>
  <c r="K156" i="160"/>
  <c r="H156" i="160"/>
  <c r="A156" i="160"/>
  <c r="Q155" i="160"/>
  <c r="P155" i="160"/>
  <c r="N155" i="160"/>
  <c r="M155" i="160"/>
  <c r="L155" i="160"/>
  <c r="K155" i="160"/>
  <c r="H155" i="160"/>
  <c r="A155" i="160"/>
  <c r="Q154" i="160"/>
  <c r="P154" i="160"/>
  <c r="N154" i="160"/>
  <c r="M154" i="160"/>
  <c r="L154" i="160"/>
  <c r="K154" i="160"/>
  <c r="H154" i="160"/>
  <c r="A154" i="160"/>
  <c r="Q153" i="160"/>
  <c r="P153" i="160"/>
  <c r="N153" i="160"/>
  <c r="M153" i="160"/>
  <c r="L153" i="160"/>
  <c r="K153" i="160"/>
  <c r="H153" i="160"/>
  <c r="A153" i="160"/>
  <c r="Q152" i="160"/>
  <c r="P152" i="160"/>
  <c r="N152" i="160"/>
  <c r="M152" i="160"/>
  <c r="L152" i="160"/>
  <c r="K152" i="160"/>
  <c r="H152" i="160"/>
  <c r="A152" i="160"/>
  <c r="Q151" i="160"/>
  <c r="P151" i="160"/>
  <c r="N151" i="160"/>
  <c r="M151" i="160"/>
  <c r="L151" i="160"/>
  <c r="K151" i="160"/>
  <c r="H151" i="160"/>
  <c r="A151" i="160"/>
  <c r="Q150" i="160"/>
  <c r="P150" i="160"/>
  <c r="N150" i="160"/>
  <c r="M150" i="160"/>
  <c r="L150" i="160"/>
  <c r="K150" i="160"/>
  <c r="H150" i="160"/>
  <c r="A150" i="160"/>
  <c r="Q149" i="160"/>
  <c r="P149" i="160"/>
  <c r="N149" i="160"/>
  <c r="M149" i="160"/>
  <c r="L149" i="160"/>
  <c r="K149" i="160"/>
  <c r="H149" i="160"/>
  <c r="A149" i="160"/>
  <c r="Q148" i="160"/>
  <c r="P148" i="160"/>
  <c r="N148" i="160"/>
  <c r="M148" i="160"/>
  <c r="L148" i="160"/>
  <c r="K148" i="160"/>
  <c r="H148" i="160"/>
  <c r="A148" i="160"/>
  <c r="Q147" i="160"/>
  <c r="P147" i="160"/>
  <c r="N147" i="160"/>
  <c r="M147" i="160"/>
  <c r="L147" i="160"/>
  <c r="K147" i="160"/>
  <c r="H147" i="160"/>
  <c r="A147" i="160"/>
  <c r="Q146" i="160"/>
  <c r="P146" i="160"/>
  <c r="N146" i="160"/>
  <c r="M146" i="160"/>
  <c r="L146" i="160"/>
  <c r="K146" i="160"/>
  <c r="H146" i="160"/>
  <c r="A146" i="160"/>
  <c r="Q145" i="160"/>
  <c r="P145" i="160"/>
  <c r="N145" i="160"/>
  <c r="M145" i="160"/>
  <c r="L145" i="160"/>
  <c r="K145" i="160"/>
  <c r="H145" i="160"/>
  <c r="A145" i="160"/>
  <c r="Q144" i="160"/>
  <c r="P144" i="160"/>
  <c r="N144" i="160"/>
  <c r="M144" i="160"/>
  <c r="L144" i="160"/>
  <c r="K144" i="160"/>
  <c r="H144" i="160"/>
  <c r="A144" i="160"/>
  <c r="Q143" i="160"/>
  <c r="P143" i="160"/>
  <c r="N143" i="160"/>
  <c r="M143" i="160"/>
  <c r="L143" i="160"/>
  <c r="K143" i="160"/>
  <c r="H143" i="160"/>
  <c r="A143" i="160"/>
  <c r="Q142" i="160"/>
  <c r="P142" i="160"/>
  <c r="N142" i="160"/>
  <c r="M142" i="160"/>
  <c r="L142" i="160"/>
  <c r="K142" i="160"/>
  <c r="H142" i="160"/>
  <c r="A142" i="160"/>
  <c r="Q141" i="160"/>
  <c r="P141" i="160"/>
  <c r="N141" i="160"/>
  <c r="M141" i="160"/>
  <c r="L141" i="160"/>
  <c r="K141" i="160"/>
  <c r="H141" i="160"/>
  <c r="A141" i="160"/>
  <c r="Q140" i="160"/>
  <c r="P140" i="160"/>
  <c r="N140" i="160"/>
  <c r="M140" i="160"/>
  <c r="L140" i="160"/>
  <c r="K140" i="160"/>
  <c r="H140" i="160"/>
  <c r="A140" i="160"/>
  <c r="Q139" i="160"/>
  <c r="P139" i="160"/>
  <c r="N139" i="160"/>
  <c r="M139" i="160"/>
  <c r="L139" i="160"/>
  <c r="K139" i="160"/>
  <c r="H139" i="160"/>
  <c r="A139" i="160"/>
  <c r="Q138" i="160"/>
  <c r="P138" i="160"/>
  <c r="N138" i="160"/>
  <c r="M138" i="160"/>
  <c r="L138" i="160"/>
  <c r="K138" i="160"/>
  <c r="H138" i="160"/>
  <c r="A138" i="160"/>
  <c r="Q137" i="160"/>
  <c r="P137" i="160"/>
  <c r="N137" i="160"/>
  <c r="M137" i="160"/>
  <c r="L137" i="160"/>
  <c r="K137" i="160"/>
  <c r="H137" i="160"/>
  <c r="A137" i="160"/>
  <c r="Q136" i="160"/>
  <c r="P136" i="160"/>
  <c r="N136" i="160"/>
  <c r="M136" i="160"/>
  <c r="L136" i="160"/>
  <c r="K136" i="160"/>
  <c r="H136" i="160"/>
  <c r="A136" i="160"/>
  <c r="Q135" i="160"/>
  <c r="P135" i="160"/>
  <c r="N135" i="160"/>
  <c r="M135" i="160"/>
  <c r="L135" i="160"/>
  <c r="K135" i="160"/>
  <c r="H135" i="160"/>
  <c r="A135" i="160"/>
  <c r="Q134" i="160"/>
  <c r="P134" i="160"/>
  <c r="N134" i="160"/>
  <c r="M134" i="160"/>
  <c r="L134" i="160"/>
  <c r="K134" i="160"/>
  <c r="H134" i="160"/>
  <c r="A134" i="160"/>
  <c r="Q133" i="160"/>
  <c r="P133" i="160"/>
  <c r="N133" i="160"/>
  <c r="M133" i="160"/>
  <c r="L133" i="160"/>
  <c r="K133" i="160"/>
  <c r="H133" i="160"/>
  <c r="A133" i="160"/>
  <c r="Q132" i="160"/>
  <c r="P132" i="160"/>
  <c r="N132" i="160"/>
  <c r="M132" i="160"/>
  <c r="L132" i="160"/>
  <c r="K132" i="160"/>
  <c r="H132" i="160"/>
  <c r="A132" i="160"/>
  <c r="Q131" i="160"/>
  <c r="P131" i="160"/>
  <c r="N131" i="160"/>
  <c r="M131" i="160"/>
  <c r="L131" i="160"/>
  <c r="K131" i="160"/>
  <c r="H131" i="160"/>
  <c r="A131" i="160"/>
  <c r="Q130" i="160"/>
  <c r="P130" i="160"/>
  <c r="N130" i="160"/>
  <c r="M130" i="160"/>
  <c r="L130" i="160"/>
  <c r="K130" i="160"/>
  <c r="H130" i="160"/>
  <c r="A130" i="160"/>
  <c r="Q129" i="160"/>
  <c r="P129" i="160"/>
  <c r="N129" i="160"/>
  <c r="M129" i="160"/>
  <c r="L129" i="160"/>
  <c r="K129" i="160"/>
  <c r="H129" i="160"/>
  <c r="A129" i="160"/>
  <c r="Q128" i="160"/>
  <c r="P128" i="160"/>
  <c r="N128" i="160"/>
  <c r="M128" i="160"/>
  <c r="L128" i="160"/>
  <c r="K128" i="160"/>
  <c r="H128" i="160"/>
  <c r="A128" i="160"/>
  <c r="Q127" i="160"/>
  <c r="P127" i="160"/>
  <c r="N127" i="160"/>
  <c r="M127" i="160"/>
  <c r="L127" i="160"/>
  <c r="K127" i="160"/>
  <c r="H127" i="160"/>
  <c r="A127" i="160"/>
  <c r="Q126" i="160"/>
  <c r="P126" i="160"/>
  <c r="N126" i="160"/>
  <c r="M126" i="160"/>
  <c r="L126" i="160"/>
  <c r="K126" i="160"/>
  <c r="H126" i="160"/>
  <c r="A126" i="160"/>
  <c r="Q125" i="160"/>
  <c r="P125" i="160"/>
  <c r="N125" i="160"/>
  <c r="M125" i="160"/>
  <c r="L125" i="160"/>
  <c r="K125" i="160"/>
  <c r="H125" i="160"/>
  <c r="A125" i="160"/>
  <c r="Q124" i="160"/>
  <c r="P124" i="160"/>
  <c r="N124" i="160"/>
  <c r="M124" i="160"/>
  <c r="L124" i="160"/>
  <c r="K124" i="160"/>
  <c r="H124" i="160"/>
  <c r="A124" i="160"/>
  <c r="Q123" i="160"/>
  <c r="P123" i="160"/>
  <c r="N123" i="160"/>
  <c r="M123" i="160"/>
  <c r="L123" i="160"/>
  <c r="K123" i="160"/>
  <c r="H123" i="160"/>
  <c r="A123" i="160"/>
  <c r="Q122" i="160"/>
  <c r="P122" i="160"/>
  <c r="N122" i="160"/>
  <c r="M122" i="160"/>
  <c r="L122" i="160"/>
  <c r="K122" i="160"/>
  <c r="H122" i="160"/>
  <c r="A122" i="160"/>
  <c r="Q121" i="160"/>
  <c r="P121" i="160"/>
  <c r="N121" i="160"/>
  <c r="M121" i="160"/>
  <c r="L121" i="160"/>
  <c r="K121" i="160"/>
  <c r="H121" i="160"/>
  <c r="A121" i="160"/>
  <c r="Q120" i="160"/>
  <c r="P120" i="160"/>
  <c r="N120" i="160"/>
  <c r="M120" i="160"/>
  <c r="L120" i="160"/>
  <c r="K120" i="160"/>
  <c r="H120" i="160"/>
  <c r="A120" i="160"/>
  <c r="Q119" i="160"/>
  <c r="P119" i="160"/>
  <c r="N119" i="160"/>
  <c r="M119" i="160"/>
  <c r="L119" i="160"/>
  <c r="K119" i="160"/>
  <c r="H119" i="160"/>
  <c r="A119" i="160"/>
  <c r="Q118" i="160"/>
  <c r="P118" i="160"/>
  <c r="N118" i="160"/>
  <c r="M118" i="160"/>
  <c r="L118" i="160"/>
  <c r="K118" i="160"/>
  <c r="H118" i="160"/>
  <c r="A118" i="160"/>
  <c r="Q117" i="160"/>
  <c r="P117" i="160"/>
  <c r="N117" i="160"/>
  <c r="M117" i="160"/>
  <c r="L117" i="160"/>
  <c r="K117" i="160"/>
  <c r="H117" i="160"/>
  <c r="A117" i="160"/>
  <c r="Q116" i="160"/>
  <c r="P116" i="160"/>
  <c r="N116" i="160"/>
  <c r="M116" i="160"/>
  <c r="L116" i="160"/>
  <c r="K116" i="160"/>
  <c r="H116" i="160"/>
  <c r="A116" i="160"/>
  <c r="Q115" i="160"/>
  <c r="P115" i="160"/>
  <c r="N115" i="160"/>
  <c r="M115" i="160"/>
  <c r="L115" i="160"/>
  <c r="K115" i="160"/>
  <c r="H115" i="160"/>
  <c r="A115" i="160"/>
  <c r="Q114" i="160"/>
  <c r="P114" i="160"/>
  <c r="N114" i="160"/>
  <c r="M114" i="160"/>
  <c r="L114" i="160"/>
  <c r="K114" i="160"/>
  <c r="H114" i="160"/>
  <c r="A114" i="160"/>
  <c r="Q113" i="160"/>
  <c r="P113" i="160"/>
  <c r="N113" i="160"/>
  <c r="M113" i="160"/>
  <c r="L113" i="160"/>
  <c r="K113" i="160"/>
  <c r="H113" i="160"/>
  <c r="A113" i="160"/>
  <c r="Q112" i="160"/>
  <c r="P112" i="160"/>
  <c r="N112" i="160"/>
  <c r="M112" i="160"/>
  <c r="L112" i="160"/>
  <c r="K112" i="160"/>
  <c r="H112" i="160"/>
  <c r="A112" i="160"/>
  <c r="Q111" i="160"/>
  <c r="P111" i="160"/>
  <c r="N111" i="160"/>
  <c r="M111" i="160"/>
  <c r="L111" i="160"/>
  <c r="K111" i="160"/>
  <c r="H111" i="160"/>
  <c r="A111" i="160"/>
  <c r="Q110" i="160"/>
  <c r="P110" i="160"/>
  <c r="N110" i="160"/>
  <c r="M110" i="160"/>
  <c r="L110" i="160"/>
  <c r="K110" i="160"/>
  <c r="H110" i="160"/>
  <c r="A110" i="160"/>
  <c r="Q109" i="160"/>
  <c r="P109" i="160"/>
  <c r="N109" i="160"/>
  <c r="M109" i="160"/>
  <c r="L109" i="160"/>
  <c r="K109" i="160"/>
  <c r="H109" i="160"/>
  <c r="A109" i="160"/>
  <c r="Q108" i="160"/>
  <c r="P108" i="160"/>
  <c r="N108" i="160"/>
  <c r="M108" i="160"/>
  <c r="L108" i="160"/>
  <c r="K108" i="160"/>
  <c r="H108" i="160"/>
  <c r="A108" i="160"/>
  <c r="Q107" i="160"/>
  <c r="P107" i="160"/>
  <c r="N107" i="160"/>
  <c r="M107" i="160"/>
  <c r="L107" i="160"/>
  <c r="K107" i="160"/>
  <c r="H107" i="160"/>
  <c r="A107" i="160"/>
  <c r="Q106" i="160"/>
  <c r="P106" i="160"/>
  <c r="N106" i="160"/>
  <c r="M106" i="160"/>
  <c r="L106" i="160"/>
  <c r="K106" i="160"/>
  <c r="H106" i="160"/>
  <c r="A106" i="160"/>
  <c r="Q105" i="160"/>
  <c r="P105" i="160"/>
  <c r="N105" i="160"/>
  <c r="M105" i="160"/>
  <c r="L105" i="160"/>
  <c r="K105" i="160"/>
  <c r="H105" i="160"/>
  <c r="A105" i="160"/>
  <c r="Q104" i="160"/>
  <c r="P104" i="160"/>
  <c r="N104" i="160"/>
  <c r="M104" i="160"/>
  <c r="L104" i="160"/>
  <c r="K104" i="160"/>
  <c r="H104" i="160"/>
  <c r="A104" i="160"/>
  <c r="Q103" i="160"/>
  <c r="P103" i="160"/>
  <c r="N103" i="160"/>
  <c r="M103" i="160"/>
  <c r="L103" i="160"/>
  <c r="K103" i="160"/>
  <c r="H103" i="160"/>
  <c r="A103" i="160"/>
  <c r="Q102" i="160"/>
  <c r="P102" i="160"/>
  <c r="N102" i="160"/>
  <c r="M102" i="160"/>
  <c r="L102" i="160"/>
  <c r="K102" i="160"/>
  <c r="H102" i="160"/>
  <c r="A102" i="160"/>
  <c r="Q101" i="160"/>
  <c r="P101" i="160"/>
  <c r="N101" i="160"/>
  <c r="M101" i="160"/>
  <c r="L101" i="160"/>
  <c r="K101" i="160"/>
  <c r="H101" i="160"/>
  <c r="A101" i="160"/>
  <c r="Q100" i="160"/>
  <c r="P100" i="160"/>
  <c r="N100" i="160"/>
  <c r="M100" i="160"/>
  <c r="L100" i="160"/>
  <c r="K100" i="160"/>
  <c r="H100" i="160"/>
  <c r="A100" i="160"/>
  <c r="Q99" i="160"/>
  <c r="P99" i="160"/>
  <c r="N99" i="160"/>
  <c r="M99" i="160"/>
  <c r="L99" i="160"/>
  <c r="K99" i="160"/>
  <c r="H99" i="160"/>
  <c r="A99" i="160"/>
  <c r="Q98" i="160"/>
  <c r="P98" i="160"/>
  <c r="N98" i="160"/>
  <c r="M98" i="160"/>
  <c r="L98" i="160"/>
  <c r="K98" i="160"/>
  <c r="H98" i="160"/>
  <c r="A98" i="160"/>
  <c r="Q97" i="160"/>
  <c r="P97" i="160"/>
  <c r="N97" i="160"/>
  <c r="M97" i="160"/>
  <c r="L97" i="160"/>
  <c r="K97" i="160"/>
  <c r="H97" i="160"/>
  <c r="A97" i="160"/>
  <c r="Q96" i="160"/>
  <c r="P96" i="160"/>
  <c r="N96" i="160"/>
  <c r="M96" i="160"/>
  <c r="L96" i="160"/>
  <c r="K96" i="160"/>
  <c r="H96" i="160"/>
  <c r="A96" i="160"/>
  <c r="Q95" i="160"/>
  <c r="P95" i="160"/>
  <c r="N95" i="160"/>
  <c r="M95" i="160"/>
  <c r="L95" i="160"/>
  <c r="K95" i="160"/>
  <c r="H95" i="160"/>
  <c r="A95" i="160"/>
  <c r="Q94" i="160"/>
  <c r="P94" i="160"/>
  <c r="N94" i="160"/>
  <c r="M94" i="160"/>
  <c r="L94" i="160"/>
  <c r="K94" i="160"/>
  <c r="H94" i="160"/>
  <c r="A94" i="160"/>
  <c r="Q93" i="160"/>
  <c r="P93" i="160"/>
  <c r="N93" i="160"/>
  <c r="M93" i="160"/>
  <c r="L93" i="160"/>
  <c r="K93" i="160"/>
  <c r="H93" i="160"/>
  <c r="A93" i="160"/>
  <c r="Q92" i="160"/>
  <c r="P92" i="160"/>
  <c r="N92" i="160"/>
  <c r="M92" i="160"/>
  <c r="L92" i="160"/>
  <c r="K92" i="160"/>
  <c r="H92" i="160"/>
  <c r="A92" i="160"/>
  <c r="Q91" i="160"/>
  <c r="P91" i="160"/>
  <c r="N91" i="160"/>
  <c r="M91" i="160"/>
  <c r="L91" i="160"/>
  <c r="K91" i="160"/>
  <c r="H91" i="160"/>
  <c r="A91" i="160"/>
  <c r="Q90" i="160"/>
  <c r="P90" i="160"/>
  <c r="N90" i="160"/>
  <c r="M90" i="160"/>
  <c r="L90" i="160"/>
  <c r="K90" i="160"/>
  <c r="H90" i="160"/>
  <c r="A90" i="160"/>
  <c r="Q89" i="160"/>
  <c r="P89" i="160"/>
  <c r="N89" i="160"/>
  <c r="M89" i="160"/>
  <c r="L89" i="160"/>
  <c r="K89" i="160"/>
  <c r="H89" i="160"/>
  <c r="A89" i="160"/>
  <c r="Q88" i="160"/>
  <c r="P88" i="160"/>
  <c r="N88" i="160"/>
  <c r="M88" i="160"/>
  <c r="L88" i="160"/>
  <c r="K88" i="160"/>
  <c r="H88" i="160"/>
  <c r="A88" i="160"/>
  <c r="Q87" i="160"/>
  <c r="P87" i="160"/>
  <c r="N87" i="160"/>
  <c r="M87" i="160"/>
  <c r="L87" i="160"/>
  <c r="K87" i="160"/>
  <c r="H87" i="160"/>
  <c r="A87" i="160"/>
  <c r="Q86" i="160"/>
  <c r="P86" i="160"/>
  <c r="N86" i="160"/>
  <c r="M86" i="160"/>
  <c r="L86" i="160"/>
  <c r="K86" i="160"/>
  <c r="H86" i="160"/>
  <c r="A86" i="160"/>
  <c r="Q85" i="160"/>
  <c r="P85" i="160"/>
  <c r="N85" i="160"/>
  <c r="M85" i="160"/>
  <c r="L85" i="160"/>
  <c r="K85" i="160"/>
  <c r="H85" i="160"/>
  <c r="A85" i="160"/>
  <c r="Q84" i="160"/>
  <c r="P84" i="160"/>
  <c r="N84" i="160"/>
  <c r="M84" i="160"/>
  <c r="L84" i="160"/>
  <c r="K84" i="160"/>
  <c r="H84" i="160"/>
  <c r="A84" i="160"/>
  <c r="Q83" i="160"/>
  <c r="P83" i="160"/>
  <c r="N83" i="160"/>
  <c r="M83" i="160"/>
  <c r="L83" i="160"/>
  <c r="K83" i="160"/>
  <c r="H83" i="160"/>
  <c r="A83" i="160"/>
  <c r="Q82" i="160"/>
  <c r="P82" i="160"/>
  <c r="N82" i="160"/>
  <c r="M82" i="160"/>
  <c r="L82" i="160"/>
  <c r="K82" i="160"/>
  <c r="H82" i="160"/>
  <c r="A82" i="160"/>
  <c r="Q81" i="160"/>
  <c r="P81" i="160"/>
  <c r="N81" i="160"/>
  <c r="M81" i="160"/>
  <c r="L81" i="160"/>
  <c r="K81" i="160"/>
  <c r="H81" i="160"/>
  <c r="A81" i="160"/>
  <c r="Q80" i="160"/>
  <c r="P80" i="160"/>
  <c r="N80" i="160"/>
  <c r="M80" i="160"/>
  <c r="L80" i="160"/>
  <c r="K80" i="160"/>
  <c r="H80" i="160"/>
  <c r="A80" i="160"/>
  <c r="Q79" i="160"/>
  <c r="P79" i="160"/>
  <c r="N79" i="160"/>
  <c r="M79" i="160"/>
  <c r="L79" i="160"/>
  <c r="K79" i="160"/>
  <c r="H79" i="160"/>
  <c r="A79" i="160"/>
  <c r="Q78" i="160"/>
  <c r="P78" i="160"/>
  <c r="N78" i="160"/>
  <c r="M78" i="160"/>
  <c r="L78" i="160"/>
  <c r="K78" i="160"/>
  <c r="H78" i="160"/>
  <c r="A78" i="160"/>
  <c r="Q77" i="160"/>
  <c r="P77" i="160"/>
  <c r="N77" i="160"/>
  <c r="M77" i="160"/>
  <c r="L77" i="160"/>
  <c r="K77" i="160"/>
  <c r="H77" i="160"/>
  <c r="A77" i="160"/>
  <c r="Q76" i="160"/>
  <c r="P76" i="160"/>
  <c r="N76" i="160"/>
  <c r="M76" i="160"/>
  <c r="L76" i="160"/>
  <c r="K76" i="160"/>
  <c r="H76" i="160"/>
  <c r="A76" i="160"/>
  <c r="Q75" i="160"/>
  <c r="P75" i="160"/>
  <c r="N75" i="160"/>
  <c r="M75" i="160"/>
  <c r="L75" i="160"/>
  <c r="K75" i="160"/>
  <c r="H75" i="160"/>
  <c r="A75" i="160"/>
  <c r="Q74" i="160"/>
  <c r="P74" i="160"/>
  <c r="N74" i="160"/>
  <c r="M74" i="160"/>
  <c r="L74" i="160"/>
  <c r="K74" i="160"/>
  <c r="H74" i="160"/>
  <c r="A74" i="160"/>
  <c r="Q73" i="160"/>
  <c r="P73" i="160"/>
  <c r="N73" i="160"/>
  <c r="M73" i="160"/>
  <c r="L73" i="160"/>
  <c r="K73" i="160"/>
  <c r="H73" i="160"/>
  <c r="A73" i="160"/>
  <c r="Q72" i="160"/>
  <c r="P72" i="160"/>
  <c r="N72" i="160"/>
  <c r="M72" i="160"/>
  <c r="L72" i="160"/>
  <c r="K72" i="160"/>
  <c r="H72" i="160"/>
  <c r="A72" i="160"/>
  <c r="Q71" i="160"/>
  <c r="P71" i="160"/>
  <c r="N71" i="160"/>
  <c r="M71" i="160"/>
  <c r="L71" i="160"/>
  <c r="K71" i="160"/>
  <c r="H71" i="160"/>
  <c r="A71" i="160"/>
  <c r="Q70" i="160"/>
  <c r="P70" i="160"/>
  <c r="N70" i="160"/>
  <c r="M70" i="160"/>
  <c r="L70" i="160"/>
  <c r="K70" i="160"/>
  <c r="H70" i="160"/>
  <c r="A70" i="160"/>
  <c r="Q69" i="160"/>
  <c r="P69" i="160"/>
  <c r="N69" i="160"/>
  <c r="M69" i="160"/>
  <c r="L69" i="160"/>
  <c r="K69" i="160"/>
  <c r="H69" i="160"/>
  <c r="A69" i="160"/>
  <c r="Q68" i="160"/>
  <c r="P68" i="160"/>
  <c r="N68" i="160"/>
  <c r="M68" i="160"/>
  <c r="L68" i="160"/>
  <c r="K68" i="160"/>
  <c r="H68" i="160"/>
  <c r="A68" i="160"/>
  <c r="Q67" i="160"/>
  <c r="P67" i="160"/>
  <c r="N67" i="160"/>
  <c r="M67" i="160"/>
  <c r="L67" i="160"/>
  <c r="K67" i="160"/>
  <c r="H67" i="160"/>
  <c r="A67" i="160"/>
  <c r="Q66" i="160"/>
  <c r="P66" i="160"/>
  <c r="N66" i="160"/>
  <c r="M66" i="160"/>
  <c r="L66" i="160"/>
  <c r="K66" i="160"/>
  <c r="H66" i="160"/>
  <c r="A66" i="160"/>
  <c r="Q65" i="160"/>
  <c r="P65" i="160"/>
  <c r="N65" i="160"/>
  <c r="M65" i="160"/>
  <c r="L65" i="160"/>
  <c r="K65" i="160"/>
  <c r="H65" i="160"/>
  <c r="A65" i="160"/>
  <c r="Q64" i="160"/>
  <c r="P64" i="160"/>
  <c r="N64" i="160"/>
  <c r="M64" i="160"/>
  <c r="L64" i="160"/>
  <c r="K64" i="160"/>
  <c r="H64" i="160"/>
  <c r="A64" i="160"/>
  <c r="Q63" i="160"/>
  <c r="P63" i="160"/>
  <c r="N63" i="160"/>
  <c r="M63" i="160"/>
  <c r="L63" i="160"/>
  <c r="K63" i="160"/>
  <c r="H63" i="160"/>
  <c r="A63" i="160"/>
  <c r="Q62" i="160"/>
  <c r="P62" i="160"/>
  <c r="N62" i="160"/>
  <c r="M62" i="160"/>
  <c r="L62" i="160"/>
  <c r="K62" i="160"/>
  <c r="H62" i="160"/>
  <c r="A62" i="160"/>
  <c r="Q61" i="160"/>
  <c r="P61" i="160"/>
  <c r="N61" i="160"/>
  <c r="M61" i="160"/>
  <c r="L61" i="160"/>
  <c r="K61" i="160"/>
  <c r="H61" i="160"/>
  <c r="A61" i="160"/>
  <c r="Q60" i="160"/>
  <c r="P60" i="160"/>
  <c r="N60" i="160"/>
  <c r="M60" i="160"/>
  <c r="L60" i="160"/>
  <c r="K60" i="160"/>
  <c r="H60" i="160"/>
  <c r="A60" i="160"/>
  <c r="Q59" i="160"/>
  <c r="P59" i="160"/>
  <c r="N59" i="160"/>
  <c r="M59" i="160"/>
  <c r="L59" i="160"/>
  <c r="K59" i="160"/>
  <c r="H59" i="160"/>
  <c r="A59" i="160"/>
  <c r="Q58" i="160"/>
  <c r="P58" i="160"/>
  <c r="N58" i="160"/>
  <c r="M58" i="160"/>
  <c r="L58" i="160"/>
  <c r="K58" i="160"/>
  <c r="H58" i="160"/>
  <c r="A58" i="160"/>
  <c r="Q57" i="160"/>
  <c r="P57" i="160"/>
  <c r="N57" i="160"/>
  <c r="M57" i="160"/>
  <c r="L57" i="160"/>
  <c r="K57" i="160"/>
  <c r="H57" i="160"/>
  <c r="A57" i="160"/>
  <c r="Q56" i="160"/>
  <c r="P56" i="160"/>
  <c r="N56" i="160"/>
  <c r="M56" i="160"/>
  <c r="L56" i="160"/>
  <c r="K56" i="160"/>
  <c r="H56" i="160"/>
  <c r="A56" i="160"/>
  <c r="Q55" i="160"/>
  <c r="P55" i="160"/>
  <c r="N55" i="160"/>
  <c r="M55" i="160"/>
  <c r="L55" i="160"/>
  <c r="K55" i="160"/>
  <c r="H55" i="160"/>
  <c r="A55" i="160"/>
  <c r="Q54" i="160"/>
  <c r="P54" i="160"/>
  <c r="N54" i="160"/>
  <c r="M54" i="160"/>
  <c r="L54" i="160"/>
  <c r="K54" i="160"/>
  <c r="H54" i="160"/>
  <c r="A54" i="160"/>
  <c r="Q53" i="160"/>
  <c r="P53" i="160"/>
  <c r="N53" i="160"/>
  <c r="M53" i="160"/>
  <c r="L53" i="160"/>
  <c r="K53" i="160"/>
  <c r="H53" i="160"/>
  <c r="A53" i="160"/>
  <c r="Q52" i="160"/>
  <c r="P52" i="160"/>
  <c r="N52" i="160"/>
  <c r="M52" i="160"/>
  <c r="L52" i="160"/>
  <c r="K52" i="160"/>
  <c r="H52" i="160"/>
  <c r="A52" i="160"/>
  <c r="Q51" i="160"/>
  <c r="P51" i="160"/>
  <c r="N51" i="160"/>
  <c r="M51" i="160"/>
  <c r="L51" i="160"/>
  <c r="K51" i="160"/>
  <c r="H51" i="160"/>
  <c r="A51" i="160"/>
  <c r="Q50" i="160"/>
  <c r="P50" i="160"/>
  <c r="N50" i="160"/>
  <c r="M50" i="160"/>
  <c r="L50" i="160"/>
  <c r="K50" i="160"/>
  <c r="H50" i="160"/>
  <c r="A50" i="160"/>
  <c r="Q49" i="160"/>
  <c r="P49" i="160"/>
  <c r="N49" i="160"/>
  <c r="M49" i="160"/>
  <c r="L49" i="160"/>
  <c r="K49" i="160"/>
  <c r="H49" i="160"/>
  <c r="A49" i="160"/>
  <c r="Q48" i="160"/>
  <c r="P48" i="160"/>
  <c r="N48" i="160"/>
  <c r="M48" i="160"/>
  <c r="L48" i="160"/>
  <c r="K48" i="160"/>
  <c r="H48" i="160"/>
  <c r="A48" i="160"/>
  <c r="Q47" i="160"/>
  <c r="P47" i="160"/>
  <c r="N47" i="160"/>
  <c r="M47" i="160"/>
  <c r="L47" i="160"/>
  <c r="K47" i="160"/>
  <c r="H47" i="160"/>
  <c r="A47" i="160"/>
  <c r="Q46" i="160"/>
  <c r="P46" i="160"/>
  <c r="N46" i="160"/>
  <c r="M46" i="160"/>
  <c r="L46" i="160"/>
  <c r="K46" i="160"/>
  <c r="H46" i="160"/>
  <c r="A46" i="160"/>
  <c r="Q45" i="160"/>
  <c r="P45" i="160"/>
  <c r="N45" i="160"/>
  <c r="M45" i="160"/>
  <c r="L45" i="160"/>
  <c r="K45" i="160"/>
  <c r="H45" i="160"/>
  <c r="A45" i="160"/>
  <c r="Q44" i="160"/>
  <c r="P44" i="160"/>
  <c r="N44" i="160"/>
  <c r="M44" i="160"/>
  <c r="L44" i="160"/>
  <c r="K44" i="160"/>
  <c r="H44" i="160"/>
  <c r="A44" i="160"/>
  <c r="Q43" i="160"/>
  <c r="P43" i="160"/>
  <c r="N43" i="160"/>
  <c r="M43" i="160"/>
  <c r="L43" i="160"/>
  <c r="K43" i="160"/>
  <c r="H43" i="160"/>
  <c r="A43" i="160"/>
  <c r="Q42" i="160"/>
  <c r="P42" i="160"/>
  <c r="N42" i="160"/>
  <c r="M42" i="160"/>
  <c r="L42" i="160"/>
  <c r="K42" i="160"/>
  <c r="H42" i="160"/>
  <c r="A42" i="160"/>
  <c r="Q41" i="160"/>
  <c r="P41" i="160"/>
  <c r="N41" i="160"/>
  <c r="M41" i="160"/>
  <c r="L41" i="160"/>
  <c r="K41" i="160"/>
  <c r="H41" i="160"/>
  <c r="A41" i="160"/>
  <c r="Q40" i="160"/>
  <c r="P40" i="160"/>
  <c r="N40" i="160"/>
  <c r="M40" i="160"/>
  <c r="L40" i="160"/>
  <c r="K40" i="160"/>
  <c r="H40" i="160"/>
  <c r="A40" i="160"/>
  <c r="Q39" i="160"/>
  <c r="P39" i="160"/>
  <c r="N39" i="160"/>
  <c r="M39" i="160"/>
  <c r="L39" i="160"/>
  <c r="K39" i="160"/>
  <c r="H39" i="160"/>
  <c r="A39" i="160"/>
  <c r="Q38" i="160"/>
  <c r="P38" i="160"/>
  <c r="N38" i="160"/>
  <c r="M38" i="160"/>
  <c r="L38" i="160"/>
  <c r="K38" i="160"/>
  <c r="H38" i="160"/>
  <c r="A38" i="160"/>
  <c r="Q37" i="160"/>
  <c r="P37" i="160"/>
  <c r="N37" i="160"/>
  <c r="M37" i="160"/>
  <c r="L37" i="160"/>
  <c r="K37" i="160"/>
  <c r="H37" i="160"/>
  <c r="A37" i="160"/>
  <c r="Q36" i="160"/>
  <c r="P36" i="160"/>
  <c r="N36" i="160"/>
  <c r="M36" i="160"/>
  <c r="L36" i="160"/>
  <c r="K36" i="160"/>
  <c r="H36" i="160"/>
  <c r="A36" i="160"/>
  <c r="Q35" i="160"/>
  <c r="P35" i="160"/>
  <c r="N35" i="160"/>
  <c r="M35" i="160"/>
  <c r="L35" i="160"/>
  <c r="K35" i="160"/>
  <c r="H35" i="160"/>
  <c r="A35" i="160"/>
  <c r="Q34" i="160"/>
  <c r="P34" i="160"/>
  <c r="N34" i="160"/>
  <c r="M34" i="160"/>
  <c r="L34" i="160"/>
  <c r="K34" i="160"/>
  <c r="H34" i="160"/>
  <c r="A34" i="160"/>
  <c r="Q33" i="160"/>
  <c r="P33" i="160"/>
  <c r="N33" i="160"/>
  <c r="M33" i="160"/>
  <c r="L33" i="160"/>
  <c r="K33" i="160"/>
  <c r="H33" i="160"/>
  <c r="A33" i="160"/>
  <c r="Q32" i="160"/>
  <c r="P32" i="160"/>
  <c r="N32" i="160"/>
  <c r="M32" i="160"/>
  <c r="L32" i="160"/>
  <c r="K32" i="160"/>
  <c r="H32" i="160"/>
  <c r="A32" i="160"/>
  <c r="Q31" i="160"/>
  <c r="P31" i="160"/>
  <c r="N31" i="160"/>
  <c r="M31" i="160"/>
  <c r="L31" i="160"/>
  <c r="K31" i="160"/>
  <c r="H31" i="160"/>
  <c r="A31" i="160"/>
  <c r="Q30" i="160"/>
  <c r="P30" i="160"/>
  <c r="N30" i="160"/>
  <c r="M30" i="160"/>
  <c r="L30" i="160"/>
  <c r="K30" i="160"/>
  <c r="H30" i="160"/>
  <c r="A30" i="160"/>
  <c r="Q29" i="160"/>
  <c r="P29" i="160"/>
  <c r="N29" i="160"/>
  <c r="M29" i="160"/>
  <c r="L29" i="160"/>
  <c r="K29" i="160"/>
  <c r="H29" i="160"/>
  <c r="A29" i="160"/>
  <c r="Q28" i="160"/>
  <c r="P28" i="160"/>
  <c r="N28" i="160"/>
  <c r="M28" i="160"/>
  <c r="L28" i="160"/>
  <c r="K28" i="160"/>
  <c r="H28" i="160"/>
  <c r="A28" i="160"/>
  <c r="Q27" i="160"/>
  <c r="P27" i="160"/>
  <c r="N27" i="160"/>
  <c r="M27" i="160"/>
  <c r="L27" i="160"/>
  <c r="K27" i="160"/>
  <c r="H27" i="160"/>
  <c r="A27" i="160"/>
  <c r="Q26" i="160"/>
  <c r="P26" i="160"/>
  <c r="N26" i="160"/>
  <c r="M26" i="160"/>
  <c r="L26" i="160"/>
  <c r="K26" i="160"/>
  <c r="H26" i="160"/>
  <c r="A26" i="160"/>
  <c r="Q25" i="160"/>
  <c r="P25" i="160"/>
  <c r="N25" i="160"/>
  <c r="M25" i="160"/>
  <c r="L25" i="160"/>
  <c r="K25" i="160"/>
  <c r="H25" i="160"/>
  <c r="A25" i="160"/>
  <c r="Q24" i="160"/>
  <c r="P24" i="160"/>
  <c r="N24" i="160"/>
  <c r="M24" i="160"/>
  <c r="L24" i="160"/>
  <c r="K24" i="160"/>
  <c r="H24" i="160"/>
  <c r="A24" i="160"/>
  <c r="Q23" i="160"/>
  <c r="P23" i="160"/>
  <c r="N23" i="160"/>
  <c r="M23" i="160"/>
  <c r="L23" i="160"/>
  <c r="K23" i="160"/>
  <c r="H23" i="160"/>
  <c r="A23" i="160"/>
  <c r="Q22" i="160"/>
  <c r="P22" i="160"/>
  <c r="N22" i="160"/>
  <c r="M22" i="160"/>
  <c r="L22" i="160"/>
  <c r="K22" i="160"/>
  <c r="H22" i="160"/>
  <c r="A22" i="160"/>
  <c r="Q21" i="160"/>
  <c r="P21" i="160"/>
  <c r="N21" i="160"/>
  <c r="M21" i="160"/>
  <c r="L21" i="160"/>
  <c r="K21" i="160"/>
  <c r="H21" i="160"/>
  <c r="A21" i="160"/>
  <c r="Q20" i="160"/>
  <c r="P20" i="160"/>
  <c r="N20" i="160"/>
  <c r="M20" i="160"/>
  <c r="L20" i="160"/>
  <c r="K20" i="160"/>
  <c r="H20" i="160"/>
  <c r="A20" i="160"/>
  <c r="Q19" i="160"/>
  <c r="P19" i="160"/>
  <c r="N19" i="160"/>
  <c r="M19" i="160"/>
  <c r="L19" i="160"/>
  <c r="K19" i="160"/>
  <c r="H19" i="160"/>
  <c r="A19" i="160"/>
  <c r="Q18" i="160"/>
  <c r="P18" i="160"/>
  <c r="N18" i="160"/>
  <c r="M18" i="160"/>
  <c r="L18" i="160"/>
  <c r="K18" i="160"/>
  <c r="H18" i="160"/>
  <c r="A18" i="160"/>
  <c r="Q17" i="160"/>
  <c r="P17" i="160"/>
  <c r="N17" i="160"/>
  <c r="M17" i="160"/>
  <c r="L17" i="160"/>
  <c r="K17" i="160"/>
  <c r="H17" i="160"/>
  <c r="A17" i="160"/>
  <c r="Q16" i="160"/>
  <c r="P16" i="160"/>
  <c r="N16" i="160"/>
  <c r="M16" i="160"/>
  <c r="L16" i="160"/>
  <c r="K16" i="160"/>
  <c r="H16" i="160"/>
  <c r="A16" i="160"/>
  <c r="Q15" i="160"/>
  <c r="P15" i="160"/>
  <c r="N15" i="160"/>
  <c r="M15" i="160"/>
  <c r="L15" i="160"/>
  <c r="K15" i="160"/>
  <c r="H15" i="160"/>
  <c r="A15" i="160"/>
  <c r="Q14" i="160"/>
  <c r="P14" i="160"/>
  <c r="N14" i="160"/>
  <c r="M14" i="160"/>
  <c r="L14" i="160"/>
  <c r="K14" i="160"/>
  <c r="H14" i="160"/>
  <c r="A14" i="160"/>
  <c r="Q13" i="160"/>
  <c r="P13" i="160"/>
  <c r="N13" i="160"/>
  <c r="M13" i="160"/>
  <c r="L13" i="160"/>
  <c r="K13" i="160"/>
  <c r="H13" i="160"/>
  <c r="A13" i="160"/>
  <c r="Q12" i="160"/>
  <c r="P12" i="160"/>
  <c r="N12" i="160"/>
  <c r="M12" i="160"/>
  <c r="L12" i="160"/>
  <c r="K12" i="160"/>
  <c r="H12" i="160"/>
  <c r="A12" i="160"/>
  <c r="Q11" i="160"/>
  <c r="P11" i="160"/>
  <c r="N11" i="160"/>
  <c r="M11" i="160"/>
  <c r="L11" i="160"/>
  <c r="K11" i="160"/>
  <c r="H11" i="160"/>
  <c r="A11" i="160"/>
  <c r="Q10" i="160"/>
  <c r="P10" i="160"/>
  <c r="N10" i="160"/>
  <c r="M10" i="160"/>
  <c r="L10" i="160"/>
  <c r="K10" i="160"/>
  <c r="H10" i="160"/>
  <c r="A10" i="160"/>
  <c r="Q9" i="160"/>
  <c r="P9" i="160"/>
  <c r="N9" i="160"/>
  <c r="M9" i="160"/>
  <c r="L9" i="160"/>
  <c r="K9" i="160"/>
  <c r="H9" i="160"/>
  <c r="A9" i="160"/>
  <c r="Q8" i="160"/>
  <c r="P8" i="160"/>
  <c r="N8" i="160"/>
  <c r="M8" i="160"/>
  <c r="L8" i="160"/>
  <c r="K8" i="160"/>
  <c r="H8" i="160"/>
  <c r="A8" i="160"/>
  <c r="Q7" i="160"/>
  <c r="P7" i="160"/>
  <c r="N7" i="160"/>
  <c r="M7" i="160"/>
  <c r="L7" i="160"/>
  <c r="K7" i="160"/>
  <c r="H7" i="160"/>
  <c r="A7" i="160"/>
  <c r="Q6" i="160"/>
  <c r="P6" i="160"/>
  <c r="N6" i="160"/>
  <c r="M6" i="160"/>
  <c r="L6" i="160"/>
  <c r="K6" i="160"/>
  <c r="H6" i="160"/>
  <c r="A6" i="160"/>
  <c r="Q5" i="160"/>
  <c r="P5" i="160"/>
  <c r="N5" i="160"/>
  <c r="M5" i="160"/>
  <c r="L5" i="160"/>
  <c r="K5" i="160"/>
  <c r="H5" i="160"/>
  <c r="A5" i="160"/>
  <c r="Q4" i="160"/>
  <c r="P4" i="160"/>
  <c r="N4" i="160"/>
  <c r="M4" i="160"/>
  <c r="L4" i="160"/>
  <c r="K4" i="160"/>
  <c r="H4" i="160"/>
  <c r="A4" i="160"/>
  <c r="Q3" i="160"/>
  <c r="P3" i="160"/>
  <c r="N3" i="160"/>
  <c r="M3" i="160"/>
  <c r="L3" i="160"/>
  <c r="K3" i="160"/>
  <c r="H3" i="160"/>
  <c r="A3" i="160"/>
  <c r="Q2" i="160"/>
  <c r="P2" i="160"/>
  <c r="N2" i="160"/>
  <c r="M2" i="160"/>
  <c r="L2" i="160"/>
  <c r="K2" i="160"/>
  <c r="H2" i="160"/>
  <c r="A2" i="160"/>
  <c r="F49" i="159"/>
  <c r="F48" i="159"/>
  <c r="F47" i="159"/>
  <c r="B40" i="159"/>
  <c r="B41" i="159"/>
  <c r="B42" i="159"/>
  <c r="B43" i="159"/>
  <c r="B44" i="159"/>
  <c r="B45" i="159"/>
  <c r="B46" i="159"/>
  <c r="B47" i="159"/>
  <c r="C40" i="159"/>
  <c r="C41" i="159"/>
  <c r="C42" i="159"/>
  <c r="C43" i="159"/>
  <c r="C44" i="159"/>
  <c r="C45" i="159"/>
  <c r="C46" i="159"/>
  <c r="C47" i="159"/>
  <c r="F46" i="159"/>
  <c r="F45" i="159"/>
  <c r="F42" i="159"/>
  <c r="G42" i="159"/>
  <c r="F40" i="159"/>
  <c r="G40" i="159"/>
  <c r="B32" i="159"/>
  <c r="C19" i="159"/>
  <c r="C20" i="159"/>
  <c r="C21" i="159"/>
  <c r="C22" i="159"/>
  <c r="C23" i="159"/>
  <c r="C24" i="159"/>
  <c r="C25" i="159"/>
  <c r="C26" i="159"/>
  <c r="C27" i="159"/>
  <c r="C28" i="159"/>
  <c r="C29" i="159"/>
  <c r="C30" i="159"/>
  <c r="C31" i="159"/>
  <c r="C32" i="159"/>
  <c r="D32" i="159"/>
  <c r="G31" i="159"/>
  <c r="E31" i="159"/>
  <c r="H31" i="159"/>
  <c r="I31" i="159"/>
  <c r="J31" i="159"/>
  <c r="F31" i="159"/>
  <c r="D31" i="159"/>
  <c r="G30" i="159"/>
  <c r="E30" i="159"/>
  <c r="H30" i="159"/>
  <c r="I30" i="159"/>
  <c r="J30" i="159"/>
  <c r="F30" i="159"/>
  <c r="D30" i="159"/>
  <c r="I29" i="159"/>
  <c r="J29" i="159"/>
  <c r="F29" i="159"/>
  <c r="D29" i="159"/>
  <c r="I28" i="159"/>
  <c r="J28" i="159"/>
  <c r="F28" i="159"/>
  <c r="D28" i="159"/>
  <c r="I27" i="159"/>
  <c r="J27" i="159"/>
  <c r="F27" i="159"/>
  <c r="D27" i="159"/>
  <c r="I26" i="159"/>
  <c r="J26" i="159"/>
  <c r="F26" i="159"/>
  <c r="D26" i="159"/>
  <c r="I25" i="159"/>
  <c r="J25" i="159"/>
  <c r="F25" i="159"/>
  <c r="D25" i="159"/>
  <c r="I24" i="159"/>
  <c r="J24" i="159"/>
  <c r="F24" i="159"/>
  <c r="D24" i="159"/>
  <c r="I23" i="159"/>
  <c r="J23" i="159"/>
  <c r="F23" i="159"/>
  <c r="D23" i="159"/>
  <c r="I22" i="159"/>
  <c r="J22" i="159"/>
  <c r="F22" i="159"/>
  <c r="D22" i="159"/>
  <c r="I21" i="159"/>
  <c r="J21" i="159"/>
  <c r="F21" i="159"/>
  <c r="D21" i="159"/>
  <c r="R20" i="159"/>
  <c r="P20" i="159"/>
  <c r="O20" i="159"/>
  <c r="M20" i="159"/>
  <c r="I20" i="159"/>
  <c r="J20" i="159"/>
  <c r="F20" i="159"/>
  <c r="D20" i="159"/>
  <c r="R19" i="159"/>
  <c r="P19" i="159"/>
  <c r="O19" i="159"/>
  <c r="M19" i="159"/>
  <c r="I19" i="159"/>
  <c r="J19" i="159"/>
  <c r="F19" i="159"/>
  <c r="D19" i="159"/>
  <c r="R18" i="159"/>
  <c r="P18" i="159"/>
  <c r="O18" i="159"/>
  <c r="M18" i="159"/>
  <c r="I18" i="159"/>
  <c r="J18" i="159"/>
  <c r="F18" i="159"/>
  <c r="C18" i="159"/>
  <c r="D18" i="159"/>
  <c r="R17" i="159"/>
  <c r="P17" i="159"/>
  <c r="O17" i="159"/>
  <c r="M17" i="159"/>
  <c r="I17" i="159"/>
  <c r="J17" i="159"/>
  <c r="F17" i="159"/>
  <c r="C17" i="159"/>
  <c r="D17" i="159"/>
  <c r="V16" i="159"/>
  <c r="R16" i="159"/>
  <c r="P16" i="159"/>
  <c r="O16" i="159"/>
  <c r="M16" i="159"/>
  <c r="V15" i="159"/>
  <c r="R15" i="159"/>
  <c r="P15" i="159"/>
  <c r="O15" i="159"/>
  <c r="M15" i="159"/>
  <c r="V14" i="159"/>
  <c r="R14" i="159"/>
  <c r="P14" i="159"/>
  <c r="O14" i="159"/>
  <c r="M14" i="159"/>
  <c r="V13" i="159"/>
  <c r="R13" i="159"/>
  <c r="P13" i="159"/>
  <c r="O13" i="159"/>
  <c r="M13" i="159"/>
  <c r="V12" i="159"/>
  <c r="R12" i="159"/>
  <c r="P12" i="159"/>
  <c r="O12" i="159"/>
  <c r="M12" i="159"/>
  <c r="V11" i="159"/>
  <c r="R11" i="159"/>
  <c r="P11" i="159"/>
  <c r="O11" i="159"/>
  <c r="M11" i="159"/>
  <c r="V10" i="159"/>
  <c r="R10" i="159"/>
  <c r="P10" i="159"/>
  <c r="O10" i="159"/>
  <c r="M10" i="159"/>
  <c r="V9" i="159"/>
  <c r="R9" i="159"/>
  <c r="P9" i="159"/>
  <c r="O9" i="159"/>
  <c r="M9" i="159"/>
  <c r="V8" i="159"/>
  <c r="R8" i="159"/>
  <c r="P8" i="159"/>
  <c r="O8" i="159"/>
  <c r="M8" i="159"/>
  <c r="V7" i="159"/>
  <c r="R7" i="159"/>
  <c r="P7" i="159"/>
  <c r="O7" i="159"/>
  <c r="M7" i="159"/>
  <c r="V6" i="159"/>
  <c r="R6" i="159"/>
  <c r="P6" i="159"/>
  <c r="O6" i="159"/>
  <c r="M6" i="159"/>
  <c r="V5" i="159"/>
  <c r="R5" i="159"/>
  <c r="P5" i="159"/>
  <c r="O5" i="159"/>
  <c r="M5" i="159"/>
  <c r="V4" i="159"/>
  <c r="R4" i="159"/>
  <c r="P4" i="159"/>
  <c r="O4" i="159"/>
  <c r="M4" i="159"/>
  <c r="V3" i="159"/>
  <c r="R3" i="159"/>
  <c r="P3" i="159"/>
  <c r="O3" i="159"/>
  <c r="M3" i="159"/>
  <c r="V2" i="159"/>
  <c r="B5" i="157"/>
  <c r="B10" i="153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F341" i="154"/>
  <c r="F342" i="154"/>
  <c r="F343" i="154"/>
  <c r="F344" i="154"/>
  <c r="F345" i="154"/>
  <c r="F346" i="154"/>
  <c r="F347" i="154"/>
  <c r="F348" i="154"/>
  <c r="F349" i="154"/>
  <c r="F350" i="154"/>
  <c r="B30" i="153"/>
  <c r="B10" i="157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325" i="158"/>
  <c r="F326" i="158"/>
  <c r="F327" i="158"/>
  <c r="F328" i="158"/>
  <c r="F329" i="158"/>
  <c r="F330" i="158"/>
  <c r="F331" i="158"/>
  <c r="F332" i="158"/>
  <c r="F333" i="158"/>
  <c r="F334" i="158"/>
  <c r="F335" i="158"/>
  <c r="F336" i="158"/>
  <c r="F337" i="158"/>
  <c r="F338" i="158"/>
  <c r="F339" i="158"/>
  <c r="F340" i="158"/>
  <c r="F341" i="158"/>
  <c r="F342" i="158"/>
  <c r="F343" i="158"/>
  <c r="F344" i="158"/>
  <c r="F345" i="158"/>
  <c r="F346" i="158"/>
  <c r="F347" i="158"/>
  <c r="F348" i="158"/>
  <c r="F349" i="158"/>
  <c r="F350" i="158"/>
  <c r="B30" i="157"/>
  <c r="A350" i="154"/>
  <c r="A346" i="154"/>
  <c r="A347" i="154"/>
  <c r="A348" i="154"/>
  <c r="A349" i="154"/>
  <c r="H346" i="154"/>
  <c r="K346" i="154"/>
  <c r="L346" i="154"/>
  <c r="M346" i="154"/>
  <c r="N346" i="154"/>
  <c r="P346" i="154"/>
  <c r="H347" i="154"/>
  <c r="K347" i="154"/>
  <c r="L347" i="154"/>
  <c r="M347" i="154"/>
  <c r="N347" i="154"/>
  <c r="P347" i="154"/>
  <c r="H348" i="154"/>
  <c r="K348" i="154"/>
  <c r="L348" i="154"/>
  <c r="M348" i="154"/>
  <c r="N348" i="154"/>
  <c r="P348" i="154"/>
  <c r="H349" i="154"/>
  <c r="K349" i="154"/>
  <c r="L349" i="154"/>
  <c r="M349" i="154"/>
  <c r="N349" i="154"/>
  <c r="P349" i="154"/>
  <c r="H350" i="154"/>
  <c r="K350" i="154"/>
  <c r="L350" i="154"/>
  <c r="M350" i="154"/>
  <c r="N350" i="154"/>
  <c r="P350" i="154"/>
  <c r="A350" i="158"/>
  <c r="H350" i="158"/>
  <c r="K350" i="158"/>
  <c r="L350" i="158"/>
  <c r="M350" i="158"/>
  <c r="N350" i="158"/>
  <c r="P350" i="158"/>
  <c r="A346" i="158"/>
  <c r="H346" i="158"/>
  <c r="K346" i="158"/>
  <c r="L346" i="158"/>
  <c r="M346" i="158"/>
  <c r="N346" i="158"/>
  <c r="P346" i="158"/>
  <c r="A347" i="158"/>
  <c r="H347" i="158"/>
  <c r="K347" i="158"/>
  <c r="L347" i="158"/>
  <c r="M347" i="158"/>
  <c r="N347" i="158"/>
  <c r="P347" i="158"/>
  <c r="A348" i="158"/>
  <c r="H348" i="158"/>
  <c r="K348" i="158"/>
  <c r="L348" i="158"/>
  <c r="M348" i="158"/>
  <c r="N348" i="158"/>
  <c r="P348" i="158"/>
  <c r="A349" i="158"/>
  <c r="H349" i="158"/>
  <c r="K349" i="158"/>
  <c r="L349" i="158"/>
  <c r="M349" i="158"/>
  <c r="N349" i="158"/>
  <c r="P349" i="158"/>
  <c r="H341" i="154"/>
  <c r="K341" i="154"/>
  <c r="L341" i="154"/>
  <c r="M341" i="154"/>
  <c r="N341" i="154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A341" i="154"/>
  <c r="A342" i="154"/>
  <c r="A343" i="154"/>
  <c r="A344" i="154"/>
  <c r="A345" i="154"/>
  <c r="A342" i="158"/>
  <c r="H342" i="158"/>
  <c r="K342" i="158"/>
  <c r="L342" i="158"/>
  <c r="M342" i="158"/>
  <c r="N342" i="158"/>
  <c r="P342" i="158"/>
  <c r="A343" i="158"/>
  <c r="H343" i="158"/>
  <c r="K343" i="158"/>
  <c r="L343" i="158"/>
  <c r="M343" i="158"/>
  <c r="N343" i="158"/>
  <c r="P343" i="158"/>
  <c r="A344" i="158"/>
  <c r="H344" i="158"/>
  <c r="K344" i="158"/>
  <c r="L344" i="158"/>
  <c r="M344" i="158"/>
  <c r="N344" i="158"/>
  <c r="P344" i="158"/>
  <c r="A345" i="158"/>
  <c r="H345" i="158"/>
  <c r="K345" i="158"/>
  <c r="L345" i="158"/>
  <c r="M345" i="158"/>
  <c r="N345" i="158"/>
  <c r="P345" i="158"/>
  <c r="H341" i="158"/>
  <c r="K341" i="158"/>
  <c r="L341" i="158"/>
  <c r="M341" i="158"/>
  <c r="N341" i="158"/>
  <c r="P341" i="158"/>
  <c r="A341" i="158"/>
  <c r="H336" i="154"/>
  <c r="K336" i="154"/>
  <c r="L336" i="154"/>
  <c r="M336" i="154"/>
  <c r="N336" i="154"/>
  <c r="P336" i="154"/>
  <c r="H337" i="154"/>
  <c r="K337" i="154"/>
  <c r="L337" i="154"/>
  <c r="M337" i="154"/>
  <c r="N337" i="154"/>
  <c r="P337" i="154"/>
  <c r="H338" i="154"/>
  <c r="K338" i="154"/>
  <c r="L338" i="154"/>
  <c r="M338" i="154"/>
  <c r="N338" i="154"/>
  <c r="P338" i="154"/>
  <c r="H339" i="154"/>
  <c r="K339" i="154"/>
  <c r="L339" i="154"/>
  <c r="M339" i="154"/>
  <c r="N339" i="154"/>
  <c r="P339" i="154"/>
  <c r="H340" i="154"/>
  <c r="K340" i="154"/>
  <c r="L340" i="154"/>
  <c r="M340" i="154"/>
  <c r="N340" i="154"/>
  <c r="P340" i="154"/>
  <c r="A336" i="154"/>
  <c r="A337" i="154"/>
  <c r="A338" i="154"/>
  <c r="A339" i="154"/>
  <c r="A340" i="154"/>
  <c r="H336" i="158"/>
  <c r="K336" i="158"/>
  <c r="L336" i="158"/>
  <c r="M336" i="158"/>
  <c r="N336" i="158"/>
  <c r="P336" i="158"/>
  <c r="H337" i="158"/>
  <c r="K337" i="158"/>
  <c r="L337" i="158"/>
  <c r="M337" i="158"/>
  <c r="N337" i="158"/>
  <c r="P337" i="158"/>
  <c r="H338" i="158"/>
  <c r="K338" i="158"/>
  <c r="L338" i="158"/>
  <c r="M338" i="158"/>
  <c r="N338" i="158"/>
  <c r="P338" i="158"/>
  <c r="H339" i="158"/>
  <c r="K339" i="158"/>
  <c r="L339" i="158"/>
  <c r="M339" i="158"/>
  <c r="N339" i="158"/>
  <c r="P339" i="158"/>
  <c r="H340" i="158"/>
  <c r="K340" i="158"/>
  <c r="L340" i="158"/>
  <c r="M340" i="158"/>
  <c r="N340" i="158"/>
  <c r="P340" i="158"/>
  <c r="A336" i="158"/>
  <c r="A337" i="158"/>
  <c r="A338" i="158"/>
  <c r="A339" i="158"/>
  <c r="A340" i="158"/>
  <c r="F41" i="157"/>
  <c r="G41" i="157"/>
  <c r="R6" i="153"/>
  <c r="F41" i="153"/>
  <c r="G41" i="153"/>
  <c r="R3" i="153"/>
  <c r="R4" i="153"/>
  <c r="R5" i="153"/>
  <c r="R7" i="153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F49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R3" i="157"/>
  <c r="R4" i="157"/>
  <c r="R5" i="157"/>
  <c r="R6" i="157"/>
  <c r="R7" i="157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F48" i="157"/>
  <c r="F49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<sst xmlns="http://schemas.openxmlformats.org/spreadsheetml/2006/main" count="629" uniqueCount="257">
  <si>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</si>
  <si>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</si>
  <si>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</si>
  <si>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</si>
  <si>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</si>
  <si>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</si>
  <si>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</si>
  <si>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</si>
  <si>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</si>
  <si>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</si>
  <si>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</si>
  <si>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</si>
  <si>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</si>
  <si>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</si>
  <si>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</si>
  <si>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</si>
  <si>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</si>
  <si>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</si>
  <si>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</si>
  <si>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</si>
  <si>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</si>
  <si>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</si>
  <si>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</si>
  <si>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</si>
  <si>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</si>
  <si>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</si>
  <si>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</si>
  <si>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</si>
  <si>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</si>
  <si>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</si>
  <si>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</si>
  <si>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</si>
  <si>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</si>
  <si>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</si>
  <si>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</si>
  <si>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</si>
  <si>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</si>
  <si>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</si>
  <si>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</si>
  <si>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</si>
  <si>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</si>
  <si>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</si>
  <si>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</si>
  <si>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</si>
  <si>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</si>
  <si>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</si>
  <si>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</si>
  <si>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</si>
  <si>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</si>
  <si>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</si>
  <si>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</si>
  <si>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</si>
  <si>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</si>
  <si>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</si>
  <si>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</si>
  <si>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</si>
  <si>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</si>
  <si>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</si>
  <si>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</si>
  <si>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</si>
  <si>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</si>
  <si>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</si>
  <si>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</si>
  <si>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</si>
  <si>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</si>
  <si>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</si>
  <si>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</si>
  <si>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</si>
  <si>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</si>
  <si>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</si>
  <si>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</si>
  <si>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</si>
  <si>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</si>
  <si>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</si>
  <si>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</si>
  <si>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</si>
  <si>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</si>
  <si>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</si>
  <si>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</si>
  <si>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</si>
  <si>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</si>
  <si>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</si>
  <si>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</si>
  <si>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</si>
  <si>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</si>
  <si>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</si>
  <si>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</si>
  <si>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</si>
  <si>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</si>
  <si>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</si>
  <si>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</si>
  <si>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</si>
  <si>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</si>
  <si>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</si>
  <si>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</si>
  <si>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</si>
  <si>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</si>
  <si>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</si>
  <si>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</si>
  <si>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</si>
  <si>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</si>
  <si>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</si>
  <si>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</si>
  <si>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</si>
  <si>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</si>
  <si>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</si>
  <si>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</si>
  <si>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</si>
  <si>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</si>
  <si>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</si>
  <si>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</si>
  <si>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</si>
  <si>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</si>
  <si>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</si>
  <si>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</si>
  <si>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</si>
  <si>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</si>
  <si>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</si>
  <si>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</si>
  <si>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</si>
  <si>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</si>
  <si>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</si>
  <si>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</si>
  <si>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</si>
  <si>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</si>
  <si>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</si>
  <si>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</si>
  <si>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</si>
  <si>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</si>
  <si>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</si>
  <si>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</si>
  <si>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</si>
  <si>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</si>
  <si>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</si>
  <si>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</si>
  <si>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</si>
  <si>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</si>
  <si>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</si>
  <si>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</si>
  <si>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</si>
  <si>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</si>
  <si>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</si>
  <si>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</si>
  <si>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</si>
  <si>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</si>
  <si>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</si>
  <si>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</si>
  <si>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</si>
  <si>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</si>
  <si>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</si>
  <si>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</si>
  <si>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</si>
  <si>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</si>
  <si>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</si>
  <si>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</si>
  <si>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</si>
  <si>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</si>
  <si>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</si>
  <si>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</si>
  <si>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</si>
  <si>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</si>
  <si>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</si>
  <si>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</si>
  <si>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</si>
  <si>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</si>
  <si>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</si>
  <si>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</si>
  <si>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</si>
  <si>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</si>
  <si>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</si>
  <si>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</si>
  <si>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</si>
  <si>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</si>
  <si>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</si>
  <si>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</si>
  <si>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</si>
  <si>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</si>
  <si>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</si>
  <si>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</si>
  <si>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</si>
  <si>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</si>
  <si>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</si>
  <si>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</si>
  <si>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</si>
  <si>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</si>
  <si>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</si>
  <si>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</si>
  <si>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</si>
  <si>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</si>
  <si>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</si>
  <si>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</si>
  <si>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</si>
  <si>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</si>
  <si>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</si>
  <si>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</si>
  <si>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</si>
  <si>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</si>
  <si>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</si>
  <si>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</si>
  <si>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</si>
  <si>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</si>
  <si>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</si>
  <si>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</si>
  <si>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</si>
  <si>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</si>
  <si>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</si>
  <si>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</si>
  <si>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</si>
  <si>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</si>
  <si>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</si>
  <si>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</si>
  <si>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</si>
  <si>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</si>
  <si>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</si>
  <si>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</si>
  <si>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</si>
  <si>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</si>
  <si>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</si>
  <si>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</si>
  <si>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</si>
  <si>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</si>
  <si>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</si>
  <si>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</si>
  <si>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</si>
  <si>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</si>
  <si>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</si>
  <si>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</si>
  <si>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</si>
  <si>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</si>
  <si>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</si>
  <si>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</si>
  <si>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</si>
  <si>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</si>
  <si>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</si>
  <si>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</si>
  <si>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</si>
  <si>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</si>
  <si>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</si>
  <si>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</si>
  <si>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</si>
  <si>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</si>
  <si>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</si>
  <si>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</si>
  <si>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</si>
  <si>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</si>
  <si>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</si>
  <si>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</si>
  <si>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</si>
  <si>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gacha_settle_tables_</t>
    <phoneticPr fontId="22"/>
  </si>
  <si>
    <t>.tmp</t>
    <phoneticPr fontId="55"/>
  </si>
  <si>
    <t>PremiumSSw</t>
    <phoneticPr fontId="22"/>
  </si>
  <si>
    <t>PremiumSSw</t>
    <phoneticPr fontId="22"/>
  </si>
  <si>
    <t>old</t>
    <phoneticPr fontId="22"/>
  </si>
  <si>
    <t>tables_555100</t>
    <phoneticPr fontId="22"/>
  </si>
  <si>
    <t>tables_555010</t>
    <phoneticPr fontId="22"/>
  </si>
  <si>
    <t>tables_settle_555100</t>
    <phoneticPr fontId="22"/>
  </si>
  <si>
    <t>skill_level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</si>
</sst>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03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6" fillId="0" borderId="1" xfId="3036" applyFont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3" fillId="0" borderId="1" xfId="3036" applyFont="1" applyBorder="1"/>
    <xf numFmtId="0" fontId="27" fillId="4" borderId="0" xfId="2" applyFont="1" applyFill="1" applyAlignment="1">
      <alignment vertical="center"/>
    </xf>
    <xf numFmtId="0" fontId="2" fillId="4" borderId="1" xfId="2978" applyFont="1" applyFill="1" applyBorder="1"/>
    <xf numFmtId="0" fontId="1" fillId="2" borderId="1" xfId="19" applyFont="1" applyFill="1" applyBorder="1"/>
    <xf numFmtId="0" fontId="54" fillId="4" borderId="1" xfId="0" applyFont="1" applyFill="1" applyBorder="1" applyAlignment="1">
      <alignment vertical="center"/>
    </xf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technical</v>
          </cell>
          <cell r="L1239" t="str">
            <v>テクニカルタイプ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technical</v>
          </cell>
          <cell r="L1240" t="str">
            <v>テクニカルタイプ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  <cell r="K1382" t="str">
            <v>balance</v>
          </cell>
          <cell r="L1382" t="str">
            <v>バランスタイプ</v>
          </cell>
          <cell r="M1382" t="str">
            <v>human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  <cell r="K1383" t="str">
            <v>balance</v>
          </cell>
          <cell r="L1383" t="str">
            <v>バランスタイプ</v>
          </cell>
          <cell r="M1383" t="str">
            <v>human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  <cell r="K1384" t="str">
            <v>heal</v>
          </cell>
          <cell r="L1384" t="str">
            <v>回復タイプ</v>
          </cell>
          <cell r="M1384" t="str">
            <v>human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  <cell r="K1385" t="str">
            <v>heal</v>
          </cell>
          <cell r="L1385" t="str">
            <v>回復タイプ</v>
          </cell>
          <cell r="M1385" t="str">
            <v>human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  <cell r="K1386" t="str">
            <v>attack</v>
          </cell>
          <cell r="L1386" t="str">
            <v>攻撃タイプ</v>
          </cell>
          <cell r="M1386" t="str">
            <v>human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  <cell r="K1387" t="str">
            <v>attack</v>
          </cell>
          <cell r="L1387" t="str">
            <v>攻撃タイプ</v>
          </cell>
          <cell r="M1387" t="str">
            <v>god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  <cell r="K1388" t="str">
            <v>technical</v>
          </cell>
          <cell r="L1388" t="str">
            <v>テクニカルタイプ</v>
          </cell>
          <cell r="M1388" t="str">
            <v>human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  <cell r="K1389" t="str">
            <v>exp</v>
          </cell>
          <cell r="L1389" t="str">
            <v>強化素材タイプ</v>
          </cell>
          <cell r="M1389" t="str">
            <v>unknown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  <cell r="K1390" t="str">
            <v>exp</v>
          </cell>
          <cell r="L1390" t="str">
            <v>強化素材タイプ</v>
          </cell>
          <cell r="M1390" t="str">
            <v>unknown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  <cell r="K1391" t="str">
            <v>exp</v>
          </cell>
          <cell r="L1391" t="str">
            <v>強化素材タイプ</v>
          </cell>
          <cell r="M1391" t="str">
            <v>unknown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  <cell r="K1392" t="str">
            <v>exp</v>
          </cell>
          <cell r="L1392" t="str">
            <v>強化素材タイプ</v>
          </cell>
          <cell r="M1392" t="str">
            <v>unknown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  <cell r="K1393" t="str">
            <v>technical</v>
          </cell>
          <cell r="L1393" t="str">
            <v>テクニカルタイプ</v>
          </cell>
          <cell r="M1393" t="str">
            <v>unknown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  <cell r="K1394" t="str">
            <v>technical</v>
          </cell>
          <cell r="L1394" t="str">
            <v>テクニカルタイプ</v>
          </cell>
          <cell r="M1394" t="str">
            <v>unknown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unknown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  <cell r="K1396" t="str">
            <v>balance</v>
          </cell>
          <cell r="L1396" t="str">
            <v>バランスタイプ</v>
          </cell>
          <cell r="M1396" t="str">
            <v>unknown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  <cell r="K1397" t="str">
            <v>hp</v>
          </cell>
          <cell r="L1397" t="str">
            <v>体力タイプ</v>
          </cell>
          <cell r="M1397" t="str">
            <v>unknown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unknown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  <cell r="K1399" t="str">
            <v>balance</v>
          </cell>
          <cell r="L1399" t="str">
            <v>バランスタイプ</v>
          </cell>
          <cell r="M1399" t="str">
            <v>academia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  <cell r="K1400" t="str">
            <v>attack</v>
          </cell>
          <cell r="L1400" t="str">
            <v>攻撃タイプ</v>
          </cell>
          <cell r="M1400" t="str">
            <v>academia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  <cell r="K1401" t="str">
            <v>attack</v>
          </cell>
          <cell r="L1401" t="str">
            <v>攻撃タイプ</v>
          </cell>
          <cell r="M1401" t="str">
            <v>academia</v>
          </cell>
        </row>
        <row r="1402">
          <cell r="A1402">
            <v>1431</v>
          </cell>
          <cell r="B1402" t="str">
            <v>ja</v>
          </cell>
          <cell r="C1402" t="str">
            <v>センコR5</v>
          </cell>
          <cell r="D1402" t="str">
            <v>未定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5</v>
          </cell>
          <cell r="J1402" t="str">
            <v>PremiumSS</v>
          </cell>
          <cell r="K1402" t="str">
            <v>technical</v>
          </cell>
          <cell r="L1402" t="str">
            <v>テクニカルタイプ</v>
          </cell>
          <cell r="M1402" t="str">
            <v>god</v>
          </cell>
        </row>
        <row r="1403">
          <cell r="A1403">
            <v>1432</v>
          </cell>
          <cell r="B1403" t="str">
            <v>ja</v>
          </cell>
          <cell r="C1403" t="str">
            <v>センコR6</v>
          </cell>
          <cell r="D1403" t="str">
            <v>未定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6</v>
          </cell>
          <cell r="J1403" t="str">
            <v>PremiumSS</v>
          </cell>
          <cell r="K1403" t="str">
            <v>technical</v>
          </cell>
          <cell r="L1403" t="str">
            <v>テクニカルタイプ</v>
          </cell>
          <cell r="M1403" t="str">
            <v>god</v>
          </cell>
        </row>
        <row r="1404">
          <cell r="A1404">
            <v>1433</v>
          </cell>
          <cell r="B1404" t="str">
            <v>ja</v>
          </cell>
          <cell r="C1404" t="str">
            <v>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3</v>
          </cell>
          <cell r="J1404" t="str">
            <v>Material</v>
          </cell>
          <cell r="K1404" t="str">
            <v>limitbreak</v>
          </cell>
          <cell r="L1404" t="str">
            <v>限界突破素材</v>
          </cell>
          <cell r="M1404" t="str">
            <v>unknown</v>
          </cell>
        </row>
        <row r="1405">
          <cell r="A1405">
            <v>1434</v>
          </cell>
          <cell r="B1405" t="str">
            <v>ja</v>
          </cell>
          <cell r="C1405" t="str">
            <v>メガ超越の果実</v>
          </cell>
          <cell r="D1405" t="str">
            <v>スキル進化素材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yellow</v>
          </cell>
          <cell r="I1405">
            <v>4</v>
          </cell>
          <cell r="J1405" t="str">
            <v>Material</v>
          </cell>
          <cell r="K1405" t="str">
            <v>limitbreak</v>
          </cell>
          <cell r="L1405" t="str">
            <v>限界突破素材</v>
          </cell>
          <cell r="M1405" t="str">
            <v>unknown</v>
          </cell>
        </row>
        <row r="1406">
          <cell r="A1406">
            <v>1435</v>
          </cell>
          <cell r="B1406" t="str">
            <v>ja</v>
          </cell>
          <cell r="C1406" t="str">
            <v>ギガ超越の果実</v>
          </cell>
          <cell r="D1406" t="str">
            <v>スキル進化素材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yellow</v>
          </cell>
          <cell r="I1406">
            <v>5</v>
          </cell>
          <cell r="J1406" t="str">
            <v>Material</v>
          </cell>
          <cell r="K1406" t="str">
            <v>limitbreak</v>
          </cell>
          <cell r="L1406" t="str">
            <v>限界突破素材</v>
          </cell>
          <cell r="M1406" t="str">
            <v>unknown</v>
          </cell>
        </row>
        <row r="1407">
          <cell r="A1407">
            <v>1452</v>
          </cell>
          <cell r="B1407" t="str">
            <v>ja</v>
          </cell>
          <cell r="C1407" t="str">
            <v>メルセンヌ</v>
          </cell>
          <cell r="D1407" t="str">
            <v>未定</v>
          </cell>
          <cell r="E1407" t="str">
            <v>アリス</v>
          </cell>
          <cell r="F1407" t="str">
            <v>世界観</v>
          </cell>
          <cell r="G1407" t="str">
            <v>不明</v>
          </cell>
          <cell r="H1407" t="str">
            <v>yellow</v>
          </cell>
          <cell r="I1407">
            <v>5</v>
          </cell>
          <cell r="J1407" t="str">
            <v>PremiumSSS</v>
          </cell>
          <cell r="K1407" t="str">
            <v>hp</v>
          </cell>
          <cell r="L1407" t="str">
            <v>体力タイプ</v>
          </cell>
          <cell r="M1407" t="str">
            <v>academia</v>
          </cell>
        </row>
        <row r="1408">
          <cell r="A1408">
            <v>1453</v>
          </cell>
          <cell r="B1408" t="str">
            <v>ja</v>
          </cell>
          <cell r="C1408" t="str">
            <v>数解の自鳴琴 メルセンヌ</v>
          </cell>
          <cell r="D1408" t="str">
            <v>未定</v>
          </cell>
          <cell r="E1408" t="str">
            <v>アリス</v>
          </cell>
          <cell r="F1408" t="str">
            <v>世界観</v>
          </cell>
          <cell r="G1408" t="str">
            <v>不明</v>
          </cell>
          <cell r="H1408" t="str">
            <v>yellow</v>
          </cell>
          <cell r="I1408">
            <v>6</v>
          </cell>
          <cell r="J1408" t="str">
            <v>PremiumSSS</v>
          </cell>
          <cell r="K1408" t="str">
            <v>hp</v>
          </cell>
          <cell r="L1408" t="str">
            <v>体力タイプ</v>
          </cell>
          <cell r="M1408" t="str">
            <v>academia</v>
          </cell>
        </row>
        <row r="1409">
          <cell r="A1409">
            <v>1454</v>
          </cell>
          <cell r="B1409" t="str">
            <v>ja</v>
          </cell>
          <cell r="C1409" t="str">
            <v>ストレングス</v>
          </cell>
          <cell r="D1409" t="str">
            <v>未定</v>
          </cell>
          <cell r="E1409" t="str">
            <v>アリス</v>
          </cell>
          <cell r="F1409" t="str">
            <v>世界観</v>
          </cell>
          <cell r="G1409" t="str">
            <v>不明</v>
          </cell>
          <cell r="H1409" t="str">
            <v>red</v>
          </cell>
          <cell r="I1409">
            <v>5</v>
          </cell>
          <cell r="J1409" t="str">
            <v>PremiumSSS</v>
          </cell>
          <cell r="K1409" t="str">
            <v>balance</v>
          </cell>
          <cell r="L1409" t="str">
            <v>バランスタイプ</v>
          </cell>
          <cell r="M1409" t="str">
            <v>god</v>
          </cell>
        </row>
        <row r="1410">
          <cell r="A1410">
            <v>1455</v>
          </cell>
          <cell r="B1410" t="str">
            <v>ja</v>
          </cell>
          <cell r="C1410" t="str">
            <v>豪毅なる征獣師 ストレングス</v>
          </cell>
          <cell r="D1410" t="str">
            <v>未定</v>
          </cell>
          <cell r="E1410" t="str">
            <v>アリス</v>
          </cell>
          <cell r="F1410" t="str">
            <v>世界観</v>
          </cell>
          <cell r="G1410" t="str">
            <v>不明</v>
          </cell>
          <cell r="H1410" t="str">
            <v>red</v>
          </cell>
          <cell r="I1410">
            <v>6</v>
          </cell>
          <cell r="J1410" t="str">
            <v>PremiumSSS</v>
          </cell>
          <cell r="K1410" t="str">
            <v>balance</v>
          </cell>
          <cell r="L1410" t="str">
            <v>バランスタイプ</v>
          </cell>
          <cell r="M1410" t="str">
            <v>god</v>
          </cell>
        </row>
        <row r="1411">
          <cell r="A1411">
            <v>1456</v>
          </cell>
          <cell r="B1411" t="str">
            <v>ja</v>
          </cell>
          <cell r="C1411" t="str">
            <v>ネセバル</v>
          </cell>
          <cell r="H1411" t="str">
            <v>blue</v>
          </cell>
          <cell r="I1411">
            <v>5</v>
          </cell>
          <cell r="J1411" t="str">
            <v>PremiumSSw</v>
          </cell>
          <cell r="K1411" t="str">
            <v>attack</v>
          </cell>
          <cell r="L1411" t="str">
            <v>攻撃タイプ</v>
          </cell>
          <cell r="M1411" t="str">
            <v>hero</v>
          </cell>
        </row>
        <row r="1412">
          <cell r="A1412">
            <v>1457</v>
          </cell>
          <cell r="B1412" t="str">
            <v>ja</v>
          </cell>
          <cell r="C1412" t="str">
            <v>碧影の聖跡 ネセバル</v>
          </cell>
          <cell r="H1412" t="str">
            <v>blue</v>
          </cell>
          <cell r="I1412">
            <v>6</v>
          </cell>
          <cell r="J1412" t="str">
            <v>PremiumSSw</v>
          </cell>
          <cell r="K1412" t="str">
            <v>attack</v>
          </cell>
          <cell r="L1412" t="str">
            <v>攻撃タイプ</v>
          </cell>
          <cell r="M1412" t="str">
            <v>hero</v>
          </cell>
        </row>
        <row r="1413">
          <cell r="A1413">
            <v>1458</v>
          </cell>
          <cell r="B1413" t="str">
            <v>ja</v>
          </cell>
          <cell r="C1413" t="str">
            <v>diamond01</v>
          </cell>
          <cell r="H1413" t="str">
            <v>red</v>
          </cell>
          <cell r="I1413">
            <v>5</v>
          </cell>
          <cell r="J1413" t="str">
            <v>PremiumSS</v>
          </cell>
          <cell r="K1413" t="str">
            <v>attack</v>
          </cell>
          <cell r="L1413" t="str">
            <v>攻撃タイプ</v>
          </cell>
          <cell r="M1413" t="str">
            <v>human</v>
          </cell>
        </row>
        <row r="1414">
          <cell r="A1414">
            <v>1459</v>
          </cell>
          <cell r="B1414" t="str">
            <v>ja</v>
          </cell>
          <cell r="C1414" t="str">
            <v>diamond02</v>
          </cell>
          <cell r="H1414" t="str">
            <v>red</v>
          </cell>
          <cell r="I1414">
            <v>6</v>
          </cell>
          <cell r="J1414" t="str">
            <v>PremiumSS</v>
          </cell>
          <cell r="K1414" t="str">
            <v>attack</v>
          </cell>
          <cell r="L1414" t="str">
            <v>攻撃タイプ</v>
          </cell>
          <cell r="M1414" t="str">
            <v>human</v>
          </cell>
        </row>
        <row r="1415">
          <cell r="A1415">
            <v>1460</v>
          </cell>
          <cell r="B1415" t="str">
            <v>ja</v>
          </cell>
          <cell r="C1415" t="str">
            <v>opal01</v>
          </cell>
          <cell r="H1415" t="str">
            <v>blue</v>
          </cell>
          <cell r="I1415">
            <v>4</v>
          </cell>
          <cell r="J1415" t="str">
            <v>PremiumS</v>
          </cell>
          <cell r="K1415" t="str">
            <v>balance</v>
          </cell>
          <cell r="L1415" t="str">
            <v>バランスタイプ</v>
          </cell>
          <cell r="M1415" t="str">
            <v>human</v>
          </cell>
        </row>
        <row r="1416">
          <cell r="A1416">
            <v>1461</v>
          </cell>
          <cell r="B1416" t="str">
            <v>ja</v>
          </cell>
          <cell r="C1416" t="str">
            <v>opal02</v>
          </cell>
          <cell r="H1416" t="str">
            <v>blue</v>
          </cell>
          <cell r="I1416">
            <v>5</v>
          </cell>
          <cell r="J1416" t="str">
            <v>PremiumS</v>
          </cell>
          <cell r="K1416" t="str">
            <v>balance</v>
          </cell>
          <cell r="L1416" t="str">
            <v>バランスタイプ</v>
          </cell>
          <cell r="M1416" t="str">
            <v>human</v>
          </cell>
        </row>
        <row r="1417">
          <cell r="A1417">
            <v>1462</v>
          </cell>
          <cell r="B1417" t="str">
            <v>ja</v>
          </cell>
          <cell r="C1417" t="str">
            <v>ruby01</v>
          </cell>
          <cell r="H1417" t="str">
            <v>yellow</v>
          </cell>
          <cell r="I1417">
            <v>5</v>
          </cell>
          <cell r="J1417" t="str">
            <v>PremiumSS</v>
          </cell>
          <cell r="K1417" t="str">
            <v>technical</v>
          </cell>
          <cell r="L1417" t="str">
            <v>テクニカルタイプ</v>
          </cell>
          <cell r="M1417" t="str">
            <v>human</v>
          </cell>
        </row>
        <row r="1418">
          <cell r="A1418">
            <v>1463</v>
          </cell>
          <cell r="B1418" t="str">
            <v>ja</v>
          </cell>
          <cell r="C1418" t="str">
            <v>ruby02</v>
          </cell>
          <cell r="H1418" t="str">
            <v>yellow</v>
          </cell>
          <cell r="I1418">
            <v>6</v>
          </cell>
          <cell r="J1418" t="str">
            <v>PremiumSS</v>
          </cell>
          <cell r="K1418" t="str">
            <v>technical</v>
          </cell>
          <cell r="L1418" t="str">
            <v>テクニカルタイプ</v>
          </cell>
          <cell r="M1418" t="str">
            <v>human</v>
          </cell>
        </row>
        <row r="1419">
          <cell r="A1419">
            <v>1464</v>
          </cell>
          <cell r="B1419" t="str">
            <v>ja</v>
          </cell>
          <cell r="C1419" t="str">
            <v>garnet01</v>
          </cell>
          <cell r="H1419" t="str">
            <v>yellow</v>
          </cell>
          <cell r="I1419">
            <v>5</v>
          </cell>
          <cell r="J1419" t="str">
            <v>PremiumSS</v>
          </cell>
          <cell r="K1419" t="str">
            <v>hp</v>
          </cell>
          <cell r="L1419" t="str">
            <v>体力タイプ</v>
          </cell>
          <cell r="M1419" t="str">
            <v>human</v>
          </cell>
        </row>
        <row r="1420">
          <cell r="A1420">
            <v>1465</v>
          </cell>
          <cell r="B1420" t="str">
            <v>ja</v>
          </cell>
          <cell r="C1420" t="str">
            <v>garnet02</v>
          </cell>
          <cell r="H1420" t="str">
            <v>yellow</v>
          </cell>
          <cell r="I1420">
            <v>6</v>
          </cell>
          <cell r="J1420" t="str">
            <v>PremiumSS</v>
          </cell>
          <cell r="K1420" t="str">
            <v>hp</v>
          </cell>
          <cell r="L1420" t="str">
            <v>体力タイプ</v>
          </cell>
          <cell r="M1420" t="str">
            <v>human</v>
          </cell>
        </row>
        <row r="1421">
          <cell r="A1421">
            <v>1466</v>
          </cell>
          <cell r="B1421" t="str">
            <v>ja</v>
          </cell>
          <cell r="C1421" t="str">
            <v>sapphire01</v>
          </cell>
          <cell r="H1421" t="str">
            <v>blue</v>
          </cell>
          <cell r="I1421">
            <v>5</v>
          </cell>
          <cell r="J1421" t="str">
            <v>DropWizS</v>
          </cell>
          <cell r="K1421" t="str">
            <v>attack</v>
          </cell>
          <cell r="L1421" t="str">
            <v>攻撃タイプ</v>
          </cell>
          <cell r="M1421" t="str">
            <v>human</v>
          </cell>
        </row>
        <row r="1422">
          <cell r="A1422">
            <v>1467</v>
          </cell>
          <cell r="B1422" t="str">
            <v>ja</v>
          </cell>
          <cell r="C1422" t="str">
            <v>sapphire02</v>
          </cell>
          <cell r="H1422" t="str">
            <v>blue</v>
          </cell>
          <cell r="I1422">
            <v>6</v>
          </cell>
          <cell r="J1422" t="str">
            <v>DropWizS</v>
          </cell>
          <cell r="K1422" t="str">
            <v>attack</v>
          </cell>
          <cell r="L1422" t="str">
            <v>攻撃タイプ</v>
          </cell>
          <cell r="M1422" t="str">
            <v>human</v>
          </cell>
        </row>
        <row r="1423">
          <cell r="A1423">
            <v>1468</v>
          </cell>
          <cell r="B1423" t="str">
            <v>ja</v>
          </cell>
          <cell r="C1423" t="str">
            <v>emerald01</v>
          </cell>
          <cell r="H1423" t="str">
            <v>green</v>
          </cell>
          <cell r="I1423">
            <v>5</v>
          </cell>
          <cell r="J1423" t="str">
            <v>Drop2N</v>
          </cell>
          <cell r="K1423" t="str">
            <v>attack</v>
          </cell>
          <cell r="L1423" t="str">
            <v>攻撃タイプ</v>
          </cell>
          <cell r="M1423" t="str">
            <v>unknown</v>
          </cell>
        </row>
        <row r="1424">
          <cell r="A1424">
            <v>1469</v>
          </cell>
          <cell r="B1424" t="str">
            <v>ja</v>
          </cell>
          <cell r="C1424" t="str">
            <v>aquamarine01</v>
          </cell>
          <cell r="H1424" t="str">
            <v>yellow</v>
          </cell>
          <cell r="I1424">
            <v>5</v>
          </cell>
          <cell r="J1424" t="str">
            <v>Drop2N</v>
          </cell>
          <cell r="K1424" t="str">
            <v>technical</v>
          </cell>
          <cell r="L1424" t="str">
            <v>テクニカルタイプ</v>
          </cell>
          <cell r="M1424" t="str">
            <v>unknown</v>
          </cell>
        </row>
        <row r="1425">
          <cell r="A1425">
            <v>1470</v>
          </cell>
          <cell r="B1425" t="str">
            <v>ja</v>
          </cell>
          <cell r="C1425" t="str">
            <v>amethyst01</v>
          </cell>
          <cell r="H1425" t="str">
            <v>red</v>
          </cell>
          <cell r="I1425">
            <v>5</v>
          </cell>
          <cell r="J1425" t="str">
            <v>Drop2N</v>
          </cell>
          <cell r="K1425" t="str">
            <v>balance</v>
          </cell>
          <cell r="L1425" t="str">
            <v>バランスタイプ</v>
          </cell>
          <cell r="M1425" t="str">
            <v>unknown</v>
          </cell>
        </row>
        <row r="1426">
          <cell r="A1426">
            <v>1471</v>
          </cell>
          <cell r="B1426" t="str">
            <v>ja</v>
          </cell>
          <cell r="C1426" t="str">
            <v>エイプリルアーサー</v>
          </cell>
          <cell r="H1426" t="str">
            <v>red</v>
          </cell>
          <cell r="I1426">
            <v>6</v>
          </cell>
          <cell r="J1426" t="str">
            <v>DropWizS</v>
          </cell>
          <cell r="K1426" t="str">
            <v>balance</v>
          </cell>
          <cell r="L1426" t="str">
            <v>バランスタイプ</v>
          </cell>
          <cell r="M1426" t="str">
            <v>unknown</v>
          </cell>
        </row>
        <row r="1427">
          <cell r="A1427">
            <v>1488</v>
          </cell>
          <cell r="B1427" t="str">
            <v>ja</v>
          </cell>
          <cell r="C1427" t="str">
            <v>バクR5</v>
          </cell>
          <cell r="D1427" t="str">
            <v>未定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green</v>
          </cell>
          <cell r="I1427">
            <v>5</v>
          </cell>
          <cell r="J1427" t="str">
            <v>PremiumSSS</v>
          </cell>
          <cell r="K1427" t="str">
            <v>attack</v>
          </cell>
          <cell r="L1427" t="str">
            <v>攻撃タイプ</v>
          </cell>
          <cell r="M1427" t="str">
            <v>academia</v>
          </cell>
        </row>
        <row r="1428">
          <cell r="A1428">
            <v>1489</v>
          </cell>
          <cell r="B1428" t="str">
            <v>ja</v>
          </cell>
          <cell r="C1428" t="str">
            <v>バクR6</v>
          </cell>
          <cell r="D1428" t="str">
            <v>未定</v>
          </cell>
          <cell r="E1428" t="str">
            <v>アリス</v>
          </cell>
          <cell r="F1428" t="str">
            <v>世界観</v>
          </cell>
          <cell r="G1428" t="str">
            <v>不明</v>
          </cell>
          <cell r="H1428" t="str">
            <v>green</v>
          </cell>
          <cell r="I1428">
            <v>6</v>
          </cell>
          <cell r="J1428" t="str">
            <v>PremiumSSS</v>
          </cell>
          <cell r="K1428" t="str">
            <v>attack</v>
          </cell>
          <cell r="L1428" t="str">
            <v>攻撃タイプ</v>
          </cell>
          <cell r="M1428" t="str">
            <v>academia</v>
          </cell>
        </row>
        <row r="1429">
          <cell r="A1429">
            <v>1495</v>
          </cell>
          <cell r="B1429" t="str">
            <v>ja</v>
          </cell>
          <cell r="C1429" t="str">
            <v>花見牛若丸</v>
          </cell>
          <cell r="D1429" t="str">
            <v>未定</v>
          </cell>
          <cell r="E1429" t="str">
            <v>アリス</v>
          </cell>
          <cell r="F1429" t="str">
            <v>世界観</v>
          </cell>
          <cell r="G1429" t="str">
            <v>不明</v>
          </cell>
          <cell r="H1429" t="str">
            <v>yellow</v>
          </cell>
          <cell r="I1429">
            <v>6</v>
          </cell>
          <cell r="J1429" t="str">
            <v>PremiumSS</v>
          </cell>
          <cell r="K1429" t="str">
            <v>balance</v>
          </cell>
          <cell r="L1429" t="str">
            <v>バランスタイプ</v>
          </cell>
          <cell r="M1429" t="str">
            <v>human</v>
          </cell>
        </row>
        <row r="1430">
          <cell r="A1430">
            <v>1496</v>
          </cell>
          <cell r="B1430" t="str">
            <v>ja</v>
          </cell>
          <cell r="C1430" t="str">
            <v>花見沖田</v>
          </cell>
          <cell r="D1430" t="str">
            <v>未定</v>
          </cell>
          <cell r="E1430" t="str">
            <v>アリス</v>
          </cell>
          <cell r="F1430" t="str">
            <v>世界観</v>
          </cell>
          <cell r="G1430" t="str">
            <v>不明</v>
          </cell>
          <cell r="H1430" t="str">
            <v>green</v>
          </cell>
          <cell r="I1430">
            <v>6</v>
          </cell>
          <cell r="J1430" t="str">
            <v>PremiumSS</v>
          </cell>
          <cell r="K1430" t="str">
            <v>balance</v>
          </cell>
          <cell r="L1430" t="str">
            <v>バランスタイプ</v>
          </cell>
          <cell r="M1430" t="str">
            <v>human</v>
          </cell>
        </row>
        <row r="1431">
          <cell r="A1431">
            <v>1497</v>
          </cell>
          <cell r="B1431" t="str">
            <v>ja</v>
          </cell>
          <cell r="C1431" t="str">
            <v>ヨシノ</v>
          </cell>
          <cell r="H1431" t="str">
            <v>yellow</v>
          </cell>
          <cell r="I1431">
            <v>5</v>
          </cell>
          <cell r="J1431" t="str">
            <v>PremiumSS</v>
          </cell>
          <cell r="K1431" t="str">
            <v>technical</v>
          </cell>
          <cell r="L1431" t="str">
            <v>テクニカルタイプ</v>
          </cell>
          <cell r="M1431" t="str">
            <v>human</v>
          </cell>
        </row>
        <row r="1432">
          <cell r="A1432">
            <v>1498</v>
          </cell>
          <cell r="B1432" t="str">
            <v>ja</v>
          </cell>
          <cell r="C1432" t="str">
            <v>咲誇る夢見草 ヨシノ</v>
          </cell>
          <cell r="H1432" t="str">
            <v>yellow</v>
          </cell>
          <cell r="I1432">
            <v>6</v>
          </cell>
          <cell r="J1432" t="str">
            <v>PremiumSS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1499</v>
          </cell>
          <cell r="B1433" t="str">
            <v>ja</v>
          </cell>
          <cell r="C1433" t="str">
            <v>コノハナサクヤ</v>
          </cell>
          <cell r="D1433" t="str">
            <v>未定</v>
          </cell>
          <cell r="E1433" t="str">
            <v>アリス</v>
          </cell>
          <cell r="F1433" t="str">
            <v>世界観</v>
          </cell>
          <cell r="G1433" t="str">
            <v>不明</v>
          </cell>
          <cell r="H1433" t="str">
            <v>yellow</v>
          </cell>
          <cell r="I1433">
            <v>5</v>
          </cell>
          <cell r="J1433" t="str">
            <v>PremiumSS</v>
          </cell>
          <cell r="K1433" t="str">
            <v>technical</v>
          </cell>
          <cell r="L1433" t="str">
            <v>テクニカルタイプ</v>
          </cell>
          <cell r="M1433" t="str">
            <v>god</v>
          </cell>
        </row>
        <row r="1434">
          <cell r="A1434">
            <v>1500</v>
          </cell>
          <cell r="B1434" t="str">
            <v>ja</v>
          </cell>
          <cell r="C1434" t="str">
            <v>櫻歌する開華 コノハナサクヤ</v>
          </cell>
          <cell r="D1434" t="str">
            <v>未定</v>
          </cell>
          <cell r="E1434" t="str">
            <v>アリス</v>
          </cell>
          <cell r="F1434" t="str">
            <v>世界観</v>
          </cell>
          <cell r="G1434" t="str">
            <v>不明</v>
          </cell>
          <cell r="H1434" t="str">
            <v>yellow</v>
          </cell>
          <cell r="I1434">
            <v>6</v>
          </cell>
          <cell r="J1434" t="str">
            <v>PremiumSS</v>
          </cell>
          <cell r="K1434" t="str">
            <v>technical</v>
          </cell>
          <cell r="L1434" t="str">
            <v>テクニカルタイプ</v>
          </cell>
          <cell r="M1434" t="str">
            <v>god</v>
          </cell>
        </row>
        <row r="1435">
          <cell r="A1435">
            <v>1501</v>
          </cell>
          <cell r="B1435" t="str">
            <v>ja</v>
          </cell>
          <cell r="C1435" t="str">
            <v>晴舞台の桜舞 ドガ</v>
          </cell>
          <cell r="H1435" t="str">
            <v>blue</v>
          </cell>
          <cell r="I1435">
            <v>6</v>
          </cell>
          <cell r="J1435" t="str">
            <v>PremiumSS</v>
          </cell>
          <cell r="K1435" t="str">
            <v>balance</v>
          </cell>
          <cell r="L1435" t="str">
            <v>バランスタイプ</v>
          </cell>
          <cell r="M1435" t="str">
            <v>animal</v>
          </cell>
        </row>
        <row r="1436">
          <cell r="A1436">
            <v>1502</v>
          </cell>
          <cell r="B1436" t="str">
            <v>ja</v>
          </cell>
          <cell r="C1436" t="str">
            <v>打咲かす桜花灯 トリスタン</v>
          </cell>
          <cell r="H1436" t="str">
            <v>red</v>
          </cell>
          <cell r="I1436">
            <v>5</v>
          </cell>
          <cell r="J1436" t="str">
            <v>PremiumS</v>
          </cell>
          <cell r="K1436" t="str">
            <v>attack</v>
          </cell>
          <cell r="L1436" t="str">
            <v>攻撃タイプ</v>
          </cell>
          <cell r="M1436" t="str">
            <v>human</v>
          </cell>
        </row>
        <row r="1437">
          <cell r="A1437">
            <v>1503</v>
          </cell>
          <cell r="B1437" t="str">
            <v>ja</v>
          </cell>
          <cell r="C1437" t="str">
            <v>春纏う蛇撫子 ヨルムンガンド</v>
          </cell>
          <cell r="H1437" t="str">
            <v>yellow</v>
          </cell>
          <cell r="I1437">
            <v>5</v>
          </cell>
          <cell r="J1437" t="str">
            <v>PremiumS</v>
          </cell>
          <cell r="K1437" t="str">
            <v>technical</v>
          </cell>
          <cell r="L1437" t="str">
            <v>テクニカルタイプ</v>
          </cell>
          <cell r="M1437" t="str">
            <v>dragon</v>
          </cell>
        </row>
        <row r="1438">
          <cell r="A1438">
            <v>1504</v>
          </cell>
          <cell r="B1438" t="str">
            <v>ja</v>
          </cell>
          <cell r="C1438" t="str">
            <v>ネコ</v>
          </cell>
          <cell r="H1438" t="str">
            <v>red</v>
          </cell>
          <cell r="I1438">
            <v>1</v>
          </cell>
          <cell r="J1438" t="str">
            <v>Drop1T</v>
          </cell>
          <cell r="K1438" t="str">
            <v>balance</v>
          </cell>
          <cell r="L1438" t="str">
            <v>バランスタイプ</v>
          </cell>
          <cell r="M1438" t="str">
            <v>unknown</v>
          </cell>
        </row>
        <row r="1439">
          <cell r="A1439">
            <v>1505</v>
          </cell>
          <cell r="B1439" t="str">
            <v>ja</v>
          </cell>
          <cell r="C1439" t="str">
            <v>タンクネコ</v>
          </cell>
          <cell r="H1439" t="str">
            <v>green</v>
          </cell>
          <cell r="I1439">
            <v>1</v>
          </cell>
          <cell r="J1439" t="str">
            <v>Drop1T</v>
          </cell>
          <cell r="K1439" t="str">
            <v>hp</v>
          </cell>
          <cell r="L1439" t="str">
            <v>体力タイプ</v>
          </cell>
          <cell r="M1439" t="str">
            <v>unknown</v>
          </cell>
        </row>
        <row r="1440">
          <cell r="A1440">
            <v>1506</v>
          </cell>
          <cell r="B1440" t="str">
            <v>ja</v>
          </cell>
          <cell r="C1440" t="str">
            <v>バトルネコ</v>
          </cell>
          <cell r="H1440" t="str">
            <v>yellow</v>
          </cell>
          <cell r="I1440">
            <v>2</v>
          </cell>
          <cell r="J1440" t="str">
            <v>Drop1S</v>
          </cell>
          <cell r="K1440" t="str">
            <v>attack</v>
          </cell>
          <cell r="L1440" t="str">
            <v>攻撃タイプ</v>
          </cell>
          <cell r="M1440" t="str">
            <v>unknown</v>
          </cell>
        </row>
        <row r="1441">
          <cell r="A1441">
            <v>1507</v>
          </cell>
          <cell r="B1441" t="str">
            <v>ja</v>
          </cell>
          <cell r="C1441" t="str">
            <v>キモネコ</v>
          </cell>
          <cell r="H1441" t="str">
            <v>blue</v>
          </cell>
          <cell r="I1441">
            <v>3</v>
          </cell>
          <cell r="J1441" t="str">
            <v>Drop2N</v>
          </cell>
          <cell r="K1441" t="str">
            <v>technical</v>
          </cell>
          <cell r="L1441" t="str">
            <v>テクニカルタイプ</v>
          </cell>
          <cell r="M1441" t="str">
            <v>unknown</v>
          </cell>
        </row>
        <row r="1442">
          <cell r="A1442">
            <v>1508</v>
          </cell>
          <cell r="B1442" t="str">
            <v>ja</v>
          </cell>
          <cell r="C1442" t="str">
            <v>ネコノトリ</v>
          </cell>
          <cell r="H1442" t="str">
            <v>red</v>
          </cell>
          <cell r="I1442">
            <v>4</v>
          </cell>
          <cell r="J1442" t="str">
            <v>Drop2N</v>
          </cell>
          <cell r="K1442" t="str">
            <v>balance</v>
          </cell>
          <cell r="L1442" t="str">
            <v>バランスタイプ</v>
          </cell>
          <cell r="M1442" t="str">
            <v>unknown</v>
          </cell>
        </row>
        <row r="1443">
          <cell r="A1443">
            <v>1509</v>
          </cell>
          <cell r="B1443" t="str">
            <v>ja</v>
          </cell>
          <cell r="C1443" t="str">
            <v>巨神ネコ</v>
          </cell>
          <cell r="H1443" t="str">
            <v>green</v>
          </cell>
          <cell r="I1443">
            <v>5</v>
          </cell>
          <cell r="J1443" t="str">
            <v>Drop2N</v>
          </cell>
          <cell r="K1443" t="str">
            <v>hp</v>
          </cell>
          <cell r="L1443" t="str">
            <v>体力タイプ</v>
          </cell>
          <cell r="M1443" t="str">
            <v>god</v>
          </cell>
        </row>
        <row r="1444">
          <cell r="A1444">
            <v>1510</v>
          </cell>
          <cell r="B1444" t="str">
            <v>ja</v>
          </cell>
          <cell r="C1444" t="str">
            <v>ネコヴァルキリー</v>
          </cell>
          <cell r="H1444" t="str">
            <v>yellow</v>
          </cell>
          <cell r="I1444">
            <v>4</v>
          </cell>
          <cell r="J1444" t="str">
            <v>DropWizS</v>
          </cell>
          <cell r="K1444" t="str">
            <v>balance</v>
          </cell>
          <cell r="L1444" t="str">
            <v>バランスタイプ</v>
          </cell>
          <cell r="M1444" t="str">
            <v>god</v>
          </cell>
        </row>
        <row r="1445">
          <cell r="A1445">
            <v>1511</v>
          </cell>
          <cell r="B1445" t="str">
            <v>ja</v>
          </cell>
          <cell r="C1445" t="str">
            <v>ネコヴァルキリー･真</v>
          </cell>
          <cell r="H1445" t="str">
            <v>yellow</v>
          </cell>
          <cell r="I1445">
            <v>5</v>
          </cell>
          <cell r="J1445" t="str">
            <v>DropWizS</v>
          </cell>
          <cell r="K1445" t="str">
            <v>balance</v>
          </cell>
          <cell r="L1445" t="str">
            <v>バランスタイプ</v>
          </cell>
          <cell r="M1445" t="str">
            <v>god</v>
          </cell>
        </row>
        <row r="1446">
          <cell r="A1446">
            <v>1512</v>
          </cell>
          <cell r="B1446" t="str">
            <v>ja</v>
          </cell>
          <cell r="C1446" t="str">
            <v>ネコヴァルキリー･聖</v>
          </cell>
          <cell r="H1446" t="str">
            <v>yellow</v>
          </cell>
          <cell r="I1446">
            <v>6</v>
          </cell>
          <cell r="J1446" t="str">
            <v>DropWizS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1513</v>
          </cell>
          <cell r="B1447" t="str">
            <v>ja</v>
          </cell>
          <cell r="C1447" t="str">
            <v>金ネコ</v>
          </cell>
          <cell r="H1447" t="str">
            <v>yellow</v>
          </cell>
          <cell r="I1447">
            <v>4</v>
          </cell>
          <cell r="J1447" t="str">
            <v>Material</v>
          </cell>
          <cell r="K1447" t="str">
            <v>coin</v>
          </cell>
          <cell r="L1447" t="str">
            <v>コインタイプ</v>
          </cell>
          <cell r="M1447" t="str">
            <v>unknown</v>
          </cell>
        </row>
        <row r="1448">
          <cell r="A1448">
            <v>1514</v>
          </cell>
          <cell r="B1448" t="str">
            <v>ja</v>
          </cell>
          <cell r="C1448" t="str">
            <v>金ネコビルダー</v>
          </cell>
          <cell r="H1448" t="str">
            <v>yellow</v>
          </cell>
          <cell r="I1448">
            <v>5</v>
          </cell>
          <cell r="J1448" t="str">
            <v>Material</v>
          </cell>
          <cell r="K1448" t="str">
            <v>coin</v>
          </cell>
          <cell r="L1448" t="str">
            <v>コインタイプ</v>
          </cell>
          <cell r="M1448" t="str">
            <v>unknown</v>
          </cell>
        </row>
        <row r="1449">
          <cell r="A1449">
            <v>1515</v>
          </cell>
          <cell r="B1449" t="str">
            <v>ja</v>
          </cell>
          <cell r="C1449" t="str">
            <v>赤メタルネコ</v>
          </cell>
          <cell r="H1449" t="str">
            <v>red</v>
          </cell>
          <cell r="I1449">
            <v>4</v>
          </cell>
          <cell r="J1449" t="str">
            <v>Material</v>
          </cell>
          <cell r="K1449" t="str">
            <v>exp</v>
          </cell>
          <cell r="L1449" t="str">
            <v>強化素材タイプ</v>
          </cell>
          <cell r="M1449" t="str">
            <v>unknown</v>
          </cell>
        </row>
        <row r="1450">
          <cell r="A1450">
            <v>1516</v>
          </cell>
          <cell r="B1450" t="str">
            <v>ja</v>
          </cell>
          <cell r="C1450" t="str">
            <v>赤メタルネコビルダー</v>
          </cell>
          <cell r="H1450" t="str">
            <v>red</v>
          </cell>
          <cell r="I1450">
            <v>5</v>
          </cell>
          <cell r="J1450" t="str">
            <v>Material</v>
          </cell>
          <cell r="K1450" t="str">
            <v>exp</v>
          </cell>
          <cell r="L1450" t="str">
            <v>強化素材タイプ</v>
          </cell>
          <cell r="M1450" t="str">
            <v>unknown</v>
          </cell>
        </row>
        <row r="1451">
          <cell r="A1451">
            <v>1517</v>
          </cell>
          <cell r="B1451" t="str">
            <v>ja</v>
          </cell>
          <cell r="C1451" t="str">
            <v>青メタルネコ</v>
          </cell>
          <cell r="H1451" t="str">
            <v>blue</v>
          </cell>
          <cell r="I1451">
            <v>4</v>
          </cell>
          <cell r="J1451" t="str">
            <v>Material</v>
          </cell>
          <cell r="K1451" t="str">
            <v>exp</v>
          </cell>
          <cell r="L1451" t="str">
            <v>強化素材タイプ</v>
          </cell>
          <cell r="M1451" t="str">
            <v>unknown</v>
          </cell>
        </row>
        <row r="1452">
          <cell r="A1452">
            <v>1518</v>
          </cell>
          <cell r="B1452" t="str">
            <v>ja</v>
          </cell>
          <cell r="C1452" t="str">
            <v>青メタルネコビルダー</v>
          </cell>
          <cell r="H1452" t="str">
            <v>blue</v>
          </cell>
          <cell r="I1452">
            <v>5</v>
          </cell>
          <cell r="J1452" t="str">
            <v>Material</v>
          </cell>
          <cell r="K1452" t="str">
            <v>exp</v>
          </cell>
          <cell r="L1452" t="str">
            <v>強化素材タイプ</v>
          </cell>
          <cell r="M1452" t="str">
            <v>unknown</v>
          </cell>
        </row>
        <row r="1453">
          <cell r="A1453">
            <v>1519</v>
          </cell>
          <cell r="B1453" t="str">
            <v>ja</v>
          </cell>
          <cell r="C1453" t="str">
            <v>緑メタルネコ</v>
          </cell>
          <cell r="H1453" t="str">
            <v>green</v>
          </cell>
          <cell r="I1453">
            <v>4</v>
          </cell>
          <cell r="J1453" t="str">
            <v>Material</v>
          </cell>
          <cell r="K1453" t="str">
            <v>exp</v>
          </cell>
          <cell r="L1453" t="str">
            <v>強化素材タイプ</v>
          </cell>
          <cell r="M1453" t="str">
            <v>unknown</v>
          </cell>
        </row>
        <row r="1454">
          <cell r="A1454">
            <v>1520</v>
          </cell>
          <cell r="B1454" t="str">
            <v>ja</v>
          </cell>
          <cell r="C1454" t="str">
            <v>緑メタルネコビルダー</v>
          </cell>
          <cell r="H1454" t="str">
            <v>green</v>
          </cell>
          <cell r="I1454">
            <v>5</v>
          </cell>
          <cell r="J1454" t="str">
            <v>Material</v>
          </cell>
          <cell r="K1454" t="str">
            <v>exp</v>
          </cell>
          <cell r="L1454" t="str">
            <v>強化素材タイプ</v>
          </cell>
          <cell r="M1454" t="str">
            <v>unknown</v>
          </cell>
        </row>
        <row r="1455">
          <cell r="A1455">
            <v>1521</v>
          </cell>
          <cell r="B1455" t="str">
            <v>ja</v>
          </cell>
          <cell r="C1455" t="str">
            <v>黄メタルネコ</v>
          </cell>
          <cell r="H1455" t="str">
            <v>yellow</v>
          </cell>
          <cell r="I1455">
            <v>4</v>
          </cell>
          <cell r="J1455" t="str">
            <v>Material</v>
          </cell>
          <cell r="K1455" t="str">
            <v>exp</v>
          </cell>
          <cell r="L1455" t="str">
            <v>強化素材タイプ</v>
          </cell>
          <cell r="M1455" t="str">
            <v>unknown</v>
          </cell>
        </row>
        <row r="1456">
          <cell r="A1456">
            <v>1522</v>
          </cell>
          <cell r="B1456" t="str">
            <v>ja</v>
          </cell>
          <cell r="C1456" t="str">
            <v>黄メタルネコビルダー</v>
          </cell>
          <cell r="H1456" t="str">
            <v>yellow</v>
          </cell>
          <cell r="I1456">
            <v>5</v>
          </cell>
          <cell r="J1456" t="str">
            <v>Material</v>
          </cell>
          <cell r="K1456" t="str">
            <v>exp</v>
          </cell>
          <cell r="L1456" t="str">
            <v>強化素材タイプ</v>
          </cell>
          <cell r="M1456" t="str">
            <v>unknown</v>
          </cell>
        </row>
        <row r="1457">
          <cell r="A1457">
            <v>1523</v>
          </cell>
          <cell r="B1457" t="str">
            <v>ja</v>
          </cell>
          <cell r="C1457" t="str">
            <v>ネコムート</v>
          </cell>
          <cell r="H1457" t="str">
            <v>blue</v>
          </cell>
          <cell r="I1457">
            <v>5</v>
          </cell>
          <cell r="J1457" t="str">
            <v>DropWizS</v>
          </cell>
          <cell r="K1457" t="str">
            <v>technical</v>
          </cell>
          <cell r="L1457" t="str">
            <v>テクニカルタイプ</v>
          </cell>
          <cell r="M1457" t="str">
            <v>animal</v>
          </cell>
        </row>
        <row r="1458">
          <cell r="A1458">
            <v>1524</v>
          </cell>
          <cell r="B1458" t="str">
            <v>ja</v>
          </cell>
          <cell r="C1458" t="str">
            <v>狂乱のネコムート</v>
          </cell>
          <cell r="H1458" t="str">
            <v>blue</v>
          </cell>
          <cell r="I1458">
            <v>6</v>
          </cell>
          <cell r="J1458" t="str">
            <v>DropWizS</v>
          </cell>
          <cell r="K1458" t="str">
            <v>technical</v>
          </cell>
          <cell r="L1458" t="str">
            <v>テクニカルタイプ</v>
          </cell>
          <cell r="M1458" t="str">
            <v>animal</v>
          </cell>
        </row>
        <row r="1459">
          <cell r="A1459">
            <v>1525</v>
          </cell>
          <cell r="B1459" t="str">
            <v>ja</v>
          </cell>
          <cell r="C1459" t="str">
            <v>狂乱のネコ</v>
          </cell>
          <cell r="H1459" t="str">
            <v>red</v>
          </cell>
          <cell r="I1459">
            <v>5</v>
          </cell>
          <cell r="J1459" t="str">
            <v>DropWizSS</v>
          </cell>
          <cell r="K1459" t="str">
            <v>attack</v>
          </cell>
          <cell r="L1459" t="str">
            <v>攻撃タイプ</v>
          </cell>
          <cell r="M1459" t="str">
            <v>animal</v>
          </cell>
        </row>
        <row r="1460">
          <cell r="A1460">
            <v>1526</v>
          </cell>
          <cell r="B1460" t="str">
            <v>ja</v>
          </cell>
          <cell r="C1460" t="str">
            <v>狂乱のネコビルダー</v>
          </cell>
          <cell r="H1460" t="str">
            <v>red</v>
          </cell>
          <cell r="I1460">
            <v>6</v>
          </cell>
          <cell r="J1460" t="str">
            <v>DropWizSS</v>
          </cell>
          <cell r="K1460" t="str">
            <v>attack</v>
          </cell>
          <cell r="L1460" t="str">
            <v>攻撃タイプ</v>
          </cell>
          <cell r="M1460" t="str">
            <v>animal</v>
          </cell>
        </row>
        <row r="1461">
          <cell r="A1461">
            <v>1527</v>
          </cell>
          <cell r="B1461" t="str">
            <v>ja</v>
          </cell>
          <cell r="C1461" t="str">
            <v>ネコ魔剣士</v>
          </cell>
          <cell r="H1461" t="str">
            <v>red</v>
          </cell>
          <cell r="I1461">
            <v>4</v>
          </cell>
          <cell r="J1461" t="str">
            <v>PremiumS</v>
          </cell>
          <cell r="K1461" t="str">
            <v>attack</v>
          </cell>
          <cell r="L1461" t="str">
            <v>攻撃タイプ</v>
          </cell>
          <cell r="M1461" t="str">
            <v>animal</v>
          </cell>
        </row>
        <row r="1462">
          <cell r="A1462">
            <v>1528</v>
          </cell>
          <cell r="B1462" t="str">
            <v>ja</v>
          </cell>
          <cell r="C1462" t="str">
            <v>双剣ネコ魔剣士</v>
          </cell>
          <cell r="H1462" t="str">
            <v>red</v>
          </cell>
          <cell r="I1462">
            <v>5</v>
          </cell>
          <cell r="J1462" t="str">
            <v>PremiumS</v>
          </cell>
          <cell r="K1462" t="str">
            <v>attack</v>
          </cell>
          <cell r="L1462" t="str">
            <v>攻撃タイプ</v>
          </cell>
          <cell r="M1462" t="str">
            <v>animal</v>
          </cell>
        </row>
        <row r="1463">
          <cell r="A1463">
            <v>1529</v>
          </cell>
          <cell r="B1463" t="str">
            <v>ja</v>
          </cell>
          <cell r="C1463" t="str">
            <v>ねこ海賊</v>
          </cell>
          <cell r="H1463" t="str">
            <v>blue</v>
          </cell>
          <cell r="I1463">
            <v>4</v>
          </cell>
          <cell r="J1463" t="str">
            <v>PremiumS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1530</v>
          </cell>
          <cell r="B1464" t="str">
            <v>ja</v>
          </cell>
          <cell r="C1464" t="str">
            <v>ニャーコック船長</v>
          </cell>
          <cell r="H1464" t="str">
            <v>blue</v>
          </cell>
          <cell r="I1464">
            <v>5</v>
          </cell>
          <cell r="J1464" t="str">
            <v>PremiumS</v>
          </cell>
          <cell r="K1464" t="str">
            <v>balance</v>
          </cell>
          <cell r="L1464" t="str">
            <v>バランスタイプ</v>
          </cell>
          <cell r="M1464" t="str">
            <v>unknown</v>
          </cell>
        </row>
        <row r="1465">
          <cell r="A1465">
            <v>1531</v>
          </cell>
          <cell r="B1465" t="str">
            <v>ja</v>
          </cell>
          <cell r="C1465" t="str">
            <v>ねこジュラ</v>
          </cell>
          <cell r="H1465" t="str">
            <v>green</v>
          </cell>
          <cell r="I1465">
            <v>4</v>
          </cell>
          <cell r="J1465" t="str">
            <v>PremiumS</v>
          </cell>
          <cell r="K1465" t="str">
            <v>technical</v>
          </cell>
          <cell r="L1465" t="str">
            <v>テクニカルタイプ</v>
          </cell>
          <cell r="M1465" t="str">
            <v>animal</v>
          </cell>
        </row>
        <row r="1466">
          <cell r="A1466">
            <v>1532</v>
          </cell>
          <cell r="B1466" t="str">
            <v>ja</v>
          </cell>
          <cell r="C1466" t="str">
            <v>ねこジュラシッター</v>
          </cell>
          <cell r="H1466" t="str">
            <v>green</v>
          </cell>
          <cell r="I1466">
            <v>5</v>
          </cell>
          <cell r="J1466" t="str">
            <v>PremiumS</v>
          </cell>
          <cell r="K1466" t="str">
            <v>technical</v>
          </cell>
          <cell r="L1466" t="str">
            <v>テクニカルタイプ</v>
          </cell>
          <cell r="M1466" t="str">
            <v>animal</v>
          </cell>
        </row>
        <row r="1467">
          <cell r="A1467">
            <v>1533</v>
          </cell>
          <cell r="B1467" t="str">
            <v>ja</v>
          </cell>
          <cell r="C1467" t="str">
            <v>ネコエステ</v>
          </cell>
          <cell r="H1467" t="str">
            <v>yellow</v>
          </cell>
          <cell r="I1467">
            <v>4</v>
          </cell>
          <cell r="J1467" t="str">
            <v>PremiumS</v>
          </cell>
          <cell r="K1467" t="str">
            <v>attack</v>
          </cell>
          <cell r="L1467" t="str">
            <v>攻撃タイプ</v>
          </cell>
          <cell r="M1467" t="str">
            <v>animal</v>
          </cell>
        </row>
        <row r="1468">
          <cell r="A1468">
            <v>1534</v>
          </cell>
          <cell r="B1468" t="str">
            <v>ja</v>
          </cell>
          <cell r="C1468" t="str">
            <v>ネコジェンヌ</v>
          </cell>
          <cell r="H1468" t="str">
            <v>yellow</v>
          </cell>
          <cell r="I1468">
            <v>5</v>
          </cell>
          <cell r="J1468" t="str">
            <v>PremiumS</v>
          </cell>
          <cell r="K1468" t="str">
            <v>attack</v>
          </cell>
          <cell r="L1468" t="str">
            <v>攻撃タイプ</v>
          </cell>
          <cell r="M1468" t="str">
            <v>animal</v>
          </cell>
        </row>
        <row r="1469">
          <cell r="A1469">
            <v>1535</v>
          </cell>
          <cell r="B1469" t="str">
            <v>ja</v>
          </cell>
          <cell r="C1469" t="str">
            <v>ねこナース</v>
          </cell>
          <cell r="H1469" t="str">
            <v>red</v>
          </cell>
          <cell r="I1469">
            <v>5</v>
          </cell>
          <cell r="J1469" t="str">
            <v>PremiumSS</v>
          </cell>
          <cell r="K1469" t="str">
            <v>technical</v>
          </cell>
          <cell r="L1469" t="str">
            <v>テクニカルタイプ</v>
          </cell>
          <cell r="M1469" t="str">
            <v>god</v>
          </cell>
        </row>
        <row r="1470">
          <cell r="A1470">
            <v>1536</v>
          </cell>
          <cell r="B1470" t="str">
            <v>ja</v>
          </cell>
          <cell r="C1470" t="str">
            <v>ハートフルねこナース</v>
          </cell>
          <cell r="H1470" t="str">
            <v>red</v>
          </cell>
          <cell r="I1470">
            <v>6</v>
          </cell>
          <cell r="J1470" t="str">
            <v>PremiumSS</v>
          </cell>
          <cell r="K1470" t="str">
            <v>technical</v>
          </cell>
          <cell r="L1470" t="str">
            <v>テクニカルタイプ</v>
          </cell>
          <cell r="M1470" t="str">
            <v>god</v>
          </cell>
        </row>
        <row r="1471">
          <cell r="A1471">
            <v>1537</v>
          </cell>
          <cell r="B1471" t="str">
            <v>ja</v>
          </cell>
          <cell r="C1471" t="str">
            <v>キャットマンダディ</v>
          </cell>
          <cell r="H1471" t="str">
            <v>blue</v>
          </cell>
          <cell r="I1471">
            <v>5</v>
          </cell>
          <cell r="J1471" t="str">
            <v>PremiumSSS</v>
          </cell>
          <cell r="K1471" t="str">
            <v>attack</v>
          </cell>
          <cell r="L1471" t="str">
            <v>攻撃タイプ</v>
          </cell>
          <cell r="M1471" t="str">
            <v>unknown</v>
          </cell>
        </row>
        <row r="1472">
          <cell r="A1472">
            <v>1538</v>
          </cell>
          <cell r="B1472" t="str">
            <v>ja</v>
          </cell>
          <cell r="C1472" t="str">
            <v>キャットマンダーク</v>
          </cell>
          <cell r="H1472" t="str">
            <v>blue</v>
          </cell>
          <cell r="I1472">
            <v>6</v>
          </cell>
          <cell r="J1472" t="str">
            <v>PremiumSSS</v>
          </cell>
          <cell r="K1472" t="str">
            <v>attack</v>
          </cell>
          <cell r="L1472" t="str">
            <v>攻撃タイプ</v>
          </cell>
          <cell r="M1472" t="str">
            <v>unknown</v>
          </cell>
        </row>
        <row r="1473">
          <cell r="A1473">
            <v>1539</v>
          </cell>
          <cell r="B1473" t="str">
            <v>ja</v>
          </cell>
          <cell r="C1473" t="str">
            <v>雷神のサンディア</v>
          </cell>
          <cell r="H1473" t="str">
            <v>yellow</v>
          </cell>
          <cell r="I1473">
            <v>5</v>
          </cell>
          <cell r="J1473" t="str">
            <v>PremiumSS</v>
          </cell>
          <cell r="K1473" t="str">
            <v>attack</v>
          </cell>
          <cell r="L1473" t="str">
            <v>攻撃タイプ</v>
          </cell>
          <cell r="M1473" t="str">
            <v>god</v>
          </cell>
        </row>
        <row r="1474">
          <cell r="A1474">
            <v>1540</v>
          </cell>
          <cell r="B1474" t="str">
            <v>ja</v>
          </cell>
          <cell r="C1474" t="str">
            <v>雷神のサンディアβ</v>
          </cell>
          <cell r="H1474" t="str">
            <v>yellow</v>
          </cell>
          <cell r="I1474">
            <v>6</v>
          </cell>
          <cell r="J1474" t="str">
            <v>PremiumSS</v>
          </cell>
          <cell r="K1474" t="str">
            <v>attack</v>
          </cell>
          <cell r="L1474" t="str">
            <v>攻撃タイプ</v>
          </cell>
          <cell r="M1474" t="str">
            <v>god</v>
          </cell>
        </row>
        <row r="1475">
          <cell r="A1475">
            <v>1541</v>
          </cell>
          <cell r="B1475" t="str">
            <v>ja</v>
          </cell>
          <cell r="C1475" t="str">
            <v>美女神アフロディーテ</v>
          </cell>
          <cell r="H1475" t="str">
            <v>red</v>
          </cell>
          <cell r="I1475">
            <v>5</v>
          </cell>
          <cell r="J1475" t="str">
            <v>PremiumSSS</v>
          </cell>
          <cell r="K1475" t="str">
            <v>technical</v>
          </cell>
          <cell r="L1475" t="str">
            <v>テクニカルタイプ</v>
          </cell>
          <cell r="M1475" t="str">
            <v>god</v>
          </cell>
        </row>
        <row r="1476">
          <cell r="A1476">
            <v>1542</v>
          </cell>
          <cell r="B1476" t="str">
            <v>ja</v>
          </cell>
          <cell r="C1476" t="str">
            <v>メガロディーテ</v>
          </cell>
          <cell r="H1476" t="str">
            <v>red</v>
          </cell>
          <cell r="I1476">
            <v>6</v>
          </cell>
          <cell r="J1476" t="str">
            <v>PremiumSSS</v>
          </cell>
          <cell r="K1476" t="str">
            <v>technical</v>
          </cell>
          <cell r="L1476" t="str">
            <v>テクニカルタイプ</v>
          </cell>
          <cell r="M1476" t="str">
            <v>god</v>
          </cell>
        </row>
        <row r="1477">
          <cell r="A1477">
            <v>1543</v>
          </cell>
          <cell r="B1477" t="str">
            <v>ja</v>
          </cell>
          <cell r="C1477" t="str">
            <v>ツルの恩返し</v>
          </cell>
          <cell r="H1477" t="str">
            <v>red</v>
          </cell>
          <cell r="I1477">
            <v>5</v>
          </cell>
          <cell r="J1477" t="str">
            <v>PremiumSS</v>
          </cell>
          <cell r="K1477" t="str">
            <v>balance</v>
          </cell>
          <cell r="L1477" t="str">
            <v>バランスタイプ</v>
          </cell>
          <cell r="M1477" t="str">
            <v>hero</v>
          </cell>
        </row>
        <row r="1478">
          <cell r="A1478">
            <v>1544</v>
          </cell>
          <cell r="B1478" t="str">
            <v>ja</v>
          </cell>
          <cell r="C1478" t="str">
            <v>銀河戦士コスモ</v>
          </cell>
          <cell r="H1478" t="str">
            <v>red</v>
          </cell>
          <cell r="I1478">
            <v>6</v>
          </cell>
          <cell r="J1478" t="str">
            <v>PremiumSS</v>
          </cell>
          <cell r="K1478" t="str">
            <v>balance</v>
          </cell>
          <cell r="L1478" t="str">
            <v>バランスタイプ</v>
          </cell>
          <cell r="M1478" t="str">
            <v>hero</v>
          </cell>
        </row>
        <row r="1479">
          <cell r="A1479">
            <v>1545</v>
          </cell>
          <cell r="B1479" t="str">
            <v>ja</v>
          </cell>
          <cell r="C1479" t="str">
            <v>ネコルガ</v>
          </cell>
          <cell r="H1479" t="str">
            <v>green</v>
          </cell>
          <cell r="I1479">
            <v>5</v>
          </cell>
          <cell r="J1479" t="str">
            <v>PremiumSS</v>
          </cell>
          <cell r="K1479" t="str">
            <v>hp</v>
          </cell>
          <cell r="L1479" t="str">
            <v>体力タイプ</v>
          </cell>
          <cell r="M1479" t="str">
            <v>unknown</v>
          </cell>
        </row>
        <row r="1480">
          <cell r="A1480">
            <v>1546</v>
          </cell>
          <cell r="B1480" t="str">
            <v>ja</v>
          </cell>
          <cell r="C1480" t="str">
            <v>ケサランパサラン</v>
          </cell>
          <cell r="H1480" t="str">
            <v>green</v>
          </cell>
          <cell r="I1480">
            <v>6</v>
          </cell>
          <cell r="J1480" t="str">
            <v>PremiumSS</v>
          </cell>
          <cell r="K1480" t="str">
            <v>hp</v>
          </cell>
          <cell r="L1480" t="str">
            <v>体力タイプ</v>
          </cell>
          <cell r="M1480" t="str">
            <v>unknown</v>
          </cell>
        </row>
        <row r="1481">
          <cell r="A1481">
            <v>1547</v>
          </cell>
          <cell r="B1481" t="str">
            <v>ja</v>
          </cell>
          <cell r="C1481" t="str">
            <v>ネコフラワー</v>
          </cell>
          <cell r="H1481" t="str">
            <v>green</v>
          </cell>
          <cell r="I1481">
            <v>4</v>
          </cell>
          <cell r="J1481" t="str">
            <v>Drop2N</v>
          </cell>
          <cell r="K1481" t="str">
            <v>hp</v>
          </cell>
          <cell r="L1481" t="str">
            <v>体力タイプ</v>
          </cell>
          <cell r="M1481" t="str">
            <v>animal</v>
          </cell>
        </row>
        <row r="1482">
          <cell r="A1482">
            <v>1548</v>
          </cell>
          <cell r="B1482" t="str">
            <v>ja</v>
          </cell>
          <cell r="C1482" t="str">
            <v>にゃんこ扇風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animal</v>
          </cell>
        </row>
        <row r="1483">
          <cell r="A1483">
            <v>1549</v>
          </cell>
          <cell r="B1483" t="str">
            <v>ja</v>
          </cell>
          <cell r="C1483" t="str">
            <v>ネコリンゴ</v>
          </cell>
          <cell r="H1483" t="str">
            <v>green</v>
          </cell>
          <cell r="I1483">
            <v>5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unknown</v>
          </cell>
        </row>
        <row r="1484">
          <cell r="A1484">
            <v>1550</v>
          </cell>
          <cell r="B1484" t="str">
            <v>ja</v>
          </cell>
          <cell r="C1484" t="str">
            <v>カオルくん</v>
          </cell>
          <cell r="H1484" t="str">
            <v>green</v>
          </cell>
          <cell r="I1484">
            <v>6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unknown</v>
          </cell>
        </row>
        <row r="1485">
          <cell r="A1485">
            <v>5001</v>
          </cell>
          <cell r="B1485" t="str">
            <v>ja</v>
          </cell>
          <cell r="C1485" t="str">
            <v>ガルーダ</v>
          </cell>
          <cell r="D1485" t="str">
            <v>ノーマルクエスト</v>
          </cell>
          <cell r="E1485" t="str">
            <v>QoH</v>
          </cell>
          <cell r="F1485" t="str">
            <v>世界観</v>
          </cell>
          <cell r="G1485" t="str">
            <v>不明</v>
          </cell>
          <cell r="H1485" t="str">
            <v>red</v>
          </cell>
          <cell r="I1485">
            <v>5</v>
          </cell>
          <cell r="J1485" t="str">
            <v>PremiumSSw</v>
          </cell>
          <cell r="K1485" t="str">
            <v>attack</v>
          </cell>
          <cell r="L1485" t="str">
            <v>攻撃タイプ</v>
          </cell>
          <cell r="M1485" t="str">
            <v>god</v>
          </cell>
        </row>
        <row r="1486">
          <cell r="A1486">
            <v>5002</v>
          </cell>
          <cell r="B1486" t="str">
            <v>ja</v>
          </cell>
          <cell r="C1486" t="str">
            <v>ガルーダ★６</v>
          </cell>
          <cell r="D1486" t="str">
            <v>ノーマルクエスト</v>
          </cell>
          <cell r="E1486" t="str">
            <v>アバター</v>
          </cell>
          <cell r="F1486" t="str">
            <v>世界観</v>
          </cell>
          <cell r="G1486" t="str">
            <v>男性</v>
          </cell>
          <cell r="H1486" t="str">
            <v>red</v>
          </cell>
          <cell r="I1486">
            <v>6</v>
          </cell>
          <cell r="J1486" t="str">
            <v>PremiumSSw</v>
          </cell>
          <cell r="K1486" t="str">
            <v>attack</v>
          </cell>
          <cell r="L1486" t="str">
            <v>攻撃タイプ</v>
          </cell>
          <cell r="M1486" t="str">
            <v>god</v>
          </cell>
        </row>
        <row r="1487">
          <cell r="A1487">
            <v>5003</v>
          </cell>
          <cell r="B1487" t="str">
            <v>ja</v>
          </cell>
          <cell r="C1487" t="str">
            <v>ナーガ</v>
          </cell>
          <cell r="D1487" t="str">
            <v>リンクガチャ:4神</v>
          </cell>
          <cell r="E1487" t="str">
            <v>守護神</v>
          </cell>
          <cell r="F1487" t="str">
            <v>格好いい</v>
          </cell>
          <cell r="G1487" t="str">
            <v>不明</v>
          </cell>
          <cell r="H1487" t="str">
            <v>green</v>
          </cell>
          <cell r="I1487">
            <v>5</v>
          </cell>
          <cell r="J1487" t="str">
            <v>DropWizS</v>
          </cell>
          <cell r="K1487" t="str">
            <v>technical</v>
          </cell>
          <cell r="L1487" t="str">
            <v>テクニカルタイプ</v>
          </cell>
          <cell r="M1487" t="str">
            <v>animal</v>
          </cell>
        </row>
        <row r="1488">
          <cell r="A1488">
            <v>5004</v>
          </cell>
          <cell r="B1488" t="str">
            <v>ja</v>
          </cell>
          <cell r="C1488" t="str">
            <v>ナーガ★６</v>
          </cell>
          <cell r="D1488" t="str">
            <v>ノーマルクエスト</v>
          </cell>
          <cell r="E1488" t="str">
            <v>アバター</v>
          </cell>
          <cell r="F1488" t="str">
            <v>世界観</v>
          </cell>
          <cell r="G1488" t="str">
            <v>不明</v>
          </cell>
          <cell r="H1488" t="str">
            <v>green</v>
          </cell>
          <cell r="I1488">
            <v>6</v>
          </cell>
          <cell r="J1488" t="str">
            <v>DropWizS</v>
          </cell>
          <cell r="K1488" t="str">
            <v>technical</v>
          </cell>
          <cell r="L1488" t="str">
            <v>テクニカルタイプ</v>
          </cell>
          <cell r="M1488" t="str">
            <v>animal</v>
          </cell>
        </row>
        <row r="1489">
          <cell r="A1489">
            <v>5005</v>
          </cell>
          <cell r="B1489" t="str">
            <v>ja</v>
          </cell>
          <cell r="C1489" t="str">
            <v>カーミラ</v>
          </cell>
          <cell r="D1489" t="str">
            <v>ノーマルクエスト</v>
          </cell>
          <cell r="E1489" t="str">
            <v>QoH</v>
          </cell>
          <cell r="F1489" t="str">
            <v>世界観</v>
          </cell>
          <cell r="G1489" t="str">
            <v>不明</v>
          </cell>
          <cell r="H1489" t="str">
            <v>green</v>
          </cell>
          <cell r="I1489">
            <v>5</v>
          </cell>
          <cell r="J1489" t="str">
            <v>PremiumSSw</v>
          </cell>
          <cell r="K1489" t="str">
            <v>balance</v>
          </cell>
          <cell r="L1489" t="str">
            <v>バランスタイプ</v>
          </cell>
          <cell r="M1489" t="str">
            <v>demon</v>
          </cell>
        </row>
        <row r="1490">
          <cell r="A1490">
            <v>5006</v>
          </cell>
          <cell r="B1490" t="str">
            <v>ja</v>
          </cell>
          <cell r="C1490" t="str">
            <v>カーミラ★６</v>
          </cell>
          <cell r="D1490" t="str">
            <v>ノーマルクエスト</v>
          </cell>
          <cell r="E1490" t="str">
            <v>アバター</v>
          </cell>
          <cell r="F1490" t="str">
            <v>世界観</v>
          </cell>
          <cell r="G1490" t="str">
            <v>男性</v>
          </cell>
          <cell r="H1490" t="str">
            <v>green</v>
          </cell>
          <cell r="I1490">
            <v>6</v>
          </cell>
          <cell r="J1490" t="str">
            <v>PremiumSSw</v>
          </cell>
          <cell r="K1490" t="str">
            <v>balance</v>
          </cell>
          <cell r="L1490" t="str">
            <v>バランスタイプ</v>
          </cell>
          <cell r="M1490" t="str">
            <v>demon</v>
          </cell>
        </row>
        <row r="1491">
          <cell r="A1491">
            <v>5007</v>
          </cell>
          <cell r="B1491" t="str">
            <v>ja</v>
          </cell>
          <cell r="C1491" t="str">
            <v>ヘルシング</v>
          </cell>
          <cell r="D1491" t="str">
            <v>リンクガチャ:4神</v>
          </cell>
          <cell r="E1491" t="str">
            <v>守護神</v>
          </cell>
          <cell r="F1491" t="str">
            <v>格好いい</v>
          </cell>
          <cell r="G1491" t="str">
            <v>不明</v>
          </cell>
          <cell r="H1491" t="str">
            <v>yellow</v>
          </cell>
          <cell r="I1491">
            <v>5</v>
          </cell>
          <cell r="J1491" t="str">
            <v>DropWizS</v>
          </cell>
          <cell r="K1491" t="str">
            <v>technical</v>
          </cell>
          <cell r="L1491" t="str">
            <v>テクニカルタイプ</v>
          </cell>
          <cell r="M1491" t="str">
            <v>human</v>
          </cell>
        </row>
        <row r="1492">
          <cell r="A1492">
            <v>5008</v>
          </cell>
          <cell r="B1492" t="str">
            <v>ja</v>
          </cell>
          <cell r="C1492" t="str">
            <v>ヘルシング★６</v>
          </cell>
          <cell r="D1492" t="str">
            <v>ノーマルクエスト</v>
          </cell>
          <cell r="E1492" t="str">
            <v>アバター</v>
          </cell>
          <cell r="F1492" t="str">
            <v>世界観</v>
          </cell>
          <cell r="G1492" t="str">
            <v>不明</v>
          </cell>
          <cell r="H1492" t="str">
            <v>yellow</v>
          </cell>
          <cell r="I1492">
            <v>6</v>
          </cell>
          <cell r="J1492" t="str">
            <v>DropWizS</v>
          </cell>
          <cell r="K1492" t="str">
            <v>technical</v>
          </cell>
          <cell r="L1492" t="str">
            <v>テクニカルタイプ</v>
          </cell>
          <cell r="M1492" t="str">
            <v>human</v>
          </cell>
        </row>
        <row r="1493">
          <cell r="A1493">
            <v>6001</v>
          </cell>
          <cell r="B1493" t="str">
            <v>ja</v>
          </cell>
          <cell r="C1493" t="str">
            <v>ジェリー</v>
          </cell>
          <cell r="D1493" t="str">
            <v>ノーマルクエスト</v>
          </cell>
          <cell r="E1493" t="str">
            <v>QoH</v>
          </cell>
          <cell r="F1493" t="str">
            <v>世界観</v>
          </cell>
          <cell r="G1493" t="str">
            <v>不明</v>
          </cell>
          <cell r="H1493" t="str">
            <v>red</v>
          </cell>
          <cell r="I1493">
            <v>1</v>
          </cell>
          <cell r="J1493" t="str">
            <v>Drop1T</v>
          </cell>
          <cell r="K1493" t="str">
            <v>ra</v>
          </cell>
          <cell r="L1493" t="str">
            <v>ラグランジュチャレンジ</v>
          </cell>
          <cell r="M1493" t="str">
            <v>unknown</v>
          </cell>
        </row>
        <row r="1494">
          <cell r="A1494">
            <v>6002</v>
          </cell>
          <cell r="B1494" t="str">
            <v>ja</v>
          </cell>
          <cell r="C1494" t="str">
            <v>ヨシタカ</v>
          </cell>
          <cell r="D1494" t="str">
            <v>ノーマルクエスト</v>
          </cell>
          <cell r="E1494" t="str">
            <v>アバター</v>
          </cell>
          <cell r="F1494" t="str">
            <v>世界観</v>
          </cell>
          <cell r="G1494" t="str">
            <v>男性</v>
          </cell>
          <cell r="H1494" t="str">
            <v>red</v>
          </cell>
          <cell r="I1494">
            <v>2</v>
          </cell>
          <cell r="J1494" t="str">
            <v>Drop1N</v>
          </cell>
          <cell r="K1494" t="str">
            <v>ra</v>
          </cell>
          <cell r="L1494" t="str">
            <v>ラグランジュチャレンジ</v>
          </cell>
          <cell r="M1494" t="str">
            <v>human</v>
          </cell>
        </row>
        <row r="1495">
          <cell r="A1495">
            <v>6003</v>
          </cell>
          <cell r="B1495" t="str">
            <v>ja</v>
          </cell>
          <cell r="C1495" t="str">
            <v>朱雀</v>
          </cell>
          <cell r="D1495" t="str">
            <v>リンクガチャ:4神</v>
          </cell>
          <cell r="E1495" t="str">
            <v>守護神</v>
          </cell>
          <cell r="F1495" t="str">
            <v>格好いい</v>
          </cell>
          <cell r="G1495" t="str">
            <v>不明</v>
          </cell>
          <cell r="H1495" t="str">
            <v>red</v>
          </cell>
          <cell r="I1495">
            <v>3</v>
          </cell>
          <cell r="J1495" t="str">
            <v>Drop2N</v>
          </cell>
          <cell r="K1495" t="str">
            <v>ra</v>
          </cell>
          <cell r="L1495" t="str">
            <v>ラグランジュチャレンジ</v>
          </cell>
          <cell r="M1495" t="str">
            <v>animal</v>
          </cell>
        </row>
        <row r="1496">
          <cell r="A1496">
            <v>6004</v>
          </cell>
          <cell r="B1496" t="str">
            <v>ja</v>
          </cell>
          <cell r="C1496" t="str">
            <v>ブレット</v>
          </cell>
          <cell r="D1496" t="str">
            <v>ノーマルクエスト</v>
          </cell>
          <cell r="E1496" t="str">
            <v>アバター</v>
          </cell>
          <cell r="F1496" t="str">
            <v>世界観</v>
          </cell>
          <cell r="G1496" t="str">
            <v>不明</v>
          </cell>
          <cell r="H1496" t="str">
            <v>red</v>
          </cell>
          <cell r="I1496">
            <v>1</v>
          </cell>
          <cell r="J1496" t="str">
            <v>Drop1W</v>
          </cell>
          <cell r="K1496" t="str">
            <v>ra</v>
          </cell>
          <cell r="L1496" t="str">
            <v>ラグランジュチャレンジ</v>
          </cell>
          <cell r="M1496" t="str">
            <v>animal</v>
          </cell>
        </row>
        <row r="1497">
          <cell r="A1497">
            <v>6005</v>
          </cell>
          <cell r="B1497" t="str">
            <v>ja</v>
          </cell>
          <cell r="C1497" t="str">
            <v>孤神 テティス</v>
          </cell>
          <cell r="D1497" t="str">
            <v>初期ガチャ</v>
          </cell>
          <cell r="E1497" t="str">
            <v>管理者</v>
          </cell>
          <cell r="F1497" t="str">
            <v>美しい</v>
          </cell>
          <cell r="G1497" t="str">
            <v>女性</v>
          </cell>
          <cell r="H1497" t="str">
            <v>blue</v>
          </cell>
          <cell r="I1497">
            <v>4</v>
          </cell>
          <cell r="J1497" t="str">
            <v>PremiumN</v>
          </cell>
          <cell r="K1497" t="str">
            <v>ra</v>
          </cell>
          <cell r="L1497" t="str">
            <v>ラグランジュチャレンジ</v>
          </cell>
          <cell r="M1497" t="str">
            <v>god</v>
          </cell>
        </row>
        <row r="1498">
          <cell r="A1498">
            <v>6006</v>
          </cell>
          <cell r="B1498" t="str">
            <v>ja</v>
          </cell>
          <cell r="C1498" t="str">
            <v>海底の孤高神 テティス</v>
          </cell>
          <cell r="D1498" t="str">
            <v>初期ガチャ</v>
          </cell>
          <cell r="E1498" t="str">
            <v>管理者</v>
          </cell>
          <cell r="F1498" t="str">
            <v>美しい</v>
          </cell>
          <cell r="G1498" t="str">
            <v>女性</v>
          </cell>
          <cell r="H1498" t="str">
            <v>blue</v>
          </cell>
          <cell r="I1498">
            <v>5</v>
          </cell>
          <cell r="J1498" t="str">
            <v>PremiumN</v>
          </cell>
          <cell r="K1498" t="str">
            <v>ra</v>
          </cell>
          <cell r="L1498" t="str">
            <v>ラグランジュチャレンジ</v>
          </cell>
          <cell r="M1498" t="str">
            <v>god</v>
          </cell>
        </row>
        <row r="1499">
          <cell r="A1499">
            <v>6007</v>
          </cell>
          <cell r="B1499" t="str">
            <v>ja</v>
          </cell>
          <cell r="C1499" t="str">
            <v>番犬 ケルベロス</v>
          </cell>
          <cell r="D1499" t="str">
            <v>初期ガチャ</v>
          </cell>
          <cell r="E1499" t="str">
            <v>破界者</v>
          </cell>
          <cell r="F1499" t="str">
            <v>可愛い</v>
          </cell>
          <cell r="G1499" t="str">
            <v>女性</v>
          </cell>
          <cell r="H1499" t="str">
            <v>red</v>
          </cell>
          <cell r="I1499">
            <v>4</v>
          </cell>
          <cell r="J1499" t="str">
            <v>PremiumN</v>
          </cell>
          <cell r="K1499" t="str">
            <v>ra</v>
          </cell>
          <cell r="L1499" t="str">
            <v>ラグランジュチャレンジ</v>
          </cell>
          <cell r="M1499" t="str">
            <v>animal</v>
          </cell>
        </row>
        <row r="1500">
          <cell r="A1500">
            <v>6008</v>
          </cell>
          <cell r="B1500" t="str">
            <v>ja</v>
          </cell>
          <cell r="C1500" t="str">
            <v>焔神 プロメテウス</v>
          </cell>
          <cell r="D1500" t="str">
            <v>初期ガチャ</v>
          </cell>
          <cell r="E1500" t="str">
            <v>管理者</v>
          </cell>
          <cell r="F1500" t="str">
            <v>格好いい</v>
          </cell>
          <cell r="G1500" t="str">
            <v>男性</v>
          </cell>
          <cell r="H1500" t="str">
            <v>red</v>
          </cell>
          <cell r="I1500">
            <v>4</v>
          </cell>
          <cell r="J1500" t="str">
            <v>PremiumN</v>
          </cell>
          <cell r="K1500" t="str">
            <v>ra</v>
          </cell>
          <cell r="L1500" t="str">
            <v>ラグランジュチャレンジ</v>
          </cell>
          <cell r="M1500" t="str">
            <v>god</v>
          </cell>
        </row>
        <row r="1501">
          <cell r="A1501">
            <v>6009</v>
          </cell>
          <cell r="B1501" t="str">
            <v>ja</v>
          </cell>
          <cell r="C1501" t="str">
            <v>超越自我 ラグランジュ</v>
          </cell>
          <cell r="D1501" t="str">
            <v>ガチャ:フィーバーフェス02</v>
          </cell>
          <cell r="E1501" t="str">
            <v>執行者</v>
          </cell>
          <cell r="F1501" t="str">
            <v>格好いい</v>
          </cell>
          <cell r="G1501" t="str">
            <v>女性</v>
          </cell>
          <cell r="H1501" t="str">
            <v>red</v>
          </cell>
          <cell r="I1501">
            <v>5</v>
          </cell>
          <cell r="J1501" t="str">
            <v>PremiumSSS</v>
          </cell>
          <cell r="K1501" t="str">
            <v>ra</v>
          </cell>
          <cell r="L1501" t="str">
            <v>ラグランジュチャレンジ</v>
          </cell>
          <cell r="M1501" t="str">
            <v>human</v>
          </cell>
        </row>
        <row r="1502">
          <cell r="A1502">
            <v>6010</v>
          </cell>
          <cell r="B1502" t="str">
            <v>ja</v>
          </cell>
          <cell r="C1502" t="str">
            <v>超越凌駕 ラグランジュ</v>
          </cell>
          <cell r="D1502" t="str">
            <v>ガチャ:フィーバーフェス02</v>
          </cell>
          <cell r="E1502" t="str">
            <v>執行者</v>
          </cell>
          <cell r="F1502" t="str">
            <v>格好いい</v>
          </cell>
          <cell r="G1502" t="str">
            <v>女性</v>
          </cell>
          <cell r="H1502" t="str">
            <v>red</v>
          </cell>
          <cell r="I1502">
            <v>6</v>
          </cell>
          <cell r="J1502" t="str">
            <v>PremiumSSS</v>
          </cell>
          <cell r="K1502" t="str">
            <v>ra</v>
          </cell>
          <cell r="L1502" t="str">
            <v>ラグランジュチャレンジ</v>
          </cell>
          <cell r="M1502" t="str">
            <v>human</v>
          </cell>
        </row>
        <row r="1503">
          <cell r="A1503">
            <v>6011</v>
          </cell>
          <cell r="B1503" t="str">
            <v>ja</v>
          </cell>
          <cell r="C1503" t="str">
            <v>パトドッグリーダー ポチ</v>
          </cell>
          <cell r="D1503" t="str">
            <v>ガチャ:フィーバーフェス02</v>
          </cell>
          <cell r="E1503" t="str">
            <v>執行者</v>
          </cell>
          <cell r="F1503" t="str">
            <v>格好いい</v>
          </cell>
          <cell r="G1503" t="str">
            <v>男性</v>
          </cell>
          <cell r="H1503" t="str">
            <v>blue</v>
          </cell>
          <cell r="I1503">
            <v>2</v>
          </cell>
          <cell r="J1503" t="str">
            <v>Drop1T</v>
          </cell>
          <cell r="K1503" t="str">
            <v>ra002</v>
          </cell>
          <cell r="L1503" t="str">
            <v>ユークリッドチャレンジ</v>
          </cell>
          <cell r="M1503" t="str">
            <v>unknown</v>
          </cell>
        </row>
        <row r="1504">
          <cell r="A1504">
            <v>6012</v>
          </cell>
          <cell r="B1504" t="str">
            <v>ja</v>
          </cell>
          <cell r="C1504" t="str">
            <v>ミミ</v>
          </cell>
          <cell r="D1504" t="str">
            <v>ガチャ:フィーバーフェス02</v>
          </cell>
          <cell r="E1504" t="str">
            <v>執行者</v>
          </cell>
          <cell r="F1504" t="str">
            <v>格好いい</v>
          </cell>
          <cell r="G1504" t="str">
            <v>男性</v>
          </cell>
          <cell r="H1504" t="str">
            <v>yellow</v>
          </cell>
          <cell r="I1504">
            <v>1</v>
          </cell>
          <cell r="J1504" t="str">
            <v>Drop1W</v>
          </cell>
          <cell r="K1504" t="str">
            <v>ra002</v>
          </cell>
          <cell r="L1504" t="str">
            <v>ユークリッドチャレンジ</v>
          </cell>
          <cell r="M1504" t="str">
            <v>animal</v>
          </cell>
        </row>
        <row r="1505">
          <cell r="A1505">
            <v>6013</v>
          </cell>
          <cell r="B1505" t="str">
            <v>ja</v>
          </cell>
          <cell r="C1505" t="str">
            <v>護衛機人 スケアクロウ</v>
          </cell>
          <cell r="D1505" t="str">
            <v>ガチャ:フィーバーフェス02</v>
          </cell>
          <cell r="E1505" t="str">
            <v>執行者</v>
          </cell>
          <cell r="F1505" t="str">
            <v>格好いい</v>
          </cell>
          <cell r="G1505" t="str">
            <v>男性</v>
          </cell>
          <cell r="H1505" t="str">
            <v>blue</v>
          </cell>
          <cell r="I1505">
            <v>2</v>
          </cell>
          <cell r="J1505" t="str">
            <v>Drop1N</v>
          </cell>
          <cell r="K1505" t="str">
            <v>ra002</v>
          </cell>
          <cell r="L1505" t="str">
            <v>ユークリッドチャレンジ</v>
          </cell>
          <cell r="M1505" t="str">
            <v>machine</v>
          </cell>
        </row>
        <row r="1506">
          <cell r="A1506">
            <v>6014</v>
          </cell>
          <cell r="B1506" t="str">
            <v>ja</v>
          </cell>
          <cell r="C1506" t="str">
            <v>月下の人狼 ローレンス</v>
          </cell>
          <cell r="D1506" t="str">
            <v>ガチャ:フィーバーフェス02</v>
          </cell>
          <cell r="E1506" t="str">
            <v>執行者</v>
          </cell>
          <cell r="F1506" t="str">
            <v>格好いい</v>
          </cell>
          <cell r="G1506" t="str">
            <v>男性</v>
          </cell>
          <cell r="H1506" t="str">
            <v>blue</v>
          </cell>
          <cell r="I1506">
            <v>4</v>
          </cell>
          <cell r="J1506" t="str">
            <v>PremiumW</v>
          </cell>
          <cell r="K1506" t="str">
            <v>ra002</v>
          </cell>
          <cell r="L1506" t="str">
            <v>ユークリッドチャレンジ</v>
          </cell>
          <cell r="M1506" t="str">
            <v>animal</v>
          </cell>
        </row>
        <row r="1507">
          <cell r="A1507">
            <v>6015</v>
          </cell>
          <cell r="B1507" t="str">
            <v>ja</v>
          </cell>
          <cell r="C1507" t="str">
            <v>フレイヤ</v>
          </cell>
          <cell r="D1507" t="str">
            <v>ガチャ:フィーバーフェス02</v>
          </cell>
          <cell r="E1507" t="str">
            <v>執行者</v>
          </cell>
          <cell r="F1507" t="str">
            <v>格好いい</v>
          </cell>
          <cell r="G1507" t="str">
            <v>男性</v>
          </cell>
          <cell r="H1507" t="str">
            <v>blue</v>
          </cell>
          <cell r="I1507">
            <v>4</v>
          </cell>
          <cell r="J1507" t="str">
            <v>PremiumSS</v>
          </cell>
          <cell r="K1507" t="str">
            <v>ra002</v>
          </cell>
          <cell r="L1507" t="str">
            <v>ユークリッドチャレンジ</v>
          </cell>
          <cell r="M1507" t="str">
            <v>animal</v>
          </cell>
        </row>
        <row r="1508">
          <cell r="A1508">
            <v>6016</v>
          </cell>
          <cell r="B1508" t="str">
            <v>ja</v>
          </cell>
          <cell r="C1508" t="str">
            <v>根原論理 ユークリッド</v>
          </cell>
          <cell r="D1508" t="str">
            <v>ガチャ:フィーバーフェス02</v>
          </cell>
          <cell r="E1508" t="str">
            <v>執行者</v>
          </cell>
          <cell r="F1508" t="str">
            <v>格好いい</v>
          </cell>
          <cell r="G1508" t="str">
            <v>男性</v>
          </cell>
          <cell r="H1508" t="str">
            <v>blue</v>
          </cell>
          <cell r="I1508">
            <v>5</v>
          </cell>
          <cell r="J1508" t="str">
            <v>PremiumSSS</v>
          </cell>
          <cell r="K1508" t="str">
            <v>ra002</v>
          </cell>
          <cell r="L1508" t="str">
            <v>ユークリッドチャレンジ</v>
          </cell>
          <cell r="M1508" t="str">
            <v>human</v>
          </cell>
        </row>
        <row r="1509">
          <cell r="A1509">
            <v>6017</v>
          </cell>
          <cell r="B1509" t="str">
            <v>ja</v>
          </cell>
          <cell r="C1509" t="str">
            <v>不朽の極論 ユークリッド</v>
          </cell>
          <cell r="D1509" t="str">
            <v>ガチャ:フィーバーフェス02</v>
          </cell>
          <cell r="E1509" t="str">
            <v>執行者</v>
          </cell>
          <cell r="F1509" t="str">
            <v>格好いい</v>
          </cell>
          <cell r="G1509" t="str">
            <v>男性</v>
          </cell>
          <cell r="H1509" t="str">
            <v>blue</v>
          </cell>
          <cell r="I1509">
            <v>6</v>
          </cell>
          <cell r="J1509" t="str">
            <v>PremiumSSS</v>
          </cell>
          <cell r="K1509" t="str">
            <v>ra002</v>
          </cell>
          <cell r="L1509" t="str">
            <v>ユークリッドチャレンジ</v>
          </cell>
          <cell r="M1509" t="str">
            <v>human</v>
          </cell>
        </row>
        <row r="1510">
          <cell r="A1510">
            <v>6018</v>
          </cell>
          <cell r="B1510" t="str">
            <v>ja</v>
          </cell>
          <cell r="C1510" t="str">
            <v>ハヅル</v>
          </cell>
          <cell r="D1510" t="str">
            <v>ガチャ:フィーバーフェス02</v>
          </cell>
          <cell r="E1510" t="str">
            <v>執行者</v>
          </cell>
          <cell r="F1510" t="str">
            <v>格好いい</v>
          </cell>
          <cell r="G1510" t="str">
            <v>男性</v>
          </cell>
          <cell r="H1510" t="str">
            <v>red</v>
          </cell>
          <cell r="I1510">
            <v>4</v>
          </cell>
          <cell r="J1510" t="str">
            <v>PremiumSS</v>
          </cell>
          <cell r="K1510" t="str">
            <v>ra002</v>
          </cell>
          <cell r="L1510" t="str">
            <v>ユークリッドチャレンジ</v>
          </cell>
          <cell r="M1510" t="str">
            <v>animal</v>
          </cell>
        </row>
        <row r="1511">
          <cell r="A1511">
            <v>6019</v>
          </cell>
          <cell r="B1511" t="str">
            <v>ja</v>
          </cell>
          <cell r="C1511" t="str">
            <v>天織羽鶴 ハヅル</v>
          </cell>
          <cell r="D1511" t="str">
            <v>ガチャ:フィーバーフェス02</v>
          </cell>
          <cell r="E1511" t="str">
            <v>執行者</v>
          </cell>
          <cell r="F1511" t="str">
            <v>格好いい</v>
          </cell>
          <cell r="G1511" t="str">
            <v>男性</v>
          </cell>
          <cell r="H1511" t="str">
            <v>red</v>
          </cell>
          <cell r="I1511">
            <v>5</v>
          </cell>
          <cell r="J1511" t="str">
            <v>PremiumSS</v>
          </cell>
          <cell r="K1511" t="str">
            <v>ra002</v>
          </cell>
          <cell r="L1511" t="str">
            <v>ユークリッドチャレンジ</v>
          </cell>
          <cell r="M1511" t="str">
            <v>animal</v>
          </cell>
        </row>
        <row r="1512">
          <cell r="A1512">
            <v>6020</v>
          </cell>
          <cell r="B1512" t="str">
            <v>ja</v>
          </cell>
          <cell r="C1512" t="str">
            <v>ミズチ</v>
          </cell>
          <cell r="D1512" t="str">
            <v>ガチャ:フィーバーフェス02</v>
          </cell>
          <cell r="E1512" t="str">
            <v>執行者</v>
          </cell>
          <cell r="F1512" t="str">
            <v>格好いい</v>
          </cell>
          <cell r="G1512" t="str">
            <v>男性</v>
          </cell>
          <cell r="H1512" t="str">
            <v>blue</v>
          </cell>
          <cell r="I1512">
            <v>4</v>
          </cell>
          <cell r="J1512" t="str">
            <v>PremiumS</v>
          </cell>
          <cell r="K1512" t="str">
            <v>ra002</v>
          </cell>
          <cell r="L1512" t="str">
            <v>ユークリッドチャレンジ</v>
          </cell>
          <cell r="M1512" t="str">
            <v>dragon</v>
          </cell>
        </row>
        <row r="1513">
          <cell r="A1513">
            <v>8001</v>
          </cell>
          <cell r="B1513" t="str">
            <v>ja</v>
          </cell>
          <cell r="C1513" t="str">
            <v>媽祖</v>
          </cell>
          <cell r="D1513" t="str">
            <v>イベント:ミクコラボ01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yellow</v>
          </cell>
          <cell r="I1513">
            <v>5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8002</v>
          </cell>
          <cell r="B1514" t="str">
            <v>ja</v>
          </cell>
          <cell r="C1514" t="str">
            <v>宣導する天海妃 媽祖</v>
          </cell>
          <cell r="D1514" t="str">
            <v>イベント:ミクコラボ01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yellow</v>
          </cell>
          <cell r="I1514">
            <v>6</v>
          </cell>
          <cell r="J1514" t="str">
            <v>PremiumSS</v>
          </cell>
          <cell r="K1514" t="str">
            <v>attack</v>
          </cell>
          <cell r="L1514" t="str">
            <v>攻撃タイプ</v>
          </cell>
          <cell r="M1514" t="str">
            <v>god</v>
          </cell>
        </row>
        <row r="1515">
          <cell r="A1515">
            <v>8003</v>
          </cell>
          <cell r="B1515" t="str">
            <v>ja</v>
          </cell>
          <cell r="C1515" t="str">
            <v>蛟龍</v>
          </cell>
          <cell r="D1515" t="str">
            <v>イベント:ミクコラボ01</v>
          </cell>
          <cell r="E1515" t="str">
            <v>執行者</v>
          </cell>
          <cell r="F1515" t="str">
            <v>格好いい</v>
          </cell>
          <cell r="G1515" t="str">
            <v>不明</v>
          </cell>
          <cell r="H1515" t="str">
            <v>blue</v>
          </cell>
          <cell r="I1515">
            <v>5</v>
          </cell>
          <cell r="J1515" t="str">
            <v>DropWizS</v>
          </cell>
          <cell r="K1515" t="str">
            <v>hp</v>
          </cell>
          <cell r="L1515" t="str">
            <v>体力タイプ</v>
          </cell>
          <cell r="M1515" t="str">
            <v>dragon</v>
          </cell>
        </row>
        <row r="1516">
          <cell r="A1516">
            <v>8004</v>
          </cell>
          <cell r="B1516" t="str">
            <v>ja</v>
          </cell>
          <cell r="C1516" t="str">
            <v>呼嵐の蒼棲龍 蛟龍</v>
          </cell>
          <cell r="D1516" t="str">
            <v>イベント:ミクコラボ01</v>
          </cell>
          <cell r="E1516" t="str">
            <v>執行者</v>
          </cell>
          <cell r="F1516" t="str">
            <v>格好いい</v>
          </cell>
          <cell r="G1516" t="str">
            <v>不明</v>
          </cell>
          <cell r="H1516" t="str">
            <v>blue</v>
          </cell>
          <cell r="I1516">
            <v>6</v>
          </cell>
          <cell r="J1516" t="str">
            <v>DropWizS</v>
          </cell>
          <cell r="K1516" t="str">
            <v>hp</v>
          </cell>
          <cell r="L1516" t="str">
            <v>体力タイプ</v>
          </cell>
          <cell r="M1516" t="str">
            <v>dragon</v>
          </cell>
        </row>
        <row r="1517">
          <cell r="A1517">
            <v>8005</v>
          </cell>
          <cell r="B1517" t="str">
            <v>ja</v>
          </cell>
          <cell r="C1517" t="str">
            <v>三蔵法師</v>
          </cell>
          <cell r="D1517" t="str">
            <v>イベント:ミクコラボ01</v>
          </cell>
          <cell r="E1517" t="str">
            <v>執行者</v>
          </cell>
          <cell r="F1517" t="str">
            <v>格好いい</v>
          </cell>
          <cell r="G1517" t="str">
            <v>不明</v>
          </cell>
          <cell r="H1517" t="str">
            <v>blue</v>
          </cell>
          <cell r="I1517">
            <v>5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human</v>
          </cell>
        </row>
        <row r="1518">
          <cell r="A1518">
            <v>8006</v>
          </cell>
          <cell r="B1518" t="str">
            <v>ja</v>
          </cell>
          <cell r="C1518" t="str">
            <v>慈戒の呪封使 三蔵法師</v>
          </cell>
          <cell r="D1518" t="str">
            <v>イベント:ミクコラボ01</v>
          </cell>
          <cell r="E1518" t="str">
            <v>執行者</v>
          </cell>
          <cell r="F1518" t="str">
            <v>格好いい</v>
          </cell>
          <cell r="G1518" t="str">
            <v>不明</v>
          </cell>
          <cell r="H1518" t="str">
            <v>blue</v>
          </cell>
          <cell r="I1518">
            <v>6</v>
          </cell>
          <cell r="J1518" t="str">
            <v>PremiumSS</v>
          </cell>
          <cell r="K1518" t="str">
            <v>balance</v>
          </cell>
          <cell r="L1518" t="str">
            <v>バランスタイプ</v>
          </cell>
          <cell r="M1518" t="str">
            <v>human</v>
          </cell>
        </row>
        <row r="1519">
          <cell r="A1519">
            <v>8007</v>
          </cell>
          <cell r="B1519" t="str">
            <v>ja</v>
          </cell>
          <cell r="C1519" t="str">
            <v>孫悟空</v>
          </cell>
          <cell r="D1519" t="str">
            <v>イベント:ミクコラボ01</v>
          </cell>
          <cell r="E1519" t="str">
            <v>執行者</v>
          </cell>
          <cell r="F1519" t="str">
            <v>格好いい</v>
          </cell>
          <cell r="G1519" t="str">
            <v>不明</v>
          </cell>
          <cell r="H1519" t="str">
            <v>red</v>
          </cell>
          <cell r="I1519">
            <v>5</v>
          </cell>
          <cell r="J1519" t="str">
            <v>DropWizS</v>
          </cell>
          <cell r="K1519" t="str">
            <v>attack</v>
          </cell>
          <cell r="L1519" t="str">
            <v>攻撃タイプ</v>
          </cell>
          <cell r="M1519" t="str">
            <v>animal</v>
          </cell>
        </row>
        <row r="1520">
          <cell r="A1520">
            <v>8008</v>
          </cell>
          <cell r="B1520" t="str">
            <v>ja</v>
          </cell>
          <cell r="C1520" t="str">
            <v>花果の天猿仙人 孫悟空</v>
          </cell>
          <cell r="D1520" t="str">
            <v>イベント:ミクコラボ01</v>
          </cell>
          <cell r="E1520" t="str">
            <v>執行者</v>
          </cell>
          <cell r="F1520" t="str">
            <v>格好いい</v>
          </cell>
          <cell r="G1520" t="str">
            <v>不明</v>
          </cell>
          <cell r="H1520" t="str">
            <v>red</v>
          </cell>
          <cell r="I1520">
            <v>6</v>
          </cell>
          <cell r="J1520" t="str">
            <v>DropWizS</v>
          </cell>
          <cell r="K1520" t="str">
            <v>attack</v>
          </cell>
          <cell r="L1520" t="str">
            <v>攻撃タイプ</v>
          </cell>
          <cell r="M1520" t="str">
            <v>animal</v>
          </cell>
        </row>
        <row r="1521">
          <cell r="A1521">
            <v>8009</v>
          </cell>
          <cell r="B1521" t="str">
            <v>ja</v>
          </cell>
          <cell r="C1521" t="str">
            <v>西王娘娘</v>
          </cell>
          <cell r="D1521" t="str">
            <v>イベント:ミクコラボ01</v>
          </cell>
          <cell r="E1521" t="str">
            <v>執行者</v>
          </cell>
          <cell r="F1521" t="str">
            <v>格好いい</v>
          </cell>
          <cell r="G1521" t="str">
            <v>不明</v>
          </cell>
          <cell r="H1521" t="str">
            <v>green</v>
          </cell>
          <cell r="I1521">
            <v>5</v>
          </cell>
          <cell r="J1521" t="str">
            <v>PremiumSS</v>
          </cell>
          <cell r="K1521" t="str">
            <v>attack</v>
          </cell>
          <cell r="L1521" t="str">
            <v>攻撃タイプ</v>
          </cell>
          <cell r="M1521" t="str">
            <v>god</v>
          </cell>
        </row>
        <row r="1522">
          <cell r="A1522">
            <v>8010</v>
          </cell>
          <cell r="B1522" t="str">
            <v>ja</v>
          </cell>
          <cell r="C1522" t="str">
            <v>極楽瑶池の聖母 西王娘娘</v>
          </cell>
          <cell r="D1522" t="str">
            <v>イベント:ミクコラボ01</v>
          </cell>
          <cell r="E1522" t="str">
            <v>執行者</v>
          </cell>
          <cell r="F1522" t="str">
            <v>格好いい</v>
          </cell>
          <cell r="G1522" t="str">
            <v>不明</v>
          </cell>
          <cell r="H1522" t="str">
            <v>green</v>
          </cell>
          <cell r="I1522">
            <v>6</v>
          </cell>
          <cell r="J1522" t="str">
            <v>PremiumSS</v>
          </cell>
          <cell r="K1522" t="str">
            <v>attack</v>
          </cell>
          <cell r="L1522" t="str">
            <v>攻撃タイプ</v>
          </cell>
          <cell r="M1522" t="str">
            <v>god</v>
          </cell>
        </row>
        <row r="1523">
          <cell r="A1523">
            <v>8011</v>
          </cell>
          <cell r="B1523" t="str">
            <v>ja</v>
          </cell>
          <cell r="C1523" t="str">
            <v>月下老人</v>
          </cell>
          <cell r="D1523" t="str">
            <v>イベント:ミクコラボ01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yellow</v>
          </cell>
          <cell r="I1523">
            <v>5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god</v>
          </cell>
        </row>
        <row r="1524">
          <cell r="A1524">
            <v>8012</v>
          </cell>
          <cell r="B1524" t="str">
            <v>ja</v>
          </cell>
          <cell r="C1524" t="str">
            <v>破戀斬る縁剣 月下老人</v>
          </cell>
          <cell r="D1524" t="str">
            <v>イベント:ミクコラボ01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yellow</v>
          </cell>
          <cell r="I1524">
            <v>6</v>
          </cell>
          <cell r="J1524" t="str">
            <v>DropWizS</v>
          </cell>
          <cell r="K1524" t="str">
            <v>balance</v>
          </cell>
          <cell r="L1524" t="str">
            <v>バランスタイプ</v>
          </cell>
          <cell r="M1524" t="str">
            <v>god</v>
          </cell>
        </row>
        <row r="1525">
          <cell r="A1525">
            <v>8013</v>
          </cell>
          <cell r="B1525" t="str">
            <v>ja</v>
          </cell>
          <cell r="C1525" t="str">
            <v>初音ミクV3</v>
          </cell>
          <cell r="D1525" t="str">
            <v>初音ミクV3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yellow</v>
          </cell>
          <cell r="I1525">
            <v>4</v>
          </cell>
          <cell r="J1525" t="str">
            <v>DropWizS</v>
          </cell>
          <cell r="K1525" t="str">
            <v>balance</v>
          </cell>
          <cell r="L1525" t="str">
            <v>バランスタイプ</v>
          </cell>
          <cell r="M1525" t="str">
            <v>unknown</v>
          </cell>
        </row>
        <row r="1526">
          <cell r="A1526">
            <v>8014</v>
          </cell>
          <cell r="B1526" t="str">
            <v>ja</v>
          </cell>
          <cell r="C1526" t="str">
            <v>初音ミクV3</v>
          </cell>
          <cell r="D1526" t="str">
            <v>初音ミクV3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yellow</v>
          </cell>
          <cell r="I1526">
            <v>5</v>
          </cell>
          <cell r="J1526" t="str">
            <v>DropWizS</v>
          </cell>
          <cell r="K1526" t="str">
            <v>balance</v>
          </cell>
          <cell r="L1526" t="str">
            <v>バランスタイプ</v>
          </cell>
          <cell r="M1526" t="str">
            <v>unknown</v>
          </cell>
        </row>
        <row r="1527">
          <cell r="A1527">
            <v>8015</v>
          </cell>
          <cell r="B1527" t="str">
            <v>ja</v>
          </cell>
          <cell r="C1527" t="str">
            <v>初音ミク・アペンド</v>
          </cell>
          <cell r="D1527" t="str">
            <v>初音ミク・アペンド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green</v>
          </cell>
          <cell r="I1527">
            <v>4</v>
          </cell>
          <cell r="J1527" t="str">
            <v>PremiumSSS</v>
          </cell>
          <cell r="K1527" t="str">
            <v>technical</v>
          </cell>
          <cell r="L1527" t="str">
            <v>テクニカルタイプ</v>
          </cell>
          <cell r="M1527" t="str">
            <v>unknown</v>
          </cell>
        </row>
        <row r="1528">
          <cell r="A1528">
            <v>8016</v>
          </cell>
          <cell r="B1528" t="str">
            <v>ja</v>
          </cell>
          <cell r="C1528" t="str">
            <v>初音ミク・アペンド</v>
          </cell>
          <cell r="D1528" t="str">
            <v>初音ミク・アペンド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green</v>
          </cell>
          <cell r="I1528">
            <v>5</v>
          </cell>
          <cell r="J1528" t="str">
            <v>PremiumSSS</v>
          </cell>
          <cell r="K1528" t="str">
            <v>technical</v>
          </cell>
          <cell r="L1528" t="str">
            <v>テクニカルタイプ</v>
          </cell>
          <cell r="M1528" t="str">
            <v>unknown</v>
          </cell>
        </row>
        <row r="1529">
          <cell r="A1529">
            <v>8017</v>
          </cell>
          <cell r="B1529" t="str">
            <v>ja</v>
          </cell>
          <cell r="C1529" t="str">
            <v>初音ミク</v>
          </cell>
          <cell r="D1529" t="str">
            <v>初音ミク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green</v>
          </cell>
          <cell r="I1529">
            <v>4</v>
          </cell>
          <cell r="J1529" t="str">
            <v>PremiumSSS</v>
          </cell>
          <cell r="K1529" t="str">
            <v>balance</v>
          </cell>
          <cell r="L1529" t="str">
            <v>バランスタイプ</v>
          </cell>
          <cell r="M1529" t="str">
            <v>unknown</v>
          </cell>
        </row>
        <row r="1530">
          <cell r="A1530">
            <v>8018</v>
          </cell>
          <cell r="B1530" t="str">
            <v>ja</v>
          </cell>
          <cell r="C1530" t="str">
            <v>初音ミク</v>
          </cell>
          <cell r="D1530" t="str">
            <v>初音ミク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green</v>
          </cell>
          <cell r="I1530">
            <v>5</v>
          </cell>
          <cell r="J1530" t="str">
            <v>PremiumSSS</v>
          </cell>
          <cell r="K1530" t="str">
            <v>balance</v>
          </cell>
          <cell r="L1530" t="str">
            <v>バランスタイプ</v>
          </cell>
          <cell r="M1530" t="str">
            <v>unknown</v>
          </cell>
        </row>
        <row r="1531">
          <cell r="A1531">
            <v>8019</v>
          </cell>
          <cell r="B1531" t="str">
            <v>ja</v>
          </cell>
          <cell r="C1531" t="str">
            <v>鏡音リン</v>
          </cell>
          <cell r="D1531" t="str">
            <v>鏡音リン</v>
          </cell>
          <cell r="E1531" t="str">
            <v>執行者</v>
          </cell>
          <cell r="F1531" t="str">
            <v>格好いい</v>
          </cell>
          <cell r="G1531" t="str">
            <v>男性</v>
          </cell>
          <cell r="H1531" t="str">
            <v>yellow</v>
          </cell>
          <cell r="I1531">
            <v>4</v>
          </cell>
          <cell r="J1531" t="str">
            <v>PremiumSS</v>
          </cell>
          <cell r="K1531" t="str">
            <v>balance</v>
          </cell>
          <cell r="L1531" t="str">
            <v>バランスタイプ</v>
          </cell>
          <cell r="M1531" t="str">
            <v>unknown</v>
          </cell>
        </row>
        <row r="1532">
          <cell r="A1532">
            <v>8020</v>
          </cell>
          <cell r="B1532" t="str">
            <v>ja</v>
          </cell>
          <cell r="C1532" t="str">
            <v>鏡音リン</v>
          </cell>
          <cell r="D1532" t="str">
            <v>鏡音リン</v>
          </cell>
          <cell r="E1532" t="str">
            <v>執行者</v>
          </cell>
          <cell r="F1532" t="str">
            <v>格好いい</v>
          </cell>
          <cell r="G1532" t="str">
            <v>男性</v>
          </cell>
          <cell r="H1532" t="str">
            <v>yellow</v>
          </cell>
          <cell r="I1532">
            <v>5</v>
          </cell>
          <cell r="J1532" t="str">
            <v>PremiumSS</v>
          </cell>
          <cell r="K1532" t="str">
            <v>balance</v>
          </cell>
          <cell r="L1532" t="str">
            <v>バランスタイプ</v>
          </cell>
          <cell r="M1532" t="str">
            <v>unknown</v>
          </cell>
        </row>
        <row r="1533">
          <cell r="A1533">
            <v>8021</v>
          </cell>
          <cell r="B1533" t="str">
            <v>ja</v>
          </cell>
          <cell r="C1533" t="str">
            <v>鏡音レン</v>
          </cell>
          <cell r="D1533" t="str">
            <v>鏡音レン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yellow</v>
          </cell>
          <cell r="I1533">
            <v>4</v>
          </cell>
          <cell r="J1533" t="str">
            <v>PremiumSS</v>
          </cell>
          <cell r="K1533" t="str">
            <v>heal</v>
          </cell>
          <cell r="L1533" t="str">
            <v>回復タイプ</v>
          </cell>
          <cell r="M1533" t="str">
            <v>unknown</v>
          </cell>
        </row>
        <row r="1534">
          <cell r="A1534">
            <v>8022</v>
          </cell>
          <cell r="B1534" t="str">
            <v>ja</v>
          </cell>
          <cell r="C1534" t="str">
            <v>鏡音レン</v>
          </cell>
          <cell r="D1534" t="str">
            <v>鏡音レン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heal</v>
          </cell>
          <cell r="L1534" t="str">
            <v>回復タイプ</v>
          </cell>
          <cell r="M1534" t="str">
            <v>unknown</v>
          </cell>
        </row>
        <row r="1535">
          <cell r="A1535">
            <v>8023</v>
          </cell>
          <cell r="B1535" t="str">
            <v>ja</v>
          </cell>
          <cell r="C1535" t="str">
            <v>巡音ルカ</v>
          </cell>
          <cell r="D1535" t="str">
            <v>巡音ルカ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red</v>
          </cell>
          <cell r="I1535">
            <v>3</v>
          </cell>
          <cell r="J1535" t="str">
            <v>PremiumS</v>
          </cell>
          <cell r="K1535" t="str">
            <v>attack</v>
          </cell>
          <cell r="L1535" t="str">
            <v>攻撃タイプ</v>
          </cell>
          <cell r="M1535" t="str">
            <v>unknown</v>
          </cell>
        </row>
        <row r="1536">
          <cell r="A1536">
            <v>8024</v>
          </cell>
          <cell r="B1536" t="str">
            <v>ja</v>
          </cell>
          <cell r="C1536" t="str">
            <v>巡音ルカ</v>
          </cell>
          <cell r="D1536" t="str">
            <v>巡音ルカ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red</v>
          </cell>
          <cell r="I1536">
            <v>4</v>
          </cell>
          <cell r="J1536" t="str">
            <v>PremiumS</v>
          </cell>
          <cell r="K1536" t="str">
            <v>attack</v>
          </cell>
          <cell r="L1536" t="str">
            <v>攻撃タイプ</v>
          </cell>
          <cell r="M1536" t="str">
            <v>unknown</v>
          </cell>
        </row>
        <row r="1537">
          <cell r="A1537">
            <v>8025</v>
          </cell>
          <cell r="B1537" t="str">
            <v>ja</v>
          </cell>
          <cell r="C1537" t="str">
            <v>MEIKO</v>
          </cell>
          <cell r="D1537" t="str">
            <v>MEIKO</v>
          </cell>
          <cell r="E1537" t="str">
            <v>執行者</v>
          </cell>
          <cell r="F1537" t="str">
            <v>格好いい</v>
          </cell>
          <cell r="G1537" t="str">
            <v>男性</v>
          </cell>
          <cell r="H1537" t="str">
            <v>red</v>
          </cell>
          <cell r="I1537">
            <v>3</v>
          </cell>
          <cell r="J1537" t="str">
            <v>PremiumS</v>
          </cell>
          <cell r="K1537" t="str">
            <v>hp</v>
          </cell>
          <cell r="L1537" t="str">
            <v>体力タイプ</v>
          </cell>
          <cell r="M1537" t="str">
            <v>unknown</v>
          </cell>
        </row>
        <row r="1538">
          <cell r="A1538">
            <v>8026</v>
          </cell>
          <cell r="B1538" t="str">
            <v>ja</v>
          </cell>
          <cell r="C1538" t="str">
            <v>MEIKO</v>
          </cell>
          <cell r="D1538" t="str">
            <v>MEIKO</v>
          </cell>
          <cell r="E1538" t="str">
            <v>執行者</v>
          </cell>
          <cell r="F1538" t="str">
            <v>格好いい</v>
          </cell>
          <cell r="G1538" t="str">
            <v>男性</v>
          </cell>
          <cell r="H1538" t="str">
            <v>red</v>
          </cell>
          <cell r="I1538">
            <v>4</v>
          </cell>
          <cell r="J1538" t="str">
            <v>PremiumS</v>
          </cell>
          <cell r="K1538" t="str">
            <v>hp</v>
          </cell>
          <cell r="L1538" t="str">
            <v>体力タイプ</v>
          </cell>
          <cell r="M1538" t="str">
            <v>unknown</v>
          </cell>
        </row>
        <row r="1539">
          <cell r="A1539">
            <v>8027</v>
          </cell>
          <cell r="B1539" t="str">
            <v>ja</v>
          </cell>
          <cell r="C1539" t="str">
            <v>KAITO</v>
          </cell>
          <cell r="D1539" t="str">
            <v>KAITO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blue</v>
          </cell>
          <cell r="I1539">
            <v>3</v>
          </cell>
          <cell r="J1539" t="str">
            <v>PremiumS</v>
          </cell>
          <cell r="K1539" t="str">
            <v>technical</v>
          </cell>
          <cell r="L1539" t="str">
            <v>テクニカルタイプ</v>
          </cell>
          <cell r="M1539" t="str">
            <v>unknown</v>
          </cell>
        </row>
        <row r="1540">
          <cell r="A1540">
            <v>8028</v>
          </cell>
          <cell r="B1540" t="str">
            <v>ja</v>
          </cell>
          <cell r="C1540" t="str">
            <v>KAITO</v>
          </cell>
          <cell r="D1540" t="str">
            <v>KAITO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blue</v>
          </cell>
          <cell r="I1540">
            <v>4</v>
          </cell>
          <cell r="J1540" t="str">
            <v>PremiumS</v>
          </cell>
          <cell r="K1540" t="str">
            <v>technical</v>
          </cell>
          <cell r="L1540" t="str">
            <v>テクニカルタイプ</v>
          </cell>
          <cell r="M1540" t="str">
            <v>unknown</v>
          </cell>
        </row>
        <row r="1541">
          <cell r="A1541">
            <v>8029</v>
          </cell>
          <cell r="B1541" t="str">
            <v>ja</v>
          </cell>
          <cell r="C1541" t="str">
            <v>Expoミク</v>
          </cell>
          <cell r="D1541" t="str">
            <v>Expoミク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blue</v>
          </cell>
          <cell r="I1541">
            <v>4</v>
          </cell>
          <cell r="J1541" t="str">
            <v>Drop2N</v>
          </cell>
          <cell r="K1541" t="str">
            <v>heal</v>
          </cell>
          <cell r="L1541" t="str">
            <v>回復タイプ</v>
          </cell>
          <cell r="M1541" t="str">
            <v>unknown</v>
          </cell>
        </row>
        <row r="1542">
          <cell r="A1542">
            <v>8030</v>
          </cell>
          <cell r="B1542" t="str">
            <v>ja</v>
          </cell>
          <cell r="C1542" t="str">
            <v>Expoミク</v>
          </cell>
          <cell r="D1542" t="str">
            <v>Expoミク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blue</v>
          </cell>
          <cell r="I1542">
            <v>5</v>
          </cell>
          <cell r="J1542" t="str">
            <v>Drop2N</v>
          </cell>
          <cell r="K1542" t="str">
            <v>heal</v>
          </cell>
          <cell r="L1542" t="str">
            <v>回復タイプ</v>
          </cell>
          <cell r="M1542" t="str">
            <v>unknown</v>
          </cell>
        </row>
        <row r="1543">
          <cell r="A1543">
            <v>8031</v>
          </cell>
          <cell r="B1543" t="str">
            <v>ja</v>
          </cell>
          <cell r="C1543" t="str">
            <v>閻羅王</v>
          </cell>
          <cell r="D1543" t="str">
            <v>Expoミク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5</v>
          </cell>
          <cell r="J1543" t="str">
            <v>PremiumSS</v>
          </cell>
          <cell r="K1543" t="str">
            <v>balance</v>
          </cell>
          <cell r="L1543" t="str">
            <v>バランスタイプ</v>
          </cell>
          <cell r="M1543" t="str">
            <v>god</v>
          </cell>
        </row>
        <row r="1544">
          <cell r="A1544">
            <v>8032</v>
          </cell>
          <cell r="B1544" t="str">
            <v>ja</v>
          </cell>
          <cell r="C1544" t="str">
            <v>六道輪廻の絶獄 閻羅王</v>
          </cell>
          <cell r="D1544" t="str">
            <v>Expoミク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6</v>
          </cell>
          <cell r="J1544" t="str">
            <v>PremiumSS</v>
          </cell>
          <cell r="K1544" t="str">
            <v>balance</v>
          </cell>
          <cell r="L1544" t="str">
            <v>バランスタイプ</v>
          </cell>
          <cell r="M1544" t="str">
            <v>god</v>
          </cell>
        </row>
        <row r="1545">
          <cell r="A1545">
            <v>8033</v>
          </cell>
          <cell r="B1545" t="str">
            <v>ja</v>
          </cell>
          <cell r="C1545" t="str">
            <v>牛頭馬面</v>
          </cell>
          <cell r="D1545" t="str">
            <v>Expoミク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green</v>
          </cell>
          <cell r="I1545">
            <v>5</v>
          </cell>
          <cell r="J1545" t="str">
            <v>DropWizS</v>
          </cell>
          <cell r="K1545" t="str">
            <v>attack</v>
          </cell>
          <cell r="L1545" t="str">
            <v>攻撃タイプ</v>
          </cell>
          <cell r="M1545" t="str">
            <v>god</v>
          </cell>
        </row>
        <row r="1546">
          <cell r="A1546">
            <v>8034</v>
          </cell>
          <cell r="B1546" t="str">
            <v>ja</v>
          </cell>
          <cell r="C1546" t="str">
            <v>冥府狩る魂使 牛頭馬面</v>
          </cell>
          <cell r="D1546" t="str">
            <v>Expoミク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green</v>
          </cell>
          <cell r="I1546">
            <v>6</v>
          </cell>
          <cell r="J1546" t="str">
            <v>DropWizS</v>
          </cell>
          <cell r="K1546" t="str">
            <v>attack</v>
          </cell>
          <cell r="L1546" t="str">
            <v>攻撃タイプ</v>
          </cell>
          <cell r="M1546" t="str">
            <v>god</v>
          </cell>
        </row>
        <row r="1547">
          <cell r="A1547">
            <v>8035</v>
          </cell>
          <cell r="B1547" t="str">
            <v>ja</v>
          </cell>
          <cell r="C1547" t="str">
            <v>飛衛</v>
          </cell>
          <cell r="D1547" t="str">
            <v>Expoミク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blue</v>
          </cell>
          <cell r="I1547">
            <v>5</v>
          </cell>
          <cell r="J1547" t="str">
            <v>PremiumSS</v>
          </cell>
          <cell r="K1547" t="str">
            <v>heal</v>
          </cell>
          <cell r="L1547" t="str">
            <v>回復タイプ</v>
          </cell>
          <cell r="M1547" t="str">
            <v>human</v>
          </cell>
        </row>
        <row r="1548">
          <cell r="A1548">
            <v>8036</v>
          </cell>
          <cell r="B1548" t="str">
            <v>ja</v>
          </cell>
          <cell r="C1548" t="str">
            <v>レア６飛衛</v>
          </cell>
          <cell r="D1548" t="str">
            <v>Expoミク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blue</v>
          </cell>
          <cell r="I1548">
            <v>6</v>
          </cell>
          <cell r="J1548" t="str">
            <v>PremiumSS</v>
          </cell>
          <cell r="K1548" t="str">
            <v>heal</v>
          </cell>
          <cell r="L1548" t="str">
            <v>回復タイプ</v>
          </cell>
          <cell r="M1548" t="str">
            <v>human</v>
          </cell>
        </row>
        <row r="1549">
          <cell r="A1549">
            <v>8037</v>
          </cell>
          <cell r="B1549" t="str">
            <v>ja</v>
          </cell>
          <cell r="C1549" t="str">
            <v>紀昌</v>
          </cell>
          <cell r="D1549" t="str">
            <v>Expoミク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5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8038</v>
          </cell>
          <cell r="B1550" t="str">
            <v>ja</v>
          </cell>
          <cell r="C1550" t="str">
            <v>レア６紀昌</v>
          </cell>
          <cell r="D1550" t="str">
            <v>Expoミク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DropWizS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8039</v>
          </cell>
          <cell r="B1551" t="str">
            <v>ja</v>
          </cell>
          <cell r="C1551" t="str">
            <v>何仙姑</v>
          </cell>
          <cell r="D1551" t="str">
            <v>Expoミク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yellow</v>
          </cell>
          <cell r="I1551">
            <v>5</v>
          </cell>
          <cell r="J1551" t="str">
            <v>PremiumSSw</v>
          </cell>
          <cell r="K1551" t="str">
            <v>hp</v>
          </cell>
          <cell r="L1551" t="str">
            <v>体力タイプ</v>
          </cell>
          <cell r="M1551" t="str">
            <v>god</v>
          </cell>
        </row>
        <row r="1552">
          <cell r="A1552">
            <v>8040</v>
          </cell>
          <cell r="B1552" t="str">
            <v>ja</v>
          </cell>
          <cell r="C1552" t="str">
            <v>レア６何仙姑</v>
          </cell>
          <cell r="D1552" t="str">
            <v>Expoミク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yellow</v>
          </cell>
          <cell r="I1552">
            <v>6</v>
          </cell>
          <cell r="J1552" t="str">
            <v>PremiumSSw</v>
          </cell>
          <cell r="K1552" t="str">
            <v>hp</v>
          </cell>
          <cell r="L1552" t="str">
            <v>体力タイプ</v>
          </cell>
          <cell r="M1552" t="str">
            <v>god</v>
          </cell>
        </row>
        <row r="1553">
          <cell r="A1553">
            <v>8041</v>
          </cell>
          <cell r="B1553" t="str">
            <v>ja</v>
          </cell>
          <cell r="C1553" t="str">
            <v>藍采和</v>
          </cell>
          <cell r="D1553" t="str">
            <v>Expoミク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blue</v>
          </cell>
          <cell r="I1553">
            <v>5</v>
          </cell>
          <cell r="J1553" t="str">
            <v>DropWizS</v>
          </cell>
          <cell r="K1553" t="str">
            <v>balance</v>
          </cell>
          <cell r="L1553" t="str">
            <v>バランスタイプ</v>
          </cell>
          <cell r="M1553" t="str">
            <v>god</v>
          </cell>
        </row>
        <row r="1554">
          <cell r="A1554">
            <v>8042</v>
          </cell>
          <cell r="B1554" t="str">
            <v>ja</v>
          </cell>
          <cell r="C1554" t="str">
            <v>レア６藍采和</v>
          </cell>
          <cell r="D1554" t="str">
            <v>Expoミク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blue</v>
          </cell>
          <cell r="I1554">
            <v>6</v>
          </cell>
          <cell r="J1554" t="str">
            <v>DropWizS</v>
          </cell>
          <cell r="K1554" t="str">
            <v>balance</v>
          </cell>
          <cell r="L1554" t="str">
            <v>バランスタイプ</v>
          </cell>
          <cell r="M1554" t="str">
            <v>god</v>
          </cell>
        </row>
        <row r="1555">
          <cell r="A1555">
            <v>8043</v>
          </cell>
          <cell r="B1555" t="str">
            <v>ja</v>
          </cell>
          <cell r="C1555" t="str">
            <v>サンリオキャラ大集合+アザゼル</v>
          </cell>
          <cell r="D1555" t="str">
            <v>サンリオキャラ大集合+アザゼル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green</v>
          </cell>
          <cell r="I1555">
            <v>5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ss</v>
          </cell>
        </row>
        <row r="1556">
          <cell r="A1556">
            <v>8044</v>
          </cell>
          <cell r="B1556" t="str">
            <v>ja</v>
          </cell>
          <cell r="C1556" t="str">
            <v>サンリオキャラ大集合+アザゼル</v>
          </cell>
          <cell r="D1556" t="str">
            <v>サンリオキャラ大集合+アザゼル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green</v>
          </cell>
          <cell r="I1556">
            <v>6</v>
          </cell>
          <cell r="J1556" t="str">
            <v>DropWizS</v>
          </cell>
          <cell r="K1556" t="str">
            <v>technical</v>
          </cell>
          <cell r="L1556" t="str">
            <v>テクニカルタイプ</v>
          </cell>
          <cell r="M1556" t="str">
            <v>ss</v>
          </cell>
        </row>
        <row r="1557">
          <cell r="A1557">
            <v>8045</v>
          </cell>
          <cell r="B1557" t="str">
            <v>ja</v>
          </cell>
          <cell r="C1557" t="str">
            <v>ニムダ_サンリオキャラ混じり</v>
          </cell>
          <cell r="D1557" t="str">
            <v>ニムダ_サンリオキャラ混じり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yellow</v>
          </cell>
          <cell r="I1557">
            <v>4</v>
          </cell>
          <cell r="J1557" t="str">
            <v>Drop2N</v>
          </cell>
          <cell r="K1557" t="str">
            <v>technical</v>
          </cell>
          <cell r="L1557" t="str">
            <v>テクニカルタイプ</v>
          </cell>
          <cell r="M1557" t="str">
            <v>ss</v>
          </cell>
        </row>
        <row r="1558">
          <cell r="A1558">
            <v>8046</v>
          </cell>
          <cell r="B1558" t="str">
            <v>ja</v>
          </cell>
          <cell r="C1558" t="str">
            <v>ニムダ_サンリオキャラ混じり</v>
          </cell>
          <cell r="D1558" t="str">
            <v>ニムダ_サンリオキャラ混じり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yellow</v>
          </cell>
          <cell r="I1558">
            <v>5</v>
          </cell>
          <cell r="J1558" t="str">
            <v>Drop2N</v>
          </cell>
          <cell r="K1558" t="str">
            <v>technical</v>
          </cell>
          <cell r="L1558" t="str">
            <v>テクニカルタイプ</v>
          </cell>
          <cell r="M1558" t="str">
            <v>ss</v>
          </cell>
        </row>
        <row r="1559">
          <cell r="A1559">
            <v>8047</v>
          </cell>
          <cell r="B1559" t="str">
            <v>ja</v>
          </cell>
          <cell r="C1559" t="str">
            <v>ハローキティ</v>
          </cell>
          <cell r="D1559" t="str">
            <v>ハローキティ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red</v>
          </cell>
          <cell r="I1559">
            <v>4</v>
          </cell>
          <cell r="J1559" t="str">
            <v>Drop2N</v>
          </cell>
          <cell r="K1559" t="str">
            <v>balance</v>
          </cell>
          <cell r="L1559" t="str">
            <v>バランスタイプ</v>
          </cell>
          <cell r="M1559" t="str">
            <v>ss</v>
          </cell>
        </row>
        <row r="1560">
          <cell r="A1560">
            <v>8048</v>
          </cell>
          <cell r="B1560" t="str">
            <v>ja</v>
          </cell>
          <cell r="C1560" t="str">
            <v>ハローキティ</v>
          </cell>
          <cell r="D1560" t="str">
            <v>ハローキティ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red</v>
          </cell>
          <cell r="I1560">
            <v>5</v>
          </cell>
          <cell r="J1560" t="str">
            <v>Drop2N</v>
          </cell>
          <cell r="K1560" t="str">
            <v>balance</v>
          </cell>
          <cell r="L1560" t="str">
            <v>バランスタイプ</v>
          </cell>
          <cell r="M1560" t="str">
            <v>ss</v>
          </cell>
        </row>
        <row r="1561">
          <cell r="A1561">
            <v>8049</v>
          </cell>
          <cell r="B1561" t="str">
            <v>ja</v>
          </cell>
          <cell r="C1561" t="str">
            <v>KIRIMIちゃん</v>
          </cell>
          <cell r="D1561" t="str">
            <v>KIRIMIちゃん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red</v>
          </cell>
          <cell r="I1561">
            <v>4</v>
          </cell>
          <cell r="J1561" t="str">
            <v>Drop2N</v>
          </cell>
          <cell r="K1561" t="str">
            <v>hp</v>
          </cell>
          <cell r="L1561" t="str">
            <v>体力タイプ</v>
          </cell>
          <cell r="M1561" t="str">
            <v>ss</v>
          </cell>
        </row>
        <row r="1562">
          <cell r="A1562">
            <v>8050</v>
          </cell>
          <cell r="B1562" t="str">
            <v>ja</v>
          </cell>
          <cell r="C1562" t="str">
            <v>KIRIMIちゃん</v>
          </cell>
          <cell r="D1562" t="str">
            <v>KIRIMIちゃん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red</v>
          </cell>
          <cell r="I1562">
            <v>5</v>
          </cell>
          <cell r="J1562" t="str">
            <v>Drop2N</v>
          </cell>
          <cell r="K1562" t="str">
            <v>hp</v>
          </cell>
          <cell r="L1562" t="str">
            <v>体力タイプ</v>
          </cell>
          <cell r="M1562" t="str">
            <v>ss</v>
          </cell>
        </row>
        <row r="1563">
          <cell r="A1563">
            <v>8051</v>
          </cell>
          <cell r="B1563" t="str">
            <v>ja</v>
          </cell>
          <cell r="C1563" t="str">
            <v>ハローキティのリボン</v>
          </cell>
          <cell r="D1563" t="str">
            <v>ハローキティのリボン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red</v>
          </cell>
          <cell r="I1563">
            <v>5</v>
          </cell>
          <cell r="J1563" t="str">
            <v>Drop2N</v>
          </cell>
          <cell r="K1563" t="str">
            <v>evolution</v>
          </cell>
          <cell r="L1563" t="str">
            <v>覚醒素材タイプ</v>
          </cell>
          <cell r="M1563" t="str">
            <v>ss</v>
          </cell>
        </row>
        <row r="1564">
          <cell r="A1564">
            <v>8052</v>
          </cell>
          <cell r="B1564" t="str">
            <v>ja</v>
          </cell>
          <cell r="C1564" t="str">
            <v>ママの作ったアップルパイ</v>
          </cell>
          <cell r="D1564" t="str">
            <v>ママの作ったアップルパイ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red</v>
          </cell>
          <cell r="I1564">
            <v>4</v>
          </cell>
          <cell r="J1564" t="str">
            <v>Drop2N</v>
          </cell>
          <cell r="K1564" t="str">
            <v>evolution</v>
          </cell>
          <cell r="L1564" t="str">
            <v>覚醒素材タイプ</v>
          </cell>
          <cell r="M1564" t="str">
            <v>ss</v>
          </cell>
        </row>
        <row r="1565">
          <cell r="A1565">
            <v>8053</v>
          </cell>
          <cell r="B1565" t="str">
            <v>ja</v>
          </cell>
          <cell r="C1565" t="str">
            <v>D.R.T.H__キティコスプレ</v>
          </cell>
          <cell r="D1565" t="str">
            <v>D.R.T.H__キティコスプレ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red</v>
          </cell>
          <cell r="I1565">
            <v>5</v>
          </cell>
          <cell r="J1565" t="str">
            <v>PremiumSS</v>
          </cell>
          <cell r="K1565" t="str">
            <v>balance</v>
          </cell>
          <cell r="L1565" t="str">
            <v>バランスタイプ</v>
          </cell>
          <cell r="M1565" t="str">
            <v>ss</v>
          </cell>
        </row>
        <row r="1566">
          <cell r="A1566">
            <v>8054</v>
          </cell>
          <cell r="B1566" t="str">
            <v>ja</v>
          </cell>
          <cell r="C1566" t="str">
            <v>D.R.T.H__キティコスプレ</v>
          </cell>
          <cell r="D1566" t="str">
            <v>D.R.T.H__キティコスプレ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ss</v>
          </cell>
        </row>
        <row r="1567">
          <cell r="A1567">
            <v>8055</v>
          </cell>
          <cell r="B1567" t="str">
            <v>ja</v>
          </cell>
          <cell r="C1567" t="str">
            <v>マイメロディ</v>
          </cell>
          <cell r="D1567" t="str">
            <v>マイメロディ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red</v>
          </cell>
          <cell r="I1567">
            <v>4</v>
          </cell>
          <cell r="J1567" t="str">
            <v>PremiumS</v>
          </cell>
          <cell r="K1567" t="str">
            <v>attack</v>
          </cell>
          <cell r="L1567" t="str">
            <v>攻撃タイプ</v>
          </cell>
          <cell r="M1567" t="str">
            <v>ss</v>
          </cell>
        </row>
        <row r="1568">
          <cell r="A1568">
            <v>8056</v>
          </cell>
          <cell r="B1568" t="str">
            <v>ja</v>
          </cell>
          <cell r="C1568" t="str">
            <v>マイメロディ</v>
          </cell>
          <cell r="D1568" t="str">
            <v>マイメロディ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red</v>
          </cell>
          <cell r="I1568">
            <v>5</v>
          </cell>
          <cell r="J1568" t="str">
            <v>PremiumS</v>
          </cell>
          <cell r="K1568" t="str">
            <v>attack</v>
          </cell>
          <cell r="L1568" t="str">
            <v>攻撃タイプ</v>
          </cell>
          <cell r="M1568" t="str">
            <v>ss</v>
          </cell>
        </row>
        <row r="1569">
          <cell r="A1569">
            <v>8057</v>
          </cell>
          <cell r="B1569" t="str">
            <v>ja</v>
          </cell>
          <cell r="C1569" t="str">
            <v>ニーベルゲン_シナモロールコスプレ</v>
          </cell>
          <cell r="D1569" t="str">
            <v>ニーベルゲン_シナモロールコスプレ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green</v>
          </cell>
          <cell r="I1569">
            <v>4</v>
          </cell>
          <cell r="J1569" t="str">
            <v>PremiumS</v>
          </cell>
          <cell r="K1569" t="str">
            <v>balance</v>
          </cell>
          <cell r="L1569" t="str">
            <v>バランスタイプ</v>
          </cell>
          <cell r="M1569" t="str">
            <v>ss</v>
          </cell>
        </row>
        <row r="1570">
          <cell r="A1570">
            <v>8058</v>
          </cell>
          <cell r="B1570" t="str">
            <v>ja</v>
          </cell>
          <cell r="C1570" t="str">
            <v>ニーベルゲン_シナモロールコスプレ</v>
          </cell>
          <cell r="D1570" t="str">
            <v>ニーベルゲン_シナモロールコスプレ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green</v>
          </cell>
          <cell r="I1570">
            <v>5</v>
          </cell>
          <cell r="J1570" t="str">
            <v>PremiumS</v>
          </cell>
          <cell r="K1570" t="str">
            <v>balance</v>
          </cell>
          <cell r="L1570" t="str">
            <v>バランスタイプ</v>
          </cell>
          <cell r="M1570" t="str">
            <v>ss</v>
          </cell>
        </row>
        <row r="1571">
          <cell r="A1571">
            <v>8059</v>
          </cell>
          <cell r="B1571" t="str">
            <v>ja</v>
          </cell>
          <cell r="C1571" t="str">
            <v>カカシ_マイメロディコスプレ</v>
          </cell>
          <cell r="D1571" t="str">
            <v>カカシ_マイメロディコスプレ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green</v>
          </cell>
          <cell r="I1571">
            <v>4</v>
          </cell>
          <cell r="J1571" t="str">
            <v>PremiumS</v>
          </cell>
          <cell r="K1571" t="str">
            <v>technical</v>
          </cell>
          <cell r="L1571" t="str">
            <v>テクニカルタイプ</v>
          </cell>
          <cell r="M1571" t="str">
            <v>ss</v>
          </cell>
        </row>
        <row r="1572">
          <cell r="A1572">
            <v>8060</v>
          </cell>
          <cell r="B1572" t="str">
            <v>ja</v>
          </cell>
          <cell r="C1572" t="str">
            <v>カカシ_マイメロディコスプレ</v>
          </cell>
          <cell r="D1572" t="str">
            <v>カカシ_マイメロディコスプレ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green</v>
          </cell>
          <cell r="I1572">
            <v>5</v>
          </cell>
          <cell r="J1572" t="str">
            <v>PremiumS</v>
          </cell>
          <cell r="K1572" t="str">
            <v>technical</v>
          </cell>
          <cell r="L1572" t="str">
            <v>テクニカルタイプ</v>
          </cell>
          <cell r="M1572" t="str">
            <v>ss</v>
          </cell>
        </row>
        <row r="1573">
          <cell r="A1573">
            <v>8061</v>
          </cell>
          <cell r="B1573" t="str">
            <v>ja</v>
          </cell>
          <cell r="C1573" t="str">
            <v>ケロケロけろっぴ</v>
          </cell>
          <cell r="D1573" t="str">
            <v>ケロケロけろっぴ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green</v>
          </cell>
          <cell r="I1573">
            <v>3</v>
          </cell>
          <cell r="J1573" t="str">
            <v>PremiumS</v>
          </cell>
          <cell r="K1573" t="str">
            <v>balance</v>
          </cell>
          <cell r="L1573" t="str">
            <v>バランスタイプ</v>
          </cell>
          <cell r="M1573" t="str">
            <v>ss</v>
          </cell>
        </row>
        <row r="1574">
          <cell r="A1574">
            <v>8062</v>
          </cell>
          <cell r="B1574" t="str">
            <v>ja</v>
          </cell>
          <cell r="C1574" t="str">
            <v>ケロケロけろっぴ</v>
          </cell>
          <cell r="D1574" t="str">
            <v>ケロケロけろっぴ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green</v>
          </cell>
          <cell r="I1574">
            <v>4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ss</v>
          </cell>
        </row>
        <row r="1575">
          <cell r="A1575">
            <v>8063</v>
          </cell>
          <cell r="B1575" t="str">
            <v>ja</v>
          </cell>
          <cell r="C1575" t="str">
            <v>モルドレッド_ポムポムプリンコスプレ</v>
          </cell>
          <cell r="D1575" t="str">
            <v>モルドレッド_ポムポムプリンコスプレ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blue</v>
          </cell>
          <cell r="I1575">
            <v>5</v>
          </cell>
          <cell r="J1575" t="str">
            <v>PremiumSS</v>
          </cell>
          <cell r="K1575" t="str">
            <v>heal</v>
          </cell>
          <cell r="L1575" t="str">
            <v>回復タイプ</v>
          </cell>
          <cell r="M1575" t="str">
            <v>ss</v>
          </cell>
        </row>
        <row r="1576">
          <cell r="A1576">
            <v>8064</v>
          </cell>
          <cell r="B1576" t="str">
            <v>ja</v>
          </cell>
          <cell r="C1576" t="str">
            <v>モルドレッド_ポムポムプリンコスプレ</v>
          </cell>
          <cell r="D1576" t="str">
            <v>モルドレッド_ポムポムプリンコスプレ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blue</v>
          </cell>
          <cell r="I1576">
            <v>6</v>
          </cell>
          <cell r="J1576" t="str">
            <v>PremiumSS</v>
          </cell>
          <cell r="K1576" t="str">
            <v>heal</v>
          </cell>
          <cell r="L1576" t="str">
            <v>回復タイプ</v>
          </cell>
          <cell r="M1576" t="str">
            <v>ss</v>
          </cell>
        </row>
        <row r="1577">
          <cell r="A1577">
            <v>8065</v>
          </cell>
          <cell r="B1577" t="str">
            <v>ja</v>
          </cell>
          <cell r="C1577" t="str">
            <v>クロミ</v>
          </cell>
          <cell r="D1577" t="str">
            <v>クロミ</v>
          </cell>
          <cell r="E1577" t="str">
            <v>執行者</v>
          </cell>
          <cell r="F1577" t="str">
            <v>格好いい</v>
          </cell>
          <cell r="G1577" t="str">
            <v>女性</v>
          </cell>
          <cell r="H1577" t="str">
            <v>blue</v>
          </cell>
          <cell r="I1577">
            <v>3</v>
          </cell>
          <cell r="J1577" t="str">
            <v>PremiumS</v>
          </cell>
          <cell r="K1577" t="str">
            <v>technical</v>
          </cell>
          <cell r="L1577" t="str">
            <v>テクニカルタイプ</v>
          </cell>
          <cell r="M1577" t="str">
            <v>ss</v>
          </cell>
        </row>
        <row r="1578">
          <cell r="A1578">
            <v>8066</v>
          </cell>
          <cell r="B1578" t="str">
            <v>ja</v>
          </cell>
          <cell r="C1578" t="str">
            <v>クロミ</v>
          </cell>
          <cell r="D1578" t="str">
            <v>クロミ</v>
          </cell>
          <cell r="E1578" t="str">
            <v>執行者</v>
          </cell>
          <cell r="F1578" t="str">
            <v>格好いい</v>
          </cell>
          <cell r="G1578" t="str">
            <v>女性</v>
          </cell>
          <cell r="H1578" t="str">
            <v>blue</v>
          </cell>
          <cell r="I1578">
            <v>4</v>
          </cell>
          <cell r="J1578" t="str">
            <v>PremiumS</v>
          </cell>
          <cell r="K1578" t="str">
            <v>technical</v>
          </cell>
          <cell r="L1578" t="str">
            <v>テクニカルタイプ</v>
          </cell>
          <cell r="M1578" t="str">
            <v>ss</v>
          </cell>
        </row>
        <row r="1579">
          <cell r="A1579">
            <v>8067</v>
          </cell>
          <cell r="B1579" t="str">
            <v>ja</v>
          </cell>
          <cell r="C1579" t="str">
            <v>バッドばつ丸</v>
          </cell>
          <cell r="D1579" t="str">
            <v>バッドばつ丸</v>
          </cell>
          <cell r="E1579" t="str">
            <v>執行者</v>
          </cell>
          <cell r="F1579" t="str">
            <v>格好いい</v>
          </cell>
          <cell r="G1579" t="str">
            <v>女性</v>
          </cell>
          <cell r="H1579" t="str">
            <v>blue</v>
          </cell>
          <cell r="I1579">
            <v>3</v>
          </cell>
          <cell r="J1579" t="str">
            <v>PremiumS</v>
          </cell>
          <cell r="K1579" t="str">
            <v>attack</v>
          </cell>
          <cell r="L1579" t="str">
            <v>攻撃タイプ</v>
          </cell>
          <cell r="M1579" t="str">
            <v>ss</v>
          </cell>
        </row>
        <row r="1580">
          <cell r="A1580">
            <v>8068</v>
          </cell>
          <cell r="B1580" t="str">
            <v>ja</v>
          </cell>
          <cell r="C1580" t="str">
            <v>バッドばつ丸</v>
          </cell>
          <cell r="D1580" t="str">
            <v>バッドばつ丸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blue</v>
          </cell>
          <cell r="I1580">
            <v>4</v>
          </cell>
          <cell r="J1580" t="str">
            <v>PremiumS</v>
          </cell>
          <cell r="K1580" t="str">
            <v>attack</v>
          </cell>
          <cell r="L1580" t="str">
            <v>攻撃タイプ</v>
          </cell>
          <cell r="M1580" t="str">
            <v>ss</v>
          </cell>
        </row>
        <row r="1581">
          <cell r="A1581">
            <v>8069</v>
          </cell>
          <cell r="B1581" t="str">
            <v>ja</v>
          </cell>
          <cell r="C1581" t="str">
            <v>シナモロール</v>
          </cell>
          <cell r="D1581" t="str">
            <v>シナモロール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yellow</v>
          </cell>
          <cell r="I1581">
            <v>4</v>
          </cell>
          <cell r="J1581" t="str">
            <v>PremiumS</v>
          </cell>
          <cell r="K1581" t="str">
            <v>heal</v>
          </cell>
          <cell r="L1581" t="str">
            <v>回復タイプ</v>
          </cell>
          <cell r="M1581" t="str">
            <v>ss</v>
          </cell>
        </row>
        <row r="1582">
          <cell r="A1582">
            <v>8070</v>
          </cell>
          <cell r="B1582" t="str">
            <v>ja</v>
          </cell>
          <cell r="C1582" t="str">
            <v>シナモロール</v>
          </cell>
          <cell r="D1582" t="str">
            <v>シナモロール</v>
          </cell>
          <cell r="E1582" t="str">
            <v>執行者</v>
          </cell>
          <cell r="F1582" t="str">
            <v>格好いい</v>
          </cell>
          <cell r="G1582" t="str">
            <v>女性</v>
          </cell>
          <cell r="H1582" t="str">
            <v>yellow</v>
          </cell>
          <cell r="I1582">
            <v>5</v>
          </cell>
          <cell r="J1582" t="str">
            <v>PremiumS</v>
          </cell>
          <cell r="K1582" t="str">
            <v>heal</v>
          </cell>
          <cell r="L1582" t="str">
            <v>回復タイプ</v>
          </cell>
          <cell r="M1582" t="str">
            <v>ss</v>
          </cell>
        </row>
        <row r="1583">
          <cell r="A1583">
            <v>8071</v>
          </cell>
          <cell r="B1583" t="str">
            <v>ja</v>
          </cell>
          <cell r="C1583" t="str">
            <v>ポムポムプリン</v>
          </cell>
          <cell r="D1583" t="str">
            <v>ポムポムプリン</v>
          </cell>
          <cell r="E1583" t="str">
            <v>執行者</v>
          </cell>
          <cell r="F1583" t="str">
            <v>格好いい</v>
          </cell>
          <cell r="G1583" t="str">
            <v>女性</v>
          </cell>
          <cell r="H1583" t="str">
            <v>yellow</v>
          </cell>
          <cell r="I1583">
            <v>3</v>
          </cell>
          <cell r="J1583" t="str">
            <v>PremiumS</v>
          </cell>
          <cell r="K1583" t="str">
            <v>hp</v>
          </cell>
          <cell r="L1583" t="str">
            <v>体力タイプ</v>
          </cell>
          <cell r="M1583" t="str">
            <v>ss</v>
          </cell>
        </row>
        <row r="1584">
          <cell r="A1584">
            <v>8072</v>
          </cell>
          <cell r="B1584" t="str">
            <v>ja</v>
          </cell>
          <cell r="C1584" t="str">
            <v>ポムポムプリン</v>
          </cell>
          <cell r="D1584" t="str">
            <v>ポムポムプリン</v>
          </cell>
          <cell r="E1584" t="str">
            <v>執行者</v>
          </cell>
          <cell r="F1584" t="str">
            <v>格好いい</v>
          </cell>
          <cell r="G1584" t="str">
            <v>女性</v>
          </cell>
          <cell r="H1584" t="str">
            <v>yellow</v>
          </cell>
          <cell r="I1584">
            <v>4</v>
          </cell>
          <cell r="J1584" t="str">
            <v>PremiumS</v>
          </cell>
          <cell r="K1584" t="str">
            <v>hp</v>
          </cell>
          <cell r="L1584" t="str">
            <v>体力タイプ</v>
          </cell>
          <cell r="M1584" t="str">
            <v>ss</v>
          </cell>
        </row>
        <row r="1585">
          <cell r="A1585">
            <v>8073</v>
          </cell>
          <cell r="B1585" t="str">
            <v>ja</v>
          </cell>
          <cell r="C1585" t="str">
            <v>星海祈る天光妃 媽祖</v>
          </cell>
          <cell r="D1585" t="str">
            <v>Expoミク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yellow</v>
          </cell>
          <cell r="I1585">
            <v>6</v>
          </cell>
          <cell r="J1585" t="str">
            <v>PremiumSS</v>
          </cell>
          <cell r="K1585" t="str">
            <v>attack</v>
          </cell>
          <cell r="L1585" t="str">
            <v>攻撃タイプ</v>
          </cell>
          <cell r="M1585" t="str">
            <v>human</v>
          </cell>
        </row>
        <row r="1586">
          <cell r="A1586">
            <v>8074</v>
          </cell>
          <cell r="B1586" t="str">
            <v>ja</v>
          </cell>
          <cell r="C1586" t="str">
            <v>海戀の絶龍姫 蛟龍</v>
          </cell>
          <cell r="D1586" t="str">
            <v>Expoミク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blue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dragon</v>
          </cell>
        </row>
        <row r="1587">
          <cell r="A1587">
            <v>8075</v>
          </cell>
          <cell r="B1587" t="str">
            <v>ja</v>
          </cell>
          <cell r="C1587" t="str">
            <v>三蔵法師_超覚醒</v>
          </cell>
          <cell r="D1587" t="str">
            <v>Expoミク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blue</v>
          </cell>
          <cell r="I1587">
            <v>6</v>
          </cell>
          <cell r="J1587" t="str">
            <v>PremiumSS</v>
          </cell>
          <cell r="K1587" t="str">
            <v>balance</v>
          </cell>
          <cell r="L1587" t="str">
            <v>バランスタイプ</v>
          </cell>
          <cell r="M1587" t="str">
            <v>god</v>
          </cell>
        </row>
        <row r="1588">
          <cell r="A1588">
            <v>8076</v>
          </cell>
          <cell r="B1588" t="str">
            <v>ja</v>
          </cell>
          <cell r="C1588" t="str">
            <v>孫悟空_超覚醒</v>
          </cell>
          <cell r="D1588" t="str">
            <v>Expoミク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red</v>
          </cell>
          <cell r="I1588">
            <v>6</v>
          </cell>
          <cell r="J1588" t="str">
            <v>DropWizS</v>
          </cell>
          <cell r="K1588" t="str">
            <v>attack</v>
          </cell>
          <cell r="L1588" t="str">
            <v>攻撃タイプ</v>
          </cell>
          <cell r="M1588" t="str">
            <v>unknown</v>
          </cell>
        </row>
        <row r="1589">
          <cell r="A1589">
            <v>8077</v>
          </cell>
          <cell r="B1589" t="str">
            <v>ja</v>
          </cell>
          <cell r="C1589" t="str">
            <v>鄭成功</v>
          </cell>
          <cell r="D1589" t="str">
            <v>ポムポムプリン</v>
          </cell>
          <cell r="E1589" t="str">
            <v>執行者</v>
          </cell>
          <cell r="F1589" t="str">
            <v>格好いい</v>
          </cell>
          <cell r="G1589" t="str">
            <v>女性</v>
          </cell>
          <cell r="H1589" t="str">
            <v>blue</v>
          </cell>
          <cell r="I1589">
            <v>5</v>
          </cell>
          <cell r="J1589" t="str">
            <v>PremiumSS</v>
          </cell>
          <cell r="K1589" t="str">
            <v>attack</v>
          </cell>
          <cell r="L1589" t="str">
            <v>攻撃タイプ</v>
          </cell>
          <cell r="M1589" t="str">
            <v>human</v>
          </cell>
        </row>
        <row r="1590">
          <cell r="A1590">
            <v>8078</v>
          </cell>
          <cell r="B1590" t="str">
            <v>ja</v>
          </cell>
          <cell r="C1590" t="str">
            <v>レア６鄭成功</v>
          </cell>
          <cell r="D1590" t="str">
            <v>ポムポムプリン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blue</v>
          </cell>
          <cell r="I1590">
            <v>6</v>
          </cell>
          <cell r="J1590" t="str">
            <v>PremiumSS</v>
          </cell>
          <cell r="K1590" t="str">
            <v>attack</v>
          </cell>
          <cell r="L1590" t="str">
            <v>攻撃タイプ</v>
          </cell>
          <cell r="M1590" t="str">
            <v>human</v>
          </cell>
        </row>
        <row r="1591">
          <cell r="A1591">
            <v>8079</v>
          </cell>
          <cell r="B1591" t="str">
            <v>ja</v>
          </cell>
          <cell r="C1591" t="str">
            <v>赤鬼</v>
          </cell>
          <cell r="D1591" t="str">
            <v>ポムポムプリン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red</v>
          </cell>
          <cell r="I1591">
            <v>5</v>
          </cell>
          <cell r="J1591" t="str">
            <v>DropWizS</v>
          </cell>
          <cell r="K1591" t="str">
            <v>hp</v>
          </cell>
          <cell r="L1591" t="str">
            <v>体力タイプ</v>
          </cell>
          <cell r="M1591" t="str">
            <v>dragon</v>
          </cell>
        </row>
        <row r="1592">
          <cell r="A1592">
            <v>8080</v>
          </cell>
          <cell r="B1592" t="str">
            <v>ja</v>
          </cell>
          <cell r="C1592" t="str">
            <v>レア６赤鬼</v>
          </cell>
          <cell r="D1592" t="str">
            <v>ポムポムプリン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red</v>
          </cell>
          <cell r="I1592">
            <v>6</v>
          </cell>
          <cell r="J1592" t="str">
            <v>DropWizS</v>
          </cell>
          <cell r="K1592" t="str">
            <v>hp</v>
          </cell>
          <cell r="L1592" t="str">
            <v>体力タイプ</v>
          </cell>
          <cell r="M1592" t="str">
            <v>dragon</v>
          </cell>
        </row>
        <row r="1593">
          <cell r="A1593">
            <v>8081</v>
          </cell>
          <cell r="B1593" t="str">
            <v>ja</v>
          </cell>
          <cell r="C1593" t="str">
            <v>関羽</v>
          </cell>
          <cell r="H1593" t="str">
            <v>green</v>
          </cell>
          <cell r="I1593">
            <v>5</v>
          </cell>
          <cell r="J1593" t="str">
            <v>PremiumSSS</v>
          </cell>
          <cell r="K1593" t="str">
            <v>balance</v>
          </cell>
          <cell r="L1593" t="str">
            <v>バランスタイプ</v>
          </cell>
          <cell r="M1593" t="str">
            <v>samurai</v>
          </cell>
        </row>
        <row r="1594">
          <cell r="A1594">
            <v>8082</v>
          </cell>
          <cell r="B1594" t="str">
            <v>ja</v>
          </cell>
          <cell r="C1594" t="str">
            <v>★６関羽</v>
          </cell>
          <cell r="H1594" t="str">
            <v>green</v>
          </cell>
          <cell r="I1594">
            <v>6</v>
          </cell>
          <cell r="J1594" t="str">
            <v>PremiumSSS</v>
          </cell>
          <cell r="K1594" t="str">
            <v>balance</v>
          </cell>
          <cell r="L1594" t="str">
            <v>バランスタイプ</v>
          </cell>
          <cell r="M1594" t="str">
            <v>samurai</v>
          </cell>
        </row>
        <row r="1595">
          <cell r="A1595">
            <v>8083</v>
          </cell>
          <cell r="B1595" t="str">
            <v>ja</v>
          </cell>
          <cell r="C1595" t="str">
            <v>曹操</v>
          </cell>
          <cell r="H1595" t="str">
            <v>yellow</v>
          </cell>
          <cell r="I1595">
            <v>5</v>
          </cell>
          <cell r="J1595" t="str">
            <v>DropWizSS</v>
          </cell>
          <cell r="K1595" t="str">
            <v>technical</v>
          </cell>
          <cell r="L1595" t="str">
            <v>テクニカルタイプ</v>
          </cell>
          <cell r="M1595" t="str">
            <v>samurai</v>
          </cell>
        </row>
        <row r="1596">
          <cell r="A1596">
            <v>8084</v>
          </cell>
          <cell r="B1596" t="str">
            <v>ja</v>
          </cell>
          <cell r="C1596" t="str">
            <v>★６曹操</v>
          </cell>
          <cell r="H1596" t="str">
            <v>yellow</v>
          </cell>
          <cell r="I1596">
            <v>6</v>
          </cell>
          <cell r="J1596" t="str">
            <v>DropWizSS</v>
          </cell>
          <cell r="K1596" t="str">
            <v>technical</v>
          </cell>
          <cell r="L1596" t="str">
            <v>テクニカルタイプ</v>
          </cell>
          <cell r="M1596" t="str">
            <v>samurai</v>
          </cell>
        </row>
        <row r="1597">
          <cell r="A1597">
            <v>8087</v>
          </cell>
          <cell r="B1597" t="str">
            <v>ja</v>
          </cell>
          <cell r="C1597" t="str">
            <v>財神</v>
          </cell>
          <cell r="H1597" t="str">
            <v>red</v>
          </cell>
          <cell r="I1597">
            <v>5</v>
          </cell>
          <cell r="J1597" t="str">
            <v>PremiumSSS</v>
          </cell>
          <cell r="K1597" t="str">
            <v>technical</v>
          </cell>
          <cell r="L1597" t="str">
            <v>テクニカルタイプ</v>
          </cell>
          <cell r="M1597" t="str">
            <v>god</v>
          </cell>
        </row>
        <row r="1598">
          <cell r="A1598">
            <v>8088</v>
          </cell>
          <cell r="B1598" t="str">
            <v>ja</v>
          </cell>
          <cell r="C1598" t="str">
            <v>★６財神</v>
          </cell>
          <cell r="H1598" t="str">
            <v>red</v>
          </cell>
          <cell r="I1598">
            <v>6</v>
          </cell>
          <cell r="J1598" t="str">
            <v>PremiumSSS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</row>
        <row r="1599">
          <cell r="A1599">
            <v>8089</v>
          </cell>
          <cell r="B1599" t="str">
            <v>ja</v>
          </cell>
          <cell r="C1599" t="str">
            <v>年獣</v>
          </cell>
          <cell r="H1599" t="str">
            <v>green</v>
          </cell>
          <cell r="I1599">
            <v>5</v>
          </cell>
          <cell r="J1599" t="str">
            <v>DropWizS</v>
          </cell>
          <cell r="K1599" t="str">
            <v>attack</v>
          </cell>
          <cell r="L1599" t="str">
            <v>攻撃タイプ</v>
          </cell>
          <cell r="M1599" t="str">
            <v>animal</v>
          </cell>
        </row>
        <row r="1600">
          <cell r="A1600">
            <v>8090</v>
          </cell>
          <cell r="B1600" t="str">
            <v>ja</v>
          </cell>
          <cell r="C1600" t="str">
            <v>★６年獣</v>
          </cell>
          <cell r="H1600" t="str">
            <v>green</v>
          </cell>
          <cell r="I1600">
            <v>6</v>
          </cell>
          <cell r="J1600" t="str">
            <v>DropWizS</v>
          </cell>
          <cell r="K1600" t="str">
            <v>attack</v>
          </cell>
          <cell r="L1600" t="str">
            <v>攻撃タイプ</v>
          </cell>
          <cell r="M1600" t="str">
            <v>animal</v>
          </cell>
        </row>
        <row r="1601">
          <cell r="A1601">
            <v>8095</v>
          </cell>
          <cell r="B1601" t="str">
            <v>ja</v>
          </cell>
          <cell r="C1601" t="str">
            <v>バハムートダック赤</v>
          </cell>
          <cell r="D1601" t="str">
            <v>ポムポムプリン</v>
          </cell>
          <cell r="E1601" t="str">
            <v>執行者</v>
          </cell>
          <cell r="F1601" t="str">
            <v>格好いい</v>
          </cell>
          <cell r="G1601" t="str">
            <v>女性</v>
          </cell>
          <cell r="H1601" t="str">
            <v>red</v>
          </cell>
          <cell r="I1601">
            <v>6</v>
          </cell>
          <cell r="J1601" t="str">
            <v>Material</v>
          </cell>
          <cell r="K1601" t="str">
            <v>exp</v>
          </cell>
          <cell r="L1601" t="str">
            <v>強化素材タイプ</v>
          </cell>
          <cell r="M1601" t="str">
            <v>unknown</v>
          </cell>
        </row>
        <row r="1602">
          <cell r="A1602">
            <v>8096</v>
          </cell>
          <cell r="B1602" t="str">
            <v>ja</v>
          </cell>
          <cell r="C1602" t="str">
            <v>バハムートダック緑</v>
          </cell>
          <cell r="D1602" t="str">
            <v>ポムポムプリン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green</v>
          </cell>
          <cell r="I1602">
            <v>6</v>
          </cell>
          <cell r="J1602" t="str">
            <v>Material</v>
          </cell>
          <cell r="K1602" t="str">
            <v>exp</v>
          </cell>
          <cell r="L1602" t="str">
            <v>強化素材タイプ</v>
          </cell>
          <cell r="M1602" t="str">
            <v>unknown</v>
          </cell>
        </row>
        <row r="1603">
          <cell r="A1603">
            <v>8097</v>
          </cell>
          <cell r="B1603" t="str">
            <v>ja</v>
          </cell>
          <cell r="C1603" t="str">
            <v>バハムートダック青</v>
          </cell>
          <cell r="D1603" t="str">
            <v>ポムポムプリン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blue</v>
          </cell>
          <cell r="I1603">
            <v>6</v>
          </cell>
          <cell r="J1603" t="str">
            <v>Material</v>
          </cell>
          <cell r="K1603" t="str">
            <v>exp</v>
          </cell>
          <cell r="L1603" t="str">
            <v>強化素材タイプ</v>
          </cell>
          <cell r="M1603" t="str">
            <v>unknown</v>
          </cell>
        </row>
        <row r="1604">
          <cell r="A1604">
            <v>8098</v>
          </cell>
          <cell r="B1604" t="str">
            <v>ja</v>
          </cell>
          <cell r="C1604" t="str">
            <v>バハムートダック黄</v>
          </cell>
          <cell r="D1604" t="str">
            <v>ポムポムプリン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yellow</v>
          </cell>
          <cell r="I1604">
            <v>6</v>
          </cell>
          <cell r="J1604" t="str">
            <v>Material</v>
          </cell>
          <cell r="K1604" t="str">
            <v>exp</v>
          </cell>
          <cell r="L1604" t="str">
            <v>強化素材タイプ</v>
          </cell>
          <cell r="M1604" t="str">
            <v>unknown</v>
          </cell>
        </row>
        <row r="1605">
          <cell r="A1605">
            <v>8099</v>
          </cell>
          <cell r="B1605" t="str">
            <v>ja</v>
          </cell>
          <cell r="C1605" t="str">
            <v>韓湘子</v>
          </cell>
          <cell r="D1605" t="str">
            <v>ポムポムプリン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green</v>
          </cell>
          <cell r="I1605">
            <v>5</v>
          </cell>
          <cell r="J1605" t="str">
            <v>PremiumSSw</v>
          </cell>
          <cell r="K1605" t="str">
            <v>balance</v>
          </cell>
          <cell r="L1605" t="str">
            <v>バランスタイプ</v>
          </cell>
          <cell r="M1605" t="str">
            <v>god</v>
          </cell>
        </row>
        <row r="1606">
          <cell r="A1606">
            <v>8100</v>
          </cell>
          <cell r="B1606" t="str">
            <v>ja</v>
          </cell>
          <cell r="C1606" t="str">
            <v>韓湘子★６</v>
          </cell>
          <cell r="D1606" t="str">
            <v>ポムポムプリン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6</v>
          </cell>
          <cell r="J1606" t="str">
            <v>PremiumSSw</v>
          </cell>
          <cell r="K1606" t="str">
            <v>balance</v>
          </cell>
          <cell r="L1606" t="str">
            <v>バランスタイプ</v>
          </cell>
          <cell r="M1606" t="str">
            <v>god</v>
          </cell>
        </row>
        <row r="1607">
          <cell r="A1607">
            <v>8101</v>
          </cell>
          <cell r="B1607" t="str">
            <v>ja</v>
          </cell>
          <cell r="C1607" t="str">
            <v>張果老</v>
          </cell>
          <cell r="D1607" t="str">
            <v>ポムポムプリン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yellow</v>
          </cell>
          <cell r="I1607">
            <v>5</v>
          </cell>
          <cell r="J1607" t="str">
            <v>DropWizS</v>
          </cell>
          <cell r="K1607" t="str">
            <v>attack</v>
          </cell>
          <cell r="L1607" t="str">
            <v>攻撃タイプ</v>
          </cell>
          <cell r="M1607" t="str">
            <v>god</v>
          </cell>
        </row>
        <row r="1608">
          <cell r="A1608">
            <v>8102</v>
          </cell>
          <cell r="B1608" t="str">
            <v>ja</v>
          </cell>
          <cell r="C1608" t="str">
            <v>張果老★６</v>
          </cell>
          <cell r="D1608" t="str">
            <v>各属性相性良3・黄・R455</v>
          </cell>
          <cell r="E1608" t="str">
            <v>執行者</v>
          </cell>
          <cell r="F1608" t="str">
            <v>格好いい</v>
          </cell>
          <cell r="G1608" t="str">
            <v>男性</v>
          </cell>
          <cell r="H1608" t="str">
            <v>yellow</v>
          </cell>
          <cell r="I1608">
            <v>6</v>
          </cell>
          <cell r="J1608" t="str">
            <v>DropWizS</v>
          </cell>
          <cell r="K1608" t="str">
            <v>attack</v>
          </cell>
          <cell r="L1608" t="str">
            <v>攻撃タイプ</v>
          </cell>
          <cell r="M1608" t="str">
            <v>god</v>
          </cell>
        </row>
        <row r="1609">
          <cell r="A1609">
            <v>9001</v>
          </cell>
          <cell r="B1609" t="str">
            <v>ja</v>
          </cell>
          <cell r="C1609" t="str">
            <v>春香</v>
          </cell>
          <cell r="D1609" t="str">
            <v>ポムポムプリン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human</v>
          </cell>
        </row>
        <row r="1610">
          <cell r="A1610">
            <v>9002</v>
          </cell>
          <cell r="B1610" t="str">
            <v>ja</v>
          </cell>
          <cell r="C1610" t="str">
            <v>春香★６</v>
          </cell>
          <cell r="D1610" t="str">
            <v>ポムポムプリン</v>
          </cell>
          <cell r="E1610" t="str">
            <v>執行者</v>
          </cell>
          <cell r="F1610" t="str">
            <v>格好いい</v>
          </cell>
          <cell r="G1610" t="str">
            <v>女性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human</v>
          </cell>
        </row>
        <row r="1611">
          <cell r="A1611">
            <v>9003</v>
          </cell>
          <cell r="B1611" t="str">
            <v>ja</v>
          </cell>
          <cell r="C1611" t="str">
            <v>夢龍</v>
          </cell>
          <cell r="D1611" t="str">
            <v>ポムポムプリン</v>
          </cell>
          <cell r="E1611" t="str">
            <v>執行者</v>
          </cell>
          <cell r="F1611" t="str">
            <v>格好いい</v>
          </cell>
          <cell r="G1611" t="str">
            <v>女性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human</v>
          </cell>
        </row>
        <row r="1612">
          <cell r="A1612">
            <v>9004</v>
          </cell>
          <cell r="B1612" t="str">
            <v>ja</v>
          </cell>
          <cell r="C1612" t="str">
            <v>夢龍★６</v>
          </cell>
          <cell r="D1612" t="str">
            <v>各属性相性良3・黄・R455</v>
          </cell>
          <cell r="E1612" t="str">
            <v>執行者</v>
          </cell>
          <cell r="F1612" t="str">
            <v>格好いい</v>
          </cell>
          <cell r="G1612" t="str">
            <v>男性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human</v>
          </cell>
        </row>
        <row r="1613">
          <cell r="A1613">
            <v>9005</v>
          </cell>
          <cell r="B1613" t="str">
            <v>ja</v>
          </cell>
          <cell r="C1613" t="str">
            <v>降臨</v>
          </cell>
          <cell r="D1613" t="str">
            <v>ポムポムプリン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blue</v>
          </cell>
          <cell r="I1613">
            <v>5</v>
          </cell>
          <cell r="J1613" t="str">
            <v>PremiumSSw</v>
          </cell>
          <cell r="K1613" t="str">
            <v>hp</v>
          </cell>
          <cell r="L1613" t="str">
            <v>体力タイプ</v>
          </cell>
          <cell r="M1613" t="str">
            <v>demon</v>
          </cell>
        </row>
        <row r="1614">
          <cell r="A1614">
            <v>9006</v>
          </cell>
          <cell r="B1614" t="str">
            <v>ja</v>
          </cell>
          <cell r="C1614" t="str">
            <v>降臨★６</v>
          </cell>
          <cell r="D1614" t="str">
            <v>ポムポムプリン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blue</v>
          </cell>
          <cell r="I1614">
            <v>6</v>
          </cell>
          <cell r="J1614" t="str">
            <v>PremiumSSw</v>
          </cell>
          <cell r="K1614" t="str">
            <v>hp</v>
          </cell>
          <cell r="L1614" t="str">
            <v>体力タイプ</v>
          </cell>
          <cell r="M1614" t="str">
            <v>demon</v>
          </cell>
        </row>
        <row r="1615">
          <cell r="A1615">
            <v>9007</v>
          </cell>
          <cell r="B1615" t="str">
            <v>ja</v>
          </cell>
          <cell r="C1615" t="str">
            <v>田禹治</v>
          </cell>
          <cell r="D1615" t="str">
            <v>ポムポムプリン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red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hero</v>
          </cell>
        </row>
        <row r="1616">
          <cell r="A1616">
            <v>9008</v>
          </cell>
          <cell r="B1616" t="str">
            <v>ja</v>
          </cell>
          <cell r="C1616" t="str">
            <v>田禹治★６</v>
          </cell>
          <cell r="D1616" t="str">
            <v>各属性相性良3・黄・R455</v>
          </cell>
          <cell r="E1616" t="str">
            <v>執行者</v>
          </cell>
          <cell r="F1616" t="str">
            <v>格好いい</v>
          </cell>
          <cell r="G1616" t="str">
            <v>男性</v>
          </cell>
          <cell r="H1616" t="str">
            <v>red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hero</v>
          </cell>
        </row>
        <row r="1617">
          <cell r="A1617">
            <v>10001</v>
          </cell>
          <cell r="B1617" t="str">
            <v>ja</v>
          </cell>
          <cell r="C1617" t="str">
            <v>テストユニット01</v>
          </cell>
          <cell r="H1617" t="str">
            <v>yellow</v>
          </cell>
          <cell r="I1617">
            <v>6</v>
          </cell>
          <cell r="J1617" t="str">
            <v>DropWizS</v>
          </cell>
          <cell r="K1617" t="str">
            <v>heal</v>
          </cell>
          <cell r="L1617" t="str">
            <v>回復タイプ</v>
          </cell>
          <cell r="M1617" t="str">
            <v>human</v>
          </cell>
        </row>
        <row r="1618">
          <cell r="A1618">
            <v>10002</v>
          </cell>
          <cell r="B1618" t="str">
            <v>ja</v>
          </cell>
          <cell r="C1618" t="str">
            <v>テストユニット02</v>
          </cell>
          <cell r="H1618" t="str">
            <v>yellow</v>
          </cell>
          <cell r="I1618">
            <v>6</v>
          </cell>
          <cell r="J1618" t="str">
            <v>PremiumSS</v>
          </cell>
          <cell r="K1618" t="str">
            <v>technical</v>
          </cell>
          <cell r="L1618" t="str">
            <v>テクニカルタイプ</v>
          </cell>
          <cell r="M1618" t="str">
            <v>animal</v>
          </cell>
        </row>
        <row r="1619">
          <cell r="A1619">
            <v>10003</v>
          </cell>
          <cell r="B1619" t="str">
            <v>ja</v>
          </cell>
          <cell r="C1619" t="str">
            <v>テストユニット03</v>
          </cell>
          <cell r="H1619" t="str">
            <v>red</v>
          </cell>
          <cell r="I1619">
            <v>5</v>
          </cell>
          <cell r="J1619" t="str">
            <v>PremiumSSS</v>
          </cell>
          <cell r="K1619" t="str">
            <v>technical</v>
          </cell>
          <cell r="L1619" t="str">
            <v>テクニカルタイプ</v>
          </cell>
          <cell r="M1619" t="str">
            <v>academia</v>
          </cell>
        </row>
        <row r="1620">
          <cell r="A1620">
            <v>10004</v>
          </cell>
          <cell r="B1620" t="str">
            <v>ja</v>
          </cell>
          <cell r="C1620" t="str">
            <v>テストユニット04</v>
          </cell>
          <cell r="H1620" t="str">
            <v>red</v>
          </cell>
          <cell r="I1620">
            <v>6</v>
          </cell>
          <cell r="J1620" t="str">
            <v>PremiumSSS</v>
          </cell>
          <cell r="K1620" t="str">
            <v>technical</v>
          </cell>
          <cell r="L1620" t="str">
            <v>テクニカルタイプ</v>
          </cell>
          <cell r="M1620" t="str">
            <v>academia</v>
          </cell>
        </row>
        <row r="1621">
          <cell r="A1621">
            <v>10005</v>
          </cell>
          <cell r="B1621" t="str">
            <v>ja</v>
          </cell>
          <cell r="C1621" t="str">
            <v>テストユニット05</v>
          </cell>
          <cell r="H1621" t="str">
            <v>yellow</v>
          </cell>
          <cell r="I1621">
            <v>6</v>
          </cell>
          <cell r="J1621" t="str">
            <v>PremiumSS</v>
          </cell>
          <cell r="K1621" t="str">
            <v>technical</v>
          </cell>
          <cell r="L1621" t="str">
            <v>テクニカルタイプ</v>
          </cell>
          <cell r="M1621" t="str">
            <v>human</v>
          </cell>
        </row>
        <row r="1622">
          <cell r="A1622">
            <v>10006</v>
          </cell>
          <cell r="B1622" t="str">
            <v>ja</v>
          </cell>
          <cell r="C1622" t="str">
            <v>テストユニット06</v>
          </cell>
          <cell r="H1622" t="str">
            <v>yellow</v>
          </cell>
          <cell r="I1622">
            <v>6</v>
          </cell>
          <cell r="J1622" t="str">
            <v>PremiumSS</v>
          </cell>
          <cell r="K1622" t="str">
            <v>attack</v>
          </cell>
          <cell r="L1622" t="str">
            <v>攻撃タイプ</v>
          </cell>
          <cell r="M1622" t="str">
            <v>animal</v>
          </cell>
        </row>
        <row r="1623">
          <cell r="A1623">
            <v>10007</v>
          </cell>
          <cell r="B1623" t="str">
            <v>ja</v>
          </cell>
          <cell r="C1623" t="str">
            <v>テストユニット07</v>
          </cell>
          <cell r="H1623" t="str">
            <v>yellow</v>
          </cell>
          <cell r="I1623">
            <v>5</v>
          </cell>
          <cell r="J1623" t="str">
            <v>PremiumSSS</v>
          </cell>
          <cell r="K1623" t="str">
            <v>technical</v>
          </cell>
          <cell r="L1623" t="str">
            <v>テクニカルタイプ</v>
          </cell>
          <cell r="M1623" t="str">
            <v>machine</v>
          </cell>
        </row>
        <row r="1624">
          <cell r="A1624">
            <v>10008</v>
          </cell>
          <cell r="B1624" t="str">
            <v>ja</v>
          </cell>
          <cell r="C1624" t="str">
            <v>テストユニット08</v>
          </cell>
          <cell r="H1624" t="str">
            <v>yellow</v>
          </cell>
          <cell r="I1624">
            <v>6</v>
          </cell>
          <cell r="J1624" t="str">
            <v>PremiumSSS</v>
          </cell>
          <cell r="K1624" t="str">
            <v>technical</v>
          </cell>
          <cell r="L1624" t="str">
            <v>テクニカルタイプ</v>
          </cell>
          <cell r="M1624" t="str">
            <v>machine</v>
          </cell>
        </row>
        <row r="1625">
          <cell r="A1625">
            <v>10009</v>
          </cell>
          <cell r="B1625" t="str">
            <v>ja</v>
          </cell>
          <cell r="C1625" t="str">
            <v>青テスト01</v>
          </cell>
          <cell r="H1625" t="str">
            <v>blue</v>
          </cell>
          <cell r="I1625">
            <v>6</v>
          </cell>
          <cell r="J1625" t="str">
            <v>DropWizS</v>
          </cell>
          <cell r="K1625" t="str">
            <v>heal</v>
          </cell>
          <cell r="L1625" t="str">
            <v>回復タイプ</v>
          </cell>
          <cell r="M1625" t="str">
            <v>human</v>
          </cell>
        </row>
        <row r="1626">
          <cell r="A1626">
            <v>10010</v>
          </cell>
          <cell r="B1626" t="str">
            <v>ja</v>
          </cell>
          <cell r="C1626" t="str">
            <v>赤テスト01</v>
          </cell>
          <cell r="H1626" t="str">
            <v>red</v>
          </cell>
          <cell r="I1626">
            <v>6</v>
          </cell>
          <cell r="J1626" t="str">
            <v>PremiumSSS</v>
          </cell>
          <cell r="K1626" t="str">
            <v>technical</v>
          </cell>
          <cell r="L1626" t="str">
            <v>テクニカルタイプ</v>
          </cell>
          <cell r="M1626" t="str">
            <v>human</v>
          </cell>
        </row>
        <row r="1627">
          <cell r="A1627">
            <v>10011</v>
          </cell>
          <cell r="B1627" t="str">
            <v>ja</v>
          </cell>
          <cell r="C1627" t="str">
            <v>テストユニット11</v>
          </cell>
          <cell r="H1627" t="str">
            <v>red</v>
          </cell>
          <cell r="I1627">
            <v>6</v>
          </cell>
          <cell r="J1627" t="str">
            <v>PremiumSSS</v>
          </cell>
          <cell r="K1627" t="str">
            <v>technical</v>
          </cell>
          <cell r="L1627" t="str">
            <v>テクニカルタイプ</v>
          </cell>
          <cell r="M1627" t="str">
            <v>academia</v>
          </cell>
        </row>
        <row r="1628">
          <cell r="A1628">
            <v>10012</v>
          </cell>
          <cell r="B1628" t="str">
            <v>ja</v>
          </cell>
          <cell r="C1628" t="str">
            <v>テストユニット12</v>
          </cell>
          <cell r="H1628" t="str">
            <v>red</v>
          </cell>
          <cell r="I1628">
            <v>6</v>
          </cell>
          <cell r="J1628" t="str">
            <v>PremiumSSS</v>
          </cell>
          <cell r="K1628" t="str">
            <v>technical</v>
          </cell>
          <cell r="L1628" t="str">
            <v>テクニカルタイプ</v>
          </cell>
          <cell r="M1628" t="str">
            <v>academia</v>
          </cell>
        </row>
        <row r="1629">
          <cell r="A1629">
            <v>10013</v>
          </cell>
          <cell r="B1629" t="str">
            <v>ja</v>
          </cell>
          <cell r="C1629" t="str">
            <v>テストユニット13</v>
          </cell>
          <cell r="H1629" t="str">
            <v>red</v>
          </cell>
          <cell r="I1629">
            <v>6</v>
          </cell>
          <cell r="J1629" t="str">
            <v>PremiumSS</v>
          </cell>
          <cell r="K1629" t="str">
            <v>balance</v>
          </cell>
          <cell r="L1629" t="str">
            <v>バランスタイプ</v>
          </cell>
          <cell r="M1629" t="str">
            <v>unknown</v>
          </cell>
        </row>
        <row r="1630">
          <cell r="A1630">
            <v>10014</v>
          </cell>
          <cell r="B1630" t="str">
            <v>ja</v>
          </cell>
          <cell r="C1630" t="str">
            <v>テストユニット14</v>
          </cell>
          <cell r="H1630" t="str">
            <v>blue</v>
          </cell>
          <cell r="I1630">
            <v>6</v>
          </cell>
          <cell r="J1630" t="str">
            <v>PremiumSS</v>
          </cell>
          <cell r="K1630" t="str">
            <v>balance</v>
          </cell>
          <cell r="L1630" t="str">
            <v>バランスタイプ</v>
          </cell>
          <cell r="M1630" t="str">
            <v>unknown</v>
          </cell>
        </row>
        <row r="1631">
          <cell r="A1631">
            <v>10015</v>
          </cell>
          <cell r="B1631" t="str">
            <v>ja</v>
          </cell>
          <cell r="C1631" t="str">
            <v>テストユニット15</v>
          </cell>
          <cell r="H1631" t="str">
            <v>green</v>
          </cell>
          <cell r="I1631">
            <v>6</v>
          </cell>
          <cell r="J1631" t="str">
            <v>PremiumSS</v>
          </cell>
          <cell r="K1631" t="str">
            <v>balance</v>
          </cell>
          <cell r="L1631" t="str">
            <v>バランスタイプ</v>
          </cell>
          <cell r="M1631" t="str">
            <v>unknown</v>
          </cell>
        </row>
        <row r="1632">
          <cell r="A1632">
            <v>10016</v>
          </cell>
          <cell r="B1632" t="str">
            <v>ja</v>
          </cell>
          <cell r="C1632" t="str">
            <v>テストユニット16</v>
          </cell>
          <cell r="H1632" t="str">
            <v>yellow</v>
          </cell>
          <cell r="I1632">
            <v>6</v>
          </cell>
          <cell r="J1632" t="str">
            <v>PremiumSS</v>
          </cell>
          <cell r="K1632" t="str">
            <v>balance</v>
          </cell>
          <cell r="L1632" t="str">
            <v>バランスタイプ</v>
          </cell>
          <cell r="M1632" t="str">
            <v>unknown</v>
          </cell>
        </row>
        <row r="1633">
          <cell r="A1633">
            <v>10017</v>
          </cell>
          <cell r="B1633" t="str">
            <v>ja</v>
          </cell>
          <cell r="C1633" t="str">
            <v>テストユニット17</v>
          </cell>
          <cell r="H1633" t="str">
            <v>red</v>
          </cell>
          <cell r="I1633">
            <v>6</v>
          </cell>
          <cell r="J1633" t="str">
            <v>PremiumSS</v>
          </cell>
          <cell r="K1633" t="str">
            <v>balance</v>
          </cell>
          <cell r="L1633" t="str">
            <v>バランスタイプ</v>
          </cell>
          <cell r="M1633" t="str">
            <v>unknown</v>
          </cell>
        </row>
        <row r="1634">
          <cell r="A1634">
            <v>10018</v>
          </cell>
          <cell r="B1634" t="str">
            <v>ja</v>
          </cell>
          <cell r="C1634" t="str">
            <v>テストユニット18</v>
          </cell>
          <cell r="H1634" t="str">
            <v>blue</v>
          </cell>
          <cell r="I1634">
            <v>6</v>
          </cell>
          <cell r="J1634" t="str">
            <v>PremiumSS</v>
          </cell>
          <cell r="K1634" t="str">
            <v>balance</v>
          </cell>
          <cell r="L1634" t="str">
            <v>バランスタイプ</v>
          </cell>
          <cell r="M1634" t="str">
            <v>unknown</v>
          </cell>
        </row>
        <row r="1635">
          <cell r="A1635">
            <v>10019</v>
          </cell>
          <cell r="B1635" t="str">
            <v>ja</v>
          </cell>
          <cell r="C1635" t="str">
            <v>テストユニット19</v>
          </cell>
          <cell r="H1635" t="str">
            <v>green</v>
          </cell>
          <cell r="I1635">
            <v>6</v>
          </cell>
          <cell r="J1635" t="str">
            <v>PremiumSS</v>
          </cell>
          <cell r="K1635" t="str">
            <v>balance</v>
          </cell>
          <cell r="L1635" t="str">
            <v>バランスタイプ</v>
          </cell>
          <cell r="M1635" t="str">
            <v>unknown</v>
          </cell>
        </row>
        <row r="1636">
          <cell r="A1636">
            <v>10020</v>
          </cell>
          <cell r="B1636" t="str">
            <v>ja</v>
          </cell>
          <cell r="C1636" t="str">
            <v>テストユニット20</v>
          </cell>
          <cell r="H1636" t="str">
            <v>yellow</v>
          </cell>
          <cell r="I1636">
            <v>6</v>
          </cell>
          <cell r="J1636" t="str">
            <v>PremiumSS</v>
          </cell>
          <cell r="K1636" t="str">
            <v>balance</v>
          </cell>
          <cell r="L1636" t="str">
            <v>バランスタイプ</v>
          </cell>
          <cell r="M1636" t="str">
            <v>unknown</v>
          </cell>
        </row>
        <row r="1637">
          <cell r="A1637">
            <v>10021</v>
          </cell>
          <cell r="B1637" t="str">
            <v>ja</v>
          </cell>
          <cell r="C1637" t="str">
            <v>テストユニット21</v>
          </cell>
          <cell r="H1637" t="str">
            <v>red</v>
          </cell>
          <cell r="I1637">
            <v>6</v>
          </cell>
          <cell r="J1637" t="str">
            <v>PremiumSS</v>
          </cell>
          <cell r="K1637" t="str">
            <v>balance</v>
          </cell>
          <cell r="L1637" t="str">
            <v>バランスタイプ</v>
          </cell>
          <cell r="M1637" t="str">
            <v>unknown</v>
          </cell>
        </row>
        <row r="1638">
          <cell r="A1638">
            <v>10022</v>
          </cell>
          <cell r="B1638" t="str">
            <v>ja</v>
          </cell>
          <cell r="C1638" t="str">
            <v>テストユニット22</v>
          </cell>
          <cell r="H1638" t="str">
            <v>blue</v>
          </cell>
          <cell r="I1638">
            <v>6</v>
          </cell>
          <cell r="J1638" t="str">
            <v>PremiumSS</v>
          </cell>
          <cell r="K1638" t="str">
            <v>balance</v>
          </cell>
          <cell r="L1638" t="str">
            <v>バランスタイプ</v>
          </cell>
          <cell r="M1638" t="str">
            <v>unknown</v>
          </cell>
        </row>
        <row r="1639">
          <cell r="A1639">
            <v>10023</v>
          </cell>
          <cell r="B1639" t="str">
            <v>ja</v>
          </cell>
          <cell r="C1639" t="str">
            <v>テストユニット23</v>
          </cell>
          <cell r="H1639" t="str">
            <v>green</v>
          </cell>
          <cell r="I1639">
            <v>6</v>
          </cell>
          <cell r="J1639" t="str">
            <v>PremiumSS</v>
          </cell>
          <cell r="K1639" t="str">
            <v>balance</v>
          </cell>
          <cell r="L1639" t="str">
            <v>バランスタイプ</v>
          </cell>
          <cell r="M1639" t="str">
            <v>unknown</v>
          </cell>
        </row>
        <row r="1640">
          <cell r="A1640">
            <v>10024</v>
          </cell>
          <cell r="B1640" t="str">
            <v>ja</v>
          </cell>
          <cell r="C1640" t="str">
            <v>テストユニット24</v>
          </cell>
          <cell r="H1640" t="str">
            <v>yellow</v>
          </cell>
          <cell r="I1640">
            <v>6</v>
          </cell>
          <cell r="J1640" t="str">
            <v>PremiumSS</v>
          </cell>
          <cell r="K1640" t="str">
            <v>balance</v>
          </cell>
          <cell r="L1640" t="str">
            <v>バランスタイプ</v>
          </cell>
          <cell r="M1640" t="str">
            <v>unknown</v>
          </cell>
        </row>
        <row r="1641">
          <cell r="A1641">
            <v>10025</v>
          </cell>
          <cell r="B1641" t="str">
            <v>ja</v>
          </cell>
          <cell r="C1641" t="str">
            <v>テストユニット25</v>
          </cell>
          <cell r="H1641" t="str">
            <v>red</v>
          </cell>
          <cell r="I1641">
            <v>6</v>
          </cell>
          <cell r="J1641" t="str">
            <v>PremiumSS</v>
          </cell>
          <cell r="K1641" t="str">
            <v>balance</v>
          </cell>
          <cell r="L1641" t="str">
            <v>バランスタイプ</v>
          </cell>
          <cell r="M1641" t="str">
            <v>unknown</v>
          </cell>
        </row>
        <row r="1642">
          <cell r="A1642">
            <v>10026</v>
          </cell>
          <cell r="B1642" t="str">
            <v>ja</v>
          </cell>
          <cell r="C1642" t="str">
            <v>テストユニット26</v>
          </cell>
          <cell r="H1642" t="str">
            <v>blue</v>
          </cell>
          <cell r="I1642">
            <v>6</v>
          </cell>
          <cell r="J1642" t="str">
            <v>PremiumSS</v>
          </cell>
          <cell r="K1642" t="str">
            <v>balance</v>
          </cell>
          <cell r="L1642" t="str">
            <v>バランスタイプ</v>
          </cell>
          <cell r="M1642" t="str">
            <v>unknown</v>
          </cell>
        </row>
        <row r="1643">
          <cell r="A1643">
            <v>10027</v>
          </cell>
          <cell r="B1643" t="str">
            <v>ja</v>
          </cell>
          <cell r="C1643" t="str">
            <v>テストユニット27</v>
          </cell>
          <cell r="H1643" t="str">
            <v>green</v>
          </cell>
          <cell r="I1643">
            <v>6</v>
          </cell>
          <cell r="J1643" t="str">
            <v>PremiumSS</v>
          </cell>
          <cell r="K1643" t="str">
            <v>balance</v>
          </cell>
          <cell r="L1643" t="str">
            <v>バランスタイプ</v>
          </cell>
          <cell r="M1643" t="str">
            <v>unknown</v>
          </cell>
        </row>
        <row r="1644">
          <cell r="A1644">
            <v>10028</v>
          </cell>
          <cell r="B1644" t="str">
            <v>ja</v>
          </cell>
          <cell r="C1644" t="str">
            <v>テストユニット28</v>
          </cell>
          <cell r="H1644" t="str">
            <v>yellow</v>
          </cell>
          <cell r="I1644">
            <v>6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unknown</v>
          </cell>
        </row>
        <row r="1645">
          <cell r="A1645">
            <v>10029</v>
          </cell>
          <cell r="B1645" t="str">
            <v>ja</v>
          </cell>
          <cell r="C1645" t="str">
            <v>テストユニット29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unknown</v>
          </cell>
        </row>
        <row r="1646">
          <cell r="A1646">
            <v>10030</v>
          </cell>
          <cell r="B1646" t="str">
            <v>ja</v>
          </cell>
          <cell r="C1646" t="str">
            <v>テストユニット30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unknown</v>
          </cell>
        </row>
        <row r="1647">
          <cell r="A1647">
            <v>10031</v>
          </cell>
          <cell r="B1647" t="str">
            <v>ja</v>
          </cell>
          <cell r="C1647" t="str">
            <v>テストユニット31</v>
          </cell>
          <cell r="H1647" t="str">
            <v>green</v>
          </cell>
          <cell r="I1647">
            <v>6</v>
          </cell>
          <cell r="J1647" t="str">
            <v>PremiumSS</v>
          </cell>
          <cell r="K1647" t="str">
            <v>balance</v>
          </cell>
          <cell r="L1647" t="str">
            <v>バランスタイプ</v>
          </cell>
          <cell r="M1647" t="str">
            <v>unknown</v>
          </cell>
        </row>
        <row r="1648">
          <cell r="A1648">
            <v>10032</v>
          </cell>
          <cell r="B1648" t="str">
            <v>ja</v>
          </cell>
          <cell r="C1648" t="str">
            <v>テストユニット32</v>
          </cell>
          <cell r="H1648" t="str">
            <v>yellow</v>
          </cell>
          <cell r="I1648">
            <v>6</v>
          </cell>
          <cell r="J1648" t="str">
            <v>PremiumSS</v>
          </cell>
          <cell r="K1648" t="str">
            <v>balance</v>
          </cell>
          <cell r="L1648" t="str">
            <v>バランスタイプ</v>
          </cell>
          <cell r="M1648" t="str">
            <v>unknown</v>
          </cell>
        </row>
        <row r="1649">
          <cell r="A1649">
            <v>10033</v>
          </cell>
          <cell r="B1649" t="str">
            <v>ja</v>
          </cell>
          <cell r="C1649" t="str">
            <v>テストユニット33</v>
          </cell>
          <cell r="H1649" t="str">
            <v>red</v>
          </cell>
          <cell r="I1649">
            <v>6</v>
          </cell>
          <cell r="J1649" t="str">
            <v>PremiumSS</v>
          </cell>
          <cell r="K1649" t="str">
            <v>balance</v>
          </cell>
          <cell r="L1649" t="str">
            <v>バランスタイプ</v>
          </cell>
          <cell r="M1649" t="str">
            <v>unknown</v>
          </cell>
        </row>
        <row r="1650">
          <cell r="A1650">
            <v>10034</v>
          </cell>
          <cell r="B1650" t="str">
            <v>ja</v>
          </cell>
          <cell r="C1650" t="str">
            <v>テストユニット34</v>
          </cell>
          <cell r="H1650" t="str">
            <v>blue</v>
          </cell>
          <cell r="I1650">
            <v>6</v>
          </cell>
          <cell r="J1650" t="str">
            <v>PremiumSS</v>
          </cell>
          <cell r="K1650" t="str">
            <v>balance</v>
          </cell>
          <cell r="L1650" t="str">
            <v>バランスタイプ</v>
          </cell>
          <cell r="M1650" t="str">
            <v>unknown</v>
          </cell>
        </row>
        <row r="1651">
          <cell r="A1651">
            <v>10035</v>
          </cell>
          <cell r="B1651" t="str">
            <v>ja</v>
          </cell>
          <cell r="C1651" t="str">
            <v>テストユニット35</v>
          </cell>
          <cell r="H1651" t="str">
            <v>green</v>
          </cell>
          <cell r="I1651">
            <v>6</v>
          </cell>
          <cell r="J1651" t="str">
            <v>PremiumSS</v>
          </cell>
          <cell r="K1651" t="str">
            <v>balance</v>
          </cell>
          <cell r="L1651" t="str">
            <v>バランスタイプ</v>
          </cell>
          <cell r="M1651" t="str">
            <v>unknown</v>
          </cell>
        </row>
        <row r="1652">
          <cell r="A1652">
            <v>10036</v>
          </cell>
          <cell r="B1652" t="str">
            <v>ja</v>
          </cell>
          <cell r="C1652" t="str">
            <v>テストユニット36</v>
          </cell>
          <cell r="H1652" t="str">
            <v>yellow</v>
          </cell>
          <cell r="I1652">
            <v>6</v>
          </cell>
          <cell r="J1652" t="str">
            <v>PremiumSS</v>
          </cell>
          <cell r="K1652" t="str">
            <v>balance</v>
          </cell>
          <cell r="L1652" t="str">
            <v>バランスタイプ</v>
          </cell>
          <cell r="M1652" t="str">
            <v>unknown</v>
          </cell>
        </row>
        <row r="1653">
          <cell r="A1653">
            <v>10037</v>
          </cell>
          <cell r="B1653" t="str">
            <v>ja</v>
          </cell>
          <cell r="C1653" t="str">
            <v>テストユニット37</v>
          </cell>
          <cell r="H1653" t="str">
            <v>red</v>
          </cell>
          <cell r="I1653">
            <v>6</v>
          </cell>
          <cell r="J1653" t="str">
            <v>PremiumSS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</row>
        <row r="1654">
          <cell r="A1654">
            <v>10038</v>
          </cell>
          <cell r="B1654" t="str">
            <v>ja</v>
          </cell>
          <cell r="C1654" t="str">
            <v>テストユニット38</v>
          </cell>
          <cell r="H1654" t="str">
            <v>blue</v>
          </cell>
          <cell r="I1654">
            <v>6</v>
          </cell>
          <cell r="J1654" t="str">
            <v>PremiumSS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</row>
        <row r="1655">
          <cell r="A1655">
            <v>10039</v>
          </cell>
          <cell r="B1655" t="str">
            <v>ja</v>
          </cell>
          <cell r="C1655" t="str">
            <v>テストユニット39</v>
          </cell>
          <cell r="H1655" t="str">
            <v>green</v>
          </cell>
          <cell r="I1655">
            <v>6</v>
          </cell>
          <cell r="J1655" t="str">
            <v>PremiumSS</v>
          </cell>
          <cell r="K1655" t="str">
            <v>balance</v>
          </cell>
          <cell r="L1655" t="str">
            <v>バランスタイプ</v>
          </cell>
          <cell r="M1655" t="str">
            <v>unknown</v>
          </cell>
        </row>
        <row r="1656">
          <cell r="A1656">
            <v>10040</v>
          </cell>
          <cell r="B1656" t="str">
            <v>ja</v>
          </cell>
          <cell r="C1656" t="str">
            <v>テストユニット40</v>
          </cell>
          <cell r="H1656" t="str">
            <v>yellow</v>
          </cell>
          <cell r="I1656">
            <v>6</v>
          </cell>
          <cell r="J1656" t="str">
            <v>PremiumSS</v>
          </cell>
          <cell r="K1656" t="str">
            <v>balance</v>
          </cell>
          <cell r="L1656" t="str">
            <v>バランスタイプ</v>
          </cell>
          <cell r="M1656" t="str">
            <v>unknown</v>
          </cell>
        </row>
        <row r="1657">
          <cell r="A1657">
            <v>10041</v>
          </cell>
          <cell r="B1657" t="str">
            <v>ja</v>
          </cell>
          <cell r="C1657" t="str">
            <v>テストユニット41</v>
          </cell>
          <cell r="H1657" t="str">
            <v>red</v>
          </cell>
          <cell r="I1657">
            <v>6</v>
          </cell>
          <cell r="J1657" t="str">
            <v>PremiumSS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</row>
        <row r="1658">
          <cell r="A1658">
            <v>10042</v>
          </cell>
          <cell r="B1658" t="str">
            <v>ja</v>
          </cell>
          <cell r="C1658" t="str">
            <v>テストユニット42</v>
          </cell>
          <cell r="H1658" t="str">
            <v>blue</v>
          </cell>
          <cell r="I1658">
            <v>6</v>
          </cell>
          <cell r="J1658" t="str">
            <v>PremiumSS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</row>
        <row r="1659">
          <cell r="A1659">
            <v>10043</v>
          </cell>
          <cell r="B1659" t="str">
            <v>ja</v>
          </cell>
          <cell r="C1659" t="str">
            <v>テストユニット43</v>
          </cell>
          <cell r="H1659" t="str">
            <v>green</v>
          </cell>
          <cell r="I1659">
            <v>6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</row>
        <row r="1660">
          <cell r="A1660">
            <v>10044</v>
          </cell>
          <cell r="B1660" t="str">
            <v>ja</v>
          </cell>
          <cell r="C1660" t="str">
            <v>テストユニット44</v>
          </cell>
          <cell r="H1660" t="str">
            <v>yellow</v>
          </cell>
          <cell r="I1660">
            <v>6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</row>
        <row r="1661">
          <cell r="A1661">
            <v>10045</v>
          </cell>
          <cell r="B1661" t="str">
            <v>ja</v>
          </cell>
          <cell r="C1661" t="str">
            <v>テストユニット45</v>
          </cell>
          <cell r="H1661" t="str">
            <v>red</v>
          </cell>
          <cell r="I1661">
            <v>6</v>
          </cell>
          <cell r="J1661" t="str">
            <v>PremiumSS</v>
          </cell>
          <cell r="K1661" t="str">
            <v>balance</v>
          </cell>
          <cell r="L1661" t="str">
            <v>バランスタイプ</v>
          </cell>
          <cell r="M1661" t="str">
            <v>unknown</v>
          </cell>
        </row>
        <row r="1662">
          <cell r="A1662">
            <v>10046</v>
          </cell>
          <cell r="B1662" t="str">
            <v>ja</v>
          </cell>
          <cell r="C1662" t="str">
            <v>テストユニット46</v>
          </cell>
          <cell r="H1662" t="str">
            <v>blue</v>
          </cell>
          <cell r="I1662">
            <v>6</v>
          </cell>
          <cell r="J1662" t="str">
            <v>PremiumSS</v>
          </cell>
          <cell r="K1662" t="str">
            <v>balance</v>
          </cell>
          <cell r="L1662" t="str">
            <v>バランスタイプ</v>
          </cell>
          <cell r="M1662" t="str">
            <v>unknown</v>
          </cell>
        </row>
        <row r="1663">
          <cell r="A1663">
            <v>10047</v>
          </cell>
          <cell r="B1663" t="str">
            <v>ja</v>
          </cell>
          <cell r="C1663" t="str">
            <v>テストユニット47</v>
          </cell>
          <cell r="H1663" t="str">
            <v>green</v>
          </cell>
          <cell r="I1663">
            <v>6</v>
          </cell>
          <cell r="J1663" t="str">
            <v>PremiumSS</v>
          </cell>
          <cell r="K1663" t="str">
            <v>balance</v>
          </cell>
          <cell r="L1663" t="str">
            <v>バランスタイプ</v>
          </cell>
          <cell r="M1663" t="str">
            <v>unknown</v>
          </cell>
        </row>
        <row r="1664">
          <cell r="A1664">
            <v>10048</v>
          </cell>
          <cell r="B1664" t="str">
            <v>ja</v>
          </cell>
          <cell r="C1664" t="str">
            <v>テストユニット48</v>
          </cell>
          <cell r="H1664" t="str">
            <v>yellow</v>
          </cell>
          <cell r="I1664">
            <v>6</v>
          </cell>
          <cell r="J1664" t="str">
            <v>PremiumSS</v>
          </cell>
          <cell r="K1664" t="str">
            <v>balance</v>
          </cell>
          <cell r="L1664" t="str">
            <v>バランスタイプ</v>
          </cell>
          <cell r="M1664" t="str">
            <v>unknown</v>
          </cell>
        </row>
        <row r="1665">
          <cell r="A1665">
            <v>10049</v>
          </cell>
          <cell r="B1665" t="str">
            <v>ja</v>
          </cell>
          <cell r="C1665" t="str">
            <v>テストユニット49</v>
          </cell>
          <cell r="H1665" t="str">
            <v>red</v>
          </cell>
          <cell r="I1665">
            <v>6</v>
          </cell>
          <cell r="J1665" t="str">
            <v>PremiumSS</v>
          </cell>
          <cell r="K1665" t="str">
            <v>balance</v>
          </cell>
          <cell r="L1665" t="str">
            <v>バランスタイプ</v>
          </cell>
          <cell r="M1665" t="str">
            <v>unknown</v>
          </cell>
        </row>
        <row r="1666">
          <cell r="A1666">
            <v>10050</v>
          </cell>
          <cell r="B1666" t="str">
            <v>ja</v>
          </cell>
          <cell r="C1666" t="str">
            <v>テストユニット50</v>
          </cell>
          <cell r="H1666" t="str">
            <v>blue</v>
          </cell>
          <cell r="I1666">
            <v>6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unknown</v>
          </cell>
        </row>
        <row r="1667">
          <cell r="A1667">
            <v>10051</v>
          </cell>
          <cell r="B1667" t="str">
            <v>ja</v>
          </cell>
          <cell r="C1667" t="str">
            <v>テストユニット51</v>
          </cell>
          <cell r="H1667" t="str">
            <v>green</v>
          </cell>
          <cell r="I1667">
            <v>6</v>
          </cell>
          <cell r="J1667" t="str">
            <v>PremiumSS</v>
          </cell>
          <cell r="K1667" t="str">
            <v>balance</v>
          </cell>
          <cell r="L1667" t="str">
            <v>バランスタイプ</v>
          </cell>
          <cell r="M1667" t="str">
            <v>unknown</v>
          </cell>
        </row>
        <row r="1668">
          <cell r="A1668">
            <v>10052</v>
          </cell>
          <cell r="B1668" t="str">
            <v>ja</v>
          </cell>
          <cell r="C1668" t="str">
            <v>テストユニット52</v>
          </cell>
          <cell r="H1668" t="str">
            <v>yellow</v>
          </cell>
          <cell r="I1668">
            <v>6</v>
          </cell>
          <cell r="J1668" t="str">
            <v>PremiumSS</v>
          </cell>
          <cell r="K1668" t="str">
            <v>balance</v>
          </cell>
          <cell r="L1668" t="str">
            <v>バランスタイプ</v>
          </cell>
          <cell r="M1668" t="str">
            <v>unknown</v>
          </cell>
        </row>
        <row r="1669">
          <cell r="A1669">
            <v>10053</v>
          </cell>
          <cell r="B1669" t="str">
            <v>ja</v>
          </cell>
          <cell r="C1669" t="str">
            <v>テストユニット53</v>
          </cell>
          <cell r="H1669" t="str">
            <v>red</v>
          </cell>
          <cell r="I1669">
            <v>6</v>
          </cell>
          <cell r="J1669" t="str">
            <v>PremiumSS</v>
          </cell>
          <cell r="K1669" t="str">
            <v>balance</v>
          </cell>
          <cell r="L1669" t="str">
            <v>バランスタイプ</v>
          </cell>
          <cell r="M1669" t="str">
            <v>unknown</v>
          </cell>
        </row>
        <row r="1670">
          <cell r="A1670">
            <v>10054</v>
          </cell>
          <cell r="B1670" t="str">
            <v>ja</v>
          </cell>
          <cell r="C1670" t="str">
            <v>テストユニット54</v>
          </cell>
          <cell r="H1670" t="str">
            <v>blue</v>
          </cell>
          <cell r="I1670">
            <v>6</v>
          </cell>
          <cell r="J1670" t="str">
            <v>PremiumSS</v>
          </cell>
          <cell r="K1670" t="str">
            <v>balance</v>
          </cell>
          <cell r="L1670" t="str">
            <v>バランスタイプ</v>
          </cell>
          <cell r="M1670" t="str">
            <v>unknown</v>
          </cell>
        </row>
        <row r="1671">
          <cell r="A1671">
            <v>10055</v>
          </cell>
          <cell r="B1671" t="str">
            <v>ja</v>
          </cell>
          <cell r="C1671" t="str">
            <v>テストユニット55</v>
          </cell>
          <cell r="H1671" t="str">
            <v>green</v>
          </cell>
          <cell r="I1671">
            <v>6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unknown</v>
          </cell>
        </row>
        <row r="1672">
          <cell r="A1672">
            <v>10056</v>
          </cell>
          <cell r="B1672" t="str">
            <v>ja</v>
          </cell>
          <cell r="C1672" t="str">
            <v>テストユニット56</v>
          </cell>
          <cell r="H1672" t="str">
            <v>yellow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unknown</v>
          </cell>
        </row>
        <row r="1673">
          <cell r="A1673">
            <v>10057</v>
          </cell>
          <cell r="B1673" t="str">
            <v>ja</v>
          </cell>
          <cell r="C1673" t="str">
            <v>テストユニット57</v>
          </cell>
          <cell r="H1673" t="str">
            <v>red</v>
          </cell>
          <cell r="I1673">
            <v>6</v>
          </cell>
          <cell r="J1673" t="str">
            <v>PremiumSS</v>
          </cell>
          <cell r="K1673" t="str">
            <v>balance</v>
          </cell>
          <cell r="L1673" t="str">
            <v>バランスタイプ</v>
          </cell>
          <cell r="M1673" t="str">
            <v>unknown</v>
          </cell>
        </row>
        <row r="1674">
          <cell r="A1674">
            <v>10058</v>
          </cell>
          <cell r="B1674" t="str">
            <v>ja</v>
          </cell>
          <cell r="C1674" t="str">
            <v>テストユニット58</v>
          </cell>
          <cell r="H1674" t="str">
            <v>blue</v>
          </cell>
          <cell r="I1674">
            <v>6</v>
          </cell>
          <cell r="J1674" t="str">
            <v>PremiumSS</v>
          </cell>
          <cell r="K1674" t="str">
            <v>balance</v>
          </cell>
          <cell r="L1674" t="str">
            <v>バランスタイプ</v>
          </cell>
          <cell r="M1674" t="str">
            <v>unknown</v>
          </cell>
        </row>
        <row r="1675">
          <cell r="A1675">
            <v>10059</v>
          </cell>
          <cell r="B1675" t="str">
            <v>ja</v>
          </cell>
          <cell r="C1675" t="str">
            <v>テストユニット59</v>
          </cell>
          <cell r="H1675" t="str">
            <v>green</v>
          </cell>
          <cell r="I1675">
            <v>6</v>
          </cell>
          <cell r="J1675" t="str">
            <v>PremiumSS</v>
          </cell>
          <cell r="K1675" t="str">
            <v>balance</v>
          </cell>
          <cell r="L1675" t="str">
            <v>バランスタイプ</v>
          </cell>
          <cell r="M1675" t="str">
            <v>unknown</v>
          </cell>
        </row>
        <row r="1676">
          <cell r="A1676">
            <v>10060</v>
          </cell>
          <cell r="B1676" t="str">
            <v>ja</v>
          </cell>
          <cell r="C1676" t="str">
            <v>テストユニット60</v>
          </cell>
          <cell r="H1676" t="str">
            <v>yellow</v>
          </cell>
          <cell r="I1676">
            <v>6</v>
          </cell>
          <cell r="J1676" t="str">
            <v>PremiumSS</v>
          </cell>
          <cell r="K1676" t="str">
            <v>balance</v>
          </cell>
          <cell r="L1676" t="str">
            <v>バランスタイプ</v>
          </cell>
          <cell r="M1676" t="str">
            <v>unknown</v>
          </cell>
        </row>
        <row r="1677">
          <cell r="A1677">
            <v>10061</v>
          </cell>
          <cell r="B1677" t="str">
            <v>ja</v>
          </cell>
          <cell r="C1677" t="str">
            <v>テストユニット61</v>
          </cell>
          <cell r="H1677" t="str">
            <v>red</v>
          </cell>
          <cell r="I1677">
            <v>6</v>
          </cell>
          <cell r="J1677" t="str">
            <v>PremiumSS</v>
          </cell>
          <cell r="K1677" t="str">
            <v>balance</v>
          </cell>
          <cell r="L1677" t="str">
            <v>バランスタイプ</v>
          </cell>
          <cell r="M1677" t="str">
            <v>unknown</v>
          </cell>
        </row>
        <row r="1678">
          <cell r="A1678">
            <v>10062</v>
          </cell>
          <cell r="B1678" t="str">
            <v>ja</v>
          </cell>
          <cell r="C1678" t="str">
            <v>テストユニット62</v>
          </cell>
          <cell r="H1678" t="str">
            <v>blue</v>
          </cell>
          <cell r="I1678">
            <v>6</v>
          </cell>
          <cell r="J1678" t="str">
            <v>PremiumSS</v>
          </cell>
          <cell r="K1678" t="str">
            <v>balance</v>
          </cell>
          <cell r="L1678" t="str">
            <v>バランスタイプ</v>
          </cell>
          <cell r="M1678" t="str">
            <v>unknown</v>
          </cell>
        </row>
        <row r="1679">
          <cell r="A1679">
            <v>10063</v>
          </cell>
          <cell r="B1679" t="str">
            <v>ja</v>
          </cell>
          <cell r="C1679" t="str">
            <v>テストユニット63</v>
          </cell>
          <cell r="H1679" t="str">
            <v>green</v>
          </cell>
          <cell r="I1679">
            <v>6</v>
          </cell>
          <cell r="J1679" t="str">
            <v>PremiumSS</v>
          </cell>
          <cell r="K1679" t="str">
            <v>balance</v>
          </cell>
          <cell r="L1679" t="str">
            <v>バランスタイプ</v>
          </cell>
          <cell r="M1679" t="str">
            <v>unknown</v>
          </cell>
        </row>
        <row r="1680">
          <cell r="A1680">
            <v>10064</v>
          </cell>
          <cell r="B1680" t="str">
            <v>ja</v>
          </cell>
          <cell r="C1680" t="str">
            <v>テストユニット64</v>
          </cell>
          <cell r="H1680" t="str">
            <v>yellow</v>
          </cell>
          <cell r="I1680">
            <v>6</v>
          </cell>
          <cell r="J1680" t="str">
            <v>PremiumSS</v>
          </cell>
          <cell r="K1680" t="str">
            <v>balance</v>
          </cell>
          <cell r="L1680" t="str">
            <v>バランスタイプ</v>
          </cell>
          <cell r="M1680" t="str">
            <v>unknown</v>
          </cell>
        </row>
        <row r="1681">
          <cell r="A1681">
            <v>10065</v>
          </cell>
          <cell r="B1681" t="str">
            <v>ja</v>
          </cell>
          <cell r="C1681" t="str">
            <v>テストユニット65</v>
          </cell>
          <cell r="H1681" t="str">
            <v>red</v>
          </cell>
          <cell r="I1681">
            <v>6</v>
          </cell>
          <cell r="J1681" t="str">
            <v>PremiumSS</v>
          </cell>
          <cell r="K1681" t="str">
            <v>balance</v>
          </cell>
          <cell r="L1681" t="str">
            <v>バランスタイプ</v>
          </cell>
          <cell r="M1681" t="str">
            <v>unknown</v>
          </cell>
        </row>
        <row r="1682">
          <cell r="A1682">
            <v>10066</v>
          </cell>
          <cell r="B1682" t="str">
            <v>ja</v>
          </cell>
          <cell r="C1682" t="str">
            <v>テストユニット66</v>
          </cell>
          <cell r="H1682" t="str">
            <v>blue</v>
          </cell>
          <cell r="I1682">
            <v>6</v>
          </cell>
          <cell r="J1682" t="str">
            <v>PremiumSS</v>
          </cell>
          <cell r="K1682" t="str">
            <v>balance</v>
          </cell>
          <cell r="L1682" t="str">
            <v>バランスタイプ</v>
          </cell>
          <cell r="M1682" t="str">
            <v>unknown</v>
          </cell>
        </row>
        <row r="1683">
          <cell r="A1683">
            <v>10067</v>
          </cell>
          <cell r="B1683" t="str">
            <v>ja</v>
          </cell>
          <cell r="C1683" t="str">
            <v>テストユニット67</v>
          </cell>
          <cell r="H1683" t="str">
            <v>green</v>
          </cell>
          <cell r="I1683">
            <v>6</v>
          </cell>
          <cell r="J1683" t="str">
            <v>PremiumSS</v>
          </cell>
          <cell r="K1683" t="str">
            <v>balance</v>
          </cell>
          <cell r="L1683" t="str">
            <v>バランスタイプ</v>
          </cell>
          <cell r="M1683" t="str">
            <v>unknown</v>
          </cell>
        </row>
        <row r="1684">
          <cell r="A1684">
            <v>10068</v>
          </cell>
          <cell r="B1684" t="str">
            <v>ja</v>
          </cell>
          <cell r="C1684" t="str">
            <v>テストユニット68</v>
          </cell>
          <cell r="H1684" t="str">
            <v>yellow</v>
          </cell>
          <cell r="I1684">
            <v>6</v>
          </cell>
          <cell r="J1684" t="str">
            <v>PremiumSS</v>
          </cell>
          <cell r="K1684" t="str">
            <v>balance</v>
          </cell>
          <cell r="L1684" t="str">
            <v>バランスタイプ</v>
          </cell>
          <cell r="M1684" t="str">
            <v>unknown</v>
          </cell>
        </row>
        <row r="1685">
          <cell r="A1685">
            <v>10069</v>
          </cell>
          <cell r="B1685" t="str">
            <v>ja</v>
          </cell>
          <cell r="C1685" t="str">
            <v>テストユニット69</v>
          </cell>
          <cell r="H1685" t="str">
            <v>red</v>
          </cell>
          <cell r="I1685">
            <v>6</v>
          </cell>
          <cell r="J1685" t="str">
            <v>PremiumSS</v>
          </cell>
          <cell r="K1685" t="str">
            <v>balance</v>
          </cell>
          <cell r="L1685" t="str">
            <v>バランスタイプ</v>
          </cell>
          <cell r="M1685" t="str">
            <v>unknown</v>
          </cell>
        </row>
        <row r="1686">
          <cell r="A1686">
            <v>10070</v>
          </cell>
          <cell r="B1686" t="str">
            <v>ja</v>
          </cell>
          <cell r="C1686" t="str">
            <v>テストユニット70</v>
          </cell>
          <cell r="H1686" t="str">
            <v>blue</v>
          </cell>
          <cell r="I1686">
            <v>6</v>
          </cell>
          <cell r="J1686" t="str">
            <v>PremiumSS</v>
          </cell>
          <cell r="K1686" t="str">
            <v>balance</v>
          </cell>
          <cell r="L1686" t="str">
            <v>バランスタイプ</v>
          </cell>
          <cell r="M1686" t="str">
            <v>unknown</v>
          </cell>
        </row>
        <row r="1687">
          <cell r="A1687">
            <v>10071</v>
          </cell>
          <cell r="B1687" t="str">
            <v>ja</v>
          </cell>
          <cell r="C1687" t="str">
            <v>テストユニット71</v>
          </cell>
          <cell r="H1687" t="str">
            <v>green</v>
          </cell>
          <cell r="I1687">
            <v>6</v>
          </cell>
          <cell r="J1687" t="str">
            <v>PremiumSS</v>
          </cell>
          <cell r="K1687" t="str">
            <v>balance</v>
          </cell>
          <cell r="L1687" t="str">
            <v>バランスタイプ</v>
          </cell>
          <cell r="M1687" t="str">
            <v>unknown</v>
          </cell>
        </row>
        <row r="1688">
          <cell r="A1688">
            <v>10072</v>
          </cell>
          <cell r="B1688" t="str">
            <v>ja</v>
          </cell>
          <cell r="C1688" t="str">
            <v>テストユニット72</v>
          </cell>
          <cell r="H1688" t="str">
            <v>yellow</v>
          </cell>
          <cell r="I1688">
            <v>6</v>
          </cell>
          <cell r="J1688" t="str">
            <v>PremiumSS</v>
          </cell>
          <cell r="K1688" t="str">
            <v>balance</v>
          </cell>
          <cell r="L1688" t="str">
            <v>バランスタイプ</v>
          </cell>
          <cell r="M1688" t="str">
            <v>unknown</v>
          </cell>
        </row>
        <row r="1689">
          <cell r="A1689">
            <v>10073</v>
          </cell>
          <cell r="B1689" t="str">
            <v>ja</v>
          </cell>
          <cell r="C1689" t="str">
            <v>テストユニット73</v>
          </cell>
          <cell r="H1689" t="str">
            <v>red</v>
          </cell>
          <cell r="I1689">
            <v>6</v>
          </cell>
          <cell r="J1689" t="str">
            <v>PremiumSS</v>
          </cell>
          <cell r="K1689" t="str">
            <v>balance</v>
          </cell>
          <cell r="L1689" t="str">
            <v>バランスタイプ</v>
          </cell>
          <cell r="M1689" t="str">
            <v>unknown</v>
          </cell>
        </row>
        <row r="1690">
          <cell r="A1690">
            <v>10074</v>
          </cell>
          <cell r="B1690" t="str">
            <v>ja</v>
          </cell>
          <cell r="C1690" t="str">
            <v>テストユニット74</v>
          </cell>
          <cell r="H1690" t="str">
            <v>blue</v>
          </cell>
          <cell r="I1690">
            <v>6</v>
          </cell>
          <cell r="J1690" t="str">
            <v>PremiumSS</v>
          </cell>
          <cell r="K1690" t="str">
            <v>balance</v>
          </cell>
          <cell r="L1690" t="str">
            <v>バランスタイプ</v>
          </cell>
          <cell r="M1690" t="str">
            <v>unknown</v>
          </cell>
        </row>
        <row r="1691">
          <cell r="A1691">
            <v>10075</v>
          </cell>
          <cell r="B1691" t="str">
            <v>ja</v>
          </cell>
          <cell r="C1691" t="str">
            <v>テストユニット75</v>
          </cell>
          <cell r="H1691" t="str">
            <v>green</v>
          </cell>
          <cell r="I1691">
            <v>6</v>
          </cell>
          <cell r="J1691" t="str">
            <v>PremiumSS</v>
          </cell>
          <cell r="K1691" t="str">
            <v>balance</v>
          </cell>
          <cell r="L1691" t="str">
            <v>バランスタイプ</v>
          </cell>
          <cell r="M1691" t="str">
            <v>unknown</v>
          </cell>
        </row>
        <row r="1692">
          <cell r="A1692">
            <v>10076</v>
          </cell>
          <cell r="B1692" t="str">
            <v>ja</v>
          </cell>
          <cell r="C1692" t="str">
            <v>テストユニット76</v>
          </cell>
          <cell r="H1692" t="str">
            <v>yellow</v>
          </cell>
          <cell r="I1692">
            <v>6</v>
          </cell>
          <cell r="J1692" t="str">
            <v>PremiumSS</v>
          </cell>
          <cell r="K1692" t="str">
            <v>balance</v>
          </cell>
          <cell r="L1692" t="str">
            <v>バランスタイプ</v>
          </cell>
          <cell r="M1692" t="str">
            <v>unknown</v>
          </cell>
        </row>
        <row r="1693">
          <cell r="A1693">
            <v>10077</v>
          </cell>
          <cell r="B1693" t="str">
            <v>ja</v>
          </cell>
          <cell r="C1693" t="str">
            <v>テストユニット77</v>
          </cell>
          <cell r="H1693" t="str">
            <v>red</v>
          </cell>
          <cell r="I1693">
            <v>6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unknown</v>
          </cell>
        </row>
        <row r="1694">
          <cell r="A1694">
            <v>10078</v>
          </cell>
          <cell r="B1694" t="str">
            <v>ja</v>
          </cell>
          <cell r="C1694" t="str">
            <v>テストユニット78</v>
          </cell>
          <cell r="H1694" t="str">
            <v>blue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unknown</v>
          </cell>
        </row>
        <row r="1695">
          <cell r="A1695">
            <v>10079</v>
          </cell>
          <cell r="B1695" t="str">
            <v>ja</v>
          </cell>
          <cell r="C1695" t="str">
            <v>テストユニット79</v>
          </cell>
          <cell r="H1695" t="str">
            <v>green</v>
          </cell>
          <cell r="I1695">
            <v>6</v>
          </cell>
          <cell r="J1695" t="str">
            <v>PremiumSS</v>
          </cell>
          <cell r="K1695" t="str">
            <v>balance</v>
          </cell>
          <cell r="L1695" t="str">
            <v>バランスタイプ</v>
          </cell>
          <cell r="M1695" t="str">
            <v>unknown</v>
          </cell>
        </row>
        <row r="1696">
          <cell r="A1696">
            <v>10080</v>
          </cell>
          <cell r="B1696" t="str">
            <v>ja</v>
          </cell>
          <cell r="C1696" t="str">
            <v>テストユニット80</v>
          </cell>
          <cell r="H1696" t="str">
            <v>yellow</v>
          </cell>
          <cell r="I1696">
            <v>6</v>
          </cell>
          <cell r="J1696" t="str">
            <v>PremiumSS</v>
          </cell>
          <cell r="K1696" t="str">
            <v>balance</v>
          </cell>
          <cell r="L1696" t="str">
            <v>バランスタイプ</v>
          </cell>
          <cell r="M1696" t="str">
            <v>unknown</v>
          </cell>
        </row>
        <row r="1697">
          <cell r="A1697">
            <v>10081</v>
          </cell>
          <cell r="B1697" t="str">
            <v>ja</v>
          </cell>
          <cell r="C1697" t="str">
            <v>テストユニット81</v>
          </cell>
          <cell r="H1697" t="str">
            <v>red</v>
          </cell>
          <cell r="I1697">
            <v>6</v>
          </cell>
          <cell r="J1697" t="str">
            <v>PremiumSS</v>
          </cell>
          <cell r="K1697" t="str">
            <v>balance</v>
          </cell>
          <cell r="L1697" t="str">
            <v>バランスタイプ</v>
          </cell>
          <cell r="M1697" t="str">
            <v>unknown</v>
          </cell>
        </row>
        <row r="1698">
          <cell r="A1698">
            <v>10082</v>
          </cell>
          <cell r="B1698" t="str">
            <v>ja</v>
          </cell>
          <cell r="C1698" t="str">
            <v>テストユニット82</v>
          </cell>
          <cell r="H1698" t="str">
            <v>blue</v>
          </cell>
          <cell r="I1698">
            <v>6</v>
          </cell>
          <cell r="J1698" t="str">
            <v>PremiumSS</v>
          </cell>
          <cell r="K1698" t="str">
            <v>balance</v>
          </cell>
          <cell r="L1698" t="str">
            <v>バランスタイプ</v>
          </cell>
          <cell r="M1698" t="str">
            <v>unknown</v>
          </cell>
        </row>
        <row r="1699">
          <cell r="A1699">
            <v>10083</v>
          </cell>
          <cell r="B1699" t="str">
            <v>ja</v>
          </cell>
          <cell r="C1699" t="str">
            <v>テストユニット83</v>
          </cell>
          <cell r="H1699" t="str">
            <v>green</v>
          </cell>
          <cell r="I1699">
            <v>6</v>
          </cell>
          <cell r="J1699" t="str">
            <v>PremiumSS</v>
          </cell>
          <cell r="K1699" t="str">
            <v>balance</v>
          </cell>
          <cell r="L1699" t="str">
            <v>バランスタイプ</v>
          </cell>
          <cell r="M1699" t="str">
            <v>unknown</v>
          </cell>
        </row>
        <row r="1700">
          <cell r="A1700">
            <v>10084</v>
          </cell>
          <cell r="B1700" t="str">
            <v>ja</v>
          </cell>
          <cell r="C1700" t="str">
            <v>テストユニット84</v>
          </cell>
          <cell r="H1700" t="str">
            <v>yellow</v>
          </cell>
          <cell r="I1700">
            <v>6</v>
          </cell>
          <cell r="J1700" t="str">
            <v>PremiumSS</v>
          </cell>
          <cell r="K1700" t="str">
            <v>balance</v>
          </cell>
          <cell r="L1700" t="str">
            <v>バランスタイプ</v>
          </cell>
          <cell r="M1700" t="str">
            <v>unknown</v>
          </cell>
        </row>
        <row r="1701">
          <cell r="A1701">
            <v>10085</v>
          </cell>
          <cell r="B1701" t="str">
            <v>ja</v>
          </cell>
          <cell r="C1701" t="str">
            <v>テストユニット85</v>
          </cell>
          <cell r="H1701" t="str">
            <v>red</v>
          </cell>
          <cell r="I1701">
            <v>6</v>
          </cell>
          <cell r="J1701" t="str">
            <v>PremiumSS</v>
          </cell>
          <cell r="K1701" t="str">
            <v>balance</v>
          </cell>
          <cell r="L1701" t="str">
            <v>バランスタイプ</v>
          </cell>
          <cell r="M1701" t="str">
            <v>unknown</v>
          </cell>
        </row>
        <row r="1702">
          <cell r="A1702">
            <v>10086</v>
          </cell>
          <cell r="B1702" t="str">
            <v>ja</v>
          </cell>
          <cell r="C1702" t="str">
            <v>テストユニット86</v>
          </cell>
          <cell r="H1702" t="str">
            <v>blue</v>
          </cell>
          <cell r="I1702">
            <v>6</v>
          </cell>
          <cell r="J1702" t="str">
            <v>PremiumSS</v>
          </cell>
          <cell r="K1702" t="str">
            <v>balance</v>
          </cell>
          <cell r="L1702" t="str">
            <v>バランスタイプ</v>
          </cell>
          <cell r="M1702" t="str">
            <v>unknown</v>
          </cell>
        </row>
        <row r="1703">
          <cell r="A1703">
            <v>10087</v>
          </cell>
          <cell r="B1703" t="str">
            <v>ja</v>
          </cell>
          <cell r="C1703" t="str">
            <v>テストユニット87</v>
          </cell>
          <cell r="H1703" t="str">
            <v>green</v>
          </cell>
          <cell r="I1703">
            <v>6</v>
          </cell>
          <cell r="J1703" t="str">
            <v>PremiumSS</v>
          </cell>
          <cell r="K1703" t="str">
            <v>balance</v>
          </cell>
          <cell r="L1703" t="str">
            <v>バランスタイプ</v>
          </cell>
          <cell r="M1703" t="str">
            <v>unknown</v>
          </cell>
        </row>
        <row r="1704">
          <cell r="A1704">
            <v>10088</v>
          </cell>
          <cell r="B1704" t="str">
            <v>ja</v>
          </cell>
          <cell r="C1704" t="str">
            <v>テストユニット88</v>
          </cell>
          <cell r="H1704" t="str">
            <v>yellow</v>
          </cell>
          <cell r="I1704">
            <v>6</v>
          </cell>
          <cell r="J1704" t="str">
            <v>PremiumSS</v>
          </cell>
          <cell r="K1704" t="str">
            <v>balance</v>
          </cell>
          <cell r="L1704" t="str">
            <v>バランスタイプ</v>
          </cell>
          <cell r="M1704" t="str">
            <v>unknown</v>
          </cell>
        </row>
        <row r="1705">
          <cell r="A1705">
            <v>10089</v>
          </cell>
          <cell r="B1705" t="str">
            <v>ja</v>
          </cell>
          <cell r="C1705" t="str">
            <v>テストユニット89</v>
          </cell>
          <cell r="H1705" t="str">
            <v>red</v>
          </cell>
          <cell r="I1705">
            <v>6</v>
          </cell>
          <cell r="J1705" t="str">
            <v>PremiumSS</v>
          </cell>
          <cell r="K1705" t="str">
            <v>balance</v>
          </cell>
          <cell r="L1705" t="str">
            <v>バランスタイプ</v>
          </cell>
          <cell r="M1705" t="str">
            <v>unknown</v>
          </cell>
        </row>
        <row r="1706">
          <cell r="A1706">
            <v>10090</v>
          </cell>
          <cell r="B1706" t="str">
            <v>ja</v>
          </cell>
          <cell r="C1706" t="str">
            <v>テストユニット90</v>
          </cell>
          <cell r="H1706" t="str">
            <v>blue</v>
          </cell>
          <cell r="I1706">
            <v>6</v>
          </cell>
          <cell r="J1706" t="str">
            <v>PremiumSS</v>
          </cell>
          <cell r="K1706" t="str">
            <v>balance</v>
          </cell>
          <cell r="L1706" t="str">
            <v>バランスタイプ</v>
          </cell>
          <cell r="M1706" t="str">
            <v>unknown</v>
          </cell>
        </row>
        <row r="1707">
          <cell r="A1707">
            <v>10101</v>
          </cell>
          <cell r="B1707" t="str">
            <v>ja</v>
          </cell>
          <cell r="C1707" t="str">
            <v>Usagi-kun</v>
          </cell>
          <cell r="H1707" t="str">
            <v>blue</v>
          </cell>
          <cell r="I1707">
            <v>6</v>
          </cell>
          <cell r="J1707" t="str">
            <v>DropWizS</v>
          </cell>
          <cell r="K1707" t="str">
            <v>balance</v>
          </cell>
          <cell r="L1707" t="str">
            <v>バランスタイプ</v>
          </cell>
          <cell r="M1707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>
      <selection activeCell="A2" sqref="A2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247</v>
      </c>
      <c r="B2" s="61" t="s">
        <v>110</v>
      </c>
      <c r="C2" s="50" t="str">
        <f t="shared" ref="C2" si="0">RIGHT(F2,6)</f>
        <v>555100</v>
      </c>
      <c r="D2" s="19" t="s">
        <v>45</v>
      </c>
      <c r="E2" s="17" t="str">
        <f t="shared" ref="E2" si="1">B2&amp;C2&amp;D2</f>
        <v>gacha_select_tables_555100.tmp</v>
      </c>
      <c r="F2" s="100" t="s">
        <v>253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247</v>
      </c>
      <c r="B3" s="61" t="s">
        <v>110</v>
      </c>
      <c r="C3" s="50" t="str">
        <f t="shared" ref="C3:C7" si="2">RIGHT(F3,6)</f>
        <v>555010</v>
      </c>
      <c r="D3" s="19" t="s">
        <v>45</v>
      </c>
      <c r="E3" s="17" t="str">
        <f t="shared" ref="E3:E10" si="3">B3&amp;C3&amp;D3</f>
        <v>gacha_select_tables_555010.tmp</v>
      </c>
      <c r="F3" s="100" t="s">
        <v>254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8" t="s">
        <v>252</v>
      </c>
      <c r="B4" s="95" t="s">
        <v>248</v>
      </c>
      <c r="C4" s="96" t="str">
        <f t="shared" si="2"/>
        <v>555100</v>
      </c>
      <c r="D4" s="19" t="s">
        <v>249</v>
      </c>
      <c r="E4" s="17" t="str">
        <f t="shared" si="3"/>
        <v>gacha_settle_tables_555100.tmp</v>
      </c>
      <c r="F4" s="100" t="s">
        <v>255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  <c r="P4" s="101" t="s">
        <v>256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/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555010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VLOOKUP(L3,tables_555010!B:C,2,FALSE)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VLOOKUP(L4,tables_555010!B:C,2,FALSE)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1-B6-B7</f>
        <v>0.4</v>
      </c>
      <c r="D5" t="s">
        <v>201</v>
      </c>
      <c r="E5" s="43">
        <f>(B11-H5)/(F5-I5)</f>
        <v>6.9444444444444447E-4</v>
      </c>
      <c r="F5">
        <f>(COUNTIF(tables_555010!C:C,input_555010!A28)+COUNTIF(tables_555010!C:C,input_555010!A29))</f>
        <v>72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VLOOKUP(L5,tables_555010!B:C,2,FALSE)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0.5</v>
      </c>
      <c r="D6" t="s">
        <v>202</v>
      </c>
      <c r="E6" s="76">
        <f>(B10-H6)/(F6-I6)</f>
        <v>9.8958333333333329E-3</v>
      </c>
      <c r="F6">
        <f>(COUNTIF(tables_555010!C:C,input_555010!A25)+COUNTIF(tables_555010!C:C,input_555010!A18)+COUNTIF(tables_555010!C:C,input_555010!A20)+COUNTIF(tables_555010!C:C,input_555010!A22))</f>
        <v>96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VLOOKUP(L6,tables_555010!B:C,2,FALSE)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VLOOKUP(L7,tables_555010!B:C,2,FALSE)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VLOOKUP(L8,tables_555010!B:C,2,FALSE)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VLOOKUP(L9,tables_555010!B:C,2,FALSE)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VLOOKUP(L10,tables_555010!B:C,2,FALSE)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VLOOKUP(L11,tables_555010!B:C,2,FALSE)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VLOOKUP(L12,tables_555010!B:C,2,FALSE)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VLOOKUP(L13,tables_555010!B:C,2,FALSE)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VLOOKUP(L14,tables_555010!B:C,2,FALSE)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VLOOKUP(L15,tables_555010!B:C,2,FALSE)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VLOOKUP(L16,tables_555010!B:C,2,FALSE)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0.17833333333333337</v>
      </c>
      <c r="C17" s="85">
        <f t="shared" ref="C17:C31" si="2">SUMIF(Q:Q,A17,N:N)</f>
        <v>0</v>
      </c>
      <c r="D17" s="74">
        <f t="shared" ref="D17:D32" si="3">B17-C17</f>
        <v>0.17833333333333337</v>
      </c>
      <c r="E17">
        <f>COUNTIF(tables_555010!C:C,input_555010!A17)-COUNTIF(Q:Q,A17)</f>
        <v>20</v>
      </c>
      <c r="F17" s="43">
        <f>IFERROR(B17/E17,0)</f>
        <v>8.9166666666666682E-3</v>
      </c>
      <c r="G17">
        <f t="shared" ref="G17:G31" si="4">A$36*B17</f>
        <v>1027200.0000000002</v>
      </c>
      <c r="H17">
        <f t="shared" ref="H17:H31" si="5">IFERROR(ROUND(G17/E17,5),0)</f>
        <v>51360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VLOOKUP(L17,tables_555010!B:C,2,FALSE)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B6-SUM(B20,B22,B25,B27,B30)</f>
        <v>3.3229166666666698E-2</v>
      </c>
      <c r="C18" s="85">
        <f t="shared" si="2"/>
        <v>0</v>
      </c>
      <c r="D18" s="74">
        <f t="shared" si="3"/>
        <v>3.3229166666666698E-2</v>
      </c>
      <c r="E18">
        <f>COUNTIF(tables_555010!C:C,input_555010!A18)-COUNTIF(Q:Q,A18)</f>
        <v>20</v>
      </c>
      <c r="F18" s="43">
        <f>IFERROR(B18/E18,0)</f>
        <v>1.6614583333333349E-3</v>
      </c>
      <c r="G18">
        <f t="shared" si="4"/>
        <v>191400.00000000017</v>
      </c>
      <c r="H18">
        <f t="shared" si="5"/>
        <v>9570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VLOOKUP(L18,tables_555010!B:C,2,FALSE)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0.20583333333333331</v>
      </c>
      <c r="C19" s="85">
        <f t="shared" si="2"/>
        <v>0</v>
      </c>
      <c r="D19" s="74">
        <f t="shared" si="3"/>
        <v>0.20583333333333331</v>
      </c>
      <c r="E19">
        <f>COUNTIF(tables_555010!C:C,input_555010!A19)-COUNTIF(Q:Q,A19)</f>
        <v>52</v>
      </c>
      <c r="F19" s="43">
        <f t="shared" ref="F19:F31" si="8">IFERROR(B19/E19,0)</f>
        <v>3.9583333333333328E-3</v>
      </c>
      <c r="G19">
        <f t="shared" si="4"/>
        <v>1185599.9999999998</v>
      </c>
      <c r="H19">
        <f t="shared" si="5"/>
        <v>22800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VLOOKUP(L19,tables_555010!B:C,2,FALSE)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0.25729166666666664</v>
      </c>
      <c r="C20" s="85">
        <f t="shared" si="2"/>
        <v>0</v>
      </c>
      <c r="D20" s="74">
        <f t="shared" si="3"/>
        <v>0.25729166666666664</v>
      </c>
      <c r="E20">
        <f>COUNTIF(tables_555010!C:C,input_555010!A20)-COUNTIF(Q:Q,A20)</f>
        <v>52</v>
      </c>
      <c r="F20" s="43">
        <f t="shared" si="8"/>
        <v>4.9479166666666664E-3</v>
      </c>
      <c r="G20">
        <f t="shared" si="4"/>
        <v>1481999.9999999998</v>
      </c>
      <c r="H20">
        <f t="shared" si="5"/>
        <v>28500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VLOOKUP(L20,tables_555010!B:C,2,FALSE)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3.7812500000000013E-2</v>
      </c>
      <c r="C21" s="85">
        <f t="shared" si="2"/>
        <v>0</v>
      </c>
      <c r="D21" s="74">
        <f t="shared" si="3"/>
        <v>3.7812500000000013E-2</v>
      </c>
      <c r="E21">
        <f>COUNTIF(tables_555010!C:C,input_555010!A21)-COUNTIF(Q:Q,A21)</f>
        <v>52</v>
      </c>
      <c r="F21" s="43">
        <f t="shared" si="8"/>
        <v>7.2716346153846182E-4</v>
      </c>
      <c r="G21">
        <f t="shared" si="4"/>
        <v>217800.00000000009</v>
      </c>
      <c r="H21">
        <f t="shared" si="5"/>
        <v>4188.4615400000002</v>
      </c>
      <c r="I21">
        <f t="shared" si="6"/>
        <v>0.46154000000024098</v>
      </c>
      <c r="J21">
        <f t="shared" si="7"/>
        <v>2.166659444467387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0.17218749999999999</v>
      </c>
      <c r="C22" s="85">
        <f t="shared" si="2"/>
        <v>0</v>
      </c>
      <c r="D22" s="74">
        <f t="shared" si="3"/>
        <v>0.17218749999999999</v>
      </c>
      <c r="E22">
        <f>COUNTIF(tables_555010!C:C,input_555010!A22)-COUNTIF(Q:Q,A22)</f>
        <v>20</v>
      </c>
      <c r="F22" s="43">
        <f t="shared" si="8"/>
        <v>8.609374999999999E-3</v>
      </c>
      <c r="G22">
        <f t="shared" si="4"/>
        <v>991800</v>
      </c>
      <c r="H22">
        <f t="shared" si="5"/>
        <v>49590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2.5729166666666664E-2</v>
      </c>
      <c r="C23" s="85">
        <f t="shared" si="2"/>
        <v>0</v>
      </c>
      <c r="D23" s="74">
        <f t="shared" si="3"/>
        <v>2.5729166666666664E-2</v>
      </c>
      <c r="E23">
        <f>COUNTIF(tables_555010!C:C,input_555010!A23)-COUNTIF(Q:Q,A23)</f>
        <v>26</v>
      </c>
      <c r="F23" s="43">
        <f t="shared" si="8"/>
        <v>9.895833333333332E-4</v>
      </c>
      <c r="G23">
        <f t="shared" si="4"/>
        <v>148199.99999999997</v>
      </c>
      <c r="H23">
        <f t="shared" si="5"/>
        <v>5700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1.5833333333333335E-2</v>
      </c>
      <c r="C24" s="85">
        <f t="shared" si="2"/>
        <v>0</v>
      </c>
      <c r="D24" s="74">
        <f t="shared" si="3"/>
        <v>1.5833333333333335E-2</v>
      </c>
      <c r="E24">
        <f>COUNTIF(tables_555010!C:C,input_555010!A24)-COUNTIF(Q:Q,A24)</f>
        <v>4</v>
      </c>
      <c r="F24" s="43">
        <f t="shared" si="8"/>
        <v>3.9583333333333337E-3</v>
      </c>
      <c r="G24">
        <f t="shared" si="4"/>
        <v>91200.000000000015</v>
      </c>
      <c r="H24">
        <f t="shared" si="5"/>
        <v>22800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1.9791666666666666E-2</v>
      </c>
      <c r="C25" s="85">
        <f t="shared" si="2"/>
        <v>0</v>
      </c>
      <c r="D25" s="74">
        <f t="shared" si="3"/>
        <v>1.9791666666666666E-2</v>
      </c>
      <c r="E25">
        <f>COUNTIF(tables_555010!C:C,input_555010!A25)-COUNTIF(Q:Q,A25)</f>
        <v>4</v>
      </c>
      <c r="F25" s="43">
        <f t="shared" si="8"/>
        <v>4.9479166666666664E-3</v>
      </c>
      <c r="G25">
        <f t="shared" si="4"/>
        <v>114000</v>
      </c>
      <c r="H25">
        <f t="shared" si="5"/>
        <v>28500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3.9583333333333337E-3</v>
      </c>
      <c r="C26" s="85">
        <f t="shared" si="2"/>
        <v>0</v>
      </c>
      <c r="D26" s="74">
        <f t="shared" si="3"/>
        <v>3.9583333333333337E-3</v>
      </c>
      <c r="E26">
        <f>COUNTIF(tables_555010!C:C,input_555010!A26)-COUNTIF(Q:Q,A26)</f>
        <v>4</v>
      </c>
      <c r="F26" s="43">
        <f t="shared" si="8"/>
        <v>9.8958333333333342E-4</v>
      </c>
      <c r="G26">
        <f t="shared" si="4"/>
        <v>22800.000000000004</v>
      </c>
      <c r="H26">
        <f t="shared" si="5"/>
        <v>5700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1.7500000000000002E-2</v>
      </c>
      <c r="C27" s="85">
        <f t="shared" si="2"/>
        <v>0</v>
      </c>
      <c r="D27" s="74">
        <f t="shared" si="3"/>
        <v>1.7500000000000002E-2</v>
      </c>
      <c r="E27">
        <f>COUNTIF(tables_555010!C:C,input_555010!A27)-COUNTIF(Q:Q,A27)</f>
        <v>28</v>
      </c>
      <c r="F27" s="43">
        <f>IFERROR(B27/E27,0)</f>
        <v>6.2500000000000001E-4</v>
      </c>
      <c r="G27">
        <f t="shared" si="4"/>
        <v>100800.00000000001</v>
      </c>
      <c r="H27">
        <f t="shared" si="5"/>
        <v>3600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1.9444444444444446E-3</v>
      </c>
      <c r="C28" s="85">
        <f t="shared" si="2"/>
        <v>0</v>
      </c>
      <c r="D28" s="74">
        <f t="shared" si="3"/>
        <v>1.9444444444444446E-3</v>
      </c>
      <c r="E28">
        <f>COUNTIF(tables_555010!C:C,input_555010!A28)-COUNTIF(Q:Q,A28)</f>
        <v>28</v>
      </c>
      <c r="F28" s="43">
        <f t="shared" si="8"/>
        <v>6.9444444444444444E-5</v>
      </c>
      <c r="G28">
        <f t="shared" si="4"/>
        <v>11200.000000000002</v>
      </c>
      <c r="H28">
        <f t="shared" si="5"/>
        <v>400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3.0555555555555558E-2</v>
      </c>
      <c r="C29" s="85">
        <f t="shared" si="2"/>
        <v>0</v>
      </c>
      <c r="D29" s="74">
        <f t="shared" si="3"/>
        <v>3.0555555555555558E-2</v>
      </c>
      <c r="E29">
        <f>COUNTIF(tables_555010!C:C,input_555010!A29)-COUNTIF(Q:Q,A29)</f>
        <v>44</v>
      </c>
      <c r="F29" s="43">
        <f t="shared" si="8"/>
        <v>6.9444444444444447E-4</v>
      </c>
      <c r="G29">
        <f t="shared" si="4"/>
        <v>176000</v>
      </c>
      <c r="H29">
        <f t="shared" si="5"/>
        <v>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COUNTIF(tables_555010!C:C,input_555010!A30)-COUNTIF(Q:Q,A30)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COUNTIF(tables_555010!C:C,input_555010!A31)-COUNTIF(Q:Q,A31)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SUMIF(tables_555010!C:C,input_555010!A40,tables_555010!O:O)</f>
        <v>1185600</v>
      </c>
      <c r="C40" s="54">
        <f t="shared" ref="C40:C46" ca="1" si="9">B40/B$47</f>
        <v>0.39554280375270456</v>
      </c>
      <c r="E40">
        <v>3</v>
      </c>
      <c r="F40">
        <f ca="1">SUMIF(tables_555010!J:J,input_555010!E40,tables_555010!O:O)</f>
        <v>2304000</v>
      </c>
      <c r="G40">
        <f ca="1">F40/A36</f>
        <v>0.4</v>
      </c>
    </row>
    <row r="41" spans="1:7" x14ac:dyDescent="0.15">
      <c r="A41" s="33" t="s">
        <v>104</v>
      </c>
      <c r="B41">
        <f ca="1">SUMIF(tables_555010!C:C,input_555010!A41,tables_555010!O:O)</f>
        <v>1482000</v>
      </c>
      <c r="C41" s="54">
        <f t="shared" ca="1" si="9"/>
        <v>0.49442850469088073</v>
      </c>
      <c r="E41">
        <v>4</v>
      </c>
      <c r="F41">
        <f ca="1">SUMIF(tables_555010!J:J,input_555010!E41,tables_555010!O:O)</f>
        <v>2880000</v>
      </c>
      <c r="G41">
        <f ca="1">F41/A36</f>
        <v>0.5</v>
      </c>
    </row>
    <row r="42" spans="1:7" x14ac:dyDescent="0.15">
      <c r="A42" s="33" t="s">
        <v>106</v>
      </c>
      <c r="B42">
        <f ca="1">SUMIF(tables_555010!C:C,input_555010!A42,tables_555010!O:O)</f>
        <v>100800</v>
      </c>
      <c r="C42" s="54">
        <f t="shared" ca="1" si="9"/>
        <v>3.3629145258327109E-2</v>
      </c>
      <c r="E42">
        <v>5</v>
      </c>
      <c r="F42">
        <f ca="1">SUMIF(tables_555010!J:J,input_555010!E42,tables_555010!O:O)</f>
        <v>576000.00007999979</v>
      </c>
      <c r="G42">
        <f ca="1">F42/A36</f>
        <v>0.10000000001388885</v>
      </c>
    </row>
    <row r="43" spans="1:7" x14ac:dyDescent="0.15">
      <c r="A43" s="33" t="s">
        <v>109</v>
      </c>
      <c r="B43">
        <f>SUMIF(tables_555010!C:C,input_555010!A43,tables_555010!O:O)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SUMIF(tables_555010!C:C,input_555010!A44,tables_555010!O:O)</f>
        <v>217800.00007999988</v>
      </c>
      <c r="C44" s="54">
        <f t="shared" ca="1" si="9"/>
        <v>7.2662974602717978E-2</v>
      </c>
      <c r="E44" t="s">
        <v>54</v>
      </c>
      <c r="F44" s="55"/>
    </row>
    <row r="45" spans="1:7" x14ac:dyDescent="0.15">
      <c r="A45" s="33" t="s">
        <v>107</v>
      </c>
      <c r="B45">
        <f ca="1">SUMIF(tables_555010!C:C,input_555010!A45,tables_555010!O:O)</f>
        <v>11200</v>
      </c>
      <c r="C45" s="54">
        <f t="shared" ca="1" si="9"/>
        <v>3.7365716953696787E-3</v>
      </c>
      <c r="E45" t="s">
        <v>204</v>
      </c>
      <c r="F45" s="55">
        <f ca="1">SUMIF(tables_555010!I:I,input_555010!E45,tables_555010!P:P)</f>
        <v>0.21749999999697892</v>
      </c>
    </row>
    <row r="46" spans="1:7" x14ac:dyDescent="0.15">
      <c r="A46" s="33" t="s">
        <v>108</v>
      </c>
      <c r="B46">
        <f>SUMIF(tables_555010!C:C,input_555010!A46,tables_555010!O:O)</f>
        <v>0</v>
      </c>
      <c r="C46" s="54">
        <f t="shared" ca="1" si="9"/>
        <v>0</v>
      </c>
      <c r="E46" t="s">
        <v>205</v>
      </c>
      <c r="F46" s="55">
        <f ca="1">SUMIF(tables_555010!I:I,input_555010!E46,tables_555010!P:P)</f>
        <v>0.19345552884800757</v>
      </c>
    </row>
    <row r="47" spans="1:7" x14ac:dyDescent="0.15">
      <c r="A47" s="39" t="s">
        <v>59</v>
      </c>
      <c r="B47">
        <f ca="1">SUM(B40:B46)</f>
        <v>2997400.0000799997</v>
      </c>
      <c r="C47" s="55">
        <f ca="1">SUM(C40:C46)</f>
        <v>1.0000000000000002</v>
      </c>
      <c r="E47" t="s">
        <v>206</v>
      </c>
      <c r="F47" s="55">
        <f ca="1">SUMIF(tables_555010!I:I,input_555010!E47,tables_555010!P:P)</f>
        <v>0.53904447115570753</v>
      </c>
    </row>
    <row r="48" spans="1:7" x14ac:dyDescent="0.15">
      <c r="E48" t="s">
        <v>207</v>
      </c>
      <c r="F48" s="55">
        <f ca="1">SUMIF(tables_555010!I:I,input_555010!E48,tables_555010!P:P)</f>
        <v>4.3749999999392344E-2</v>
      </c>
      <c r="G48" s="55"/>
    </row>
    <row r="49" spans="5:6" x14ac:dyDescent="0.15">
      <c r="E49" t="s">
        <v>250</v>
      </c>
      <c r="F49" s="55">
        <f ca="1">SUMIF(tables_555010!I:I,input_555010!E49,tables_555010!P:P)</f>
        <v>6.2499999999131948E-3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55"/>
  <sheetViews>
    <sheetView showGridLines="0" zoomScale="75" zoomScaleNormal="75" zoomScalePageLayoutView="75" workbookViewId="0">
      <pane ySplit="1" topLeftCell="A327" activePane="bottomLeft" state="frozen"/>
      <selection activeCell="H276" sqref="H276"/>
      <selection pane="bottomLeft" activeCell="Q2" sqref="Q2:Q35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input_555010!A$2</f>
        <v>555010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IFERROR(VLOOKUP(B2,input_555010!L:R,7,FALSE),VLOOKUP(tables_555010!C2,input_555010!A:H,8,FALSE))</f>
        <v>51360</v>
      </c>
      <c r="P2" s="46">
        <f t="shared" ref="P2:P65" ca="1" si="1">O2/SUM(O:O)</f>
        <v>8.9166666665428246E-3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input_555010!A$2</f>
        <v>555010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IFERROR(VLOOKUP(B3,input_555010!L:R,7,FALSE),VLOOKUP(tables_555010!C3,input_555010!A:H,8,FALSE))</f>
        <v>9570</v>
      </c>
      <c r="P3" s="46">
        <f t="shared" ca="1" si="1"/>
        <v>1.6614583333102576E-3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input_555010!A$2</f>
        <v>555010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IFERROR(VLOOKUP(B4,input_555010!L:R,7,FALSE),VLOOKUP(tables_555010!C4,input_555010!A:H,8,FALSE))</f>
        <v>51360</v>
      </c>
      <c r="P4" s="46">
        <f t="shared" ca="1" si="1"/>
        <v>8.9166666665428246E-3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input_555010!A$2</f>
        <v>555010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IFERROR(VLOOKUP(B5,input_555010!L:R,7,FALSE),VLOOKUP(tables_555010!C5,input_555010!A:H,8,FALSE))</f>
        <v>9570</v>
      </c>
      <c r="P5" s="46">
        <f t="shared" ca="1" si="1"/>
        <v>1.6614583333102576E-3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input_555010!A$2</f>
        <v>555010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IFERROR(VLOOKUP(B6,input_555010!L:R,7,FALSE),VLOOKUP(tables_555010!C6,input_555010!A:H,8,FALSE))</f>
        <v>51360</v>
      </c>
      <c r="P6" s="46">
        <f t="shared" ca="1" si="1"/>
        <v>8.9166666665428246E-3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input_555010!A$2</f>
        <v>555010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IFERROR(VLOOKUP(B7,input_555010!L:R,7,FALSE),VLOOKUP(tables_555010!C7,input_555010!A:H,8,FALSE))</f>
        <v>9570</v>
      </c>
      <c r="P7" s="46">
        <f t="shared" ca="1" si="1"/>
        <v>1.6614583333102576E-3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input_555010!A$2</f>
        <v>555010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IFERROR(VLOOKUP(B8,input_555010!L:R,7,FALSE),VLOOKUP(tables_555010!C8,input_555010!A:H,8,FALSE))</f>
        <v>51360</v>
      </c>
      <c r="P8" s="46">
        <f t="shared" ca="1" si="1"/>
        <v>8.9166666665428246E-3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input_555010!A$2</f>
        <v>555010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IFERROR(VLOOKUP(B9,input_555010!L:R,7,FALSE),VLOOKUP(tables_555010!C9,input_555010!A:H,8,FALSE))</f>
        <v>9570</v>
      </c>
      <c r="P9" s="46">
        <f t="shared" ca="1" si="1"/>
        <v>1.6614583333102576E-3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input_555010!A$2</f>
        <v>555010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IFERROR(VLOOKUP(B10,input_555010!L:R,7,FALSE),VLOOKUP(tables_555010!C10,input_555010!A:H,8,FALSE))</f>
        <v>51360</v>
      </c>
      <c r="P10" s="46">
        <f t="shared" ca="1" si="1"/>
        <v>8.9166666665428246E-3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input_555010!A$2</f>
        <v>555010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IFERROR(VLOOKUP(B11,input_555010!L:R,7,FALSE),VLOOKUP(tables_555010!C11,input_555010!A:H,8,FALSE))</f>
        <v>9570</v>
      </c>
      <c r="P11" s="46">
        <f t="shared" ca="1" si="1"/>
        <v>1.6614583333102576E-3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input_555010!A$2</f>
        <v>555010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IFERROR(VLOOKUP(B12,input_555010!L:R,7,FALSE),VLOOKUP(tables_555010!C12,input_555010!A:H,8,FALSE))</f>
        <v>51360</v>
      </c>
      <c r="P12" s="46">
        <f t="shared" ca="1" si="1"/>
        <v>8.9166666665428246E-3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input_555010!A$2</f>
        <v>555010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IFERROR(VLOOKUP(B13,input_555010!L:R,7,FALSE),VLOOKUP(tables_555010!C13,input_555010!A:H,8,FALSE))</f>
        <v>9570</v>
      </c>
      <c r="P13" s="46">
        <f t="shared" ca="1" si="1"/>
        <v>1.6614583333102576E-3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input_555010!A$2</f>
        <v>555010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IFERROR(VLOOKUP(B14,input_555010!L:R,7,FALSE),VLOOKUP(tables_555010!C14,input_555010!A:H,8,FALSE))</f>
        <v>51360</v>
      </c>
      <c r="P14" s="46">
        <f t="shared" ca="1" si="1"/>
        <v>8.9166666665428246E-3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input_555010!A$2</f>
        <v>555010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IFERROR(VLOOKUP(B15,input_555010!L:R,7,FALSE),VLOOKUP(tables_555010!C15,input_555010!A:H,8,FALSE))</f>
        <v>9570</v>
      </c>
      <c r="P15" s="46">
        <f t="shared" ca="1" si="1"/>
        <v>1.6614583333102576E-3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input_555010!A$2</f>
        <v>555010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IFERROR(VLOOKUP(B16,input_555010!L:R,7,FALSE),VLOOKUP(tables_555010!C16,input_555010!A:H,8,FALSE))</f>
        <v>51360</v>
      </c>
      <c r="P16" s="46">
        <f t="shared" ca="1" si="1"/>
        <v>8.9166666665428246E-3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input_555010!A$2</f>
        <v>555010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IFERROR(VLOOKUP(B17,input_555010!L:R,7,FALSE),VLOOKUP(tables_555010!C17,input_555010!A:H,8,FALSE))</f>
        <v>9570</v>
      </c>
      <c r="P17" s="46">
        <f t="shared" ca="1" si="1"/>
        <v>1.6614583333102576E-3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input_555010!A$2</f>
        <v>555010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IFERROR(VLOOKUP(B18,input_555010!L:R,7,FALSE),VLOOKUP(tables_555010!C18,input_555010!A:H,8,FALSE))</f>
        <v>51360</v>
      </c>
      <c r="P18" s="46">
        <f t="shared" ca="1" si="1"/>
        <v>8.9166666665428246E-3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input_555010!A$2</f>
        <v>555010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IFERROR(VLOOKUP(B19,input_555010!L:R,7,FALSE),VLOOKUP(tables_555010!C19,input_555010!A:H,8,FALSE))</f>
        <v>9570</v>
      </c>
      <c r="P19" s="46">
        <f t="shared" ca="1" si="1"/>
        <v>1.6614583333102576E-3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input_555010!A$2</f>
        <v>555010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IFERROR(VLOOKUP(B20,input_555010!L:R,7,FALSE),VLOOKUP(tables_555010!C20,input_555010!A:H,8,FALSE))</f>
        <v>51360</v>
      </c>
      <c r="P20" s="46">
        <f t="shared" ca="1" si="1"/>
        <v>8.9166666665428246E-3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input_555010!A$2</f>
        <v>555010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IFERROR(VLOOKUP(B21,input_555010!L:R,7,FALSE),VLOOKUP(tables_555010!C21,input_555010!A:H,8,FALSE))</f>
        <v>9570</v>
      </c>
      <c r="P21" s="46">
        <f t="shared" ca="1" si="1"/>
        <v>1.6614583333102576E-3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input_555010!A$2</f>
        <v>555010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IFERROR(VLOOKUP(B22,input_555010!L:R,7,FALSE),VLOOKUP(tables_555010!C22,input_555010!A:H,8,FALSE))</f>
        <v>51360</v>
      </c>
      <c r="P22" s="46">
        <f t="shared" ca="1" si="1"/>
        <v>8.9166666665428246E-3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input_555010!A$2</f>
        <v>555010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IFERROR(VLOOKUP(B23,input_555010!L:R,7,FALSE),VLOOKUP(tables_555010!C23,input_555010!A:H,8,FALSE))</f>
        <v>9570</v>
      </c>
      <c r="P23" s="46">
        <f t="shared" ca="1" si="1"/>
        <v>1.6614583333102576E-3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input_555010!A$2</f>
        <v>555010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IFERROR(VLOOKUP(B24,input_555010!L:R,7,FALSE),VLOOKUP(tables_555010!C24,input_555010!A:H,8,FALSE))</f>
        <v>51360</v>
      </c>
      <c r="P24" s="46">
        <f t="shared" ca="1" si="1"/>
        <v>8.9166666665428246E-3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input_555010!A$2</f>
        <v>555010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IFERROR(VLOOKUP(B25,input_555010!L:R,7,FALSE),VLOOKUP(tables_555010!C25,input_555010!A:H,8,FALSE))</f>
        <v>9570</v>
      </c>
      <c r="P25" s="46">
        <f t="shared" ca="1" si="1"/>
        <v>1.6614583333102576E-3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input_555010!A$2</f>
        <v>555010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IFERROR(VLOOKUP(B26,input_555010!L:R,7,FALSE),VLOOKUP(tables_555010!C26,input_555010!A:H,8,FALSE))</f>
        <v>51360</v>
      </c>
      <c r="P26" s="46">
        <f t="shared" ca="1" si="1"/>
        <v>8.9166666665428246E-3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input_555010!A$2</f>
        <v>555010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IFERROR(VLOOKUP(B27,input_555010!L:R,7,FALSE),VLOOKUP(tables_555010!C27,input_555010!A:H,8,FALSE))</f>
        <v>9570</v>
      </c>
      <c r="P27" s="46">
        <f t="shared" ca="1" si="1"/>
        <v>1.6614583333102576E-3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input_555010!A$2</f>
        <v>555010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IFERROR(VLOOKUP(B28,input_555010!L:R,7,FALSE),VLOOKUP(tables_555010!C28,input_555010!A:H,8,FALSE))</f>
        <v>51360</v>
      </c>
      <c r="P28" s="46">
        <f t="shared" ca="1" si="1"/>
        <v>8.9166666665428246E-3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input_555010!A$2</f>
        <v>555010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IFERROR(VLOOKUP(B29,input_555010!L:R,7,FALSE),VLOOKUP(tables_555010!C29,input_555010!A:H,8,FALSE))</f>
        <v>9570</v>
      </c>
      <c r="P29" s="46">
        <f t="shared" ca="1" si="1"/>
        <v>1.6614583333102576E-3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input_555010!A$2</f>
        <v>555010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IFERROR(VLOOKUP(B30,input_555010!L:R,7,FALSE),VLOOKUP(tables_555010!C30,input_555010!A:H,8,FALSE))</f>
        <v>51360</v>
      </c>
      <c r="P30" s="46">
        <f t="shared" ca="1" si="1"/>
        <v>8.9166666665428246E-3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input_555010!A$2</f>
        <v>555010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IFERROR(VLOOKUP(B31,input_555010!L:R,7,FALSE),VLOOKUP(tables_555010!C31,input_555010!A:H,8,FALSE))</f>
        <v>9570</v>
      </c>
      <c r="P31" s="46">
        <f t="shared" ca="1" si="1"/>
        <v>1.6614583333102576E-3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input_555010!A$2</f>
        <v>555010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IFERROR(VLOOKUP(B32,input_555010!L:R,7,FALSE),VLOOKUP(tables_555010!C32,input_555010!A:H,8,FALSE))</f>
        <v>51360</v>
      </c>
      <c r="P32" s="46">
        <f t="shared" ca="1" si="1"/>
        <v>8.9166666665428246E-3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input_555010!A$2</f>
        <v>555010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IFERROR(VLOOKUP(B33,input_555010!L:R,7,FALSE),VLOOKUP(tables_555010!C33,input_555010!A:H,8,FALSE))</f>
        <v>9570</v>
      </c>
      <c r="P33" s="46">
        <f t="shared" ca="1" si="1"/>
        <v>1.6614583333102576E-3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input_555010!A$2</f>
        <v>555010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IFERROR(VLOOKUP(B34,input_555010!L:R,7,FALSE),VLOOKUP(tables_555010!C34,input_555010!A:H,8,FALSE))</f>
        <v>51360</v>
      </c>
      <c r="P34" s="46">
        <f t="shared" ca="1" si="1"/>
        <v>8.9166666665428246E-3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input_555010!A$2</f>
        <v>555010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IFERROR(VLOOKUP(B35,input_555010!L:R,7,FALSE),VLOOKUP(tables_555010!C35,input_555010!A:H,8,FALSE))</f>
        <v>9570</v>
      </c>
      <c r="P35" s="46">
        <f t="shared" ca="1" si="1"/>
        <v>1.6614583333102576E-3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input_555010!A$2</f>
        <v>555010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IFERROR(VLOOKUP(B36,input_555010!L:R,7,FALSE),VLOOKUP(tables_555010!C36,input_555010!A:H,8,FALSE))</f>
        <v>51360</v>
      </c>
      <c r="P36" s="46">
        <f t="shared" ca="1" si="1"/>
        <v>8.9166666665428246E-3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input_555010!A$2</f>
        <v>555010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IFERROR(VLOOKUP(B37,input_555010!L:R,7,FALSE),VLOOKUP(tables_555010!C37,input_555010!A:H,8,FALSE))</f>
        <v>9570</v>
      </c>
      <c r="P37" s="46">
        <f t="shared" ca="1" si="1"/>
        <v>1.6614583333102576E-3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input_555010!A$2</f>
        <v>555010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IFERROR(VLOOKUP(B38,input_555010!L:R,7,FALSE),VLOOKUP(tables_555010!C38,input_555010!A:H,8,FALSE))</f>
        <v>51360</v>
      </c>
      <c r="P38" s="46">
        <f t="shared" ca="1" si="1"/>
        <v>8.9166666665428246E-3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input_555010!A$2</f>
        <v>555010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IFERROR(VLOOKUP(B39,input_555010!L:R,7,FALSE),VLOOKUP(tables_555010!C39,input_555010!A:H,8,FALSE))</f>
        <v>9570</v>
      </c>
      <c r="P39" s="46">
        <f t="shared" ca="1" si="1"/>
        <v>1.6614583333102576E-3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input_555010!A$2</f>
        <v>555010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IFERROR(VLOOKUP(B40,input_555010!L:R,7,FALSE),VLOOKUP(tables_555010!C40,input_555010!A:H,8,FALSE))</f>
        <v>51360</v>
      </c>
      <c r="P40" s="46">
        <f t="shared" ca="1" si="1"/>
        <v>8.9166666665428246E-3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input_555010!A$2</f>
        <v>555010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IFERROR(VLOOKUP(B41,input_555010!L:R,7,FALSE),VLOOKUP(tables_555010!C41,input_555010!A:H,8,FALSE))</f>
        <v>9570</v>
      </c>
      <c r="P41" s="46">
        <f t="shared" ca="1" si="1"/>
        <v>1.6614583333102576E-3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input_555010!A$2</f>
        <v>555010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IFERROR(VLOOKUP(B42,input_555010!L:R,7,FALSE),VLOOKUP(tables_555010!C42,input_555010!A:H,8,FALSE))</f>
        <v>22800</v>
      </c>
      <c r="P42" s="46">
        <f t="shared" ca="1" si="1"/>
        <v>3.9583333332783568E-3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input_555010!A$2</f>
        <v>555010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IFERROR(VLOOKUP(B43,input_555010!L:R,7,FALSE),VLOOKUP(tables_555010!C43,input_555010!A:H,8,FALSE))</f>
        <v>28500</v>
      </c>
      <c r="P43" s="46">
        <f t="shared" ca="1" si="1"/>
        <v>4.9479166665979462E-3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input_555010!A$2</f>
        <v>555010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IFERROR(VLOOKUP(B44,input_555010!L:R,7,FALSE),VLOOKUP(tables_555010!C44,input_555010!A:H,8,FALSE))</f>
        <v>5700</v>
      </c>
      <c r="P44" s="46">
        <f t="shared" ca="1" si="1"/>
        <v>9.895833333195892E-4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input_555010!A$2</f>
        <v>555010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IFERROR(VLOOKUP(B45,input_555010!L:R,7,FALSE),VLOOKUP(tables_555010!C45,input_555010!A:H,8,FALSE))</f>
        <v>22800</v>
      </c>
      <c r="P45" s="46">
        <f t="shared" ca="1" si="1"/>
        <v>3.9583333332783568E-3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input_555010!A$2</f>
        <v>555010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IFERROR(VLOOKUP(B46,input_555010!L:R,7,FALSE),VLOOKUP(tables_555010!C46,input_555010!A:H,8,FALSE))</f>
        <v>28500</v>
      </c>
      <c r="P46" s="46">
        <f t="shared" ca="1" si="1"/>
        <v>4.9479166665979462E-3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input_555010!A$2</f>
        <v>555010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IFERROR(VLOOKUP(B47,input_555010!L:R,7,FALSE),VLOOKUP(tables_555010!C47,input_555010!A:H,8,FALSE))</f>
        <v>5700</v>
      </c>
      <c r="P47" s="46">
        <f t="shared" ca="1" si="1"/>
        <v>9.895833333195892E-4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input_555010!A$2</f>
        <v>555010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IFERROR(VLOOKUP(B48,input_555010!L:R,7,FALSE),VLOOKUP(tables_555010!C48,input_555010!A:H,8,FALSE))</f>
        <v>22800</v>
      </c>
      <c r="P48" s="46">
        <f t="shared" ca="1" si="1"/>
        <v>3.9583333332783568E-3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input_555010!A$2</f>
        <v>555010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IFERROR(VLOOKUP(B49,input_555010!L:R,7,FALSE),VLOOKUP(tables_555010!C49,input_555010!A:H,8,FALSE))</f>
        <v>28500</v>
      </c>
      <c r="P49" s="46">
        <f t="shared" ca="1" si="1"/>
        <v>4.9479166665979462E-3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input_555010!A$2</f>
        <v>555010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IFERROR(VLOOKUP(B50,input_555010!L:R,7,FALSE),VLOOKUP(tables_555010!C50,input_555010!A:H,8,FALSE))</f>
        <v>5700</v>
      </c>
      <c r="P50" s="46">
        <f t="shared" ca="1" si="1"/>
        <v>9.895833333195892E-4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input_555010!A$2</f>
        <v>555010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IFERROR(VLOOKUP(B51,input_555010!L:R,7,FALSE),VLOOKUP(tables_555010!C51,input_555010!A:H,8,FALSE))</f>
        <v>22800</v>
      </c>
      <c r="P51" s="46">
        <f t="shared" ca="1" si="1"/>
        <v>3.9583333332783568E-3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input_555010!A$2</f>
        <v>555010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IFERROR(VLOOKUP(B52,input_555010!L:R,7,FALSE),VLOOKUP(tables_555010!C52,input_555010!A:H,8,FALSE))</f>
        <v>28500</v>
      </c>
      <c r="P52" s="46">
        <f t="shared" ca="1" si="1"/>
        <v>4.9479166665979462E-3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input_555010!A$2</f>
        <v>555010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IFERROR(VLOOKUP(B53,input_555010!L:R,7,FALSE),VLOOKUP(tables_555010!C53,input_555010!A:H,8,FALSE))</f>
        <v>4188.4615400000002</v>
      </c>
      <c r="P53" s="46">
        <f t="shared" ca="1" si="1"/>
        <v>7.2716346179545611E-4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input_555010!A$2</f>
        <v>555010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IFERROR(VLOOKUP(B54,input_555010!L:R,7,FALSE),VLOOKUP(tables_555010!C54,input_555010!A:H,8,FALSE))</f>
        <v>22800</v>
      </c>
      <c r="P54" s="46">
        <f t="shared" ca="1" si="1"/>
        <v>3.9583333332783568E-3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input_555010!A$2</f>
        <v>555010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IFERROR(VLOOKUP(B55,input_555010!L:R,7,FALSE),VLOOKUP(tables_555010!C55,input_555010!A:H,8,FALSE))</f>
        <v>28500</v>
      </c>
      <c r="P55" s="46">
        <f t="shared" ca="1" si="1"/>
        <v>4.9479166665979462E-3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input_555010!A$2</f>
        <v>555010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IFERROR(VLOOKUP(B56,input_555010!L:R,7,FALSE),VLOOKUP(tables_555010!C56,input_555010!A:H,8,FALSE))</f>
        <v>4188.4615400000002</v>
      </c>
      <c r="P56" s="46">
        <f t="shared" ca="1" si="1"/>
        <v>7.2716346179545611E-4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input_555010!A$2</f>
        <v>555010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IFERROR(VLOOKUP(B57,input_555010!L:R,7,FALSE),VLOOKUP(tables_555010!C57,input_555010!A:H,8,FALSE))</f>
        <v>22800</v>
      </c>
      <c r="P57" s="46">
        <f t="shared" ca="1" si="1"/>
        <v>3.9583333332783568E-3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input_555010!A$2</f>
        <v>555010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IFERROR(VLOOKUP(B58,input_555010!L:R,7,FALSE),VLOOKUP(tables_555010!C58,input_555010!A:H,8,FALSE))</f>
        <v>28500</v>
      </c>
      <c r="P58" s="46">
        <f t="shared" ca="1" si="1"/>
        <v>4.9479166665979462E-3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input_555010!A$2</f>
        <v>555010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IFERROR(VLOOKUP(B59,input_555010!L:R,7,FALSE),VLOOKUP(tables_555010!C59,input_555010!A:H,8,FALSE))</f>
        <v>4188.4615400000002</v>
      </c>
      <c r="P59" s="46">
        <f t="shared" ca="1" si="1"/>
        <v>7.2716346179545611E-4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input_555010!A$2</f>
        <v>555010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IFERROR(VLOOKUP(B60,input_555010!L:R,7,FALSE),VLOOKUP(tables_555010!C60,input_555010!A:H,8,FALSE))</f>
        <v>22800</v>
      </c>
      <c r="P60" s="46">
        <f t="shared" ca="1" si="1"/>
        <v>3.9583333332783568E-3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input_555010!A$2</f>
        <v>555010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IFERROR(VLOOKUP(B61,input_555010!L:R,7,FALSE),VLOOKUP(tables_555010!C61,input_555010!A:H,8,FALSE))</f>
        <v>28500</v>
      </c>
      <c r="P61" s="46">
        <f t="shared" ca="1" si="1"/>
        <v>4.9479166665979462E-3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input_555010!A$2</f>
        <v>555010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IFERROR(VLOOKUP(B62,input_555010!L:R,7,FALSE),VLOOKUP(tables_555010!C62,input_555010!A:H,8,FALSE))</f>
        <v>4188.4615400000002</v>
      </c>
      <c r="P62" s="46">
        <f t="shared" ca="1" si="1"/>
        <v>7.2716346179545611E-4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input_555010!A$2</f>
        <v>555010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IFERROR(VLOOKUP(B63,input_555010!L:R,7,FALSE),VLOOKUP(tables_555010!C63,input_555010!A:H,8,FALSE))</f>
        <v>22800</v>
      </c>
      <c r="P63" s="46">
        <f t="shared" ca="1" si="1"/>
        <v>3.9583333332783568E-3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input_555010!A$2</f>
        <v>555010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IFERROR(VLOOKUP(B64,input_555010!L:R,7,FALSE),VLOOKUP(tables_555010!C64,input_555010!A:H,8,FALSE))</f>
        <v>28500</v>
      </c>
      <c r="P64" s="46">
        <f t="shared" ca="1" si="1"/>
        <v>4.9479166665979462E-3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input_555010!A$2</f>
        <v>555010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IFERROR(VLOOKUP(B65,input_555010!L:R,7,FALSE),VLOOKUP(tables_555010!C65,input_555010!A:H,8,FALSE))</f>
        <v>4188.4615400000002</v>
      </c>
      <c r="P65" s="46">
        <f t="shared" ca="1" si="1"/>
        <v>7.2716346179545611E-4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input_555010!A$2</f>
        <v>555010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IFERROR(VLOOKUP(B66,input_555010!L:R,7,FALSE),VLOOKUP(tables_555010!C66,input_555010!A:H,8,FALSE))</f>
        <v>22800</v>
      </c>
      <c r="P66" s="46">
        <f t="shared" ref="P66:P129" ca="1" si="4">O66/SUM(O:O)</f>
        <v>3.9583333332783568E-3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input_555010!A$2</f>
        <v>555010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IFERROR(VLOOKUP(B67,input_555010!L:R,7,FALSE),VLOOKUP(tables_555010!C67,input_555010!A:H,8,FALSE))</f>
        <v>28500</v>
      </c>
      <c r="P67" s="46">
        <f t="shared" ca="1" si="4"/>
        <v>4.9479166665979462E-3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input_555010!A$2</f>
        <v>555010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IFERROR(VLOOKUP(B68,input_555010!L:R,7,FALSE),VLOOKUP(tables_555010!C68,input_555010!A:H,8,FALSE))</f>
        <v>4188.4615400000002</v>
      </c>
      <c r="P68" s="46">
        <f t="shared" ca="1" si="4"/>
        <v>7.2716346179545611E-4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input_555010!A$2</f>
        <v>555010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IFERROR(VLOOKUP(B69,input_555010!L:R,7,FALSE),VLOOKUP(tables_555010!C69,input_555010!A:H,8,FALSE))</f>
        <v>22800</v>
      </c>
      <c r="P69" s="46">
        <f t="shared" ca="1" si="4"/>
        <v>3.9583333332783568E-3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input_555010!A$2</f>
        <v>555010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IFERROR(VLOOKUP(B70,input_555010!L:R,7,FALSE),VLOOKUP(tables_555010!C70,input_555010!A:H,8,FALSE))</f>
        <v>28500</v>
      </c>
      <c r="P70" s="46">
        <f t="shared" ca="1" si="4"/>
        <v>4.9479166665979462E-3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input_555010!A$2</f>
        <v>555010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IFERROR(VLOOKUP(B71,input_555010!L:R,7,FALSE),VLOOKUP(tables_555010!C71,input_555010!A:H,8,FALSE))</f>
        <v>4188.4615400000002</v>
      </c>
      <c r="P71" s="46">
        <f t="shared" ca="1" si="4"/>
        <v>7.2716346179545611E-4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input_555010!A$2</f>
        <v>555010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IFERROR(VLOOKUP(B72,input_555010!L:R,7,FALSE),VLOOKUP(tables_555010!C72,input_555010!A:H,8,FALSE))</f>
        <v>22800</v>
      </c>
      <c r="P72" s="46">
        <f t="shared" ca="1" si="4"/>
        <v>3.9583333332783568E-3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input_555010!A$2</f>
        <v>555010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IFERROR(VLOOKUP(B73,input_555010!L:R,7,FALSE),VLOOKUP(tables_555010!C73,input_555010!A:H,8,FALSE))</f>
        <v>28500</v>
      </c>
      <c r="P73" s="46">
        <f t="shared" ca="1" si="4"/>
        <v>4.9479166665979462E-3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input_555010!A$2</f>
        <v>555010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IFERROR(VLOOKUP(B74,input_555010!L:R,7,FALSE),VLOOKUP(tables_555010!C74,input_555010!A:H,8,FALSE))</f>
        <v>4188.4615400000002</v>
      </c>
      <c r="P74" s="46">
        <f t="shared" ca="1" si="4"/>
        <v>7.2716346179545611E-4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input_555010!A$2</f>
        <v>555010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IFERROR(VLOOKUP(B75,input_555010!L:R,7,FALSE),VLOOKUP(tables_555010!C75,input_555010!A:H,8,FALSE))</f>
        <v>22800</v>
      </c>
      <c r="P75" s="46">
        <f t="shared" ca="1" si="4"/>
        <v>3.9583333332783568E-3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input_555010!A$2</f>
        <v>555010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IFERROR(VLOOKUP(B76,input_555010!L:R,7,FALSE),VLOOKUP(tables_555010!C76,input_555010!A:H,8,FALSE))</f>
        <v>28500</v>
      </c>
      <c r="P76" s="46">
        <f t="shared" ca="1" si="4"/>
        <v>4.9479166665979462E-3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input_555010!A$2</f>
        <v>555010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IFERROR(VLOOKUP(B77,input_555010!L:R,7,FALSE),VLOOKUP(tables_555010!C77,input_555010!A:H,8,FALSE))</f>
        <v>4188.4615400000002</v>
      </c>
      <c r="P77" s="46">
        <f t="shared" ca="1" si="4"/>
        <v>7.2716346179545611E-4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input_555010!A$2</f>
        <v>555010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IFERROR(VLOOKUP(B78,input_555010!L:R,7,FALSE),VLOOKUP(tables_555010!C78,input_555010!A:H,8,FALSE))</f>
        <v>22800</v>
      </c>
      <c r="P78" s="46">
        <f t="shared" ca="1" si="4"/>
        <v>3.9583333332783568E-3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input_555010!A$2</f>
        <v>555010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IFERROR(VLOOKUP(B79,input_555010!L:R,7,FALSE),VLOOKUP(tables_555010!C79,input_555010!A:H,8,FALSE))</f>
        <v>28500</v>
      </c>
      <c r="P79" s="46">
        <f t="shared" ca="1" si="4"/>
        <v>4.9479166665979462E-3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input_555010!A$2</f>
        <v>555010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IFERROR(VLOOKUP(B80,input_555010!L:R,7,FALSE),VLOOKUP(tables_555010!C80,input_555010!A:H,8,FALSE))</f>
        <v>4188.4615400000002</v>
      </c>
      <c r="P80" s="46">
        <f t="shared" ca="1" si="4"/>
        <v>7.2716346179545611E-4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input_555010!A$2</f>
        <v>555010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IFERROR(VLOOKUP(B81,input_555010!L:R,7,FALSE),VLOOKUP(tables_555010!C81,input_555010!A:H,8,FALSE))</f>
        <v>22800</v>
      </c>
      <c r="P81" s="46">
        <f t="shared" ca="1" si="4"/>
        <v>3.9583333332783568E-3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input_555010!A$2</f>
        <v>555010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IFERROR(VLOOKUP(B82,input_555010!L:R,7,FALSE),VLOOKUP(tables_555010!C82,input_555010!A:H,8,FALSE))</f>
        <v>28500</v>
      </c>
      <c r="P82" s="46">
        <f t="shared" ca="1" si="4"/>
        <v>4.9479166665979462E-3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input_555010!A$2</f>
        <v>555010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IFERROR(VLOOKUP(B83,input_555010!L:R,7,FALSE),VLOOKUP(tables_555010!C83,input_555010!A:H,8,FALSE))</f>
        <v>4188.4615400000002</v>
      </c>
      <c r="P83" s="46">
        <f t="shared" ca="1" si="4"/>
        <v>7.2716346179545611E-4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input_555010!A$2</f>
        <v>555010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IFERROR(VLOOKUP(B84,input_555010!L:R,7,FALSE),VLOOKUP(tables_555010!C84,input_555010!A:H,8,FALSE))</f>
        <v>22800</v>
      </c>
      <c r="P84" s="46">
        <f t="shared" ca="1" si="4"/>
        <v>3.9583333332783568E-3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input_555010!A$2</f>
        <v>555010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IFERROR(VLOOKUP(B85,input_555010!L:R,7,FALSE),VLOOKUP(tables_555010!C85,input_555010!A:H,8,FALSE))</f>
        <v>28500</v>
      </c>
      <c r="P85" s="46">
        <f t="shared" ca="1" si="4"/>
        <v>4.9479166665979462E-3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input_555010!A$2</f>
        <v>555010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IFERROR(VLOOKUP(B86,input_555010!L:R,7,FALSE),VLOOKUP(tables_555010!C86,input_555010!A:H,8,FALSE))</f>
        <v>4188.4615400000002</v>
      </c>
      <c r="P86" s="46">
        <f t="shared" ca="1" si="4"/>
        <v>7.2716346179545611E-4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input_555010!A$2</f>
        <v>555010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IFERROR(VLOOKUP(B87,input_555010!L:R,7,FALSE),VLOOKUP(tables_555010!C87,input_555010!A:H,8,FALSE))</f>
        <v>22800</v>
      </c>
      <c r="P87" s="46">
        <f t="shared" ca="1" si="4"/>
        <v>3.9583333332783568E-3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input_555010!A$2</f>
        <v>555010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IFERROR(VLOOKUP(B88,input_555010!L:R,7,FALSE),VLOOKUP(tables_555010!C88,input_555010!A:H,8,FALSE))</f>
        <v>28500</v>
      </c>
      <c r="P88" s="46">
        <f t="shared" ca="1" si="4"/>
        <v>4.9479166665979462E-3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input_555010!A$2</f>
        <v>555010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IFERROR(VLOOKUP(B89,input_555010!L:R,7,FALSE),VLOOKUP(tables_555010!C89,input_555010!A:H,8,FALSE))</f>
        <v>4188.4615400000002</v>
      </c>
      <c r="P89" s="46">
        <f t="shared" ca="1" si="4"/>
        <v>7.2716346179545611E-4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input_555010!A$2</f>
        <v>555010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IFERROR(VLOOKUP(B90,input_555010!L:R,7,FALSE),VLOOKUP(tables_555010!C90,input_555010!A:H,8,FALSE))</f>
        <v>22800</v>
      </c>
      <c r="P90" s="46">
        <f t="shared" ca="1" si="4"/>
        <v>3.9583333332783568E-3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input_555010!A$2</f>
        <v>555010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IFERROR(VLOOKUP(B91,input_555010!L:R,7,FALSE),VLOOKUP(tables_555010!C91,input_555010!A:H,8,FALSE))</f>
        <v>28500</v>
      </c>
      <c r="P91" s="46">
        <f t="shared" ca="1" si="4"/>
        <v>4.9479166665979462E-3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input_555010!A$2</f>
        <v>555010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IFERROR(VLOOKUP(B92,input_555010!L:R,7,FALSE),VLOOKUP(tables_555010!C92,input_555010!A:H,8,FALSE))</f>
        <v>4188.4615400000002</v>
      </c>
      <c r="P92" s="46">
        <f t="shared" ca="1" si="4"/>
        <v>7.2716346179545611E-4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input_555010!A$2</f>
        <v>555010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IFERROR(VLOOKUP(B93,input_555010!L:R,7,FALSE),VLOOKUP(tables_555010!C93,input_555010!A:H,8,FALSE))</f>
        <v>22800</v>
      </c>
      <c r="P93" s="46">
        <f t="shared" ca="1" si="4"/>
        <v>3.9583333332783568E-3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input_555010!A$2</f>
        <v>555010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IFERROR(VLOOKUP(B94,input_555010!L:R,7,FALSE),VLOOKUP(tables_555010!C94,input_555010!A:H,8,FALSE))</f>
        <v>28500</v>
      </c>
      <c r="P94" s="46">
        <f t="shared" ca="1" si="4"/>
        <v>4.9479166665979462E-3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input_555010!A$2</f>
        <v>555010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IFERROR(VLOOKUP(B95,input_555010!L:R,7,FALSE),VLOOKUP(tables_555010!C95,input_555010!A:H,8,FALSE))</f>
        <v>4188.4615400000002</v>
      </c>
      <c r="P95" s="46">
        <f t="shared" ca="1" si="4"/>
        <v>7.2716346179545611E-4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input_555010!A$2</f>
        <v>555010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IFERROR(VLOOKUP(B96,input_555010!L:R,7,FALSE),VLOOKUP(tables_555010!C96,input_555010!A:H,8,FALSE))</f>
        <v>22800</v>
      </c>
      <c r="P96" s="46">
        <f t="shared" ca="1" si="4"/>
        <v>3.9583333332783568E-3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input_555010!A$2</f>
        <v>555010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IFERROR(VLOOKUP(B97,input_555010!L:R,7,FALSE),VLOOKUP(tables_555010!C97,input_555010!A:H,8,FALSE))</f>
        <v>28500</v>
      </c>
      <c r="P97" s="46">
        <f t="shared" ca="1" si="4"/>
        <v>4.9479166665979462E-3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input_555010!A$2</f>
        <v>555010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IFERROR(VLOOKUP(B98,input_555010!L:R,7,FALSE),VLOOKUP(tables_555010!C98,input_555010!A:H,8,FALSE))</f>
        <v>4188.4615400000002</v>
      </c>
      <c r="P98" s="46">
        <f t="shared" ca="1" si="4"/>
        <v>7.2716346179545611E-4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input_555010!A$2</f>
        <v>555010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IFERROR(VLOOKUP(B99,input_555010!L:R,7,FALSE),VLOOKUP(tables_555010!C99,input_555010!A:H,8,FALSE))</f>
        <v>22800</v>
      </c>
      <c r="P99" s="46">
        <f t="shared" ca="1" si="4"/>
        <v>3.9583333332783568E-3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input_555010!A$2</f>
        <v>555010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IFERROR(VLOOKUP(B100,input_555010!L:R,7,FALSE),VLOOKUP(tables_555010!C100,input_555010!A:H,8,FALSE))</f>
        <v>28500</v>
      </c>
      <c r="P100" s="46">
        <f t="shared" ca="1" si="4"/>
        <v>4.9479166665979462E-3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input_555010!A$2</f>
        <v>555010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IFERROR(VLOOKUP(B101,input_555010!L:R,7,FALSE),VLOOKUP(tables_555010!C101,input_555010!A:H,8,FALSE))</f>
        <v>4188.4615400000002</v>
      </c>
      <c r="P101" s="46">
        <f t="shared" ca="1" si="4"/>
        <v>7.2716346179545611E-4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input_555010!A$2</f>
        <v>555010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IFERROR(VLOOKUP(B102,input_555010!L:R,7,FALSE),VLOOKUP(tables_555010!C102,input_555010!A:H,8,FALSE))</f>
        <v>22800</v>
      </c>
      <c r="P102" s="46">
        <f t="shared" ca="1" si="4"/>
        <v>3.9583333332783568E-3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input_555010!A$2</f>
        <v>555010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IFERROR(VLOOKUP(B103,input_555010!L:R,7,FALSE),VLOOKUP(tables_555010!C103,input_555010!A:H,8,FALSE))</f>
        <v>28500</v>
      </c>
      <c r="P103" s="46">
        <f t="shared" ca="1" si="4"/>
        <v>4.9479166665979462E-3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input_555010!A$2</f>
        <v>555010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IFERROR(VLOOKUP(B104,input_555010!L:R,7,FALSE),VLOOKUP(tables_555010!C104,input_555010!A:H,8,FALSE))</f>
        <v>4188.4615400000002</v>
      </c>
      <c r="P104" s="46">
        <f t="shared" ca="1" si="4"/>
        <v>7.2716346179545611E-4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input_555010!A$2</f>
        <v>555010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IFERROR(VLOOKUP(B105,input_555010!L:R,7,FALSE),VLOOKUP(tables_555010!C105,input_555010!A:H,8,FALSE))</f>
        <v>22800</v>
      </c>
      <c r="P105" s="46">
        <f t="shared" ca="1" si="4"/>
        <v>3.9583333332783568E-3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input_555010!A$2</f>
        <v>555010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IFERROR(VLOOKUP(B106,input_555010!L:R,7,FALSE),VLOOKUP(tables_555010!C106,input_555010!A:H,8,FALSE))</f>
        <v>28500</v>
      </c>
      <c r="P106" s="46">
        <f t="shared" ca="1" si="4"/>
        <v>4.9479166665979462E-3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input_555010!A$2</f>
        <v>555010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IFERROR(VLOOKUP(B107,input_555010!L:R,7,FALSE),VLOOKUP(tables_555010!C107,input_555010!A:H,8,FALSE))</f>
        <v>4188.4615400000002</v>
      </c>
      <c r="P107" s="46">
        <f t="shared" ca="1" si="4"/>
        <v>7.2716346179545611E-4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input_555010!A$2</f>
        <v>555010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IFERROR(VLOOKUP(B108,input_555010!L:R,7,FALSE),VLOOKUP(tables_555010!C108,input_555010!A:H,8,FALSE))</f>
        <v>22800</v>
      </c>
      <c r="P108" s="46">
        <f t="shared" ca="1" si="4"/>
        <v>3.9583333332783568E-3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input_555010!A$2</f>
        <v>555010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IFERROR(VLOOKUP(B109,input_555010!L:R,7,FALSE),VLOOKUP(tables_555010!C109,input_555010!A:H,8,FALSE))</f>
        <v>28500</v>
      </c>
      <c r="P109" s="46">
        <f t="shared" ca="1" si="4"/>
        <v>4.9479166665979462E-3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input_555010!A$2</f>
        <v>555010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IFERROR(VLOOKUP(B110,input_555010!L:R,7,FALSE),VLOOKUP(tables_555010!C110,input_555010!A:H,8,FALSE))</f>
        <v>4188.4615400000002</v>
      </c>
      <c r="P110" s="46">
        <f t="shared" ca="1" si="4"/>
        <v>7.2716346179545611E-4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input_555010!A$2</f>
        <v>555010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IFERROR(VLOOKUP(B111,input_555010!L:R,7,FALSE),VLOOKUP(tables_555010!C111,input_555010!A:H,8,FALSE))</f>
        <v>22800</v>
      </c>
      <c r="P111" s="46">
        <f t="shared" ca="1" si="4"/>
        <v>3.9583333332783568E-3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input_555010!A$2</f>
        <v>555010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IFERROR(VLOOKUP(B112,input_555010!L:R,7,FALSE),VLOOKUP(tables_555010!C112,input_555010!A:H,8,FALSE))</f>
        <v>28500</v>
      </c>
      <c r="P112" s="46">
        <f t="shared" ca="1" si="4"/>
        <v>4.9479166665979462E-3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input_555010!A$2</f>
        <v>555010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IFERROR(VLOOKUP(B113,input_555010!L:R,7,FALSE),VLOOKUP(tables_555010!C113,input_555010!A:H,8,FALSE))</f>
        <v>5700</v>
      </c>
      <c r="P113" s="46">
        <f t="shared" ca="1" si="4"/>
        <v>9.895833333195892E-4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input_555010!A$2</f>
        <v>555010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IFERROR(VLOOKUP(B114,input_555010!L:R,7,FALSE),VLOOKUP(tables_555010!C114,input_555010!A:H,8,FALSE))</f>
        <v>22800</v>
      </c>
      <c r="P114" s="46">
        <f t="shared" ca="1" si="4"/>
        <v>3.9583333332783568E-3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input_555010!A$2</f>
        <v>555010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IFERROR(VLOOKUP(B115,input_555010!L:R,7,FALSE),VLOOKUP(tables_555010!C115,input_555010!A:H,8,FALSE))</f>
        <v>28500</v>
      </c>
      <c r="P115" s="46">
        <f t="shared" ca="1" si="4"/>
        <v>4.9479166665979462E-3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input_555010!A$2</f>
        <v>555010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IFERROR(VLOOKUP(B116,input_555010!L:R,7,FALSE),VLOOKUP(tables_555010!C116,input_555010!A:H,8,FALSE))</f>
        <v>4188.4615400000002</v>
      </c>
      <c r="P116" s="46">
        <f t="shared" ca="1" si="4"/>
        <v>7.2716346179545611E-4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input_555010!A$2</f>
        <v>555010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IFERROR(VLOOKUP(B117,input_555010!L:R,7,FALSE),VLOOKUP(tables_555010!C117,input_555010!A:H,8,FALSE))</f>
        <v>22800</v>
      </c>
      <c r="P117" s="46">
        <f t="shared" ca="1" si="4"/>
        <v>3.9583333332783568E-3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input_555010!A$2</f>
        <v>555010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IFERROR(VLOOKUP(B118,input_555010!L:R,7,FALSE),VLOOKUP(tables_555010!C118,input_555010!A:H,8,FALSE))</f>
        <v>28500</v>
      </c>
      <c r="P118" s="46">
        <f t="shared" ca="1" si="4"/>
        <v>4.9479166665979462E-3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input_555010!A$2</f>
        <v>555010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IFERROR(VLOOKUP(B119,input_555010!L:R,7,FALSE),VLOOKUP(tables_555010!C119,input_555010!A:H,8,FALSE))</f>
        <v>4188.4615400000002</v>
      </c>
      <c r="P119" s="46">
        <f t="shared" ca="1" si="4"/>
        <v>7.2716346179545611E-4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input_555010!A$2</f>
        <v>555010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IFERROR(VLOOKUP(B120,input_555010!L:R,7,FALSE),VLOOKUP(tables_555010!C120,input_555010!A:H,8,FALSE))</f>
        <v>22800</v>
      </c>
      <c r="P120" s="46">
        <f t="shared" ca="1" si="4"/>
        <v>3.9583333332783568E-3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input_555010!A$2</f>
        <v>555010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IFERROR(VLOOKUP(B121,input_555010!L:R,7,FALSE),VLOOKUP(tables_555010!C121,input_555010!A:H,8,FALSE))</f>
        <v>28500</v>
      </c>
      <c r="P121" s="46">
        <f t="shared" ca="1" si="4"/>
        <v>4.9479166665979462E-3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input_555010!A$2</f>
        <v>555010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IFERROR(VLOOKUP(B122,input_555010!L:R,7,FALSE),VLOOKUP(tables_555010!C122,input_555010!A:H,8,FALSE))</f>
        <v>4188.4615400000002</v>
      </c>
      <c r="P122" s="46">
        <f t="shared" ca="1" si="4"/>
        <v>7.2716346179545611E-4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input_555010!A$2</f>
        <v>555010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IFERROR(VLOOKUP(B123,input_555010!L:R,7,FALSE),VLOOKUP(tables_555010!C123,input_555010!A:H,8,FALSE))</f>
        <v>22800</v>
      </c>
      <c r="P123" s="46">
        <f t="shared" ca="1" si="4"/>
        <v>3.9583333332783568E-3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input_555010!A$2</f>
        <v>555010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IFERROR(VLOOKUP(B124,input_555010!L:R,7,FALSE),VLOOKUP(tables_555010!C124,input_555010!A:H,8,FALSE))</f>
        <v>28500</v>
      </c>
      <c r="P124" s="46">
        <f t="shared" ca="1" si="4"/>
        <v>4.9479166665979462E-3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input_555010!A$2</f>
        <v>555010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IFERROR(VLOOKUP(B125,input_555010!L:R,7,FALSE),VLOOKUP(tables_555010!C125,input_555010!A:H,8,FALSE))</f>
        <v>4188.4615400000002</v>
      </c>
      <c r="P125" s="46">
        <f t="shared" ca="1" si="4"/>
        <v>7.2716346179545611E-4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input_555010!A$2</f>
        <v>555010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IFERROR(VLOOKUP(B126,input_555010!L:R,7,FALSE),VLOOKUP(tables_555010!C126,input_555010!A:H,8,FALSE))</f>
        <v>22800</v>
      </c>
      <c r="P126" s="46">
        <f t="shared" ca="1" si="4"/>
        <v>3.9583333332783568E-3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input_555010!A$2</f>
        <v>555010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IFERROR(VLOOKUP(B127,input_555010!L:R,7,FALSE),VLOOKUP(tables_555010!C127,input_555010!A:H,8,FALSE))</f>
        <v>28500</v>
      </c>
      <c r="P127" s="46">
        <f t="shared" ca="1" si="4"/>
        <v>4.9479166665979462E-3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input_555010!A$2</f>
        <v>555010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IFERROR(VLOOKUP(B128,input_555010!L:R,7,FALSE),VLOOKUP(tables_555010!C128,input_555010!A:H,8,FALSE))</f>
        <v>4188.4615400000002</v>
      </c>
      <c r="P128" s="46">
        <f t="shared" ca="1" si="4"/>
        <v>7.2716346179545611E-4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input_555010!A$2</f>
        <v>555010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IFERROR(VLOOKUP(B129,input_555010!L:R,7,FALSE),VLOOKUP(tables_555010!C129,input_555010!A:H,8,FALSE))</f>
        <v>22800</v>
      </c>
      <c r="P129" s="46">
        <f t="shared" ca="1" si="4"/>
        <v>3.9583333332783568E-3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input_555010!A$2</f>
        <v>555010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IFERROR(VLOOKUP(B130,input_555010!L:R,7,FALSE),VLOOKUP(tables_555010!C130,input_555010!A:H,8,FALSE))</f>
        <v>28500</v>
      </c>
      <c r="P130" s="46">
        <f t="shared" ref="P130:P193" ca="1" si="7">O130/SUM(O:O)</f>
        <v>4.9479166665979462E-3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input_555010!A$2</f>
        <v>555010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IFERROR(VLOOKUP(B131,input_555010!L:R,7,FALSE),VLOOKUP(tables_555010!C131,input_555010!A:H,8,FALSE))</f>
        <v>4188.4615400000002</v>
      </c>
      <c r="P131" s="46">
        <f t="shared" ca="1" si="7"/>
        <v>7.2716346179545611E-4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input_555010!A$2</f>
        <v>555010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IFERROR(VLOOKUP(B132,input_555010!L:R,7,FALSE),VLOOKUP(tables_555010!C132,input_555010!A:H,8,FALSE))</f>
        <v>22800</v>
      </c>
      <c r="P132" s="46">
        <f t="shared" ca="1" si="7"/>
        <v>3.9583333332783568E-3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input_555010!A$2</f>
        <v>555010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IFERROR(VLOOKUP(B133,input_555010!L:R,7,FALSE),VLOOKUP(tables_555010!C133,input_555010!A:H,8,FALSE))</f>
        <v>28500</v>
      </c>
      <c r="P133" s="46">
        <f t="shared" ca="1" si="7"/>
        <v>4.9479166665979462E-3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input_555010!A$2</f>
        <v>555010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IFERROR(VLOOKUP(B134,input_555010!L:R,7,FALSE),VLOOKUP(tables_555010!C134,input_555010!A:H,8,FALSE))</f>
        <v>4188.4615400000002</v>
      </c>
      <c r="P134" s="46">
        <f t="shared" ca="1" si="7"/>
        <v>7.2716346179545611E-4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input_555010!A$2</f>
        <v>555010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IFERROR(VLOOKUP(B135,input_555010!L:R,7,FALSE),VLOOKUP(tables_555010!C135,input_555010!A:H,8,FALSE))</f>
        <v>22800</v>
      </c>
      <c r="P135" s="46">
        <f t="shared" ca="1" si="7"/>
        <v>3.9583333332783568E-3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input_555010!A$2</f>
        <v>555010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IFERROR(VLOOKUP(B136,input_555010!L:R,7,FALSE),VLOOKUP(tables_555010!C136,input_555010!A:H,8,FALSE))</f>
        <v>28500</v>
      </c>
      <c r="P136" s="46">
        <f t="shared" ca="1" si="7"/>
        <v>4.9479166665979462E-3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input_555010!A$2</f>
        <v>555010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IFERROR(VLOOKUP(B137,input_555010!L:R,7,FALSE),VLOOKUP(tables_555010!C137,input_555010!A:H,8,FALSE))</f>
        <v>4188.4615400000002</v>
      </c>
      <c r="P137" s="46">
        <f t="shared" ca="1" si="7"/>
        <v>7.2716346179545611E-4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input_555010!A$2</f>
        <v>555010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IFERROR(VLOOKUP(B138,input_555010!L:R,7,FALSE),VLOOKUP(tables_555010!C138,input_555010!A:H,8,FALSE))</f>
        <v>3600</v>
      </c>
      <c r="P138" s="46">
        <f t="shared" ca="1" si="7"/>
        <v>6.2499999999131946E-4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input_555010!A$2</f>
        <v>555010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IFERROR(VLOOKUP(B139,input_555010!L:R,7,FALSE),VLOOKUP(tables_555010!C139,input_555010!A:H,8,FALSE))</f>
        <v>400</v>
      </c>
      <c r="P139" s="46">
        <f t="shared" ca="1" si="7"/>
        <v>6.9444444443479938E-5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input_555010!A$2</f>
        <v>555010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IFERROR(VLOOKUP(B140,input_555010!L:R,7,FALSE),VLOOKUP(tables_555010!C140,input_555010!A:H,8,FALSE))</f>
        <v>3600</v>
      </c>
      <c r="P140" s="46">
        <f t="shared" ca="1" si="7"/>
        <v>6.2499999999131946E-4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input_555010!A$2</f>
        <v>555010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IFERROR(VLOOKUP(B141,input_555010!L:R,7,FALSE),VLOOKUP(tables_555010!C141,input_555010!A:H,8,FALSE))</f>
        <v>400</v>
      </c>
      <c r="P141" s="46">
        <f t="shared" ca="1" si="7"/>
        <v>6.9444444443479938E-5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input_555010!A$2</f>
        <v>555010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IFERROR(VLOOKUP(B142,input_555010!L:R,7,FALSE),VLOOKUP(tables_555010!C142,input_555010!A:H,8,FALSE))</f>
        <v>3600</v>
      </c>
      <c r="P142" s="46">
        <f t="shared" ca="1" si="7"/>
        <v>6.2499999999131946E-4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input_555010!A$2</f>
        <v>555010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IFERROR(VLOOKUP(B143,input_555010!L:R,7,FALSE),VLOOKUP(tables_555010!C143,input_555010!A:H,8,FALSE))</f>
        <v>400</v>
      </c>
      <c r="P143" s="46">
        <f t="shared" ca="1" si="7"/>
        <v>6.9444444443479938E-5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input_555010!A$2</f>
        <v>555010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IFERROR(VLOOKUP(B144,input_555010!L:R,7,FALSE),VLOOKUP(tables_555010!C144,input_555010!A:H,8,FALSE))</f>
        <v>3600</v>
      </c>
      <c r="P144" s="46">
        <f t="shared" ca="1" si="7"/>
        <v>6.2499999999131946E-4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input_555010!A$2</f>
        <v>555010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IFERROR(VLOOKUP(B145,input_555010!L:R,7,FALSE),VLOOKUP(tables_555010!C145,input_555010!A:H,8,FALSE))</f>
        <v>400</v>
      </c>
      <c r="P145" s="46">
        <f t="shared" ca="1" si="7"/>
        <v>6.9444444443479938E-5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input_555010!A$2</f>
        <v>555010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IFERROR(VLOOKUP(B146,input_555010!L:R,7,FALSE),VLOOKUP(tables_555010!C146,input_555010!A:H,8,FALSE))</f>
        <v>22800</v>
      </c>
      <c r="P146" s="46">
        <f t="shared" ca="1" si="7"/>
        <v>3.9583333332783568E-3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input_555010!A$2</f>
        <v>555010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IFERROR(VLOOKUP(B147,input_555010!L:R,7,FALSE),VLOOKUP(tables_555010!C147,input_555010!A:H,8,FALSE))</f>
        <v>28500</v>
      </c>
      <c r="P147" s="46">
        <f t="shared" ca="1" si="7"/>
        <v>4.9479166665979462E-3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input_555010!A$2</f>
        <v>555010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IFERROR(VLOOKUP(B148,input_555010!L:R,7,FALSE),VLOOKUP(tables_555010!C148,input_555010!A:H,8,FALSE))</f>
        <v>4188.4615400000002</v>
      </c>
      <c r="P148" s="46">
        <f t="shared" ca="1" si="7"/>
        <v>7.2716346179545611E-4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input_555010!A$2</f>
        <v>555010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IFERROR(VLOOKUP(B149,input_555010!L:R,7,FALSE),VLOOKUP(tables_555010!C149,input_555010!A:H,8,FALSE))</f>
        <v>3600</v>
      </c>
      <c r="P149" s="46">
        <f t="shared" ca="1" si="7"/>
        <v>6.2499999999131946E-4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input_555010!A$2</f>
        <v>555010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IFERROR(VLOOKUP(B150,input_555010!L:R,7,FALSE),VLOOKUP(tables_555010!C150,input_555010!A:H,8,FALSE))</f>
        <v>400</v>
      </c>
      <c r="P150" s="46">
        <f t="shared" ca="1" si="7"/>
        <v>6.9444444443479938E-5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input_555010!A$2</f>
        <v>555010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IFERROR(VLOOKUP(B151,input_555010!L:R,7,FALSE),VLOOKUP(tables_555010!C151,input_555010!A:H,8,FALSE))</f>
        <v>3600</v>
      </c>
      <c r="P151" s="46">
        <f t="shared" ca="1" si="7"/>
        <v>6.2499999999131946E-4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input_555010!A$2</f>
        <v>555010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IFERROR(VLOOKUP(B152,input_555010!L:R,7,FALSE),VLOOKUP(tables_555010!C152,input_555010!A:H,8,FALSE))</f>
        <v>400</v>
      </c>
      <c r="P152" s="46">
        <f t="shared" ca="1" si="7"/>
        <v>6.9444444443479938E-5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input_555010!A$2</f>
        <v>555010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IFERROR(VLOOKUP(B153,input_555010!L:R,7,FALSE),VLOOKUP(tables_555010!C153,input_555010!A:H,8,FALSE))</f>
        <v>22800</v>
      </c>
      <c r="P153" s="46">
        <f t="shared" ca="1" si="7"/>
        <v>3.9583333332783568E-3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input_555010!A$2</f>
        <v>555010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IFERROR(VLOOKUP(B154,input_555010!L:R,7,FALSE),VLOOKUP(tables_555010!C154,input_555010!A:H,8,FALSE))</f>
        <v>28500</v>
      </c>
      <c r="P154" s="46">
        <f t="shared" ca="1" si="7"/>
        <v>4.9479166665979462E-3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input_555010!A$2</f>
        <v>555010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IFERROR(VLOOKUP(B155,input_555010!L:R,7,FALSE),VLOOKUP(tables_555010!C155,input_555010!A:H,8,FALSE))</f>
        <v>4188.4615400000002</v>
      </c>
      <c r="P155" s="46">
        <f t="shared" ca="1" si="7"/>
        <v>7.2716346179545611E-4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input_555010!A$2</f>
        <v>555010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IFERROR(VLOOKUP(B156,input_555010!L:R,7,FALSE),VLOOKUP(tables_555010!C156,input_555010!A:H,8,FALSE))</f>
        <v>3600</v>
      </c>
      <c r="P156" s="46">
        <f t="shared" ca="1" si="7"/>
        <v>6.2499999999131946E-4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input_555010!A$2</f>
        <v>555010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IFERROR(VLOOKUP(B157,input_555010!L:R,7,FALSE),VLOOKUP(tables_555010!C157,input_555010!A:H,8,FALSE))</f>
        <v>400</v>
      </c>
      <c r="P157" s="46">
        <f t="shared" ca="1" si="7"/>
        <v>6.9444444443479938E-5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input_555010!A$2</f>
        <v>555010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IFERROR(VLOOKUP(B158,input_555010!L:R,7,FALSE),VLOOKUP(tables_555010!C158,input_555010!A:H,8,FALSE))</f>
        <v>22800</v>
      </c>
      <c r="P158" s="46">
        <f t="shared" ca="1" si="7"/>
        <v>3.9583333332783568E-3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input_555010!A$2</f>
        <v>555010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IFERROR(VLOOKUP(B159,input_555010!L:R,7,FALSE),VLOOKUP(tables_555010!C159,input_555010!A:H,8,FALSE))</f>
        <v>28500</v>
      </c>
      <c r="P159" s="46">
        <f t="shared" ca="1" si="7"/>
        <v>4.9479166665979462E-3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input_555010!A$2</f>
        <v>555010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IFERROR(VLOOKUP(B160,input_555010!L:R,7,FALSE),VLOOKUP(tables_555010!C160,input_555010!A:H,8,FALSE))</f>
        <v>4188.4615400000002</v>
      </c>
      <c r="P160" s="46">
        <f t="shared" ca="1" si="7"/>
        <v>7.2716346179545611E-4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input_555010!A$2</f>
        <v>555010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IFERROR(VLOOKUP(B161,input_555010!L:R,7,FALSE),VLOOKUP(tables_555010!C161,input_555010!A:H,8,FALSE))</f>
        <v>22800</v>
      </c>
      <c r="P161" s="46">
        <f t="shared" ca="1" si="7"/>
        <v>3.9583333332783568E-3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input_555010!A$2</f>
        <v>555010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IFERROR(VLOOKUP(B162,input_555010!L:R,7,FALSE),VLOOKUP(tables_555010!C162,input_555010!A:H,8,FALSE))</f>
        <v>28500</v>
      </c>
      <c r="P162" s="46">
        <f t="shared" ca="1" si="7"/>
        <v>4.9479166665979462E-3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input_555010!A$2</f>
        <v>555010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IFERROR(VLOOKUP(B163,input_555010!L:R,7,FALSE),VLOOKUP(tables_555010!C163,input_555010!A:H,8,FALSE))</f>
        <v>4188.4615400000002</v>
      </c>
      <c r="P163" s="46">
        <f t="shared" ca="1" si="7"/>
        <v>7.2716346179545611E-4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input_555010!A$2</f>
        <v>555010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IFERROR(VLOOKUP(B164,input_555010!L:R,7,FALSE),VLOOKUP(tables_555010!C164,input_555010!A:H,8,FALSE))</f>
        <v>3600</v>
      </c>
      <c r="P164" s="46">
        <f t="shared" ca="1" si="7"/>
        <v>6.2499999999131946E-4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input_555010!A$2</f>
        <v>555010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IFERROR(VLOOKUP(B165,input_555010!L:R,7,FALSE),VLOOKUP(tables_555010!C165,input_555010!A:H,8,FALSE))</f>
        <v>400</v>
      </c>
      <c r="P165" s="46">
        <f t="shared" ca="1" si="7"/>
        <v>6.9444444443479938E-5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input_555010!A$2</f>
        <v>555010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IFERROR(VLOOKUP(B166,input_555010!L:R,7,FALSE),VLOOKUP(tables_555010!C166,input_555010!A:H,8,FALSE))</f>
        <v>22800</v>
      </c>
      <c r="P166" s="46">
        <f t="shared" ca="1" si="7"/>
        <v>3.9583333332783568E-3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input_555010!A$2</f>
        <v>555010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IFERROR(VLOOKUP(B167,input_555010!L:R,7,FALSE),VLOOKUP(tables_555010!C167,input_555010!A:H,8,FALSE))</f>
        <v>28500</v>
      </c>
      <c r="P167" s="46">
        <f t="shared" ca="1" si="7"/>
        <v>4.9479166665979462E-3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input_555010!A$2</f>
        <v>555010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IFERROR(VLOOKUP(B168,input_555010!L:R,7,FALSE),VLOOKUP(tables_555010!C168,input_555010!A:H,8,FALSE))</f>
        <v>4188.4615400000002</v>
      </c>
      <c r="P168" s="46">
        <f t="shared" ca="1" si="7"/>
        <v>7.2716346179545611E-4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input_555010!A$2</f>
        <v>555010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IFERROR(VLOOKUP(B169,input_555010!L:R,7,FALSE),VLOOKUP(tables_555010!C169,input_555010!A:H,8,FALSE))</f>
        <v>3600</v>
      </c>
      <c r="P169" s="46">
        <f t="shared" ca="1" si="7"/>
        <v>6.2499999999131946E-4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input_555010!A$2</f>
        <v>555010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IFERROR(VLOOKUP(B170,input_555010!L:R,7,FALSE),VLOOKUP(tables_555010!C170,input_555010!A:H,8,FALSE))</f>
        <v>400</v>
      </c>
      <c r="P170" s="46">
        <f t="shared" ca="1" si="7"/>
        <v>6.9444444443479938E-5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input_555010!A$2</f>
        <v>555010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IFERROR(VLOOKUP(B171,input_555010!L:R,7,FALSE),VLOOKUP(tables_555010!C171,input_555010!A:H,8,FALSE))</f>
        <v>22800</v>
      </c>
      <c r="P171" s="46">
        <f t="shared" ca="1" si="7"/>
        <v>3.9583333332783568E-3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input_555010!A$2</f>
        <v>555010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IFERROR(VLOOKUP(B172,input_555010!L:R,7,FALSE),VLOOKUP(tables_555010!C172,input_555010!A:H,8,FALSE))</f>
        <v>28500</v>
      </c>
      <c r="P172" s="46">
        <f t="shared" ca="1" si="7"/>
        <v>4.9479166665979462E-3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input_555010!A$2</f>
        <v>555010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IFERROR(VLOOKUP(B173,input_555010!L:R,7,FALSE),VLOOKUP(tables_555010!C173,input_555010!A:H,8,FALSE))</f>
        <v>4188.4615400000002</v>
      </c>
      <c r="P173" s="46">
        <f t="shared" ca="1" si="7"/>
        <v>7.2716346179545611E-4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input_555010!A$2</f>
        <v>555010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IFERROR(VLOOKUP(B174,input_555010!L:R,7,FALSE),VLOOKUP(tables_555010!C174,input_555010!A:H,8,FALSE))</f>
        <v>3600</v>
      </c>
      <c r="P174" s="46">
        <f t="shared" ca="1" si="7"/>
        <v>6.2499999999131946E-4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input_555010!A$2</f>
        <v>555010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IFERROR(VLOOKUP(B175,input_555010!L:R,7,FALSE),VLOOKUP(tables_555010!C175,input_555010!A:H,8,FALSE))</f>
        <v>400</v>
      </c>
      <c r="P175" s="46">
        <f t="shared" ca="1" si="7"/>
        <v>6.9444444443479938E-5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input_555010!A$2</f>
        <v>555010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IFERROR(VLOOKUP(B176,input_555010!L:R,7,FALSE),VLOOKUP(tables_555010!C176,input_555010!A:H,8,FALSE))</f>
        <v>3600</v>
      </c>
      <c r="P176" s="46">
        <f t="shared" ca="1" si="7"/>
        <v>6.2499999999131946E-4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input_555010!A$2</f>
        <v>555010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IFERROR(VLOOKUP(B177,input_555010!L:R,7,FALSE),VLOOKUP(tables_555010!C177,input_555010!A:H,8,FALSE))</f>
        <v>400</v>
      </c>
      <c r="P177" s="46">
        <f t="shared" ca="1" si="7"/>
        <v>6.9444444443479938E-5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input_555010!A$2</f>
        <v>555010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IFERROR(VLOOKUP(B178,input_555010!L:R,7,FALSE),VLOOKUP(tables_555010!C178,input_555010!A:H,8,FALSE))</f>
        <v>22800</v>
      </c>
      <c r="P178" s="46">
        <f t="shared" ca="1" si="7"/>
        <v>3.9583333332783568E-3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input_555010!A$2</f>
        <v>555010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IFERROR(VLOOKUP(B179,input_555010!L:R,7,FALSE),VLOOKUP(tables_555010!C179,input_555010!A:H,8,FALSE))</f>
        <v>28500</v>
      </c>
      <c r="P179" s="46">
        <f t="shared" ca="1" si="7"/>
        <v>4.9479166665979462E-3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input_555010!A$2</f>
        <v>555010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IFERROR(VLOOKUP(B180,input_555010!L:R,7,FALSE),VLOOKUP(tables_555010!C180,input_555010!A:H,8,FALSE))</f>
        <v>4188.4615400000002</v>
      </c>
      <c r="P180" s="46">
        <f t="shared" ca="1" si="7"/>
        <v>7.2716346179545611E-4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input_555010!A$2</f>
        <v>555010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IFERROR(VLOOKUP(B181,input_555010!L:R,7,FALSE),VLOOKUP(tables_555010!C181,input_555010!A:H,8,FALSE))</f>
        <v>22800</v>
      </c>
      <c r="P181" s="46">
        <f t="shared" ca="1" si="7"/>
        <v>3.9583333332783568E-3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input_555010!A$2</f>
        <v>555010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IFERROR(VLOOKUP(B182,input_555010!L:R,7,FALSE),VLOOKUP(tables_555010!C182,input_555010!A:H,8,FALSE))</f>
        <v>28500</v>
      </c>
      <c r="P182" s="46">
        <f t="shared" ca="1" si="7"/>
        <v>4.9479166665979462E-3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input_555010!A$2</f>
        <v>555010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IFERROR(VLOOKUP(B183,input_555010!L:R,7,FALSE),VLOOKUP(tables_555010!C183,input_555010!A:H,8,FALSE))</f>
        <v>4188.4615400000002</v>
      </c>
      <c r="P183" s="46">
        <f t="shared" ca="1" si="7"/>
        <v>7.2716346179545611E-4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input_555010!A$2</f>
        <v>555010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IFERROR(VLOOKUP(B184,input_555010!L:R,7,FALSE),VLOOKUP(tables_555010!C184,input_555010!A:H,8,FALSE))</f>
        <v>3600</v>
      </c>
      <c r="P184" s="46">
        <f t="shared" ca="1" si="7"/>
        <v>6.2499999999131946E-4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input_555010!A$2</f>
        <v>555010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IFERROR(VLOOKUP(B185,input_555010!L:R,7,FALSE),VLOOKUP(tables_555010!C185,input_555010!A:H,8,FALSE))</f>
        <v>400</v>
      </c>
      <c r="P185" s="46">
        <f t="shared" ca="1" si="7"/>
        <v>6.9444444443479938E-5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input_555010!A$2</f>
        <v>555010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IFERROR(VLOOKUP(B186,input_555010!L:R,7,FALSE),VLOOKUP(tables_555010!C186,input_555010!A:H,8,FALSE))</f>
        <v>22800</v>
      </c>
      <c r="P186" s="46">
        <f t="shared" ca="1" si="7"/>
        <v>3.9583333332783568E-3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input_555010!A$2</f>
        <v>555010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IFERROR(VLOOKUP(B187,input_555010!L:R,7,FALSE),VLOOKUP(tables_555010!C187,input_555010!A:H,8,FALSE))</f>
        <v>28500</v>
      </c>
      <c r="P187" s="46">
        <f t="shared" ca="1" si="7"/>
        <v>4.9479166665979462E-3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input_555010!A$2</f>
        <v>555010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IFERROR(VLOOKUP(B188,input_555010!L:R,7,FALSE),VLOOKUP(tables_555010!C188,input_555010!A:H,8,FALSE))</f>
        <v>4188.4615400000002</v>
      </c>
      <c r="P188" s="46">
        <f t="shared" ca="1" si="7"/>
        <v>7.2716346179545611E-4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input_555010!A$2</f>
        <v>555010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IFERROR(VLOOKUP(B189,input_555010!L:R,7,FALSE),VLOOKUP(tables_555010!C189,input_555010!A:H,8,FALSE))</f>
        <v>3600</v>
      </c>
      <c r="P189" s="46">
        <f t="shared" ca="1" si="7"/>
        <v>6.2499999999131946E-4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input_555010!A$2</f>
        <v>555010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IFERROR(VLOOKUP(B190,input_555010!L:R,7,FALSE),VLOOKUP(tables_555010!C190,input_555010!A:H,8,FALSE))</f>
        <v>400</v>
      </c>
      <c r="P190" s="46">
        <f t="shared" ca="1" si="7"/>
        <v>6.9444444443479938E-5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input_555010!A$2</f>
        <v>555010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IFERROR(VLOOKUP(B191,input_555010!L:R,7,FALSE),VLOOKUP(tables_555010!C191,input_555010!A:H,8,FALSE))</f>
        <v>3600</v>
      </c>
      <c r="P191" s="46">
        <f t="shared" ca="1" si="7"/>
        <v>6.2499999999131946E-4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input_555010!A$2</f>
        <v>555010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IFERROR(VLOOKUP(B192,input_555010!L:R,7,FALSE),VLOOKUP(tables_555010!C192,input_555010!A:H,8,FALSE))</f>
        <v>400</v>
      </c>
      <c r="P192" s="46">
        <f t="shared" ca="1" si="7"/>
        <v>6.9444444443479938E-5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input_555010!A$2</f>
        <v>555010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IFERROR(VLOOKUP(B193,input_555010!L:R,7,FALSE),VLOOKUP(tables_555010!C193,input_555010!A:H,8,FALSE))</f>
        <v>22800</v>
      </c>
      <c r="P193" s="46">
        <f t="shared" ca="1" si="7"/>
        <v>3.9583333332783568E-3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input_555010!A$2</f>
        <v>555010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IFERROR(VLOOKUP(B194,input_555010!L:R,7,FALSE),VLOOKUP(tables_555010!C194,input_555010!A:H,8,FALSE))</f>
        <v>28500</v>
      </c>
      <c r="P194" s="46">
        <f t="shared" ref="P194:P257" ca="1" si="10">O194/SUM(O:O)</f>
        <v>4.9479166665979462E-3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input_555010!A$2</f>
        <v>555010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IFERROR(VLOOKUP(B195,input_555010!L:R,7,FALSE),VLOOKUP(tables_555010!C195,input_555010!A:H,8,FALSE))</f>
        <v>4188.4615400000002</v>
      </c>
      <c r="P195" s="46">
        <f t="shared" ca="1" si="10"/>
        <v>7.2716346179545611E-4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input_555010!A$2</f>
        <v>555010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IFERROR(VLOOKUP(B196,input_555010!L:R,7,FALSE),VLOOKUP(tables_555010!C196,input_555010!A:H,8,FALSE))</f>
        <v>3600</v>
      </c>
      <c r="P196" s="46">
        <f t="shared" ca="1" si="10"/>
        <v>6.2499999999131946E-4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input_555010!A$2</f>
        <v>555010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IFERROR(VLOOKUP(B197,input_555010!L:R,7,FALSE),VLOOKUP(tables_555010!C197,input_555010!A:H,8,FALSE))</f>
        <v>400</v>
      </c>
      <c r="P197" s="46">
        <f t="shared" ca="1" si="10"/>
        <v>6.9444444443479938E-5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input_555010!A$2</f>
        <v>555010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IFERROR(VLOOKUP(B198,input_555010!L:R,7,FALSE),VLOOKUP(tables_555010!C198,input_555010!A:H,8,FALSE))</f>
        <v>22800</v>
      </c>
      <c r="P198" s="46">
        <f t="shared" ca="1" si="10"/>
        <v>3.9583333332783568E-3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input_555010!A$2</f>
        <v>555010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IFERROR(VLOOKUP(B199,input_555010!L:R,7,FALSE),VLOOKUP(tables_555010!C199,input_555010!A:H,8,FALSE))</f>
        <v>28500</v>
      </c>
      <c r="P199" s="46">
        <f t="shared" ca="1" si="10"/>
        <v>4.9479166665979462E-3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input_555010!A$2</f>
        <v>555010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IFERROR(VLOOKUP(B200,input_555010!L:R,7,FALSE),VLOOKUP(tables_555010!C200,input_555010!A:H,8,FALSE))</f>
        <v>4188.4615400000002</v>
      </c>
      <c r="P200" s="46">
        <f t="shared" ca="1" si="10"/>
        <v>7.2716346179545611E-4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input_555010!A$2</f>
        <v>555010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IFERROR(VLOOKUP(B201,input_555010!L:R,7,FALSE),VLOOKUP(tables_555010!C201,input_555010!A:H,8,FALSE))</f>
        <v>3600</v>
      </c>
      <c r="P201" s="46">
        <f t="shared" ca="1" si="10"/>
        <v>6.2499999999131946E-4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input_555010!A$2</f>
        <v>555010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IFERROR(VLOOKUP(B202,input_555010!L:R,7,FALSE),VLOOKUP(tables_555010!C202,input_555010!A:H,8,FALSE))</f>
        <v>400</v>
      </c>
      <c r="P202" s="46">
        <f t="shared" ca="1" si="10"/>
        <v>6.9444444443479938E-5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input_555010!A$2</f>
        <v>555010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IFERROR(VLOOKUP(B203,input_555010!L:R,7,FALSE),VLOOKUP(tables_555010!C203,input_555010!A:H,8,FALSE))</f>
        <v>22800</v>
      </c>
      <c r="P203" s="46">
        <f t="shared" ca="1" si="10"/>
        <v>3.9583333332783568E-3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input_555010!A$2</f>
        <v>555010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IFERROR(VLOOKUP(B204,input_555010!L:R,7,FALSE),VLOOKUP(tables_555010!C204,input_555010!A:H,8,FALSE))</f>
        <v>28500</v>
      </c>
      <c r="P204" s="46">
        <f t="shared" ca="1" si="10"/>
        <v>4.9479166665979462E-3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input_555010!A$2</f>
        <v>555010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IFERROR(VLOOKUP(B205,input_555010!L:R,7,FALSE),VLOOKUP(tables_555010!C205,input_555010!A:H,8,FALSE))</f>
        <v>4188.4615400000002</v>
      </c>
      <c r="P205" s="46">
        <f t="shared" ca="1" si="10"/>
        <v>7.2716346179545611E-4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input_555010!A$2</f>
        <v>555010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IFERROR(VLOOKUP(B206,input_555010!L:R,7,FALSE),VLOOKUP(tables_555010!C206,input_555010!A:H,8,FALSE))</f>
        <v>3600</v>
      </c>
      <c r="P206" s="46">
        <f t="shared" ca="1" si="10"/>
        <v>6.2499999999131946E-4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input_555010!A$2</f>
        <v>555010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IFERROR(VLOOKUP(B207,input_555010!L:R,7,FALSE),VLOOKUP(tables_555010!C207,input_555010!A:H,8,FALSE))</f>
        <v>400</v>
      </c>
      <c r="P207" s="46">
        <f t="shared" ca="1" si="10"/>
        <v>6.9444444443479938E-5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input_555010!A$2</f>
        <v>555010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IFERROR(VLOOKUP(B208,input_555010!L:R,7,FALSE),VLOOKUP(tables_555010!C208,input_555010!A:H,8,FALSE))</f>
        <v>3600</v>
      </c>
      <c r="P208" s="46">
        <f t="shared" ca="1" si="10"/>
        <v>6.2499999999131946E-4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input_555010!A$2</f>
        <v>555010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IFERROR(VLOOKUP(B209,input_555010!L:R,7,FALSE),VLOOKUP(tables_555010!C209,input_555010!A:H,8,FALSE))</f>
        <v>400</v>
      </c>
      <c r="P209" s="46">
        <f t="shared" ca="1" si="10"/>
        <v>6.9444444443479938E-5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input_555010!A$2</f>
        <v>555010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IFERROR(VLOOKUP(B210,input_555010!L:R,7,FALSE),VLOOKUP(tables_555010!C210,input_555010!A:H,8,FALSE))</f>
        <v>22800</v>
      </c>
      <c r="P210" s="46">
        <f t="shared" ca="1" si="10"/>
        <v>3.9583333332783568E-3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input_555010!A$2</f>
        <v>555010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IFERROR(VLOOKUP(B211,input_555010!L:R,7,FALSE),VLOOKUP(tables_555010!C211,input_555010!A:H,8,FALSE))</f>
        <v>28500</v>
      </c>
      <c r="P211" s="46">
        <f t="shared" ca="1" si="10"/>
        <v>4.9479166665979462E-3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input_555010!A$2</f>
        <v>555010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IFERROR(VLOOKUP(B212,input_555010!L:R,7,FALSE),VLOOKUP(tables_555010!C212,input_555010!A:H,8,FALSE))</f>
        <v>4188.4615400000002</v>
      </c>
      <c r="P212" s="46">
        <f t="shared" ca="1" si="10"/>
        <v>7.2716346179545611E-4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input_555010!A$2</f>
        <v>555010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IFERROR(VLOOKUP(B213,input_555010!L:R,7,FALSE),VLOOKUP(tables_555010!C213,input_555010!A:H,8,FALSE))</f>
        <v>3600</v>
      </c>
      <c r="P213" s="46">
        <f t="shared" ca="1" si="10"/>
        <v>6.2499999999131946E-4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input_555010!A$2</f>
        <v>555010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IFERROR(VLOOKUP(B214,input_555010!L:R,7,FALSE),VLOOKUP(tables_555010!C214,input_555010!A:H,8,FALSE))</f>
        <v>400</v>
      </c>
      <c r="P214" s="46">
        <f t="shared" ca="1" si="10"/>
        <v>6.9444444443479938E-5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input_555010!A$2</f>
        <v>555010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IFERROR(VLOOKUP(B215,input_555010!L:R,7,FALSE),VLOOKUP(tables_555010!C215,input_555010!A:H,8,FALSE))</f>
        <v>5700</v>
      </c>
      <c r="P215" s="46">
        <f t="shared" ca="1" si="10"/>
        <v>9.895833333195892E-4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input_555010!A$2</f>
        <v>555010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IFERROR(VLOOKUP(B216,input_555010!L:R,7,FALSE),VLOOKUP(tables_555010!C216,input_555010!A:H,8,FALSE))</f>
        <v>5700</v>
      </c>
      <c r="P216" s="46">
        <f t="shared" ca="1" si="10"/>
        <v>9.895833333195892E-4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input_555010!A$2</f>
        <v>555010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IFERROR(VLOOKUP(B217,input_555010!L:R,7,FALSE),VLOOKUP(tables_555010!C217,input_555010!A:H,8,FALSE))</f>
        <v>5700</v>
      </c>
      <c r="P217" s="46">
        <f t="shared" ca="1" si="10"/>
        <v>9.895833333195892E-4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input_555010!A$2</f>
        <v>555010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IFERROR(VLOOKUP(B218,input_555010!L:R,7,FALSE),VLOOKUP(tables_555010!C218,input_555010!A:H,8,FALSE))</f>
        <v>5700</v>
      </c>
      <c r="P218" s="46">
        <f t="shared" ca="1" si="10"/>
        <v>9.895833333195892E-4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input_555010!A$2</f>
        <v>555010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IFERROR(VLOOKUP(B219,input_555010!L:R,7,FALSE),VLOOKUP(tables_555010!C219,input_555010!A:H,8,FALSE))</f>
        <v>5700</v>
      </c>
      <c r="P219" s="46">
        <f t="shared" ca="1" si="10"/>
        <v>9.895833333195892E-4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input_555010!A$2</f>
        <v>555010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IFERROR(VLOOKUP(B220,input_555010!L:R,7,FALSE),VLOOKUP(tables_555010!C220,input_555010!A:H,8,FALSE))</f>
        <v>5700</v>
      </c>
      <c r="P220" s="46">
        <f t="shared" ca="1" si="10"/>
        <v>9.895833333195892E-4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input_555010!A$2</f>
        <v>555010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IFERROR(VLOOKUP(B221,input_555010!L:R,7,FALSE),VLOOKUP(tables_555010!C221,input_555010!A:H,8,FALSE))</f>
        <v>3600</v>
      </c>
      <c r="P221" s="46">
        <f t="shared" ca="1" si="10"/>
        <v>6.2499999999131946E-4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input_555010!A$2</f>
        <v>555010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IFERROR(VLOOKUP(B222,input_555010!L:R,7,FALSE),VLOOKUP(tables_555010!C222,input_555010!A:H,8,FALSE))</f>
        <v>400</v>
      </c>
      <c r="P222" s="46">
        <f t="shared" ca="1" si="10"/>
        <v>6.9444444443479938E-5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input_555010!A$2</f>
        <v>555010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IFERROR(VLOOKUP(B223,input_555010!L:R,7,FALSE),VLOOKUP(tables_555010!C223,input_555010!A:H,8,FALSE))</f>
        <v>22800</v>
      </c>
      <c r="P223" s="46">
        <f t="shared" ca="1" si="10"/>
        <v>3.9583333332783568E-3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input_555010!A$2</f>
        <v>555010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IFERROR(VLOOKUP(B224,input_555010!L:R,7,FALSE),VLOOKUP(tables_555010!C224,input_555010!A:H,8,FALSE))</f>
        <v>28500</v>
      </c>
      <c r="P224" s="46">
        <f t="shared" ca="1" si="10"/>
        <v>4.9479166665979462E-3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input_555010!A$2</f>
        <v>555010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IFERROR(VLOOKUP(B225,input_555010!L:R,7,FALSE),VLOOKUP(tables_555010!C225,input_555010!A:H,8,FALSE))</f>
        <v>4188.4615400000002</v>
      </c>
      <c r="P225" s="46">
        <f t="shared" ca="1" si="10"/>
        <v>7.2716346179545611E-4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input_555010!A$2</f>
        <v>555010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IFERROR(VLOOKUP(B226,input_555010!L:R,7,FALSE),VLOOKUP(tables_555010!C226,input_555010!A:H,8,FALSE))</f>
        <v>22800</v>
      </c>
      <c r="P226" s="46">
        <f t="shared" ca="1" si="10"/>
        <v>3.9583333332783568E-3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input_555010!A$2</f>
        <v>555010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IFERROR(VLOOKUP(B227,input_555010!L:R,7,FALSE),VLOOKUP(tables_555010!C227,input_555010!A:H,8,FALSE))</f>
        <v>28500</v>
      </c>
      <c r="P227" s="46">
        <f t="shared" ca="1" si="10"/>
        <v>4.9479166665979462E-3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input_555010!A$2</f>
        <v>555010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IFERROR(VLOOKUP(B228,input_555010!L:R,7,FALSE),VLOOKUP(tables_555010!C228,input_555010!A:H,8,FALSE))</f>
        <v>4188.4615400000002</v>
      </c>
      <c r="P228" s="46">
        <f t="shared" ca="1" si="10"/>
        <v>7.2716346179545611E-4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input_555010!A$2</f>
        <v>555010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IFERROR(VLOOKUP(B229,input_555010!L:R,7,FALSE),VLOOKUP(tables_555010!C229,input_555010!A:H,8,FALSE))</f>
        <v>3600</v>
      </c>
      <c r="P229" s="46">
        <f t="shared" ca="1" si="10"/>
        <v>6.2499999999131946E-4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input_555010!A$2</f>
        <v>555010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IFERROR(VLOOKUP(B230,input_555010!L:R,7,FALSE),VLOOKUP(tables_555010!C230,input_555010!A:H,8,FALSE))</f>
        <v>400</v>
      </c>
      <c r="P230" s="46">
        <f t="shared" ca="1" si="10"/>
        <v>6.9444444443479938E-5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input_555010!A$2</f>
        <v>555010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IFERROR(VLOOKUP(B231,input_555010!L:R,7,FALSE),VLOOKUP(tables_555010!C231,input_555010!A:H,8,FALSE))</f>
        <v>22800</v>
      </c>
      <c r="P231" s="46">
        <f t="shared" ca="1" si="10"/>
        <v>3.9583333332783568E-3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input_555010!A$2</f>
        <v>555010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IFERROR(VLOOKUP(B232,input_555010!L:R,7,FALSE),VLOOKUP(tables_555010!C232,input_555010!A:H,8,FALSE))</f>
        <v>28500</v>
      </c>
      <c r="P232" s="46">
        <f t="shared" ca="1" si="10"/>
        <v>4.9479166665979462E-3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input_555010!A$2</f>
        <v>555010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IFERROR(VLOOKUP(B233,input_555010!L:R,7,FALSE),VLOOKUP(tables_555010!C233,input_555010!A:H,8,FALSE))</f>
        <v>4188.4615400000002</v>
      </c>
      <c r="P233" s="46">
        <f t="shared" ca="1" si="10"/>
        <v>7.2716346179545611E-4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input_555010!A$2</f>
        <v>555010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IFERROR(VLOOKUP(B234,input_555010!L:R,7,FALSE),VLOOKUP(tables_555010!C234,input_555010!A:H,8,FALSE))</f>
        <v>22800</v>
      </c>
      <c r="P234" s="46">
        <f t="shared" ca="1" si="10"/>
        <v>3.9583333332783568E-3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input_555010!A$2</f>
        <v>555010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IFERROR(VLOOKUP(B235,input_555010!L:R,7,FALSE),VLOOKUP(tables_555010!C235,input_555010!A:H,8,FALSE))</f>
        <v>28500</v>
      </c>
      <c r="P235" s="46">
        <f t="shared" ca="1" si="10"/>
        <v>4.9479166665979462E-3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input_555010!A$2</f>
        <v>555010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IFERROR(VLOOKUP(B236,input_555010!L:R,7,FALSE),VLOOKUP(tables_555010!C236,input_555010!A:H,8,FALSE))</f>
        <v>4188.4615400000002</v>
      </c>
      <c r="P236" s="46">
        <f t="shared" ca="1" si="10"/>
        <v>7.2716346179545611E-4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input_555010!A$2</f>
        <v>555010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IFERROR(VLOOKUP(B237,input_555010!L:R,7,FALSE),VLOOKUP(tables_555010!C237,input_555010!A:H,8,FALSE))</f>
        <v>3600</v>
      </c>
      <c r="P237" s="46">
        <f t="shared" ca="1" si="10"/>
        <v>6.2499999999131946E-4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input_555010!A$2</f>
        <v>555010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IFERROR(VLOOKUP(B238,input_555010!L:R,7,FALSE),VLOOKUP(tables_555010!C238,input_555010!A:H,8,FALSE))</f>
        <v>400</v>
      </c>
      <c r="P238" s="46">
        <f t="shared" ca="1" si="10"/>
        <v>6.9444444443479938E-5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input_555010!A$2</f>
        <v>555010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IFERROR(VLOOKUP(B239,input_555010!L:R,7,FALSE),VLOOKUP(tables_555010!C239,input_555010!A:H,8,FALSE))</f>
        <v>22800</v>
      </c>
      <c r="P239" s="46">
        <f t="shared" ca="1" si="10"/>
        <v>3.9583333332783568E-3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input_555010!A$2</f>
        <v>555010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IFERROR(VLOOKUP(B240,input_555010!L:R,7,FALSE),VLOOKUP(tables_555010!C240,input_555010!A:H,8,FALSE))</f>
        <v>28500</v>
      </c>
      <c r="P240" s="46">
        <f t="shared" ca="1" si="10"/>
        <v>4.9479166665979462E-3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input_555010!A$2</f>
        <v>555010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IFERROR(VLOOKUP(B241,input_555010!L:R,7,FALSE),VLOOKUP(tables_555010!C241,input_555010!A:H,8,FALSE))</f>
        <v>4188.4615400000002</v>
      </c>
      <c r="P241" s="46">
        <f t="shared" ca="1" si="10"/>
        <v>7.2716346179545611E-4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input_555010!A$2</f>
        <v>555010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IFERROR(VLOOKUP(B242,input_555010!L:R,7,FALSE),VLOOKUP(tables_555010!C242,input_555010!A:H,8,FALSE))</f>
        <v>3600</v>
      </c>
      <c r="P242" s="46">
        <f t="shared" ca="1" si="10"/>
        <v>6.2499999999131946E-4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input_555010!A$2</f>
        <v>555010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IFERROR(VLOOKUP(B243,input_555010!L:R,7,FALSE),VLOOKUP(tables_555010!C243,input_555010!A:H,8,FALSE))</f>
        <v>400</v>
      </c>
      <c r="P243" s="46">
        <f t="shared" ca="1" si="10"/>
        <v>6.9444444443479938E-5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input_555010!A$2</f>
        <v>555010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IFERROR(VLOOKUP(B244,input_555010!L:R,7,FALSE),VLOOKUP(tables_555010!C244,input_555010!A:H,8,FALSE))</f>
        <v>3600</v>
      </c>
      <c r="P244" s="46">
        <f t="shared" ca="1" si="10"/>
        <v>6.2499999999131946E-4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input_555010!A$2</f>
        <v>555010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IFERROR(VLOOKUP(B245,input_555010!L:R,7,FALSE),VLOOKUP(tables_555010!C245,input_555010!A:H,8,FALSE))</f>
        <v>400</v>
      </c>
      <c r="P245" s="46">
        <f t="shared" ca="1" si="10"/>
        <v>6.9444444443479938E-5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input_555010!A$2</f>
        <v>555010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IFERROR(VLOOKUP(B246,input_555010!L:R,7,FALSE),VLOOKUP(tables_555010!C246,input_555010!A:H,8,FALSE))</f>
        <v>22800</v>
      </c>
      <c r="P246" s="46">
        <f t="shared" ca="1" si="10"/>
        <v>3.9583333332783568E-3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input_555010!A$2</f>
        <v>555010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IFERROR(VLOOKUP(B247,input_555010!L:R,7,FALSE),VLOOKUP(tables_555010!C247,input_555010!A:H,8,FALSE))</f>
        <v>28500</v>
      </c>
      <c r="P247" s="46">
        <f t="shared" ca="1" si="10"/>
        <v>4.9479166665979462E-3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input_555010!A$2</f>
        <v>555010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IFERROR(VLOOKUP(B248,input_555010!L:R,7,FALSE),VLOOKUP(tables_555010!C248,input_555010!A:H,8,FALSE))</f>
        <v>4188.4615400000002</v>
      </c>
      <c r="P248" s="46">
        <f t="shared" ca="1" si="10"/>
        <v>7.2716346179545611E-4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input_555010!A$2</f>
        <v>555010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IFERROR(VLOOKUP(B249,input_555010!L:R,7,FALSE),VLOOKUP(tables_555010!C249,input_555010!A:H,8,FALSE))</f>
        <v>22800</v>
      </c>
      <c r="P249" s="46">
        <f t="shared" ca="1" si="10"/>
        <v>3.9583333332783568E-3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input_555010!A$2</f>
        <v>555010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IFERROR(VLOOKUP(B250,input_555010!L:R,7,FALSE),VLOOKUP(tables_555010!C250,input_555010!A:H,8,FALSE))</f>
        <v>28500</v>
      </c>
      <c r="P250" s="46">
        <f t="shared" ca="1" si="10"/>
        <v>4.9479166665979462E-3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input_555010!A$2</f>
        <v>555010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IFERROR(VLOOKUP(B251,input_555010!L:R,7,FALSE),VLOOKUP(tables_555010!C251,input_555010!A:H,8,FALSE))</f>
        <v>4188.4615400000002</v>
      </c>
      <c r="P251" s="46">
        <f t="shared" ca="1" si="10"/>
        <v>7.2716346179545611E-4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input_555010!A$2</f>
        <v>555010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IFERROR(VLOOKUP(B252,input_555010!L:R,7,FALSE),VLOOKUP(tables_555010!C252,input_555010!A:H,8,FALSE))</f>
        <v>22800</v>
      </c>
      <c r="P252" s="46">
        <f t="shared" ca="1" si="10"/>
        <v>3.9583333332783568E-3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input_555010!A$2</f>
        <v>555010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IFERROR(VLOOKUP(B253,input_555010!L:R,7,FALSE),VLOOKUP(tables_555010!C253,input_555010!A:H,8,FALSE))</f>
        <v>28500</v>
      </c>
      <c r="P253" s="46">
        <f t="shared" ca="1" si="10"/>
        <v>4.9479166665979462E-3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input_555010!A$2</f>
        <v>555010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IFERROR(VLOOKUP(B254,input_555010!L:R,7,FALSE),VLOOKUP(tables_555010!C254,input_555010!A:H,8,FALSE))</f>
        <v>4188.4615400000002</v>
      </c>
      <c r="P254" s="46">
        <f t="shared" ca="1" si="10"/>
        <v>7.2716346179545611E-4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input_555010!A$2</f>
        <v>555010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IFERROR(VLOOKUP(B255,input_555010!L:R,7,FALSE),VLOOKUP(tables_555010!C255,input_555010!A:H,8,FALSE))</f>
        <v>22800</v>
      </c>
      <c r="P255" s="46">
        <f t="shared" ca="1" si="10"/>
        <v>3.9583333332783568E-3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input_555010!A$2</f>
        <v>555010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IFERROR(VLOOKUP(B256,input_555010!L:R,7,FALSE),VLOOKUP(tables_555010!C256,input_555010!A:H,8,FALSE))</f>
        <v>28500</v>
      </c>
      <c r="P256" s="46">
        <f t="shared" ca="1" si="10"/>
        <v>4.9479166665979462E-3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input_555010!A$2</f>
        <v>555010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IFERROR(VLOOKUP(B257,input_555010!L:R,7,FALSE),VLOOKUP(tables_555010!C257,input_555010!A:H,8,FALSE))</f>
        <v>4188.4615400000002</v>
      </c>
      <c r="P257" s="46">
        <f t="shared" ca="1" si="10"/>
        <v>7.2716346179545611E-4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input_555010!A$2</f>
        <v>555010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IFERROR(VLOOKUP(B258,input_555010!L:R,7,FALSE),VLOOKUP(tables_555010!C258,input_555010!A:H,8,FALSE))</f>
        <v>3600</v>
      </c>
      <c r="P258" s="46">
        <f t="shared" ref="P258:P321" ca="1" si="13">O258/SUM(O:O)</f>
        <v>6.2499999999131946E-4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input_555010!A$2</f>
        <v>555010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IFERROR(VLOOKUP(B259,input_555010!L:R,7,FALSE),VLOOKUP(tables_555010!C259,input_555010!A:H,8,FALSE))</f>
        <v>400</v>
      </c>
      <c r="P259" s="46">
        <f t="shared" ca="1" si="13"/>
        <v>6.9444444443479938E-5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input_555010!A$2</f>
        <v>555010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IFERROR(VLOOKUP(B260,input_555010!L:R,7,FALSE),VLOOKUP(tables_555010!C260,input_555010!A:H,8,FALSE))</f>
        <v>3600</v>
      </c>
      <c r="P260" s="46">
        <f t="shared" ca="1" si="13"/>
        <v>6.2499999999131946E-4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input_555010!A$2</f>
        <v>555010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IFERROR(VLOOKUP(B261,input_555010!L:R,7,FALSE),VLOOKUP(tables_555010!C261,input_555010!A:H,8,FALSE))</f>
        <v>400</v>
      </c>
      <c r="P261" s="46">
        <f t="shared" ca="1" si="13"/>
        <v>6.9444444443479938E-5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input_555010!A$2</f>
        <v>555010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IFERROR(VLOOKUP(B262,input_555010!L:R,7,FALSE),VLOOKUP(tables_555010!C262,input_555010!A:H,8,FALSE))</f>
        <v>49590</v>
      </c>
      <c r="P262" s="46">
        <f t="shared" ca="1" si="13"/>
        <v>8.6093749998804262E-3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input_555010!A$2</f>
        <v>555010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IFERROR(VLOOKUP(B263,input_555010!L:R,7,FALSE),VLOOKUP(tables_555010!C263,input_555010!A:H,8,FALSE))</f>
        <v>5700</v>
      </c>
      <c r="P263" s="46">
        <f t="shared" ca="1" si="13"/>
        <v>9.895833333195892E-4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input_555010!A$2</f>
        <v>555010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IFERROR(VLOOKUP(B264,input_555010!L:R,7,FALSE),VLOOKUP(tables_555010!C264,input_555010!A:H,8,FALSE))</f>
        <v>49590</v>
      </c>
      <c r="P264" s="46">
        <f t="shared" ca="1" si="13"/>
        <v>8.6093749998804262E-3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input_555010!A$2</f>
        <v>555010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IFERROR(VLOOKUP(B265,input_555010!L:R,7,FALSE),VLOOKUP(tables_555010!C265,input_555010!A:H,8,FALSE))</f>
        <v>5700</v>
      </c>
      <c r="P265" s="46">
        <f t="shared" ca="1" si="13"/>
        <v>9.895833333195892E-4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input_555010!A$2</f>
        <v>555010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IFERROR(VLOOKUP(B266,input_555010!L:R,7,FALSE),VLOOKUP(tables_555010!C266,input_555010!A:H,8,FALSE))</f>
        <v>4000</v>
      </c>
      <c r="P266" s="46">
        <f t="shared" ca="1" si="13"/>
        <v>6.9444444443479941E-4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input_555010!A$2</f>
        <v>555010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IFERROR(VLOOKUP(B267,input_555010!L:R,7,FALSE),VLOOKUP(tables_555010!C267,input_555010!A:H,8,FALSE))</f>
        <v>4000</v>
      </c>
      <c r="P267" s="46">
        <f t="shared" ca="1" si="13"/>
        <v>6.9444444443479941E-4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input_555010!A$2</f>
        <v>555010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IFERROR(VLOOKUP(B268,input_555010!L:R,7,FALSE),VLOOKUP(tables_555010!C268,input_555010!A:H,8,FALSE))</f>
        <v>4000</v>
      </c>
      <c r="P268" s="46">
        <f t="shared" ca="1" si="13"/>
        <v>6.9444444443479941E-4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input_555010!A$2</f>
        <v>555010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IFERROR(VLOOKUP(B269,input_555010!L:R,7,FALSE),VLOOKUP(tables_555010!C269,input_555010!A:H,8,FALSE))</f>
        <v>4000</v>
      </c>
      <c r="P269" s="46">
        <f t="shared" ca="1" si="13"/>
        <v>6.9444444443479941E-4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input_555010!A$2</f>
        <v>555010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IFERROR(VLOOKUP(B270,input_555010!L:R,7,FALSE),VLOOKUP(tables_555010!C270,input_555010!A:H,8,FALSE))</f>
        <v>49590</v>
      </c>
      <c r="P270" s="46">
        <f t="shared" ca="1" si="13"/>
        <v>8.6093749998804262E-3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input_555010!A$2</f>
        <v>555010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IFERROR(VLOOKUP(B271,input_555010!L:R,7,FALSE),VLOOKUP(tables_555010!C271,input_555010!A:H,8,FALSE))</f>
        <v>5700</v>
      </c>
      <c r="P271" s="46">
        <f t="shared" ca="1" si="13"/>
        <v>9.895833333195892E-4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input_555010!A$2</f>
        <v>555010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IFERROR(VLOOKUP(B272,input_555010!L:R,7,FALSE),VLOOKUP(tables_555010!C272,input_555010!A:H,8,FALSE))</f>
        <v>49590</v>
      </c>
      <c r="P272" s="46">
        <f t="shared" ca="1" si="13"/>
        <v>8.6093749998804262E-3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input_555010!A$2</f>
        <v>555010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IFERROR(VLOOKUP(B273,input_555010!L:R,7,FALSE),VLOOKUP(tables_555010!C273,input_555010!A:H,8,FALSE))</f>
        <v>5700</v>
      </c>
      <c r="P273" s="46">
        <f t="shared" ca="1" si="13"/>
        <v>9.895833333195892E-4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input_555010!A$2</f>
        <v>555010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IFERROR(VLOOKUP(B274,input_555010!L:R,7,FALSE),VLOOKUP(tables_555010!C274,input_555010!A:H,8,FALSE))</f>
        <v>3600</v>
      </c>
      <c r="P274" s="46">
        <f t="shared" ca="1" si="13"/>
        <v>6.2499999999131946E-4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input_555010!A$2</f>
        <v>555010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IFERROR(VLOOKUP(B275,input_555010!L:R,7,FALSE),VLOOKUP(tables_555010!C275,input_555010!A:H,8,FALSE))</f>
        <v>400</v>
      </c>
      <c r="P275" s="46">
        <f t="shared" ca="1" si="13"/>
        <v>6.9444444443479938E-5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input_555010!A$2</f>
        <v>555010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IFERROR(VLOOKUP(B276,input_555010!L:R,7,FALSE),VLOOKUP(tables_555010!C276,input_555010!A:H,8,FALSE))</f>
        <v>3600</v>
      </c>
      <c r="P276" s="46">
        <f t="shared" ca="1" si="13"/>
        <v>6.2499999999131946E-4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input_555010!A$2</f>
        <v>555010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IFERROR(VLOOKUP(B277,input_555010!L:R,7,FALSE),VLOOKUP(tables_555010!C277,input_555010!A:H,8,FALSE))</f>
        <v>400</v>
      </c>
      <c r="P277" s="46">
        <f t="shared" ca="1" si="13"/>
        <v>6.9444444443479938E-5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input_555010!A$2</f>
        <v>555010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IFERROR(VLOOKUP(B278,input_555010!L:R,7,FALSE),VLOOKUP(tables_555010!C278,input_555010!A:H,8,FALSE))</f>
        <v>22800</v>
      </c>
      <c r="P278" s="46">
        <f t="shared" ca="1" si="13"/>
        <v>3.9583333332783568E-3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input_555010!A$2</f>
        <v>555010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IFERROR(VLOOKUP(B279,input_555010!L:R,7,FALSE),VLOOKUP(tables_555010!C279,input_555010!A:H,8,FALSE))</f>
        <v>28500</v>
      </c>
      <c r="P279" s="46">
        <f t="shared" ca="1" si="13"/>
        <v>4.9479166665979462E-3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input_555010!A$2</f>
        <v>555010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IFERROR(VLOOKUP(B280,input_555010!L:R,7,FALSE),VLOOKUP(tables_555010!C280,input_555010!A:H,8,FALSE))</f>
        <v>4188.4615400000002</v>
      </c>
      <c r="P280" s="46">
        <f t="shared" ca="1" si="13"/>
        <v>7.2716346179545611E-4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input_555010!A$2</f>
        <v>555010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IFERROR(VLOOKUP(B281,input_555010!L:R,7,FALSE),VLOOKUP(tables_555010!C281,input_555010!A:H,8,FALSE))</f>
        <v>22800</v>
      </c>
      <c r="P281" s="46">
        <f t="shared" ca="1" si="13"/>
        <v>3.9583333332783568E-3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input_555010!A$2</f>
        <v>555010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IFERROR(VLOOKUP(B282,input_555010!L:R,7,FALSE),VLOOKUP(tables_555010!C282,input_555010!A:H,8,FALSE))</f>
        <v>28500</v>
      </c>
      <c r="P282" s="46">
        <f t="shared" ca="1" si="13"/>
        <v>4.9479166665979462E-3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input_555010!A$2</f>
        <v>555010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IFERROR(VLOOKUP(B283,input_555010!L:R,7,FALSE),VLOOKUP(tables_555010!C283,input_555010!A:H,8,FALSE))</f>
        <v>4188.4615400000002</v>
      </c>
      <c r="P283" s="46">
        <f t="shared" ca="1" si="13"/>
        <v>7.2716346179545611E-4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input_555010!A$2</f>
        <v>555010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IFERROR(VLOOKUP(B284,input_555010!L:R,7,FALSE),VLOOKUP(tables_555010!C284,input_555010!A:H,8,FALSE))</f>
        <v>4000</v>
      </c>
      <c r="P284" s="46">
        <f t="shared" ca="1" si="13"/>
        <v>6.9444444443479941E-4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input_555010!A$2</f>
        <v>555010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IFERROR(VLOOKUP(B285,input_555010!L:R,7,FALSE),VLOOKUP(tables_555010!C285,input_555010!A:H,8,FALSE))</f>
        <v>4000</v>
      </c>
      <c r="P285" s="46">
        <f t="shared" ca="1" si="13"/>
        <v>6.9444444443479941E-4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input_555010!A$2</f>
        <v>555010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IFERROR(VLOOKUP(B286,input_555010!L:R,7,FALSE),VLOOKUP(tables_555010!C286,input_555010!A:H,8,FALSE))</f>
        <v>49590</v>
      </c>
      <c r="P286" s="46">
        <f t="shared" ca="1" si="13"/>
        <v>8.6093749998804262E-3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input_555010!A$2</f>
        <v>555010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IFERROR(VLOOKUP(B287,input_555010!L:R,7,FALSE),VLOOKUP(tables_555010!C287,input_555010!A:H,8,FALSE))</f>
        <v>5700</v>
      </c>
      <c r="P287" s="46">
        <f t="shared" ca="1" si="13"/>
        <v>9.895833333195892E-4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input_555010!A$2</f>
        <v>555010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IFERROR(VLOOKUP(B288,input_555010!L:R,7,FALSE),VLOOKUP(tables_555010!C288,input_555010!A:H,8,FALSE))</f>
        <v>49590</v>
      </c>
      <c r="P288" s="46">
        <f t="shared" ca="1" si="13"/>
        <v>8.6093749998804262E-3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input_555010!A$2</f>
        <v>555010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IFERROR(VLOOKUP(B289,input_555010!L:R,7,FALSE),VLOOKUP(tables_555010!C289,input_555010!A:H,8,FALSE))</f>
        <v>5700</v>
      </c>
      <c r="P289" s="46">
        <f t="shared" ca="1" si="13"/>
        <v>9.895833333195892E-4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input_555010!A$2</f>
        <v>555010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IFERROR(VLOOKUP(B290,input_555010!L:R,7,FALSE),VLOOKUP(tables_555010!C290,input_555010!A:H,8,FALSE))</f>
        <v>49590</v>
      </c>
      <c r="P290" s="46">
        <f t="shared" ca="1" si="13"/>
        <v>8.6093749998804262E-3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input_555010!A$2</f>
        <v>555010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IFERROR(VLOOKUP(B291,input_555010!L:R,7,FALSE),VLOOKUP(tables_555010!C291,input_555010!A:H,8,FALSE))</f>
        <v>5700</v>
      </c>
      <c r="P291" s="46">
        <f t="shared" ca="1" si="13"/>
        <v>9.895833333195892E-4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input_555010!A$2</f>
        <v>555010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IFERROR(VLOOKUP(B292,input_555010!L:R,7,FALSE),VLOOKUP(tables_555010!C292,input_555010!A:H,8,FALSE))</f>
        <v>49590</v>
      </c>
      <c r="P292" s="46">
        <f t="shared" ca="1" si="13"/>
        <v>8.6093749998804262E-3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input_555010!A$2</f>
        <v>555010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IFERROR(VLOOKUP(B293,input_555010!L:R,7,FALSE),VLOOKUP(tables_555010!C293,input_555010!A:H,8,FALSE))</f>
        <v>5700</v>
      </c>
      <c r="P293" s="46">
        <f t="shared" ca="1" si="13"/>
        <v>9.895833333195892E-4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input_555010!A$2</f>
        <v>555010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IFERROR(VLOOKUP(B294,input_555010!L:R,7,FALSE),VLOOKUP(tables_555010!C294,input_555010!A:H,8,FALSE))</f>
        <v>4000</v>
      </c>
      <c r="P294" s="46">
        <f t="shared" ca="1" si="13"/>
        <v>6.9444444443479941E-4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input_555010!A$2</f>
        <v>555010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IFERROR(VLOOKUP(B295,input_555010!L:R,7,FALSE),VLOOKUP(tables_555010!C295,input_555010!A:H,8,FALSE))</f>
        <v>4000</v>
      </c>
      <c r="P295" s="46">
        <f t="shared" ca="1" si="13"/>
        <v>6.9444444443479941E-4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input_555010!A$2</f>
        <v>555010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IFERROR(VLOOKUP(B296,input_555010!L:R,7,FALSE),VLOOKUP(tables_555010!C296,input_555010!A:H,8,FALSE))</f>
        <v>4000</v>
      </c>
      <c r="P296" s="46">
        <f t="shared" ca="1" si="13"/>
        <v>6.9444444443479941E-4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input_555010!A$2</f>
        <v>555010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IFERROR(VLOOKUP(B297,input_555010!L:R,7,FALSE),VLOOKUP(tables_555010!C297,input_555010!A:H,8,FALSE))</f>
        <v>49590</v>
      </c>
      <c r="P297" s="46">
        <f t="shared" ca="1" si="13"/>
        <v>8.6093749998804262E-3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input_555010!A$2</f>
        <v>555010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IFERROR(VLOOKUP(B298,input_555010!L:R,7,FALSE),VLOOKUP(tables_555010!C298,input_555010!A:H,8,FALSE))</f>
        <v>5700</v>
      </c>
      <c r="P298" s="46">
        <f t="shared" ca="1" si="13"/>
        <v>9.895833333195892E-4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input_555010!A$2</f>
        <v>555010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IFERROR(VLOOKUP(B299,input_555010!L:R,7,FALSE),VLOOKUP(tables_555010!C299,input_555010!A:H,8,FALSE))</f>
        <v>4000</v>
      </c>
      <c r="P299" s="46">
        <f t="shared" ca="1" si="13"/>
        <v>6.9444444443479941E-4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input_555010!A$2</f>
        <v>555010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IFERROR(VLOOKUP(B300,input_555010!L:R,7,FALSE),VLOOKUP(tables_555010!C300,input_555010!A:H,8,FALSE))</f>
        <v>4000</v>
      </c>
      <c r="P300" s="46">
        <f t="shared" ca="1" si="13"/>
        <v>6.9444444443479941E-4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input_555010!A$2</f>
        <v>555010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IFERROR(VLOOKUP(B301,input_555010!L:R,7,FALSE),VLOOKUP(tables_555010!C301,input_555010!A:H,8,FALSE))</f>
        <v>4000</v>
      </c>
      <c r="P301" s="46">
        <f t="shared" ca="1" si="13"/>
        <v>6.9444444443479941E-4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input_555010!A$2</f>
        <v>555010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IFERROR(VLOOKUP(B302,input_555010!L:R,7,FALSE),VLOOKUP(tables_555010!C302,input_555010!A:H,8,FALSE))</f>
        <v>4000</v>
      </c>
      <c r="P302" s="46">
        <f t="shared" ca="1" si="13"/>
        <v>6.9444444443479941E-4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input_555010!A$2</f>
        <v>555010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IFERROR(VLOOKUP(B303,input_555010!L:R,7,FALSE),VLOOKUP(tables_555010!C303,input_555010!A:H,8,FALSE))</f>
        <v>49590</v>
      </c>
      <c r="P303" s="46">
        <f t="shared" ca="1" si="13"/>
        <v>8.6093749998804262E-3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input_555010!A$2</f>
        <v>555010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IFERROR(VLOOKUP(B304,input_555010!L:R,7,FALSE),VLOOKUP(tables_555010!C304,input_555010!A:H,8,FALSE))</f>
        <v>5700</v>
      </c>
      <c r="P304" s="46">
        <f t="shared" ca="1" si="13"/>
        <v>9.895833333195892E-4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input_555010!A$2</f>
        <v>555010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IFERROR(VLOOKUP(B305,input_555010!L:R,7,FALSE),VLOOKUP(tables_555010!C305,input_555010!A:H,8,FALSE))</f>
        <v>4000</v>
      </c>
      <c r="P305" s="46">
        <f t="shared" ca="1" si="13"/>
        <v>6.9444444443479941E-4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input_555010!A$2</f>
        <v>555010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IFERROR(VLOOKUP(B306,input_555010!L:R,7,FALSE),VLOOKUP(tables_555010!C306,input_555010!A:H,8,FALSE))</f>
        <v>49590</v>
      </c>
      <c r="P306" s="46">
        <f t="shared" ca="1" si="13"/>
        <v>8.6093749998804262E-3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input_555010!A$2</f>
        <v>555010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IFERROR(VLOOKUP(B307,input_555010!L:R,7,FALSE),VLOOKUP(tables_555010!C307,input_555010!A:H,8,FALSE))</f>
        <v>5700</v>
      </c>
      <c r="P307" s="46">
        <f t="shared" ca="1" si="13"/>
        <v>9.895833333195892E-4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input_555010!A$2</f>
        <v>555010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IFERROR(VLOOKUP(B308,input_555010!L:R,7,FALSE),VLOOKUP(tables_555010!C308,input_555010!A:H,8,FALSE))</f>
        <v>4000</v>
      </c>
      <c r="P308" s="46">
        <f t="shared" ca="1" si="13"/>
        <v>6.9444444443479941E-4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input_555010!A$2</f>
        <v>555010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IFERROR(VLOOKUP(B309,input_555010!L:R,7,FALSE),VLOOKUP(tables_555010!C309,input_555010!A:H,8,FALSE))</f>
        <v>4000</v>
      </c>
      <c r="P309" s="46">
        <f t="shared" ca="1" si="13"/>
        <v>6.9444444443479941E-4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input_555010!A$2</f>
        <v>555010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IFERROR(VLOOKUP(B310,input_555010!L:R,7,FALSE),VLOOKUP(tables_555010!C310,input_555010!A:H,8,FALSE))</f>
        <v>4000</v>
      </c>
      <c r="P310" s="46">
        <f t="shared" ca="1" si="13"/>
        <v>6.9444444443479941E-4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input_555010!A$2</f>
        <v>555010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IFERROR(VLOOKUP(B311,input_555010!L:R,7,FALSE),VLOOKUP(tables_555010!C311,input_555010!A:H,8,FALSE))</f>
        <v>49590</v>
      </c>
      <c r="P311" s="46">
        <f t="shared" ca="1" si="13"/>
        <v>8.6093749998804262E-3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input_555010!A$2</f>
        <v>555010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IFERROR(VLOOKUP(B312,input_555010!L:R,7,FALSE),VLOOKUP(tables_555010!C312,input_555010!A:H,8,FALSE))</f>
        <v>5700</v>
      </c>
      <c r="P312" s="46">
        <f t="shared" ca="1" si="13"/>
        <v>9.895833333195892E-4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input_555010!A$2</f>
        <v>555010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IFERROR(VLOOKUP(B313,input_555010!L:R,7,FALSE),VLOOKUP(tables_555010!C313,input_555010!A:H,8,FALSE))</f>
        <v>4000</v>
      </c>
      <c r="P313" s="46">
        <f t="shared" ca="1" si="13"/>
        <v>6.9444444443479941E-4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input_555010!A$2</f>
        <v>555010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IFERROR(VLOOKUP(B314,input_555010!L:R,7,FALSE),VLOOKUP(tables_555010!C314,input_555010!A:H,8,FALSE))</f>
        <v>4000</v>
      </c>
      <c r="P314" s="46">
        <f t="shared" ca="1" si="13"/>
        <v>6.9444444443479941E-4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input_555010!A$2</f>
        <v>555010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IFERROR(VLOOKUP(B315,input_555010!L:R,7,FALSE),VLOOKUP(tables_555010!C315,input_555010!A:H,8,FALSE))</f>
        <v>4000</v>
      </c>
      <c r="P315" s="46">
        <f t="shared" ca="1" si="13"/>
        <v>6.9444444443479941E-4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input_555010!A$2</f>
        <v>555010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IFERROR(VLOOKUP(B316,input_555010!L:R,7,FALSE),VLOOKUP(tables_555010!C316,input_555010!A:H,8,FALSE))</f>
        <v>4000</v>
      </c>
      <c r="P316" s="46">
        <f t="shared" ca="1" si="13"/>
        <v>6.9444444443479941E-4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input_555010!A$2</f>
        <v>555010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IFERROR(VLOOKUP(B317,input_555010!L:R,7,FALSE),VLOOKUP(tables_555010!C317,input_555010!A:H,8,FALSE))</f>
        <v>4000</v>
      </c>
      <c r="P317" s="46">
        <f t="shared" ca="1" si="13"/>
        <v>6.9444444443479941E-4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input_555010!A$2</f>
        <v>555010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IFERROR(VLOOKUP(B318,input_555010!L:R,7,FALSE),VLOOKUP(tables_555010!C318,input_555010!A:H,8,FALSE))</f>
        <v>49590</v>
      </c>
      <c r="P318" s="46">
        <f t="shared" ca="1" si="13"/>
        <v>8.6093749998804262E-3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input_555010!A$2</f>
        <v>555010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IFERROR(VLOOKUP(B319,input_555010!L:R,7,FALSE),VLOOKUP(tables_555010!C319,input_555010!A:H,8,FALSE))</f>
        <v>5700</v>
      </c>
      <c r="P319" s="46">
        <f t="shared" ca="1" si="13"/>
        <v>9.895833333195892E-4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input_555010!A$2</f>
        <v>555010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IFERROR(VLOOKUP(B320,input_555010!L:R,7,FALSE),VLOOKUP(tables_555010!C320,input_555010!A:H,8,FALSE))</f>
        <v>4000</v>
      </c>
      <c r="P320" s="46">
        <f t="shared" ca="1" si="13"/>
        <v>6.9444444443479941E-4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input_555010!A$2</f>
        <v>555010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IFERROR(VLOOKUP(B321,input_555010!L:R,7,FALSE),VLOOKUP(tables_555010!C321,input_555010!A:H,8,FALSE))</f>
        <v>4000</v>
      </c>
      <c r="P321" s="46">
        <f t="shared" ca="1" si="13"/>
        <v>6.9444444443479941E-4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input_555010!A$2</f>
        <v>555010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IFERROR(VLOOKUP(B322,input_555010!L:R,7,FALSE),VLOOKUP(tables_555010!C322,input_555010!A:H,8,FALSE))</f>
        <v>4000</v>
      </c>
      <c r="P322" s="46">
        <f t="shared" ref="P322:P330" ca="1" si="23">O322/SUM(O:O)</f>
        <v>6.9444444443479941E-4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input_555010!A$2</f>
        <v>555010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IFERROR(VLOOKUP(B323,input_555010!L:R,7,FALSE),VLOOKUP(tables_555010!C323,input_555010!A:H,8,FALSE))</f>
        <v>4000</v>
      </c>
      <c r="P323" s="46">
        <f t="shared" ca="1" si="23"/>
        <v>6.9444444443479941E-4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input_555010!A$2</f>
        <v>555010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IFERROR(VLOOKUP(B324,input_555010!L:R,7,FALSE),VLOOKUP(tables_555010!C324,input_555010!A:H,8,FALSE))</f>
        <v>49590</v>
      </c>
      <c r="P324" s="46">
        <f t="shared" ca="1" si="23"/>
        <v>8.6093749998804262E-3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input_555010!A$2</f>
        <v>555010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IFERROR(VLOOKUP(B325,input_555010!L:R,7,FALSE),VLOOKUP(tables_555010!C325,input_555010!A:H,8,FALSE))</f>
        <v>5700</v>
      </c>
      <c r="P325" s="46">
        <f t="shared" ca="1" si="23"/>
        <v>9.895833333195892E-4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input_555010!A$2</f>
        <v>555010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IFERROR(VLOOKUP(B326,input_555010!L:R,7,FALSE),VLOOKUP(tables_555010!C326,input_555010!A:H,8,FALSE))</f>
        <v>49590</v>
      </c>
      <c r="P326" s="46">
        <f t="shared" ca="1" si="23"/>
        <v>8.6093749998804262E-3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input_555010!A$2</f>
        <v>555010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IFERROR(VLOOKUP(B327,input_555010!L:R,7,FALSE),VLOOKUP(tables_555010!C327,input_555010!A:H,8,FALSE))</f>
        <v>5700</v>
      </c>
      <c r="P327" s="46">
        <f t="shared" ca="1" si="23"/>
        <v>9.895833333195892E-4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input_555010!A$2</f>
        <v>555010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IFERROR(VLOOKUP(B328,input_555010!L:R,7,FALSE),VLOOKUP(tables_555010!C328,input_555010!A:H,8,FALSE))</f>
        <v>4000</v>
      </c>
      <c r="P328" s="46">
        <f t="shared" ca="1" si="23"/>
        <v>6.9444444443479941E-4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input_555010!A$2</f>
        <v>555010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IFERROR(VLOOKUP(B329,input_555010!L:R,7,FALSE),VLOOKUP(tables_555010!C329,input_555010!A:H,8,FALSE))</f>
        <v>4000</v>
      </c>
      <c r="P329" s="46">
        <f t="shared" ca="1" si="23"/>
        <v>6.9444444443479941E-4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input_555010!A$2</f>
        <v>555010</v>
      </c>
      <c r="B330" s="2">
        <v>1157</v>
      </c>
      <c r="C330" s="7" t="str">
        <f t="shared" si="25"/>
        <v>PremiumSS5R5only</v>
      </c>
      <c r="D330" s="9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IFERROR(VLOOKUP(B330,input_555010!L:R,7,FALSE),VLOOKUP(tables_555010!C330,input_555010!A:H,8,FALSE))</f>
        <v>4000</v>
      </c>
      <c r="P330" s="46">
        <f t="shared" ca="1" si="23"/>
        <v>6.9444444443479941E-4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input_555010!A$2</f>
        <v>555010</v>
      </c>
      <c r="B331" s="60">
        <v>1214</v>
      </c>
      <c r="C331" s="7" t="str">
        <f t="shared" ref="C331:C335" si="26">D331&amp;J331&amp;E331&amp;F331&amp;G331</f>
        <v>PremiumSS5R5only</v>
      </c>
      <c r="D331" s="9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IFERROR(VLOOKUP(B331,input_555010!L:R,7,FALSE),VLOOKUP(tables_555010!C331,input_555010!A:H,8,FALSE))</f>
        <v>4000</v>
      </c>
      <c r="P331" s="46">
        <f t="shared" ref="P331:P335" ca="1" si="28">O331/SUM(O:O)</f>
        <v>6.9444444443479941E-4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input_555010!A$2</f>
        <v>555010</v>
      </c>
      <c r="B332" s="60">
        <v>1212</v>
      </c>
      <c r="C332" s="7" t="str">
        <f t="shared" si="26"/>
        <v>PremiumSS5R5only</v>
      </c>
      <c r="D332" s="9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IFERROR(VLOOKUP(B332,input_555010!L:R,7,FALSE),VLOOKUP(tables_555010!C332,input_555010!A:H,8,FALSE))</f>
        <v>4000</v>
      </c>
      <c r="P332" s="46">
        <f t="shared" ca="1" si="28"/>
        <v>6.9444444443479941E-4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input_555010!A$2</f>
        <v>555010</v>
      </c>
      <c r="B333" s="60">
        <v>1208</v>
      </c>
      <c r="C333" s="7" t="str">
        <f t="shared" si="26"/>
        <v>PremiumSS5R5only</v>
      </c>
      <c r="D333" s="9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IFERROR(VLOOKUP(B333,input_555010!L:R,7,FALSE),VLOOKUP(tables_555010!C333,input_555010!A:H,8,FALSE))</f>
        <v>4000</v>
      </c>
      <c r="P333" s="46">
        <f t="shared" ca="1" si="28"/>
        <v>6.9444444443479941E-4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input_555010!A$2</f>
        <v>555010</v>
      </c>
      <c r="B334" s="93">
        <v>1210</v>
      </c>
      <c r="C334" s="7" t="str">
        <f t="shared" si="26"/>
        <v>Premium4R3less</v>
      </c>
      <c r="D334" s="9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IFERROR(VLOOKUP(B334,input_555010!L:R,7,FALSE),VLOOKUP(tables_555010!C334,input_555010!A:H,8,FALSE))</f>
        <v>49590</v>
      </c>
      <c r="P334" s="46">
        <f t="shared" ca="1" si="28"/>
        <v>8.6093749998804262E-3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input_555010!A$2</f>
        <v>555010</v>
      </c>
      <c r="B335" s="60">
        <v>1211</v>
      </c>
      <c r="C335" s="7" t="str">
        <f t="shared" si="26"/>
        <v>Premium5R3less</v>
      </c>
      <c r="D335" s="9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IFERROR(VLOOKUP(B335,input_555010!L:R,7,FALSE),VLOOKUP(tables_555010!C335,input_555010!A:H,8,FALSE))</f>
        <v>5700</v>
      </c>
      <c r="P335" s="46">
        <f t="shared" ca="1" si="28"/>
        <v>9.895833333195892E-4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input_555010!A$2</f>
        <v>555010</v>
      </c>
      <c r="B336" s="2">
        <v>1224</v>
      </c>
      <c r="C336" s="7" t="str">
        <f t="shared" ref="C336:C340" si="29">D336&amp;J336&amp;E336&amp;F336&amp;G336</f>
        <v>Premium4R3less</v>
      </c>
      <c r="D336" s="97" t="str">
        <f t="shared" ref="D336:D340" si="3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IFERROR(VLOOKUP(B336,input_555010!L:R,7,FALSE),VLOOKUP(tables_555010!C336,input_555010!A:H,8,FALSE))</f>
        <v>49590</v>
      </c>
      <c r="P336" s="46">
        <f t="shared" ref="P336:P340" ca="1" si="31">O336/SUM(O:O)</f>
        <v>8.6093749998804262E-3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input_555010!A$2</f>
        <v>555010</v>
      </c>
      <c r="B337" s="2">
        <v>1225</v>
      </c>
      <c r="C337" s="7" t="str">
        <f t="shared" si="29"/>
        <v>Premium5R3less</v>
      </c>
      <c r="D337" s="97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IFERROR(VLOOKUP(B337,input_555010!L:R,7,FALSE),VLOOKUP(tables_555010!C337,input_555010!A:H,8,FALSE))</f>
        <v>5700</v>
      </c>
      <c r="P337" s="46">
        <f t="shared" ca="1" si="31"/>
        <v>9.895833333195892E-4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input_555010!A$2</f>
        <v>555010</v>
      </c>
      <c r="B338" s="2">
        <v>1226</v>
      </c>
      <c r="C338" s="7" t="str">
        <f t="shared" si="29"/>
        <v>PremiumSS5R5only</v>
      </c>
      <c r="D338" s="97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IFERROR(VLOOKUP(B338,input_555010!L:R,7,FALSE),VLOOKUP(tables_555010!C338,input_555010!A:H,8,FALSE))</f>
        <v>4000</v>
      </c>
      <c r="P338" s="46">
        <f t="shared" ca="1" si="31"/>
        <v>6.9444444443479941E-4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input_555010!A$2</f>
        <v>555010</v>
      </c>
      <c r="B339" s="2">
        <v>1228</v>
      </c>
      <c r="C339" s="7" t="str">
        <f t="shared" si="29"/>
        <v>PremiumSS5R5only</v>
      </c>
      <c r="D339" s="97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IFERROR(VLOOKUP(B339,input_555010!L:R,7,FALSE),VLOOKUP(tables_555010!C339,input_555010!A:H,8,FALSE))</f>
        <v>4000</v>
      </c>
      <c r="P339" s="46">
        <f t="shared" ca="1" si="31"/>
        <v>6.9444444443479941E-4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input_555010!A$2</f>
        <v>555010</v>
      </c>
      <c r="B340" s="2">
        <v>1230</v>
      </c>
      <c r="C340" s="7" t="str">
        <f t="shared" si="29"/>
        <v>PremiumSS5R5only</v>
      </c>
      <c r="D340" s="97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IFERROR(VLOOKUP(B340,input_555010!L:R,7,FALSE),VLOOKUP(tables_555010!C340,input_555010!A:H,8,FALSE))</f>
        <v>4000</v>
      </c>
      <c r="P340" s="46">
        <f t="shared" ca="1" si="31"/>
        <v>6.9444444443479941E-4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input_555010!A$2</f>
        <v>555010</v>
      </c>
      <c r="B341" s="1">
        <v>1250</v>
      </c>
      <c r="C341" s="7" t="str">
        <f t="shared" ref="C341" si="32">D341&amp;J341&amp;E341&amp;F341&amp;G341</f>
        <v>PremiumSS5R5only</v>
      </c>
      <c r="D341" s="97" t="str">
        <f t="shared" ref="D341" si="3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IFERROR(VLOOKUP(B341,input_555010!L:R,7,FALSE),VLOOKUP(tables_555010!C341,input_555010!A:H,8,FALSE))</f>
        <v>4000</v>
      </c>
      <c r="P341" s="46">
        <f t="shared" ref="P341" ca="1" si="34">O341/SUM(O:O)</f>
        <v>6.9444444443479941E-4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input_555010!A$2</f>
        <v>555010</v>
      </c>
      <c r="B342" s="1">
        <v>1248</v>
      </c>
      <c r="C342" s="7" t="str">
        <f t="shared" ref="C342:C345" si="35">D342&amp;J342&amp;E342&amp;F342&amp;G342</f>
        <v>Premium4R3less</v>
      </c>
      <c r="D342" s="97" t="str">
        <f t="shared" ref="D342:D345" si="36">IF(OR(I342="PremiumSS",I342="PremiumSSw"),"PremiumSS",IF(I342="PremiumSSS",I342,IF(I342="PremiumW",IF(J342=5,"premium",I342),"Premium")))</f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IFERROR(VLOOKUP(B342,input_555010!L:R,7,FALSE),VLOOKUP(tables_555010!C342,input_555010!A:H,8,FALSE))</f>
        <v>49590</v>
      </c>
      <c r="P342" s="46">
        <f t="shared" ref="P342:P345" ca="1" si="37">O342/SUM(O:O)</f>
        <v>8.6093749998804262E-3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input_555010!A$2</f>
        <v>555010</v>
      </c>
      <c r="B343" s="1">
        <v>1249</v>
      </c>
      <c r="C343" s="7" t="str">
        <f t="shared" si="35"/>
        <v>Premium5R3less</v>
      </c>
      <c r="D343" s="97" t="str">
        <f t="shared" si="36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IFERROR(VLOOKUP(B343,input_555010!L:R,7,FALSE),VLOOKUP(tables_555010!C343,input_555010!A:H,8,FALSE))</f>
        <v>5700</v>
      </c>
      <c r="P343" s="46">
        <f t="shared" ca="1" si="37"/>
        <v>9.895833333195892E-4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input_555010!A$2</f>
        <v>555010</v>
      </c>
      <c r="B344" s="1">
        <v>1246</v>
      </c>
      <c r="C344" s="7" t="str">
        <f t="shared" si="35"/>
        <v>PremiumSS5R5only</v>
      </c>
      <c r="D344" s="97" t="str">
        <f t="shared" si="36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IFERROR(VLOOKUP(B344,input_555010!L:R,7,FALSE),VLOOKUP(tables_555010!C344,input_555010!A:H,8,FALSE))</f>
        <v>4000</v>
      </c>
      <c r="P344" s="46">
        <f t="shared" ca="1" si="37"/>
        <v>6.9444444443479941E-4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input_555010!A$2</f>
        <v>555010</v>
      </c>
      <c r="B345" s="1">
        <v>1244</v>
      </c>
      <c r="C345" s="7" t="str">
        <f t="shared" si="35"/>
        <v>PremiumSS5R5only</v>
      </c>
      <c r="D345" s="97" t="str">
        <f t="shared" si="36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IFERROR(VLOOKUP(B345,input_555010!L:R,7,FALSE),VLOOKUP(tables_555010!C345,input_555010!A:H,8,FALSE))</f>
        <v>4000</v>
      </c>
      <c r="P345" s="46">
        <f t="shared" ca="1" si="37"/>
        <v>6.9444444443479941E-4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input_555010!A$2</f>
        <v>555010</v>
      </c>
      <c r="B346" s="1">
        <v>1260</v>
      </c>
      <c r="C346" s="7" t="str">
        <f t="shared" ref="C346:C349" si="38">D346&amp;J346&amp;E346&amp;F346&amp;G346</f>
        <v>PremiumSS5R5only</v>
      </c>
      <c r="D346" s="97" t="str">
        <f t="shared" ref="D346:D349" si="39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IFERROR(VLOOKUP(B346,input_555010!L:R,7,FALSE),VLOOKUP(tables_555010!C346,input_555010!A:H,8,FALSE))</f>
        <v>4000</v>
      </c>
      <c r="P346" s="46">
        <f t="shared" ref="P346:P349" ca="1" si="40">O346/SUM(O:O)</f>
        <v>6.9444444443479941E-4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input_555010!A$2</f>
        <v>555010</v>
      </c>
      <c r="B347" s="1">
        <v>1262</v>
      </c>
      <c r="C347" s="7" t="str">
        <f t="shared" si="38"/>
        <v>PremiumSS5R5only</v>
      </c>
      <c r="D347" s="97" t="str">
        <f t="shared" si="39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IFERROR(VLOOKUP(B347,input_555010!L:R,7,FALSE),VLOOKUP(tables_555010!C347,input_555010!A:H,8,FALSE))</f>
        <v>4000</v>
      </c>
      <c r="P347" s="46">
        <f t="shared" ca="1" si="40"/>
        <v>6.9444444443479941E-4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input_555010!A$2</f>
        <v>555010</v>
      </c>
      <c r="B348" s="1">
        <v>1264</v>
      </c>
      <c r="C348" s="7" t="str">
        <f t="shared" si="38"/>
        <v>PremiumSS5R5only</v>
      </c>
      <c r="D348" s="97" t="str">
        <f t="shared" si="39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IFERROR(VLOOKUP(B348,input_555010!L:R,7,FALSE),VLOOKUP(tables_555010!C348,input_555010!A:H,8,FALSE))</f>
        <v>4000</v>
      </c>
      <c r="P348" s="46">
        <f t="shared" ca="1" si="40"/>
        <v>6.9444444443479941E-4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input_555010!A$2</f>
        <v>555010</v>
      </c>
      <c r="B349" s="1">
        <v>1266</v>
      </c>
      <c r="C349" s="7" t="str">
        <f t="shared" si="38"/>
        <v>Premium4R3less</v>
      </c>
      <c r="D349" s="97" t="str">
        <f t="shared" si="3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IFERROR(VLOOKUP(B349,input_555010!L:R,7,FALSE),VLOOKUP(tables_555010!C349,input_555010!A:H,8,FALSE))</f>
        <v>49590</v>
      </c>
      <c r="P349" s="46">
        <f t="shared" ca="1" si="40"/>
        <v>8.6093749998804262E-3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input_555010!A$2</f>
        <v>555010</v>
      </c>
      <c r="B350" s="1">
        <v>1267</v>
      </c>
      <c r="C350" s="7" t="str">
        <f t="shared" ref="C350" si="41">D350&amp;J350&amp;E350&amp;F350&amp;G350</f>
        <v>Premium5R3less</v>
      </c>
      <c r="D350" s="97" t="str">
        <f t="shared" ref="D350" si="42">IF(OR(I350="PremiumSS",I350="PremiumSSw"),"PremiumSS",IF(I350="PremiumSSS",I350,IF(I350="PremiumW",IF(J350=5,"premium",I350),"Premium")))</f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IFERROR(VLOOKUP(B350,input_555010!L:R,7,FALSE),VLOOKUP(tables_555010!C350,input_555010!A:H,8,FALSE))</f>
        <v>5700</v>
      </c>
      <c r="P350" s="46">
        <f t="shared" ref="P350" ca="1" si="43">O350/SUM(O:O)</f>
        <v>9.895833333195892E-4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input_555010!A$2</f>
        <v>555010</v>
      </c>
      <c r="B351" s="99">
        <v>1332</v>
      </c>
      <c r="C351" s="7" t="str">
        <f t="shared" ref="C351:C355" si="44">D351&amp;J351&amp;E351&amp;F351&amp;G351</f>
        <v>PremiumSS5R5only</v>
      </c>
      <c r="D351" s="97" t="str">
        <f t="shared" ref="D351:D355" si="45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IFERROR(VLOOKUP(B351,input_555010!L:R,7,FALSE),VLOOKUP(tables_555010!C351,input_555010!A:H,8,FALSE))</f>
        <v>4000</v>
      </c>
      <c r="P351" s="46">
        <f t="shared" ref="P351:P355" ca="1" si="46">O351/SUM(O:O)</f>
        <v>6.9444444443479941E-4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input_555010!A$2</f>
        <v>555010</v>
      </c>
      <c r="B352" s="99">
        <v>1336</v>
      </c>
      <c r="C352" s="7" t="str">
        <f t="shared" si="44"/>
        <v>PremiumSS5R5only</v>
      </c>
      <c r="D352" s="97" t="str">
        <f t="shared" si="45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IFERROR(VLOOKUP(B352,input_555010!L:R,7,FALSE),VLOOKUP(tables_555010!C352,input_555010!A:H,8,FALSE))</f>
        <v>4000</v>
      </c>
      <c r="P352" s="46">
        <f t="shared" ca="1" si="46"/>
        <v>6.9444444443479941E-4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input_555010!A$2</f>
        <v>555010</v>
      </c>
      <c r="B353" s="99">
        <v>1338</v>
      </c>
      <c r="C353" s="7" t="str">
        <f t="shared" si="44"/>
        <v>PremiumSS5R5only</v>
      </c>
      <c r="D353" s="97" t="str">
        <f t="shared" si="45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IFERROR(VLOOKUP(B353,input_555010!L:R,7,FALSE),VLOOKUP(tables_555010!C353,input_555010!A:H,8,FALSE))</f>
        <v>4000</v>
      </c>
      <c r="P353" s="46">
        <f t="shared" ca="1" si="46"/>
        <v>6.9444444443479941E-4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input_555010!A$2</f>
        <v>555010</v>
      </c>
      <c r="B354" s="99">
        <v>1334</v>
      </c>
      <c r="C354" s="7" t="str">
        <f t="shared" si="44"/>
        <v>Premium4R3less</v>
      </c>
      <c r="D354" s="97" t="str">
        <f t="shared" si="45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IFERROR(VLOOKUP(B354,input_555010!L:R,7,FALSE),VLOOKUP(tables_555010!C354,input_555010!A:H,8,FALSE))</f>
        <v>49590</v>
      </c>
      <c r="P354" s="46">
        <f t="shared" ca="1" si="46"/>
        <v>8.6093749998804262E-3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input_555010!A$2</f>
        <v>555010</v>
      </c>
      <c r="B355" s="99">
        <v>1335</v>
      </c>
      <c r="C355" s="7" t="str">
        <f t="shared" si="44"/>
        <v>Premium5R3less</v>
      </c>
      <c r="D355" s="97" t="str">
        <f t="shared" si="45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IFERROR(VLOOKUP(B355,input_555010!L:R,7,FALSE),VLOOKUP(tables_555010!C355,input_555010!A:H,8,FALSE))</f>
        <v>5700</v>
      </c>
      <c r="P355" s="46">
        <f t="shared" ca="1" si="46"/>
        <v>9.895833333195892E-4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topLeftCell="A3" workbookViewId="0">
      <selection activeCell="F48" sqref="F48:F4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555100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VLOOKUP(L3,tables_555100!B:C,2,FALSE)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VLOOKUP(L4,tables_555100!B:C,2,FALSE)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6.9444444444444447E-4</v>
      </c>
      <c r="F5">
        <f>(COUNTIF(tables_555100!C:C,input_555100!A28)+COUNTIF(tables_555100!C:C,input_555100!A29))</f>
        <v>72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VLOOKUP(L5,tables_555100!B:C,2,FALSE)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0.9</v>
      </c>
      <c r="D6" t="s">
        <v>202</v>
      </c>
      <c r="E6" s="76">
        <f>(B10-H6)/(F6-I6)</f>
        <v>9.8958333333333329E-3</v>
      </c>
      <c r="F6">
        <f>(COUNTIF(tables_555100!C:C,input_555100!A25)+COUNTIF(tables_555100!C:C,input_555100!A18)+COUNTIF(tables_555100!C:C,input_555100!A20)+COUNTIF(tables_555100!C:C,input_555100!A22))</f>
        <v>96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VLOOKUP(L6,tables_555100!B:C,2,FALSE)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VLOOKUP(L7,tables_555100!B:C,2,FALSE)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VLOOKUP(L8,tables_555100!B:C,2,FALSE)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VLOOKUP(L9,tables_555100!B:C,2,FALSE)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VLOOKUP(L10,tables_555100!B:C,2,FALSE)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VLOOKUP(L11,tables_555100!B:C,2,FALSE)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VLOOKUP(L12,tables_555100!B:C,2,FALSE)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VLOOKUP(L13,tables_555100!B:C,2,FALSE)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VLOOKUP(L14,tables_555100!B:C,2,FALSE)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VLOOKUP(L15,tables_555100!B:C,2,FALSE)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VLOOKUP(L16,tables_555100!B:C,2,FALSE)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COUNTIF(tables_555100!C:C,input_555100!A17)-COUNTIF(Q:Q,A17)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VLOOKUP(L17,tables_555100!B:C,2,FALSE)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B6-SUM(B20,B22,B25,B27,B30)</f>
        <v>0.2115625000000001</v>
      </c>
      <c r="C18" s="85">
        <f t="shared" si="2"/>
        <v>0</v>
      </c>
      <c r="D18" s="74">
        <f t="shared" si="3"/>
        <v>0.2115625000000001</v>
      </c>
      <c r="E18">
        <f>COUNTIF(tables_555100!C:C,input_555100!A18)-COUNTIF(Q:Q,A18)</f>
        <v>20</v>
      </c>
      <c r="F18" s="43">
        <f>IFERROR(B18/E18,0)</f>
        <v>1.0578125000000004E-2</v>
      </c>
      <c r="G18">
        <f t="shared" si="4"/>
        <v>1218600.0000000005</v>
      </c>
      <c r="H18">
        <f t="shared" si="5"/>
        <v>60930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VLOOKUP(L18,tables_555100!B:C,2,FALSE)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COUNTIF(tables_555100!C:C,input_555100!A19)-COUNTIF(Q:Q,A19)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VLOOKUP(L19,tables_555100!B:C,2,FALSE)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0.46312499999999995</v>
      </c>
      <c r="C20" s="85">
        <f t="shared" si="2"/>
        <v>0</v>
      </c>
      <c r="D20" s="74">
        <f t="shared" si="3"/>
        <v>0.46312499999999995</v>
      </c>
      <c r="E20">
        <f>COUNTIF(tables_555100!C:C,input_555100!A20)-COUNTIF(Q:Q,A20)</f>
        <v>52</v>
      </c>
      <c r="F20" s="43">
        <f t="shared" si="8"/>
        <v>8.9062499999999992E-3</v>
      </c>
      <c r="G20">
        <f t="shared" si="4"/>
        <v>2667599.9999999995</v>
      </c>
      <c r="H20">
        <f t="shared" si="5"/>
        <v>51300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VLOOKUP(L20,tables_555100!B:C,2,FALSE)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3.7812500000000013E-2</v>
      </c>
      <c r="C21" s="85">
        <f t="shared" si="2"/>
        <v>0</v>
      </c>
      <c r="D21" s="74">
        <f t="shared" si="3"/>
        <v>3.7812500000000013E-2</v>
      </c>
      <c r="E21">
        <f>COUNTIF(tables_555100!C:C,input_555100!A21)-COUNTIF(Q:Q,A21)</f>
        <v>52</v>
      </c>
      <c r="F21" s="43">
        <f t="shared" si="8"/>
        <v>7.2716346153846182E-4</v>
      </c>
      <c r="G21">
        <f t="shared" si="4"/>
        <v>217800.00000000009</v>
      </c>
      <c r="H21">
        <f t="shared" si="5"/>
        <v>4188.4615400000002</v>
      </c>
      <c r="I21">
        <f t="shared" si="6"/>
        <v>0.46154000000024098</v>
      </c>
      <c r="J21">
        <f t="shared" si="7"/>
        <v>2.166659444467387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0.17218749999999999</v>
      </c>
      <c r="C22" s="85">
        <f t="shared" si="2"/>
        <v>0</v>
      </c>
      <c r="D22" s="74">
        <f t="shared" si="3"/>
        <v>0.17218749999999999</v>
      </c>
      <c r="E22">
        <f>COUNTIF(tables_555100!C:C,input_555100!A22)-COUNTIF(Q:Q,A22)</f>
        <v>20</v>
      </c>
      <c r="F22" s="43">
        <f t="shared" si="8"/>
        <v>8.609374999999999E-3</v>
      </c>
      <c r="G22">
        <f t="shared" si="4"/>
        <v>991800</v>
      </c>
      <c r="H22">
        <f t="shared" si="5"/>
        <v>49590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2.5729166666666664E-2</v>
      </c>
      <c r="C23" s="85">
        <f t="shared" si="2"/>
        <v>0</v>
      </c>
      <c r="D23" s="74">
        <f t="shared" si="3"/>
        <v>2.5729166666666664E-2</v>
      </c>
      <c r="E23">
        <f>COUNTIF(tables_555100!C:C,input_555100!A23)-COUNTIF(Q:Q,A23)</f>
        <v>26</v>
      </c>
      <c r="F23" s="43">
        <f t="shared" si="8"/>
        <v>9.895833333333332E-4</v>
      </c>
      <c r="G23">
        <f t="shared" si="4"/>
        <v>148199.99999999997</v>
      </c>
      <c r="H23">
        <f t="shared" si="5"/>
        <v>5700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COUNTIF(tables_555100!C:C,input_555100!A24)-COUNTIF(Q:Q,A24)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3.5624999999999997E-2</v>
      </c>
      <c r="C25" s="85">
        <f t="shared" si="2"/>
        <v>0</v>
      </c>
      <c r="D25" s="74">
        <f t="shared" si="3"/>
        <v>3.5624999999999997E-2</v>
      </c>
      <c r="E25">
        <f>COUNTIF(tables_555100!C:C,input_555100!A25)-COUNTIF(Q:Q,A25)</f>
        <v>4</v>
      </c>
      <c r="F25" s="43">
        <f t="shared" si="8"/>
        <v>8.9062499999999992E-3</v>
      </c>
      <c r="G25">
        <f t="shared" si="4"/>
        <v>205199.99999999997</v>
      </c>
      <c r="H25">
        <f t="shared" si="5"/>
        <v>51300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3.9583333333333337E-3</v>
      </c>
      <c r="C26" s="85">
        <f t="shared" si="2"/>
        <v>0</v>
      </c>
      <c r="D26" s="74">
        <f t="shared" si="3"/>
        <v>3.9583333333333337E-3</v>
      </c>
      <c r="E26">
        <f>COUNTIF(tables_555100!C:C,input_555100!A26)-COUNTIF(Q:Q,A26)</f>
        <v>4</v>
      </c>
      <c r="F26" s="43">
        <f t="shared" si="8"/>
        <v>9.8958333333333342E-4</v>
      </c>
      <c r="G26">
        <f t="shared" si="4"/>
        <v>22800.000000000004</v>
      </c>
      <c r="H26">
        <f t="shared" si="5"/>
        <v>5700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1.7500000000000002E-2</v>
      </c>
      <c r="C27" s="85">
        <f t="shared" si="2"/>
        <v>0</v>
      </c>
      <c r="D27" s="74">
        <f t="shared" si="3"/>
        <v>1.7500000000000002E-2</v>
      </c>
      <c r="E27">
        <f>COUNTIF(tables_555100!C:C,input_555100!A27)-COUNTIF(Q:Q,A27)</f>
        <v>28</v>
      </c>
      <c r="F27" s="43">
        <f>IFERROR(B27/E27,0)</f>
        <v>6.2500000000000001E-4</v>
      </c>
      <c r="G27">
        <f t="shared" si="4"/>
        <v>100800.00000000001</v>
      </c>
      <c r="H27">
        <f t="shared" si="5"/>
        <v>3600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1.9444444444444446E-3</v>
      </c>
      <c r="C28" s="85">
        <f t="shared" si="2"/>
        <v>0</v>
      </c>
      <c r="D28" s="74">
        <f t="shared" si="3"/>
        <v>1.9444444444444446E-3</v>
      </c>
      <c r="E28">
        <f>COUNTIF(tables_555100!C:C,input_555100!A28)-COUNTIF(Q:Q,A28)</f>
        <v>28</v>
      </c>
      <c r="F28" s="43">
        <f t="shared" si="8"/>
        <v>6.9444444444444444E-5</v>
      </c>
      <c r="G28">
        <f t="shared" si="4"/>
        <v>11200.000000000002</v>
      </c>
      <c r="H28">
        <f t="shared" si="5"/>
        <v>400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3.0555555555555558E-2</v>
      </c>
      <c r="C29" s="85">
        <f t="shared" si="2"/>
        <v>0</v>
      </c>
      <c r="D29" s="74">
        <f t="shared" si="3"/>
        <v>3.0555555555555558E-2</v>
      </c>
      <c r="E29">
        <f>COUNTIF(tables_555100!C:C,input_555100!A29)-COUNTIF(Q:Q,A29)</f>
        <v>44</v>
      </c>
      <c r="F29" s="43">
        <f t="shared" si="8"/>
        <v>6.9444444444444447E-4</v>
      </c>
      <c r="G29">
        <f t="shared" si="4"/>
        <v>176000</v>
      </c>
      <c r="H29">
        <f t="shared" si="5"/>
        <v>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COUNTIF(tables_555100!C:C,input_555100!A30)-COUNTIF(Q:Q,A30)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COUNTIF(tables_555100!C:C,input_555100!A31)-COUNTIF(Q:Q,A31)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SUMIF(tables_555100!C:C,input_555100!A40,tables_555100!O:O)</f>
        <v>0</v>
      </c>
      <c r="C40" s="54">
        <f t="shared" ref="C40:C46" ca="1" si="9">B40/B$47</f>
        <v>0</v>
      </c>
      <c r="E40">
        <v>3</v>
      </c>
      <c r="F40">
        <f ca="1">SUMIF(tables_555100!J:J,input_555100!E40,tables_555100!O:O)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SUMIF(tables_555100!C:C,input_555100!A41,tables_555100!O:O)</f>
        <v>2667600</v>
      </c>
      <c r="C41" s="54">
        <f t="shared" ca="1" si="9"/>
        <v>0.8899713084435853</v>
      </c>
      <c r="E41">
        <v>4</v>
      </c>
      <c r="F41">
        <f ca="1">SUMIF(tables_555100!J:J,input_555100!E41,tables_555100!O:O)</f>
        <v>5184000</v>
      </c>
      <c r="G41">
        <f ca="1">F41/A36</f>
        <v>0.9</v>
      </c>
    </row>
    <row r="42" spans="1:7" x14ac:dyDescent="0.15">
      <c r="A42" s="33" t="s">
        <v>106</v>
      </c>
      <c r="B42">
        <f ca="1">SUMIF(tables_555100!C:C,input_555100!A42,tables_555100!O:O)</f>
        <v>100800</v>
      </c>
      <c r="C42" s="54">
        <f t="shared" ca="1" si="9"/>
        <v>3.3629145258327109E-2</v>
      </c>
      <c r="E42">
        <v>5</v>
      </c>
      <c r="F42">
        <f ca="1">SUMIF(tables_555100!J:J,input_555100!E42,tables_555100!O:O)</f>
        <v>576000.00007999979</v>
      </c>
      <c r="G42">
        <f ca="1">F42/A36</f>
        <v>0.10000000001388885</v>
      </c>
    </row>
    <row r="43" spans="1:7" x14ac:dyDescent="0.15">
      <c r="A43" s="33" t="s">
        <v>109</v>
      </c>
      <c r="B43">
        <f>SUMIF(tables_555100!C:C,input_555100!A43,tables_555100!O:O)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SUMIF(tables_555100!C:C,input_555100!A44,tables_555100!O:O)</f>
        <v>217800.00007999988</v>
      </c>
      <c r="C44" s="54">
        <f t="shared" ca="1" si="9"/>
        <v>7.2662974602717978E-2</v>
      </c>
      <c r="E44" t="s">
        <v>54</v>
      </c>
      <c r="F44" s="55"/>
    </row>
    <row r="45" spans="1:7" x14ac:dyDescent="0.15">
      <c r="A45" s="33" t="s">
        <v>107</v>
      </c>
      <c r="B45">
        <f ca="1">SUMIF(tables_555100!C:C,input_555100!A45,tables_555100!O:O)</f>
        <v>11200</v>
      </c>
      <c r="C45" s="54">
        <f t="shared" ca="1" si="9"/>
        <v>3.7365716953696787E-3</v>
      </c>
      <c r="E45" t="s">
        <v>204</v>
      </c>
      <c r="F45" s="55">
        <f ca="1">SUMIF(tables_555100!I:I,input_555100!E45,tables_555100!P:P)</f>
        <v>0.21749999999697914</v>
      </c>
    </row>
    <row r="46" spans="1:7" x14ac:dyDescent="0.15">
      <c r="A46" s="33" t="s">
        <v>108</v>
      </c>
      <c r="B46">
        <f>SUMIF(tables_555100!C:C,input_555100!A46,tables_555100!O:O)</f>
        <v>0</v>
      </c>
      <c r="C46" s="54">
        <f t="shared" ca="1" si="9"/>
        <v>0</v>
      </c>
      <c r="E46" t="s">
        <v>205</v>
      </c>
      <c r="F46" s="55">
        <f ca="1">SUMIF(tables_555100!I:I,input_555100!E46,tables_555100!P:P)</f>
        <v>0.1934555288480076</v>
      </c>
    </row>
    <row r="47" spans="1:7" x14ac:dyDescent="0.15">
      <c r="A47" s="39" t="s">
        <v>59</v>
      </c>
      <c r="B47">
        <f ca="1">SUM(B40:B46)</f>
        <v>2997400.0000799997</v>
      </c>
      <c r="C47" s="55">
        <f ca="1">SUM(C40:C46)</f>
        <v>1.0000000000000002</v>
      </c>
      <c r="E47" t="s">
        <v>206</v>
      </c>
      <c r="F47" s="55">
        <f ca="1">SUMIF(tables_555100!I:I,input_555100!E47,tables_555100!P:P)</f>
        <v>0.53904447115570808</v>
      </c>
    </row>
    <row r="48" spans="1:7" x14ac:dyDescent="0.15">
      <c r="E48" t="s">
        <v>207</v>
      </c>
      <c r="F48" s="55">
        <f ca="1">SUMIF(tables_555100!I:I,input_555100!E48,tables_555100!P:P)</f>
        <v>4.3749999999392344E-2</v>
      </c>
    </row>
    <row r="49" spans="5:6" x14ac:dyDescent="0.15">
      <c r="E49" t="s">
        <v>251</v>
      </c>
      <c r="F49" s="55">
        <f ca="1">SUMIF(tables_555100!I:I,input_555100!E49,tables_555100!P:P)</f>
        <v>6.2499999999131948E-3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5"/>
  <sheetViews>
    <sheetView showGridLines="0" zoomScale="75" zoomScaleNormal="75" zoomScalePageLayoutView="75" workbookViewId="0">
      <pane ySplit="1" topLeftCell="A315" activePane="bottomLeft" state="frozen"/>
      <selection activeCell="G9" sqref="G9"/>
      <selection pane="bottomLeft" activeCell="Q355" sqref="Q35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input_555100!A$2</f>
        <v>555100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IFERROR(VLOOKUP(B2,input_555100!L:R,7,FALSE),VLOOKUP(tables_555100!C2,input_555100!A:H,8,FALSE))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input_555100!A$2</f>
        <v>555100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IFERROR(VLOOKUP(B3,input_555100!L:R,7,FALSE),VLOOKUP(tables_555100!C3,input_555100!A:H,8,FALSE))</f>
        <v>60930</v>
      </c>
      <c r="P3" s="46">
        <f t="shared" ca="1" si="1"/>
        <v>1.0578124999853082E-2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input_555100!A$2</f>
        <v>555100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IFERROR(VLOOKUP(B4,input_555100!L:R,7,FALSE),VLOOKUP(tables_555100!C4,input_555100!A:H,8,FALSE))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input_555100!A$2</f>
        <v>555100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IFERROR(VLOOKUP(B5,input_555100!L:R,7,FALSE),VLOOKUP(tables_555100!C5,input_555100!A:H,8,FALSE))</f>
        <v>60930</v>
      </c>
      <c r="P5" s="46">
        <f t="shared" ca="1" si="1"/>
        <v>1.0578124999853082E-2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input_555100!A$2</f>
        <v>555100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IFERROR(VLOOKUP(B6,input_555100!L:R,7,FALSE),VLOOKUP(tables_555100!C6,input_555100!A:H,8,FALSE))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input_555100!A$2</f>
        <v>555100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IFERROR(VLOOKUP(B7,input_555100!L:R,7,FALSE),VLOOKUP(tables_555100!C7,input_555100!A:H,8,FALSE))</f>
        <v>60930</v>
      </c>
      <c r="P7" s="46">
        <f t="shared" ca="1" si="1"/>
        <v>1.0578124999853082E-2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input_555100!A$2</f>
        <v>555100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IFERROR(VLOOKUP(B8,input_555100!L:R,7,FALSE),VLOOKUP(tables_555100!C8,input_555100!A:H,8,FALSE))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input_555100!A$2</f>
        <v>555100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IFERROR(VLOOKUP(B9,input_555100!L:R,7,FALSE),VLOOKUP(tables_555100!C9,input_555100!A:H,8,FALSE))</f>
        <v>60930</v>
      </c>
      <c r="P9" s="46">
        <f t="shared" ca="1" si="1"/>
        <v>1.0578124999853082E-2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input_555100!A$2</f>
        <v>555100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IFERROR(VLOOKUP(B10,input_555100!L:R,7,FALSE),VLOOKUP(tables_555100!C10,input_555100!A:H,8,FALSE))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input_555100!A$2</f>
        <v>555100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IFERROR(VLOOKUP(B11,input_555100!L:R,7,FALSE),VLOOKUP(tables_555100!C11,input_555100!A:H,8,FALSE))</f>
        <v>60930</v>
      </c>
      <c r="P11" s="46">
        <f t="shared" ca="1" si="1"/>
        <v>1.0578124999853082E-2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input_555100!A$2</f>
        <v>555100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IFERROR(VLOOKUP(B12,input_555100!L:R,7,FALSE),VLOOKUP(tables_555100!C12,input_555100!A:H,8,FALSE))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input_555100!A$2</f>
        <v>555100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IFERROR(VLOOKUP(B13,input_555100!L:R,7,FALSE),VLOOKUP(tables_555100!C13,input_555100!A:H,8,FALSE))</f>
        <v>60930</v>
      </c>
      <c r="P13" s="46">
        <f t="shared" ca="1" si="1"/>
        <v>1.0578124999853082E-2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input_555100!A$2</f>
        <v>555100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IFERROR(VLOOKUP(B14,input_555100!L:R,7,FALSE),VLOOKUP(tables_555100!C14,input_555100!A:H,8,FALSE))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input_555100!A$2</f>
        <v>555100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IFERROR(VLOOKUP(B15,input_555100!L:R,7,FALSE),VLOOKUP(tables_555100!C15,input_555100!A:H,8,FALSE))</f>
        <v>60930</v>
      </c>
      <c r="P15" s="46">
        <f t="shared" ca="1" si="1"/>
        <v>1.0578124999853082E-2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input_555100!A$2</f>
        <v>555100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IFERROR(VLOOKUP(B16,input_555100!L:R,7,FALSE),VLOOKUP(tables_555100!C16,input_555100!A:H,8,FALSE))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input_555100!A$2</f>
        <v>555100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IFERROR(VLOOKUP(B17,input_555100!L:R,7,FALSE),VLOOKUP(tables_555100!C17,input_555100!A:H,8,FALSE))</f>
        <v>60930</v>
      </c>
      <c r="P17" s="46">
        <f t="shared" ca="1" si="1"/>
        <v>1.0578124999853082E-2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input_555100!A$2</f>
        <v>555100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IFERROR(VLOOKUP(B18,input_555100!L:R,7,FALSE),VLOOKUP(tables_555100!C18,input_555100!A:H,8,FALSE))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input_555100!A$2</f>
        <v>555100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IFERROR(VLOOKUP(B19,input_555100!L:R,7,FALSE),VLOOKUP(tables_555100!C19,input_555100!A:H,8,FALSE))</f>
        <v>60930</v>
      </c>
      <c r="P19" s="46">
        <f t="shared" ca="1" si="1"/>
        <v>1.0578124999853082E-2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input_555100!A$2</f>
        <v>555100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IFERROR(VLOOKUP(B20,input_555100!L:R,7,FALSE),VLOOKUP(tables_555100!C20,input_555100!A:H,8,FALSE))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input_555100!A$2</f>
        <v>555100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IFERROR(VLOOKUP(B21,input_555100!L:R,7,FALSE),VLOOKUP(tables_555100!C21,input_555100!A:H,8,FALSE))</f>
        <v>60930</v>
      </c>
      <c r="P21" s="46">
        <f t="shared" ca="1" si="1"/>
        <v>1.0578124999853082E-2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input_555100!A$2</f>
        <v>555100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IFERROR(VLOOKUP(B22,input_555100!L:R,7,FALSE),VLOOKUP(tables_555100!C22,input_555100!A:H,8,FALSE))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input_555100!A$2</f>
        <v>555100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IFERROR(VLOOKUP(B23,input_555100!L:R,7,FALSE),VLOOKUP(tables_555100!C23,input_555100!A:H,8,FALSE))</f>
        <v>60930</v>
      </c>
      <c r="P23" s="46">
        <f t="shared" ca="1" si="1"/>
        <v>1.0578124999853082E-2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input_555100!A$2</f>
        <v>555100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IFERROR(VLOOKUP(B24,input_555100!L:R,7,FALSE),VLOOKUP(tables_555100!C24,input_555100!A:H,8,FALSE))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input_555100!A$2</f>
        <v>555100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IFERROR(VLOOKUP(B25,input_555100!L:R,7,FALSE),VLOOKUP(tables_555100!C25,input_555100!A:H,8,FALSE))</f>
        <v>60930</v>
      </c>
      <c r="P25" s="46">
        <f t="shared" ca="1" si="1"/>
        <v>1.0578124999853082E-2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input_555100!A$2</f>
        <v>555100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IFERROR(VLOOKUP(B26,input_555100!L:R,7,FALSE),VLOOKUP(tables_555100!C26,input_555100!A:H,8,FALSE))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input_555100!A$2</f>
        <v>555100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IFERROR(VLOOKUP(B27,input_555100!L:R,7,FALSE),VLOOKUP(tables_555100!C27,input_555100!A:H,8,FALSE))</f>
        <v>60930</v>
      </c>
      <c r="P27" s="46">
        <f t="shared" ca="1" si="1"/>
        <v>1.0578124999853082E-2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input_555100!A$2</f>
        <v>555100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IFERROR(VLOOKUP(B28,input_555100!L:R,7,FALSE),VLOOKUP(tables_555100!C28,input_555100!A:H,8,FALSE))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input_555100!A$2</f>
        <v>555100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IFERROR(VLOOKUP(B29,input_555100!L:R,7,FALSE),VLOOKUP(tables_555100!C29,input_555100!A:H,8,FALSE))</f>
        <v>60930</v>
      </c>
      <c r="P29" s="46">
        <f t="shared" ca="1" si="1"/>
        <v>1.0578124999853082E-2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input_555100!A$2</f>
        <v>555100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IFERROR(VLOOKUP(B30,input_555100!L:R,7,FALSE),VLOOKUP(tables_555100!C30,input_555100!A:H,8,FALSE))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input_555100!A$2</f>
        <v>555100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IFERROR(VLOOKUP(B31,input_555100!L:R,7,FALSE),VLOOKUP(tables_555100!C31,input_555100!A:H,8,FALSE))</f>
        <v>60930</v>
      </c>
      <c r="P31" s="46">
        <f t="shared" ca="1" si="1"/>
        <v>1.0578124999853082E-2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input_555100!A$2</f>
        <v>555100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IFERROR(VLOOKUP(B32,input_555100!L:R,7,FALSE),VLOOKUP(tables_555100!C32,input_555100!A:H,8,FALSE))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input_555100!A$2</f>
        <v>555100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IFERROR(VLOOKUP(B33,input_555100!L:R,7,FALSE),VLOOKUP(tables_555100!C33,input_555100!A:H,8,FALSE))</f>
        <v>60930</v>
      </c>
      <c r="P33" s="46">
        <f t="shared" ca="1" si="1"/>
        <v>1.0578124999853082E-2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input_555100!A$2</f>
        <v>555100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IFERROR(VLOOKUP(B34,input_555100!L:R,7,FALSE),VLOOKUP(tables_555100!C34,input_555100!A:H,8,FALSE))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input_555100!A$2</f>
        <v>555100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IFERROR(VLOOKUP(B35,input_555100!L:R,7,FALSE),VLOOKUP(tables_555100!C35,input_555100!A:H,8,FALSE))</f>
        <v>60930</v>
      </c>
      <c r="P35" s="46">
        <f t="shared" ca="1" si="1"/>
        <v>1.0578124999853082E-2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input_555100!A$2</f>
        <v>555100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IFERROR(VLOOKUP(B36,input_555100!L:R,7,FALSE),VLOOKUP(tables_555100!C36,input_555100!A:H,8,FALSE))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input_555100!A$2</f>
        <v>555100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IFERROR(VLOOKUP(B37,input_555100!L:R,7,FALSE),VLOOKUP(tables_555100!C37,input_555100!A:H,8,FALSE))</f>
        <v>60930</v>
      </c>
      <c r="P37" s="46">
        <f t="shared" ca="1" si="1"/>
        <v>1.0578124999853082E-2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input_555100!A$2</f>
        <v>555100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IFERROR(VLOOKUP(B38,input_555100!L:R,7,FALSE),VLOOKUP(tables_555100!C38,input_555100!A:H,8,FALSE))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input_555100!A$2</f>
        <v>555100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IFERROR(VLOOKUP(B39,input_555100!L:R,7,FALSE),VLOOKUP(tables_555100!C39,input_555100!A:H,8,FALSE))</f>
        <v>60930</v>
      </c>
      <c r="P39" s="46">
        <f t="shared" ca="1" si="1"/>
        <v>1.0578124999853082E-2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input_555100!A$2</f>
        <v>555100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IFERROR(VLOOKUP(B40,input_555100!L:R,7,FALSE),VLOOKUP(tables_555100!C40,input_555100!A:H,8,FALSE))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input_555100!A$2</f>
        <v>555100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IFERROR(VLOOKUP(B41,input_555100!L:R,7,FALSE),VLOOKUP(tables_555100!C41,input_555100!A:H,8,FALSE))</f>
        <v>60930</v>
      </c>
      <c r="P41" s="46">
        <f t="shared" ca="1" si="1"/>
        <v>1.0578124999853082E-2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input_555100!A$2</f>
        <v>555100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IFERROR(VLOOKUP(B42,input_555100!L:R,7,FALSE),VLOOKUP(tables_555100!C42,input_555100!A:H,8,FALSE))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input_555100!A$2</f>
        <v>555100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IFERROR(VLOOKUP(B43,input_555100!L:R,7,FALSE),VLOOKUP(tables_555100!C43,input_555100!A:H,8,FALSE))</f>
        <v>51300</v>
      </c>
      <c r="P43" s="46">
        <f t="shared" ca="1" si="1"/>
        <v>8.906249999876303E-3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input_555100!A$2</f>
        <v>555100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IFERROR(VLOOKUP(B44,input_555100!L:R,7,FALSE),VLOOKUP(tables_555100!C44,input_555100!A:H,8,FALSE))</f>
        <v>5700</v>
      </c>
      <c r="P44" s="46">
        <f t="shared" ca="1" si="1"/>
        <v>9.895833333195892E-4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input_555100!A$2</f>
        <v>555100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IFERROR(VLOOKUP(B45,input_555100!L:R,7,FALSE),VLOOKUP(tables_555100!C45,input_555100!A:H,8,FALSE))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input_555100!A$2</f>
        <v>555100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IFERROR(VLOOKUP(B46,input_555100!L:R,7,FALSE),VLOOKUP(tables_555100!C46,input_555100!A:H,8,FALSE))</f>
        <v>51300</v>
      </c>
      <c r="P46" s="46">
        <f t="shared" ca="1" si="1"/>
        <v>8.906249999876303E-3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input_555100!A$2</f>
        <v>555100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IFERROR(VLOOKUP(B47,input_555100!L:R,7,FALSE),VLOOKUP(tables_555100!C47,input_555100!A:H,8,FALSE))</f>
        <v>5700</v>
      </c>
      <c r="P47" s="46">
        <f t="shared" ca="1" si="1"/>
        <v>9.895833333195892E-4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input_555100!A$2</f>
        <v>555100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IFERROR(VLOOKUP(B48,input_555100!L:R,7,FALSE),VLOOKUP(tables_555100!C48,input_555100!A:H,8,FALSE))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input_555100!A$2</f>
        <v>555100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IFERROR(VLOOKUP(B49,input_555100!L:R,7,FALSE),VLOOKUP(tables_555100!C49,input_555100!A:H,8,FALSE))</f>
        <v>51300</v>
      </c>
      <c r="P49" s="46">
        <f t="shared" ca="1" si="1"/>
        <v>8.906249999876303E-3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input_555100!A$2</f>
        <v>555100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IFERROR(VLOOKUP(B50,input_555100!L:R,7,FALSE),VLOOKUP(tables_555100!C50,input_555100!A:H,8,FALSE))</f>
        <v>5700</v>
      </c>
      <c r="P50" s="46">
        <f t="shared" ca="1" si="1"/>
        <v>9.895833333195892E-4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input_555100!A$2</f>
        <v>555100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IFERROR(VLOOKUP(B51,input_555100!L:R,7,FALSE),VLOOKUP(tables_555100!C51,input_555100!A:H,8,FALSE))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input_555100!A$2</f>
        <v>555100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IFERROR(VLOOKUP(B52,input_555100!L:R,7,FALSE),VLOOKUP(tables_555100!C52,input_555100!A:H,8,FALSE))</f>
        <v>51300</v>
      </c>
      <c r="P52" s="46">
        <f t="shared" ca="1" si="1"/>
        <v>8.906249999876303E-3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input_555100!A$2</f>
        <v>555100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IFERROR(VLOOKUP(B53,input_555100!L:R,7,FALSE),VLOOKUP(tables_555100!C53,input_555100!A:H,8,FALSE))</f>
        <v>4188.4615400000002</v>
      </c>
      <c r="P53" s="46">
        <f t="shared" ca="1" si="1"/>
        <v>7.2716346179545611E-4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input_555100!A$2</f>
        <v>555100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IFERROR(VLOOKUP(B54,input_555100!L:R,7,FALSE),VLOOKUP(tables_555100!C54,input_555100!A:H,8,FALSE))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input_555100!A$2</f>
        <v>555100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IFERROR(VLOOKUP(B55,input_555100!L:R,7,FALSE),VLOOKUP(tables_555100!C55,input_555100!A:H,8,FALSE))</f>
        <v>51300</v>
      </c>
      <c r="P55" s="46">
        <f t="shared" ca="1" si="1"/>
        <v>8.906249999876303E-3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input_555100!A$2</f>
        <v>555100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IFERROR(VLOOKUP(B56,input_555100!L:R,7,FALSE),VLOOKUP(tables_555100!C56,input_555100!A:H,8,FALSE))</f>
        <v>4188.4615400000002</v>
      </c>
      <c r="P56" s="46">
        <f t="shared" ca="1" si="1"/>
        <v>7.2716346179545611E-4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input_555100!A$2</f>
        <v>555100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IFERROR(VLOOKUP(B57,input_555100!L:R,7,FALSE),VLOOKUP(tables_555100!C57,input_555100!A:H,8,FALSE))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input_555100!A$2</f>
        <v>555100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IFERROR(VLOOKUP(B58,input_555100!L:R,7,FALSE),VLOOKUP(tables_555100!C58,input_555100!A:H,8,FALSE))</f>
        <v>51300</v>
      </c>
      <c r="P58" s="46">
        <f t="shared" ca="1" si="1"/>
        <v>8.906249999876303E-3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input_555100!A$2</f>
        <v>555100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IFERROR(VLOOKUP(B59,input_555100!L:R,7,FALSE),VLOOKUP(tables_555100!C59,input_555100!A:H,8,FALSE))</f>
        <v>4188.4615400000002</v>
      </c>
      <c r="P59" s="46">
        <f t="shared" ca="1" si="1"/>
        <v>7.2716346179545611E-4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input_555100!A$2</f>
        <v>555100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IFERROR(VLOOKUP(B60,input_555100!L:R,7,FALSE),VLOOKUP(tables_555100!C60,input_555100!A:H,8,FALSE))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input_555100!A$2</f>
        <v>555100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IFERROR(VLOOKUP(B61,input_555100!L:R,7,FALSE),VLOOKUP(tables_555100!C61,input_555100!A:H,8,FALSE))</f>
        <v>51300</v>
      </c>
      <c r="P61" s="46">
        <f t="shared" ca="1" si="1"/>
        <v>8.906249999876303E-3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input_555100!A$2</f>
        <v>555100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IFERROR(VLOOKUP(B62,input_555100!L:R,7,FALSE),VLOOKUP(tables_555100!C62,input_555100!A:H,8,FALSE))</f>
        <v>4188.4615400000002</v>
      </c>
      <c r="P62" s="46">
        <f t="shared" ca="1" si="1"/>
        <v>7.2716346179545611E-4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input_555100!A$2</f>
        <v>555100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IFERROR(VLOOKUP(B63,input_555100!L:R,7,FALSE),VLOOKUP(tables_555100!C63,input_555100!A:H,8,FALSE))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input_555100!A$2</f>
        <v>555100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IFERROR(VLOOKUP(B64,input_555100!L:R,7,FALSE),VLOOKUP(tables_555100!C64,input_555100!A:H,8,FALSE))</f>
        <v>51300</v>
      </c>
      <c r="P64" s="46">
        <f t="shared" ca="1" si="1"/>
        <v>8.906249999876303E-3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input_555100!A$2</f>
        <v>555100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IFERROR(VLOOKUP(B65,input_555100!L:R,7,FALSE),VLOOKUP(tables_555100!C65,input_555100!A:H,8,FALSE))</f>
        <v>4188.4615400000002</v>
      </c>
      <c r="P65" s="46">
        <f t="shared" ca="1" si="1"/>
        <v>7.2716346179545611E-4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input_555100!A$2</f>
        <v>555100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IFERROR(VLOOKUP(B66,input_555100!L:R,7,FALSE),VLOOKUP(tables_555100!C66,input_555100!A:H,8,FALSE))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input_555100!A$2</f>
        <v>555100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IFERROR(VLOOKUP(B67,input_555100!L:R,7,FALSE),VLOOKUP(tables_555100!C67,input_555100!A:H,8,FALSE))</f>
        <v>51300</v>
      </c>
      <c r="P67" s="46">
        <f t="shared" ca="1" si="4"/>
        <v>8.906249999876303E-3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input_555100!A$2</f>
        <v>555100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IFERROR(VLOOKUP(B68,input_555100!L:R,7,FALSE),VLOOKUP(tables_555100!C68,input_555100!A:H,8,FALSE))</f>
        <v>4188.4615400000002</v>
      </c>
      <c r="P68" s="46">
        <f t="shared" ca="1" si="4"/>
        <v>7.2716346179545611E-4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input_555100!A$2</f>
        <v>555100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IFERROR(VLOOKUP(B69,input_555100!L:R,7,FALSE),VLOOKUP(tables_555100!C69,input_555100!A:H,8,FALSE))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input_555100!A$2</f>
        <v>555100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IFERROR(VLOOKUP(B70,input_555100!L:R,7,FALSE),VLOOKUP(tables_555100!C70,input_555100!A:H,8,FALSE))</f>
        <v>51300</v>
      </c>
      <c r="P70" s="46">
        <f t="shared" ca="1" si="4"/>
        <v>8.906249999876303E-3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input_555100!A$2</f>
        <v>555100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IFERROR(VLOOKUP(B71,input_555100!L:R,7,FALSE),VLOOKUP(tables_555100!C71,input_555100!A:H,8,FALSE))</f>
        <v>4188.4615400000002</v>
      </c>
      <c r="P71" s="46">
        <f t="shared" ca="1" si="4"/>
        <v>7.2716346179545611E-4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input_555100!A$2</f>
        <v>555100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IFERROR(VLOOKUP(B72,input_555100!L:R,7,FALSE),VLOOKUP(tables_555100!C72,input_555100!A:H,8,FALSE))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input_555100!A$2</f>
        <v>555100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IFERROR(VLOOKUP(B73,input_555100!L:R,7,FALSE),VLOOKUP(tables_555100!C73,input_555100!A:H,8,FALSE))</f>
        <v>51300</v>
      </c>
      <c r="P73" s="46">
        <f t="shared" ca="1" si="4"/>
        <v>8.906249999876303E-3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input_555100!A$2</f>
        <v>555100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IFERROR(VLOOKUP(B74,input_555100!L:R,7,FALSE),VLOOKUP(tables_555100!C74,input_555100!A:H,8,FALSE))</f>
        <v>4188.4615400000002</v>
      </c>
      <c r="P74" s="46">
        <f t="shared" ca="1" si="4"/>
        <v>7.2716346179545611E-4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input_555100!A$2</f>
        <v>555100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IFERROR(VLOOKUP(B75,input_555100!L:R,7,FALSE),VLOOKUP(tables_555100!C75,input_555100!A:H,8,FALSE))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input_555100!A$2</f>
        <v>555100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IFERROR(VLOOKUP(B76,input_555100!L:R,7,FALSE),VLOOKUP(tables_555100!C76,input_555100!A:H,8,FALSE))</f>
        <v>51300</v>
      </c>
      <c r="P76" s="46">
        <f t="shared" ca="1" si="4"/>
        <v>8.906249999876303E-3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input_555100!A$2</f>
        <v>555100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IFERROR(VLOOKUP(B77,input_555100!L:R,7,FALSE),VLOOKUP(tables_555100!C77,input_555100!A:H,8,FALSE))</f>
        <v>4188.4615400000002</v>
      </c>
      <c r="P77" s="46">
        <f t="shared" ca="1" si="4"/>
        <v>7.2716346179545611E-4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input_555100!A$2</f>
        <v>555100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IFERROR(VLOOKUP(B78,input_555100!L:R,7,FALSE),VLOOKUP(tables_555100!C78,input_555100!A:H,8,FALSE))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input_555100!A$2</f>
        <v>555100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IFERROR(VLOOKUP(B79,input_555100!L:R,7,FALSE),VLOOKUP(tables_555100!C79,input_555100!A:H,8,FALSE))</f>
        <v>51300</v>
      </c>
      <c r="P79" s="46">
        <f t="shared" ca="1" si="4"/>
        <v>8.906249999876303E-3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input_555100!A$2</f>
        <v>555100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IFERROR(VLOOKUP(B80,input_555100!L:R,7,FALSE),VLOOKUP(tables_555100!C80,input_555100!A:H,8,FALSE))</f>
        <v>4188.4615400000002</v>
      </c>
      <c r="P80" s="46">
        <f t="shared" ca="1" si="4"/>
        <v>7.2716346179545611E-4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input_555100!A$2</f>
        <v>555100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IFERROR(VLOOKUP(B81,input_555100!L:R,7,FALSE),VLOOKUP(tables_555100!C81,input_555100!A:H,8,FALSE))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input_555100!A$2</f>
        <v>555100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IFERROR(VLOOKUP(B82,input_555100!L:R,7,FALSE),VLOOKUP(tables_555100!C82,input_555100!A:H,8,FALSE))</f>
        <v>51300</v>
      </c>
      <c r="P82" s="46">
        <f t="shared" ca="1" si="4"/>
        <v>8.906249999876303E-3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input_555100!A$2</f>
        <v>555100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IFERROR(VLOOKUP(B83,input_555100!L:R,7,FALSE),VLOOKUP(tables_555100!C83,input_555100!A:H,8,FALSE))</f>
        <v>4188.4615400000002</v>
      </c>
      <c r="P83" s="46">
        <f t="shared" ca="1" si="4"/>
        <v>7.2716346179545611E-4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input_555100!A$2</f>
        <v>555100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IFERROR(VLOOKUP(B84,input_555100!L:R,7,FALSE),VLOOKUP(tables_555100!C84,input_555100!A:H,8,FALSE))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input_555100!A$2</f>
        <v>555100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IFERROR(VLOOKUP(B85,input_555100!L:R,7,FALSE),VLOOKUP(tables_555100!C85,input_555100!A:H,8,FALSE))</f>
        <v>51300</v>
      </c>
      <c r="P85" s="46">
        <f t="shared" ca="1" si="4"/>
        <v>8.906249999876303E-3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input_555100!A$2</f>
        <v>555100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IFERROR(VLOOKUP(B86,input_555100!L:R,7,FALSE),VLOOKUP(tables_555100!C86,input_555100!A:H,8,FALSE))</f>
        <v>4188.4615400000002</v>
      </c>
      <c r="P86" s="46">
        <f t="shared" ca="1" si="4"/>
        <v>7.2716346179545611E-4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input_555100!A$2</f>
        <v>555100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IFERROR(VLOOKUP(B87,input_555100!L:R,7,FALSE),VLOOKUP(tables_555100!C87,input_555100!A:H,8,FALSE))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input_555100!A$2</f>
        <v>555100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IFERROR(VLOOKUP(B88,input_555100!L:R,7,FALSE),VLOOKUP(tables_555100!C88,input_555100!A:H,8,FALSE))</f>
        <v>51300</v>
      </c>
      <c r="P88" s="46">
        <f t="shared" ca="1" si="4"/>
        <v>8.906249999876303E-3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input_555100!A$2</f>
        <v>555100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IFERROR(VLOOKUP(B89,input_555100!L:R,7,FALSE),VLOOKUP(tables_555100!C89,input_555100!A:H,8,FALSE))</f>
        <v>4188.4615400000002</v>
      </c>
      <c r="P89" s="46">
        <f t="shared" ca="1" si="4"/>
        <v>7.2716346179545611E-4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input_555100!A$2</f>
        <v>555100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IFERROR(VLOOKUP(B90,input_555100!L:R,7,FALSE),VLOOKUP(tables_555100!C90,input_555100!A:H,8,FALSE))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input_555100!A$2</f>
        <v>555100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IFERROR(VLOOKUP(B91,input_555100!L:R,7,FALSE),VLOOKUP(tables_555100!C91,input_555100!A:H,8,FALSE))</f>
        <v>51300</v>
      </c>
      <c r="P91" s="46">
        <f t="shared" ca="1" si="4"/>
        <v>8.906249999876303E-3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input_555100!A$2</f>
        <v>555100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IFERROR(VLOOKUP(B92,input_555100!L:R,7,FALSE),VLOOKUP(tables_555100!C92,input_555100!A:H,8,FALSE))</f>
        <v>4188.4615400000002</v>
      </c>
      <c r="P92" s="46">
        <f t="shared" ca="1" si="4"/>
        <v>7.2716346179545611E-4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input_555100!A$2</f>
        <v>555100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IFERROR(VLOOKUP(B93,input_555100!L:R,7,FALSE),VLOOKUP(tables_555100!C93,input_555100!A:H,8,FALSE))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input_555100!A$2</f>
        <v>555100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IFERROR(VLOOKUP(B94,input_555100!L:R,7,FALSE),VLOOKUP(tables_555100!C94,input_555100!A:H,8,FALSE))</f>
        <v>51300</v>
      </c>
      <c r="P94" s="46">
        <f t="shared" ca="1" si="4"/>
        <v>8.906249999876303E-3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input_555100!A$2</f>
        <v>555100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IFERROR(VLOOKUP(B95,input_555100!L:R,7,FALSE),VLOOKUP(tables_555100!C95,input_555100!A:H,8,FALSE))</f>
        <v>4188.4615400000002</v>
      </c>
      <c r="P95" s="46">
        <f t="shared" ca="1" si="4"/>
        <v>7.2716346179545611E-4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input_555100!A$2</f>
        <v>555100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IFERROR(VLOOKUP(B96,input_555100!L:R,7,FALSE),VLOOKUP(tables_555100!C96,input_555100!A:H,8,FALSE))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input_555100!A$2</f>
        <v>555100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IFERROR(VLOOKUP(B97,input_555100!L:R,7,FALSE),VLOOKUP(tables_555100!C97,input_555100!A:H,8,FALSE))</f>
        <v>51300</v>
      </c>
      <c r="P97" s="46">
        <f t="shared" ca="1" si="4"/>
        <v>8.906249999876303E-3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input_555100!A$2</f>
        <v>555100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IFERROR(VLOOKUP(B98,input_555100!L:R,7,FALSE),VLOOKUP(tables_555100!C98,input_555100!A:H,8,FALSE))</f>
        <v>4188.4615400000002</v>
      </c>
      <c r="P98" s="46">
        <f t="shared" ca="1" si="4"/>
        <v>7.2716346179545611E-4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input_555100!A$2</f>
        <v>555100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IFERROR(VLOOKUP(B99,input_555100!L:R,7,FALSE),VLOOKUP(tables_555100!C99,input_555100!A:H,8,FALSE))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input_555100!A$2</f>
        <v>555100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IFERROR(VLOOKUP(B100,input_555100!L:R,7,FALSE),VLOOKUP(tables_555100!C100,input_555100!A:H,8,FALSE))</f>
        <v>51300</v>
      </c>
      <c r="P100" s="46">
        <f t="shared" ca="1" si="4"/>
        <v>8.906249999876303E-3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input_555100!A$2</f>
        <v>555100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IFERROR(VLOOKUP(B101,input_555100!L:R,7,FALSE),VLOOKUP(tables_555100!C101,input_555100!A:H,8,FALSE))</f>
        <v>4188.4615400000002</v>
      </c>
      <c r="P101" s="46">
        <f t="shared" ca="1" si="4"/>
        <v>7.2716346179545611E-4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input_555100!A$2</f>
        <v>555100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IFERROR(VLOOKUP(B102,input_555100!L:R,7,FALSE),VLOOKUP(tables_555100!C102,input_555100!A:H,8,FALSE))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input_555100!A$2</f>
        <v>555100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IFERROR(VLOOKUP(B103,input_555100!L:R,7,FALSE),VLOOKUP(tables_555100!C103,input_555100!A:H,8,FALSE))</f>
        <v>51300</v>
      </c>
      <c r="P103" s="46">
        <f t="shared" ca="1" si="4"/>
        <v>8.906249999876303E-3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input_555100!A$2</f>
        <v>555100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IFERROR(VLOOKUP(B104,input_555100!L:R,7,FALSE),VLOOKUP(tables_555100!C104,input_555100!A:H,8,FALSE))</f>
        <v>4188.4615400000002</v>
      </c>
      <c r="P104" s="46">
        <f t="shared" ca="1" si="4"/>
        <v>7.2716346179545611E-4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input_555100!A$2</f>
        <v>555100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IFERROR(VLOOKUP(B105,input_555100!L:R,7,FALSE),VLOOKUP(tables_555100!C105,input_555100!A:H,8,FALSE))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input_555100!A$2</f>
        <v>555100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IFERROR(VLOOKUP(B106,input_555100!L:R,7,FALSE),VLOOKUP(tables_555100!C106,input_555100!A:H,8,FALSE))</f>
        <v>51300</v>
      </c>
      <c r="P106" s="46">
        <f t="shared" ca="1" si="4"/>
        <v>8.906249999876303E-3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input_555100!A$2</f>
        <v>555100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IFERROR(VLOOKUP(B107,input_555100!L:R,7,FALSE),VLOOKUP(tables_555100!C107,input_555100!A:H,8,FALSE))</f>
        <v>4188.4615400000002</v>
      </c>
      <c r="P107" s="46">
        <f t="shared" ca="1" si="4"/>
        <v>7.2716346179545611E-4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input_555100!A$2</f>
        <v>555100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IFERROR(VLOOKUP(B108,input_555100!L:R,7,FALSE),VLOOKUP(tables_555100!C108,input_555100!A:H,8,FALSE))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input_555100!A$2</f>
        <v>555100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IFERROR(VLOOKUP(B109,input_555100!L:R,7,FALSE),VLOOKUP(tables_555100!C109,input_555100!A:H,8,FALSE))</f>
        <v>51300</v>
      </c>
      <c r="P109" s="46">
        <f t="shared" ca="1" si="4"/>
        <v>8.906249999876303E-3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input_555100!A$2</f>
        <v>555100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IFERROR(VLOOKUP(B110,input_555100!L:R,7,FALSE),VLOOKUP(tables_555100!C110,input_555100!A:H,8,FALSE))</f>
        <v>4188.4615400000002</v>
      </c>
      <c r="P110" s="46">
        <f t="shared" ca="1" si="4"/>
        <v>7.2716346179545611E-4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input_555100!A$2</f>
        <v>555100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IFERROR(VLOOKUP(B111,input_555100!L:R,7,FALSE),VLOOKUP(tables_555100!C111,input_555100!A:H,8,FALSE))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input_555100!A$2</f>
        <v>555100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IFERROR(VLOOKUP(B112,input_555100!L:R,7,FALSE),VLOOKUP(tables_555100!C112,input_555100!A:H,8,FALSE))</f>
        <v>51300</v>
      </c>
      <c r="P112" s="46">
        <f t="shared" ca="1" si="4"/>
        <v>8.906249999876303E-3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input_555100!A$2</f>
        <v>555100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IFERROR(VLOOKUP(B113,input_555100!L:R,7,FALSE),VLOOKUP(tables_555100!C113,input_555100!A:H,8,FALSE))</f>
        <v>5700</v>
      </c>
      <c r="P113" s="46">
        <f t="shared" ca="1" si="4"/>
        <v>9.895833333195892E-4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input_555100!A$2</f>
        <v>555100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IFERROR(VLOOKUP(B114,input_555100!L:R,7,FALSE),VLOOKUP(tables_555100!C114,input_555100!A:H,8,FALSE))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input_555100!A$2</f>
        <v>555100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IFERROR(VLOOKUP(B115,input_555100!L:R,7,FALSE),VLOOKUP(tables_555100!C115,input_555100!A:H,8,FALSE))</f>
        <v>51300</v>
      </c>
      <c r="P115" s="46">
        <f t="shared" ca="1" si="4"/>
        <v>8.906249999876303E-3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input_555100!A$2</f>
        <v>555100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IFERROR(VLOOKUP(B116,input_555100!L:R,7,FALSE),VLOOKUP(tables_555100!C116,input_555100!A:H,8,FALSE))</f>
        <v>4188.4615400000002</v>
      </c>
      <c r="P116" s="46">
        <f t="shared" ca="1" si="4"/>
        <v>7.2716346179545611E-4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input_555100!A$2</f>
        <v>555100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IFERROR(VLOOKUP(B117,input_555100!L:R,7,FALSE),VLOOKUP(tables_555100!C117,input_555100!A:H,8,FALSE))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input_555100!A$2</f>
        <v>555100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IFERROR(VLOOKUP(B118,input_555100!L:R,7,FALSE),VLOOKUP(tables_555100!C118,input_555100!A:H,8,FALSE))</f>
        <v>51300</v>
      </c>
      <c r="P118" s="46">
        <f t="shared" ca="1" si="4"/>
        <v>8.906249999876303E-3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input_555100!A$2</f>
        <v>555100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IFERROR(VLOOKUP(B119,input_555100!L:R,7,FALSE),VLOOKUP(tables_555100!C119,input_555100!A:H,8,FALSE))</f>
        <v>4188.4615400000002</v>
      </c>
      <c r="P119" s="46">
        <f t="shared" ca="1" si="4"/>
        <v>7.2716346179545611E-4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input_555100!A$2</f>
        <v>555100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IFERROR(VLOOKUP(B120,input_555100!L:R,7,FALSE),VLOOKUP(tables_555100!C120,input_555100!A:H,8,FALSE))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input_555100!A$2</f>
        <v>555100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IFERROR(VLOOKUP(B121,input_555100!L:R,7,FALSE),VLOOKUP(tables_555100!C121,input_555100!A:H,8,FALSE))</f>
        <v>51300</v>
      </c>
      <c r="P121" s="46">
        <f t="shared" ca="1" si="4"/>
        <v>8.906249999876303E-3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input_555100!A$2</f>
        <v>555100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IFERROR(VLOOKUP(B122,input_555100!L:R,7,FALSE),VLOOKUP(tables_555100!C122,input_555100!A:H,8,FALSE))</f>
        <v>4188.4615400000002</v>
      </c>
      <c r="P122" s="46">
        <f t="shared" ca="1" si="4"/>
        <v>7.2716346179545611E-4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input_555100!A$2</f>
        <v>555100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IFERROR(VLOOKUP(B123,input_555100!L:R,7,FALSE),VLOOKUP(tables_555100!C123,input_555100!A:H,8,FALSE))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input_555100!A$2</f>
        <v>555100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IFERROR(VLOOKUP(B124,input_555100!L:R,7,FALSE),VLOOKUP(tables_555100!C124,input_555100!A:H,8,FALSE))</f>
        <v>51300</v>
      </c>
      <c r="P124" s="46">
        <f t="shared" ca="1" si="4"/>
        <v>8.906249999876303E-3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input_555100!A$2</f>
        <v>555100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IFERROR(VLOOKUP(B125,input_555100!L:R,7,FALSE),VLOOKUP(tables_555100!C125,input_555100!A:H,8,FALSE))</f>
        <v>4188.4615400000002</v>
      </c>
      <c r="P125" s="46">
        <f t="shared" ca="1" si="4"/>
        <v>7.2716346179545611E-4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input_555100!A$2</f>
        <v>555100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IFERROR(VLOOKUP(B126,input_555100!L:R,7,FALSE),VLOOKUP(tables_555100!C126,input_555100!A:H,8,FALSE))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input_555100!A$2</f>
        <v>555100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IFERROR(VLOOKUP(B127,input_555100!L:R,7,FALSE),VLOOKUP(tables_555100!C127,input_555100!A:H,8,FALSE))</f>
        <v>51300</v>
      </c>
      <c r="P127" s="46">
        <f t="shared" ca="1" si="4"/>
        <v>8.906249999876303E-3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input_555100!A$2</f>
        <v>555100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IFERROR(VLOOKUP(B128,input_555100!L:R,7,FALSE),VLOOKUP(tables_555100!C128,input_555100!A:H,8,FALSE))</f>
        <v>4188.4615400000002</v>
      </c>
      <c r="P128" s="46">
        <f t="shared" ca="1" si="4"/>
        <v>7.2716346179545611E-4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input_555100!A$2</f>
        <v>555100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IFERROR(VLOOKUP(B129,input_555100!L:R,7,FALSE),VLOOKUP(tables_555100!C129,input_555100!A:H,8,FALSE))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input_555100!A$2</f>
        <v>555100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IFERROR(VLOOKUP(B130,input_555100!L:R,7,FALSE),VLOOKUP(tables_555100!C130,input_555100!A:H,8,FALSE))</f>
        <v>51300</v>
      </c>
      <c r="P130" s="46">
        <f t="shared" ref="P130:P193" ca="1" si="7">O130/SUM(O:O)</f>
        <v>8.906249999876303E-3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input_555100!A$2</f>
        <v>555100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IFERROR(VLOOKUP(B131,input_555100!L:R,7,FALSE),VLOOKUP(tables_555100!C131,input_555100!A:H,8,FALSE))</f>
        <v>4188.4615400000002</v>
      </c>
      <c r="P131" s="46">
        <f t="shared" ca="1" si="7"/>
        <v>7.2716346179545611E-4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input_555100!A$2</f>
        <v>555100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IFERROR(VLOOKUP(B132,input_555100!L:R,7,FALSE),VLOOKUP(tables_555100!C132,input_555100!A:H,8,FALSE))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input_555100!A$2</f>
        <v>555100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IFERROR(VLOOKUP(B133,input_555100!L:R,7,FALSE),VLOOKUP(tables_555100!C133,input_555100!A:H,8,FALSE))</f>
        <v>51300</v>
      </c>
      <c r="P133" s="46">
        <f t="shared" ca="1" si="7"/>
        <v>8.906249999876303E-3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input_555100!A$2</f>
        <v>555100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IFERROR(VLOOKUP(B134,input_555100!L:R,7,FALSE),VLOOKUP(tables_555100!C134,input_555100!A:H,8,FALSE))</f>
        <v>4188.4615400000002</v>
      </c>
      <c r="P134" s="46">
        <f t="shared" ca="1" si="7"/>
        <v>7.2716346179545611E-4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input_555100!A$2</f>
        <v>555100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IFERROR(VLOOKUP(B135,input_555100!L:R,7,FALSE),VLOOKUP(tables_555100!C135,input_555100!A:H,8,FALSE))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input_555100!A$2</f>
        <v>555100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IFERROR(VLOOKUP(B136,input_555100!L:R,7,FALSE),VLOOKUP(tables_555100!C136,input_555100!A:H,8,FALSE))</f>
        <v>51300</v>
      </c>
      <c r="P136" s="46">
        <f t="shared" ca="1" si="7"/>
        <v>8.906249999876303E-3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input_555100!A$2</f>
        <v>555100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IFERROR(VLOOKUP(B137,input_555100!L:R,7,FALSE),VLOOKUP(tables_555100!C137,input_555100!A:H,8,FALSE))</f>
        <v>4188.4615400000002</v>
      </c>
      <c r="P137" s="46">
        <f t="shared" ca="1" si="7"/>
        <v>7.2716346179545611E-4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input_555100!A$2</f>
        <v>555100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IFERROR(VLOOKUP(B138,input_555100!L:R,7,FALSE),VLOOKUP(tables_555100!C138,input_555100!A:H,8,FALSE))</f>
        <v>3600</v>
      </c>
      <c r="P138" s="46">
        <f t="shared" ca="1" si="7"/>
        <v>6.2499999999131946E-4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input_555100!A$2</f>
        <v>555100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IFERROR(VLOOKUP(B139,input_555100!L:R,7,FALSE),VLOOKUP(tables_555100!C139,input_555100!A:H,8,FALSE))</f>
        <v>400</v>
      </c>
      <c r="P139" s="46">
        <f t="shared" ca="1" si="7"/>
        <v>6.9444444443479938E-5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input_555100!A$2</f>
        <v>555100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IFERROR(VLOOKUP(B140,input_555100!L:R,7,FALSE),VLOOKUP(tables_555100!C140,input_555100!A:H,8,FALSE))</f>
        <v>3600</v>
      </c>
      <c r="P140" s="46">
        <f t="shared" ca="1" si="7"/>
        <v>6.2499999999131946E-4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input_555100!A$2</f>
        <v>555100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IFERROR(VLOOKUP(B141,input_555100!L:R,7,FALSE),VLOOKUP(tables_555100!C141,input_555100!A:H,8,FALSE))</f>
        <v>400</v>
      </c>
      <c r="P141" s="46">
        <f t="shared" ca="1" si="7"/>
        <v>6.9444444443479938E-5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input_555100!A$2</f>
        <v>555100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IFERROR(VLOOKUP(B142,input_555100!L:R,7,FALSE),VLOOKUP(tables_555100!C142,input_555100!A:H,8,FALSE))</f>
        <v>3600</v>
      </c>
      <c r="P142" s="46">
        <f t="shared" ca="1" si="7"/>
        <v>6.2499999999131946E-4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input_555100!A$2</f>
        <v>555100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IFERROR(VLOOKUP(B143,input_555100!L:R,7,FALSE),VLOOKUP(tables_555100!C143,input_555100!A:H,8,FALSE))</f>
        <v>400</v>
      </c>
      <c r="P143" s="46">
        <f t="shared" ca="1" si="7"/>
        <v>6.9444444443479938E-5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input_555100!A$2</f>
        <v>555100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IFERROR(VLOOKUP(B144,input_555100!L:R,7,FALSE),VLOOKUP(tables_555100!C144,input_555100!A:H,8,FALSE))</f>
        <v>3600</v>
      </c>
      <c r="P144" s="46">
        <f t="shared" ca="1" si="7"/>
        <v>6.2499999999131946E-4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input_555100!A$2</f>
        <v>555100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IFERROR(VLOOKUP(B145,input_555100!L:R,7,FALSE),VLOOKUP(tables_555100!C145,input_555100!A:H,8,FALSE))</f>
        <v>400</v>
      </c>
      <c r="P145" s="46">
        <f t="shared" ca="1" si="7"/>
        <v>6.9444444443479938E-5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input_555100!A$2</f>
        <v>555100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IFERROR(VLOOKUP(B146,input_555100!L:R,7,FALSE),VLOOKUP(tables_555100!C146,input_555100!A:H,8,FALSE))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input_555100!A$2</f>
        <v>555100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IFERROR(VLOOKUP(B147,input_555100!L:R,7,FALSE),VLOOKUP(tables_555100!C147,input_555100!A:H,8,FALSE))</f>
        <v>51300</v>
      </c>
      <c r="P147" s="46">
        <f t="shared" ca="1" si="7"/>
        <v>8.906249999876303E-3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input_555100!A$2</f>
        <v>555100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IFERROR(VLOOKUP(B148,input_555100!L:R,7,FALSE),VLOOKUP(tables_555100!C148,input_555100!A:H,8,FALSE))</f>
        <v>4188.4615400000002</v>
      </c>
      <c r="P148" s="46">
        <f t="shared" ca="1" si="7"/>
        <v>7.2716346179545611E-4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input_555100!A$2</f>
        <v>555100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IFERROR(VLOOKUP(B149,input_555100!L:R,7,FALSE),VLOOKUP(tables_555100!C149,input_555100!A:H,8,FALSE))</f>
        <v>3600</v>
      </c>
      <c r="P149" s="46">
        <f t="shared" ca="1" si="7"/>
        <v>6.2499999999131946E-4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input_555100!A$2</f>
        <v>555100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IFERROR(VLOOKUP(B150,input_555100!L:R,7,FALSE),VLOOKUP(tables_555100!C150,input_555100!A:H,8,FALSE))</f>
        <v>400</v>
      </c>
      <c r="P150" s="46">
        <f t="shared" ca="1" si="7"/>
        <v>6.9444444443479938E-5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input_555100!A$2</f>
        <v>555100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IFERROR(VLOOKUP(B151,input_555100!L:R,7,FALSE),VLOOKUP(tables_555100!C151,input_555100!A:H,8,FALSE))</f>
        <v>3600</v>
      </c>
      <c r="P151" s="46">
        <f t="shared" ca="1" si="7"/>
        <v>6.2499999999131946E-4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input_555100!A$2</f>
        <v>555100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IFERROR(VLOOKUP(B152,input_555100!L:R,7,FALSE),VLOOKUP(tables_555100!C152,input_555100!A:H,8,FALSE))</f>
        <v>400</v>
      </c>
      <c r="P152" s="46">
        <f t="shared" ca="1" si="7"/>
        <v>6.9444444443479938E-5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input_555100!A$2</f>
        <v>555100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IFERROR(VLOOKUP(B153,input_555100!L:R,7,FALSE),VLOOKUP(tables_555100!C153,input_555100!A:H,8,FALSE))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input_555100!A$2</f>
        <v>555100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IFERROR(VLOOKUP(B154,input_555100!L:R,7,FALSE),VLOOKUP(tables_555100!C154,input_555100!A:H,8,FALSE))</f>
        <v>51300</v>
      </c>
      <c r="P154" s="46">
        <f t="shared" ca="1" si="7"/>
        <v>8.906249999876303E-3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input_555100!A$2</f>
        <v>555100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IFERROR(VLOOKUP(B155,input_555100!L:R,7,FALSE),VLOOKUP(tables_555100!C155,input_555100!A:H,8,FALSE))</f>
        <v>4188.4615400000002</v>
      </c>
      <c r="P155" s="46">
        <f t="shared" ca="1" si="7"/>
        <v>7.2716346179545611E-4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input_555100!A$2</f>
        <v>555100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IFERROR(VLOOKUP(B156,input_555100!L:R,7,FALSE),VLOOKUP(tables_555100!C156,input_555100!A:H,8,FALSE))</f>
        <v>3600</v>
      </c>
      <c r="P156" s="46">
        <f t="shared" ca="1" si="7"/>
        <v>6.2499999999131946E-4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input_555100!A$2</f>
        <v>555100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IFERROR(VLOOKUP(B157,input_555100!L:R,7,FALSE),VLOOKUP(tables_555100!C157,input_555100!A:H,8,FALSE))</f>
        <v>400</v>
      </c>
      <c r="P157" s="46">
        <f t="shared" ca="1" si="7"/>
        <v>6.9444444443479938E-5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input_555100!A$2</f>
        <v>555100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IFERROR(VLOOKUP(B158,input_555100!L:R,7,FALSE),VLOOKUP(tables_555100!C158,input_555100!A:H,8,FALSE))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input_555100!A$2</f>
        <v>555100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IFERROR(VLOOKUP(B159,input_555100!L:R,7,FALSE),VLOOKUP(tables_555100!C159,input_555100!A:H,8,FALSE))</f>
        <v>51300</v>
      </c>
      <c r="P159" s="46">
        <f t="shared" ca="1" si="7"/>
        <v>8.906249999876303E-3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input_555100!A$2</f>
        <v>555100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IFERROR(VLOOKUP(B160,input_555100!L:R,7,FALSE),VLOOKUP(tables_555100!C160,input_555100!A:H,8,FALSE))</f>
        <v>4188.4615400000002</v>
      </c>
      <c r="P160" s="46">
        <f t="shared" ca="1" si="7"/>
        <v>7.2716346179545611E-4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input_555100!A$2</f>
        <v>555100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IFERROR(VLOOKUP(B161,input_555100!L:R,7,FALSE),VLOOKUP(tables_555100!C161,input_555100!A:H,8,FALSE))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input_555100!A$2</f>
        <v>555100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IFERROR(VLOOKUP(B162,input_555100!L:R,7,FALSE),VLOOKUP(tables_555100!C162,input_555100!A:H,8,FALSE))</f>
        <v>51300</v>
      </c>
      <c r="P162" s="46">
        <f t="shared" ca="1" si="7"/>
        <v>8.906249999876303E-3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input_555100!A$2</f>
        <v>555100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IFERROR(VLOOKUP(B163,input_555100!L:R,7,FALSE),VLOOKUP(tables_555100!C163,input_555100!A:H,8,FALSE))</f>
        <v>4188.4615400000002</v>
      </c>
      <c r="P163" s="46">
        <f t="shared" ca="1" si="7"/>
        <v>7.2716346179545611E-4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input_555100!A$2</f>
        <v>555100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IFERROR(VLOOKUP(B164,input_555100!L:R,7,FALSE),VLOOKUP(tables_555100!C164,input_555100!A:H,8,FALSE))</f>
        <v>3600</v>
      </c>
      <c r="P164" s="46">
        <f t="shared" ca="1" si="7"/>
        <v>6.2499999999131946E-4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input_555100!A$2</f>
        <v>555100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IFERROR(VLOOKUP(B165,input_555100!L:R,7,FALSE),VLOOKUP(tables_555100!C165,input_555100!A:H,8,FALSE))</f>
        <v>400</v>
      </c>
      <c r="P165" s="46">
        <f t="shared" ca="1" si="7"/>
        <v>6.9444444443479938E-5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input_555100!A$2</f>
        <v>555100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IFERROR(VLOOKUP(B166,input_555100!L:R,7,FALSE),VLOOKUP(tables_555100!C166,input_555100!A:H,8,FALSE))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input_555100!A$2</f>
        <v>555100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IFERROR(VLOOKUP(B167,input_555100!L:R,7,FALSE),VLOOKUP(tables_555100!C167,input_555100!A:H,8,FALSE))</f>
        <v>51300</v>
      </c>
      <c r="P167" s="46">
        <f t="shared" ca="1" si="7"/>
        <v>8.906249999876303E-3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input_555100!A$2</f>
        <v>555100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IFERROR(VLOOKUP(B168,input_555100!L:R,7,FALSE),VLOOKUP(tables_555100!C168,input_555100!A:H,8,FALSE))</f>
        <v>4188.4615400000002</v>
      </c>
      <c r="P168" s="46">
        <f t="shared" ca="1" si="7"/>
        <v>7.2716346179545611E-4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input_555100!A$2</f>
        <v>555100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IFERROR(VLOOKUP(B169,input_555100!L:R,7,FALSE),VLOOKUP(tables_555100!C169,input_555100!A:H,8,FALSE))</f>
        <v>3600</v>
      </c>
      <c r="P169" s="46">
        <f t="shared" ca="1" si="7"/>
        <v>6.2499999999131946E-4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input_555100!A$2</f>
        <v>555100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IFERROR(VLOOKUP(B170,input_555100!L:R,7,FALSE),VLOOKUP(tables_555100!C170,input_555100!A:H,8,FALSE))</f>
        <v>400</v>
      </c>
      <c r="P170" s="46">
        <f t="shared" ca="1" si="7"/>
        <v>6.9444444443479938E-5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input_555100!A$2</f>
        <v>555100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IFERROR(VLOOKUP(B171,input_555100!L:R,7,FALSE),VLOOKUP(tables_555100!C171,input_555100!A:H,8,FALSE))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input_555100!A$2</f>
        <v>555100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IFERROR(VLOOKUP(B172,input_555100!L:R,7,FALSE),VLOOKUP(tables_555100!C172,input_555100!A:H,8,FALSE))</f>
        <v>51300</v>
      </c>
      <c r="P172" s="46">
        <f t="shared" ca="1" si="7"/>
        <v>8.906249999876303E-3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input_555100!A$2</f>
        <v>555100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IFERROR(VLOOKUP(B173,input_555100!L:R,7,FALSE),VLOOKUP(tables_555100!C173,input_555100!A:H,8,FALSE))</f>
        <v>4188.4615400000002</v>
      </c>
      <c r="P173" s="46">
        <f t="shared" ca="1" si="7"/>
        <v>7.2716346179545611E-4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input_555100!A$2</f>
        <v>555100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IFERROR(VLOOKUP(B174,input_555100!L:R,7,FALSE),VLOOKUP(tables_555100!C174,input_555100!A:H,8,FALSE))</f>
        <v>3600</v>
      </c>
      <c r="P174" s="46">
        <f t="shared" ca="1" si="7"/>
        <v>6.2499999999131946E-4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input_555100!A$2</f>
        <v>555100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IFERROR(VLOOKUP(B175,input_555100!L:R,7,FALSE),VLOOKUP(tables_555100!C175,input_555100!A:H,8,FALSE))</f>
        <v>400</v>
      </c>
      <c r="P175" s="46">
        <f t="shared" ca="1" si="7"/>
        <v>6.9444444443479938E-5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input_555100!A$2</f>
        <v>555100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IFERROR(VLOOKUP(B176,input_555100!L:R,7,FALSE),VLOOKUP(tables_555100!C176,input_555100!A:H,8,FALSE))</f>
        <v>3600</v>
      </c>
      <c r="P176" s="46">
        <f t="shared" ca="1" si="7"/>
        <v>6.2499999999131946E-4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input_555100!A$2</f>
        <v>555100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IFERROR(VLOOKUP(B177,input_555100!L:R,7,FALSE),VLOOKUP(tables_555100!C177,input_555100!A:H,8,FALSE))</f>
        <v>400</v>
      </c>
      <c r="P177" s="46">
        <f t="shared" ca="1" si="7"/>
        <v>6.9444444443479938E-5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input_555100!A$2</f>
        <v>555100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IFERROR(VLOOKUP(B178,input_555100!L:R,7,FALSE),VLOOKUP(tables_555100!C178,input_555100!A:H,8,FALSE))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input_555100!A$2</f>
        <v>555100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IFERROR(VLOOKUP(B179,input_555100!L:R,7,FALSE),VLOOKUP(tables_555100!C179,input_555100!A:H,8,FALSE))</f>
        <v>51300</v>
      </c>
      <c r="P179" s="46">
        <f t="shared" ca="1" si="7"/>
        <v>8.906249999876303E-3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input_555100!A$2</f>
        <v>555100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IFERROR(VLOOKUP(B180,input_555100!L:R,7,FALSE),VLOOKUP(tables_555100!C180,input_555100!A:H,8,FALSE))</f>
        <v>4188.4615400000002</v>
      </c>
      <c r="P180" s="46">
        <f t="shared" ca="1" si="7"/>
        <v>7.2716346179545611E-4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input_555100!A$2</f>
        <v>555100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IFERROR(VLOOKUP(B181,input_555100!L:R,7,FALSE),VLOOKUP(tables_555100!C181,input_555100!A:H,8,FALSE))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input_555100!A$2</f>
        <v>555100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IFERROR(VLOOKUP(B182,input_555100!L:R,7,FALSE),VLOOKUP(tables_555100!C182,input_555100!A:H,8,FALSE))</f>
        <v>51300</v>
      </c>
      <c r="P182" s="46">
        <f t="shared" ca="1" si="7"/>
        <v>8.906249999876303E-3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input_555100!A$2</f>
        <v>555100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IFERROR(VLOOKUP(B183,input_555100!L:R,7,FALSE),VLOOKUP(tables_555100!C183,input_555100!A:H,8,FALSE))</f>
        <v>4188.4615400000002</v>
      </c>
      <c r="P183" s="46">
        <f t="shared" ca="1" si="7"/>
        <v>7.2716346179545611E-4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input_555100!A$2</f>
        <v>555100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IFERROR(VLOOKUP(B184,input_555100!L:R,7,FALSE),VLOOKUP(tables_555100!C184,input_555100!A:H,8,FALSE))</f>
        <v>3600</v>
      </c>
      <c r="P184" s="46">
        <f t="shared" ca="1" si="7"/>
        <v>6.2499999999131946E-4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input_555100!A$2</f>
        <v>555100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IFERROR(VLOOKUP(B185,input_555100!L:R,7,FALSE),VLOOKUP(tables_555100!C185,input_555100!A:H,8,FALSE))</f>
        <v>400</v>
      </c>
      <c r="P185" s="46">
        <f t="shared" ca="1" si="7"/>
        <v>6.9444444443479938E-5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input_555100!A$2</f>
        <v>555100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IFERROR(VLOOKUP(B186,input_555100!L:R,7,FALSE),VLOOKUP(tables_555100!C186,input_555100!A:H,8,FALSE))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input_555100!A$2</f>
        <v>555100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IFERROR(VLOOKUP(B187,input_555100!L:R,7,FALSE),VLOOKUP(tables_555100!C187,input_555100!A:H,8,FALSE))</f>
        <v>51300</v>
      </c>
      <c r="P187" s="46">
        <f t="shared" ca="1" si="7"/>
        <v>8.906249999876303E-3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input_555100!A$2</f>
        <v>555100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IFERROR(VLOOKUP(B188,input_555100!L:R,7,FALSE),VLOOKUP(tables_555100!C188,input_555100!A:H,8,FALSE))</f>
        <v>4188.4615400000002</v>
      </c>
      <c r="P188" s="46">
        <f t="shared" ca="1" si="7"/>
        <v>7.2716346179545611E-4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input_555100!A$2</f>
        <v>555100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IFERROR(VLOOKUP(B189,input_555100!L:R,7,FALSE),VLOOKUP(tables_555100!C189,input_555100!A:H,8,FALSE))</f>
        <v>3600</v>
      </c>
      <c r="P189" s="46">
        <f t="shared" ca="1" si="7"/>
        <v>6.2499999999131946E-4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input_555100!A$2</f>
        <v>555100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IFERROR(VLOOKUP(B190,input_555100!L:R,7,FALSE),VLOOKUP(tables_555100!C190,input_555100!A:H,8,FALSE))</f>
        <v>400</v>
      </c>
      <c r="P190" s="46">
        <f t="shared" ca="1" si="7"/>
        <v>6.9444444443479938E-5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input_555100!A$2</f>
        <v>555100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IFERROR(VLOOKUP(B191,input_555100!L:R,7,FALSE),VLOOKUP(tables_555100!C191,input_555100!A:H,8,FALSE))</f>
        <v>3600</v>
      </c>
      <c r="P191" s="46">
        <f t="shared" ca="1" si="7"/>
        <v>6.2499999999131946E-4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input_555100!A$2</f>
        <v>555100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IFERROR(VLOOKUP(B192,input_555100!L:R,7,FALSE),VLOOKUP(tables_555100!C192,input_555100!A:H,8,FALSE))</f>
        <v>400</v>
      </c>
      <c r="P192" s="46">
        <f t="shared" ca="1" si="7"/>
        <v>6.9444444443479938E-5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input_555100!A$2</f>
        <v>555100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IFERROR(VLOOKUP(B193,input_555100!L:R,7,FALSE),VLOOKUP(tables_555100!C193,input_555100!A:H,8,FALSE))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input_555100!A$2</f>
        <v>555100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IFERROR(VLOOKUP(B194,input_555100!L:R,7,FALSE),VLOOKUP(tables_555100!C194,input_555100!A:H,8,FALSE))</f>
        <v>51300</v>
      </c>
      <c r="P194" s="46">
        <f t="shared" ref="P194:P257" ca="1" si="10">O194/SUM(O:O)</f>
        <v>8.906249999876303E-3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input_555100!A$2</f>
        <v>555100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IFERROR(VLOOKUP(B195,input_555100!L:R,7,FALSE),VLOOKUP(tables_555100!C195,input_555100!A:H,8,FALSE))</f>
        <v>4188.4615400000002</v>
      </c>
      <c r="P195" s="46">
        <f t="shared" ca="1" si="10"/>
        <v>7.2716346179545611E-4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input_555100!A$2</f>
        <v>555100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IFERROR(VLOOKUP(B196,input_555100!L:R,7,FALSE),VLOOKUP(tables_555100!C196,input_555100!A:H,8,FALSE))</f>
        <v>3600</v>
      </c>
      <c r="P196" s="46">
        <f t="shared" ca="1" si="10"/>
        <v>6.2499999999131946E-4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input_555100!A$2</f>
        <v>555100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IFERROR(VLOOKUP(B197,input_555100!L:R,7,FALSE),VLOOKUP(tables_555100!C197,input_555100!A:H,8,FALSE))</f>
        <v>400</v>
      </c>
      <c r="P197" s="46">
        <f t="shared" ca="1" si="10"/>
        <v>6.9444444443479938E-5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input_555100!A$2</f>
        <v>555100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IFERROR(VLOOKUP(B198,input_555100!L:R,7,FALSE),VLOOKUP(tables_555100!C198,input_555100!A:H,8,FALSE))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input_555100!A$2</f>
        <v>555100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IFERROR(VLOOKUP(B199,input_555100!L:R,7,FALSE),VLOOKUP(tables_555100!C199,input_555100!A:H,8,FALSE))</f>
        <v>51300</v>
      </c>
      <c r="P199" s="46">
        <f t="shared" ca="1" si="10"/>
        <v>8.906249999876303E-3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input_555100!A$2</f>
        <v>555100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IFERROR(VLOOKUP(B200,input_555100!L:R,7,FALSE),VLOOKUP(tables_555100!C200,input_555100!A:H,8,FALSE))</f>
        <v>4188.4615400000002</v>
      </c>
      <c r="P200" s="46">
        <f t="shared" ca="1" si="10"/>
        <v>7.2716346179545611E-4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input_555100!A$2</f>
        <v>555100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IFERROR(VLOOKUP(B201,input_555100!L:R,7,FALSE),VLOOKUP(tables_555100!C201,input_555100!A:H,8,FALSE))</f>
        <v>3600</v>
      </c>
      <c r="P201" s="46">
        <f t="shared" ca="1" si="10"/>
        <v>6.2499999999131946E-4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input_555100!A$2</f>
        <v>555100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IFERROR(VLOOKUP(B202,input_555100!L:R,7,FALSE),VLOOKUP(tables_555100!C202,input_555100!A:H,8,FALSE))</f>
        <v>400</v>
      </c>
      <c r="P202" s="46">
        <f t="shared" ca="1" si="10"/>
        <v>6.9444444443479938E-5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input_555100!A$2</f>
        <v>555100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IFERROR(VLOOKUP(B203,input_555100!L:R,7,FALSE),VLOOKUP(tables_555100!C203,input_555100!A:H,8,FALSE))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input_555100!A$2</f>
        <v>555100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IFERROR(VLOOKUP(B204,input_555100!L:R,7,FALSE),VLOOKUP(tables_555100!C204,input_555100!A:H,8,FALSE))</f>
        <v>51300</v>
      </c>
      <c r="P204" s="46">
        <f t="shared" ca="1" si="10"/>
        <v>8.906249999876303E-3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input_555100!A$2</f>
        <v>555100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IFERROR(VLOOKUP(B205,input_555100!L:R,7,FALSE),VLOOKUP(tables_555100!C205,input_555100!A:H,8,FALSE))</f>
        <v>4188.4615400000002</v>
      </c>
      <c r="P205" s="46">
        <f t="shared" ca="1" si="10"/>
        <v>7.2716346179545611E-4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input_555100!A$2</f>
        <v>555100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IFERROR(VLOOKUP(B206,input_555100!L:R,7,FALSE),VLOOKUP(tables_555100!C206,input_555100!A:H,8,FALSE))</f>
        <v>3600</v>
      </c>
      <c r="P206" s="46">
        <f t="shared" ca="1" si="10"/>
        <v>6.2499999999131946E-4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input_555100!A$2</f>
        <v>555100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IFERROR(VLOOKUP(B207,input_555100!L:R,7,FALSE),VLOOKUP(tables_555100!C207,input_555100!A:H,8,FALSE))</f>
        <v>400</v>
      </c>
      <c r="P207" s="46">
        <f t="shared" ca="1" si="10"/>
        <v>6.9444444443479938E-5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input_555100!A$2</f>
        <v>555100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IFERROR(VLOOKUP(B208,input_555100!L:R,7,FALSE),VLOOKUP(tables_555100!C208,input_555100!A:H,8,FALSE))</f>
        <v>3600</v>
      </c>
      <c r="P208" s="46">
        <f t="shared" ca="1" si="10"/>
        <v>6.2499999999131946E-4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input_555100!A$2</f>
        <v>555100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IFERROR(VLOOKUP(B209,input_555100!L:R,7,FALSE),VLOOKUP(tables_555100!C209,input_555100!A:H,8,FALSE))</f>
        <v>400</v>
      </c>
      <c r="P209" s="46">
        <f t="shared" ca="1" si="10"/>
        <v>6.9444444443479938E-5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input_555100!A$2</f>
        <v>555100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IFERROR(VLOOKUP(B210,input_555100!L:R,7,FALSE),VLOOKUP(tables_555100!C210,input_555100!A:H,8,FALSE))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input_555100!A$2</f>
        <v>555100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IFERROR(VLOOKUP(B211,input_555100!L:R,7,FALSE),VLOOKUP(tables_555100!C211,input_555100!A:H,8,FALSE))</f>
        <v>51300</v>
      </c>
      <c r="P211" s="46">
        <f t="shared" ca="1" si="10"/>
        <v>8.906249999876303E-3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input_555100!A$2</f>
        <v>555100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IFERROR(VLOOKUP(B212,input_555100!L:R,7,FALSE),VLOOKUP(tables_555100!C212,input_555100!A:H,8,FALSE))</f>
        <v>4188.4615400000002</v>
      </c>
      <c r="P212" s="46">
        <f t="shared" ca="1" si="10"/>
        <v>7.2716346179545611E-4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input_555100!A$2</f>
        <v>555100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IFERROR(VLOOKUP(B213,input_555100!L:R,7,FALSE),VLOOKUP(tables_555100!C213,input_555100!A:H,8,FALSE))</f>
        <v>3600</v>
      </c>
      <c r="P213" s="46">
        <f t="shared" ca="1" si="10"/>
        <v>6.2499999999131946E-4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input_555100!A$2</f>
        <v>555100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IFERROR(VLOOKUP(B214,input_555100!L:R,7,FALSE),VLOOKUP(tables_555100!C214,input_555100!A:H,8,FALSE))</f>
        <v>400</v>
      </c>
      <c r="P214" s="46">
        <f t="shared" ca="1" si="10"/>
        <v>6.9444444443479938E-5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input_555100!A$2</f>
        <v>555100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IFERROR(VLOOKUP(B215,input_555100!L:R,7,FALSE),VLOOKUP(tables_555100!C215,input_555100!A:H,8,FALSE))</f>
        <v>5700</v>
      </c>
      <c r="P215" s="46">
        <f t="shared" ca="1" si="10"/>
        <v>9.895833333195892E-4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input_555100!A$2</f>
        <v>555100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IFERROR(VLOOKUP(B216,input_555100!L:R,7,FALSE),VLOOKUP(tables_555100!C216,input_555100!A:H,8,FALSE))</f>
        <v>5700</v>
      </c>
      <c r="P216" s="46">
        <f t="shared" ca="1" si="10"/>
        <v>9.895833333195892E-4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input_555100!A$2</f>
        <v>555100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IFERROR(VLOOKUP(B217,input_555100!L:R,7,FALSE),VLOOKUP(tables_555100!C217,input_555100!A:H,8,FALSE))</f>
        <v>5700</v>
      </c>
      <c r="P217" s="46">
        <f t="shared" ca="1" si="10"/>
        <v>9.895833333195892E-4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input_555100!A$2</f>
        <v>555100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IFERROR(VLOOKUP(B218,input_555100!L:R,7,FALSE),VLOOKUP(tables_555100!C218,input_555100!A:H,8,FALSE))</f>
        <v>5700</v>
      </c>
      <c r="P218" s="46">
        <f t="shared" ca="1" si="10"/>
        <v>9.895833333195892E-4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input_555100!A$2</f>
        <v>555100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IFERROR(VLOOKUP(B219,input_555100!L:R,7,FALSE),VLOOKUP(tables_555100!C219,input_555100!A:H,8,FALSE))</f>
        <v>5700</v>
      </c>
      <c r="P219" s="46">
        <f t="shared" ca="1" si="10"/>
        <v>9.895833333195892E-4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input_555100!A$2</f>
        <v>555100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IFERROR(VLOOKUP(B220,input_555100!L:R,7,FALSE),VLOOKUP(tables_555100!C220,input_555100!A:H,8,FALSE))</f>
        <v>5700</v>
      </c>
      <c r="P220" s="46">
        <f t="shared" ca="1" si="10"/>
        <v>9.895833333195892E-4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input_555100!A$2</f>
        <v>555100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IFERROR(VLOOKUP(B221,input_555100!L:R,7,FALSE),VLOOKUP(tables_555100!C221,input_555100!A:H,8,FALSE))</f>
        <v>3600</v>
      </c>
      <c r="P221" s="46">
        <f t="shared" ca="1" si="10"/>
        <v>6.2499999999131946E-4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input_555100!A$2</f>
        <v>555100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IFERROR(VLOOKUP(B222,input_555100!L:R,7,FALSE),VLOOKUP(tables_555100!C222,input_555100!A:H,8,FALSE))</f>
        <v>400</v>
      </c>
      <c r="P222" s="46">
        <f t="shared" ca="1" si="10"/>
        <v>6.9444444443479938E-5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input_555100!A$2</f>
        <v>555100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IFERROR(VLOOKUP(B223,input_555100!L:R,7,FALSE),VLOOKUP(tables_555100!C223,input_555100!A:H,8,FALSE))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input_555100!A$2</f>
        <v>555100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IFERROR(VLOOKUP(B224,input_555100!L:R,7,FALSE),VLOOKUP(tables_555100!C224,input_555100!A:H,8,FALSE))</f>
        <v>51300</v>
      </c>
      <c r="P224" s="46">
        <f t="shared" ca="1" si="10"/>
        <v>8.906249999876303E-3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input_555100!A$2</f>
        <v>555100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IFERROR(VLOOKUP(B225,input_555100!L:R,7,FALSE),VLOOKUP(tables_555100!C225,input_555100!A:H,8,FALSE))</f>
        <v>4188.4615400000002</v>
      </c>
      <c r="P225" s="46">
        <f t="shared" ca="1" si="10"/>
        <v>7.2716346179545611E-4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input_555100!A$2</f>
        <v>555100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IFERROR(VLOOKUP(B226,input_555100!L:R,7,FALSE),VLOOKUP(tables_555100!C226,input_555100!A:H,8,FALSE))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input_555100!A$2</f>
        <v>555100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IFERROR(VLOOKUP(B227,input_555100!L:R,7,FALSE),VLOOKUP(tables_555100!C227,input_555100!A:H,8,FALSE))</f>
        <v>51300</v>
      </c>
      <c r="P227" s="46">
        <f t="shared" ca="1" si="10"/>
        <v>8.906249999876303E-3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input_555100!A$2</f>
        <v>555100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IFERROR(VLOOKUP(B228,input_555100!L:R,7,FALSE),VLOOKUP(tables_555100!C228,input_555100!A:H,8,FALSE))</f>
        <v>4188.4615400000002</v>
      </c>
      <c r="P228" s="46">
        <f t="shared" ca="1" si="10"/>
        <v>7.2716346179545611E-4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input_555100!A$2</f>
        <v>555100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IFERROR(VLOOKUP(B229,input_555100!L:R,7,FALSE),VLOOKUP(tables_555100!C229,input_555100!A:H,8,FALSE))</f>
        <v>3600</v>
      </c>
      <c r="P229" s="46">
        <f t="shared" ca="1" si="10"/>
        <v>6.2499999999131946E-4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input_555100!A$2</f>
        <v>555100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IFERROR(VLOOKUP(B230,input_555100!L:R,7,FALSE),VLOOKUP(tables_555100!C230,input_555100!A:H,8,FALSE))</f>
        <v>400</v>
      </c>
      <c r="P230" s="46">
        <f t="shared" ca="1" si="10"/>
        <v>6.9444444443479938E-5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input_555100!A$2</f>
        <v>555100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IFERROR(VLOOKUP(B231,input_555100!L:R,7,FALSE),VLOOKUP(tables_555100!C231,input_555100!A:H,8,FALSE))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input_555100!A$2</f>
        <v>555100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IFERROR(VLOOKUP(B232,input_555100!L:R,7,FALSE),VLOOKUP(tables_555100!C232,input_555100!A:H,8,FALSE))</f>
        <v>51300</v>
      </c>
      <c r="P232" s="46">
        <f t="shared" ca="1" si="10"/>
        <v>8.906249999876303E-3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input_555100!A$2</f>
        <v>555100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IFERROR(VLOOKUP(B233,input_555100!L:R,7,FALSE),VLOOKUP(tables_555100!C233,input_555100!A:H,8,FALSE))</f>
        <v>4188.4615400000002</v>
      </c>
      <c r="P233" s="46">
        <f t="shared" ca="1" si="10"/>
        <v>7.2716346179545611E-4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input_555100!A$2</f>
        <v>555100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IFERROR(VLOOKUP(B234,input_555100!L:R,7,FALSE),VLOOKUP(tables_555100!C234,input_555100!A:H,8,FALSE))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input_555100!A$2</f>
        <v>555100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IFERROR(VLOOKUP(B235,input_555100!L:R,7,FALSE),VLOOKUP(tables_555100!C235,input_555100!A:H,8,FALSE))</f>
        <v>51300</v>
      </c>
      <c r="P235" s="46">
        <f t="shared" ca="1" si="10"/>
        <v>8.906249999876303E-3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input_555100!A$2</f>
        <v>555100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IFERROR(VLOOKUP(B236,input_555100!L:R,7,FALSE),VLOOKUP(tables_555100!C236,input_555100!A:H,8,FALSE))</f>
        <v>4188.4615400000002</v>
      </c>
      <c r="P236" s="46">
        <f t="shared" ca="1" si="10"/>
        <v>7.2716346179545611E-4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input_555100!A$2</f>
        <v>555100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IFERROR(VLOOKUP(B237,input_555100!L:R,7,FALSE),VLOOKUP(tables_555100!C237,input_555100!A:H,8,FALSE))</f>
        <v>3600</v>
      </c>
      <c r="P237" s="46">
        <f t="shared" ca="1" si="10"/>
        <v>6.2499999999131946E-4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input_555100!A$2</f>
        <v>555100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IFERROR(VLOOKUP(B238,input_555100!L:R,7,FALSE),VLOOKUP(tables_555100!C238,input_555100!A:H,8,FALSE))</f>
        <v>400</v>
      </c>
      <c r="P238" s="46">
        <f t="shared" ca="1" si="10"/>
        <v>6.9444444443479938E-5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input_555100!A$2</f>
        <v>555100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IFERROR(VLOOKUP(B239,input_555100!L:R,7,FALSE),VLOOKUP(tables_555100!C239,input_555100!A:H,8,FALSE))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input_555100!A$2</f>
        <v>555100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IFERROR(VLOOKUP(B240,input_555100!L:R,7,FALSE),VLOOKUP(tables_555100!C240,input_555100!A:H,8,FALSE))</f>
        <v>51300</v>
      </c>
      <c r="P240" s="46">
        <f t="shared" ca="1" si="10"/>
        <v>8.906249999876303E-3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input_555100!A$2</f>
        <v>555100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IFERROR(VLOOKUP(B241,input_555100!L:R,7,FALSE),VLOOKUP(tables_555100!C241,input_555100!A:H,8,FALSE))</f>
        <v>4188.4615400000002</v>
      </c>
      <c r="P241" s="46">
        <f t="shared" ca="1" si="10"/>
        <v>7.2716346179545611E-4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input_555100!A$2</f>
        <v>555100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IFERROR(VLOOKUP(B242,input_555100!L:R,7,FALSE),VLOOKUP(tables_555100!C242,input_555100!A:H,8,FALSE))</f>
        <v>3600</v>
      </c>
      <c r="P242" s="46">
        <f t="shared" ca="1" si="10"/>
        <v>6.2499999999131946E-4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input_555100!A$2</f>
        <v>555100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IFERROR(VLOOKUP(B243,input_555100!L:R,7,FALSE),VLOOKUP(tables_555100!C243,input_555100!A:H,8,FALSE))</f>
        <v>400</v>
      </c>
      <c r="P243" s="46">
        <f t="shared" ca="1" si="10"/>
        <v>6.9444444443479938E-5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input_555100!A$2</f>
        <v>555100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IFERROR(VLOOKUP(B244,input_555100!L:R,7,FALSE),VLOOKUP(tables_555100!C244,input_555100!A:H,8,FALSE))</f>
        <v>3600</v>
      </c>
      <c r="P244" s="46">
        <f t="shared" ca="1" si="10"/>
        <v>6.2499999999131946E-4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input_555100!A$2</f>
        <v>555100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IFERROR(VLOOKUP(B245,input_555100!L:R,7,FALSE),VLOOKUP(tables_555100!C245,input_555100!A:H,8,FALSE))</f>
        <v>400</v>
      </c>
      <c r="P245" s="46">
        <f t="shared" ca="1" si="10"/>
        <v>6.9444444443479938E-5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input_555100!A$2</f>
        <v>555100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IFERROR(VLOOKUP(B246,input_555100!L:R,7,FALSE),VLOOKUP(tables_555100!C246,input_555100!A:H,8,FALSE))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input_555100!A$2</f>
        <v>555100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IFERROR(VLOOKUP(B247,input_555100!L:R,7,FALSE),VLOOKUP(tables_555100!C247,input_555100!A:H,8,FALSE))</f>
        <v>51300</v>
      </c>
      <c r="P247" s="46">
        <f t="shared" ca="1" si="10"/>
        <v>8.906249999876303E-3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input_555100!A$2</f>
        <v>555100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IFERROR(VLOOKUP(B248,input_555100!L:R,7,FALSE),VLOOKUP(tables_555100!C248,input_555100!A:H,8,FALSE))</f>
        <v>4188.4615400000002</v>
      </c>
      <c r="P248" s="46">
        <f t="shared" ca="1" si="10"/>
        <v>7.2716346179545611E-4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input_555100!A$2</f>
        <v>555100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IFERROR(VLOOKUP(B249,input_555100!L:R,7,FALSE),VLOOKUP(tables_555100!C249,input_555100!A:H,8,FALSE))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input_555100!A$2</f>
        <v>555100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IFERROR(VLOOKUP(B250,input_555100!L:R,7,FALSE),VLOOKUP(tables_555100!C250,input_555100!A:H,8,FALSE))</f>
        <v>51300</v>
      </c>
      <c r="P250" s="46">
        <f t="shared" ca="1" si="10"/>
        <v>8.906249999876303E-3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input_555100!A$2</f>
        <v>555100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IFERROR(VLOOKUP(B251,input_555100!L:R,7,FALSE),VLOOKUP(tables_555100!C251,input_555100!A:H,8,FALSE))</f>
        <v>4188.4615400000002</v>
      </c>
      <c r="P251" s="46">
        <f t="shared" ca="1" si="10"/>
        <v>7.2716346179545611E-4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input_555100!A$2</f>
        <v>555100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IFERROR(VLOOKUP(B252,input_555100!L:R,7,FALSE),VLOOKUP(tables_555100!C252,input_555100!A:H,8,FALSE))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input_555100!A$2</f>
        <v>555100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IFERROR(VLOOKUP(B253,input_555100!L:R,7,FALSE),VLOOKUP(tables_555100!C253,input_555100!A:H,8,FALSE))</f>
        <v>51300</v>
      </c>
      <c r="P253" s="46">
        <f t="shared" ca="1" si="10"/>
        <v>8.906249999876303E-3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input_555100!A$2</f>
        <v>555100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IFERROR(VLOOKUP(B254,input_555100!L:R,7,FALSE),VLOOKUP(tables_555100!C254,input_555100!A:H,8,FALSE))</f>
        <v>4188.4615400000002</v>
      </c>
      <c r="P254" s="46">
        <f t="shared" ca="1" si="10"/>
        <v>7.2716346179545611E-4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input_555100!A$2</f>
        <v>555100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IFERROR(VLOOKUP(B255,input_555100!L:R,7,FALSE),VLOOKUP(tables_555100!C255,input_555100!A:H,8,FALSE))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input_555100!A$2</f>
        <v>555100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IFERROR(VLOOKUP(B256,input_555100!L:R,7,FALSE),VLOOKUP(tables_555100!C256,input_555100!A:H,8,FALSE))</f>
        <v>51300</v>
      </c>
      <c r="P256" s="46">
        <f t="shared" ca="1" si="10"/>
        <v>8.906249999876303E-3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input_555100!A$2</f>
        <v>555100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IFERROR(VLOOKUP(B257,input_555100!L:R,7,FALSE),VLOOKUP(tables_555100!C257,input_555100!A:H,8,FALSE))</f>
        <v>4188.4615400000002</v>
      </c>
      <c r="P257" s="46">
        <f t="shared" ca="1" si="10"/>
        <v>7.2716346179545611E-4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input_555100!A$2</f>
        <v>555100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IFERROR(VLOOKUP(B258,input_555100!L:R,7,FALSE),VLOOKUP(tables_555100!C258,input_555100!A:H,8,FALSE))</f>
        <v>3600</v>
      </c>
      <c r="P258" s="46">
        <f t="shared" ref="P258:P294" ca="1" si="13">O258/SUM(O:O)</f>
        <v>6.2499999999131946E-4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input_555100!A$2</f>
        <v>555100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IFERROR(VLOOKUP(B259,input_555100!L:R,7,FALSE),VLOOKUP(tables_555100!C259,input_555100!A:H,8,FALSE))</f>
        <v>400</v>
      </c>
      <c r="P259" s="46">
        <f t="shared" ca="1" si="13"/>
        <v>6.9444444443479938E-5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input_555100!A$2</f>
        <v>555100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IFERROR(VLOOKUP(B260,input_555100!L:R,7,FALSE),VLOOKUP(tables_555100!C260,input_555100!A:H,8,FALSE))</f>
        <v>3600</v>
      </c>
      <c r="P260" s="46">
        <f t="shared" ca="1" si="13"/>
        <v>6.2499999999131946E-4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input_555100!A$2</f>
        <v>555100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IFERROR(VLOOKUP(B261,input_555100!L:R,7,FALSE),VLOOKUP(tables_555100!C261,input_555100!A:H,8,FALSE))</f>
        <v>400</v>
      </c>
      <c r="P261" s="46">
        <f t="shared" ca="1" si="13"/>
        <v>6.9444444443479938E-5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input_555100!A$2</f>
        <v>555100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IFERROR(VLOOKUP(B262,input_555100!L:R,7,FALSE),VLOOKUP(tables_555100!C262,input_555100!A:H,8,FALSE))</f>
        <v>49590</v>
      </c>
      <c r="P262" s="46">
        <f t="shared" ca="1" si="13"/>
        <v>8.6093749998804262E-3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input_555100!A$2</f>
        <v>555100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IFERROR(VLOOKUP(B263,input_555100!L:R,7,FALSE),VLOOKUP(tables_555100!C263,input_555100!A:H,8,FALSE))</f>
        <v>5700</v>
      </c>
      <c r="P263" s="46">
        <f t="shared" ca="1" si="13"/>
        <v>9.895833333195892E-4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input_555100!A$2</f>
        <v>555100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IFERROR(VLOOKUP(B264,input_555100!L:R,7,FALSE),VLOOKUP(tables_555100!C264,input_555100!A:H,8,FALSE))</f>
        <v>49590</v>
      </c>
      <c r="P264" s="46">
        <f t="shared" ca="1" si="13"/>
        <v>8.6093749998804262E-3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input_555100!A$2</f>
        <v>555100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IFERROR(VLOOKUP(B265,input_555100!L:R,7,FALSE),VLOOKUP(tables_555100!C265,input_555100!A:H,8,FALSE))</f>
        <v>5700</v>
      </c>
      <c r="P265" s="46">
        <f t="shared" ca="1" si="13"/>
        <v>9.895833333195892E-4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input_555100!A$2</f>
        <v>555100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IFERROR(VLOOKUP(B266,input_555100!L:R,7,FALSE),VLOOKUP(tables_555100!C266,input_555100!A:H,8,FALSE))</f>
        <v>4000</v>
      </c>
      <c r="P266" s="46">
        <f t="shared" ca="1" si="13"/>
        <v>6.9444444443479941E-4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input_555100!A$2</f>
        <v>555100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IFERROR(VLOOKUP(B267,input_555100!L:R,7,FALSE),VLOOKUP(tables_555100!C267,input_555100!A:H,8,FALSE))</f>
        <v>4000</v>
      </c>
      <c r="P267" s="46">
        <f t="shared" ca="1" si="13"/>
        <v>6.9444444443479941E-4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input_555100!A$2</f>
        <v>555100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IFERROR(VLOOKUP(B268,input_555100!L:R,7,FALSE),VLOOKUP(tables_555100!C268,input_555100!A:H,8,FALSE))</f>
        <v>4000</v>
      </c>
      <c r="P268" s="46">
        <f t="shared" ca="1" si="13"/>
        <v>6.9444444443479941E-4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input_555100!A$2</f>
        <v>555100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IFERROR(VLOOKUP(B269,input_555100!L:R,7,FALSE),VLOOKUP(tables_555100!C269,input_555100!A:H,8,FALSE))</f>
        <v>4000</v>
      </c>
      <c r="P269" s="46">
        <f t="shared" ca="1" si="13"/>
        <v>6.9444444443479941E-4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input_555100!A$2</f>
        <v>555100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IFERROR(VLOOKUP(B270,input_555100!L:R,7,FALSE),VLOOKUP(tables_555100!C270,input_555100!A:H,8,FALSE))</f>
        <v>49590</v>
      </c>
      <c r="P270" s="46">
        <f t="shared" ca="1" si="13"/>
        <v>8.6093749998804262E-3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input_555100!A$2</f>
        <v>555100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IFERROR(VLOOKUP(B271,input_555100!L:R,7,FALSE),VLOOKUP(tables_555100!C271,input_555100!A:H,8,FALSE))</f>
        <v>5700</v>
      </c>
      <c r="P271" s="46">
        <f t="shared" ca="1" si="13"/>
        <v>9.895833333195892E-4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input_555100!A$2</f>
        <v>555100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IFERROR(VLOOKUP(B272,input_555100!L:R,7,FALSE),VLOOKUP(tables_555100!C272,input_555100!A:H,8,FALSE))</f>
        <v>49590</v>
      </c>
      <c r="P272" s="46">
        <f t="shared" ca="1" si="13"/>
        <v>8.6093749998804262E-3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input_555100!A$2</f>
        <v>555100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IFERROR(VLOOKUP(B273,input_555100!L:R,7,FALSE),VLOOKUP(tables_555100!C273,input_555100!A:H,8,FALSE))</f>
        <v>5700</v>
      </c>
      <c r="P273" s="46">
        <f t="shared" ca="1" si="13"/>
        <v>9.895833333195892E-4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input_555100!A$2</f>
        <v>555100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IFERROR(VLOOKUP(B274,input_555100!L:R,7,FALSE),VLOOKUP(tables_555100!C274,input_555100!A:H,8,FALSE))</f>
        <v>3600</v>
      </c>
      <c r="P274" s="46">
        <f t="shared" ca="1" si="13"/>
        <v>6.2499999999131946E-4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input_555100!A$2</f>
        <v>555100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IFERROR(VLOOKUP(B275,input_555100!L:R,7,FALSE),VLOOKUP(tables_555100!C275,input_555100!A:H,8,FALSE))</f>
        <v>400</v>
      </c>
      <c r="P275" s="46">
        <f t="shared" ca="1" si="13"/>
        <v>6.9444444443479938E-5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input_555100!A$2</f>
        <v>555100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IFERROR(VLOOKUP(B276,input_555100!L:R,7,FALSE),VLOOKUP(tables_555100!C276,input_555100!A:H,8,FALSE))</f>
        <v>3600</v>
      </c>
      <c r="P276" s="46">
        <f t="shared" ca="1" si="13"/>
        <v>6.2499999999131946E-4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input_555100!A$2</f>
        <v>555100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IFERROR(VLOOKUP(B277,input_555100!L:R,7,FALSE),VLOOKUP(tables_555100!C277,input_555100!A:H,8,FALSE))</f>
        <v>400</v>
      </c>
      <c r="P277" s="46">
        <f t="shared" ca="1" si="13"/>
        <v>6.9444444443479938E-5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input_555100!A$2</f>
        <v>555100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IFERROR(VLOOKUP(B278,input_555100!L:R,7,FALSE),VLOOKUP(tables_555100!C278,input_555100!A:H,8,FALSE))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input_555100!A$2</f>
        <v>555100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IFERROR(VLOOKUP(B279,input_555100!L:R,7,FALSE),VLOOKUP(tables_555100!C279,input_555100!A:H,8,FALSE))</f>
        <v>51300</v>
      </c>
      <c r="P279" s="46">
        <f t="shared" ca="1" si="13"/>
        <v>8.906249999876303E-3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input_555100!A$2</f>
        <v>555100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IFERROR(VLOOKUP(B280,input_555100!L:R,7,FALSE),VLOOKUP(tables_555100!C280,input_555100!A:H,8,FALSE))</f>
        <v>4188.4615400000002</v>
      </c>
      <c r="P280" s="46">
        <f t="shared" ca="1" si="13"/>
        <v>7.2716346179545611E-4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input_555100!A$2</f>
        <v>555100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IFERROR(VLOOKUP(B281,input_555100!L:R,7,FALSE),VLOOKUP(tables_555100!C281,input_555100!A:H,8,FALSE))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input_555100!A$2</f>
        <v>555100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IFERROR(VLOOKUP(B282,input_555100!L:R,7,FALSE),VLOOKUP(tables_555100!C282,input_555100!A:H,8,FALSE))</f>
        <v>51300</v>
      </c>
      <c r="P282" s="46">
        <f t="shared" ca="1" si="13"/>
        <v>8.906249999876303E-3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input_555100!A$2</f>
        <v>555100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IFERROR(VLOOKUP(B283,input_555100!L:R,7,FALSE),VLOOKUP(tables_555100!C283,input_555100!A:H,8,FALSE))</f>
        <v>4188.4615400000002</v>
      </c>
      <c r="P283" s="46">
        <f t="shared" ca="1" si="13"/>
        <v>7.2716346179545611E-4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input_555100!A$2</f>
        <v>555100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IFERROR(VLOOKUP(B284,input_555100!L:R,7,FALSE),VLOOKUP(tables_555100!C284,input_555100!A:H,8,FALSE))</f>
        <v>4000</v>
      </c>
      <c r="P284" s="46">
        <f t="shared" ca="1" si="13"/>
        <v>6.9444444443479941E-4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input_555100!A$2</f>
        <v>555100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IFERROR(VLOOKUP(B285,input_555100!L:R,7,FALSE),VLOOKUP(tables_555100!C285,input_555100!A:H,8,FALSE))</f>
        <v>4000</v>
      </c>
      <c r="P285" s="46">
        <f t="shared" ca="1" si="13"/>
        <v>6.9444444443479941E-4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input_555100!A$2</f>
        <v>555100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IFERROR(VLOOKUP(B286,input_555100!L:R,7,FALSE),VLOOKUP(tables_555100!C286,input_555100!A:H,8,FALSE))</f>
        <v>49590</v>
      </c>
      <c r="P286" s="46">
        <f t="shared" ca="1" si="13"/>
        <v>8.6093749998804262E-3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input_555100!A$2</f>
        <v>555100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IFERROR(VLOOKUP(B287,input_555100!L:R,7,FALSE),VLOOKUP(tables_555100!C287,input_555100!A:H,8,FALSE))</f>
        <v>5700</v>
      </c>
      <c r="P287" s="46">
        <f t="shared" ca="1" si="13"/>
        <v>9.895833333195892E-4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input_555100!A$2</f>
        <v>555100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IFERROR(VLOOKUP(B288,input_555100!L:R,7,FALSE),VLOOKUP(tables_555100!C288,input_555100!A:H,8,FALSE))</f>
        <v>49590</v>
      </c>
      <c r="P288" s="46">
        <f t="shared" ca="1" si="13"/>
        <v>8.6093749998804262E-3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input_555100!A$2</f>
        <v>555100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IFERROR(VLOOKUP(B289,input_555100!L:R,7,FALSE),VLOOKUP(tables_555100!C289,input_555100!A:H,8,FALSE))</f>
        <v>5700</v>
      </c>
      <c r="P289" s="46">
        <f t="shared" ca="1" si="13"/>
        <v>9.895833333195892E-4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input_555100!A$2</f>
        <v>555100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IFERROR(VLOOKUP(B290,input_555100!L:R,7,FALSE),VLOOKUP(tables_555100!C290,input_555100!A:H,8,FALSE))</f>
        <v>49590</v>
      </c>
      <c r="P290" s="46">
        <f t="shared" ca="1" si="13"/>
        <v>8.6093749998804262E-3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input_555100!A$2</f>
        <v>555100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IFERROR(VLOOKUP(B291,input_555100!L:R,7,FALSE),VLOOKUP(tables_555100!C291,input_555100!A:H,8,FALSE))</f>
        <v>5700</v>
      </c>
      <c r="P291" s="46">
        <f t="shared" ca="1" si="13"/>
        <v>9.895833333195892E-4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input_555100!A$2</f>
        <v>555100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IFERROR(VLOOKUP(B292,input_555100!L:R,7,FALSE),VLOOKUP(tables_555100!C292,input_555100!A:H,8,FALSE))</f>
        <v>49590</v>
      </c>
      <c r="P292" s="46">
        <f t="shared" ca="1" si="13"/>
        <v>8.6093749998804262E-3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input_555100!A$2</f>
        <v>555100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IFERROR(VLOOKUP(B293,input_555100!L:R,7,FALSE),VLOOKUP(tables_555100!C293,input_555100!A:H,8,FALSE))</f>
        <v>5700</v>
      </c>
      <c r="P293" s="46">
        <f t="shared" ca="1" si="13"/>
        <v>9.895833333195892E-4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input_555100!A$2</f>
        <v>555100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IFERROR(VLOOKUP(B294,input_555100!L:R,7,FALSE),VLOOKUP(tables_555100!C294,input_555100!A:H,8,FALSE))</f>
        <v>4000</v>
      </c>
      <c r="P294" s="46">
        <f t="shared" ca="1" si="13"/>
        <v>6.9444444443479941E-4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input_555100!A$2</f>
        <v>555100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IFERROR(VLOOKUP(B295,input_555100!L:R,7,FALSE),VLOOKUP(tables_555100!C295,input_555100!A:H,8,FALSE))</f>
        <v>4000</v>
      </c>
      <c r="P295" s="46">
        <f t="shared" ref="P295:P299" ca="1" si="20">O295/SUM(O:O)</f>
        <v>6.9444444443479941E-4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input_555100!A$2</f>
        <v>555100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IFERROR(VLOOKUP(B296,input_555100!L:R,7,FALSE),VLOOKUP(tables_555100!C296,input_555100!A:H,8,FALSE))</f>
        <v>4000</v>
      </c>
      <c r="P296" s="46">
        <f t="shared" ca="1" si="20"/>
        <v>6.9444444443479941E-4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input_555100!A$2</f>
        <v>555100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IFERROR(VLOOKUP(B297,input_555100!L:R,7,FALSE),VLOOKUP(tables_555100!C297,input_555100!A:H,8,FALSE))</f>
        <v>49590</v>
      </c>
      <c r="P297" s="46">
        <f t="shared" ca="1" si="20"/>
        <v>8.6093749998804262E-3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input_555100!A$2</f>
        <v>555100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IFERROR(VLOOKUP(B298,input_555100!L:R,7,FALSE),VLOOKUP(tables_555100!C298,input_555100!A:H,8,FALSE))</f>
        <v>5700</v>
      </c>
      <c r="P298" s="46">
        <f t="shared" ca="1" si="20"/>
        <v>9.895833333195892E-4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input_555100!A$2</f>
        <v>555100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IFERROR(VLOOKUP(B299,input_555100!L:R,7,FALSE),VLOOKUP(tables_555100!C299,input_555100!A:H,8,FALSE))</f>
        <v>4000</v>
      </c>
      <c r="P299" s="46">
        <f t="shared" ca="1" si="20"/>
        <v>6.9444444443479941E-4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input_555100!A$2</f>
        <v>555100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IFERROR(VLOOKUP(B300,input_555100!L:R,7,FALSE),VLOOKUP(tables_555100!C300,input_555100!A:H,8,FALSE))</f>
        <v>4000</v>
      </c>
      <c r="P300" s="46">
        <f t="shared" ref="P300:P304" ca="1" si="22">O300/SUM(O:O)</f>
        <v>6.9444444443479941E-4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input_555100!A$2</f>
        <v>555100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IFERROR(VLOOKUP(B301,input_555100!L:R,7,FALSE),VLOOKUP(tables_555100!C301,input_555100!A:H,8,FALSE))</f>
        <v>4000</v>
      </c>
      <c r="P301" s="46">
        <f t="shared" ca="1" si="22"/>
        <v>6.9444444443479941E-4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input_555100!A$2</f>
        <v>555100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IFERROR(VLOOKUP(B302,input_555100!L:R,7,FALSE),VLOOKUP(tables_555100!C302,input_555100!A:H,8,FALSE))</f>
        <v>4000</v>
      </c>
      <c r="P302" s="46">
        <f t="shared" ca="1" si="22"/>
        <v>6.9444444443479941E-4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input_555100!A$2</f>
        <v>555100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IFERROR(VLOOKUP(B303,input_555100!L:R,7,FALSE),VLOOKUP(tables_555100!C303,input_555100!A:H,8,FALSE))</f>
        <v>49590</v>
      </c>
      <c r="P303" s="46">
        <f t="shared" ca="1" si="22"/>
        <v>8.6093749998804262E-3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input_555100!A$2</f>
        <v>555100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IFERROR(VLOOKUP(B304,input_555100!L:R,7,FALSE),VLOOKUP(tables_555100!C304,input_555100!A:H,8,FALSE))</f>
        <v>5700</v>
      </c>
      <c r="P304" s="46">
        <f t="shared" ca="1" si="22"/>
        <v>9.895833333195892E-4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input_555100!A$2</f>
        <v>555100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IFERROR(VLOOKUP(B305,input_555100!L:R,7,FALSE),VLOOKUP(tables_555100!C305,input_555100!A:H,8,FALSE))</f>
        <v>4000</v>
      </c>
      <c r="P305" s="46">
        <f t="shared" ref="P305:P308" ca="1" si="24">O305/SUM(O:O)</f>
        <v>6.9444444443479941E-4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input_555100!A$2</f>
        <v>555100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IFERROR(VLOOKUP(B306,input_555100!L:R,7,FALSE),VLOOKUP(tables_555100!C306,input_555100!A:H,8,FALSE))</f>
        <v>49590</v>
      </c>
      <c r="P306" s="46">
        <f t="shared" ca="1" si="24"/>
        <v>8.6093749998804262E-3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input_555100!A$2</f>
        <v>555100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IFERROR(VLOOKUP(B307,input_555100!L:R,7,FALSE),VLOOKUP(tables_555100!C307,input_555100!A:H,8,FALSE))</f>
        <v>5700</v>
      </c>
      <c r="P307" s="46">
        <f t="shared" ca="1" si="24"/>
        <v>9.895833333195892E-4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input_555100!A$2</f>
        <v>555100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IFERROR(VLOOKUP(B308,input_555100!L:R,7,FALSE),VLOOKUP(tables_555100!C308,input_555100!A:H,8,FALSE))</f>
        <v>4000</v>
      </c>
      <c r="P308" s="46">
        <f t="shared" ca="1" si="24"/>
        <v>6.9444444443479941E-4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input_555100!A$2</f>
        <v>555100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IFERROR(VLOOKUP(B309,input_555100!L:R,7,FALSE),VLOOKUP(tables_555100!C309,input_555100!A:H,8,FALSE))</f>
        <v>4000</v>
      </c>
      <c r="P309" s="46">
        <f t="shared" ref="P309" ca="1" si="26">O309/SUM(O:O)</f>
        <v>6.9444444443479941E-4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input_555100!A$2</f>
        <v>555100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IFERROR(VLOOKUP(B310,input_555100!L:R,7,FALSE),VLOOKUP(tables_555100!C310,input_555100!A:H,8,FALSE))</f>
        <v>4000</v>
      </c>
      <c r="P310" s="46">
        <f t="shared" ref="P310:P314" ca="1" si="28">O310/SUM(O:O)</f>
        <v>6.9444444443479941E-4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input_555100!A$2</f>
        <v>555100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IFERROR(VLOOKUP(B311,input_555100!L:R,7,FALSE),VLOOKUP(tables_555100!C311,input_555100!A:H,8,FALSE))</f>
        <v>49590</v>
      </c>
      <c r="P311" s="46">
        <f t="shared" ca="1" si="28"/>
        <v>8.6093749998804262E-3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input_555100!A$2</f>
        <v>555100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IFERROR(VLOOKUP(B312,input_555100!L:R,7,FALSE),VLOOKUP(tables_555100!C312,input_555100!A:H,8,FALSE))</f>
        <v>5700</v>
      </c>
      <c r="P312" s="46">
        <f t="shared" ca="1" si="28"/>
        <v>9.895833333195892E-4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input_555100!A$2</f>
        <v>555100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IFERROR(VLOOKUP(B313,input_555100!L:R,7,FALSE),VLOOKUP(tables_555100!C313,input_555100!A:H,8,FALSE))</f>
        <v>4000</v>
      </c>
      <c r="P313" s="46">
        <f t="shared" ca="1" si="28"/>
        <v>6.9444444443479941E-4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input_555100!A$2</f>
        <v>555100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IFERROR(VLOOKUP(B314,input_555100!L:R,7,FALSE),VLOOKUP(tables_555100!C314,input_555100!A:H,8,FALSE))</f>
        <v>4000</v>
      </c>
      <c r="P314" s="46">
        <f t="shared" ca="1" si="28"/>
        <v>6.9444444443479941E-4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input_555100!A$2</f>
        <v>555100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IFERROR(VLOOKUP(B315,input_555100!L:R,7,FALSE),VLOOKUP(tables_555100!C315,input_555100!A:H,8,FALSE))</f>
        <v>4000</v>
      </c>
      <c r="P315" s="46">
        <f t="shared" ref="P315:P319" ca="1" si="30">O315/SUM(O:O)</f>
        <v>6.9444444443479941E-4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input_555100!A$2</f>
        <v>555100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IFERROR(VLOOKUP(B316,input_555100!L:R,7,FALSE),VLOOKUP(tables_555100!C316,input_555100!A:H,8,FALSE))</f>
        <v>4000</v>
      </c>
      <c r="P316" s="46">
        <f t="shared" ca="1" si="30"/>
        <v>6.9444444443479941E-4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input_555100!A$2</f>
        <v>555100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IFERROR(VLOOKUP(B317,input_555100!L:R,7,FALSE),VLOOKUP(tables_555100!C317,input_555100!A:H,8,FALSE))</f>
        <v>4000</v>
      </c>
      <c r="P317" s="46">
        <f t="shared" ca="1" si="30"/>
        <v>6.9444444443479941E-4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input_555100!A$2</f>
        <v>555100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IFERROR(VLOOKUP(B318,input_555100!L:R,7,FALSE),VLOOKUP(tables_555100!C318,input_555100!A:H,8,FALSE))</f>
        <v>49590</v>
      </c>
      <c r="P318" s="46">
        <f t="shared" ca="1" si="30"/>
        <v>8.6093749998804262E-3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input_555100!A$2</f>
        <v>555100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IFERROR(VLOOKUP(B319,input_555100!L:R,7,FALSE),VLOOKUP(tables_555100!C319,input_555100!A:H,8,FALSE))</f>
        <v>5700</v>
      </c>
      <c r="P319" s="46">
        <f t="shared" ca="1" si="30"/>
        <v>9.895833333195892E-4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input_555100!A$2</f>
        <v>555100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IFERROR(VLOOKUP(B320,input_555100!L:R,7,FALSE),VLOOKUP(tables_555100!C320,input_555100!A:H,8,FALSE))</f>
        <v>4000</v>
      </c>
      <c r="P320" s="46">
        <f t="shared" ref="P320:P324" ca="1" si="32">O320/SUM(O:O)</f>
        <v>6.9444444443479941E-4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input_555100!A$2</f>
        <v>555100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IFERROR(VLOOKUP(B321,input_555100!L:R,7,FALSE),VLOOKUP(tables_555100!C321,input_555100!A:H,8,FALSE))</f>
        <v>4000</v>
      </c>
      <c r="P321" s="46">
        <f t="shared" ca="1" si="32"/>
        <v>6.9444444443479941E-4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input_555100!A$2</f>
        <v>555100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IFERROR(VLOOKUP(B322,input_555100!L:R,7,FALSE),VLOOKUP(tables_555100!C322,input_555100!A:H,8,FALSE))</f>
        <v>4000</v>
      </c>
      <c r="P322" s="46">
        <f t="shared" ca="1" si="32"/>
        <v>6.9444444443479941E-4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input_555100!A$2</f>
        <v>555100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IFERROR(VLOOKUP(B323,input_555100!L:R,7,FALSE),VLOOKUP(tables_555100!C323,input_555100!A:H,8,FALSE))</f>
        <v>4000</v>
      </c>
      <c r="P323" s="46">
        <f t="shared" ca="1" si="32"/>
        <v>6.9444444443479941E-4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input_555100!A$2</f>
        <v>555100</v>
      </c>
      <c r="B324" s="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IFERROR(VLOOKUP(B324,input_555100!L:R,7,FALSE),VLOOKUP(tables_555100!C324,input_555100!A:H,8,FALSE))</f>
        <v>49590</v>
      </c>
      <c r="P324" s="46">
        <f t="shared" ca="1" si="32"/>
        <v>8.6093749998804262E-3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input_555100!A$2</f>
        <v>555100</v>
      </c>
      <c r="B325" s="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IFERROR(VLOOKUP(B325,input_555100!L:R,7,FALSE),VLOOKUP(tables_555100!C325,input_555100!A:H,8,FALSE))</f>
        <v>5700</v>
      </c>
      <c r="P325" s="46">
        <f t="shared" ref="P325:P330" ca="1" si="35">O325/SUM(O:O)</f>
        <v>9.895833333195892E-4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input_555100!A$2</f>
        <v>555100</v>
      </c>
      <c r="B326" s="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IFERROR(VLOOKUP(B326,input_555100!L:R,7,FALSE),VLOOKUP(tables_555100!C326,input_555100!A:H,8,FALSE))</f>
        <v>49590</v>
      </c>
      <c r="P326" s="46">
        <f t="shared" ca="1" si="35"/>
        <v>8.6093749998804262E-3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input_555100!A$2</f>
        <v>555100</v>
      </c>
      <c r="B327" s="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IFERROR(VLOOKUP(B327,input_555100!L:R,7,FALSE),VLOOKUP(tables_555100!C327,input_555100!A:H,8,FALSE))</f>
        <v>5700</v>
      </c>
      <c r="P327" s="46">
        <f t="shared" ca="1" si="35"/>
        <v>9.895833333195892E-4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input_555100!A$2</f>
        <v>555100</v>
      </c>
      <c r="B328" s="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IFERROR(VLOOKUP(B328,input_555100!L:R,7,FALSE),VLOOKUP(tables_555100!C328,input_555100!A:H,8,FALSE))</f>
        <v>4000</v>
      </c>
      <c r="P328" s="46">
        <f t="shared" ca="1" si="35"/>
        <v>6.9444444443479941E-4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input_555100!A$2</f>
        <v>555100</v>
      </c>
      <c r="B329" s="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IFERROR(VLOOKUP(B329,input_555100!L:R,7,FALSE),VLOOKUP(tables_555100!C329,input_555100!A:H,8,FALSE))</f>
        <v>4000</v>
      </c>
      <c r="P329" s="46">
        <f t="shared" ca="1" si="35"/>
        <v>6.9444444443479941E-4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input_555100!A$2</f>
        <v>555100</v>
      </c>
      <c r="B330" s="2">
        <v>1157</v>
      </c>
      <c r="C330" s="7" t="str">
        <f t="shared" si="34"/>
        <v>PremiumSS5R5only</v>
      </c>
      <c r="D330" s="97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IFERROR(VLOOKUP(B330,input_555100!L:R,7,FALSE),VLOOKUP(tables_555100!C330,input_555100!A:H,8,FALSE))</f>
        <v>4000</v>
      </c>
      <c r="P330" s="46">
        <f t="shared" ca="1" si="35"/>
        <v>6.9444444443479941E-4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input_555100!A$2</f>
        <v>555100</v>
      </c>
      <c r="B331" s="60">
        <v>1214</v>
      </c>
      <c r="C331" s="7" t="str">
        <f t="shared" ref="C331:C335" si="36">D331&amp;J331&amp;E331&amp;F331&amp;G331</f>
        <v>PremiumSS5R5only</v>
      </c>
      <c r="D331" s="97" t="str">
        <f t="shared" ref="D331:D335" si="3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IFERROR(VLOOKUP(B331,input_555100!L:R,7,FALSE),VLOOKUP(tables_555100!C331,input_555100!A:H,8,FALSE))</f>
        <v>4000</v>
      </c>
      <c r="P331" s="46">
        <f t="shared" ref="P331:P335" ca="1" si="38">O331/SUM(O:O)</f>
        <v>6.9444444443479941E-4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input_555100!A$2</f>
        <v>555100</v>
      </c>
      <c r="B332" s="60">
        <v>1212</v>
      </c>
      <c r="C332" s="7" t="str">
        <f t="shared" si="36"/>
        <v>PremiumSS5R5only</v>
      </c>
      <c r="D332" s="97" t="str">
        <f t="shared" si="3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IFERROR(VLOOKUP(B332,input_555100!L:R,7,FALSE),VLOOKUP(tables_555100!C332,input_555100!A:H,8,FALSE))</f>
        <v>4000</v>
      </c>
      <c r="P332" s="46">
        <f t="shared" ca="1" si="38"/>
        <v>6.9444444443479941E-4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input_555100!A$2</f>
        <v>555100</v>
      </c>
      <c r="B333" s="60">
        <v>1208</v>
      </c>
      <c r="C333" s="7" t="str">
        <f t="shared" si="36"/>
        <v>PremiumSS5R5only</v>
      </c>
      <c r="D333" s="97" t="str">
        <f t="shared" si="3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IFERROR(VLOOKUP(B333,input_555100!L:R,7,FALSE),VLOOKUP(tables_555100!C333,input_555100!A:H,8,FALSE))</f>
        <v>4000</v>
      </c>
      <c r="P333" s="46">
        <f t="shared" ca="1" si="38"/>
        <v>6.9444444443479941E-4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input_555100!A$2</f>
        <v>555100</v>
      </c>
      <c r="B334" s="93">
        <v>1210</v>
      </c>
      <c r="C334" s="7" t="str">
        <f t="shared" si="36"/>
        <v>Premium4R3less</v>
      </c>
      <c r="D334" s="97" t="str">
        <f t="shared" si="3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IFERROR(VLOOKUP(B334,input_555100!L:R,7,FALSE),VLOOKUP(tables_555100!C334,input_555100!A:H,8,FALSE))</f>
        <v>49590</v>
      </c>
      <c r="P334" s="46">
        <f t="shared" ca="1" si="38"/>
        <v>8.6093749998804262E-3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input_555100!A$2</f>
        <v>555100</v>
      </c>
      <c r="B335" s="60">
        <v>1211</v>
      </c>
      <c r="C335" s="7" t="str">
        <f t="shared" si="36"/>
        <v>Premium5R3less</v>
      </c>
      <c r="D335" s="97" t="str">
        <f t="shared" si="3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IFERROR(VLOOKUP(B335,input_555100!L:R,7,FALSE),VLOOKUP(tables_555100!C335,input_555100!A:H,8,FALSE))</f>
        <v>5700</v>
      </c>
      <c r="P335" s="46">
        <f t="shared" ca="1" si="38"/>
        <v>9.895833333195892E-4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input_555100!A$2</f>
        <v>555100</v>
      </c>
      <c r="B336" s="2">
        <v>1224</v>
      </c>
      <c r="C336" s="7" t="str">
        <f t="shared" ref="C336:C340" si="39">D336&amp;J336&amp;E336&amp;F336&amp;G336</f>
        <v>Premium4R3less</v>
      </c>
      <c r="D336" s="97" t="str">
        <f t="shared" ref="D336:D340" si="4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IFERROR(VLOOKUP(B336,input_555100!L:R,7,FALSE),VLOOKUP(tables_555100!C336,input_555100!A:H,8,FALSE))</f>
        <v>49590</v>
      </c>
      <c r="P336" s="46">
        <f t="shared" ref="P336:P340" ca="1" si="41">O336/SUM(O:O)</f>
        <v>8.6093749998804262E-3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input_555100!A$2</f>
        <v>555100</v>
      </c>
      <c r="B337" s="2">
        <v>1225</v>
      </c>
      <c r="C337" s="7" t="str">
        <f t="shared" si="39"/>
        <v>Premium5R3less</v>
      </c>
      <c r="D337" s="97" t="str">
        <f t="shared" si="4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IFERROR(VLOOKUP(B337,input_555100!L:R,7,FALSE),VLOOKUP(tables_555100!C337,input_555100!A:H,8,FALSE))</f>
        <v>5700</v>
      </c>
      <c r="P337" s="46">
        <f t="shared" ca="1" si="41"/>
        <v>9.895833333195892E-4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input_555100!A$2</f>
        <v>555100</v>
      </c>
      <c r="B338" s="2">
        <v>1226</v>
      </c>
      <c r="C338" s="7" t="str">
        <f t="shared" si="39"/>
        <v>PremiumSS5R5only</v>
      </c>
      <c r="D338" s="97" t="str">
        <f t="shared" si="4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IFERROR(VLOOKUP(B338,input_555100!L:R,7,FALSE),VLOOKUP(tables_555100!C338,input_555100!A:H,8,FALSE))</f>
        <v>4000</v>
      </c>
      <c r="P338" s="46">
        <f t="shared" ca="1" si="41"/>
        <v>6.9444444443479941E-4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input_555100!A$2</f>
        <v>555100</v>
      </c>
      <c r="B339" s="2">
        <v>1228</v>
      </c>
      <c r="C339" s="7" t="str">
        <f t="shared" si="39"/>
        <v>PremiumSS5R5only</v>
      </c>
      <c r="D339" s="97" t="str">
        <f t="shared" si="4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IFERROR(VLOOKUP(B339,input_555100!L:R,7,FALSE),VLOOKUP(tables_555100!C339,input_555100!A:H,8,FALSE))</f>
        <v>4000</v>
      </c>
      <c r="P339" s="46">
        <f t="shared" ca="1" si="41"/>
        <v>6.9444444443479941E-4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input_555100!A$2</f>
        <v>555100</v>
      </c>
      <c r="B340" s="2">
        <v>1230</v>
      </c>
      <c r="C340" s="7" t="str">
        <f t="shared" si="39"/>
        <v>PremiumSS5R5only</v>
      </c>
      <c r="D340" s="97" t="str">
        <f t="shared" si="4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IFERROR(VLOOKUP(B340,input_555100!L:R,7,FALSE),VLOOKUP(tables_555100!C340,input_555100!A:H,8,FALSE))</f>
        <v>4000</v>
      </c>
      <c r="P340" s="46">
        <f t="shared" ca="1" si="41"/>
        <v>6.9444444443479941E-4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input_555100!A$2</f>
        <v>555100</v>
      </c>
      <c r="B341" s="1">
        <v>1250</v>
      </c>
      <c r="C341" s="7" t="str">
        <f t="shared" ref="C341:C345" si="42">D341&amp;J341&amp;E341&amp;F341&amp;G341</f>
        <v>PremiumSS5R5only</v>
      </c>
      <c r="D341" s="97" t="str">
        <f t="shared" ref="D341:D345" si="4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IFERROR(VLOOKUP(B341,input_555100!L:R,7,FALSE),VLOOKUP(tables_555100!C341,input_555100!A:H,8,FALSE))</f>
        <v>4000</v>
      </c>
      <c r="P341" s="46">
        <f t="shared" ref="P341:P345" ca="1" si="44">O341/SUM(O:O)</f>
        <v>6.9444444443479941E-4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input_555100!A$2</f>
        <v>555100</v>
      </c>
      <c r="B342" s="1">
        <v>1248</v>
      </c>
      <c r="C342" s="7" t="str">
        <f t="shared" si="42"/>
        <v>Premium4R3less</v>
      </c>
      <c r="D342" s="97" t="str">
        <f t="shared" si="43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IFERROR(VLOOKUP(B342,input_555100!L:R,7,FALSE),VLOOKUP(tables_555100!C342,input_555100!A:H,8,FALSE))</f>
        <v>49590</v>
      </c>
      <c r="P342" s="46">
        <f t="shared" ca="1" si="44"/>
        <v>8.6093749998804262E-3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input_555100!A$2</f>
        <v>555100</v>
      </c>
      <c r="B343" s="1">
        <v>1249</v>
      </c>
      <c r="C343" s="7" t="str">
        <f t="shared" si="42"/>
        <v>Premium5R3less</v>
      </c>
      <c r="D343" s="97" t="str">
        <f t="shared" si="43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IFERROR(VLOOKUP(B343,input_555100!L:R,7,FALSE),VLOOKUP(tables_555100!C343,input_555100!A:H,8,FALSE))</f>
        <v>5700</v>
      </c>
      <c r="P343" s="46">
        <f t="shared" ca="1" si="44"/>
        <v>9.895833333195892E-4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input_555100!A$2</f>
        <v>555100</v>
      </c>
      <c r="B344" s="1">
        <v>1246</v>
      </c>
      <c r="C344" s="7" t="str">
        <f t="shared" si="42"/>
        <v>PremiumSS5R5only</v>
      </c>
      <c r="D344" s="97" t="str">
        <f t="shared" si="43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IFERROR(VLOOKUP(B344,input_555100!L:R,7,FALSE),VLOOKUP(tables_555100!C344,input_555100!A:H,8,FALSE))</f>
        <v>4000</v>
      </c>
      <c r="P344" s="46">
        <f t="shared" ca="1" si="44"/>
        <v>6.9444444443479941E-4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input_555100!A$2</f>
        <v>555100</v>
      </c>
      <c r="B345" s="1">
        <v>1244</v>
      </c>
      <c r="C345" s="7" t="str">
        <f t="shared" si="42"/>
        <v>PremiumSS5R5only</v>
      </c>
      <c r="D345" s="97" t="str">
        <f t="shared" si="4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IFERROR(VLOOKUP(B345,input_555100!L:R,7,FALSE),VLOOKUP(tables_555100!C345,input_555100!A:H,8,FALSE))</f>
        <v>4000</v>
      </c>
      <c r="P345" s="46">
        <f t="shared" ca="1" si="44"/>
        <v>6.9444444443479941E-4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input_555100!A$2</f>
        <v>555100</v>
      </c>
      <c r="B346" s="1">
        <v>1260</v>
      </c>
      <c r="C346" s="7" t="str">
        <f t="shared" ref="C346:C355" si="45">D346&amp;J346&amp;E346&amp;F346&amp;G346</f>
        <v>PremiumSS5R5only</v>
      </c>
      <c r="D346" s="97" t="str">
        <f t="shared" ref="D346:D355" si="46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IFERROR(VLOOKUP(B346,input_555100!L:R,7,FALSE),VLOOKUP(tables_555100!C346,input_555100!A:H,8,FALSE))</f>
        <v>4000</v>
      </c>
      <c r="P346" s="46">
        <f t="shared" ref="P346:P355" ca="1" si="47">O346/SUM(O:O)</f>
        <v>6.9444444443479941E-4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input_555100!A$2</f>
        <v>555100</v>
      </c>
      <c r="B347" s="1">
        <v>1262</v>
      </c>
      <c r="C347" s="7" t="str">
        <f t="shared" si="45"/>
        <v>PremiumSS5R5only</v>
      </c>
      <c r="D347" s="97" t="str">
        <f t="shared" si="46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IFERROR(VLOOKUP(B347,input_555100!L:R,7,FALSE),VLOOKUP(tables_555100!C347,input_555100!A:H,8,FALSE))</f>
        <v>4000</v>
      </c>
      <c r="P347" s="46">
        <f t="shared" ca="1" si="47"/>
        <v>6.9444444443479941E-4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input_555100!A$2</f>
        <v>555100</v>
      </c>
      <c r="B348" s="1">
        <v>1264</v>
      </c>
      <c r="C348" s="7" t="str">
        <f t="shared" si="45"/>
        <v>PremiumSS5R5only</v>
      </c>
      <c r="D348" s="97" t="str">
        <f t="shared" si="46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IFERROR(VLOOKUP(B348,input_555100!L:R,7,FALSE),VLOOKUP(tables_555100!C348,input_555100!A:H,8,FALSE))</f>
        <v>4000</v>
      </c>
      <c r="P348" s="46">
        <f t="shared" ca="1" si="47"/>
        <v>6.9444444443479941E-4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input_555100!A$2</f>
        <v>555100</v>
      </c>
      <c r="B349" s="1">
        <v>1266</v>
      </c>
      <c r="C349" s="7" t="str">
        <f t="shared" si="45"/>
        <v>Premium4R3less</v>
      </c>
      <c r="D349" s="97" t="str">
        <f t="shared" si="46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IFERROR(VLOOKUP(B349,input_555100!L:R,7,FALSE),VLOOKUP(tables_555100!C349,input_555100!A:H,8,FALSE))</f>
        <v>49590</v>
      </c>
      <c r="P349" s="46">
        <f t="shared" ca="1" si="47"/>
        <v>8.6093749998804262E-3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input_555100!A$2</f>
        <v>555100</v>
      </c>
      <c r="B350" s="1">
        <v>1267</v>
      </c>
      <c r="C350" s="7" t="str">
        <f t="shared" si="45"/>
        <v>Premium5R3less</v>
      </c>
      <c r="D350" s="97" t="str">
        <f t="shared" si="46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IFERROR(VLOOKUP(B350,input_555100!L:R,7,FALSE),VLOOKUP(tables_555100!C350,input_555100!A:H,8,FALSE))</f>
        <v>5700</v>
      </c>
      <c r="P350" s="46">
        <f t="shared" ca="1" si="47"/>
        <v>9.895833333195892E-4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input_555100!A$2</f>
        <v>555100</v>
      </c>
      <c r="B351" s="99">
        <v>1332</v>
      </c>
      <c r="C351" s="7" t="str">
        <f t="shared" si="45"/>
        <v>PremiumSS5R5only</v>
      </c>
      <c r="D351" s="97" t="str">
        <f t="shared" si="46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IFERROR(VLOOKUP(B351,input_555100!L:R,7,FALSE),VLOOKUP(tables_555100!C351,input_555100!A:H,8,FALSE))</f>
        <v>4000</v>
      </c>
      <c r="P351" s="46">
        <f t="shared" ca="1" si="47"/>
        <v>6.9444444443479941E-4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input_555100!A$2</f>
        <v>555100</v>
      </c>
      <c r="B352" s="99">
        <v>1336</v>
      </c>
      <c r="C352" s="7" t="str">
        <f t="shared" si="45"/>
        <v>PremiumSS5R5only</v>
      </c>
      <c r="D352" s="97" t="str">
        <f t="shared" si="46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IFERROR(VLOOKUP(B352,input_555100!L:R,7,FALSE),VLOOKUP(tables_555100!C352,input_555100!A:H,8,FALSE))</f>
        <v>4000</v>
      </c>
      <c r="P352" s="46">
        <f t="shared" ca="1" si="47"/>
        <v>6.9444444443479941E-4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input_555100!A$2</f>
        <v>555100</v>
      </c>
      <c r="B353" s="99">
        <v>1338</v>
      </c>
      <c r="C353" s="7" t="str">
        <f t="shared" si="45"/>
        <v>PremiumSS5R5only</v>
      </c>
      <c r="D353" s="97" t="str">
        <f t="shared" si="46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IFERROR(VLOOKUP(B353,input_555100!L:R,7,FALSE),VLOOKUP(tables_555100!C353,input_555100!A:H,8,FALSE))</f>
        <v>4000</v>
      </c>
      <c r="P353" s="46">
        <f t="shared" ca="1" si="47"/>
        <v>6.9444444443479941E-4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input_555100!A$2</f>
        <v>555100</v>
      </c>
      <c r="B354" s="99">
        <v>1334</v>
      </c>
      <c r="C354" s="7" t="str">
        <f t="shared" si="45"/>
        <v>Premium4R3less</v>
      </c>
      <c r="D354" s="97" t="str">
        <f t="shared" si="46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IFERROR(VLOOKUP(B354,input_555100!L:R,7,FALSE),VLOOKUP(tables_555100!C354,input_555100!A:H,8,FALSE))</f>
        <v>49590</v>
      </c>
      <c r="P354" s="46">
        <f t="shared" ca="1" si="47"/>
        <v>8.6093749998804262E-3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input_555100!A$2</f>
        <v>555100</v>
      </c>
      <c r="B355" s="99">
        <v>1335</v>
      </c>
      <c r="C355" s="7" t="str">
        <f t="shared" si="45"/>
        <v>Premium5R3less</v>
      </c>
      <c r="D355" s="97" t="str">
        <f t="shared" si="46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IFERROR(VLOOKUP(B355,input_555100!L:R,7,FALSE),VLOOKUP(tables_555100!C355,input_555100!A:H,8,FALSE))</f>
        <v>5700</v>
      </c>
      <c r="P355" s="46">
        <f t="shared" ca="1" si="47"/>
        <v>9.895833333195892E-4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49"/>
  <sheetViews>
    <sheetView workbookViewId="0">
      <selection activeCell="F28" sqref="F28:F2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555100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VLOOKUP(L3,tables_settle_555100!B:C,2,FALSE)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VLOOKUP(L4,tables_settle_555100!B:C,2,FALSE)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6.9444444444444447E-4</v>
      </c>
      <c r="F5">
        <f>(COUNTIF(tables_settle_555100!C:C,input_settle_555100!A28)+COUNTIF(tables_settle_555100!C:C,input_settle_555100!A29))</f>
        <v>72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VLOOKUP(L5,tables_settle_555100!B:C,2,FALSE)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</v>
      </c>
      <c r="D6" t="s">
        <v>202</v>
      </c>
      <c r="E6" s="76">
        <f>(B10-H6)/(F6-I6)</f>
        <v>9.8958333333333329E-3</v>
      </c>
      <c r="F6">
        <f>(COUNTIF(tables_settle_555100!C:C,input_settle_555100!A25)+COUNTIF(tables_settle_555100!C:C,input_settle_555100!A18)+COUNTIF(tables_settle_555100!C:C,input_settle_555100!A20)+COUNTIF(tables_settle_555100!C:C,input_settle_555100!A22))</f>
        <v>96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VLOOKUP(L6,tables_settle_555100!B:C,2,FALSE)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VLOOKUP(L7,tables_settle_555100!B:C,2,FALSE)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VLOOKUP(L8,tables_settle_555100!B:C,2,FALSE)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VLOOKUP(L9,tables_settle_555100!B:C,2,FALSE)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VLOOKUP(L10,tables_settle_555100!B:C,2,FALSE)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VLOOKUP(L11,tables_settle_555100!B:C,2,FALSE)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VLOOKUP(L12,tables_settle_555100!B:C,2,FALSE)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VLOOKUP(L13,tables_settle_555100!B:C,2,FALSE)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VLOOKUP(L14,tables_settle_555100!B:C,2,FALSE)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VLOOKUP(L15,tables_settle_555100!B:C,2,FALSE)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VLOOKUP(L16,tables_settle_555100!B:C,2,FALSE)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COUNTIF(tables_settle_555100!C:C,input_settle_555100!A17)-COUNTIF(Q:Q,A17)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VLOOKUP(L17,tables_settle_555100!B:C,2,FALSE)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v>0</v>
      </c>
      <c r="C18" s="85">
        <f t="shared" si="2"/>
        <v>0</v>
      </c>
      <c r="D18" s="74">
        <f t="shared" si="3"/>
        <v>0</v>
      </c>
      <c r="E18">
        <f>COUNTIF(tables_settle_555100!C:C,input_settle_555100!A18)-COUNTIF(Q:Q,A18)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VLOOKUP(L18,tables_settle_555100!B:C,2,FALSE)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COUNTIF(tables_settle_555100!C:C,input_settle_555100!A19)-COUNTIF(Q:Q,A19)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VLOOKUP(L19,tables_settle_555100!B:C,2,FALSE)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</v>
      </c>
      <c r="C20" s="85">
        <f t="shared" si="2"/>
        <v>0</v>
      </c>
      <c r="D20" s="74">
        <f t="shared" si="3"/>
        <v>0</v>
      </c>
      <c r="E20">
        <f>COUNTIF(tables_settle_555100!C:C,input_settle_555100!A20)-COUNTIF(Q:Q,A20)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VLOOKUP(L20,tables_settle_555100!B:C,2,FALSE)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0.65312499999999996</v>
      </c>
      <c r="C21" s="85">
        <f t="shared" si="2"/>
        <v>0</v>
      </c>
      <c r="D21" s="74">
        <f t="shared" si="3"/>
        <v>0.65312499999999996</v>
      </c>
      <c r="E21">
        <f>COUNTIF(tables_settle_555100!C:C,input_settle_555100!A21)-COUNTIF(Q:Q,A21)</f>
        <v>52</v>
      </c>
      <c r="F21" s="43">
        <f t="shared" si="8"/>
        <v>1.2560096153846153E-2</v>
      </c>
      <c r="G21">
        <f t="shared" si="4"/>
        <v>3761999.9999999995</v>
      </c>
      <c r="H21">
        <f t="shared" si="5"/>
        <v>72346.153850000002</v>
      </c>
      <c r="I21">
        <f t="shared" si="6"/>
        <v>0.15385000000242144</v>
      </c>
      <c r="J21">
        <f t="shared" si="7"/>
        <v>6.499837503960098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v>0</v>
      </c>
      <c r="C22" s="85">
        <f t="shared" si="2"/>
        <v>0</v>
      </c>
      <c r="D22" s="74">
        <f t="shared" si="3"/>
        <v>0</v>
      </c>
      <c r="E22">
        <f>COUNTIF(tables_settle_555100!C:C,input_settle_555100!A22)-COUNTIF(Q:Q,A22)</f>
        <v>20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0.25729166666666664</v>
      </c>
      <c r="C23" s="85">
        <f t="shared" si="2"/>
        <v>0</v>
      </c>
      <c r="D23" s="74">
        <f t="shared" si="3"/>
        <v>0.25729166666666664</v>
      </c>
      <c r="E23">
        <f>COUNTIF(tables_settle_555100!C:C,input_settle_555100!A23)-COUNTIF(Q:Q,A23)</f>
        <v>26</v>
      </c>
      <c r="F23" s="43">
        <f t="shared" si="8"/>
        <v>9.8958333333333329E-3</v>
      </c>
      <c r="G23">
        <f t="shared" si="4"/>
        <v>1481999.9999999998</v>
      </c>
      <c r="H23">
        <f t="shared" si="5"/>
        <v>57000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COUNTIF(tables_settle_555100!C:C,input_settle_555100!A24)-COUNTIF(Q:Q,A24)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5">
        <f t="shared" si="2"/>
        <v>0</v>
      </c>
      <c r="D25" s="74">
        <f t="shared" si="3"/>
        <v>0</v>
      </c>
      <c r="E25">
        <f>COUNTIF(tables_settle_555100!C:C,input_settle_555100!A25)-COUNTIF(Q:Q,A25)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3.9583333333333331E-2</v>
      </c>
      <c r="C26" s="85">
        <f t="shared" si="2"/>
        <v>0</v>
      </c>
      <c r="D26" s="74">
        <f t="shared" si="3"/>
        <v>3.9583333333333331E-2</v>
      </c>
      <c r="E26">
        <f>COUNTIF(tables_settle_555100!C:C,input_settle_555100!A26)-COUNTIF(Q:Q,A26)</f>
        <v>4</v>
      </c>
      <c r="F26" s="43">
        <f t="shared" si="8"/>
        <v>9.8958333333333329E-3</v>
      </c>
      <c r="G26">
        <f t="shared" si="4"/>
        <v>228000</v>
      </c>
      <c r="H26">
        <f t="shared" si="5"/>
        <v>57000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0</v>
      </c>
      <c r="C27" s="85">
        <f t="shared" si="2"/>
        <v>0</v>
      </c>
      <c r="D27" s="74">
        <f t="shared" si="3"/>
        <v>0</v>
      </c>
      <c r="E27">
        <f>COUNTIF(tables_settle_555100!C:C,input_settle_555100!A27)-COUNTIF(Q:Q,A27)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1.9444444444444445E-2</v>
      </c>
      <c r="C28" s="85">
        <f t="shared" si="2"/>
        <v>0</v>
      </c>
      <c r="D28" s="74">
        <f t="shared" si="3"/>
        <v>1.9444444444444445E-2</v>
      </c>
      <c r="E28">
        <f>COUNTIF(tables_settle_555100!C:C,input_settle_555100!A28)-COUNTIF(Q:Q,A28)</f>
        <v>28</v>
      </c>
      <c r="F28" s="43">
        <f t="shared" si="8"/>
        <v>6.9444444444444447E-4</v>
      </c>
      <c r="G28">
        <f t="shared" si="4"/>
        <v>112000</v>
      </c>
      <c r="H28">
        <f t="shared" si="5"/>
        <v>4000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3.0555555555555558E-2</v>
      </c>
      <c r="C29" s="85">
        <f t="shared" si="2"/>
        <v>0</v>
      </c>
      <c r="D29" s="74">
        <f t="shared" si="3"/>
        <v>3.0555555555555558E-2</v>
      </c>
      <c r="E29">
        <f>COUNTIF(tables_settle_555100!C:C,input_settle_555100!A29)-COUNTIF(Q:Q,A29)</f>
        <v>44</v>
      </c>
      <c r="F29" s="43">
        <f t="shared" si="8"/>
        <v>6.9444444444444447E-4</v>
      </c>
      <c r="G29">
        <f t="shared" si="4"/>
        <v>176000</v>
      </c>
      <c r="H29">
        <f t="shared" si="5"/>
        <v>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COUNTIF(tables_settle_555100!C:C,input_settle_555100!A30)-COUNTIF(Q:Q,A30)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COUNTIF(tables_settle_555100!C:C,input_settle_555100!A31)-COUNTIF(Q:Q,A31)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SUMIF(tables_settle_555100!C:C,input_settle_555100!A40,tables_settle_555100!O:O)</f>
        <v>0</v>
      </c>
      <c r="C40" s="54">
        <f t="shared" ref="C40:C46" ca="1" si="9">B40/B$47</f>
        <v>0</v>
      </c>
      <c r="E40">
        <v>3</v>
      </c>
      <c r="F40">
        <f ca="1">SUMIF(tables_settle_555100!J:J,input_settle_555100!E40,tables_settle_555100!O:O)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SUMIF(tables_settle_555100!C:C,input_settle_555100!A41,tables_settle_555100!O:O)</f>
        <v>0</v>
      </c>
      <c r="C41" s="54">
        <f t="shared" ca="1" si="9"/>
        <v>0</v>
      </c>
      <c r="E41">
        <v>4</v>
      </c>
      <c r="F41">
        <f ca="1">SUMIF(tables_settle_555100!J:J,input_settle_555100!E41,tables_settle_555100!O:O)</f>
        <v>0</v>
      </c>
      <c r="G41">
        <f ca="1">F41/A36</f>
        <v>0</v>
      </c>
    </row>
    <row r="42" spans="1:7" x14ac:dyDescent="0.15">
      <c r="A42" s="33" t="s">
        <v>106</v>
      </c>
      <c r="B42">
        <f ca="1">SUMIF(tables_settle_555100!C:C,input_settle_555100!A42,tables_settle_555100!O:O)</f>
        <v>0</v>
      </c>
      <c r="C42" s="54">
        <f t="shared" ca="1" si="9"/>
        <v>0</v>
      </c>
      <c r="E42">
        <v>5</v>
      </c>
      <c r="F42">
        <f ca="1">SUMIF(tables_settle_555100!J:J,input_settle_555100!E42,tables_settle_555100!O:O)</f>
        <v>5760000.0001999969</v>
      </c>
      <c r="G42">
        <f ca="1">F42/A36</f>
        <v>1.0000000000347218</v>
      </c>
    </row>
    <row r="43" spans="1:7" x14ac:dyDescent="0.15">
      <c r="A43" s="33" t="s">
        <v>109</v>
      </c>
      <c r="B43">
        <f>SUMIF(tables_settle_555100!C:C,input_settle_555100!A43,tables_settle_555100!O:O)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SUMIF(tables_settle_555100!C:C,input_settle_555100!A44,tables_settle_555100!O:O)</f>
        <v>3762000.0001999959</v>
      </c>
      <c r="C44" s="54">
        <f t="shared" ca="1" si="9"/>
        <v>0.97108931337268511</v>
      </c>
      <c r="E44" t="s">
        <v>54</v>
      </c>
      <c r="F44" s="55"/>
    </row>
    <row r="45" spans="1:7" x14ac:dyDescent="0.15">
      <c r="A45" s="33" t="s">
        <v>107</v>
      </c>
      <c r="B45">
        <f ca="1">SUMIF(tables_settle_555100!C:C,input_settle_555100!A45,tables_settle_555100!O:O)</f>
        <v>112000</v>
      </c>
      <c r="C45" s="54">
        <f t="shared" ca="1" si="9"/>
        <v>2.8910686627314913E-2</v>
      </c>
      <c r="E45" t="s">
        <v>204</v>
      </c>
      <c r="F45" s="55">
        <f ca="1">SUMIF(tables_settle_555100!I:I,input_settle_555100!E45,tables_settle_555100!P:P)</f>
        <v>5.9374999997938396E-2</v>
      </c>
    </row>
    <row r="46" spans="1:7" x14ac:dyDescent="0.15">
      <c r="A46" s="33" t="s">
        <v>108</v>
      </c>
      <c r="B46">
        <f>SUMIF(tables_settle_555100!C:C,input_settle_555100!A46,tables_settle_555100!O:O)</f>
        <v>0</v>
      </c>
      <c r="C46" s="54">
        <f t="shared" ca="1" si="9"/>
        <v>0</v>
      </c>
      <c r="E46" t="s">
        <v>205</v>
      </c>
      <c r="F46" s="55">
        <f ca="1">SUMIF(tables_settle_555100!I:I,input_settle_555100!E46,tables_settle_555100!P:P)</f>
        <v>0.24320913461829141</v>
      </c>
    </row>
    <row r="47" spans="1:7" x14ac:dyDescent="0.15">
      <c r="A47" s="39" t="s">
        <v>59</v>
      </c>
      <c r="B47">
        <f ca="1">SUM(B40:B46)</f>
        <v>3874000.0001999959</v>
      </c>
      <c r="C47" s="55">
        <f ca="1">SUM(C40:C46)</f>
        <v>1</v>
      </c>
      <c r="E47" t="s">
        <v>206</v>
      </c>
      <c r="F47" s="55">
        <f ca="1">SUMIF(tables_settle_555100!I:I,input_settle_555100!E47,tables_settle_555100!P:P)</f>
        <v>0.64741586538550611</v>
      </c>
    </row>
    <row r="48" spans="1:7" x14ac:dyDescent="0.15">
      <c r="E48" t="s">
        <v>207</v>
      </c>
      <c r="F48" s="55">
        <f ca="1">SUMIF(tables_settle_555100!I:I,input_settle_555100!E48,tables_settle_555100!P:P)</f>
        <v>4.3749999998480893E-2</v>
      </c>
    </row>
    <row r="49" spans="5:6" x14ac:dyDescent="0.15">
      <c r="E49" t="s">
        <v>251</v>
      </c>
      <c r="F49" s="55">
        <f ca="1">SUMIF(tables_settle_555100!I:I,input_settle_555100!E49,tables_settle_555100!P:P)</f>
        <v>6.2499999997829882E-3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W355"/>
  <sheetViews>
    <sheetView showGridLines="0" zoomScale="75" zoomScaleNormal="75" zoomScalePageLayoutView="75" workbookViewId="0">
      <pane ySplit="1" topLeftCell="A193" activePane="bottomLeft" state="frozen"/>
      <selection activeCell="G9" sqref="G9"/>
      <selection pane="bottomLeft" activeCell="Q196" sqref="Q19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3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  <c r="W1" s="29" t="s">
        <v>256</v>
      </c>
    </row>
    <row r="2" spans="1:23" ht="21" customHeight="1" x14ac:dyDescent="0.15">
      <c r="A2" s="2" t="str">
        <f ca="1">input_settle_555100!A$2</f>
        <v>555100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IFERROR(VLOOKUP(B2,input_settle_555100!L:R,7,FALSE),VLOOKUP(tables_settle_555100!C2,input_settle_555100!A:H,8,FALSE))</f>
        <v>0</v>
      </c>
      <c r="P2" s="46">
        <f t="shared" ref="P2:P65" ca="1" si="1">O2/SUM(O:O)</f>
        <v>0</v>
      </c>
      <c r="Q2" s="30">
        <f>IF(J2=3,40,IF(J2=4,60,IF(J2=5,80,"ERROR")))</f>
        <v>40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  <c r="W2" s="30">
        <v>5</v>
      </c>
    </row>
    <row r="3" spans="1:23" ht="21" customHeight="1" x14ac:dyDescent="0.15">
      <c r="A3" s="2" t="str">
        <f ca="1">input_settle_555100!A$2</f>
        <v>555100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IFERROR(VLOOKUP(B3,input_settle_555100!L:R,7,FALSE),VLOOKUP(tables_settle_555100!C3,input_settle_555100!A:H,8,FALSE))</f>
        <v>0</v>
      </c>
      <c r="P3" s="46">
        <f t="shared" ca="1" si="1"/>
        <v>0</v>
      </c>
      <c r="Q3" s="30">
        <f t="shared" ref="Q3:Q66" si="3">IF(J3=3,40,IF(J3=4,60,IF(J3=5,80,"ERROR")))</f>
        <v>60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  <c r="W3" s="30">
        <v>5</v>
      </c>
    </row>
    <row r="4" spans="1:23" ht="21" customHeight="1" x14ac:dyDescent="0.15">
      <c r="A4" s="2" t="str">
        <f ca="1">input_settle_555100!A$2</f>
        <v>555100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IFERROR(VLOOKUP(B4,input_settle_555100!L:R,7,FALSE),VLOOKUP(tables_settle_555100!C4,input_settle_555100!A:H,8,FALSE))</f>
        <v>0</v>
      </c>
      <c r="P4" s="46">
        <f t="shared" ca="1" si="1"/>
        <v>0</v>
      </c>
      <c r="Q4" s="30">
        <f t="shared" si="3"/>
        <v>40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  <c r="W4" s="30">
        <v>5</v>
      </c>
    </row>
    <row r="5" spans="1:23" ht="21" customHeight="1" x14ac:dyDescent="0.15">
      <c r="A5" s="2" t="str">
        <f ca="1">input_settle_555100!A$2</f>
        <v>555100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IFERROR(VLOOKUP(B5,input_settle_555100!L:R,7,FALSE),VLOOKUP(tables_settle_555100!C5,input_settle_555100!A:H,8,FALSE))</f>
        <v>0</v>
      </c>
      <c r="P5" s="46">
        <f t="shared" ca="1" si="1"/>
        <v>0</v>
      </c>
      <c r="Q5" s="30">
        <f t="shared" si="3"/>
        <v>60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  <c r="W5" s="30">
        <v>5</v>
      </c>
    </row>
    <row r="6" spans="1:23" ht="21" customHeight="1" x14ac:dyDescent="0.15">
      <c r="A6" s="2" t="str">
        <f ca="1">input_settle_555100!A$2</f>
        <v>555100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IFERROR(VLOOKUP(B6,input_settle_555100!L:R,7,FALSE),VLOOKUP(tables_settle_555100!C6,input_settle_555100!A:H,8,FALSE))</f>
        <v>0</v>
      </c>
      <c r="P6" s="46">
        <f t="shared" ca="1" si="1"/>
        <v>0</v>
      </c>
      <c r="Q6" s="30">
        <f t="shared" si="3"/>
        <v>40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  <c r="W6" s="30">
        <v>5</v>
      </c>
    </row>
    <row r="7" spans="1:23" ht="21" customHeight="1" x14ac:dyDescent="0.15">
      <c r="A7" s="2" t="str">
        <f ca="1">input_settle_555100!A$2</f>
        <v>555100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IFERROR(VLOOKUP(B7,input_settle_555100!L:R,7,FALSE),VLOOKUP(tables_settle_555100!C7,input_settle_555100!A:H,8,FALSE))</f>
        <v>0</v>
      </c>
      <c r="P7" s="46">
        <f t="shared" ca="1" si="1"/>
        <v>0</v>
      </c>
      <c r="Q7" s="30">
        <f t="shared" si="3"/>
        <v>60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  <c r="W7" s="30">
        <v>5</v>
      </c>
    </row>
    <row r="8" spans="1:23" ht="21" customHeight="1" x14ac:dyDescent="0.15">
      <c r="A8" s="2" t="str">
        <f ca="1">input_settle_555100!A$2</f>
        <v>555100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IFERROR(VLOOKUP(B8,input_settle_555100!L:R,7,FALSE),VLOOKUP(tables_settle_555100!C8,input_settle_555100!A:H,8,FALSE))</f>
        <v>0</v>
      </c>
      <c r="P8" s="46">
        <f t="shared" ca="1" si="1"/>
        <v>0</v>
      </c>
      <c r="Q8" s="30">
        <f t="shared" si="3"/>
        <v>40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  <c r="W8" s="30">
        <v>5</v>
      </c>
    </row>
    <row r="9" spans="1:23" ht="21" customHeight="1" x14ac:dyDescent="0.15">
      <c r="A9" s="2" t="str">
        <f ca="1">input_settle_555100!A$2</f>
        <v>555100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IFERROR(VLOOKUP(B9,input_settle_555100!L:R,7,FALSE),VLOOKUP(tables_settle_555100!C9,input_settle_555100!A:H,8,FALSE))</f>
        <v>0</v>
      </c>
      <c r="P9" s="46">
        <f t="shared" ca="1" si="1"/>
        <v>0</v>
      </c>
      <c r="Q9" s="30">
        <f t="shared" si="3"/>
        <v>60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  <c r="W9" s="30">
        <v>5</v>
      </c>
    </row>
    <row r="10" spans="1:23" ht="21" customHeight="1" x14ac:dyDescent="0.15">
      <c r="A10" s="2" t="str">
        <f ca="1">input_settle_555100!A$2</f>
        <v>555100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IFERROR(VLOOKUP(B10,input_settle_555100!L:R,7,FALSE),VLOOKUP(tables_settle_555100!C10,input_settle_555100!A:H,8,FALSE))</f>
        <v>0</v>
      </c>
      <c r="P10" s="46">
        <f t="shared" ca="1" si="1"/>
        <v>0</v>
      </c>
      <c r="Q10" s="30">
        <f t="shared" si="3"/>
        <v>40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  <c r="W10" s="30">
        <v>5</v>
      </c>
    </row>
    <row r="11" spans="1:23" ht="21" customHeight="1" x14ac:dyDescent="0.15">
      <c r="A11" s="2" t="str">
        <f ca="1">input_settle_555100!A$2</f>
        <v>555100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IFERROR(VLOOKUP(B11,input_settle_555100!L:R,7,FALSE),VLOOKUP(tables_settle_555100!C11,input_settle_555100!A:H,8,FALSE))</f>
        <v>0</v>
      </c>
      <c r="P11" s="46">
        <f t="shared" ca="1" si="1"/>
        <v>0</v>
      </c>
      <c r="Q11" s="30">
        <f t="shared" si="3"/>
        <v>60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  <c r="W11" s="30">
        <v>5</v>
      </c>
    </row>
    <row r="12" spans="1:23" ht="21" customHeight="1" x14ac:dyDescent="0.15">
      <c r="A12" s="2" t="str">
        <f ca="1">input_settle_555100!A$2</f>
        <v>555100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IFERROR(VLOOKUP(B12,input_settle_555100!L:R,7,FALSE),VLOOKUP(tables_settle_555100!C12,input_settle_555100!A:H,8,FALSE))</f>
        <v>0</v>
      </c>
      <c r="P12" s="46">
        <f t="shared" ca="1" si="1"/>
        <v>0</v>
      </c>
      <c r="Q12" s="30">
        <f t="shared" si="3"/>
        <v>40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  <c r="W12" s="30">
        <v>5</v>
      </c>
    </row>
    <row r="13" spans="1:23" ht="21" customHeight="1" x14ac:dyDescent="0.15">
      <c r="A13" s="2" t="str">
        <f ca="1">input_settle_555100!A$2</f>
        <v>555100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IFERROR(VLOOKUP(B13,input_settle_555100!L:R,7,FALSE),VLOOKUP(tables_settle_555100!C13,input_settle_555100!A:H,8,FALSE))</f>
        <v>0</v>
      </c>
      <c r="P13" s="46">
        <f t="shared" ca="1" si="1"/>
        <v>0</v>
      </c>
      <c r="Q13" s="30">
        <f t="shared" si="3"/>
        <v>60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  <c r="W13" s="30">
        <v>5</v>
      </c>
    </row>
    <row r="14" spans="1:23" ht="21" customHeight="1" x14ac:dyDescent="0.15">
      <c r="A14" s="2" t="str">
        <f ca="1">input_settle_555100!A$2</f>
        <v>555100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IFERROR(VLOOKUP(B14,input_settle_555100!L:R,7,FALSE),VLOOKUP(tables_settle_555100!C14,input_settle_555100!A:H,8,FALSE))</f>
        <v>0</v>
      </c>
      <c r="P14" s="46">
        <f t="shared" ca="1" si="1"/>
        <v>0</v>
      </c>
      <c r="Q14" s="30">
        <f t="shared" si="3"/>
        <v>40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  <c r="W14" s="30">
        <v>5</v>
      </c>
    </row>
    <row r="15" spans="1:23" ht="21" customHeight="1" x14ac:dyDescent="0.15">
      <c r="A15" s="2" t="str">
        <f ca="1">input_settle_555100!A$2</f>
        <v>555100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IFERROR(VLOOKUP(B15,input_settle_555100!L:R,7,FALSE),VLOOKUP(tables_settle_555100!C15,input_settle_555100!A:H,8,FALSE))</f>
        <v>0</v>
      </c>
      <c r="P15" s="46">
        <f t="shared" ca="1" si="1"/>
        <v>0</v>
      </c>
      <c r="Q15" s="30">
        <f t="shared" si="3"/>
        <v>60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  <c r="W15" s="30">
        <v>5</v>
      </c>
    </row>
    <row r="16" spans="1:23" ht="21" customHeight="1" x14ac:dyDescent="0.15">
      <c r="A16" s="2" t="str">
        <f ca="1">input_settle_555100!A$2</f>
        <v>555100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IFERROR(VLOOKUP(B16,input_settle_555100!L:R,7,FALSE),VLOOKUP(tables_settle_555100!C16,input_settle_555100!A:H,8,FALSE))</f>
        <v>0</v>
      </c>
      <c r="P16" s="46">
        <f t="shared" ca="1" si="1"/>
        <v>0</v>
      </c>
      <c r="Q16" s="30">
        <f t="shared" si="3"/>
        <v>40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  <c r="W16" s="30">
        <v>5</v>
      </c>
    </row>
    <row r="17" spans="1:23" ht="21" customHeight="1" x14ac:dyDescent="0.15">
      <c r="A17" s="2" t="str">
        <f ca="1">input_settle_555100!A$2</f>
        <v>555100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IFERROR(VLOOKUP(B17,input_settle_555100!L:R,7,FALSE),VLOOKUP(tables_settle_555100!C17,input_settle_555100!A:H,8,FALSE))</f>
        <v>0</v>
      </c>
      <c r="P17" s="46">
        <f t="shared" ca="1" si="1"/>
        <v>0</v>
      </c>
      <c r="Q17" s="30">
        <f t="shared" si="3"/>
        <v>60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  <c r="W17" s="30">
        <v>5</v>
      </c>
    </row>
    <row r="18" spans="1:23" ht="21" customHeight="1" x14ac:dyDescent="0.15">
      <c r="A18" s="2" t="str">
        <f ca="1">input_settle_555100!A$2</f>
        <v>555100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IFERROR(VLOOKUP(B18,input_settle_555100!L:R,7,FALSE),VLOOKUP(tables_settle_555100!C18,input_settle_555100!A:H,8,FALSE))</f>
        <v>0</v>
      </c>
      <c r="P18" s="46">
        <f t="shared" ca="1" si="1"/>
        <v>0</v>
      </c>
      <c r="Q18" s="30">
        <f t="shared" si="3"/>
        <v>40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  <c r="W18" s="30">
        <v>5</v>
      </c>
    </row>
    <row r="19" spans="1:23" s="12" customFormat="1" ht="21" customHeight="1" thickBot="1" x14ac:dyDescent="0.2">
      <c r="A19" s="2" t="str">
        <f ca="1">input_settle_555100!A$2</f>
        <v>555100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IFERROR(VLOOKUP(B19,input_settle_555100!L:R,7,FALSE),VLOOKUP(tables_settle_555100!C19,input_settle_555100!A:H,8,FALSE))</f>
        <v>0</v>
      </c>
      <c r="P19" s="46">
        <f t="shared" ca="1" si="1"/>
        <v>0</v>
      </c>
      <c r="Q19" s="30">
        <f t="shared" si="3"/>
        <v>60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  <c r="W19" s="30">
        <v>5</v>
      </c>
    </row>
    <row r="20" spans="1:23" ht="21" customHeight="1" x14ac:dyDescent="0.15">
      <c r="A20" s="2" t="str">
        <f ca="1">input_settle_555100!A$2</f>
        <v>555100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IFERROR(VLOOKUP(B20,input_settle_555100!L:R,7,FALSE),VLOOKUP(tables_settle_555100!C20,input_settle_555100!A:H,8,FALSE))</f>
        <v>0</v>
      </c>
      <c r="P20" s="46">
        <f t="shared" ca="1" si="1"/>
        <v>0</v>
      </c>
      <c r="Q20" s="30">
        <f t="shared" si="3"/>
        <v>40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  <c r="W20" s="30">
        <v>5</v>
      </c>
    </row>
    <row r="21" spans="1:23" ht="21" customHeight="1" x14ac:dyDescent="0.15">
      <c r="A21" s="2" t="str">
        <f ca="1">input_settle_555100!A$2</f>
        <v>555100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IFERROR(VLOOKUP(B21,input_settle_555100!L:R,7,FALSE),VLOOKUP(tables_settle_555100!C21,input_settle_555100!A:H,8,FALSE))</f>
        <v>0</v>
      </c>
      <c r="P21" s="46">
        <f t="shared" ca="1" si="1"/>
        <v>0</v>
      </c>
      <c r="Q21" s="30">
        <f t="shared" si="3"/>
        <v>60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  <c r="W21" s="30">
        <v>5</v>
      </c>
    </row>
    <row r="22" spans="1:23" ht="21" customHeight="1" x14ac:dyDescent="0.15">
      <c r="A22" s="2" t="str">
        <f ca="1">input_settle_555100!A$2</f>
        <v>555100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IFERROR(VLOOKUP(B22,input_settle_555100!L:R,7,FALSE),VLOOKUP(tables_settle_555100!C22,input_settle_555100!A:H,8,FALSE))</f>
        <v>0</v>
      </c>
      <c r="P22" s="46">
        <f t="shared" ca="1" si="1"/>
        <v>0</v>
      </c>
      <c r="Q22" s="30">
        <f t="shared" si="3"/>
        <v>40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  <c r="W22" s="30">
        <v>5</v>
      </c>
    </row>
    <row r="23" spans="1:23" ht="21" customHeight="1" x14ac:dyDescent="0.15">
      <c r="A23" s="2" t="str">
        <f ca="1">input_settle_555100!A$2</f>
        <v>555100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IFERROR(VLOOKUP(B23,input_settle_555100!L:R,7,FALSE),VLOOKUP(tables_settle_555100!C23,input_settle_555100!A:H,8,FALSE))</f>
        <v>0</v>
      </c>
      <c r="P23" s="46">
        <f t="shared" ca="1" si="1"/>
        <v>0</v>
      </c>
      <c r="Q23" s="30">
        <f t="shared" si="3"/>
        <v>60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  <c r="W23" s="30">
        <v>5</v>
      </c>
    </row>
    <row r="24" spans="1:23" ht="21" customHeight="1" x14ac:dyDescent="0.15">
      <c r="A24" s="2" t="str">
        <f ca="1">input_settle_555100!A$2</f>
        <v>555100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IFERROR(VLOOKUP(B24,input_settle_555100!L:R,7,FALSE),VLOOKUP(tables_settle_555100!C24,input_settle_555100!A:H,8,FALSE))</f>
        <v>0</v>
      </c>
      <c r="P24" s="46">
        <f t="shared" ca="1" si="1"/>
        <v>0</v>
      </c>
      <c r="Q24" s="30">
        <f t="shared" si="3"/>
        <v>40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  <c r="W24" s="30">
        <v>5</v>
      </c>
    </row>
    <row r="25" spans="1:23" ht="21" customHeight="1" x14ac:dyDescent="0.15">
      <c r="A25" s="2" t="str">
        <f ca="1">input_settle_555100!A$2</f>
        <v>555100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IFERROR(VLOOKUP(B25,input_settle_555100!L:R,7,FALSE),VLOOKUP(tables_settle_555100!C25,input_settle_555100!A:H,8,FALSE))</f>
        <v>0</v>
      </c>
      <c r="P25" s="46">
        <f t="shared" ca="1" si="1"/>
        <v>0</v>
      </c>
      <c r="Q25" s="30">
        <f t="shared" si="3"/>
        <v>60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  <c r="W25" s="30">
        <v>5</v>
      </c>
    </row>
    <row r="26" spans="1:23" ht="21" customHeight="1" x14ac:dyDescent="0.15">
      <c r="A26" s="2" t="str">
        <f ca="1">input_settle_555100!A$2</f>
        <v>555100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IFERROR(VLOOKUP(B26,input_settle_555100!L:R,7,FALSE),VLOOKUP(tables_settle_555100!C26,input_settle_555100!A:H,8,FALSE))</f>
        <v>0</v>
      </c>
      <c r="P26" s="46">
        <f t="shared" ca="1" si="1"/>
        <v>0</v>
      </c>
      <c r="Q26" s="30">
        <f t="shared" si="3"/>
        <v>40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  <c r="W26" s="30">
        <v>5</v>
      </c>
    </row>
    <row r="27" spans="1:23" ht="21" customHeight="1" x14ac:dyDescent="0.15">
      <c r="A27" s="2" t="str">
        <f ca="1">input_settle_555100!A$2</f>
        <v>555100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IFERROR(VLOOKUP(B27,input_settle_555100!L:R,7,FALSE),VLOOKUP(tables_settle_555100!C27,input_settle_555100!A:H,8,FALSE))</f>
        <v>0</v>
      </c>
      <c r="P27" s="46">
        <f t="shared" ca="1" si="1"/>
        <v>0</v>
      </c>
      <c r="Q27" s="30">
        <f t="shared" si="3"/>
        <v>60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  <c r="W27" s="30">
        <v>5</v>
      </c>
    </row>
    <row r="28" spans="1:23" ht="21" customHeight="1" x14ac:dyDescent="0.15">
      <c r="A28" s="2" t="str">
        <f ca="1">input_settle_555100!A$2</f>
        <v>555100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IFERROR(VLOOKUP(B28,input_settle_555100!L:R,7,FALSE),VLOOKUP(tables_settle_555100!C28,input_settle_555100!A:H,8,FALSE))</f>
        <v>0</v>
      </c>
      <c r="P28" s="46">
        <f t="shared" ca="1" si="1"/>
        <v>0</v>
      </c>
      <c r="Q28" s="30">
        <f t="shared" si="3"/>
        <v>40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  <c r="W28" s="30">
        <v>5</v>
      </c>
    </row>
    <row r="29" spans="1:23" ht="21" customHeight="1" x14ac:dyDescent="0.15">
      <c r="A29" s="2" t="str">
        <f ca="1">input_settle_555100!A$2</f>
        <v>555100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IFERROR(VLOOKUP(B29,input_settle_555100!L:R,7,FALSE),VLOOKUP(tables_settle_555100!C29,input_settle_555100!A:H,8,FALSE))</f>
        <v>0</v>
      </c>
      <c r="P29" s="46">
        <f t="shared" ca="1" si="1"/>
        <v>0</v>
      </c>
      <c r="Q29" s="30">
        <f t="shared" si="3"/>
        <v>60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  <c r="W29" s="30">
        <v>5</v>
      </c>
    </row>
    <row r="30" spans="1:23" ht="21" customHeight="1" x14ac:dyDescent="0.15">
      <c r="A30" s="2" t="str">
        <f ca="1">input_settle_555100!A$2</f>
        <v>555100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IFERROR(VLOOKUP(B30,input_settle_555100!L:R,7,FALSE),VLOOKUP(tables_settle_555100!C30,input_settle_555100!A:H,8,FALSE))</f>
        <v>0</v>
      </c>
      <c r="P30" s="46">
        <f t="shared" ca="1" si="1"/>
        <v>0</v>
      </c>
      <c r="Q30" s="30">
        <f t="shared" si="3"/>
        <v>40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  <c r="W30" s="30">
        <v>5</v>
      </c>
    </row>
    <row r="31" spans="1:23" ht="21" customHeight="1" x14ac:dyDescent="0.15">
      <c r="A31" s="2" t="str">
        <f ca="1">input_settle_555100!A$2</f>
        <v>555100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IFERROR(VLOOKUP(B31,input_settle_555100!L:R,7,FALSE),VLOOKUP(tables_settle_555100!C31,input_settle_555100!A:H,8,FALSE))</f>
        <v>0</v>
      </c>
      <c r="P31" s="46">
        <f t="shared" ca="1" si="1"/>
        <v>0</v>
      </c>
      <c r="Q31" s="30">
        <f t="shared" si="3"/>
        <v>60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  <c r="W31" s="30">
        <v>5</v>
      </c>
    </row>
    <row r="32" spans="1:23" ht="21" customHeight="1" x14ac:dyDescent="0.15">
      <c r="A32" s="2" t="str">
        <f ca="1">input_settle_555100!A$2</f>
        <v>555100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IFERROR(VLOOKUP(B32,input_settle_555100!L:R,7,FALSE),VLOOKUP(tables_settle_555100!C32,input_settle_555100!A:H,8,FALSE))</f>
        <v>0</v>
      </c>
      <c r="P32" s="46">
        <f t="shared" ca="1" si="1"/>
        <v>0</v>
      </c>
      <c r="Q32" s="30">
        <f t="shared" si="3"/>
        <v>40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  <c r="W32" s="30">
        <v>5</v>
      </c>
    </row>
    <row r="33" spans="1:23" ht="21" customHeight="1" x14ac:dyDescent="0.15">
      <c r="A33" s="2" t="str">
        <f ca="1">input_settle_555100!A$2</f>
        <v>555100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IFERROR(VLOOKUP(B33,input_settle_555100!L:R,7,FALSE),VLOOKUP(tables_settle_555100!C33,input_settle_555100!A:H,8,FALSE))</f>
        <v>0</v>
      </c>
      <c r="P33" s="46">
        <f t="shared" ca="1" si="1"/>
        <v>0</v>
      </c>
      <c r="Q33" s="30">
        <f t="shared" si="3"/>
        <v>60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  <c r="W33" s="30">
        <v>5</v>
      </c>
    </row>
    <row r="34" spans="1:23" ht="21" customHeight="1" x14ac:dyDescent="0.15">
      <c r="A34" s="2" t="str">
        <f ca="1">input_settle_555100!A$2</f>
        <v>555100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IFERROR(VLOOKUP(B34,input_settle_555100!L:R,7,FALSE),VLOOKUP(tables_settle_555100!C34,input_settle_555100!A:H,8,FALSE))</f>
        <v>0</v>
      </c>
      <c r="P34" s="46">
        <f t="shared" ca="1" si="1"/>
        <v>0</v>
      </c>
      <c r="Q34" s="30">
        <f t="shared" si="3"/>
        <v>40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  <c r="W34" s="30">
        <v>5</v>
      </c>
    </row>
    <row r="35" spans="1:23" ht="21" customHeight="1" x14ac:dyDescent="0.15">
      <c r="A35" s="2" t="str">
        <f ca="1">input_settle_555100!A$2</f>
        <v>555100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IFERROR(VLOOKUP(B35,input_settle_555100!L:R,7,FALSE),VLOOKUP(tables_settle_555100!C35,input_settle_555100!A:H,8,FALSE))</f>
        <v>0</v>
      </c>
      <c r="P35" s="46">
        <f t="shared" ca="1" si="1"/>
        <v>0</v>
      </c>
      <c r="Q35" s="30">
        <f t="shared" si="3"/>
        <v>60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  <c r="W35" s="30">
        <v>5</v>
      </c>
    </row>
    <row r="36" spans="1:23" ht="21" customHeight="1" x14ac:dyDescent="0.15">
      <c r="A36" s="2" t="str">
        <f ca="1">input_settle_555100!A$2</f>
        <v>555100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IFERROR(VLOOKUP(B36,input_settle_555100!L:R,7,FALSE),VLOOKUP(tables_settle_555100!C36,input_settle_555100!A:H,8,FALSE))</f>
        <v>0</v>
      </c>
      <c r="P36" s="46">
        <f t="shared" ca="1" si="1"/>
        <v>0</v>
      </c>
      <c r="Q36" s="30">
        <f t="shared" si="3"/>
        <v>40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  <c r="W36" s="30">
        <v>5</v>
      </c>
    </row>
    <row r="37" spans="1:23" ht="21" customHeight="1" x14ac:dyDescent="0.15">
      <c r="A37" s="2" t="str">
        <f ca="1">input_settle_555100!A$2</f>
        <v>555100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IFERROR(VLOOKUP(B37,input_settle_555100!L:R,7,FALSE),VLOOKUP(tables_settle_555100!C37,input_settle_555100!A:H,8,FALSE))</f>
        <v>0</v>
      </c>
      <c r="P37" s="46">
        <f t="shared" ca="1" si="1"/>
        <v>0</v>
      </c>
      <c r="Q37" s="30">
        <f t="shared" si="3"/>
        <v>60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  <c r="W37" s="30">
        <v>5</v>
      </c>
    </row>
    <row r="38" spans="1:23" ht="21" customHeight="1" x14ac:dyDescent="0.15">
      <c r="A38" s="2" t="str">
        <f ca="1">input_settle_555100!A$2</f>
        <v>555100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IFERROR(VLOOKUP(B38,input_settle_555100!L:R,7,FALSE),VLOOKUP(tables_settle_555100!C38,input_settle_555100!A:H,8,FALSE))</f>
        <v>0</v>
      </c>
      <c r="P38" s="46">
        <f t="shared" ca="1" si="1"/>
        <v>0</v>
      </c>
      <c r="Q38" s="30">
        <f t="shared" si="3"/>
        <v>40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  <c r="W38" s="30">
        <v>5</v>
      </c>
    </row>
    <row r="39" spans="1:23" ht="21" customHeight="1" x14ac:dyDescent="0.15">
      <c r="A39" s="2" t="str">
        <f ca="1">input_settle_555100!A$2</f>
        <v>555100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IFERROR(VLOOKUP(B39,input_settle_555100!L:R,7,FALSE),VLOOKUP(tables_settle_555100!C39,input_settle_555100!A:H,8,FALSE))</f>
        <v>0</v>
      </c>
      <c r="P39" s="46">
        <f t="shared" ca="1" si="1"/>
        <v>0</v>
      </c>
      <c r="Q39" s="30">
        <f t="shared" si="3"/>
        <v>60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  <c r="W39" s="30">
        <v>5</v>
      </c>
    </row>
    <row r="40" spans="1:23" ht="21" customHeight="1" x14ac:dyDescent="0.15">
      <c r="A40" s="2" t="str">
        <f ca="1">input_settle_555100!A$2</f>
        <v>555100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IFERROR(VLOOKUP(B40,input_settle_555100!L:R,7,FALSE),VLOOKUP(tables_settle_555100!C40,input_settle_555100!A:H,8,FALSE))</f>
        <v>0</v>
      </c>
      <c r="P40" s="46">
        <f t="shared" ca="1" si="1"/>
        <v>0</v>
      </c>
      <c r="Q40" s="30">
        <f t="shared" si="3"/>
        <v>40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  <c r="W40" s="30">
        <v>5</v>
      </c>
    </row>
    <row r="41" spans="1:23" ht="21" customHeight="1" x14ac:dyDescent="0.15">
      <c r="A41" s="2" t="str">
        <f ca="1">input_settle_555100!A$2</f>
        <v>555100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IFERROR(VLOOKUP(B41,input_settle_555100!L:R,7,FALSE),VLOOKUP(tables_settle_555100!C41,input_settle_555100!A:H,8,FALSE))</f>
        <v>0</v>
      </c>
      <c r="P41" s="46">
        <f t="shared" ca="1" si="1"/>
        <v>0</v>
      </c>
      <c r="Q41" s="30">
        <f t="shared" si="3"/>
        <v>60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  <c r="W41" s="30">
        <v>5</v>
      </c>
    </row>
    <row r="42" spans="1:23" ht="21" customHeight="1" x14ac:dyDescent="0.15">
      <c r="A42" s="2" t="str">
        <f ca="1">input_settle_555100!A$2</f>
        <v>555100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IFERROR(VLOOKUP(B42,input_settle_555100!L:R,7,FALSE),VLOOKUP(tables_settle_555100!C42,input_settle_555100!A:H,8,FALSE))</f>
        <v>0</v>
      </c>
      <c r="P42" s="46">
        <f t="shared" ca="1" si="1"/>
        <v>0</v>
      </c>
      <c r="Q42" s="30">
        <f t="shared" si="3"/>
        <v>40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  <c r="W42" s="30">
        <v>5</v>
      </c>
    </row>
    <row r="43" spans="1:23" ht="21" customHeight="1" x14ac:dyDescent="0.15">
      <c r="A43" s="2" t="str">
        <f ca="1">input_settle_555100!A$2</f>
        <v>555100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IFERROR(VLOOKUP(B43,input_settle_555100!L:R,7,FALSE),VLOOKUP(tables_settle_555100!C43,input_settle_555100!A:H,8,FALSE))</f>
        <v>0</v>
      </c>
      <c r="P43" s="46">
        <f t="shared" ca="1" si="1"/>
        <v>0</v>
      </c>
      <c r="Q43" s="30">
        <f t="shared" si="3"/>
        <v>60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  <c r="W43" s="30">
        <v>5</v>
      </c>
    </row>
    <row r="44" spans="1:23" ht="21" customHeight="1" x14ac:dyDescent="0.15">
      <c r="A44" s="2" t="str">
        <f ca="1">input_settle_555100!A$2</f>
        <v>555100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IFERROR(VLOOKUP(B44,input_settle_555100!L:R,7,FALSE),VLOOKUP(tables_settle_555100!C44,input_settle_555100!A:H,8,FALSE))</f>
        <v>57000</v>
      </c>
      <c r="P44" s="46">
        <f t="shared" ca="1" si="1"/>
        <v>9.8958333329897327E-3</v>
      </c>
      <c r="Q44" s="30">
        <f t="shared" si="3"/>
        <v>80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  <c r="W44" s="30">
        <v>5</v>
      </c>
    </row>
    <row r="45" spans="1:23" ht="21" customHeight="1" x14ac:dyDescent="0.15">
      <c r="A45" s="2" t="str">
        <f ca="1">input_settle_555100!A$2</f>
        <v>555100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IFERROR(VLOOKUP(B45,input_settle_555100!L:R,7,FALSE),VLOOKUP(tables_settle_555100!C45,input_settle_555100!A:H,8,FALSE))</f>
        <v>0</v>
      </c>
      <c r="P45" s="46">
        <f t="shared" ca="1" si="1"/>
        <v>0</v>
      </c>
      <c r="Q45" s="30">
        <f t="shared" si="3"/>
        <v>40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  <c r="W45" s="30">
        <v>5</v>
      </c>
    </row>
    <row r="46" spans="1:23" ht="21" customHeight="1" x14ac:dyDescent="0.15">
      <c r="A46" s="2" t="str">
        <f ca="1">input_settle_555100!A$2</f>
        <v>555100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IFERROR(VLOOKUP(B46,input_settle_555100!L:R,7,FALSE),VLOOKUP(tables_settle_555100!C46,input_settle_555100!A:H,8,FALSE))</f>
        <v>0</v>
      </c>
      <c r="P46" s="46">
        <f t="shared" ca="1" si="1"/>
        <v>0</v>
      </c>
      <c r="Q46" s="30">
        <f t="shared" si="3"/>
        <v>60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  <c r="W46" s="30">
        <v>5</v>
      </c>
    </row>
    <row r="47" spans="1:23" ht="21" customHeight="1" x14ac:dyDescent="0.15">
      <c r="A47" s="2" t="str">
        <f ca="1">input_settle_555100!A$2</f>
        <v>555100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IFERROR(VLOOKUP(B47,input_settle_555100!L:R,7,FALSE),VLOOKUP(tables_settle_555100!C47,input_settle_555100!A:H,8,FALSE))</f>
        <v>57000</v>
      </c>
      <c r="P47" s="46">
        <f t="shared" ca="1" si="1"/>
        <v>9.8958333329897327E-3</v>
      </c>
      <c r="Q47" s="30">
        <f t="shared" si="3"/>
        <v>80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  <c r="W47" s="30">
        <v>5</v>
      </c>
    </row>
    <row r="48" spans="1:23" ht="21" customHeight="1" x14ac:dyDescent="0.15">
      <c r="A48" s="2" t="str">
        <f ca="1">input_settle_555100!A$2</f>
        <v>555100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IFERROR(VLOOKUP(B48,input_settle_555100!L:R,7,FALSE),VLOOKUP(tables_settle_555100!C48,input_settle_555100!A:H,8,FALSE))</f>
        <v>0</v>
      </c>
      <c r="P48" s="46">
        <f t="shared" ca="1" si="1"/>
        <v>0</v>
      </c>
      <c r="Q48" s="30">
        <f t="shared" si="3"/>
        <v>40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  <c r="W48" s="30">
        <v>5</v>
      </c>
    </row>
    <row r="49" spans="1:23" ht="21" customHeight="1" x14ac:dyDescent="0.15">
      <c r="A49" s="2" t="str">
        <f ca="1">input_settle_555100!A$2</f>
        <v>555100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IFERROR(VLOOKUP(B49,input_settle_555100!L:R,7,FALSE),VLOOKUP(tables_settle_555100!C49,input_settle_555100!A:H,8,FALSE))</f>
        <v>0</v>
      </c>
      <c r="P49" s="46">
        <f t="shared" ca="1" si="1"/>
        <v>0</v>
      </c>
      <c r="Q49" s="30">
        <f t="shared" si="3"/>
        <v>60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  <c r="W49" s="30">
        <v>5</v>
      </c>
    </row>
    <row r="50" spans="1:23" ht="21" customHeight="1" x14ac:dyDescent="0.15">
      <c r="A50" s="2" t="str">
        <f ca="1">input_settle_555100!A$2</f>
        <v>555100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IFERROR(VLOOKUP(B50,input_settle_555100!L:R,7,FALSE),VLOOKUP(tables_settle_555100!C50,input_settle_555100!A:H,8,FALSE))</f>
        <v>57000</v>
      </c>
      <c r="P50" s="46">
        <f t="shared" ca="1" si="1"/>
        <v>9.8958333329897327E-3</v>
      </c>
      <c r="Q50" s="30">
        <f t="shared" si="3"/>
        <v>80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  <c r="W50" s="30">
        <v>5</v>
      </c>
    </row>
    <row r="51" spans="1:23" ht="21" customHeight="1" x14ac:dyDescent="0.15">
      <c r="A51" s="2" t="str">
        <f ca="1">input_settle_555100!A$2</f>
        <v>555100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IFERROR(VLOOKUP(B51,input_settle_555100!L:R,7,FALSE),VLOOKUP(tables_settle_555100!C51,input_settle_555100!A:H,8,FALSE))</f>
        <v>0</v>
      </c>
      <c r="P51" s="46">
        <f t="shared" ca="1" si="1"/>
        <v>0</v>
      </c>
      <c r="Q51" s="30">
        <f t="shared" si="3"/>
        <v>40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  <c r="W51" s="102">
        <v>4</v>
      </c>
    </row>
    <row r="52" spans="1:23" ht="21" customHeight="1" x14ac:dyDescent="0.15">
      <c r="A52" s="2" t="str">
        <f ca="1">input_settle_555100!A$2</f>
        <v>555100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IFERROR(VLOOKUP(B52,input_settle_555100!L:R,7,FALSE),VLOOKUP(tables_settle_555100!C52,input_settle_555100!A:H,8,FALSE))</f>
        <v>0</v>
      </c>
      <c r="P52" s="46">
        <f t="shared" ca="1" si="1"/>
        <v>0</v>
      </c>
      <c r="Q52" s="30">
        <f t="shared" si="3"/>
        <v>60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  <c r="W52" s="102">
        <v>4</v>
      </c>
    </row>
    <row r="53" spans="1:23" ht="21" customHeight="1" x14ac:dyDescent="0.15">
      <c r="A53" s="2" t="str">
        <f ca="1">input_settle_555100!A$2</f>
        <v>555100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IFERROR(VLOOKUP(B53,input_settle_555100!L:R,7,FALSE),VLOOKUP(tables_settle_555100!C53,input_settle_555100!A:H,8,FALSE))</f>
        <v>72346.153850000002</v>
      </c>
      <c r="P53" s="46">
        <f t="shared" ca="1" si="1"/>
        <v>1.2560096154077782E-2</v>
      </c>
      <c r="Q53" s="30">
        <f t="shared" si="3"/>
        <v>80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  <c r="W53" s="102">
        <v>4</v>
      </c>
    </row>
    <row r="54" spans="1:23" ht="21" customHeight="1" x14ac:dyDescent="0.15">
      <c r="A54" s="2" t="str">
        <f ca="1">input_settle_555100!A$2</f>
        <v>555100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IFERROR(VLOOKUP(B54,input_settle_555100!L:R,7,FALSE),VLOOKUP(tables_settle_555100!C54,input_settle_555100!A:H,8,FALSE))</f>
        <v>0</v>
      </c>
      <c r="P54" s="46">
        <f t="shared" ca="1" si="1"/>
        <v>0</v>
      </c>
      <c r="Q54" s="30">
        <f t="shared" si="3"/>
        <v>40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  <c r="W54" s="30">
        <v>5</v>
      </c>
    </row>
    <row r="55" spans="1:23" ht="21" customHeight="1" x14ac:dyDescent="0.15">
      <c r="A55" s="2" t="str">
        <f ca="1">input_settle_555100!A$2</f>
        <v>555100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IFERROR(VLOOKUP(B55,input_settle_555100!L:R,7,FALSE),VLOOKUP(tables_settle_555100!C55,input_settle_555100!A:H,8,FALSE))</f>
        <v>0</v>
      </c>
      <c r="P55" s="46">
        <f t="shared" ca="1" si="1"/>
        <v>0</v>
      </c>
      <c r="Q55" s="30">
        <f t="shared" si="3"/>
        <v>60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  <c r="W55" s="30">
        <v>5</v>
      </c>
    </row>
    <row r="56" spans="1:23" ht="21" customHeight="1" x14ac:dyDescent="0.15">
      <c r="A56" s="2" t="str">
        <f ca="1">input_settle_555100!A$2</f>
        <v>555100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IFERROR(VLOOKUP(B56,input_settle_555100!L:R,7,FALSE),VLOOKUP(tables_settle_555100!C56,input_settle_555100!A:H,8,FALSE))</f>
        <v>72346.153850000002</v>
      </c>
      <c r="P56" s="46">
        <f t="shared" ca="1" si="1"/>
        <v>1.2560096154077782E-2</v>
      </c>
      <c r="Q56" s="30">
        <f t="shared" si="3"/>
        <v>80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  <c r="W56" s="30">
        <v>5</v>
      </c>
    </row>
    <row r="57" spans="1:23" ht="21" customHeight="1" x14ac:dyDescent="0.15">
      <c r="A57" s="2" t="str">
        <f ca="1">input_settle_555100!A$2</f>
        <v>555100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IFERROR(VLOOKUP(B57,input_settle_555100!L:R,7,FALSE),VLOOKUP(tables_settle_555100!C57,input_settle_555100!A:H,8,FALSE))</f>
        <v>0</v>
      </c>
      <c r="P57" s="46">
        <f t="shared" ca="1" si="1"/>
        <v>0</v>
      </c>
      <c r="Q57" s="30">
        <f t="shared" si="3"/>
        <v>40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  <c r="W57" s="30">
        <v>5</v>
      </c>
    </row>
    <row r="58" spans="1:23" ht="21" customHeight="1" x14ac:dyDescent="0.15">
      <c r="A58" s="2" t="str">
        <f ca="1">input_settle_555100!A$2</f>
        <v>555100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IFERROR(VLOOKUP(B58,input_settle_555100!L:R,7,FALSE),VLOOKUP(tables_settle_555100!C58,input_settle_555100!A:H,8,FALSE))</f>
        <v>0</v>
      </c>
      <c r="P58" s="46">
        <f t="shared" ca="1" si="1"/>
        <v>0</v>
      </c>
      <c r="Q58" s="30">
        <f t="shared" si="3"/>
        <v>60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  <c r="W58" s="30">
        <v>5</v>
      </c>
    </row>
    <row r="59" spans="1:23" ht="21" customHeight="1" x14ac:dyDescent="0.15">
      <c r="A59" s="2" t="str">
        <f ca="1">input_settle_555100!A$2</f>
        <v>555100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IFERROR(VLOOKUP(B59,input_settle_555100!L:R,7,FALSE),VLOOKUP(tables_settle_555100!C59,input_settle_555100!A:H,8,FALSE))</f>
        <v>72346.153850000002</v>
      </c>
      <c r="P59" s="46">
        <f t="shared" ca="1" si="1"/>
        <v>1.2560096154077782E-2</v>
      </c>
      <c r="Q59" s="30">
        <f t="shared" si="3"/>
        <v>80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  <c r="W59" s="30">
        <v>5</v>
      </c>
    </row>
    <row r="60" spans="1:23" ht="21" customHeight="1" x14ac:dyDescent="0.15">
      <c r="A60" s="2" t="str">
        <f ca="1">input_settle_555100!A$2</f>
        <v>555100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IFERROR(VLOOKUP(B60,input_settle_555100!L:R,7,FALSE),VLOOKUP(tables_settle_555100!C60,input_settle_555100!A:H,8,FALSE))</f>
        <v>0</v>
      </c>
      <c r="P60" s="46">
        <f t="shared" ca="1" si="1"/>
        <v>0</v>
      </c>
      <c r="Q60" s="30">
        <f t="shared" si="3"/>
        <v>40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  <c r="W60" s="30">
        <v>5</v>
      </c>
    </row>
    <row r="61" spans="1:23" ht="21" customHeight="1" x14ac:dyDescent="0.15">
      <c r="A61" s="2" t="str">
        <f ca="1">input_settle_555100!A$2</f>
        <v>555100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IFERROR(VLOOKUP(B61,input_settle_555100!L:R,7,FALSE),VLOOKUP(tables_settle_555100!C61,input_settle_555100!A:H,8,FALSE))</f>
        <v>0</v>
      </c>
      <c r="P61" s="46">
        <f t="shared" ca="1" si="1"/>
        <v>0</v>
      </c>
      <c r="Q61" s="30">
        <f t="shared" si="3"/>
        <v>60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  <c r="W61" s="30">
        <v>5</v>
      </c>
    </row>
    <row r="62" spans="1:23" ht="21" customHeight="1" x14ac:dyDescent="0.15">
      <c r="A62" s="2" t="str">
        <f ca="1">input_settle_555100!A$2</f>
        <v>555100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IFERROR(VLOOKUP(B62,input_settle_555100!L:R,7,FALSE),VLOOKUP(tables_settle_555100!C62,input_settle_555100!A:H,8,FALSE))</f>
        <v>72346.153850000002</v>
      </c>
      <c r="P62" s="46">
        <f t="shared" ca="1" si="1"/>
        <v>1.2560096154077782E-2</v>
      </c>
      <c r="Q62" s="30">
        <f t="shared" si="3"/>
        <v>80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  <c r="W62" s="30">
        <v>5</v>
      </c>
    </row>
    <row r="63" spans="1:23" ht="21" customHeight="1" x14ac:dyDescent="0.15">
      <c r="A63" s="2" t="str">
        <f ca="1">input_settle_555100!A$2</f>
        <v>555100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IFERROR(VLOOKUP(B63,input_settle_555100!L:R,7,FALSE),VLOOKUP(tables_settle_555100!C63,input_settle_555100!A:H,8,FALSE))</f>
        <v>0</v>
      </c>
      <c r="P63" s="46">
        <f t="shared" ca="1" si="1"/>
        <v>0</v>
      </c>
      <c r="Q63" s="30">
        <f t="shared" si="3"/>
        <v>40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  <c r="W63" s="30">
        <v>5</v>
      </c>
    </row>
    <row r="64" spans="1:23" ht="21" customHeight="1" x14ac:dyDescent="0.15">
      <c r="A64" s="2" t="str">
        <f ca="1">input_settle_555100!A$2</f>
        <v>555100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IFERROR(VLOOKUP(B64,input_settle_555100!L:R,7,FALSE),VLOOKUP(tables_settle_555100!C64,input_settle_555100!A:H,8,FALSE))</f>
        <v>0</v>
      </c>
      <c r="P64" s="46">
        <f t="shared" ca="1" si="1"/>
        <v>0</v>
      </c>
      <c r="Q64" s="30">
        <f t="shared" si="3"/>
        <v>60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  <c r="W64" s="30">
        <v>5</v>
      </c>
    </row>
    <row r="65" spans="1:23" ht="21" customHeight="1" x14ac:dyDescent="0.15">
      <c r="A65" s="2" t="str">
        <f ca="1">input_settle_555100!A$2</f>
        <v>555100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IFERROR(VLOOKUP(B65,input_settle_555100!L:R,7,FALSE),VLOOKUP(tables_settle_555100!C65,input_settle_555100!A:H,8,FALSE))</f>
        <v>72346.153850000002</v>
      </c>
      <c r="P65" s="46">
        <f t="shared" ca="1" si="1"/>
        <v>1.2560096154077782E-2</v>
      </c>
      <c r="Q65" s="30">
        <f t="shared" si="3"/>
        <v>80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  <c r="W65" s="30">
        <v>5</v>
      </c>
    </row>
    <row r="66" spans="1:23" s="9" customFormat="1" ht="21" customHeight="1" thickBot="1" x14ac:dyDescent="0.2">
      <c r="A66" s="2" t="str">
        <f ca="1">input_settle_555100!A$2</f>
        <v>555100</v>
      </c>
      <c r="B66" s="6">
        <v>190</v>
      </c>
      <c r="C66" s="7" t="str">
        <f t="shared" ref="C66:C129" si="4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IFERROR(VLOOKUP(B66,input_settle_555100!L:R,7,FALSE),VLOOKUP(tables_settle_555100!C66,input_settle_555100!A:H,8,FALSE))</f>
        <v>0</v>
      </c>
      <c r="P66" s="46">
        <f t="shared" ref="P66:P129" ca="1" si="5">O66/SUM(O:O)</f>
        <v>0</v>
      </c>
      <c r="Q66" s="30">
        <f t="shared" si="3"/>
        <v>40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  <c r="W66" s="30">
        <v>5</v>
      </c>
    </row>
    <row r="67" spans="1:23" ht="21" customHeight="1" x14ac:dyDescent="0.15">
      <c r="A67" s="2" t="str">
        <f ca="1">input_settle_555100!A$2</f>
        <v>555100</v>
      </c>
      <c r="B67" s="6">
        <v>191</v>
      </c>
      <c r="C67" s="7" t="str">
        <f t="shared" si="4"/>
        <v>Premium4</v>
      </c>
      <c r="D67" s="7" t="str">
        <f t="shared" ref="D67:D130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IFERROR(VLOOKUP(B67,input_settle_555100!L:R,7,FALSE),VLOOKUP(tables_settle_555100!C67,input_settle_555100!A:H,8,FALSE))</f>
        <v>0</v>
      </c>
      <c r="P67" s="46">
        <f t="shared" ca="1" si="5"/>
        <v>0</v>
      </c>
      <c r="Q67" s="30">
        <f t="shared" ref="Q67:Q130" si="7">IF(J67=3,40,IF(J67=4,60,IF(J67=5,80,"ERROR")))</f>
        <v>60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  <c r="W67" s="30">
        <v>5</v>
      </c>
    </row>
    <row r="68" spans="1:23" ht="21" customHeight="1" x14ac:dyDescent="0.15">
      <c r="A68" s="2" t="str">
        <f ca="1">input_settle_555100!A$2</f>
        <v>555100</v>
      </c>
      <c r="B68" s="6">
        <v>192</v>
      </c>
      <c r="C68" s="7" t="str">
        <f t="shared" si="4"/>
        <v>Premium5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IFERROR(VLOOKUP(B68,input_settle_555100!L:R,7,FALSE),VLOOKUP(tables_settle_555100!C68,input_settle_555100!A:H,8,FALSE))</f>
        <v>72346.153850000002</v>
      </c>
      <c r="P68" s="46">
        <f t="shared" ca="1" si="5"/>
        <v>1.2560096154077782E-2</v>
      </c>
      <c r="Q68" s="30">
        <f t="shared" si="7"/>
        <v>80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  <c r="W68" s="30">
        <v>5</v>
      </c>
    </row>
    <row r="69" spans="1:23" ht="21" customHeight="1" x14ac:dyDescent="0.15">
      <c r="A69" s="2" t="str">
        <f ca="1">input_settle_555100!A$2</f>
        <v>555100</v>
      </c>
      <c r="B69" s="6">
        <v>193</v>
      </c>
      <c r="C69" s="7" t="str">
        <f t="shared" si="4"/>
        <v>Premium3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IFERROR(VLOOKUP(B69,input_settle_555100!L:R,7,FALSE),VLOOKUP(tables_settle_555100!C69,input_settle_555100!A:H,8,FALSE))</f>
        <v>0</v>
      </c>
      <c r="P69" s="46">
        <f t="shared" ca="1" si="5"/>
        <v>0</v>
      </c>
      <c r="Q69" s="30">
        <f t="shared" si="7"/>
        <v>40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  <c r="W69" s="30">
        <v>5</v>
      </c>
    </row>
    <row r="70" spans="1:23" ht="21" customHeight="1" x14ac:dyDescent="0.15">
      <c r="A70" s="2" t="str">
        <f ca="1">input_settle_555100!A$2</f>
        <v>555100</v>
      </c>
      <c r="B70" s="10">
        <v>194</v>
      </c>
      <c r="C70" s="7" t="str">
        <f t="shared" si="4"/>
        <v>Premium4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IFERROR(VLOOKUP(B70,input_settle_555100!L:R,7,FALSE),VLOOKUP(tables_settle_555100!C70,input_settle_555100!A:H,8,FALSE))</f>
        <v>0</v>
      </c>
      <c r="P70" s="46">
        <f t="shared" ca="1" si="5"/>
        <v>0</v>
      </c>
      <c r="Q70" s="30">
        <f t="shared" si="7"/>
        <v>60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  <c r="W70" s="30">
        <v>5</v>
      </c>
    </row>
    <row r="71" spans="1:23" ht="21" customHeight="1" x14ac:dyDescent="0.15">
      <c r="A71" s="2" t="str">
        <f ca="1">input_settle_555100!A$2</f>
        <v>555100</v>
      </c>
      <c r="B71" s="6">
        <v>195</v>
      </c>
      <c r="C71" s="7" t="str">
        <f t="shared" si="4"/>
        <v>Premium5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IFERROR(VLOOKUP(B71,input_settle_555100!L:R,7,FALSE),VLOOKUP(tables_settle_555100!C71,input_settle_555100!A:H,8,FALSE))</f>
        <v>72346.153850000002</v>
      </c>
      <c r="P71" s="46">
        <f t="shared" ca="1" si="5"/>
        <v>1.2560096154077782E-2</v>
      </c>
      <c r="Q71" s="30">
        <f t="shared" si="7"/>
        <v>80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  <c r="W71" s="30">
        <v>5</v>
      </c>
    </row>
    <row r="72" spans="1:23" ht="21" customHeight="1" x14ac:dyDescent="0.15">
      <c r="A72" s="2" t="str">
        <f ca="1">input_settle_555100!A$2</f>
        <v>555100</v>
      </c>
      <c r="B72" s="10">
        <v>196</v>
      </c>
      <c r="C72" s="7" t="str">
        <f t="shared" si="4"/>
        <v>Premium3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IFERROR(VLOOKUP(B72,input_settle_555100!L:R,7,FALSE),VLOOKUP(tables_settle_555100!C72,input_settle_555100!A:H,8,FALSE))</f>
        <v>0</v>
      </c>
      <c r="P72" s="46">
        <f t="shared" ca="1" si="5"/>
        <v>0</v>
      </c>
      <c r="Q72" s="30">
        <f t="shared" si="7"/>
        <v>40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  <c r="W72" s="30">
        <v>5</v>
      </c>
    </row>
    <row r="73" spans="1:23" ht="21" customHeight="1" x14ac:dyDescent="0.15">
      <c r="A73" s="2" t="str">
        <f ca="1">input_settle_555100!A$2</f>
        <v>555100</v>
      </c>
      <c r="B73" s="11">
        <v>197</v>
      </c>
      <c r="C73" s="7" t="str">
        <f t="shared" si="4"/>
        <v>Premium4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IFERROR(VLOOKUP(B73,input_settle_555100!L:R,7,FALSE),VLOOKUP(tables_settle_555100!C73,input_settle_555100!A:H,8,FALSE))</f>
        <v>0</v>
      </c>
      <c r="P73" s="46">
        <f t="shared" ca="1" si="5"/>
        <v>0</v>
      </c>
      <c r="Q73" s="30">
        <f t="shared" si="7"/>
        <v>60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  <c r="W73" s="30">
        <v>5</v>
      </c>
    </row>
    <row r="74" spans="1:23" ht="21" customHeight="1" x14ac:dyDescent="0.15">
      <c r="A74" s="2" t="str">
        <f ca="1">input_settle_555100!A$2</f>
        <v>555100</v>
      </c>
      <c r="B74" s="6">
        <v>198</v>
      </c>
      <c r="C74" s="7" t="str">
        <f t="shared" si="4"/>
        <v>Premium5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IFERROR(VLOOKUP(B74,input_settle_555100!L:R,7,FALSE),VLOOKUP(tables_settle_555100!C74,input_settle_555100!A:H,8,FALSE))</f>
        <v>72346.153850000002</v>
      </c>
      <c r="P74" s="46">
        <f t="shared" ca="1" si="5"/>
        <v>1.2560096154077782E-2</v>
      </c>
      <c r="Q74" s="30">
        <f t="shared" si="7"/>
        <v>80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  <c r="W74" s="30">
        <v>5</v>
      </c>
    </row>
    <row r="75" spans="1:23" ht="21" customHeight="1" x14ac:dyDescent="0.15">
      <c r="A75" s="2" t="str">
        <f ca="1">input_settle_555100!A$2</f>
        <v>555100</v>
      </c>
      <c r="B75" s="6">
        <v>199</v>
      </c>
      <c r="C75" s="7" t="str">
        <f t="shared" si="4"/>
        <v>Premium3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IFERROR(VLOOKUP(B75,input_settle_555100!L:R,7,FALSE),VLOOKUP(tables_settle_555100!C75,input_settle_555100!A:H,8,FALSE))</f>
        <v>0</v>
      </c>
      <c r="P75" s="46">
        <f t="shared" ca="1" si="5"/>
        <v>0</v>
      </c>
      <c r="Q75" s="30">
        <f t="shared" si="7"/>
        <v>40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  <c r="W75" s="30">
        <v>5</v>
      </c>
    </row>
    <row r="76" spans="1:23" ht="21" customHeight="1" x14ac:dyDescent="0.15">
      <c r="A76" s="2" t="str">
        <f ca="1">input_settle_555100!A$2</f>
        <v>555100</v>
      </c>
      <c r="B76" s="6">
        <v>200</v>
      </c>
      <c r="C76" s="7" t="str">
        <f t="shared" si="4"/>
        <v>Premium4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IFERROR(VLOOKUP(B76,input_settle_555100!L:R,7,FALSE),VLOOKUP(tables_settle_555100!C76,input_settle_555100!A:H,8,FALSE))</f>
        <v>0</v>
      </c>
      <c r="P76" s="46">
        <f t="shared" ca="1" si="5"/>
        <v>0</v>
      </c>
      <c r="Q76" s="30">
        <f t="shared" si="7"/>
        <v>60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  <c r="W76" s="30">
        <v>5</v>
      </c>
    </row>
    <row r="77" spans="1:23" ht="21" customHeight="1" x14ac:dyDescent="0.15">
      <c r="A77" s="2" t="str">
        <f ca="1">input_settle_555100!A$2</f>
        <v>555100</v>
      </c>
      <c r="B77" s="5">
        <v>201</v>
      </c>
      <c r="C77" s="7" t="str">
        <f t="shared" si="4"/>
        <v>Premium5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IFERROR(VLOOKUP(B77,input_settle_555100!L:R,7,FALSE),VLOOKUP(tables_settle_555100!C77,input_settle_555100!A:H,8,FALSE))</f>
        <v>72346.153850000002</v>
      </c>
      <c r="P77" s="46">
        <f t="shared" ca="1" si="5"/>
        <v>1.2560096154077782E-2</v>
      </c>
      <c r="Q77" s="30">
        <f t="shared" si="7"/>
        <v>80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  <c r="W77" s="30">
        <v>5</v>
      </c>
    </row>
    <row r="78" spans="1:23" ht="21" customHeight="1" x14ac:dyDescent="0.15">
      <c r="A78" s="2" t="str">
        <f ca="1">input_settle_555100!A$2</f>
        <v>555100</v>
      </c>
      <c r="B78" s="5">
        <v>202</v>
      </c>
      <c r="C78" s="7" t="str">
        <f t="shared" si="4"/>
        <v>Premium3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IFERROR(VLOOKUP(B78,input_settle_555100!L:R,7,FALSE),VLOOKUP(tables_settle_555100!C78,input_settle_555100!A:H,8,FALSE))</f>
        <v>0</v>
      </c>
      <c r="P78" s="46">
        <f t="shared" ca="1" si="5"/>
        <v>0</v>
      </c>
      <c r="Q78" s="30">
        <f t="shared" si="7"/>
        <v>40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  <c r="W78" s="30">
        <v>5</v>
      </c>
    </row>
    <row r="79" spans="1:23" ht="21" customHeight="1" x14ac:dyDescent="0.15">
      <c r="A79" s="2" t="str">
        <f ca="1">input_settle_555100!A$2</f>
        <v>555100</v>
      </c>
      <c r="B79" s="5">
        <v>203</v>
      </c>
      <c r="C79" s="7" t="str">
        <f t="shared" si="4"/>
        <v>Premium4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IFERROR(VLOOKUP(B79,input_settle_555100!L:R,7,FALSE),VLOOKUP(tables_settle_555100!C79,input_settle_555100!A:H,8,FALSE))</f>
        <v>0</v>
      </c>
      <c r="P79" s="46">
        <f t="shared" ca="1" si="5"/>
        <v>0</v>
      </c>
      <c r="Q79" s="30">
        <f t="shared" si="7"/>
        <v>60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  <c r="W79" s="30">
        <v>5</v>
      </c>
    </row>
    <row r="80" spans="1:23" ht="21" customHeight="1" x14ac:dyDescent="0.15">
      <c r="A80" s="2" t="str">
        <f ca="1">input_settle_555100!A$2</f>
        <v>555100</v>
      </c>
      <c r="B80" s="5">
        <v>204</v>
      </c>
      <c r="C80" s="7" t="str">
        <f t="shared" si="4"/>
        <v>Premium5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IFERROR(VLOOKUP(B80,input_settle_555100!L:R,7,FALSE),VLOOKUP(tables_settle_555100!C80,input_settle_555100!A:H,8,FALSE))</f>
        <v>72346.153850000002</v>
      </c>
      <c r="P80" s="46">
        <f t="shared" ca="1" si="5"/>
        <v>1.2560096154077782E-2</v>
      </c>
      <c r="Q80" s="30">
        <f t="shared" si="7"/>
        <v>80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  <c r="W80" s="30">
        <v>5</v>
      </c>
    </row>
    <row r="81" spans="1:23" ht="21" customHeight="1" x14ac:dyDescent="0.15">
      <c r="A81" s="2" t="str">
        <f ca="1">input_settle_555100!A$2</f>
        <v>555100</v>
      </c>
      <c r="B81" s="5">
        <v>205</v>
      </c>
      <c r="C81" s="7" t="str">
        <f t="shared" si="4"/>
        <v>Premium3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IFERROR(VLOOKUP(B81,input_settle_555100!L:R,7,FALSE),VLOOKUP(tables_settle_555100!C81,input_settle_555100!A:H,8,FALSE))</f>
        <v>0</v>
      </c>
      <c r="P81" s="46">
        <f t="shared" ca="1" si="5"/>
        <v>0</v>
      </c>
      <c r="Q81" s="30">
        <f t="shared" si="7"/>
        <v>40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  <c r="W81" s="30">
        <v>5</v>
      </c>
    </row>
    <row r="82" spans="1:23" ht="21" customHeight="1" x14ac:dyDescent="0.15">
      <c r="A82" s="2" t="str">
        <f ca="1">input_settle_555100!A$2</f>
        <v>555100</v>
      </c>
      <c r="B82" s="5">
        <v>206</v>
      </c>
      <c r="C82" s="7" t="str">
        <f t="shared" si="4"/>
        <v>Premium4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IFERROR(VLOOKUP(B82,input_settle_555100!L:R,7,FALSE),VLOOKUP(tables_settle_555100!C82,input_settle_555100!A:H,8,FALSE))</f>
        <v>0</v>
      </c>
      <c r="P82" s="46">
        <f t="shared" ca="1" si="5"/>
        <v>0</v>
      </c>
      <c r="Q82" s="30">
        <f t="shared" si="7"/>
        <v>60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  <c r="W82" s="30">
        <v>5</v>
      </c>
    </row>
    <row r="83" spans="1:23" ht="21" customHeight="1" x14ac:dyDescent="0.15">
      <c r="A83" s="2" t="str">
        <f ca="1">input_settle_555100!A$2</f>
        <v>555100</v>
      </c>
      <c r="B83" s="5">
        <v>207</v>
      </c>
      <c r="C83" s="7" t="str">
        <f t="shared" si="4"/>
        <v>Premium5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IFERROR(VLOOKUP(B83,input_settle_555100!L:R,7,FALSE),VLOOKUP(tables_settle_555100!C83,input_settle_555100!A:H,8,FALSE))</f>
        <v>72346.153850000002</v>
      </c>
      <c r="P83" s="46">
        <f t="shared" ca="1" si="5"/>
        <v>1.2560096154077782E-2</v>
      </c>
      <c r="Q83" s="30">
        <f t="shared" si="7"/>
        <v>80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  <c r="W83" s="30">
        <v>5</v>
      </c>
    </row>
    <row r="84" spans="1:23" ht="21" customHeight="1" x14ac:dyDescent="0.15">
      <c r="A84" s="2" t="str">
        <f ca="1">input_settle_555100!A$2</f>
        <v>555100</v>
      </c>
      <c r="B84" s="5">
        <v>208</v>
      </c>
      <c r="C84" s="7" t="str">
        <f t="shared" si="4"/>
        <v>Premium3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IFERROR(VLOOKUP(B84,input_settle_555100!L:R,7,FALSE),VLOOKUP(tables_settle_555100!C84,input_settle_555100!A:H,8,FALSE))</f>
        <v>0</v>
      </c>
      <c r="P84" s="46">
        <f t="shared" ca="1" si="5"/>
        <v>0</v>
      </c>
      <c r="Q84" s="30">
        <f t="shared" si="7"/>
        <v>40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  <c r="W84" s="30">
        <v>5</v>
      </c>
    </row>
    <row r="85" spans="1:23" ht="21" customHeight="1" x14ac:dyDescent="0.15">
      <c r="A85" s="2" t="str">
        <f ca="1">input_settle_555100!A$2</f>
        <v>555100</v>
      </c>
      <c r="B85" s="5">
        <v>209</v>
      </c>
      <c r="C85" s="7" t="str">
        <f t="shared" si="4"/>
        <v>Premium4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IFERROR(VLOOKUP(B85,input_settle_555100!L:R,7,FALSE),VLOOKUP(tables_settle_555100!C85,input_settle_555100!A:H,8,FALSE))</f>
        <v>0</v>
      </c>
      <c r="P85" s="46">
        <f t="shared" ca="1" si="5"/>
        <v>0</v>
      </c>
      <c r="Q85" s="30">
        <f t="shared" si="7"/>
        <v>60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  <c r="W85" s="30">
        <v>5</v>
      </c>
    </row>
    <row r="86" spans="1:23" ht="21" customHeight="1" x14ac:dyDescent="0.15">
      <c r="A86" s="2" t="str">
        <f ca="1">input_settle_555100!A$2</f>
        <v>555100</v>
      </c>
      <c r="B86" s="5">
        <v>210</v>
      </c>
      <c r="C86" s="7" t="str">
        <f t="shared" si="4"/>
        <v>Premium5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IFERROR(VLOOKUP(B86,input_settle_555100!L:R,7,FALSE),VLOOKUP(tables_settle_555100!C86,input_settle_555100!A:H,8,FALSE))</f>
        <v>72346.153850000002</v>
      </c>
      <c r="P86" s="46">
        <f t="shared" ca="1" si="5"/>
        <v>1.2560096154077782E-2</v>
      </c>
      <c r="Q86" s="30">
        <f t="shared" si="7"/>
        <v>80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  <c r="W86" s="30">
        <v>5</v>
      </c>
    </row>
    <row r="87" spans="1:23" ht="21" customHeight="1" x14ac:dyDescent="0.15">
      <c r="A87" s="2" t="str">
        <f ca="1">input_settle_555100!A$2</f>
        <v>555100</v>
      </c>
      <c r="B87" s="5">
        <v>211</v>
      </c>
      <c r="C87" s="7" t="str">
        <f t="shared" si="4"/>
        <v>Premium3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IFERROR(VLOOKUP(B87,input_settle_555100!L:R,7,FALSE),VLOOKUP(tables_settle_555100!C87,input_settle_555100!A:H,8,FALSE))</f>
        <v>0</v>
      </c>
      <c r="P87" s="46">
        <f t="shared" ca="1" si="5"/>
        <v>0</v>
      </c>
      <c r="Q87" s="30">
        <f t="shared" si="7"/>
        <v>40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  <c r="W87" s="30">
        <v>5</v>
      </c>
    </row>
    <row r="88" spans="1:23" ht="21" customHeight="1" x14ac:dyDescent="0.15">
      <c r="A88" s="2" t="str">
        <f ca="1">input_settle_555100!A$2</f>
        <v>555100</v>
      </c>
      <c r="B88" s="5">
        <v>212</v>
      </c>
      <c r="C88" s="7" t="str">
        <f t="shared" si="4"/>
        <v>Premium4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IFERROR(VLOOKUP(B88,input_settle_555100!L:R,7,FALSE),VLOOKUP(tables_settle_555100!C88,input_settle_555100!A:H,8,FALSE))</f>
        <v>0</v>
      </c>
      <c r="P88" s="46">
        <f t="shared" ca="1" si="5"/>
        <v>0</v>
      </c>
      <c r="Q88" s="30">
        <f t="shared" si="7"/>
        <v>60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  <c r="W88" s="30">
        <v>5</v>
      </c>
    </row>
    <row r="89" spans="1:23" ht="21" customHeight="1" x14ac:dyDescent="0.15">
      <c r="A89" s="2" t="str">
        <f ca="1">input_settle_555100!A$2</f>
        <v>555100</v>
      </c>
      <c r="B89" s="5">
        <v>213</v>
      </c>
      <c r="C89" s="7" t="str">
        <f t="shared" si="4"/>
        <v>Premium5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IFERROR(VLOOKUP(B89,input_settle_555100!L:R,7,FALSE),VLOOKUP(tables_settle_555100!C89,input_settle_555100!A:H,8,FALSE))</f>
        <v>72346.153850000002</v>
      </c>
      <c r="P89" s="46">
        <f t="shared" ca="1" si="5"/>
        <v>1.2560096154077782E-2</v>
      </c>
      <c r="Q89" s="30">
        <f t="shared" si="7"/>
        <v>80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  <c r="W89" s="30">
        <v>5</v>
      </c>
    </row>
    <row r="90" spans="1:23" ht="21" customHeight="1" x14ac:dyDescent="0.15">
      <c r="A90" s="2" t="str">
        <f ca="1">input_settle_555100!A$2</f>
        <v>555100</v>
      </c>
      <c r="B90" s="5">
        <v>214</v>
      </c>
      <c r="C90" s="7" t="str">
        <f t="shared" si="4"/>
        <v>Premium3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IFERROR(VLOOKUP(B90,input_settle_555100!L:R,7,FALSE),VLOOKUP(tables_settle_555100!C90,input_settle_555100!A:H,8,FALSE))</f>
        <v>0</v>
      </c>
      <c r="P90" s="46">
        <f t="shared" ca="1" si="5"/>
        <v>0</v>
      </c>
      <c r="Q90" s="30">
        <f t="shared" si="7"/>
        <v>40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  <c r="W90" s="30">
        <v>5</v>
      </c>
    </row>
    <row r="91" spans="1:23" ht="21" customHeight="1" x14ac:dyDescent="0.15">
      <c r="A91" s="2" t="str">
        <f ca="1">input_settle_555100!A$2</f>
        <v>555100</v>
      </c>
      <c r="B91" s="5">
        <v>215</v>
      </c>
      <c r="C91" s="7" t="str">
        <f t="shared" si="4"/>
        <v>Premium4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IFERROR(VLOOKUP(B91,input_settle_555100!L:R,7,FALSE),VLOOKUP(tables_settle_555100!C91,input_settle_555100!A:H,8,FALSE))</f>
        <v>0</v>
      </c>
      <c r="P91" s="46">
        <f t="shared" ca="1" si="5"/>
        <v>0</v>
      </c>
      <c r="Q91" s="30">
        <f t="shared" si="7"/>
        <v>60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  <c r="W91" s="30">
        <v>5</v>
      </c>
    </row>
    <row r="92" spans="1:23" ht="21" customHeight="1" x14ac:dyDescent="0.15">
      <c r="A92" s="2" t="str">
        <f ca="1">input_settle_555100!A$2</f>
        <v>555100</v>
      </c>
      <c r="B92" s="5">
        <v>216</v>
      </c>
      <c r="C92" s="7" t="str">
        <f t="shared" si="4"/>
        <v>Premium5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IFERROR(VLOOKUP(B92,input_settle_555100!L:R,7,FALSE),VLOOKUP(tables_settle_555100!C92,input_settle_555100!A:H,8,FALSE))</f>
        <v>72346.153850000002</v>
      </c>
      <c r="P92" s="46">
        <f t="shared" ca="1" si="5"/>
        <v>1.2560096154077782E-2</v>
      </c>
      <c r="Q92" s="30">
        <f t="shared" si="7"/>
        <v>80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  <c r="W92" s="30">
        <v>5</v>
      </c>
    </row>
    <row r="93" spans="1:23" ht="21" customHeight="1" x14ac:dyDescent="0.15">
      <c r="A93" s="2" t="str">
        <f ca="1">input_settle_555100!A$2</f>
        <v>555100</v>
      </c>
      <c r="B93" s="5">
        <v>217</v>
      </c>
      <c r="C93" s="7" t="str">
        <f t="shared" si="4"/>
        <v>Premium3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IFERROR(VLOOKUP(B93,input_settle_555100!L:R,7,FALSE),VLOOKUP(tables_settle_555100!C93,input_settle_555100!A:H,8,FALSE))</f>
        <v>0</v>
      </c>
      <c r="P93" s="46">
        <f t="shared" ca="1" si="5"/>
        <v>0</v>
      </c>
      <c r="Q93" s="30">
        <f t="shared" si="7"/>
        <v>40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  <c r="W93" s="30">
        <v>5</v>
      </c>
    </row>
    <row r="94" spans="1:23" ht="21" customHeight="1" x14ac:dyDescent="0.15">
      <c r="A94" s="2" t="str">
        <f ca="1">input_settle_555100!A$2</f>
        <v>555100</v>
      </c>
      <c r="B94" s="5">
        <v>218</v>
      </c>
      <c r="C94" s="7" t="str">
        <f t="shared" si="4"/>
        <v>Premium4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IFERROR(VLOOKUP(B94,input_settle_555100!L:R,7,FALSE),VLOOKUP(tables_settle_555100!C94,input_settle_555100!A:H,8,FALSE))</f>
        <v>0</v>
      </c>
      <c r="P94" s="46">
        <f t="shared" ca="1" si="5"/>
        <v>0</v>
      </c>
      <c r="Q94" s="30">
        <f t="shared" si="7"/>
        <v>60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  <c r="W94" s="30">
        <v>5</v>
      </c>
    </row>
    <row r="95" spans="1:23" ht="21" customHeight="1" x14ac:dyDescent="0.15">
      <c r="A95" s="2" t="str">
        <f ca="1">input_settle_555100!A$2</f>
        <v>555100</v>
      </c>
      <c r="B95" s="5">
        <v>219</v>
      </c>
      <c r="C95" s="7" t="str">
        <f t="shared" si="4"/>
        <v>Premium5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IFERROR(VLOOKUP(B95,input_settle_555100!L:R,7,FALSE),VLOOKUP(tables_settle_555100!C95,input_settle_555100!A:H,8,FALSE))</f>
        <v>72346.153850000002</v>
      </c>
      <c r="P95" s="46">
        <f t="shared" ca="1" si="5"/>
        <v>1.2560096154077782E-2</v>
      </c>
      <c r="Q95" s="30">
        <f t="shared" si="7"/>
        <v>80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  <c r="W95" s="30">
        <v>5</v>
      </c>
    </row>
    <row r="96" spans="1:23" ht="21" customHeight="1" x14ac:dyDescent="0.15">
      <c r="A96" s="2" t="str">
        <f ca="1">input_settle_555100!A$2</f>
        <v>555100</v>
      </c>
      <c r="B96" s="5">
        <v>220</v>
      </c>
      <c r="C96" s="7" t="str">
        <f t="shared" si="4"/>
        <v>Premium3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IFERROR(VLOOKUP(B96,input_settle_555100!L:R,7,FALSE),VLOOKUP(tables_settle_555100!C96,input_settle_555100!A:H,8,FALSE))</f>
        <v>0</v>
      </c>
      <c r="P96" s="46">
        <f t="shared" ca="1" si="5"/>
        <v>0</v>
      </c>
      <c r="Q96" s="30">
        <f t="shared" si="7"/>
        <v>40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  <c r="W96" s="30">
        <v>5</v>
      </c>
    </row>
    <row r="97" spans="1:23" ht="21" customHeight="1" x14ac:dyDescent="0.15">
      <c r="A97" s="2" t="str">
        <f ca="1">input_settle_555100!A$2</f>
        <v>555100</v>
      </c>
      <c r="B97" s="5">
        <v>221</v>
      </c>
      <c r="C97" s="7" t="str">
        <f t="shared" si="4"/>
        <v>Premium4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IFERROR(VLOOKUP(B97,input_settle_555100!L:R,7,FALSE),VLOOKUP(tables_settle_555100!C97,input_settle_555100!A:H,8,FALSE))</f>
        <v>0</v>
      </c>
      <c r="P97" s="46">
        <f t="shared" ca="1" si="5"/>
        <v>0</v>
      </c>
      <c r="Q97" s="30">
        <f t="shared" si="7"/>
        <v>60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  <c r="W97" s="30">
        <v>5</v>
      </c>
    </row>
    <row r="98" spans="1:23" ht="21" customHeight="1" x14ac:dyDescent="0.15">
      <c r="A98" s="2" t="str">
        <f ca="1">input_settle_555100!A$2</f>
        <v>555100</v>
      </c>
      <c r="B98" s="5">
        <v>222</v>
      </c>
      <c r="C98" s="7" t="str">
        <f t="shared" si="4"/>
        <v>Premium5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IFERROR(VLOOKUP(B98,input_settle_555100!L:R,7,FALSE),VLOOKUP(tables_settle_555100!C98,input_settle_555100!A:H,8,FALSE))</f>
        <v>72346.153850000002</v>
      </c>
      <c r="P98" s="46">
        <f t="shared" ca="1" si="5"/>
        <v>1.2560096154077782E-2</v>
      </c>
      <c r="Q98" s="30">
        <f t="shared" si="7"/>
        <v>80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  <c r="W98" s="30">
        <v>5</v>
      </c>
    </row>
    <row r="99" spans="1:23" ht="21" customHeight="1" x14ac:dyDescent="0.15">
      <c r="A99" s="2" t="str">
        <f ca="1">input_settle_555100!A$2</f>
        <v>555100</v>
      </c>
      <c r="B99" s="5">
        <v>223</v>
      </c>
      <c r="C99" s="7" t="str">
        <f t="shared" si="4"/>
        <v>Premium3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IFERROR(VLOOKUP(B99,input_settle_555100!L:R,7,FALSE),VLOOKUP(tables_settle_555100!C99,input_settle_555100!A:H,8,FALSE))</f>
        <v>0</v>
      </c>
      <c r="P99" s="46">
        <f t="shared" ca="1" si="5"/>
        <v>0</v>
      </c>
      <c r="Q99" s="30">
        <f t="shared" si="7"/>
        <v>40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  <c r="W99" s="30">
        <v>5</v>
      </c>
    </row>
    <row r="100" spans="1:23" ht="21" customHeight="1" x14ac:dyDescent="0.15">
      <c r="A100" s="2" t="str">
        <f ca="1">input_settle_555100!A$2</f>
        <v>555100</v>
      </c>
      <c r="B100" s="5">
        <v>224</v>
      </c>
      <c r="C100" s="7" t="str">
        <f t="shared" si="4"/>
        <v>Premium4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IFERROR(VLOOKUP(B100,input_settle_555100!L:R,7,FALSE),VLOOKUP(tables_settle_555100!C100,input_settle_555100!A:H,8,FALSE))</f>
        <v>0</v>
      </c>
      <c r="P100" s="46">
        <f t="shared" ca="1" si="5"/>
        <v>0</v>
      </c>
      <c r="Q100" s="30">
        <f t="shared" si="7"/>
        <v>60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  <c r="W100" s="30">
        <v>5</v>
      </c>
    </row>
    <row r="101" spans="1:23" ht="21" customHeight="1" x14ac:dyDescent="0.15">
      <c r="A101" s="2" t="str">
        <f ca="1">input_settle_555100!A$2</f>
        <v>555100</v>
      </c>
      <c r="B101" s="5">
        <v>225</v>
      </c>
      <c r="C101" s="7" t="str">
        <f t="shared" si="4"/>
        <v>Premium5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IFERROR(VLOOKUP(B101,input_settle_555100!L:R,7,FALSE),VLOOKUP(tables_settle_555100!C101,input_settle_555100!A:H,8,FALSE))</f>
        <v>72346.153850000002</v>
      </c>
      <c r="P101" s="46">
        <f t="shared" ca="1" si="5"/>
        <v>1.2560096154077782E-2</v>
      </c>
      <c r="Q101" s="30">
        <f t="shared" si="7"/>
        <v>80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  <c r="W101" s="30">
        <v>5</v>
      </c>
    </row>
    <row r="102" spans="1:23" ht="21" customHeight="1" x14ac:dyDescent="0.15">
      <c r="A102" s="2" t="str">
        <f ca="1">input_settle_555100!A$2</f>
        <v>555100</v>
      </c>
      <c r="B102" s="5">
        <v>226</v>
      </c>
      <c r="C102" s="7" t="str">
        <f t="shared" si="4"/>
        <v>Premium3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IFERROR(VLOOKUP(B102,input_settle_555100!L:R,7,FALSE),VLOOKUP(tables_settle_555100!C102,input_settle_555100!A:H,8,FALSE))</f>
        <v>0</v>
      </c>
      <c r="P102" s="46">
        <f t="shared" ca="1" si="5"/>
        <v>0</v>
      </c>
      <c r="Q102" s="30">
        <f t="shared" si="7"/>
        <v>40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  <c r="W102" s="30">
        <v>5</v>
      </c>
    </row>
    <row r="103" spans="1:23" ht="21" customHeight="1" x14ac:dyDescent="0.15">
      <c r="A103" s="2" t="str">
        <f ca="1">input_settle_555100!A$2</f>
        <v>555100</v>
      </c>
      <c r="B103" s="5">
        <v>227</v>
      </c>
      <c r="C103" s="7" t="str">
        <f t="shared" si="4"/>
        <v>Premium4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IFERROR(VLOOKUP(B103,input_settle_555100!L:R,7,FALSE),VLOOKUP(tables_settle_555100!C103,input_settle_555100!A:H,8,FALSE))</f>
        <v>0</v>
      </c>
      <c r="P103" s="46">
        <f t="shared" ca="1" si="5"/>
        <v>0</v>
      </c>
      <c r="Q103" s="30">
        <f t="shared" si="7"/>
        <v>60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  <c r="W103" s="30">
        <v>5</v>
      </c>
    </row>
    <row r="104" spans="1:23" ht="21" customHeight="1" x14ac:dyDescent="0.15">
      <c r="A104" s="2" t="str">
        <f ca="1">input_settle_555100!A$2</f>
        <v>555100</v>
      </c>
      <c r="B104" s="5">
        <v>228</v>
      </c>
      <c r="C104" s="7" t="str">
        <f t="shared" si="4"/>
        <v>Premium5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IFERROR(VLOOKUP(B104,input_settle_555100!L:R,7,FALSE),VLOOKUP(tables_settle_555100!C104,input_settle_555100!A:H,8,FALSE))</f>
        <v>72346.153850000002</v>
      </c>
      <c r="P104" s="46">
        <f t="shared" ca="1" si="5"/>
        <v>1.2560096154077782E-2</v>
      </c>
      <c r="Q104" s="30">
        <f t="shared" si="7"/>
        <v>80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  <c r="W104" s="30">
        <v>5</v>
      </c>
    </row>
    <row r="105" spans="1:23" ht="21" customHeight="1" x14ac:dyDescent="0.15">
      <c r="A105" s="2" t="str">
        <f ca="1">input_settle_555100!A$2</f>
        <v>555100</v>
      </c>
      <c r="B105" s="5">
        <v>229</v>
      </c>
      <c r="C105" s="7" t="str">
        <f t="shared" si="4"/>
        <v>Premium3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IFERROR(VLOOKUP(B105,input_settle_555100!L:R,7,FALSE),VLOOKUP(tables_settle_555100!C105,input_settle_555100!A:H,8,FALSE))</f>
        <v>0</v>
      </c>
      <c r="P105" s="46">
        <f t="shared" ca="1" si="5"/>
        <v>0</v>
      </c>
      <c r="Q105" s="30">
        <f t="shared" si="7"/>
        <v>40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  <c r="W105" s="30">
        <v>5</v>
      </c>
    </row>
    <row r="106" spans="1:23" ht="21" customHeight="1" x14ac:dyDescent="0.15">
      <c r="A106" s="2" t="str">
        <f ca="1">input_settle_555100!A$2</f>
        <v>555100</v>
      </c>
      <c r="B106" s="5">
        <v>230</v>
      </c>
      <c r="C106" s="7" t="str">
        <f t="shared" si="4"/>
        <v>Premium4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IFERROR(VLOOKUP(B106,input_settle_555100!L:R,7,FALSE),VLOOKUP(tables_settle_555100!C106,input_settle_555100!A:H,8,FALSE))</f>
        <v>0</v>
      </c>
      <c r="P106" s="46">
        <f t="shared" ca="1" si="5"/>
        <v>0</v>
      </c>
      <c r="Q106" s="30">
        <f t="shared" si="7"/>
        <v>60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  <c r="W106" s="30">
        <v>5</v>
      </c>
    </row>
    <row r="107" spans="1:23" ht="21" customHeight="1" x14ac:dyDescent="0.15">
      <c r="A107" s="2" t="str">
        <f ca="1">input_settle_555100!A$2</f>
        <v>555100</v>
      </c>
      <c r="B107" s="5">
        <v>231</v>
      </c>
      <c r="C107" s="7" t="str">
        <f t="shared" si="4"/>
        <v>Premium5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IFERROR(VLOOKUP(B107,input_settle_555100!L:R,7,FALSE),VLOOKUP(tables_settle_555100!C107,input_settle_555100!A:H,8,FALSE))</f>
        <v>72346.153850000002</v>
      </c>
      <c r="P107" s="46">
        <f t="shared" ca="1" si="5"/>
        <v>1.2560096154077782E-2</v>
      </c>
      <c r="Q107" s="30">
        <f t="shared" si="7"/>
        <v>80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  <c r="W107" s="30">
        <v>5</v>
      </c>
    </row>
    <row r="108" spans="1:23" ht="21" customHeight="1" x14ac:dyDescent="0.15">
      <c r="A108" s="2" t="str">
        <f ca="1">input_settle_555100!A$2</f>
        <v>555100</v>
      </c>
      <c r="B108" s="5">
        <v>232</v>
      </c>
      <c r="C108" s="7" t="str">
        <f t="shared" si="4"/>
        <v>Premium3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IFERROR(VLOOKUP(B108,input_settle_555100!L:R,7,FALSE),VLOOKUP(tables_settle_555100!C108,input_settle_555100!A:H,8,FALSE))</f>
        <v>0</v>
      </c>
      <c r="P108" s="46">
        <f t="shared" ca="1" si="5"/>
        <v>0</v>
      </c>
      <c r="Q108" s="30">
        <f t="shared" si="7"/>
        <v>40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  <c r="W108" s="30">
        <v>5</v>
      </c>
    </row>
    <row r="109" spans="1:23" ht="21" customHeight="1" x14ac:dyDescent="0.15">
      <c r="A109" s="2" t="str">
        <f ca="1">input_settle_555100!A$2</f>
        <v>555100</v>
      </c>
      <c r="B109" s="5">
        <v>233</v>
      </c>
      <c r="C109" s="7" t="str">
        <f t="shared" si="4"/>
        <v>Premium4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IFERROR(VLOOKUP(B109,input_settle_555100!L:R,7,FALSE),VLOOKUP(tables_settle_555100!C109,input_settle_555100!A:H,8,FALSE))</f>
        <v>0</v>
      </c>
      <c r="P109" s="46">
        <f t="shared" ca="1" si="5"/>
        <v>0</v>
      </c>
      <c r="Q109" s="30">
        <f t="shared" si="7"/>
        <v>60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  <c r="W109" s="30">
        <v>5</v>
      </c>
    </row>
    <row r="110" spans="1:23" ht="21" customHeight="1" x14ac:dyDescent="0.15">
      <c r="A110" s="2" t="str">
        <f ca="1">input_settle_555100!A$2</f>
        <v>555100</v>
      </c>
      <c r="B110" s="5">
        <v>234</v>
      </c>
      <c r="C110" s="7" t="str">
        <f t="shared" si="4"/>
        <v>Premium5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IFERROR(VLOOKUP(B110,input_settle_555100!L:R,7,FALSE),VLOOKUP(tables_settle_555100!C110,input_settle_555100!A:H,8,FALSE))</f>
        <v>72346.153850000002</v>
      </c>
      <c r="P110" s="46">
        <f t="shared" ca="1" si="5"/>
        <v>1.2560096154077782E-2</v>
      </c>
      <c r="Q110" s="30">
        <f t="shared" si="7"/>
        <v>80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  <c r="W110" s="30">
        <v>5</v>
      </c>
    </row>
    <row r="111" spans="1:23" ht="21" customHeight="1" x14ac:dyDescent="0.15">
      <c r="A111" s="2" t="str">
        <f ca="1">input_settle_555100!A$2</f>
        <v>555100</v>
      </c>
      <c r="B111" s="5">
        <v>235</v>
      </c>
      <c r="C111" s="7" t="str">
        <f t="shared" si="4"/>
        <v>Premium3R6release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IFERROR(VLOOKUP(B111,input_settle_555100!L:R,7,FALSE),VLOOKUP(tables_settle_555100!C111,input_settle_555100!A:H,8,FALSE))</f>
        <v>0</v>
      </c>
      <c r="P111" s="46">
        <f t="shared" ca="1" si="5"/>
        <v>0</v>
      </c>
      <c r="Q111" s="30">
        <f t="shared" si="7"/>
        <v>40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  <c r="W111" s="30">
        <v>5</v>
      </c>
    </row>
    <row r="112" spans="1:23" ht="21" customHeight="1" x14ac:dyDescent="0.15">
      <c r="A112" s="2" t="str">
        <f ca="1">input_settle_555100!A$2</f>
        <v>555100</v>
      </c>
      <c r="B112" s="5">
        <v>236</v>
      </c>
      <c r="C112" s="7" t="str">
        <f t="shared" si="4"/>
        <v>Premium4R6release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IFERROR(VLOOKUP(B112,input_settle_555100!L:R,7,FALSE),VLOOKUP(tables_settle_555100!C112,input_settle_555100!A:H,8,FALSE))</f>
        <v>0</v>
      </c>
      <c r="P112" s="46">
        <f t="shared" ca="1" si="5"/>
        <v>0</v>
      </c>
      <c r="Q112" s="30">
        <f t="shared" si="7"/>
        <v>60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  <c r="W112" s="30">
        <v>5</v>
      </c>
    </row>
    <row r="113" spans="1:23" ht="21" customHeight="1" x14ac:dyDescent="0.15">
      <c r="A113" s="2" t="str">
        <f ca="1">input_settle_555100!A$2</f>
        <v>555100</v>
      </c>
      <c r="B113" s="5">
        <v>237</v>
      </c>
      <c r="C113" s="7" t="str">
        <f t="shared" si="4"/>
        <v>Premium5R6release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IFERROR(VLOOKUP(B113,input_settle_555100!L:R,7,FALSE),VLOOKUP(tables_settle_555100!C113,input_settle_555100!A:H,8,FALSE))</f>
        <v>57000</v>
      </c>
      <c r="P113" s="46">
        <f t="shared" ca="1" si="5"/>
        <v>9.8958333329897327E-3</v>
      </c>
      <c r="Q113" s="30">
        <f t="shared" si="7"/>
        <v>80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  <c r="W113" s="30">
        <v>5</v>
      </c>
    </row>
    <row r="114" spans="1:23" ht="21" customHeight="1" x14ac:dyDescent="0.15">
      <c r="A114" s="2" t="str">
        <f ca="1">input_settle_555100!A$2</f>
        <v>555100</v>
      </c>
      <c r="B114" s="5">
        <v>238</v>
      </c>
      <c r="C114" s="7" t="str">
        <f t="shared" si="4"/>
        <v>Premium3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IFERROR(VLOOKUP(B114,input_settle_555100!L:R,7,FALSE),VLOOKUP(tables_settle_555100!C114,input_settle_555100!A:H,8,FALSE))</f>
        <v>0</v>
      </c>
      <c r="P114" s="46">
        <f t="shared" ca="1" si="5"/>
        <v>0</v>
      </c>
      <c r="Q114" s="30">
        <f t="shared" si="7"/>
        <v>40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  <c r="W114" s="30">
        <v>5</v>
      </c>
    </row>
    <row r="115" spans="1:23" ht="21" customHeight="1" x14ac:dyDescent="0.15">
      <c r="A115" s="2" t="str">
        <f ca="1">input_settle_555100!A$2</f>
        <v>555100</v>
      </c>
      <c r="B115" s="5">
        <v>239</v>
      </c>
      <c r="C115" s="7" t="str">
        <f t="shared" si="4"/>
        <v>Premium4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IFERROR(VLOOKUP(B115,input_settle_555100!L:R,7,FALSE),VLOOKUP(tables_settle_555100!C115,input_settle_555100!A:H,8,FALSE))</f>
        <v>0</v>
      </c>
      <c r="P115" s="46">
        <f t="shared" ca="1" si="5"/>
        <v>0</v>
      </c>
      <c r="Q115" s="30">
        <f t="shared" si="7"/>
        <v>60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  <c r="W115" s="30">
        <v>5</v>
      </c>
    </row>
    <row r="116" spans="1:23" ht="21" customHeight="1" x14ac:dyDescent="0.15">
      <c r="A116" s="2" t="str">
        <f ca="1">input_settle_555100!A$2</f>
        <v>555100</v>
      </c>
      <c r="B116" s="5">
        <v>240</v>
      </c>
      <c r="C116" s="7" t="str">
        <f t="shared" si="4"/>
        <v>Premium5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IFERROR(VLOOKUP(B116,input_settle_555100!L:R,7,FALSE),VLOOKUP(tables_settle_555100!C116,input_settle_555100!A:H,8,FALSE))</f>
        <v>72346.153850000002</v>
      </c>
      <c r="P116" s="46">
        <f t="shared" ca="1" si="5"/>
        <v>1.2560096154077782E-2</v>
      </c>
      <c r="Q116" s="30">
        <f t="shared" si="7"/>
        <v>80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  <c r="W116" s="30">
        <v>5</v>
      </c>
    </row>
    <row r="117" spans="1:23" ht="21" customHeight="1" x14ac:dyDescent="0.15">
      <c r="A117" s="2" t="str">
        <f ca="1">input_settle_555100!A$2</f>
        <v>555100</v>
      </c>
      <c r="B117" s="5">
        <v>241</v>
      </c>
      <c r="C117" s="7" t="str">
        <f t="shared" si="4"/>
        <v>Premium3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IFERROR(VLOOKUP(B117,input_settle_555100!L:R,7,FALSE),VLOOKUP(tables_settle_555100!C117,input_settle_555100!A:H,8,FALSE))</f>
        <v>0</v>
      </c>
      <c r="P117" s="46">
        <f t="shared" ca="1" si="5"/>
        <v>0</v>
      </c>
      <c r="Q117" s="30">
        <f t="shared" si="7"/>
        <v>40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  <c r="W117" s="30">
        <v>5</v>
      </c>
    </row>
    <row r="118" spans="1:23" ht="21" customHeight="1" x14ac:dyDescent="0.15">
      <c r="A118" s="2" t="str">
        <f ca="1">input_settle_555100!A$2</f>
        <v>555100</v>
      </c>
      <c r="B118" s="5">
        <v>242</v>
      </c>
      <c r="C118" s="7" t="str">
        <f t="shared" si="4"/>
        <v>Premium4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IFERROR(VLOOKUP(B118,input_settle_555100!L:R,7,FALSE),VLOOKUP(tables_settle_555100!C118,input_settle_555100!A:H,8,FALSE))</f>
        <v>0</v>
      </c>
      <c r="P118" s="46">
        <f t="shared" ca="1" si="5"/>
        <v>0</v>
      </c>
      <c r="Q118" s="30">
        <f t="shared" si="7"/>
        <v>60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  <c r="W118" s="30">
        <v>5</v>
      </c>
    </row>
    <row r="119" spans="1:23" ht="21" customHeight="1" x14ac:dyDescent="0.15">
      <c r="A119" s="2" t="str">
        <f ca="1">input_settle_555100!A$2</f>
        <v>555100</v>
      </c>
      <c r="B119" s="5">
        <v>243</v>
      </c>
      <c r="C119" s="7" t="str">
        <f t="shared" si="4"/>
        <v>Premium5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IFERROR(VLOOKUP(B119,input_settle_555100!L:R,7,FALSE),VLOOKUP(tables_settle_555100!C119,input_settle_555100!A:H,8,FALSE))</f>
        <v>72346.153850000002</v>
      </c>
      <c r="P119" s="46">
        <f t="shared" ca="1" si="5"/>
        <v>1.2560096154077782E-2</v>
      </c>
      <c r="Q119" s="30">
        <f t="shared" si="7"/>
        <v>80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  <c r="W119" s="30">
        <v>5</v>
      </c>
    </row>
    <row r="120" spans="1:23" ht="21" customHeight="1" x14ac:dyDescent="0.15">
      <c r="A120" s="2" t="str">
        <f ca="1">input_settle_555100!A$2</f>
        <v>555100</v>
      </c>
      <c r="B120" s="5">
        <v>244</v>
      </c>
      <c r="C120" s="7" t="str">
        <f t="shared" si="4"/>
        <v>Premium3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IFERROR(VLOOKUP(B120,input_settle_555100!L:R,7,FALSE),VLOOKUP(tables_settle_555100!C120,input_settle_555100!A:H,8,FALSE))</f>
        <v>0</v>
      </c>
      <c r="P120" s="46">
        <f t="shared" ca="1" si="5"/>
        <v>0</v>
      </c>
      <c r="Q120" s="30">
        <f t="shared" si="7"/>
        <v>40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  <c r="W120" s="30">
        <v>5</v>
      </c>
    </row>
    <row r="121" spans="1:23" ht="21" customHeight="1" x14ac:dyDescent="0.15">
      <c r="A121" s="2" t="str">
        <f ca="1">input_settle_555100!A$2</f>
        <v>555100</v>
      </c>
      <c r="B121" s="5">
        <v>245</v>
      </c>
      <c r="C121" s="7" t="str">
        <f t="shared" si="4"/>
        <v>Premium4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IFERROR(VLOOKUP(B121,input_settle_555100!L:R,7,FALSE),VLOOKUP(tables_settle_555100!C121,input_settle_555100!A:H,8,FALSE))</f>
        <v>0</v>
      </c>
      <c r="P121" s="46">
        <f t="shared" ca="1" si="5"/>
        <v>0</v>
      </c>
      <c r="Q121" s="30">
        <f t="shared" si="7"/>
        <v>60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  <c r="W121" s="30">
        <v>5</v>
      </c>
    </row>
    <row r="122" spans="1:23" ht="21" customHeight="1" x14ac:dyDescent="0.15">
      <c r="A122" s="2" t="str">
        <f ca="1">input_settle_555100!A$2</f>
        <v>555100</v>
      </c>
      <c r="B122" s="5">
        <v>246</v>
      </c>
      <c r="C122" s="7" t="str">
        <f t="shared" si="4"/>
        <v>Premium5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IFERROR(VLOOKUP(B122,input_settle_555100!L:R,7,FALSE),VLOOKUP(tables_settle_555100!C122,input_settle_555100!A:H,8,FALSE))</f>
        <v>72346.153850000002</v>
      </c>
      <c r="P122" s="46">
        <f t="shared" ca="1" si="5"/>
        <v>1.2560096154077782E-2</v>
      </c>
      <c r="Q122" s="30">
        <f t="shared" si="7"/>
        <v>80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  <c r="W122" s="30">
        <v>5</v>
      </c>
    </row>
    <row r="123" spans="1:23" ht="21" customHeight="1" x14ac:dyDescent="0.15">
      <c r="A123" s="2" t="str">
        <f ca="1">input_settle_555100!A$2</f>
        <v>555100</v>
      </c>
      <c r="B123" s="5">
        <v>247</v>
      </c>
      <c r="C123" s="7" t="str">
        <f t="shared" si="4"/>
        <v>Premium3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IFERROR(VLOOKUP(B123,input_settle_555100!L:R,7,FALSE),VLOOKUP(tables_settle_555100!C123,input_settle_555100!A:H,8,FALSE))</f>
        <v>0</v>
      </c>
      <c r="P123" s="46">
        <f t="shared" ca="1" si="5"/>
        <v>0</v>
      </c>
      <c r="Q123" s="30">
        <f t="shared" si="7"/>
        <v>40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  <c r="W123" s="30">
        <v>5</v>
      </c>
    </row>
    <row r="124" spans="1:23" ht="21" customHeight="1" x14ac:dyDescent="0.15">
      <c r="A124" s="2" t="str">
        <f ca="1">input_settle_555100!A$2</f>
        <v>555100</v>
      </c>
      <c r="B124" s="5">
        <v>248</v>
      </c>
      <c r="C124" s="7" t="str">
        <f t="shared" si="4"/>
        <v>Premium4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IFERROR(VLOOKUP(B124,input_settle_555100!L:R,7,FALSE),VLOOKUP(tables_settle_555100!C124,input_settle_555100!A:H,8,FALSE))</f>
        <v>0</v>
      </c>
      <c r="P124" s="46">
        <f t="shared" ca="1" si="5"/>
        <v>0</v>
      </c>
      <c r="Q124" s="30">
        <f t="shared" si="7"/>
        <v>60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  <c r="W124" s="30">
        <v>5</v>
      </c>
    </row>
    <row r="125" spans="1:23" ht="21" customHeight="1" x14ac:dyDescent="0.15">
      <c r="A125" s="2" t="str">
        <f ca="1">input_settle_555100!A$2</f>
        <v>555100</v>
      </c>
      <c r="B125" s="6">
        <v>249</v>
      </c>
      <c r="C125" s="7" t="str">
        <f t="shared" si="4"/>
        <v>Premium5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IFERROR(VLOOKUP(B125,input_settle_555100!L:R,7,FALSE),VLOOKUP(tables_settle_555100!C125,input_settle_555100!A:H,8,FALSE))</f>
        <v>72346.153850000002</v>
      </c>
      <c r="P125" s="46">
        <f t="shared" ca="1" si="5"/>
        <v>1.2560096154077782E-2</v>
      </c>
      <c r="Q125" s="30">
        <f t="shared" si="7"/>
        <v>80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  <c r="W125" s="30">
        <v>5</v>
      </c>
    </row>
    <row r="126" spans="1:23" ht="21" customHeight="1" x14ac:dyDescent="0.15">
      <c r="A126" s="2" t="str">
        <f ca="1">input_settle_555100!A$2</f>
        <v>555100</v>
      </c>
      <c r="B126" s="6">
        <v>250</v>
      </c>
      <c r="C126" s="7" t="str">
        <f t="shared" si="4"/>
        <v>Premium3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IFERROR(VLOOKUP(B126,input_settle_555100!L:R,7,FALSE),VLOOKUP(tables_settle_555100!C126,input_settle_555100!A:H,8,FALSE))</f>
        <v>0</v>
      </c>
      <c r="P126" s="46">
        <f t="shared" ca="1" si="5"/>
        <v>0</v>
      </c>
      <c r="Q126" s="30">
        <f t="shared" si="7"/>
        <v>40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  <c r="W126" s="30">
        <v>5</v>
      </c>
    </row>
    <row r="127" spans="1:23" ht="21" customHeight="1" x14ac:dyDescent="0.15">
      <c r="A127" s="2" t="str">
        <f ca="1">input_settle_555100!A$2</f>
        <v>555100</v>
      </c>
      <c r="B127" s="6">
        <v>251</v>
      </c>
      <c r="C127" s="7" t="str">
        <f t="shared" si="4"/>
        <v>Premium4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IFERROR(VLOOKUP(B127,input_settle_555100!L:R,7,FALSE),VLOOKUP(tables_settle_555100!C127,input_settle_555100!A:H,8,FALSE))</f>
        <v>0</v>
      </c>
      <c r="P127" s="46">
        <f t="shared" ca="1" si="5"/>
        <v>0</v>
      </c>
      <c r="Q127" s="30">
        <f t="shared" si="7"/>
        <v>60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  <c r="W127" s="30">
        <v>5</v>
      </c>
    </row>
    <row r="128" spans="1:23" ht="21" customHeight="1" x14ac:dyDescent="0.15">
      <c r="A128" s="2" t="str">
        <f ca="1">input_settle_555100!A$2</f>
        <v>555100</v>
      </c>
      <c r="B128" s="6">
        <v>252</v>
      </c>
      <c r="C128" s="7" t="str">
        <f t="shared" si="4"/>
        <v>Premium5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IFERROR(VLOOKUP(B128,input_settle_555100!L:R,7,FALSE),VLOOKUP(tables_settle_555100!C128,input_settle_555100!A:H,8,FALSE))</f>
        <v>72346.153850000002</v>
      </c>
      <c r="P128" s="46">
        <f t="shared" ca="1" si="5"/>
        <v>1.2560096154077782E-2</v>
      </c>
      <c r="Q128" s="30">
        <f t="shared" si="7"/>
        <v>80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  <c r="W128" s="30">
        <v>5</v>
      </c>
    </row>
    <row r="129" spans="1:23" ht="21" customHeight="1" x14ac:dyDescent="0.15">
      <c r="A129" s="2" t="str">
        <f ca="1">input_settle_555100!A$2</f>
        <v>555100</v>
      </c>
      <c r="B129" s="6">
        <v>253</v>
      </c>
      <c r="C129" s="7" t="str">
        <f t="shared" si="4"/>
        <v>Premium3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IFERROR(VLOOKUP(B129,input_settle_555100!L:R,7,FALSE),VLOOKUP(tables_settle_555100!C129,input_settle_555100!A:H,8,FALSE))</f>
        <v>0</v>
      </c>
      <c r="P129" s="46">
        <f t="shared" ca="1" si="5"/>
        <v>0</v>
      </c>
      <c r="Q129" s="30">
        <f t="shared" si="7"/>
        <v>40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  <c r="W129" s="30">
        <v>5</v>
      </c>
    </row>
    <row r="130" spans="1:23" ht="21" customHeight="1" x14ac:dyDescent="0.15">
      <c r="A130" s="2" t="str">
        <f ca="1">input_settle_555100!A$2</f>
        <v>555100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IFERROR(VLOOKUP(B130,input_settle_555100!L:R,7,FALSE),VLOOKUP(tables_settle_555100!C130,input_settle_555100!A:H,8,FALSE))</f>
        <v>0</v>
      </c>
      <c r="P130" s="46">
        <f t="shared" ref="P130:P193" ca="1" si="9">O130/SUM(O:O)</f>
        <v>0</v>
      </c>
      <c r="Q130" s="30">
        <f t="shared" si="7"/>
        <v>60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  <c r="W130" s="30">
        <v>5</v>
      </c>
    </row>
    <row r="131" spans="1:23" ht="21" customHeight="1" x14ac:dyDescent="0.15">
      <c r="A131" s="2" t="str">
        <f ca="1">input_settle_555100!A$2</f>
        <v>555100</v>
      </c>
      <c r="B131" s="6">
        <v>255</v>
      </c>
      <c r="C131" s="7" t="str">
        <f t="shared" si="8"/>
        <v>Premium5</v>
      </c>
      <c r="D131" s="7" t="str">
        <f t="shared" ref="D131:D194" si="10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IFERROR(VLOOKUP(B131,input_settle_555100!L:R,7,FALSE),VLOOKUP(tables_settle_555100!C131,input_settle_555100!A:H,8,FALSE))</f>
        <v>72346.153850000002</v>
      </c>
      <c r="P131" s="46">
        <f t="shared" ca="1" si="9"/>
        <v>1.2560096154077782E-2</v>
      </c>
      <c r="Q131" s="30">
        <f t="shared" ref="Q131:Q194" si="11">IF(J131=3,40,IF(J131=4,60,IF(J131=5,80,"ERROR")))</f>
        <v>80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  <c r="W131" s="30">
        <v>5</v>
      </c>
    </row>
    <row r="132" spans="1:23" ht="21" customHeight="1" x14ac:dyDescent="0.15">
      <c r="A132" s="2" t="str">
        <f ca="1">input_settle_555100!A$2</f>
        <v>555100</v>
      </c>
      <c r="B132" s="6">
        <v>256</v>
      </c>
      <c r="C132" s="7" t="str">
        <f t="shared" si="8"/>
        <v>Premium3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IFERROR(VLOOKUP(B132,input_settle_555100!L:R,7,FALSE),VLOOKUP(tables_settle_555100!C132,input_settle_555100!A:H,8,FALSE))</f>
        <v>0</v>
      </c>
      <c r="P132" s="46">
        <f t="shared" ca="1" si="9"/>
        <v>0</v>
      </c>
      <c r="Q132" s="30">
        <f t="shared" si="11"/>
        <v>40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  <c r="W132" s="30">
        <v>5</v>
      </c>
    </row>
    <row r="133" spans="1:23" ht="21" customHeight="1" x14ac:dyDescent="0.15">
      <c r="A133" s="2" t="str">
        <f ca="1">input_settle_555100!A$2</f>
        <v>555100</v>
      </c>
      <c r="B133" s="6">
        <v>257</v>
      </c>
      <c r="C133" s="7" t="str">
        <f t="shared" si="8"/>
        <v>Premium4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IFERROR(VLOOKUP(B133,input_settle_555100!L:R,7,FALSE),VLOOKUP(tables_settle_555100!C133,input_settle_555100!A:H,8,FALSE))</f>
        <v>0</v>
      </c>
      <c r="P133" s="46">
        <f t="shared" ca="1" si="9"/>
        <v>0</v>
      </c>
      <c r="Q133" s="30">
        <f t="shared" si="11"/>
        <v>60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  <c r="W133" s="30">
        <v>5</v>
      </c>
    </row>
    <row r="134" spans="1:23" ht="21" customHeight="1" x14ac:dyDescent="0.15">
      <c r="A134" s="2" t="str">
        <f ca="1">input_settle_555100!A$2</f>
        <v>555100</v>
      </c>
      <c r="B134" s="6">
        <v>258</v>
      </c>
      <c r="C134" s="7" t="str">
        <f t="shared" si="8"/>
        <v>Premium5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IFERROR(VLOOKUP(B134,input_settle_555100!L:R,7,FALSE),VLOOKUP(tables_settle_555100!C134,input_settle_555100!A:H,8,FALSE))</f>
        <v>72346.153850000002</v>
      </c>
      <c r="P134" s="46">
        <f t="shared" ca="1" si="9"/>
        <v>1.2560096154077782E-2</v>
      </c>
      <c r="Q134" s="30">
        <f t="shared" si="11"/>
        <v>80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  <c r="W134" s="30">
        <v>5</v>
      </c>
    </row>
    <row r="135" spans="1:23" ht="21" customHeight="1" x14ac:dyDescent="0.15">
      <c r="A135" s="2" t="str">
        <f ca="1">input_settle_555100!A$2</f>
        <v>555100</v>
      </c>
      <c r="B135" s="6">
        <v>259</v>
      </c>
      <c r="C135" s="7" t="str">
        <f t="shared" si="8"/>
        <v>Premium3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IFERROR(VLOOKUP(B135,input_settle_555100!L:R,7,FALSE),VLOOKUP(tables_settle_555100!C135,input_settle_555100!A:H,8,FALSE))</f>
        <v>0</v>
      </c>
      <c r="P135" s="46">
        <f t="shared" ca="1" si="9"/>
        <v>0</v>
      </c>
      <c r="Q135" s="30">
        <f t="shared" si="11"/>
        <v>40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  <c r="W135" s="30">
        <v>5</v>
      </c>
    </row>
    <row r="136" spans="1:23" ht="21" customHeight="1" x14ac:dyDescent="0.15">
      <c r="A136" s="2" t="str">
        <f ca="1">input_settle_555100!A$2</f>
        <v>555100</v>
      </c>
      <c r="B136" s="8">
        <v>260</v>
      </c>
      <c r="C136" s="7" t="str">
        <f t="shared" si="8"/>
        <v>Premium4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IFERROR(VLOOKUP(B136,input_settle_555100!L:R,7,FALSE),VLOOKUP(tables_settle_555100!C136,input_settle_555100!A:H,8,FALSE))</f>
        <v>0</v>
      </c>
      <c r="P136" s="46">
        <f t="shared" ca="1" si="9"/>
        <v>0</v>
      </c>
      <c r="Q136" s="30">
        <f t="shared" si="11"/>
        <v>60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  <c r="W136" s="30">
        <v>5</v>
      </c>
    </row>
    <row r="137" spans="1:23" ht="21" customHeight="1" x14ac:dyDescent="0.15">
      <c r="A137" s="2" t="str">
        <f ca="1">input_settle_555100!A$2</f>
        <v>555100</v>
      </c>
      <c r="B137" s="8">
        <v>261</v>
      </c>
      <c r="C137" s="7" t="str">
        <f t="shared" si="8"/>
        <v>Premium5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IFERROR(VLOOKUP(B137,input_settle_555100!L:R,7,FALSE),VLOOKUP(tables_settle_555100!C137,input_settle_555100!A:H,8,FALSE))</f>
        <v>72346.153850000002</v>
      </c>
      <c r="P137" s="46">
        <f t="shared" ca="1" si="9"/>
        <v>1.2560096154077782E-2</v>
      </c>
      <c r="Q137" s="30">
        <f t="shared" si="11"/>
        <v>80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  <c r="W137" s="30">
        <v>5</v>
      </c>
    </row>
    <row r="138" spans="1:23" ht="21" customHeight="1" x14ac:dyDescent="0.15">
      <c r="A138" s="2" t="str">
        <f ca="1">input_settle_555100!A$2</f>
        <v>555100</v>
      </c>
      <c r="B138" s="6">
        <v>320</v>
      </c>
      <c r="C138" s="7" t="str">
        <f t="shared" si="8"/>
        <v>PremiumSS4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IFERROR(VLOOKUP(B138,input_settle_555100!L:R,7,FALSE),VLOOKUP(tables_settle_555100!C138,input_settle_555100!A:H,8,FALSE))</f>
        <v>0</v>
      </c>
      <c r="P138" s="46">
        <f t="shared" ca="1" si="9"/>
        <v>0</v>
      </c>
      <c r="Q138" s="30">
        <f t="shared" si="11"/>
        <v>60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  <c r="W138" s="30">
        <v>5</v>
      </c>
    </row>
    <row r="139" spans="1:23" ht="21" customHeight="1" x14ac:dyDescent="0.15">
      <c r="A139" s="2" t="str">
        <f ca="1">input_settle_555100!A$2</f>
        <v>555100</v>
      </c>
      <c r="B139" s="6">
        <v>321</v>
      </c>
      <c r="C139" s="7" t="str">
        <f t="shared" si="8"/>
        <v>PremiumSS5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IFERROR(VLOOKUP(B139,input_settle_555100!L:R,7,FALSE),VLOOKUP(tables_settle_555100!C139,input_settle_555100!A:H,8,FALSE))</f>
        <v>4000</v>
      </c>
      <c r="P139" s="46">
        <f t="shared" ca="1" si="9"/>
        <v>6.9444444442033214E-4</v>
      </c>
      <c r="Q139" s="30">
        <f t="shared" si="11"/>
        <v>80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  <c r="W139" s="30">
        <v>5</v>
      </c>
    </row>
    <row r="140" spans="1:23" ht="21" customHeight="1" x14ac:dyDescent="0.15">
      <c r="A140" s="2" t="str">
        <f ca="1">input_settle_555100!A$2</f>
        <v>555100</v>
      </c>
      <c r="B140" s="6">
        <v>322</v>
      </c>
      <c r="C140" s="7" t="str">
        <f t="shared" si="8"/>
        <v>PremiumSS4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IFERROR(VLOOKUP(B140,input_settle_555100!L:R,7,FALSE),VLOOKUP(tables_settle_555100!C140,input_settle_555100!A:H,8,FALSE))</f>
        <v>0</v>
      </c>
      <c r="P140" s="46">
        <f t="shared" ca="1" si="9"/>
        <v>0</v>
      </c>
      <c r="Q140" s="30">
        <f t="shared" si="11"/>
        <v>60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  <c r="W140" s="30">
        <v>5</v>
      </c>
    </row>
    <row r="141" spans="1:23" ht="21" customHeight="1" x14ac:dyDescent="0.15">
      <c r="A141" s="2" t="str">
        <f ca="1">input_settle_555100!A$2</f>
        <v>555100</v>
      </c>
      <c r="B141" s="6">
        <v>323</v>
      </c>
      <c r="C141" s="7" t="str">
        <f t="shared" si="8"/>
        <v>PremiumSS5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IFERROR(VLOOKUP(B141,input_settle_555100!L:R,7,FALSE),VLOOKUP(tables_settle_555100!C141,input_settle_555100!A:H,8,FALSE))</f>
        <v>4000</v>
      </c>
      <c r="P141" s="46">
        <f t="shared" ca="1" si="9"/>
        <v>6.9444444442033214E-4</v>
      </c>
      <c r="Q141" s="30">
        <f t="shared" si="11"/>
        <v>80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  <c r="W141" s="30">
        <v>5</v>
      </c>
    </row>
    <row r="142" spans="1:23" ht="21" customHeight="1" x14ac:dyDescent="0.15">
      <c r="A142" s="2" t="str">
        <f ca="1">input_settle_555100!A$2</f>
        <v>555100</v>
      </c>
      <c r="B142" s="6">
        <v>324</v>
      </c>
      <c r="C142" s="7" t="str">
        <f t="shared" si="8"/>
        <v>PremiumSS4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IFERROR(VLOOKUP(B142,input_settle_555100!L:R,7,FALSE),VLOOKUP(tables_settle_555100!C142,input_settle_555100!A:H,8,FALSE))</f>
        <v>0</v>
      </c>
      <c r="P142" s="46">
        <f t="shared" ca="1" si="9"/>
        <v>0</v>
      </c>
      <c r="Q142" s="30">
        <f t="shared" si="11"/>
        <v>60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  <c r="W142" s="30">
        <v>5</v>
      </c>
    </row>
    <row r="143" spans="1:23" s="12" customFormat="1" ht="21" customHeight="1" thickBot="1" x14ac:dyDescent="0.2">
      <c r="A143" s="2" t="str">
        <f ca="1">input_settle_555100!A$2</f>
        <v>555100</v>
      </c>
      <c r="B143" s="6">
        <v>325</v>
      </c>
      <c r="C143" s="7" t="str">
        <f t="shared" si="8"/>
        <v>PremiumSS5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IFERROR(VLOOKUP(B143,input_settle_555100!L:R,7,FALSE),VLOOKUP(tables_settle_555100!C143,input_settle_555100!A:H,8,FALSE))</f>
        <v>4000</v>
      </c>
      <c r="P143" s="46">
        <f t="shared" ca="1" si="9"/>
        <v>6.9444444442033214E-4</v>
      </c>
      <c r="Q143" s="30">
        <f t="shared" si="11"/>
        <v>80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  <c r="W143" s="30">
        <v>5</v>
      </c>
    </row>
    <row r="144" spans="1:23" ht="21" customHeight="1" x14ac:dyDescent="0.15">
      <c r="A144" s="2" t="str">
        <f ca="1">input_settle_555100!A$2</f>
        <v>555100</v>
      </c>
      <c r="B144" s="6">
        <v>326</v>
      </c>
      <c r="C144" s="7" t="str">
        <f t="shared" si="8"/>
        <v>PremiumSS4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IFERROR(VLOOKUP(B144,input_settle_555100!L:R,7,FALSE),VLOOKUP(tables_settle_555100!C144,input_settle_555100!A:H,8,FALSE))</f>
        <v>0</v>
      </c>
      <c r="P144" s="46">
        <f t="shared" ca="1" si="9"/>
        <v>0</v>
      </c>
      <c r="Q144" s="30">
        <f t="shared" si="11"/>
        <v>60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  <c r="W144" s="30">
        <v>5</v>
      </c>
    </row>
    <row r="145" spans="1:23" ht="21" customHeight="1" x14ac:dyDescent="0.15">
      <c r="A145" s="2" t="str">
        <f ca="1">input_settle_555100!A$2</f>
        <v>555100</v>
      </c>
      <c r="B145" s="6">
        <v>327</v>
      </c>
      <c r="C145" s="7" t="str">
        <f t="shared" si="8"/>
        <v>PremiumSS5</v>
      </c>
      <c r="D145" s="7" t="str">
        <f t="shared" si="10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IFERROR(VLOOKUP(B145,input_settle_555100!L:R,7,FALSE),VLOOKUP(tables_settle_555100!C145,input_settle_555100!A:H,8,FALSE))</f>
        <v>4000</v>
      </c>
      <c r="P145" s="46">
        <f t="shared" ca="1" si="9"/>
        <v>6.9444444442033214E-4</v>
      </c>
      <c r="Q145" s="30">
        <f t="shared" si="11"/>
        <v>80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  <c r="W145" s="30">
        <v>5</v>
      </c>
    </row>
    <row r="146" spans="1:23" ht="21" customHeight="1" x14ac:dyDescent="0.15">
      <c r="A146" s="2" t="str">
        <f ca="1">input_settle_555100!A$2</f>
        <v>555100</v>
      </c>
      <c r="B146" s="6">
        <v>380</v>
      </c>
      <c r="C146" s="7" t="str">
        <f t="shared" si="8"/>
        <v>Premium3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IFERROR(VLOOKUP(B146,input_settle_555100!L:R,7,FALSE),VLOOKUP(tables_settle_555100!C146,input_settle_555100!A:H,8,FALSE))</f>
        <v>0</v>
      </c>
      <c r="P146" s="46">
        <f t="shared" ca="1" si="9"/>
        <v>0</v>
      </c>
      <c r="Q146" s="30">
        <f t="shared" si="11"/>
        <v>40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  <c r="W146" s="30">
        <v>5</v>
      </c>
    </row>
    <row r="147" spans="1:23" ht="21" customHeight="1" x14ac:dyDescent="0.15">
      <c r="A147" s="2" t="str">
        <f ca="1">input_settle_555100!A$2</f>
        <v>555100</v>
      </c>
      <c r="B147" s="6">
        <v>381</v>
      </c>
      <c r="C147" s="7" t="str">
        <f t="shared" si="8"/>
        <v>Premium4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IFERROR(VLOOKUP(B147,input_settle_555100!L:R,7,FALSE),VLOOKUP(tables_settle_555100!C147,input_settle_555100!A:H,8,FALSE))</f>
        <v>0</v>
      </c>
      <c r="P147" s="46">
        <f t="shared" ca="1" si="9"/>
        <v>0</v>
      </c>
      <c r="Q147" s="30">
        <f t="shared" si="11"/>
        <v>60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  <c r="W147" s="30">
        <v>5</v>
      </c>
    </row>
    <row r="148" spans="1:23" ht="21" customHeight="1" x14ac:dyDescent="0.15">
      <c r="A148" s="2" t="str">
        <f ca="1">input_settle_555100!A$2</f>
        <v>555100</v>
      </c>
      <c r="B148" s="6">
        <v>382</v>
      </c>
      <c r="C148" s="7" t="str">
        <f t="shared" si="8"/>
        <v>Premium5</v>
      </c>
      <c r="D148" s="7" t="str">
        <f t="shared" si="10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IFERROR(VLOOKUP(B148,input_settle_555100!L:R,7,FALSE),VLOOKUP(tables_settle_555100!C148,input_settle_555100!A:H,8,FALSE))</f>
        <v>72346.153850000002</v>
      </c>
      <c r="P148" s="46">
        <f t="shared" ca="1" si="9"/>
        <v>1.2560096154077782E-2</v>
      </c>
      <c r="Q148" s="30">
        <f t="shared" si="11"/>
        <v>80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  <c r="W148" s="30">
        <v>5</v>
      </c>
    </row>
    <row r="149" spans="1:23" ht="21" customHeight="1" x14ac:dyDescent="0.15">
      <c r="A149" s="2" t="str">
        <f ca="1">input_settle_555100!A$2</f>
        <v>555100</v>
      </c>
      <c r="B149" s="6">
        <v>383</v>
      </c>
      <c r="C149" s="7" t="str">
        <f t="shared" si="8"/>
        <v>PremiumSS4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IFERROR(VLOOKUP(B149,input_settle_555100!L:R,7,FALSE),VLOOKUP(tables_settle_555100!C149,input_settle_555100!A:H,8,FALSE))</f>
        <v>0</v>
      </c>
      <c r="P149" s="46">
        <f t="shared" ca="1" si="9"/>
        <v>0</v>
      </c>
      <c r="Q149" s="30">
        <f t="shared" si="11"/>
        <v>60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  <c r="W149" s="30">
        <v>5</v>
      </c>
    </row>
    <row r="150" spans="1:23" ht="21" customHeight="1" x14ac:dyDescent="0.15">
      <c r="A150" s="2" t="str">
        <f ca="1">input_settle_555100!A$2</f>
        <v>555100</v>
      </c>
      <c r="B150" s="6">
        <v>384</v>
      </c>
      <c r="C150" s="7" t="str">
        <f t="shared" si="8"/>
        <v>PremiumSS5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IFERROR(VLOOKUP(B150,input_settle_555100!L:R,7,FALSE),VLOOKUP(tables_settle_555100!C150,input_settle_555100!A:H,8,FALSE))</f>
        <v>4000</v>
      </c>
      <c r="P150" s="46">
        <f t="shared" ca="1" si="9"/>
        <v>6.9444444442033214E-4</v>
      </c>
      <c r="Q150" s="30">
        <f t="shared" si="11"/>
        <v>80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  <c r="W150" s="30">
        <v>5</v>
      </c>
    </row>
    <row r="151" spans="1:23" ht="21" customHeight="1" x14ac:dyDescent="0.15">
      <c r="A151" s="2" t="str">
        <f ca="1">input_settle_555100!A$2</f>
        <v>555100</v>
      </c>
      <c r="B151" s="6">
        <v>385</v>
      </c>
      <c r="C151" s="7" t="str">
        <f t="shared" si="8"/>
        <v>PremiumSS4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IFERROR(VLOOKUP(B151,input_settle_555100!L:R,7,FALSE),VLOOKUP(tables_settle_555100!C151,input_settle_555100!A:H,8,FALSE))</f>
        <v>0</v>
      </c>
      <c r="P151" s="46">
        <f t="shared" ca="1" si="9"/>
        <v>0</v>
      </c>
      <c r="Q151" s="30">
        <f t="shared" si="11"/>
        <v>60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  <c r="W151" s="30">
        <v>5</v>
      </c>
    </row>
    <row r="152" spans="1:23" ht="21" customHeight="1" x14ac:dyDescent="0.15">
      <c r="A152" s="2" t="str">
        <f ca="1">input_settle_555100!A$2</f>
        <v>555100</v>
      </c>
      <c r="B152" s="6">
        <v>386</v>
      </c>
      <c r="C152" s="7" t="str">
        <f t="shared" si="8"/>
        <v>PremiumSS5</v>
      </c>
      <c r="D152" s="7" t="str">
        <f t="shared" si="10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IFERROR(VLOOKUP(B152,input_settle_555100!L:R,7,FALSE),VLOOKUP(tables_settle_555100!C152,input_settle_555100!A:H,8,FALSE))</f>
        <v>4000</v>
      </c>
      <c r="P152" s="46">
        <f t="shared" ca="1" si="9"/>
        <v>6.9444444442033214E-4</v>
      </c>
      <c r="Q152" s="30">
        <f t="shared" si="11"/>
        <v>80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  <c r="W152" s="30">
        <v>5</v>
      </c>
    </row>
    <row r="153" spans="1:23" ht="21" customHeight="1" x14ac:dyDescent="0.15">
      <c r="A153" s="2" t="str">
        <f ca="1">input_settle_555100!A$2</f>
        <v>555100</v>
      </c>
      <c r="B153" s="6">
        <v>387</v>
      </c>
      <c r="C153" s="7" t="str">
        <f t="shared" si="8"/>
        <v>Premium3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IFERROR(VLOOKUP(B153,input_settle_555100!L:R,7,FALSE),VLOOKUP(tables_settle_555100!C153,input_settle_555100!A:H,8,FALSE))</f>
        <v>0</v>
      </c>
      <c r="P153" s="46">
        <f t="shared" ca="1" si="9"/>
        <v>0</v>
      </c>
      <c r="Q153" s="30">
        <f t="shared" si="11"/>
        <v>40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  <c r="W153" s="30">
        <v>5</v>
      </c>
    </row>
    <row r="154" spans="1:23" ht="21" customHeight="1" x14ac:dyDescent="0.15">
      <c r="A154" s="2" t="str">
        <f ca="1">input_settle_555100!A$2</f>
        <v>555100</v>
      </c>
      <c r="B154" s="6">
        <v>388</v>
      </c>
      <c r="C154" s="7" t="str">
        <f t="shared" si="8"/>
        <v>Premium4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IFERROR(VLOOKUP(B154,input_settle_555100!L:R,7,FALSE),VLOOKUP(tables_settle_555100!C154,input_settle_555100!A:H,8,FALSE))</f>
        <v>0</v>
      </c>
      <c r="P154" s="46">
        <f t="shared" ca="1" si="9"/>
        <v>0</v>
      </c>
      <c r="Q154" s="30">
        <f t="shared" si="11"/>
        <v>60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  <c r="W154" s="30">
        <v>5</v>
      </c>
    </row>
    <row r="155" spans="1:23" ht="21" customHeight="1" x14ac:dyDescent="0.15">
      <c r="A155" s="2" t="str">
        <f ca="1">input_settle_555100!A$2</f>
        <v>555100</v>
      </c>
      <c r="B155" s="6">
        <v>389</v>
      </c>
      <c r="C155" s="7" t="str">
        <f t="shared" si="8"/>
        <v>Premium5</v>
      </c>
      <c r="D155" s="7" t="str">
        <f t="shared" si="10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IFERROR(VLOOKUP(B155,input_settle_555100!L:R,7,FALSE),VLOOKUP(tables_settle_555100!C155,input_settle_555100!A:H,8,FALSE))</f>
        <v>72346.153850000002</v>
      </c>
      <c r="P155" s="46">
        <f t="shared" ca="1" si="9"/>
        <v>1.2560096154077782E-2</v>
      </c>
      <c r="Q155" s="30">
        <f t="shared" si="11"/>
        <v>80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  <c r="W155" s="30">
        <v>5</v>
      </c>
    </row>
    <row r="156" spans="1:23" ht="21" customHeight="1" x14ac:dyDescent="0.15">
      <c r="A156" s="2" t="str">
        <f ca="1">input_settle_555100!A$2</f>
        <v>555100</v>
      </c>
      <c r="B156" s="6">
        <v>390</v>
      </c>
      <c r="C156" s="7" t="str">
        <f t="shared" si="8"/>
        <v>PremiumSS4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IFERROR(VLOOKUP(B156,input_settle_555100!L:R,7,FALSE),VLOOKUP(tables_settle_555100!C156,input_settle_555100!A:H,8,FALSE))</f>
        <v>0</v>
      </c>
      <c r="P156" s="46">
        <f t="shared" ca="1" si="9"/>
        <v>0</v>
      </c>
      <c r="Q156" s="30">
        <f t="shared" si="11"/>
        <v>60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  <c r="W156" s="30">
        <v>5</v>
      </c>
    </row>
    <row r="157" spans="1:23" ht="21" customHeight="1" x14ac:dyDescent="0.15">
      <c r="A157" s="2" t="str">
        <f ca="1">input_settle_555100!A$2</f>
        <v>555100</v>
      </c>
      <c r="B157" s="6">
        <v>391</v>
      </c>
      <c r="C157" s="7" t="str">
        <f t="shared" si="8"/>
        <v>PremiumSS5</v>
      </c>
      <c r="D157" s="7" t="str">
        <f t="shared" si="10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IFERROR(VLOOKUP(B157,input_settle_555100!L:R,7,FALSE),VLOOKUP(tables_settle_555100!C157,input_settle_555100!A:H,8,FALSE))</f>
        <v>4000</v>
      </c>
      <c r="P157" s="46">
        <f t="shared" ca="1" si="9"/>
        <v>6.9444444442033214E-4</v>
      </c>
      <c r="Q157" s="30">
        <f t="shared" si="11"/>
        <v>80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  <c r="W157" s="30">
        <v>5</v>
      </c>
    </row>
    <row r="158" spans="1:23" ht="21" customHeight="1" x14ac:dyDescent="0.15">
      <c r="A158" s="2" t="str">
        <f ca="1">input_settle_555100!A$2</f>
        <v>555100</v>
      </c>
      <c r="B158" s="6">
        <v>392</v>
      </c>
      <c r="C158" s="7" t="str">
        <f t="shared" si="8"/>
        <v>Premium3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IFERROR(VLOOKUP(B158,input_settle_555100!L:R,7,FALSE),VLOOKUP(tables_settle_555100!C158,input_settle_555100!A:H,8,FALSE))</f>
        <v>0</v>
      </c>
      <c r="P158" s="46">
        <f t="shared" ca="1" si="9"/>
        <v>0</v>
      </c>
      <c r="Q158" s="30">
        <f t="shared" si="11"/>
        <v>40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  <c r="W158" s="30">
        <v>5</v>
      </c>
    </row>
    <row r="159" spans="1:23" ht="21" customHeight="1" x14ac:dyDescent="0.15">
      <c r="A159" s="2" t="str">
        <f ca="1">input_settle_555100!A$2</f>
        <v>555100</v>
      </c>
      <c r="B159" s="6">
        <v>393</v>
      </c>
      <c r="C159" s="7" t="str">
        <f t="shared" si="8"/>
        <v>Premium4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IFERROR(VLOOKUP(B159,input_settle_555100!L:R,7,FALSE),VLOOKUP(tables_settle_555100!C159,input_settle_555100!A:H,8,FALSE))</f>
        <v>0</v>
      </c>
      <c r="P159" s="46">
        <f t="shared" ca="1" si="9"/>
        <v>0</v>
      </c>
      <c r="Q159" s="30">
        <f t="shared" si="11"/>
        <v>60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  <c r="W159" s="30">
        <v>5</v>
      </c>
    </row>
    <row r="160" spans="1:23" ht="21" customHeight="1" x14ac:dyDescent="0.15">
      <c r="A160" s="2" t="str">
        <f ca="1">input_settle_555100!A$2</f>
        <v>555100</v>
      </c>
      <c r="B160" s="6">
        <v>394</v>
      </c>
      <c r="C160" s="7" t="str">
        <f t="shared" si="8"/>
        <v>Premium5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IFERROR(VLOOKUP(B160,input_settle_555100!L:R,7,FALSE),VLOOKUP(tables_settle_555100!C160,input_settle_555100!A:H,8,FALSE))</f>
        <v>72346.153850000002</v>
      </c>
      <c r="P160" s="46">
        <f t="shared" ca="1" si="9"/>
        <v>1.2560096154077782E-2</v>
      </c>
      <c r="Q160" s="30">
        <f t="shared" si="11"/>
        <v>80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  <c r="W160" s="30">
        <v>5</v>
      </c>
    </row>
    <row r="161" spans="1:23" ht="21" customHeight="1" x14ac:dyDescent="0.15">
      <c r="A161" s="2" t="str">
        <f ca="1">input_settle_555100!A$2</f>
        <v>555100</v>
      </c>
      <c r="B161" s="6">
        <v>395</v>
      </c>
      <c r="C161" s="7" t="str">
        <f t="shared" si="8"/>
        <v>Premium3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IFERROR(VLOOKUP(B161,input_settle_555100!L:R,7,FALSE),VLOOKUP(tables_settle_555100!C161,input_settle_555100!A:H,8,FALSE))</f>
        <v>0</v>
      </c>
      <c r="P161" s="46">
        <f t="shared" ca="1" si="9"/>
        <v>0</v>
      </c>
      <c r="Q161" s="30">
        <f t="shared" si="11"/>
        <v>40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  <c r="W161" s="30">
        <v>5</v>
      </c>
    </row>
    <row r="162" spans="1:23" ht="21" customHeight="1" x14ac:dyDescent="0.15">
      <c r="A162" s="2" t="str">
        <f ca="1">input_settle_555100!A$2</f>
        <v>555100</v>
      </c>
      <c r="B162" s="6">
        <v>396</v>
      </c>
      <c r="C162" s="7" t="str">
        <f t="shared" si="8"/>
        <v>Premium4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IFERROR(VLOOKUP(B162,input_settle_555100!L:R,7,FALSE),VLOOKUP(tables_settle_555100!C162,input_settle_555100!A:H,8,FALSE))</f>
        <v>0</v>
      </c>
      <c r="P162" s="46">
        <f t="shared" ca="1" si="9"/>
        <v>0</v>
      </c>
      <c r="Q162" s="30">
        <f t="shared" si="11"/>
        <v>60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  <c r="W162" s="30">
        <v>5</v>
      </c>
    </row>
    <row r="163" spans="1:23" ht="21" customHeight="1" x14ac:dyDescent="0.15">
      <c r="A163" s="2" t="str">
        <f ca="1">input_settle_555100!A$2</f>
        <v>555100</v>
      </c>
      <c r="B163" s="6">
        <v>397</v>
      </c>
      <c r="C163" s="7" t="str">
        <f t="shared" si="8"/>
        <v>Premium5</v>
      </c>
      <c r="D163" s="7" t="str">
        <f t="shared" si="10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IFERROR(VLOOKUP(B163,input_settle_555100!L:R,7,FALSE),VLOOKUP(tables_settle_555100!C163,input_settle_555100!A:H,8,FALSE))</f>
        <v>72346.153850000002</v>
      </c>
      <c r="P163" s="46">
        <f t="shared" ca="1" si="9"/>
        <v>1.2560096154077782E-2</v>
      </c>
      <c r="Q163" s="30">
        <f t="shared" si="11"/>
        <v>80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  <c r="W163" s="30">
        <v>5</v>
      </c>
    </row>
    <row r="164" spans="1:23" ht="21" customHeight="1" x14ac:dyDescent="0.15">
      <c r="A164" s="2" t="str">
        <f ca="1">input_settle_555100!A$2</f>
        <v>555100</v>
      </c>
      <c r="B164" s="6">
        <v>398</v>
      </c>
      <c r="C164" s="7" t="str">
        <f t="shared" si="8"/>
        <v>PremiumSS4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IFERROR(VLOOKUP(B164,input_settle_555100!L:R,7,FALSE),VLOOKUP(tables_settle_555100!C164,input_settle_555100!A:H,8,FALSE))</f>
        <v>0</v>
      </c>
      <c r="P164" s="46">
        <f t="shared" ca="1" si="9"/>
        <v>0</v>
      </c>
      <c r="Q164" s="30">
        <f t="shared" si="11"/>
        <v>60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  <c r="W164" s="30">
        <v>5</v>
      </c>
    </row>
    <row r="165" spans="1:23" ht="21" customHeight="1" x14ac:dyDescent="0.15">
      <c r="A165" s="2" t="str">
        <f ca="1">input_settle_555100!A$2</f>
        <v>555100</v>
      </c>
      <c r="B165" s="6">
        <v>399</v>
      </c>
      <c r="C165" s="7" t="str">
        <f t="shared" si="8"/>
        <v>PremiumSS5</v>
      </c>
      <c r="D165" s="7" t="str">
        <f t="shared" si="10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IFERROR(VLOOKUP(B165,input_settle_555100!L:R,7,FALSE),VLOOKUP(tables_settle_555100!C165,input_settle_555100!A:H,8,FALSE))</f>
        <v>4000</v>
      </c>
      <c r="P165" s="46">
        <f t="shared" ca="1" si="9"/>
        <v>6.9444444442033214E-4</v>
      </c>
      <c r="Q165" s="30">
        <f t="shared" si="11"/>
        <v>80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  <c r="W165" s="30">
        <v>5</v>
      </c>
    </row>
    <row r="166" spans="1:23" ht="21" customHeight="1" x14ac:dyDescent="0.15">
      <c r="A166" s="2" t="str">
        <f ca="1">input_settle_555100!A$2</f>
        <v>555100</v>
      </c>
      <c r="B166" s="6">
        <v>400</v>
      </c>
      <c r="C166" s="7" t="str">
        <f t="shared" si="8"/>
        <v>Premium3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IFERROR(VLOOKUP(B166,input_settle_555100!L:R,7,FALSE),VLOOKUP(tables_settle_555100!C166,input_settle_555100!A:H,8,FALSE))</f>
        <v>0</v>
      </c>
      <c r="P166" s="46">
        <f t="shared" ca="1" si="9"/>
        <v>0</v>
      </c>
      <c r="Q166" s="30">
        <f t="shared" si="11"/>
        <v>40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  <c r="W166" s="30">
        <v>5</v>
      </c>
    </row>
    <row r="167" spans="1:23" ht="21" customHeight="1" x14ac:dyDescent="0.15">
      <c r="A167" s="2" t="str">
        <f ca="1">input_settle_555100!A$2</f>
        <v>555100</v>
      </c>
      <c r="B167" s="6">
        <v>401</v>
      </c>
      <c r="C167" s="7" t="str">
        <f t="shared" si="8"/>
        <v>Premium4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IFERROR(VLOOKUP(B167,input_settle_555100!L:R,7,FALSE),VLOOKUP(tables_settle_555100!C167,input_settle_555100!A:H,8,FALSE))</f>
        <v>0</v>
      </c>
      <c r="P167" s="46">
        <f t="shared" ca="1" si="9"/>
        <v>0</v>
      </c>
      <c r="Q167" s="30">
        <f t="shared" si="11"/>
        <v>60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  <c r="W167" s="30">
        <v>5</v>
      </c>
    </row>
    <row r="168" spans="1:23" ht="21" customHeight="1" x14ac:dyDescent="0.15">
      <c r="A168" s="2" t="str">
        <f ca="1">input_settle_555100!A$2</f>
        <v>555100</v>
      </c>
      <c r="B168" s="6">
        <v>402</v>
      </c>
      <c r="C168" s="7" t="str">
        <f t="shared" si="8"/>
        <v>Premium5</v>
      </c>
      <c r="D168" s="7" t="str">
        <f t="shared" si="10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IFERROR(VLOOKUP(B168,input_settle_555100!L:R,7,FALSE),VLOOKUP(tables_settle_555100!C168,input_settle_555100!A:H,8,FALSE))</f>
        <v>72346.153850000002</v>
      </c>
      <c r="P168" s="46">
        <f t="shared" ca="1" si="9"/>
        <v>1.2560096154077782E-2</v>
      </c>
      <c r="Q168" s="30">
        <f t="shared" si="11"/>
        <v>80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  <c r="W168" s="30">
        <v>5</v>
      </c>
    </row>
    <row r="169" spans="1:23" ht="21" customHeight="1" x14ac:dyDescent="0.15">
      <c r="A169" s="2" t="str">
        <f ca="1">input_settle_555100!A$2</f>
        <v>555100</v>
      </c>
      <c r="B169" s="6">
        <v>403</v>
      </c>
      <c r="C169" s="7" t="str">
        <f t="shared" si="8"/>
        <v>PremiumSS4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IFERROR(VLOOKUP(B169,input_settle_555100!L:R,7,FALSE),VLOOKUP(tables_settle_555100!C169,input_settle_555100!A:H,8,FALSE))</f>
        <v>0</v>
      </c>
      <c r="P169" s="46">
        <f t="shared" ca="1" si="9"/>
        <v>0</v>
      </c>
      <c r="Q169" s="30">
        <f t="shared" si="11"/>
        <v>60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  <c r="W169" s="30">
        <v>5</v>
      </c>
    </row>
    <row r="170" spans="1:23" ht="21" customHeight="1" x14ac:dyDescent="0.15">
      <c r="A170" s="2" t="str">
        <f ca="1">input_settle_555100!A$2</f>
        <v>555100</v>
      </c>
      <c r="B170" s="6">
        <v>404</v>
      </c>
      <c r="C170" s="7" t="str">
        <f t="shared" si="8"/>
        <v>PremiumSS5</v>
      </c>
      <c r="D170" s="7" t="str">
        <f t="shared" si="10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IFERROR(VLOOKUP(B170,input_settle_555100!L:R,7,FALSE),VLOOKUP(tables_settle_555100!C170,input_settle_555100!A:H,8,FALSE))</f>
        <v>4000</v>
      </c>
      <c r="P170" s="46">
        <f t="shared" ca="1" si="9"/>
        <v>6.9444444442033214E-4</v>
      </c>
      <c r="Q170" s="30">
        <f t="shared" si="11"/>
        <v>80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  <c r="W170" s="30">
        <v>5</v>
      </c>
    </row>
    <row r="171" spans="1:23" ht="21" customHeight="1" x14ac:dyDescent="0.15">
      <c r="A171" s="2" t="str">
        <f ca="1">input_settle_555100!A$2</f>
        <v>555100</v>
      </c>
      <c r="B171" s="6">
        <v>405</v>
      </c>
      <c r="C171" s="7" t="str">
        <f t="shared" si="8"/>
        <v>Premium3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IFERROR(VLOOKUP(B171,input_settle_555100!L:R,7,FALSE),VLOOKUP(tables_settle_555100!C171,input_settle_555100!A:H,8,FALSE))</f>
        <v>0</v>
      </c>
      <c r="P171" s="46">
        <f t="shared" ca="1" si="9"/>
        <v>0</v>
      </c>
      <c r="Q171" s="30">
        <f t="shared" si="11"/>
        <v>40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  <c r="W171" s="30">
        <v>5</v>
      </c>
    </row>
    <row r="172" spans="1:23" ht="21" customHeight="1" x14ac:dyDescent="0.15">
      <c r="A172" s="2" t="str">
        <f ca="1">input_settle_555100!A$2</f>
        <v>555100</v>
      </c>
      <c r="B172" s="6">
        <v>406</v>
      </c>
      <c r="C172" s="7" t="str">
        <f t="shared" si="8"/>
        <v>Premium4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IFERROR(VLOOKUP(B172,input_settle_555100!L:R,7,FALSE),VLOOKUP(tables_settle_555100!C172,input_settle_555100!A:H,8,FALSE))</f>
        <v>0</v>
      </c>
      <c r="P172" s="46">
        <f t="shared" ca="1" si="9"/>
        <v>0</v>
      </c>
      <c r="Q172" s="30">
        <f t="shared" si="11"/>
        <v>60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  <c r="W172" s="30">
        <v>5</v>
      </c>
    </row>
    <row r="173" spans="1:23" ht="21" customHeight="1" x14ac:dyDescent="0.15">
      <c r="A173" s="2" t="str">
        <f ca="1">input_settle_555100!A$2</f>
        <v>555100</v>
      </c>
      <c r="B173" s="6">
        <v>407</v>
      </c>
      <c r="C173" s="7" t="str">
        <f t="shared" si="8"/>
        <v>Premium5</v>
      </c>
      <c r="D173" s="7" t="str">
        <f t="shared" si="10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IFERROR(VLOOKUP(B173,input_settle_555100!L:R,7,FALSE),VLOOKUP(tables_settle_555100!C173,input_settle_555100!A:H,8,FALSE))</f>
        <v>72346.153850000002</v>
      </c>
      <c r="P173" s="46">
        <f t="shared" ca="1" si="9"/>
        <v>1.2560096154077782E-2</v>
      </c>
      <c r="Q173" s="30">
        <f t="shared" si="11"/>
        <v>80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  <c r="W173" s="30">
        <v>5</v>
      </c>
    </row>
    <row r="174" spans="1:23" ht="21" customHeight="1" x14ac:dyDescent="0.15">
      <c r="A174" s="2" t="str">
        <f ca="1">input_settle_555100!A$2</f>
        <v>555100</v>
      </c>
      <c r="B174" s="6">
        <v>408</v>
      </c>
      <c r="C174" s="7" t="str">
        <f t="shared" si="8"/>
        <v>PremiumSS4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IFERROR(VLOOKUP(B174,input_settle_555100!L:R,7,FALSE),VLOOKUP(tables_settle_555100!C174,input_settle_555100!A:H,8,FALSE))</f>
        <v>0</v>
      </c>
      <c r="P174" s="46">
        <f t="shared" ca="1" si="9"/>
        <v>0</v>
      </c>
      <c r="Q174" s="30">
        <f t="shared" si="11"/>
        <v>60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  <c r="W174" s="30">
        <v>5</v>
      </c>
    </row>
    <row r="175" spans="1:23" ht="21" customHeight="1" x14ac:dyDescent="0.15">
      <c r="A175" s="2" t="str">
        <f ca="1">input_settle_555100!A$2</f>
        <v>555100</v>
      </c>
      <c r="B175" s="6">
        <v>409</v>
      </c>
      <c r="C175" s="7" t="str">
        <f t="shared" si="8"/>
        <v>PremiumSS5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IFERROR(VLOOKUP(B175,input_settle_555100!L:R,7,FALSE),VLOOKUP(tables_settle_555100!C175,input_settle_555100!A:H,8,FALSE))</f>
        <v>4000</v>
      </c>
      <c r="P175" s="46">
        <f t="shared" ca="1" si="9"/>
        <v>6.9444444442033214E-4</v>
      </c>
      <c r="Q175" s="30">
        <f t="shared" si="11"/>
        <v>80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  <c r="W175" s="30">
        <v>5</v>
      </c>
    </row>
    <row r="176" spans="1:23" ht="21" customHeight="1" x14ac:dyDescent="0.15">
      <c r="A176" s="2" t="str">
        <f ca="1">input_settle_555100!A$2</f>
        <v>555100</v>
      </c>
      <c r="B176" s="6">
        <v>434</v>
      </c>
      <c r="C176" s="7" t="str">
        <f t="shared" si="8"/>
        <v>PremiumSS4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IFERROR(VLOOKUP(B176,input_settle_555100!L:R,7,FALSE),VLOOKUP(tables_settle_555100!C176,input_settle_555100!A:H,8,FALSE))</f>
        <v>0</v>
      </c>
      <c r="P176" s="46">
        <f t="shared" ca="1" si="9"/>
        <v>0</v>
      </c>
      <c r="Q176" s="30">
        <f t="shared" si="11"/>
        <v>60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  <c r="W176" s="30">
        <v>5</v>
      </c>
    </row>
    <row r="177" spans="1:23" ht="21" customHeight="1" x14ac:dyDescent="0.15">
      <c r="A177" s="2" t="str">
        <f ca="1">input_settle_555100!A$2</f>
        <v>555100</v>
      </c>
      <c r="B177" s="6">
        <v>435</v>
      </c>
      <c r="C177" s="7" t="str">
        <f t="shared" si="8"/>
        <v>PremiumSS5</v>
      </c>
      <c r="D177" s="7" t="str">
        <f t="shared" si="10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IFERROR(VLOOKUP(B177,input_settle_555100!L:R,7,FALSE),VLOOKUP(tables_settle_555100!C177,input_settle_555100!A:H,8,FALSE))</f>
        <v>4000</v>
      </c>
      <c r="P177" s="46">
        <f t="shared" ca="1" si="9"/>
        <v>6.9444444442033214E-4</v>
      </c>
      <c r="Q177" s="30">
        <f t="shared" si="11"/>
        <v>80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  <c r="W177" s="30">
        <v>5</v>
      </c>
    </row>
    <row r="178" spans="1:23" ht="21" customHeight="1" x14ac:dyDescent="0.15">
      <c r="A178" s="2" t="str">
        <f ca="1">input_settle_555100!A$2</f>
        <v>555100</v>
      </c>
      <c r="B178" s="6">
        <v>436</v>
      </c>
      <c r="C178" s="7" t="str">
        <f t="shared" si="8"/>
        <v>Premium3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IFERROR(VLOOKUP(B178,input_settle_555100!L:R,7,FALSE),VLOOKUP(tables_settle_555100!C178,input_settle_555100!A:H,8,FALSE))</f>
        <v>0</v>
      </c>
      <c r="P178" s="46">
        <f t="shared" ca="1" si="9"/>
        <v>0</v>
      </c>
      <c r="Q178" s="30">
        <f t="shared" si="11"/>
        <v>40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  <c r="W178" s="30">
        <v>5</v>
      </c>
    </row>
    <row r="179" spans="1:23" ht="21" customHeight="1" x14ac:dyDescent="0.15">
      <c r="A179" s="2" t="str">
        <f ca="1">input_settle_555100!A$2</f>
        <v>555100</v>
      </c>
      <c r="B179" s="6">
        <v>437</v>
      </c>
      <c r="C179" s="7" t="str">
        <f t="shared" si="8"/>
        <v>Premium4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IFERROR(VLOOKUP(B179,input_settle_555100!L:R,7,FALSE),VLOOKUP(tables_settle_555100!C179,input_settle_555100!A:H,8,FALSE))</f>
        <v>0</v>
      </c>
      <c r="P179" s="46">
        <f t="shared" ca="1" si="9"/>
        <v>0</v>
      </c>
      <c r="Q179" s="30">
        <f t="shared" si="11"/>
        <v>60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  <c r="W179" s="30">
        <v>5</v>
      </c>
    </row>
    <row r="180" spans="1:23" ht="21" customHeight="1" x14ac:dyDescent="0.15">
      <c r="A180" s="2" t="str">
        <f ca="1">input_settle_555100!A$2</f>
        <v>555100</v>
      </c>
      <c r="B180" s="6">
        <v>438</v>
      </c>
      <c r="C180" s="7" t="str">
        <f t="shared" si="8"/>
        <v>Premium5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IFERROR(VLOOKUP(B180,input_settle_555100!L:R,7,FALSE),VLOOKUP(tables_settle_555100!C180,input_settle_555100!A:H,8,FALSE))</f>
        <v>72346.153850000002</v>
      </c>
      <c r="P180" s="46">
        <f t="shared" ca="1" si="9"/>
        <v>1.2560096154077782E-2</v>
      </c>
      <c r="Q180" s="30">
        <f t="shared" si="11"/>
        <v>80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  <c r="W180" s="30">
        <v>5</v>
      </c>
    </row>
    <row r="181" spans="1:23" ht="21" customHeight="1" x14ac:dyDescent="0.15">
      <c r="A181" s="2" t="str">
        <f ca="1">input_settle_555100!A$2</f>
        <v>555100</v>
      </c>
      <c r="B181" s="6">
        <v>439</v>
      </c>
      <c r="C181" s="7" t="str">
        <f t="shared" si="8"/>
        <v>Premium3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IFERROR(VLOOKUP(B181,input_settle_555100!L:R,7,FALSE),VLOOKUP(tables_settle_555100!C181,input_settle_555100!A:H,8,FALSE))</f>
        <v>0</v>
      </c>
      <c r="P181" s="46">
        <f t="shared" ca="1" si="9"/>
        <v>0</v>
      </c>
      <c r="Q181" s="30">
        <f t="shared" si="11"/>
        <v>40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  <c r="W181" s="30">
        <v>5</v>
      </c>
    </row>
    <row r="182" spans="1:23" ht="21" customHeight="1" x14ac:dyDescent="0.15">
      <c r="A182" s="2" t="str">
        <f ca="1">input_settle_555100!A$2</f>
        <v>555100</v>
      </c>
      <c r="B182" s="6">
        <v>440</v>
      </c>
      <c r="C182" s="7" t="str">
        <f t="shared" si="8"/>
        <v>Premium4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IFERROR(VLOOKUP(B182,input_settle_555100!L:R,7,FALSE),VLOOKUP(tables_settle_555100!C182,input_settle_555100!A:H,8,FALSE))</f>
        <v>0</v>
      </c>
      <c r="P182" s="46">
        <f t="shared" ca="1" si="9"/>
        <v>0</v>
      </c>
      <c r="Q182" s="30">
        <f t="shared" si="11"/>
        <v>60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  <c r="W182" s="30">
        <v>5</v>
      </c>
    </row>
    <row r="183" spans="1:23" ht="21" customHeight="1" x14ac:dyDescent="0.15">
      <c r="A183" s="2" t="str">
        <f ca="1">input_settle_555100!A$2</f>
        <v>555100</v>
      </c>
      <c r="B183" s="6">
        <v>441</v>
      </c>
      <c r="C183" s="7" t="str">
        <f t="shared" si="8"/>
        <v>Premium5</v>
      </c>
      <c r="D183" s="7" t="str">
        <f t="shared" si="10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IFERROR(VLOOKUP(B183,input_settle_555100!L:R,7,FALSE),VLOOKUP(tables_settle_555100!C183,input_settle_555100!A:H,8,FALSE))</f>
        <v>72346.153850000002</v>
      </c>
      <c r="P183" s="46">
        <f t="shared" ca="1" si="9"/>
        <v>1.2560096154077782E-2</v>
      </c>
      <c r="Q183" s="30">
        <f t="shared" si="11"/>
        <v>80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  <c r="W183" s="30">
        <v>5</v>
      </c>
    </row>
    <row r="184" spans="1:23" ht="21" customHeight="1" x14ac:dyDescent="0.15">
      <c r="A184" s="2" t="str">
        <f ca="1">input_settle_555100!A$2</f>
        <v>555100</v>
      </c>
      <c r="B184" s="6">
        <v>442</v>
      </c>
      <c r="C184" s="7" t="str">
        <f t="shared" si="8"/>
        <v>PremiumSS4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IFERROR(VLOOKUP(B184,input_settle_555100!L:R,7,FALSE),VLOOKUP(tables_settle_555100!C184,input_settle_555100!A:H,8,FALSE))</f>
        <v>0</v>
      </c>
      <c r="P184" s="46">
        <f t="shared" ca="1" si="9"/>
        <v>0</v>
      </c>
      <c r="Q184" s="30">
        <f t="shared" si="11"/>
        <v>60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  <c r="W184" s="30">
        <v>5</v>
      </c>
    </row>
    <row r="185" spans="1:23" ht="21" customHeight="1" x14ac:dyDescent="0.15">
      <c r="A185" s="2" t="str">
        <f ca="1">input_settle_555100!A$2</f>
        <v>555100</v>
      </c>
      <c r="B185" s="6">
        <v>443</v>
      </c>
      <c r="C185" s="7" t="str">
        <f t="shared" si="8"/>
        <v>PremiumSS5</v>
      </c>
      <c r="D185" s="7" t="str">
        <f t="shared" si="10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IFERROR(VLOOKUP(B185,input_settle_555100!L:R,7,FALSE),VLOOKUP(tables_settle_555100!C185,input_settle_555100!A:H,8,FALSE))</f>
        <v>4000</v>
      </c>
      <c r="P185" s="46">
        <f t="shared" ca="1" si="9"/>
        <v>6.9444444442033214E-4</v>
      </c>
      <c r="Q185" s="30">
        <f t="shared" si="11"/>
        <v>80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  <c r="W185" s="30">
        <v>5</v>
      </c>
    </row>
    <row r="186" spans="1:23" ht="21" customHeight="1" x14ac:dyDescent="0.15">
      <c r="A186" s="2" t="str">
        <f ca="1">input_settle_555100!A$2</f>
        <v>555100</v>
      </c>
      <c r="B186" s="8">
        <v>462</v>
      </c>
      <c r="C186" s="7" t="str">
        <f t="shared" si="8"/>
        <v>Premium3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IFERROR(VLOOKUP(B186,input_settle_555100!L:R,7,FALSE),VLOOKUP(tables_settle_555100!C186,input_settle_555100!A:H,8,FALSE))</f>
        <v>0</v>
      </c>
      <c r="P186" s="46">
        <f t="shared" ca="1" si="9"/>
        <v>0</v>
      </c>
      <c r="Q186" s="30">
        <f t="shared" si="11"/>
        <v>40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  <c r="W186" s="30">
        <v>5</v>
      </c>
    </row>
    <row r="187" spans="1:23" ht="21" customHeight="1" x14ac:dyDescent="0.15">
      <c r="A187" s="2" t="str">
        <f ca="1">input_settle_555100!A$2</f>
        <v>555100</v>
      </c>
      <c r="B187" s="8">
        <v>463</v>
      </c>
      <c r="C187" s="7" t="str">
        <f t="shared" si="8"/>
        <v>Premium4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IFERROR(VLOOKUP(B187,input_settle_555100!L:R,7,FALSE),VLOOKUP(tables_settle_555100!C187,input_settle_555100!A:H,8,FALSE))</f>
        <v>0</v>
      </c>
      <c r="P187" s="46">
        <f t="shared" ca="1" si="9"/>
        <v>0</v>
      </c>
      <c r="Q187" s="30">
        <f t="shared" si="11"/>
        <v>60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  <c r="W187" s="30">
        <v>5</v>
      </c>
    </row>
    <row r="188" spans="1:23" ht="21" customHeight="1" x14ac:dyDescent="0.15">
      <c r="A188" s="2" t="str">
        <f ca="1">input_settle_555100!A$2</f>
        <v>555100</v>
      </c>
      <c r="B188" s="8">
        <v>464</v>
      </c>
      <c r="C188" s="7" t="str">
        <f t="shared" si="8"/>
        <v>Premium5</v>
      </c>
      <c r="D188" s="7" t="str">
        <f t="shared" si="10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IFERROR(VLOOKUP(B188,input_settle_555100!L:R,7,FALSE),VLOOKUP(tables_settle_555100!C188,input_settle_555100!A:H,8,FALSE))</f>
        <v>72346.153850000002</v>
      </c>
      <c r="P188" s="46">
        <f t="shared" ca="1" si="9"/>
        <v>1.2560096154077782E-2</v>
      </c>
      <c r="Q188" s="30">
        <f t="shared" si="11"/>
        <v>80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  <c r="W188" s="30">
        <v>5</v>
      </c>
    </row>
    <row r="189" spans="1:23" ht="21" customHeight="1" x14ac:dyDescent="0.15">
      <c r="A189" s="2" t="str">
        <f ca="1">input_settle_555100!A$2</f>
        <v>555100</v>
      </c>
      <c r="B189" s="8">
        <v>465</v>
      </c>
      <c r="C189" s="7" t="str">
        <f t="shared" si="8"/>
        <v>PremiumSS4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IFERROR(VLOOKUP(B189,input_settle_555100!L:R,7,FALSE),VLOOKUP(tables_settle_555100!C189,input_settle_555100!A:H,8,FALSE))</f>
        <v>0</v>
      </c>
      <c r="P189" s="46">
        <f t="shared" ca="1" si="9"/>
        <v>0</v>
      </c>
      <c r="Q189" s="30">
        <f t="shared" si="11"/>
        <v>60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  <c r="W189" s="30">
        <v>5</v>
      </c>
    </row>
    <row r="190" spans="1:23" s="9" customFormat="1" ht="21" customHeight="1" thickBot="1" x14ac:dyDescent="0.2">
      <c r="A190" s="2" t="str">
        <f ca="1">input_settle_555100!A$2</f>
        <v>555100</v>
      </c>
      <c r="B190" s="6">
        <v>466</v>
      </c>
      <c r="C190" s="7" t="str">
        <f t="shared" si="8"/>
        <v>PremiumSS5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IFERROR(VLOOKUP(B190,input_settle_555100!L:R,7,FALSE),VLOOKUP(tables_settle_555100!C190,input_settle_555100!A:H,8,FALSE))</f>
        <v>4000</v>
      </c>
      <c r="P190" s="46">
        <f t="shared" ca="1" si="9"/>
        <v>6.9444444442033214E-4</v>
      </c>
      <c r="Q190" s="30">
        <f t="shared" si="11"/>
        <v>80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  <c r="W190" s="30">
        <v>5</v>
      </c>
    </row>
    <row r="191" spans="1:23" ht="21" customHeight="1" x14ac:dyDescent="0.15">
      <c r="A191" s="2" t="str">
        <f ca="1">input_settle_555100!A$2</f>
        <v>555100</v>
      </c>
      <c r="B191" s="6">
        <v>467</v>
      </c>
      <c r="C191" s="7" t="str">
        <f t="shared" si="8"/>
        <v>PremiumSS4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IFERROR(VLOOKUP(B191,input_settle_555100!L:R,7,FALSE),VLOOKUP(tables_settle_555100!C191,input_settle_555100!A:H,8,FALSE))</f>
        <v>0</v>
      </c>
      <c r="P191" s="46">
        <f t="shared" ca="1" si="9"/>
        <v>0</v>
      </c>
      <c r="Q191" s="30">
        <f t="shared" si="11"/>
        <v>60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  <c r="W191" s="30">
        <v>5</v>
      </c>
    </row>
    <row r="192" spans="1:23" ht="21" customHeight="1" x14ac:dyDescent="0.15">
      <c r="A192" s="2" t="str">
        <f ca="1">input_settle_555100!A$2</f>
        <v>555100</v>
      </c>
      <c r="B192" s="6">
        <v>468</v>
      </c>
      <c r="C192" s="7" t="str">
        <f t="shared" si="8"/>
        <v>PremiumSS5</v>
      </c>
      <c r="D192" s="7" t="str">
        <f t="shared" si="10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IFERROR(VLOOKUP(B192,input_settle_555100!L:R,7,FALSE),VLOOKUP(tables_settle_555100!C192,input_settle_555100!A:H,8,FALSE))</f>
        <v>4000</v>
      </c>
      <c r="P192" s="46">
        <f t="shared" ca="1" si="9"/>
        <v>6.9444444442033214E-4</v>
      </c>
      <c r="Q192" s="30">
        <f t="shared" si="11"/>
        <v>80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  <c r="W192" s="30">
        <v>5</v>
      </c>
    </row>
    <row r="193" spans="1:23" ht="21" customHeight="1" x14ac:dyDescent="0.15">
      <c r="A193" s="2" t="str">
        <f ca="1">input_settle_555100!A$2</f>
        <v>555100</v>
      </c>
      <c r="B193" s="6">
        <v>469</v>
      </c>
      <c r="C193" s="7" t="str">
        <f t="shared" si="8"/>
        <v>Premium3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IFERROR(VLOOKUP(B193,input_settle_555100!L:R,7,FALSE),VLOOKUP(tables_settle_555100!C193,input_settle_555100!A:H,8,FALSE))</f>
        <v>0</v>
      </c>
      <c r="P193" s="46">
        <f t="shared" ca="1" si="9"/>
        <v>0</v>
      </c>
      <c r="Q193" s="30">
        <f t="shared" si="11"/>
        <v>40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  <c r="W193" s="30">
        <v>5</v>
      </c>
    </row>
    <row r="194" spans="1:23" ht="21" customHeight="1" x14ac:dyDescent="0.15">
      <c r="A194" s="2" t="str">
        <f ca="1">input_settle_555100!A$2</f>
        <v>555100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IFERROR(VLOOKUP(B194,input_settle_555100!L:R,7,FALSE),VLOOKUP(tables_settle_555100!C194,input_settle_555100!A:H,8,FALSE))</f>
        <v>0</v>
      </c>
      <c r="P194" s="46">
        <f t="shared" ref="P194:P257" ca="1" si="13">O194/SUM(O:O)</f>
        <v>0</v>
      </c>
      <c r="Q194" s="30">
        <f t="shared" si="11"/>
        <v>60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  <c r="W194" s="30">
        <v>5</v>
      </c>
    </row>
    <row r="195" spans="1:23" ht="21" customHeight="1" x14ac:dyDescent="0.15">
      <c r="A195" s="2" t="str">
        <f ca="1">input_settle_555100!A$2</f>
        <v>555100</v>
      </c>
      <c r="B195" s="6">
        <v>471</v>
      </c>
      <c r="C195" s="7" t="str">
        <f t="shared" si="12"/>
        <v>Premium5</v>
      </c>
      <c r="D195" s="7" t="str">
        <f t="shared" ref="D195:D258" si="14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IFERROR(VLOOKUP(B195,input_settle_555100!L:R,7,FALSE),VLOOKUP(tables_settle_555100!C195,input_settle_555100!A:H,8,FALSE))</f>
        <v>72346.153850000002</v>
      </c>
      <c r="P195" s="46">
        <f t="shared" ca="1" si="13"/>
        <v>1.2560096154077782E-2</v>
      </c>
      <c r="Q195" s="30">
        <f t="shared" ref="Q195:Q258" si="15">IF(J195=3,40,IF(J195=4,60,IF(J195=5,80,"ERROR")))</f>
        <v>80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  <c r="W195" s="30">
        <v>5</v>
      </c>
    </row>
    <row r="196" spans="1:23" ht="21" customHeight="1" x14ac:dyDescent="0.15">
      <c r="A196" s="2" t="str">
        <f ca="1">input_settle_555100!A$2</f>
        <v>555100</v>
      </c>
      <c r="B196" s="6">
        <v>474</v>
      </c>
      <c r="C196" s="7" t="str">
        <f t="shared" si="12"/>
        <v>PremiumSS4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IFERROR(VLOOKUP(B196,input_settle_555100!L:R,7,FALSE),VLOOKUP(tables_settle_555100!C196,input_settle_555100!A:H,8,FALSE))</f>
        <v>0</v>
      </c>
      <c r="P196" s="46">
        <f t="shared" ca="1" si="13"/>
        <v>0</v>
      </c>
      <c r="Q196" s="30">
        <f t="shared" si="15"/>
        <v>60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  <c r="W196" s="30">
        <v>5</v>
      </c>
    </row>
    <row r="197" spans="1:23" ht="21" customHeight="1" x14ac:dyDescent="0.15">
      <c r="A197" s="2" t="str">
        <f ca="1">input_settle_555100!A$2</f>
        <v>555100</v>
      </c>
      <c r="B197" s="6">
        <v>475</v>
      </c>
      <c r="C197" s="7" t="str">
        <f t="shared" si="12"/>
        <v>PremiumSS5</v>
      </c>
      <c r="D197" s="7" t="str">
        <f t="shared" si="14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IFERROR(VLOOKUP(B197,input_settle_555100!L:R,7,FALSE),VLOOKUP(tables_settle_555100!C197,input_settle_555100!A:H,8,FALSE))</f>
        <v>4000</v>
      </c>
      <c r="P197" s="46">
        <f t="shared" ca="1" si="13"/>
        <v>6.9444444442033214E-4</v>
      </c>
      <c r="Q197" s="30">
        <f t="shared" si="15"/>
        <v>80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  <c r="W197" s="30">
        <v>5</v>
      </c>
    </row>
    <row r="198" spans="1:23" ht="21" customHeight="1" x14ac:dyDescent="0.15">
      <c r="A198" s="2" t="str">
        <f ca="1">input_settle_555100!A$2</f>
        <v>555100</v>
      </c>
      <c r="B198" s="6">
        <v>476</v>
      </c>
      <c r="C198" s="7" t="str">
        <f t="shared" si="12"/>
        <v>Premium3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IFERROR(VLOOKUP(B198,input_settle_555100!L:R,7,FALSE),VLOOKUP(tables_settle_555100!C198,input_settle_555100!A:H,8,FALSE))</f>
        <v>0</v>
      </c>
      <c r="P198" s="46">
        <f t="shared" ca="1" si="13"/>
        <v>0</v>
      </c>
      <c r="Q198" s="30">
        <f t="shared" si="15"/>
        <v>40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  <c r="W198" s="30">
        <v>5</v>
      </c>
    </row>
    <row r="199" spans="1:23" ht="21" customHeight="1" x14ac:dyDescent="0.15">
      <c r="A199" s="2" t="str">
        <f ca="1">input_settle_555100!A$2</f>
        <v>555100</v>
      </c>
      <c r="B199" s="6">
        <v>477</v>
      </c>
      <c r="C199" s="7" t="str">
        <f t="shared" si="12"/>
        <v>Premium4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IFERROR(VLOOKUP(B199,input_settle_555100!L:R,7,FALSE),VLOOKUP(tables_settle_555100!C199,input_settle_555100!A:H,8,FALSE))</f>
        <v>0</v>
      </c>
      <c r="P199" s="46">
        <f t="shared" ca="1" si="13"/>
        <v>0</v>
      </c>
      <c r="Q199" s="30">
        <f t="shared" si="15"/>
        <v>60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  <c r="W199" s="30">
        <v>5</v>
      </c>
    </row>
    <row r="200" spans="1:23" ht="21" customHeight="1" x14ac:dyDescent="0.15">
      <c r="A200" s="2" t="str">
        <f ca="1">input_settle_555100!A$2</f>
        <v>555100</v>
      </c>
      <c r="B200" s="6">
        <v>478</v>
      </c>
      <c r="C200" s="7" t="str">
        <f t="shared" si="12"/>
        <v>Premium5</v>
      </c>
      <c r="D200" s="7" t="str">
        <f t="shared" si="14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IFERROR(VLOOKUP(B200,input_settle_555100!L:R,7,FALSE),VLOOKUP(tables_settle_555100!C200,input_settle_555100!A:H,8,FALSE))</f>
        <v>72346.153850000002</v>
      </c>
      <c r="P200" s="46">
        <f t="shared" ca="1" si="13"/>
        <v>1.2560096154077782E-2</v>
      </c>
      <c r="Q200" s="30">
        <f t="shared" si="15"/>
        <v>80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  <c r="W200" s="30">
        <v>5</v>
      </c>
    </row>
    <row r="201" spans="1:23" ht="21" customHeight="1" x14ac:dyDescent="0.15">
      <c r="A201" s="2" t="str">
        <f ca="1">input_settle_555100!A$2</f>
        <v>555100</v>
      </c>
      <c r="B201" s="6">
        <v>479</v>
      </c>
      <c r="C201" s="7" t="str">
        <f t="shared" si="12"/>
        <v>PremiumSS4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IFERROR(VLOOKUP(B201,input_settle_555100!L:R,7,FALSE),VLOOKUP(tables_settle_555100!C201,input_settle_555100!A:H,8,FALSE))</f>
        <v>0</v>
      </c>
      <c r="P201" s="46">
        <f t="shared" ca="1" si="13"/>
        <v>0</v>
      </c>
      <c r="Q201" s="30">
        <f t="shared" si="15"/>
        <v>60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  <c r="W201" s="30">
        <v>5</v>
      </c>
    </row>
    <row r="202" spans="1:23" ht="21" customHeight="1" x14ac:dyDescent="0.15">
      <c r="A202" s="2" t="str">
        <f ca="1">input_settle_555100!A$2</f>
        <v>555100</v>
      </c>
      <c r="B202" s="6">
        <v>480</v>
      </c>
      <c r="C202" s="7" t="str">
        <f t="shared" si="12"/>
        <v>PremiumSS5</v>
      </c>
      <c r="D202" s="7" t="str">
        <f t="shared" si="14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IFERROR(VLOOKUP(B202,input_settle_555100!L:R,7,FALSE),VLOOKUP(tables_settle_555100!C202,input_settle_555100!A:H,8,FALSE))</f>
        <v>4000</v>
      </c>
      <c r="P202" s="46">
        <f t="shared" ca="1" si="13"/>
        <v>6.9444444442033214E-4</v>
      </c>
      <c r="Q202" s="30">
        <f t="shared" si="15"/>
        <v>80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  <c r="W202" s="30">
        <v>5</v>
      </c>
    </row>
    <row r="203" spans="1:23" ht="21" customHeight="1" x14ac:dyDescent="0.15">
      <c r="A203" s="2" t="str">
        <f ca="1">input_settle_555100!A$2</f>
        <v>555100</v>
      </c>
      <c r="B203" s="6">
        <v>481</v>
      </c>
      <c r="C203" s="7" t="str">
        <f t="shared" si="12"/>
        <v>Premium3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IFERROR(VLOOKUP(B203,input_settle_555100!L:R,7,FALSE),VLOOKUP(tables_settle_555100!C203,input_settle_555100!A:H,8,FALSE))</f>
        <v>0</v>
      </c>
      <c r="P203" s="46">
        <f t="shared" ca="1" si="13"/>
        <v>0</v>
      </c>
      <c r="Q203" s="30">
        <f t="shared" si="15"/>
        <v>40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  <c r="W203" s="30">
        <v>5</v>
      </c>
    </row>
    <row r="204" spans="1:23" ht="21" customHeight="1" x14ac:dyDescent="0.15">
      <c r="A204" s="2" t="str">
        <f ca="1">input_settle_555100!A$2</f>
        <v>555100</v>
      </c>
      <c r="B204" s="6">
        <v>482</v>
      </c>
      <c r="C204" s="7" t="str">
        <f t="shared" si="12"/>
        <v>Premium4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IFERROR(VLOOKUP(B204,input_settle_555100!L:R,7,FALSE),VLOOKUP(tables_settle_555100!C204,input_settle_555100!A:H,8,FALSE))</f>
        <v>0</v>
      </c>
      <c r="P204" s="46">
        <f t="shared" ca="1" si="13"/>
        <v>0</v>
      </c>
      <c r="Q204" s="30">
        <f t="shared" si="15"/>
        <v>60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  <c r="W204" s="30">
        <v>5</v>
      </c>
    </row>
    <row r="205" spans="1:23" ht="21" customHeight="1" x14ac:dyDescent="0.15">
      <c r="A205" s="2" t="str">
        <f ca="1">input_settle_555100!A$2</f>
        <v>555100</v>
      </c>
      <c r="B205" s="6">
        <v>483</v>
      </c>
      <c r="C205" s="7" t="str">
        <f t="shared" si="12"/>
        <v>Premium5</v>
      </c>
      <c r="D205" s="7" t="str">
        <f t="shared" si="14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IFERROR(VLOOKUP(B205,input_settle_555100!L:R,7,FALSE),VLOOKUP(tables_settle_555100!C205,input_settle_555100!A:H,8,FALSE))</f>
        <v>72346.153850000002</v>
      </c>
      <c r="P205" s="46">
        <f t="shared" ca="1" si="13"/>
        <v>1.2560096154077782E-2</v>
      </c>
      <c r="Q205" s="30">
        <f t="shared" si="15"/>
        <v>80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  <c r="W205" s="30">
        <v>5</v>
      </c>
    </row>
    <row r="206" spans="1:23" ht="21" customHeight="1" x14ac:dyDescent="0.15">
      <c r="A206" s="2" t="str">
        <f ca="1">input_settle_555100!A$2</f>
        <v>555100</v>
      </c>
      <c r="B206" s="6">
        <v>492</v>
      </c>
      <c r="C206" s="7" t="str">
        <f t="shared" si="12"/>
        <v>PremiumSS4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IFERROR(VLOOKUP(B206,input_settle_555100!L:R,7,FALSE),VLOOKUP(tables_settle_555100!C206,input_settle_555100!A:H,8,FALSE))</f>
        <v>0</v>
      </c>
      <c r="P206" s="46">
        <f t="shared" ca="1" si="13"/>
        <v>0</v>
      </c>
      <c r="Q206" s="30">
        <f t="shared" si="15"/>
        <v>60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  <c r="W206" s="30">
        <v>5</v>
      </c>
    </row>
    <row r="207" spans="1:23" ht="21" customHeight="1" x14ac:dyDescent="0.15">
      <c r="A207" s="2" t="str">
        <f ca="1">input_settle_555100!A$2</f>
        <v>555100</v>
      </c>
      <c r="B207" s="6">
        <v>493</v>
      </c>
      <c r="C207" s="7" t="str">
        <f t="shared" si="12"/>
        <v>PremiumSS5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IFERROR(VLOOKUP(B207,input_settle_555100!L:R,7,FALSE),VLOOKUP(tables_settle_555100!C207,input_settle_555100!A:H,8,FALSE))</f>
        <v>4000</v>
      </c>
      <c r="P207" s="46">
        <f t="shared" ca="1" si="13"/>
        <v>6.9444444442033214E-4</v>
      </c>
      <c r="Q207" s="30">
        <f t="shared" si="15"/>
        <v>80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  <c r="W207" s="30">
        <v>5</v>
      </c>
    </row>
    <row r="208" spans="1:23" ht="21" customHeight="1" x14ac:dyDescent="0.15">
      <c r="A208" s="2" t="str">
        <f ca="1">input_settle_555100!A$2</f>
        <v>555100</v>
      </c>
      <c r="B208" s="6">
        <v>494</v>
      </c>
      <c r="C208" s="7" t="str">
        <f t="shared" si="12"/>
        <v>PremiumSS4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IFERROR(VLOOKUP(B208,input_settle_555100!L:R,7,FALSE),VLOOKUP(tables_settle_555100!C208,input_settle_555100!A:H,8,FALSE))</f>
        <v>0</v>
      </c>
      <c r="P208" s="46">
        <f t="shared" ca="1" si="13"/>
        <v>0</v>
      </c>
      <c r="Q208" s="30">
        <f t="shared" si="15"/>
        <v>60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  <c r="W208" s="30">
        <v>5</v>
      </c>
    </row>
    <row r="209" spans="1:23" ht="21" customHeight="1" x14ac:dyDescent="0.15">
      <c r="A209" s="2" t="str">
        <f ca="1">input_settle_555100!A$2</f>
        <v>555100</v>
      </c>
      <c r="B209" s="6">
        <v>495</v>
      </c>
      <c r="C209" s="7" t="str">
        <f t="shared" si="12"/>
        <v>PremiumSS5</v>
      </c>
      <c r="D209" s="7" t="str">
        <f t="shared" si="14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IFERROR(VLOOKUP(B209,input_settle_555100!L:R,7,FALSE),VLOOKUP(tables_settle_555100!C209,input_settle_555100!A:H,8,FALSE))</f>
        <v>4000</v>
      </c>
      <c r="P209" s="46">
        <f t="shared" ca="1" si="13"/>
        <v>6.9444444442033214E-4</v>
      </c>
      <c r="Q209" s="30">
        <f t="shared" si="15"/>
        <v>80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  <c r="W209" s="30">
        <v>5</v>
      </c>
    </row>
    <row r="210" spans="1:23" ht="21" customHeight="1" x14ac:dyDescent="0.15">
      <c r="A210" s="2" t="str">
        <f ca="1">input_settle_555100!A$2</f>
        <v>555100</v>
      </c>
      <c r="B210" s="6">
        <v>496</v>
      </c>
      <c r="C210" s="7" t="str">
        <f t="shared" si="12"/>
        <v>Premium3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IFERROR(VLOOKUP(B210,input_settle_555100!L:R,7,FALSE),VLOOKUP(tables_settle_555100!C210,input_settle_555100!A:H,8,FALSE))</f>
        <v>0</v>
      </c>
      <c r="P210" s="46">
        <f t="shared" ca="1" si="13"/>
        <v>0</v>
      </c>
      <c r="Q210" s="30">
        <f t="shared" si="15"/>
        <v>40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  <c r="W210" s="30">
        <v>5</v>
      </c>
    </row>
    <row r="211" spans="1:23" ht="21" customHeight="1" x14ac:dyDescent="0.15">
      <c r="A211" s="2" t="str">
        <f ca="1">input_settle_555100!A$2</f>
        <v>555100</v>
      </c>
      <c r="B211" s="6">
        <v>497</v>
      </c>
      <c r="C211" s="7" t="str">
        <f t="shared" si="12"/>
        <v>Premium4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IFERROR(VLOOKUP(B211,input_settle_555100!L:R,7,FALSE),VLOOKUP(tables_settle_555100!C211,input_settle_555100!A:H,8,FALSE))</f>
        <v>0</v>
      </c>
      <c r="P211" s="46">
        <f t="shared" ca="1" si="13"/>
        <v>0</v>
      </c>
      <c r="Q211" s="30">
        <f t="shared" si="15"/>
        <v>60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  <c r="W211" s="30">
        <v>5</v>
      </c>
    </row>
    <row r="212" spans="1:23" ht="21" customHeight="1" x14ac:dyDescent="0.15">
      <c r="A212" s="2" t="str">
        <f ca="1">input_settle_555100!A$2</f>
        <v>555100</v>
      </c>
      <c r="B212" s="6">
        <v>498</v>
      </c>
      <c r="C212" s="7" t="str">
        <f t="shared" si="12"/>
        <v>Premium5</v>
      </c>
      <c r="D212" s="7" t="str">
        <f t="shared" si="14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IFERROR(VLOOKUP(B212,input_settle_555100!L:R,7,FALSE),VLOOKUP(tables_settle_555100!C212,input_settle_555100!A:H,8,FALSE))</f>
        <v>72346.153850000002</v>
      </c>
      <c r="P212" s="46">
        <f t="shared" ca="1" si="13"/>
        <v>1.2560096154077782E-2</v>
      </c>
      <c r="Q212" s="30">
        <f t="shared" si="15"/>
        <v>80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  <c r="W212" s="30">
        <v>5</v>
      </c>
    </row>
    <row r="213" spans="1:23" ht="21" customHeight="1" x14ac:dyDescent="0.15">
      <c r="A213" s="2" t="str">
        <f ca="1">input_settle_555100!A$2</f>
        <v>555100</v>
      </c>
      <c r="B213" s="6">
        <v>499</v>
      </c>
      <c r="C213" s="7" t="str">
        <f t="shared" si="12"/>
        <v>PremiumSS4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IFERROR(VLOOKUP(B213,input_settle_555100!L:R,7,FALSE),VLOOKUP(tables_settle_555100!C213,input_settle_555100!A:H,8,FALSE))</f>
        <v>0</v>
      </c>
      <c r="P213" s="46">
        <f t="shared" ca="1" si="13"/>
        <v>0</v>
      </c>
      <c r="Q213" s="30">
        <f t="shared" si="15"/>
        <v>60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  <c r="W213" s="30">
        <v>5</v>
      </c>
    </row>
    <row r="214" spans="1:23" ht="21" customHeight="1" x14ac:dyDescent="0.15">
      <c r="A214" s="2" t="str">
        <f ca="1">input_settle_555100!A$2</f>
        <v>555100</v>
      </c>
      <c r="B214" s="6">
        <v>500</v>
      </c>
      <c r="C214" s="7" t="str">
        <f t="shared" si="12"/>
        <v>PremiumSS5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IFERROR(VLOOKUP(B214,input_settle_555100!L:R,7,FALSE),VLOOKUP(tables_settle_555100!C214,input_settle_555100!A:H,8,FALSE))</f>
        <v>4000</v>
      </c>
      <c r="P214" s="46">
        <f t="shared" ca="1" si="13"/>
        <v>6.9444444442033214E-4</v>
      </c>
      <c r="Q214" s="30">
        <f t="shared" si="15"/>
        <v>80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  <c r="W214" s="30">
        <v>5</v>
      </c>
    </row>
    <row r="215" spans="1:23" ht="21" customHeight="1" x14ac:dyDescent="0.15">
      <c r="A215" s="2" t="str">
        <f ca="1">input_settle_555100!A$2</f>
        <v>555100</v>
      </c>
      <c r="B215" s="6">
        <v>560</v>
      </c>
      <c r="C215" s="7" t="str">
        <f t="shared" si="12"/>
        <v>premium5R3less</v>
      </c>
      <c r="D215" s="7" t="str">
        <f t="shared" si="14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IFERROR(VLOOKUP(B215,input_settle_555100!L:R,7,FALSE),VLOOKUP(tables_settle_555100!C215,input_settle_555100!A:H,8,FALSE))</f>
        <v>57000</v>
      </c>
      <c r="P215" s="46">
        <f t="shared" ca="1" si="13"/>
        <v>9.8958333329897327E-3</v>
      </c>
      <c r="Q215" s="30">
        <f t="shared" si="15"/>
        <v>80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  <c r="W215" s="30">
        <v>5</v>
      </c>
    </row>
    <row r="216" spans="1:23" ht="21" customHeight="1" x14ac:dyDescent="0.15">
      <c r="A216" s="2" t="str">
        <f ca="1">input_settle_555100!A$2</f>
        <v>555100</v>
      </c>
      <c r="B216" s="6">
        <v>561</v>
      </c>
      <c r="C216" s="7" t="str">
        <f t="shared" si="12"/>
        <v>premium5R3less</v>
      </c>
      <c r="D216" s="7" t="str">
        <f t="shared" si="14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IFERROR(VLOOKUP(B216,input_settle_555100!L:R,7,FALSE),VLOOKUP(tables_settle_555100!C216,input_settle_555100!A:H,8,FALSE))</f>
        <v>57000</v>
      </c>
      <c r="P216" s="46">
        <f t="shared" ca="1" si="13"/>
        <v>9.8958333329897327E-3</v>
      </c>
      <c r="Q216" s="30">
        <f t="shared" si="15"/>
        <v>80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  <c r="W216" s="30">
        <v>5</v>
      </c>
    </row>
    <row r="217" spans="1:23" ht="21" customHeight="1" x14ac:dyDescent="0.15">
      <c r="A217" s="2" t="str">
        <f ca="1">input_settle_555100!A$2</f>
        <v>555100</v>
      </c>
      <c r="B217" s="6">
        <v>562</v>
      </c>
      <c r="C217" s="7" t="str">
        <f t="shared" si="12"/>
        <v>premium5R3less</v>
      </c>
      <c r="D217" s="7" t="str">
        <f t="shared" si="14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IFERROR(VLOOKUP(B217,input_settle_555100!L:R,7,FALSE),VLOOKUP(tables_settle_555100!C217,input_settle_555100!A:H,8,FALSE))</f>
        <v>57000</v>
      </c>
      <c r="P217" s="46">
        <f t="shared" ca="1" si="13"/>
        <v>9.8958333329897327E-3</v>
      </c>
      <c r="Q217" s="30">
        <f t="shared" si="15"/>
        <v>80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  <c r="W217" s="30">
        <v>5</v>
      </c>
    </row>
    <row r="218" spans="1:23" ht="21" customHeight="1" x14ac:dyDescent="0.15">
      <c r="A218" s="2" t="str">
        <f ca="1">input_settle_555100!A$2</f>
        <v>555100</v>
      </c>
      <c r="B218" s="6">
        <v>563</v>
      </c>
      <c r="C218" s="7" t="str">
        <f t="shared" si="12"/>
        <v>premium5R3less</v>
      </c>
      <c r="D218" s="7" t="str">
        <f t="shared" si="14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IFERROR(VLOOKUP(B218,input_settle_555100!L:R,7,FALSE),VLOOKUP(tables_settle_555100!C218,input_settle_555100!A:H,8,FALSE))</f>
        <v>57000</v>
      </c>
      <c r="P218" s="46">
        <f t="shared" ca="1" si="13"/>
        <v>9.8958333329897327E-3</v>
      </c>
      <c r="Q218" s="30">
        <f t="shared" si="15"/>
        <v>80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  <c r="W218" s="30">
        <v>5</v>
      </c>
    </row>
    <row r="219" spans="1:23" ht="21" customHeight="1" x14ac:dyDescent="0.15">
      <c r="A219" s="2" t="str">
        <f ca="1">input_settle_555100!A$2</f>
        <v>555100</v>
      </c>
      <c r="B219" s="6">
        <v>566</v>
      </c>
      <c r="C219" s="7" t="str">
        <f t="shared" si="12"/>
        <v>premium5R3less</v>
      </c>
      <c r="D219" s="7" t="str">
        <f t="shared" si="14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IFERROR(VLOOKUP(B219,input_settle_555100!L:R,7,FALSE),VLOOKUP(tables_settle_555100!C219,input_settle_555100!A:H,8,FALSE))</f>
        <v>57000</v>
      </c>
      <c r="P219" s="46">
        <f t="shared" ca="1" si="13"/>
        <v>9.8958333329897327E-3</v>
      </c>
      <c r="Q219" s="30">
        <f t="shared" si="15"/>
        <v>80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  <c r="W219" s="30">
        <v>5</v>
      </c>
    </row>
    <row r="220" spans="1:23" ht="21" customHeight="1" x14ac:dyDescent="0.15">
      <c r="A220" s="2" t="str">
        <f ca="1">input_settle_555100!A$2</f>
        <v>555100</v>
      </c>
      <c r="B220" s="6">
        <v>567</v>
      </c>
      <c r="C220" s="7" t="str">
        <f t="shared" si="12"/>
        <v>premium5R3less</v>
      </c>
      <c r="D220" s="7" t="str">
        <f t="shared" si="14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IFERROR(VLOOKUP(B220,input_settle_555100!L:R,7,FALSE),VLOOKUP(tables_settle_555100!C220,input_settle_555100!A:H,8,FALSE))</f>
        <v>57000</v>
      </c>
      <c r="P220" s="46">
        <f t="shared" ca="1" si="13"/>
        <v>9.8958333329897327E-3</v>
      </c>
      <c r="Q220" s="30">
        <f t="shared" si="15"/>
        <v>80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  <c r="W220" s="30">
        <v>5</v>
      </c>
    </row>
    <row r="221" spans="1:23" ht="21" customHeight="1" x14ac:dyDescent="0.15">
      <c r="A221" s="2" t="str">
        <f ca="1">input_settle_555100!A$2</f>
        <v>555100</v>
      </c>
      <c r="B221" s="6">
        <v>586</v>
      </c>
      <c r="C221" s="7" t="str">
        <f t="shared" si="12"/>
        <v>PremiumSS4</v>
      </c>
      <c r="D221" s="7" t="str">
        <f t="shared" si="14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IFERROR(VLOOKUP(B221,input_settle_555100!L:R,7,FALSE),VLOOKUP(tables_settle_555100!C221,input_settle_555100!A:H,8,FALSE))</f>
        <v>0</v>
      </c>
      <c r="P221" s="46">
        <f t="shared" ca="1" si="13"/>
        <v>0</v>
      </c>
      <c r="Q221" s="30">
        <f t="shared" si="15"/>
        <v>60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  <c r="W221" s="30">
        <v>5</v>
      </c>
    </row>
    <row r="222" spans="1:23" ht="21" customHeight="1" x14ac:dyDescent="0.15">
      <c r="A222" s="2" t="str">
        <f ca="1">input_settle_555100!A$2</f>
        <v>555100</v>
      </c>
      <c r="B222" s="6">
        <v>587</v>
      </c>
      <c r="C222" s="7" t="str">
        <f t="shared" si="12"/>
        <v>PremiumSS5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IFERROR(VLOOKUP(B222,input_settle_555100!L:R,7,FALSE),VLOOKUP(tables_settle_555100!C222,input_settle_555100!A:H,8,FALSE))</f>
        <v>4000</v>
      </c>
      <c r="P222" s="46">
        <f t="shared" ca="1" si="13"/>
        <v>6.9444444442033214E-4</v>
      </c>
      <c r="Q222" s="30">
        <f t="shared" si="15"/>
        <v>80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  <c r="W222" s="30">
        <v>5</v>
      </c>
    </row>
    <row r="223" spans="1:23" ht="21" customHeight="1" x14ac:dyDescent="0.15">
      <c r="A223" s="2" t="str">
        <f ca="1">input_settle_555100!A$2</f>
        <v>555100</v>
      </c>
      <c r="B223" s="6">
        <v>588</v>
      </c>
      <c r="C223" s="7" t="str">
        <f t="shared" si="12"/>
        <v>Premium3</v>
      </c>
      <c r="D223" s="7" t="str">
        <f t="shared" si="14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IFERROR(VLOOKUP(B223,input_settle_555100!L:R,7,FALSE),VLOOKUP(tables_settle_555100!C223,input_settle_555100!A:H,8,FALSE))</f>
        <v>0</v>
      </c>
      <c r="P223" s="46">
        <f t="shared" ca="1" si="13"/>
        <v>0</v>
      </c>
      <c r="Q223" s="30">
        <f t="shared" si="15"/>
        <v>40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  <c r="W223" s="30">
        <v>5</v>
      </c>
    </row>
    <row r="224" spans="1:23" ht="21" customHeight="1" x14ac:dyDescent="0.15">
      <c r="A224" s="2" t="str">
        <f ca="1">input_settle_555100!A$2</f>
        <v>555100</v>
      </c>
      <c r="B224" s="6">
        <v>589</v>
      </c>
      <c r="C224" s="7" t="str">
        <f t="shared" si="12"/>
        <v>Premium4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IFERROR(VLOOKUP(B224,input_settle_555100!L:R,7,FALSE),VLOOKUP(tables_settle_555100!C224,input_settle_555100!A:H,8,FALSE))</f>
        <v>0</v>
      </c>
      <c r="P224" s="46">
        <f t="shared" ca="1" si="13"/>
        <v>0</v>
      </c>
      <c r="Q224" s="30">
        <f t="shared" si="15"/>
        <v>60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  <c r="W224" s="30">
        <v>5</v>
      </c>
    </row>
    <row r="225" spans="1:23" ht="21" customHeight="1" x14ac:dyDescent="0.15">
      <c r="A225" s="2" t="str">
        <f ca="1">input_settle_555100!A$2</f>
        <v>555100</v>
      </c>
      <c r="B225" s="6">
        <v>590</v>
      </c>
      <c r="C225" s="7" t="str">
        <f t="shared" si="12"/>
        <v>Premium5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IFERROR(VLOOKUP(B225,input_settle_555100!L:R,7,FALSE),VLOOKUP(tables_settle_555100!C225,input_settle_555100!A:H,8,FALSE))</f>
        <v>72346.153850000002</v>
      </c>
      <c r="P225" s="46">
        <f t="shared" ca="1" si="13"/>
        <v>1.2560096154077782E-2</v>
      </c>
      <c r="Q225" s="30">
        <f t="shared" si="15"/>
        <v>80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  <c r="W225" s="30">
        <v>5</v>
      </c>
    </row>
    <row r="226" spans="1:23" ht="21" customHeight="1" x14ac:dyDescent="0.15">
      <c r="A226" s="2" t="str">
        <f ca="1">input_settle_555100!A$2</f>
        <v>555100</v>
      </c>
      <c r="B226" s="6">
        <v>591</v>
      </c>
      <c r="C226" s="7" t="str">
        <f t="shared" si="12"/>
        <v>Premium3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IFERROR(VLOOKUP(B226,input_settle_555100!L:R,7,FALSE),VLOOKUP(tables_settle_555100!C226,input_settle_555100!A:H,8,FALSE))</f>
        <v>0</v>
      </c>
      <c r="P226" s="46">
        <f t="shared" ca="1" si="13"/>
        <v>0</v>
      </c>
      <c r="Q226" s="30">
        <f t="shared" si="15"/>
        <v>40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  <c r="W226" s="30">
        <v>5</v>
      </c>
    </row>
    <row r="227" spans="1:23" ht="21" customHeight="1" x14ac:dyDescent="0.15">
      <c r="A227" s="2" t="str">
        <f ca="1">input_settle_555100!A$2</f>
        <v>555100</v>
      </c>
      <c r="B227" s="6">
        <v>592</v>
      </c>
      <c r="C227" s="7" t="str">
        <f t="shared" si="12"/>
        <v>Premium4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IFERROR(VLOOKUP(B227,input_settle_555100!L:R,7,FALSE),VLOOKUP(tables_settle_555100!C227,input_settle_555100!A:H,8,FALSE))</f>
        <v>0</v>
      </c>
      <c r="P227" s="46">
        <f t="shared" ca="1" si="13"/>
        <v>0</v>
      </c>
      <c r="Q227" s="30">
        <f t="shared" si="15"/>
        <v>60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  <c r="W227" s="30">
        <v>5</v>
      </c>
    </row>
    <row r="228" spans="1:23" ht="21" customHeight="1" x14ac:dyDescent="0.15">
      <c r="A228" s="2" t="str">
        <f ca="1">input_settle_555100!A$2</f>
        <v>555100</v>
      </c>
      <c r="B228" s="6">
        <v>593</v>
      </c>
      <c r="C228" s="7" t="str">
        <f t="shared" si="12"/>
        <v>Premium5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IFERROR(VLOOKUP(B228,input_settle_555100!L:R,7,FALSE),VLOOKUP(tables_settle_555100!C228,input_settle_555100!A:H,8,FALSE))</f>
        <v>72346.153850000002</v>
      </c>
      <c r="P228" s="46">
        <f t="shared" ca="1" si="13"/>
        <v>1.2560096154077782E-2</v>
      </c>
      <c r="Q228" s="30">
        <f t="shared" si="15"/>
        <v>80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  <c r="W228" s="30">
        <v>5</v>
      </c>
    </row>
    <row r="229" spans="1:23" ht="21" customHeight="1" x14ac:dyDescent="0.15">
      <c r="A229" s="2" t="str">
        <f ca="1">input_settle_555100!A$2</f>
        <v>555100</v>
      </c>
      <c r="B229" s="6">
        <v>594</v>
      </c>
      <c r="C229" s="7" t="str">
        <f t="shared" si="12"/>
        <v>PremiumSS4</v>
      </c>
      <c r="D229" s="7" t="str">
        <f t="shared" si="14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IFERROR(VLOOKUP(B229,input_settle_555100!L:R,7,FALSE),VLOOKUP(tables_settle_555100!C229,input_settle_555100!A:H,8,FALSE))</f>
        <v>0</v>
      </c>
      <c r="P229" s="46">
        <f t="shared" ca="1" si="13"/>
        <v>0</v>
      </c>
      <c r="Q229" s="30">
        <f t="shared" si="15"/>
        <v>60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  <c r="W229" s="30">
        <v>5</v>
      </c>
    </row>
    <row r="230" spans="1:23" ht="21" customHeight="1" x14ac:dyDescent="0.15">
      <c r="A230" s="2" t="str">
        <f ca="1">input_settle_555100!A$2</f>
        <v>555100</v>
      </c>
      <c r="B230" s="6">
        <v>595</v>
      </c>
      <c r="C230" s="7" t="str">
        <f t="shared" si="12"/>
        <v>PremiumSS5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IFERROR(VLOOKUP(B230,input_settle_555100!L:R,7,FALSE),VLOOKUP(tables_settle_555100!C230,input_settle_555100!A:H,8,FALSE))</f>
        <v>4000</v>
      </c>
      <c r="P230" s="46">
        <f t="shared" ca="1" si="13"/>
        <v>6.9444444442033214E-4</v>
      </c>
      <c r="Q230" s="30">
        <f t="shared" si="15"/>
        <v>80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  <c r="W230" s="30">
        <v>5</v>
      </c>
    </row>
    <row r="231" spans="1:23" ht="21" customHeight="1" x14ac:dyDescent="0.15">
      <c r="A231" s="2" t="str">
        <f ca="1">input_settle_555100!A$2</f>
        <v>555100</v>
      </c>
      <c r="B231" s="6">
        <v>596</v>
      </c>
      <c r="C231" s="7" t="str">
        <f t="shared" si="12"/>
        <v>Premium3</v>
      </c>
      <c r="D231" s="7" t="str">
        <f t="shared" si="14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IFERROR(VLOOKUP(B231,input_settle_555100!L:R,7,FALSE),VLOOKUP(tables_settle_555100!C231,input_settle_555100!A:H,8,FALSE))</f>
        <v>0</v>
      </c>
      <c r="P231" s="46">
        <f t="shared" ca="1" si="13"/>
        <v>0</v>
      </c>
      <c r="Q231" s="30">
        <f t="shared" si="15"/>
        <v>40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  <c r="W231" s="30">
        <v>5</v>
      </c>
    </row>
    <row r="232" spans="1:23" ht="21" customHeight="1" x14ac:dyDescent="0.15">
      <c r="A232" s="2" t="str">
        <f ca="1">input_settle_555100!A$2</f>
        <v>555100</v>
      </c>
      <c r="B232" s="6">
        <v>597</v>
      </c>
      <c r="C232" s="7" t="str">
        <f t="shared" si="12"/>
        <v>Premium4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IFERROR(VLOOKUP(B232,input_settle_555100!L:R,7,FALSE),VLOOKUP(tables_settle_555100!C232,input_settle_555100!A:H,8,FALSE))</f>
        <v>0</v>
      </c>
      <c r="P232" s="46">
        <f t="shared" ca="1" si="13"/>
        <v>0</v>
      </c>
      <c r="Q232" s="30">
        <f t="shared" si="15"/>
        <v>60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  <c r="W232" s="30">
        <v>5</v>
      </c>
    </row>
    <row r="233" spans="1:23" ht="21" customHeight="1" x14ac:dyDescent="0.15">
      <c r="A233" s="2" t="str">
        <f ca="1">input_settle_555100!A$2</f>
        <v>555100</v>
      </c>
      <c r="B233" s="6">
        <v>598</v>
      </c>
      <c r="C233" s="7" t="str">
        <f t="shared" si="12"/>
        <v>Premium5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IFERROR(VLOOKUP(B233,input_settle_555100!L:R,7,FALSE),VLOOKUP(tables_settle_555100!C233,input_settle_555100!A:H,8,FALSE))</f>
        <v>72346.153850000002</v>
      </c>
      <c r="P233" s="46">
        <f t="shared" ca="1" si="13"/>
        <v>1.2560096154077782E-2</v>
      </c>
      <c r="Q233" s="30">
        <f t="shared" si="15"/>
        <v>80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  <c r="W233" s="30">
        <v>5</v>
      </c>
    </row>
    <row r="234" spans="1:23" ht="21" customHeight="1" x14ac:dyDescent="0.15">
      <c r="A234" s="2" t="str">
        <f ca="1">input_settle_555100!A$2</f>
        <v>555100</v>
      </c>
      <c r="B234" s="6">
        <v>599</v>
      </c>
      <c r="C234" s="7" t="str">
        <f t="shared" si="12"/>
        <v>Premium3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IFERROR(VLOOKUP(B234,input_settle_555100!L:R,7,FALSE),VLOOKUP(tables_settle_555100!C234,input_settle_555100!A:H,8,FALSE))</f>
        <v>0</v>
      </c>
      <c r="P234" s="46">
        <f t="shared" ca="1" si="13"/>
        <v>0</v>
      </c>
      <c r="Q234" s="30">
        <f t="shared" si="15"/>
        <v>40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  <c r="W234" s="30">
        <v>5</v>
      </c>
    </row>
    <row r="235" spans="1:23" ht="21" customHeight="1" x14ac:dyDescent="0.15">
      <c r="A235" s="2" t="str">
        <f ca="1">input_settle_555100!A$2</f>
        <v>555100</v>
      </c>
      <c r="B235" s="6">
        <v>600</v>
      </c>
      <c r="C235" s="7" t="str">
        <f t="shared" si="12"/>
        <v>Premium4</v>
      </c>
      <c r="D235" s="7" t="str">
        <f t="shared" si="14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IFERROR(VLOOKUP(B235,input_settle_555100!L:R,7,FALSE),VLOOKUP(tables_settle_555100!C235,input_settle_555100!A:H,8,FALSE))</f>
        <v>0</v>
      </c>
      <c r="P235" s="46">
        <f t="shared" ca="1" si="13"/>
        <v>0</v>
      </c>
      <c r="Q235" s="30">
        <f t="shared" si="15"/>
        <v>60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  <c r="W235" s="30">
        <v>5</v>
      </c>
    </row>
    <row r="236" spans="1:23" ht="21" customHeight="1" x14ac:dyDescent="0.15">
      <c r="A236" s="2" t="str">
        <f ca="1">input_settle_555100!A$2</f>
        <v>555100</v>
      </c>
      <c r="B236" s="6">
        <v>601</v>
      </c>
      <c r="C236" s="7" t="str">
        <f t="shared" si="12"/>
        <v>Premium5</v>
      </c>
      <c r="D236" s="7" t="str">
        <f t="shared" si="14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IFERROR(VLOOKUP(B236,input_settle_555100!L:R,7,FALSE),VLOOKUP(tables_settle_555100!C236,input_settle_555100!A:H,8,FALSE))</f>
        <v>72346.153850000002</v>
      </c>
      <c r="P236" s="46">
        <f t="shared" ca="1" si="13"/>
        <v>1.2560096154077782E-2</v>
      </c>
      <c r="Q236" s="30">
        <f t="shared" si="15"/>
        <v>80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  <c r="W236" s="30">
        <v>5</v>
      </c>
    </row>
    <row r="237" spans="1:23" ht="21" customHeight="1" x14ac:dyDescent="0.15">
      <c r="A237" s="2" t="str">
        <f ca="1">input_settle_555100!A$2</f>
        <v>555100</v>
      </c>
      <c r="B237" s="6">
        <v>602</v>
      </c>
      <c r="C237" s="7" t="str">
        <f t="shared" si="12"/>
        <v>PremiumSS4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IFERROR(VLOOKUP(B237,input_settle_555100!L:R,7,FALSE),VLOOKUP(tables_settle_555100!C237,input_settle_555100!A:H,8,FALSE))</f>
        <v>0</v>
      </c>
      <c r="P237" s="46">
        <f t="shared" ca="1" si="13"/>
        <v>0</v>
      </c>
      <c r="Q237" s="30">
        <f t="shared" si="15"/>
        <v>60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  <c r="W237" s="30">
        <v>5</v>
      </c>
    </row>
    <row r="238" spans="1:23" ht="21" customHeight="1" x14ac:dyDescent="0.15">
      <c r="A238" s="2" t="str">
        <f ca="1">input_settle_555100!A$2</f>
        <v>555100</v>
      </c>
      <c r="B238" s="6">
        <v>603</v>
      </c>
      <c r="C238" s="7" t="str">
        <f t="shared" si="12"/>
        <v>PremiumSS5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IFERROR(VLOOKUP(B238,input_settle_555100!L:R,7,FALSE),VLOOKUP(tables_settle_555100!C238,input_settle_555100!A:H,8,FALSE))</f>
        <v>4000</v>
      </c>
      <c r="P238" s="46">
        <f t="shared" ca="1" si="13"/>
        <v>6.9444444442033214E-4</v>
      </c>
      <c r="Q238" s="30">
        <f t="shared" si="15"/>
        <v>80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  <c r="W238" s="30">
        <v>5</v>
      </c>
    </row>
    <row r="239" spans="1:23" ht="21" customHeight="1" x14ac:dyDescent="0.15">
      <c r="A239" s="2" t="str">
        <f ca="1">input_settle_555100!A$2</f>
        <v>555100</v>
      </c>
      <c r="B239" s="6">
        <v>604</v>
      </c>
      <c r="C239" s="7" t="str">
        <f t="shared" si="12"/>
        <v>Premium3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IFERROR(VLOOKUP(B239,input_settle_555100!L:R,7,FALSE),VLOOKUP(tables_settle_555100!C239,input_settle_555100!A:H,8,FALSE))</f>
        <v>0</v>
      </c>
      <c r="P239" s="46">
        <f t="shared" ca="1" si="13"/>
        <v>0</v>
      </c>
      <c r="Q239" s="30">
        <f t="shared" si="15"/>
        <v>40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  <c r="W239" s="30">
        <v>5</v>
      </c>
    </row>
    <row r="240" spans="1:23" ht="21" customHeight="1" x14ac:dyDescent="0.15">
      <c r="A240" s="2" t="str">
        <f ca="1">input_settle_555100!A$2</f>
        <v>555100</v>
      </c>
      <c r="B240" s="6">
        <v>605</v>
      </c>
      <c r="C240" s="7" t="str">
        <f t="shared" si="12"/>
        <v>Premium4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IFERROR(VLOOKUP(B240,input_settle_555100!L:R,7,FALSE),VLOOKUP(tables_settle_555100!C240,input_settle_555100!A:H,8,FALSE))</f>
        <v>0</v>
      </c>
      <c r="P240" s="46">
        <f t="shared" ca="1" si="13"/>
        <v>0</v>
      </c>
      <c r="Q240" s="30">
        <f t="shared" si="15"/>
        <v>60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  <c r="W240" s="30">
        <v>5</v>
      </c>
    </row>
    <row r="241" spans="1:23" ht="21" customHeight="1" x14ac:dyDescent="0.15">
      <c r="A241" s="2" t="str">
        <f ca="1">input_settle_555100!A$2</f>
        <v>555100</v>
      </c>
      <c r="B241" s="6">
        <v>606</v>
      </c>
      <c r="C241" s="7" t="str">
        <f t="shared" si="12"/>
        <v>Premium5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IFERROR(VLOOKUP(B241,input_settle_555100!L:R,7,FALSE),VLOOKUP(tables_settle_555100!C241,input_settle_555100!A:H,8,FALSE))</f>
        <v>72346.153850000002</v>
      </c>
      <c r="P241" s="46">
        <f t="shared" ca="1" si="13"/>
        <v>1.2560096154077782E-2</v>
      </c>
      <c r="Q241" s="30">
        <f t="shared" si="15"/>
        <v>80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  <c r="W241" s="30">
        <v>5</v>
      </c>
    </row>
    <row r="242" spans="1:23" ht="21" customHeight="1" x14ac:dyDescent="0.15">
      <c r="A242" s="2" t="str">
        <f ca="1">input_settle_555100!A$2</f>
        <v>555100</v>
      </c>
      <c r="B242" s="6">
        <v>658</v>
      </c>
      <c r="C242" s="7" t="str">
        <f t="shared" si="12"/>
        <v>PremiumSS4</v>
      </c>
      <c r="D242" s="7" t="str">
        <f t="shared" si="14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IFERROR(VLOOKUP(B242,input_settle_555100!L:R,7,FALSE),VLOOKUP(tables_settle_555100!C242,input_settle_555100!A:H,8,FALSE))</f>
        <v>0</v>
      </c>
      <c r="P242" s="46">
        <f t="shared" ca="1" si="13"/>
        <v>0</v>
      </c>
      <c r="Q242" s="30">
        <f t="shared" si="15"/>
        <v>60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  <c r="W242" s="30">
        <v>5</v>
      </c>
    </row>
    <row r="243" spans="1:23" ht="21" customHeight="1" x14ac:dyDescent="0.15">
      <c r="A243" s="2" t="str">
        <f ca="1">input_settle_555100!A$2</f>
        <v>555100</v>
      </c>
      <c r="B243" s="6">
        <v>659</v>
      </c>
      <c r="C243" s="7" t="str">
        <f t="shared" si="12"/>
        <v>PremiumSS5</v>
      </c>
      <c r="D243" s="7" t="str">
        <f t="shared" si="14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IFERROR(VLOOKUP(B243,input_settle_555100!L:R,7,FALSE),VLOOKUP(tables_settle_555100!C243,input_settle_555100!A:H,8,FALSE))</f>
        <v>4000</v>
      </c>
      <c r="P243" s="46">
        <f t="shared" ca="1" si="13"/>
        <v>6.9444444442033214E-4</v>
      </c>
      <c r="Q243" s="30">
        <f t="shared" si="15"/>
        <v>80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  <c r="W243" s="30">
        <v>5</v>
      </c>
    </row>
    <row r="244" spans="1:23" ht="21" customHeight="1" x14ac:dyDescent="0.15">
      <c r="A244" s="2" t="str">
        <f ca="1">input_settle_555100!A$2</f>
        <v>555100</v>
      </c>
      <c r="B244" s="6">
        <v>660</v>
      </c>
      <c r="C244" s="7" t="str">
        <f t="shared" si="12"/>
        <v>PremiumSS4</v>
      </c>
      <c r="D244" s="7" t="str">
        <f t="shared" si="14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IFERROR(VLOOKUP(B244,input_settle_555100!L:R,7,FALSE),VLOOKUP(tables_settle_555100!C244,input_settle_555100!A:H,8,FALSE))</f>
        <v>0</v>
      </c>
      <c r="P244" s="46">
        <f t="shared" ca="1" si="13"/>
        <v>0</v>
      </c>
      <c r="Q244" s="30">
        <f t="shared" si="15"/>
        <v>60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  <c r="W244" s="30">
        <v>5</v>
      </c>
    </row>
    <row r="245" spans="1:23" ht="21" customHeight="1" x14ac:dyDescent="0.15">
      <c r="A245" s="2" t="str">
        <f ca="1">input_settle_555100!A$2</f>
        <v>555100</v>
      </c>
      <c r="B245" s="60">
        <v>661</v>
      </c>
      <c r="C245" s="7" t="str">
        <f t="shared" si="12"/>
        <v>PremiumSS5</v>
      </c>
      <c r="D245" s="7" t="str">
        <f t="shared" si="14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IFERROR(VLOOKUP(B245,input_settle_555100!L:R,7,FALSE),VLOOKUP(tables_settle_555100!C245,input_settle_555100!A:H,8,FALSE))</f>
        <v>4000</v>
      </c>
      <c r="P245" s="46">
        <f t="shared" ca="1" si="13"/>
        <v>6.9444444442033214E-4</v>
      </c>
      <c r="Q245" s="30">
        <f t="shared" si="15"/>
        <v>80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  <c r="W245" s="30">
        <v>5</v>
      </c>
    </row>
    <row r="246" spans="1:23" ht="21" customHeight="1" x14ac:dyDescent="0.15">
      <c r="A246" s="2" t="str">
        <f ca="1">input_settle_555100!A$2</f>
        <v>555100</v>
      </c>
      <c r="B246" s="60">
        <v>662</v>
      </c>
      <c r="C246" s="7" t="str">
        <f t="shared" si="12"/>
        <v>Premium3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IFERROR(VLOOKUP(B246,input_settle_555100!L:R,7,FALSE),VLOOKUP(tables_settle_555100!C246,input_settle_555100!A:H,8,FALSE))</f>
        <v>0</v>
      </c>
      <c r="P246" s="46">
        <f t="shared" ca="1" si="13"/>
        <v>0</v>
      </c>
      <c r="Q246" s="30">
        <f t="shared" si="15"/>
        <v>40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  <c r="W246" s="30">
        <v>5</v>
      </c>
    </row>
    <row r="247" spans="1:23" ht="21" customHeight="1" x14ac:dyDescent="0.15">
      <c r="A247" s="2" t="str">
        <f ca="1">input_settle_555100!A$2</f>
        <v>555100</v>
      </c>
      <c r="B247" s="60">
        <v>663</v>
      </c>
      <c r="C247" s="7" t="str">
        <f t="shared" si="12"/>
        <v>Premium4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IFERROR(VLOOKUP(B247,input_settle_555100!L:R,7,FALSE),VLOOKUP(tables_settle_555100!C247,input_settle_555100!A:H,8,FALSE))</f>
        <v>0</v>
      </c>
      <c r="P247" s="46">
        <f t="shared" ca="1" si="13"/>
        <v>0</v>
      </c>
      <c r="Q247" s="30">
        <f t="shared" si="15"/>
        <v>60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  <c r="W247" s="30">
        <v>5</v>
      </c>
    </row>
    <row r="248" spans="1:23" ht="21" customHeight="1" x14ac:dyDescent="0.15">
      <c r="A248" s="2" t="str">
        <f ca="1">input_settle_555100!A$2</f>
        <v>555100</v>
      </c>
      <c r="B248" s="60">
        <v>664</v>
      </c>
      <c r="C248" s="7" t="str">
        <f t="shared" si="12"/>
        <v>Premium5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IFERROR(VLOOKUP(B248,input_settle_555100!L:R,7,FALSE),VLOOKUP(tables_settle_555100!C248,input_settle_555100!A:H,8,FALSE))</f>
        <v>72346.153850000002</v>
      </c>
      <c r="P248" s="46">
        <f t="shared" ca="1" si="13"/>
        <v>1.2560096154077782E-2</v>
      </c>
      <c r="Q248" s="30">
        <f t="shared" si="15"/>
        <v>80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  <c r="W248" s="30">
        <v>5</v>
      </c>
    </row>
    <row r="249" spans="1:23" ht="21" customHeight="1" x14ac:dyDescent="0.15">
      <c r="A249" s="2" t="str">
        <f ca="1">input_settle_555100!A$2</f>
        <v>555100</v>
      </c>
      <c r="B249" s="60">
        <v>665</v>
      </c>
      <c r="C249" s="7" t="str">
        <f t="shared" si="12"/>
        <v>Premium3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IFERROR(VLOOKUP(B249,input_settle_555100!L:R,7,FALSE),VLOOKUP(tables_settle_555100!C249,input_settle_555100!A:H,8,FALSE))</f>
        <v>0</v>
      </c>
      <c r="P249" s="46">
        <f t="shared" ca="1" si="13"/>
        <v>0</v>
      </c>
      <c r="Q249" s="30">
        <f t="shared" si="15"/>
        <v>40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  <c r="W249" s="30">
        <v>5</v>
      </c>
    </row>
    <row r="250" spans="1:23" ht="21" customHeight="1" x14ac:dyDescent="0.15">
      <c r="A250" s="2" t="str">
        <f ca="1">input_settle_555100!A$2</f>
        <v>555100</v>
      </c>
      <c r="B250" s="60">
        <v>666</v>
      </c>
      <c r="C250" s="7" t="str">
        <f t="shared" si="12"/>
        <v>Premium4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IFERROR(VLOOKUP(B250,input_settle_555100!L:R,7,FALSE),VLOOKUP(tables_settle_555100!C250,input_settle_555100!A:H,8,FALSE))</f>
        <v>0</v>
      </c>
      <c r="P250" s="46">
        <f t="shared" ca="1" si="13"/>
        <v>0</v>
      </c>
      <c r="Q250" s="30">
        <f t="shared" si="15"/>
        <v>60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  <c r="W250" s="30">
        <v>5</v>
      </c>
    </row>
    <row r="251" spans="1:23" ht="21" customHeight="1" x14ac:dyDescent="0.15">
      <c r="A251" s="2" t="str">
        <f ca="1">input_settle_555100!A$2</f>
        <v>555100</v>
      </c>
      <c r="B251" s="60">
        <v>667</v>
      </c>
      <c r="C251" s="7" t="str">
        <f t="shared" si="12"/>
        <v>Premium5</v>
      </c>
      <c r="D251" s="7" t="str">
        <f t="shared" si="14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IFERROR(VLOOKUP(B251,input_settle_555100!L:R,7,FALSE),VLOOKUP(tables_settle_555100!C251,input_settle_555100!A:H,8,FALSE))</f>
        <v>72346.153850000002</v>
      </c>
      <c r="P251" s="46">
        <f t="shared" ca="1" si="13"/>
        <v>1.2560096154077782E-2</v>
      </c>
      <c r="Q251" s="30">
        <f t="shared" si="15"/>
        <v>80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  <c r="W251" s="30">
        <v>5</v>
      </c>
    </row>
    <row r="252" spans="1:23" ht="21" customHeight="1" x14ac:dyDescent="0.15">
      <c r="A252" s="2" t="str">
        <f ca="1">input_settle_555100!A$2</f>
        <v>555100</v>
      </c>
      <c r="B252" s="60">
        <v>668</v>
      </c>
      <c r="C252" s="7" t="str">
        <f t="shared" si="12"/>
        <v>Premium3</v>
      </c>
      <c r="D252" s="7" t="str">
        <f t="shared" si="14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IFERROR(VLOOKUP(B252,input_settle_555100!L:R,7,FALSE),VLOOKUP(tables_settle_555100!C252,input_settle_555100!A:H,8,FALSE))</f>
        <v>0</v>
      </c>
      <c r="P252" s="46">
        <f t="shared" ca="1" si="13"/>
        <v>0</v>
      </c>
      <c r="Q252" s="30">
        <f t="shared" si="15"/>
        <v>40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  <c r="W252" s="30">
        <v>5</v>
      </c>
    </row>
    <row r="253" spans="1:23" ht="21" customHeight="1" x14ac:dyDescent="0.15">
      <c r="A253" s="2" t="str">
        <f ca="1">input_settle_555100!A$2</f>
        <v>555100</v>
      </c>
      <c r="B253" s="60">
        <v>669</v>
      </c>
      <c r="C253" s="7" t="str">
        <f t="shared" si="12"/>
        <v>Premium4</v>
      </c>
      <c r="D253" s="7" t="str">
        <f t="shared" si="14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IFERROR(VLOOKUP(B253,input_settle_555100!L:R,7,FALSE),VLOOKUP(tables_settle_555100!C253,input_settle_555100!A:H,8,FALSE))</f>
        <v>0</v>
      </c>
      <c r="P253" s="46">
        <f t="shared" ca="1" si="13"/>
        <v>0</v>
      </c>
      <c r="Q253" s="30">
        <f t="shared" si="15"/>
        <v>60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  <c r="W253" s="30">
        <v>5</v>
      </c>
    </row>
    <row r="254" spans="1:23" ht="21" customHeight="1" x14ac:dyDescent="0.15">
      <c r="A254" s="2" t="str">
        <f ca="1">input_settle_555100!A$2</f>
        <v>555100</v>
      </c>
      <c r="B254" s="60">
        <v>670</v>
      </c>
      <c r="C254" s="7" t="str">
        <f t="shared" si="12"/>
        <v>Premium5</v>
      </c>
      <c r="D254" s="7" t="str">
        <f t="shared" si="14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IFERROR(VLOOKUP(B254,input_settle_555100!L:R,7,FALSE),VLOOKUP(tables_settle_555100!C254,input_settle_555100!A:H,8,FALSE))</f>
        <v>72346.153850000002</v>
      </c>
      <c r="P254" s="46">
        <f t="shared" ca="1" si="13"/>
        <v>1.2560096154077782E-2</v>
      </c>
      <c r="Q254" s="30">
        <f t="shared" si="15"/>
        <v>80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  <c r="W254" s="30">
        <v>5</v>
      </c>
    </row>
    <row r="255" spans="1:23" ht="21" customHeight="1" x14ac:dyDescent="0.15">
      <c r="A255" s="2" t="str">
        <f ca="1">input_settle_555100!A$2</f>
        <v>555100</v>
      </c>
      <c r="B255" s="60">
        <v>671</v>
      </c>
      <c r="C255" s="7" t="str">
        <f t="shared" si="12"/>
        <v>Premium3</v>
      </c>
      <c r="D255" s="7" t="str">
        <f t="shared" si="14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IFERROR(VLOOKUP(B255,input_settle_555100!L:R,7,FALSE),VLOOKUP(tables_settle_555100!C255,input_settle_555100!A:H,8,FALSE))</f>
        <v>0</v>
      </c>
      <c r="P255" s="46">
        <f t="shared" ca="1" si="13"/>
        <v>0</v>
      </c>
      <c r="Q255" s="30">
        <f t="shared" si="15"/>
        <v>40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  <c r="W255" s="30">
        <v>5</v>
      </c>
    </row>
    <row r="256" spans="1:23" ht="21" customHeight="1" x14ac:dyDescent="0.15">
      <c r="A256" s="2" t="str">
        <f ca="1">input_settle_555100!A$2</f>
        <v>555100</v>
      </c>
      <c r="B256" s="60">
        <v>672</v>
      </c>
      <c r="C256" s="7" t="str">
        <f t="shared" si="12"/>
        <v>Premium4</v>
      </c>
      <c r="D256" s="7" t="str">
        <f t="shared" si="14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IFERROR(VLOOKUP(B256,input_settle_555100!L:R,7,FALSE),VLOOKUP(tables_settle_555100!C256,input_settle_555100!A:H,8,FALSE))</f>
        <v>0</v>
      </c>
      <c r="P256" s="46">
        <f t="shared" ca="1" si="13"/>
        <v>0</v>
      </c>
      <c r="Q256" s="30">
        <f t="shared" si="15"/>
        <v>60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  <c r="W256" s="30">
        <v>5</v>
      </c>
    </row>
    <row r="257" spans="1:23" ht="21" customHeight="1" x14ac:dyDescent="0.15">
      <c r="A257" s="2" t="str">
        <f ca="1">input_settle_555100!A$2</f>
        <v>555100</v>
      </c>
      <c r="B257" s="60">
        <v>673</v>
      </c>
      <c r="C257" s="7" t="str">
        <f t="shared" si="12"/>
        <v>Premium5</v>
      </c>
      <c r="D257" s="7" t="str">
        <f t="shared" si="14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IFERROR(VLOOKUP(B257,input_settle_555100!L:R,7,FALSE),VLOOKUP(tables_settle_555100!C257,input_settle_555100!A:H,8,FALSE))</f>
        <v>72346.153850000002</v>
      </c>
      <c r="P257" s="46">
        <f t="shared" ca="1" si="13"/>
        <v>1.2560096154077782E-2</v>
      </c>
      <c r="Q257" s="30">
        <f t="shared" si="15"/>
        <v>80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  <c r="W257" s="30">
        <v>5</v>
      </c>
    </row>
    <row r="258" spans="1:23" ht="21" customHeight="1" x14ac:dyDescent="0.15">
      <c r="A258" s="2" t="str">
        <f ca="1">input_settle_555100!A$2</f>
        <v>555100</v>
      </c>
      <c r="B258" s="60">
        <v>674</v>
      </c>
      <c r="C258" s="7" t="str">
        <f t="shared" ref="C258:C321" si="16">D258&amp;J258&amp;E258&amp;F258&amp;G258</f>
        <v>PremiumSS4</v>
      </c>
      <c r="D258" s="7" t="str">
        <f t="shared" si="14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IFERROR(VLOOKUP(B258,input_settle_555100!L:R,7,FALSE),VLOOKUP(tables_settle_555100!C258,input_settle_555100!A:H,8,FALSE))</f>
        <v>0</v>
      </c>
      <c r="P258" s="46">
        <f t="shared" ref="P258:P321" ca="1" si="17">O258/SUM(O:O)</f>
        <v>0</v>
      </c>
      <c r="Q258" s="30">
        <f t="shared" si="15"/>
        <v>60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  <c r="W258" s="30">
        <v>5</v>
      </c>
    </row>
    <row r="259" spans="1:23" ht="21" customHeight="1" x14ac:dyDescent="0.15">
      <c r="A259" s="2" t="str">
        <f ca="1">input_settle_555100!A$2</f>
        <v>555100</v>
      </c>
      <c r="B259" s="60">
        <v>675</v>
      </c>
      <c r="C259" s="7" t="str">
        <f t="shared" si="16"/>
        <v>PremiumSS5</v>
      </c>
      <c r="D259" s="7" t="str">
        <f t="shared" ref="D259:D322" si="18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IFERROR(VLOOKUP(B259,input_settle_555100!L:R,7,FALSE),VLOOKUP(tables_settle_555100!C259,input_settle_555100!A:H,8,FALSE))</f>
        <v>4000</v>
      </c>
      <c r="P259" s="46">
        <f t="shared" ca="1" si="17"/>
        <v>6.9444444442033214E-4</v>
      </c>
      <c r="Q259" s="30">
        <f t="shared" ref="Q259:Q322" si="19">IF(J259=3,40,IF(J259=4,60,IF(J259=5,80,"ERROR")))</f>
        <v>80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  <c r="W259" s="30">
        <v>5</v>
      </c>
    </row>
    <row r="260" spans="1:23" ht="21" customHeight="1" x14ac:dyDescent="0.15">
      <c r="A260" s="2" t="str">
        <f ca="1">input_settle_555100!A$2</f>
        <v>555100</v>
      </c>
      <c r="B260" s="60">
        <v>676</v>
      </c>
      <c r="C260" s="7" t="str">
        <f t="shared" si="16"/>
        <v>PremiumSS4</v>
      </c>
      <c r="D260" s="7" t="str">
        <f t="shared" si="18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IFERROR(VLOOKUP(B260,input_settle_555100!L:R,7,FALSE),VLOOKUP(tables_settle_555100!C260,input_settle_555100!A:H,8,FALSE))</f>
        <v>0</v>
      </c>
      <c r="P260" s="46">
        <f t="shared" ca="1" si="17"/>
        <v>0</v>
      </c>
      <c r="Q260" s="30">
        <f t="shared" si="19"/>
        <v>60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  <c r="W260" s="30">
        <v>5</v>
      </c>
    </row>
    <row r="261" spans="1:23" ht="21" customHeight="1" x14ac:dyDescent="0.15">
      <c r="A261" s="2" t="str">
        <f ca="1">input_settle_555100!A$2</f>
        <v>555100</v>
      </c>
      <c r="B261" s="60">
        <v>677</v>
      </c>
      <c r="C261" s="7" t="str">
        <f t="shared" si="16"/>
        <v>PremiumSS5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IFERROR(VLOOKUP(B261,input_settle_555100!L:R,7,FALSE),VLOOKUP(tables_settle_555100!C261,input_settle_555100!A:H,8,FALSE))</f>
        <v>4000</v>
      </c>
      <c r="P261" s="46">
        <f t="shared" ca="1" si="17"/>
        <v>6.9444444442033214E-4</v>
      </c>
      <c r="Q261" s="30">
        <f t="shared" si="19"/>
        <v>80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  <c r="W261" s="30">
        <v>5</v>
      </c>
    </row>
    <row r="262" spans="1:23" ht="21" customHeight="1" x14ac:dyDescent="0.15">
      <c r="A262" s="2" t="str">
        <f ca="1">input_settle_555100!A$2</f>
        <v>555100</v>
      </c>
      <c r="B262" s="60">
        <v>728</v>
      </c>
      <c r="C262" s="7" t="str">
        <f t="shared" si="16"/>
        <v>Premium4R3less</v>
      </c>
      <c r="D262" s="7" t="str">
        <f t="shared" si="18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IFERROR(VLOOKUP(B262,input_settle_555100!L:R,7,FALSE),VLOOKUP(tables_settle_555100!C262,input_settle_555100!A:H,8,FALSE))</f>
        <v>0</v>
      </c>
      <c r="P262" s="46">
        <f t="shared" ca="1" si="17"/>
        <v>0</v>
      </c>
      <c r="Q262" s="30">
        <f t="shared" si="19"/>
        <v>60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  <c r="W262" s="30">
        <v>5</v>
      </c>
    </row>
    <row r="263" spans="1:23" ht="21" customHeight="1" x14ac:dyDescent="0.15">
      <c r="A263" s="2" t="str">
        <f ca="1">input_settle_555100!A$2</f>
        <v>555100</v>
      </c>
      <c r="B263" s="60">
        <v>729</v>
      </c>
      <c r="C263" s="7" t="str">
        <f t="shared" si="16"/>
        <v>Premium5R3less</v>
      </c>
      <c r="D263" s="7" t="str">
        <f t="shared" si="18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IFERROR(VLOOKUP(B263,input_settle_555100!L:R,7,FALSE),VLOOKUP(tables_settle_555100!C263,input_settle_555100!A:H,8,FALSE))</f>
        <v>57000</v>
      </c>
      <c r="P263" s="46">
        <f t="shared" ca="1" si="17"/>
        <v>9.8958333329897327E-3</v>
      </c>
      <c r="Q263" s="30">
        <f t="shared" si="19"/>
        <v>80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  <c r="W263" s="30">
        <v>5</v>
      </c>
    </row>
    <row r="264" spans="1:23" ht="21" customHeight="1" x14ac:dyDescent="0.15">
      <c r="A264" s="2" t="str">
        <f ca="1">input_settle_555100!A$2</f>
        <v>555100</v>
      </c>
      <c r="B264" s="60">
        <v>730</v>
      </c>
      <c r="C264" s="7" t="str">
        <f t="shared" si="16"/>
        <v>Premium4R3less</v>
      </c>
      <c r="D264" s="7" t="str">
        <f t="shared" si="18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IFERROR(VLOOKUP(B264,input_settle_555100!L:R,7,FALSE),VLOOKUP(tables_settle_555100!C264,input_settle_555100!A:H,8,FALSE))</f>
        <v>0</v>
      </c>
      <c r="P264" s="46">
        <f t="shared" ca="1" si="17"/>
        <v>0</v>
      </c>
      <c r="Q264" s="30">
        <f t="shared" si="19"/>
        <v>60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  <c r="W264" s="30">
        <v>5</v>
      </c>
    </row>
    <row r="265" spans="1:23" ht="21" customHeight="1" x14ac:dyDescent="0.15">
      <c r="A265" s="2" t="str">
        <f ca="1">input_settle_555100!A$2</f>
        <v>555100</v>
      </c>
      <c r="B265" s="60">
        <v>731</v>
      </c>
      <c r="C265" s="7" t="str">
        <f t="shared" si="16"/>
        <v>Premium5R3less</v>
      </c>
      <c r="D265" s="7" t="str">
        <f t="shared" si="18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IFERROR(VLOOKUP(B265,input_settle_555100!L:R,7,FALSE),VLOOKUP(tables_settle_555100!C265,input_settle_555100!A:H,8,FALSE))</f>
        <v>57000</v>
      </c>
      <c r="P265" s="46">
        <f t="shared" ca="1" si="17"/>
        <v>9.8958333329897327E-3</v>
      </c>
      <c r="Q265" s="30">
        <f t="shared" si="19"/>
        <v>80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  <c r="W265" s="30">
        <v>5</v>
      </c>
    </row>
    <row r="266" spans="1:23" ht="21" customHeight="1" x14ac:dyDescent="0.15">
      <c r="A266" s="2" t="str">
        <f ca="1">input_settle_555100!A$2</f>
        <v>555100</v>
      </c>
      <c r="B266" s="60">
        <v>732</v>
      </c>
      <c r="C266" s="7" t="str">
        <f t="shared" si="16"/>
        <v>PremiumSS5R5only</v>
      </c>
      <c r="D266" s="7" t="str">
        <f t="shared" si="18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IFERROR(VLOOKUP(B266,input_settle_555100!L:R,7,FALSE),VLOOKUP(tables_settle_555100!C266,input_settle_555100!A:H,8,FALSE))</f>
        <v>4000</v>
      </c>
      <c r="P266" s="46">
        <f t="shared" ca="1" si="17"/>
        <v>6.9444444442033214E-4</v>
      </c>
      <c r="Q266" s="30">
        <f t="shared" si="19"/>
        <v>80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  <c r="W266" s="30">
        <v>5</v>
      </c>
    </row>
    <row r="267" spans="1:23" ht="21" customHeight="1" x14ac:dyDescent="0.15">
      <c r="A267" s="2" t="str">
        <f ca="1">input_settle_555100!A$2</f>
        <v>555100</v>
      </c>
      <c r="B267" s="60">
        <v>734</v>
      </c>
      <c r="C267" s="7" t="str">
        <f t="shared" si="16"/>
        <v>PremiumSS5R5only</v>
      </c>
      <c r="D267" s="7" t="str">
        <f t="shared" si="18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IFERROR(VLOOKUP(B267,input_settle_555100!L:R,7,FALSE),VLOOKUP(tables_settle_555100!C267,input_settle_555100!A:H,8,FALSE))</f>
        <v>4000</v>
      </c>
      <c r="P267" s="46">
        <f t="shared" ca="1" si="17"/>
        <v>6.9444444442033214E-4</v>
      </c>
      <c r="Q267" s="30">
        <f t="shared" si="19"/>
        <v>80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  <c r="W267" s="30">
        <v>5</v>
      </c>
    </row>
    <row r="268" spans="1:23" ht="21" customHeight="1" x14ac:dyDescent="0.15">
      <c r="A268" s="2" t="str">
        <f ca="1">input_settle_555100!A$2</f>
        <v>555100</v>
      </c>
      <c r="B268" s="60">
        <v>742</v>
      </c>
      <c r="C268" s="7" t="str">
        <f t="shared" si="16"/>
        <v>PremiumSS5R5only</v>
      </c>
      <c r="D268" s="7" t="str">
        <f t="shared" si="18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IFERROR(VLOOKUP(B268,input_settle_555100!L:R,7,FALSE),VLOOKUP(tables_settle_555100!C268,input_settle_555100!A:H,8,FALSE))</f>
        <v>4000</v>
      </c>
      <c r="P268" s="46">
        <f t="shared" ca="1" si="17"/>
        <v>6.9444444442033214E-4</v>
      </c>
      <c r="Q268" s="30">
        <f t="shared" si="19"/>
        <v>80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  <c r="W268" s="30">
        <v>5</v>
      </c>
    </row>
    <row r="269" spans="1:23" ht="21" customHeight="1" x14ac:dyDescent="0.15">
      <c r="A269" s="2" t="str">
        <f ca="1">input_settle_555100!A$2</f>
        <v>555100</v>
      </c>
      <c r="B269" s="60">
        <v>744</v>
      </c>
      <c r="C269" s="7" t="str">
        <f t="shared" si="16"/>
        <v>PremiumSS5R5only</v>
      </c>
      <c r="D269" s="7" t="str">
        <f t="shared" si="18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IFERROR(VLOOKUP(B269,input_settle_555100!L:R,7,FALSE),VLOOKUP(tables_settle_555100!C269,input_settle_555100!A:H,8,FALSE))</f>
        <v>4000</v>
      </c>
      <c r="P269" s="46">
        <f t="shared" ca="1" si="17"/>
        <v>6.9444444442033214E-4</v>
      </c>
      <c r="Q269" s="30">
        <f t="shared" si="19"/>
        <v>80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  <c r="W269" s="30">
        <v>5</v>
      </c>
    </row>
    <row r="270" spans="1:23" ht="21" customHeight="1" x14ac:dyDescent="0.15">
      <c r="A270" s="2" t="str">
        <f ca="1">input_settle_555100!A$2</f>
        <v>555100</v>
      </c>
      <c r="B270" s="60">
        <v>746</v>
      </c>
      <c r="C270" s="7" t="str">
        <f t="shared" si="16"/>
        <v>Premium4R3less</v>
      </c>
      <c r="D270" s="7" t="str">
        <f t="shared" si="18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IFERROR(VLOOKUP(B270,input_settle_555100!L:R,7,FALSE),VLOOKUP(tables_settle_555100!C270,input_settle_555100!A:H,8,FALSE))</f>
        <v>0</v>
      </c>
      <c r="P270" s="46">
        <f t="shared" ca="1" si="17"/>
        <v>0</v>
      </c>
      <c r="Q270" s="30">
        <f t="shared" si="19"/>
        <v>60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  <c r="W270" s="30">
        <v>5</v>
      </c>
    </row>
    <row r="271" spans="1:23" ht="21" customHeight="1" x14ac:dyDescent="0.15">
      <c r="A271" s="2" t="str">
        <f ca="1">input_settle_555100!A$2</f>
        <v>555100</v>
      </c>
      <c r="B271" s="81">
        <v>747</v>
      </c>
      <c r="C271" s="7" t="str">
        <f t="shared" si="16"/>
        <v>Premium5R3less</v>
      </c>
      <c r="D271" s="7" t="str">
        <f t="shared" si="18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IFERROR(VLOOKUP(B271,input_settle_555100!L:R,7,FALSE),VLOOKUP(tables_settle_555100!C271,input_settle_555100!A:H,8,FALSE))</f>
        <v>57000</v>
      </c>
      <c r="P271" s="46">
        <f t="shared" ca="1" si="17"/>
        <v>9.8958333329897327E-3</v>
      </c>
      <c r="Q271" s="30">
        <f t="shared" si="19"/>
        <v>80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  <c r="W271" s="30">
        <v>5</v>
      </c>
    </row>
    <row r="272" spans="1:23" ht="21" customHeight="1" x14ac:dyDescent="0.15">
      <c r="A272" s="2" t="str">
        <f ca="1">input_settle_555100!A$2</f>
        <v>555100</v>
      </c>
      <c r="B272" s="81">
        <v>748</v>
      </c>
      <c r="C272" s="7" t="str">
        <f t="shared" si="16"/>
        <v>Premium4R3less</v>
      </c>
      <c r="D272" s="7" t="str">
        <f t="shared" si="18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IFERROR(VLOOKUP(B272,input_settle_555100!L:R,7,FALSE),VLOOKUP(tables_settle_555100!C272,input_settle_555100!A:H,8,FALSE))</f>
        <v>0</v>
      </c>
      <c r="P272" s="46">
        <f t="shared" ca="1" si="17"/>
        <v>0</v>
      </c>
      <c r="Q272" s="30">
        <f t="shared" si="19"/>
        <v>60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  <c r="W272" s="30">
        <v>5</v>
      </c>
    </row>
    <row r="273" spans="1:23" ht="21" customHeight="1" x14ac:dyDescent="0.15">
      <c r="A273" s="2" t="str">
        <f ca="1">input_settle_555100!A$2</f>
        <v>555100</v>
      </c>
      <c r="B273" s="81">
        <v>749</v>
      </c>
      <c r="C273" s="7" t="str">
        <f t="shared" si="16"/>
        <v>Premium5R3less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IFERROR(VLOOKUP(B273,input_settle_555100!L:R,7,FALSE),VLOOKUP(tables_settle_555100!C273,input_settle_555100!A:H,8,FALSE))</f>
        <v>57000</v>
      </c>
      <c r="P273" s="46">
        <f t="shared" ca="1" si="17"/>
        <v>9.8958333329897327E-3</v>
      </c>
      <c r="Q273" s="30">
        <f t="shared" si="19"/>
        <v>80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  <c r="W273" s="30">
        <v>5</v>
      </c>
    </row>
    <row r="274" spans="1:23" ht="21" customHeight="1" x14ac:dyDescent="0.15">
      <c r="A274" s="2" t="str">
        <f ca="1">input_settle_555100!A$2</f>
        <v>555100</v>
      </c>
      <c r="B274" s="81">
        <v>770</v>
      </c>
      <c r="C274" s="7" t="str">
        <f t="shared" si="16"/>
        <v>PremiumSS4</v>
      </c>
      <c r="D274" s="7" t="str">
        <f t="shared" si="18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IFERROR(VLOOKUP(B274,input_settle_555100!L:R,7,FALSE),VLOOKUP(tables_settle_555100!C274,input_settle_555100!A:H,8,FALSE))</f>
        <v>0</v>
      </c>
      <c r="P274" s="46">
        <f t="shared" ca="1" si="17"/>
        <v>0</v>
      </c>
      <c r="Q274" s="30">
        <f t="shared" si="19"/>
        <v>60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  <c r="W274" s="30">
        <v>5</v>
      </c>
    </row>
    <row r="275" spans="1:23" ht="21" customHeight="1" x14ac:dyDescent="0.15">
      <c r="A275" s="2" t="str">
        <f ca="1">input_settle_555100!A$2</f>
        <v>555100</v>
      </c>
      <c r="B275" s="81">
        <v>771</v>
      </c>
      <c r="C275" s="7" t="str">
        <f t="shared" si="16"/>
        <v>PremiumSS5</v>
      </c>
      <c r="D275" s="7" t="str">
        <f t="shared" si="18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IFERROR(VLOOKUP(B275,input_settle_555100!L:R,7,FALSE),VLOOKUP(tables_settle_555100!C275,input_settle_555100!A:H,8,FALSE))</f>
        <v>4000</v>
      </c>
      <c r="P275" s="46">
        <f t="shared" ca="1" si="17"/>
        <v>6.9444444442033214E-4</v>
      </c>
      <c r="Q275" s="30">
        <f t="shared" si="19"/>
        <v>80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  <c r="W275" s="30">
        <v>5</v>
      </c>
    </row>
    <row r="276" spans="1:23" ht="21" customHeight="1" x14ac:dyDescent="0.15">
      <c r="A276" s="2" t="str">
        <f ca="1">input_settle_555100!A$2</f>
        <v>555100</v>
      </c>
      <c r="B276" s="81">
        <v>772</v>
      </c>
      <c r="C276" s="7" t="str">
        <f t="shared" si="16"/>
        <v>PremiumSS4</v>
      </c>
      <c r="D276" s="7" t="str">
        <f t="shared" si="18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IFERROR(VLOOKUP(B276,input_settle_555100!L:R,7,FALSE),VLOOKUP(tables_settle_555100!C276,input_settle_555100!A:H,8,FALSE))</f>
        <v>0</v>
      </c>
      <c r="P276" s="46">
        <f t="shared" ca="1" si="17"/>
        <v>0</v>
      </c>
      <c r="Q276" s="30">
        <f t="shared" si="19"/>
        <v>60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  <c r="W276" s="30">
        <v>5</v>
      </c>
    </row>
    <row r="277" spans="1:23" ht="21" customHeight="1" x14ac:dyDescent="0.15">
      <c r="A277" s="2" t="str">
        <f ca="1">input_settle_555100!A$2</f>
        <v>555100</v>
      </c>
      <c r="B277" s="81">
        <v>773</v>
      </c>
      <c r="C277" s="7" t="str">
        <f t="shared" si="16"/>
        <v>PremiumSS5</v>
      </c>
      <c r="D277" s="7" t="str">
        <f t="shared" si="18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IFERROR(VLOOKUP(B277,input_settle_555100!L:R,7,FALSE),VLOOKUP(tables_settle_555100!C277,input_settle_555100!A:H,8,FALSE))</f>
        <v>4000</v>
      </c>
      <c r="P277" s="46">
        <f t="shared" ca="1" si="17"/>
        <v>6.9444444442033214E-4</v>
      </c>
      <c r="Q277" s="30">
        <f t="shared" si="19"/>
        <v>80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  <c r="W277" s="30">
        <v>5</v>
      </c>
    </row>
    <row r="278" spans="1:23" ht="21" customHeight="1" x14ac:dyDescent="0.15">
      <c r="A278" s="2" t="str">
        <f ca="1">input_settle_555100!A$2</f>
        <v>555100</v>
      </c>
      <c r="B278" s="81">
        <v>774</v>
      </c>
      <c r="C278" s="7" t="str">
        <f t="shared" si="16"/>
        <v>Premium3</v>
      </c>
      <c r="D278" s="7" t="str">
        <f t="shared" si="18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IFERROR(VLOOKUP(B278,input_settle_555100!L:R,7,FALSE),VLOOKUP(tables_settle_555100!C278,input_settle_555100!A:H,8,FALSE))</f>
        <v>0</v>
      </c>
      <c r="P278" s="46">
        <f t="shared" ca="1" si="17"/>
        <v>0</v>
      </c>
      <c r="Q278" s="30">
        <f t="shared" si="19"/>
        <v>40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  <c r="W278" s="30">
        <v>5</v>
      </c>
    </row>
    <row r="279" spans="1:23" ht="21" customHeight="1" x14ac:dyDescent="0.15">
      <c r="A279" s="2" t="str">
        <f ca="1">input_settle_555100!A$2</f>
        <v>555100</v>
      </c>
      <c r="B279" s="81">
        <v>775</v>
      </c>
      <c r="C279" s="7" t="str">
        <f t="shared" si="16"/>
        <v>Premium4</v>
      </c>
      <c r="D279" s="7" t="str">
        <f t="shared" si="18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IFERROR(VLOOKUP(B279,input_settle_555100!L:R,7,FALSE),VLOOKUP(tables_settle_555100!C279,input_settle_555100!A:H,8,FALSE))</f>
        <v>0</v>
      </c>
      <c r="P279" s="46">
        <f t="shared" ca="1" si="17"/>
        <v>0</v>
      </c>
      <c r="Q279" s="30">
        <f t="shared" si="19"/>
        <v>60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  <c r="W279" s="30">
        <v>5</v>
      </c>
    </row>
    <row r="280" spans="1:23" ht="21" customHeight="1" x14ac:dyDescent="0.15">
      <c r="A280" s="2" t="str">
        <f ca="1">input_settle_555100!A$2</f>
        <v>555100</v>
      </c>
      <c r="B280" s="81">
        <v>776</v>
      </c>
      <c r="C280" s="7" t="str">
        <f t="shared" si="16"/>
        <v>Premium5</v>
      </c>
      <c r="D280" s="7" t="str">
        <f t="shared" si="18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IFERROR(VLOOKUP(B280,input_settle_555100!L:R,7,FALSE),VLOOKUP(tables_settle_555100!C280,input_settle_555100!A:H,8,FALSE))</f>
        <v>72346.153850000002</v>
      </c>
      <c r="P280" s="46">
        <f t="shared" ca="1" si="17"/>
        <v>1.2560096154077782E-2</v>
      </c>
      <c r="Q280" s="30">
        <f t="shared" si="19"/>
        <v>80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  <c r="W280" s="30">
        <v>5</v>
      </c>
    </row>
    <row r="281" spans="1:23" ht="21" customHeight="1" x14ac:dyDescent="0.15">
      <c r="A281" s="2" t="str">
        <f ca="1">input_settle_555100!A$2</f>
        <v>555100</v>
      </c>
      <c r="B281" s="81">
        <v>777</v>
      </c>
      <c r="C281" s="7" t="str">
        <f t="shared" si="16"/>
        <v>Premium3</v>
      </c>
      <c r="D281" s="7" t="str">
        <f t="shared" si="18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IFERROR(VLOOKUP(B281,input_settle_555100!L:R,7,FALSE),VLOOKUP(tables_settle_555100!C281,input_settle_555100!A:H,8,FALSE))</f>
        <v>0</v>
      </c>
      <c r="P281" s="46">
        <f t="shared" ca="1" si="17"/>
        <v>0</v>
      </c>
      <c r="Q281" s="30">
        <f t="shared" si="19"/>
        <v>40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  <c r="W281" s="30">
        <v>5</v>
      </c>
    </row>
    <row r="282" spans="1:23" ht="21" customHeight="1" x14ac:dyDescent="0.15">
      <c r="A282" s="2" t="str">
        <f ca="1">input_settle_555100!A$2</f>
        <v>555100</v>
      </c>
      <c r="B282" s="81">
        <v>778</v>
      </c>
      <c r="C282" s="7" t="str">
        <f t="shared" si="16"/>
        <v>Premium4</v>
      </c>
      <c r="D282" s="7" t="str">
        <f t="shared" si="18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IFERROR(VLOOKUP(B282,input_settle_555100!L:R,7,FALSE),VLOOKUP(tables_settle_555100!C282,input_settle_555100!A:H,8,FALSE))</f>
        <v>0</v>
      </c>
      <c r="P282" s="46">
        <f t="shared" ca="1" si="17"/>
        <v>0</v>
      </c>
      <c r="Q282" s="30">
        <f t="shared" si="19"/>
        <v>60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  <c r="W282" s="30">
        <v>5</v>
      </c>
    </row>
    <row r="283" spans="1:23" ht="21" customHeight="1" x14ac:dyDescent="0.15">
      <c r="A283" s="2" t="str">
        <f ca="1">input_settle_555100!A$2</f>
        <v>555100</v>
      </c>
      <c r="B283" s="5">
        <v>779</v>
      </c>
      <c r="C283" s="7" t="str">
        <f t="shared" si="16"/>
        <v>Premium5</v>
      </c>
      <c r="D283" s="7" t="str">
        <f t="shared" si="18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IFERROR(VLOOKUP(B283,input_settle_555100!L:R,7,FALSE),VLOOKUP(tables_settle_555100!C283,input_settle_555100!A:H,8,FALSE))</f>
        <v>72346.153850000002</v>
      </c>
      <c r="P283" s="46">
        <f t="shared" ca="1" si="17"/>
        <v>1.2560096154077782E-2</v>
      </c>
      <c r="Q283" s="30">
        <f t="shared" si="19"/>
        <v>80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  <c r="W283" s="30">
        <v>5</v>
      </c>
    </row>
    <row r="284" spans="1:23" ht="21" customHeight="1" x14ac:dyDescent="0.15">
      <c r="A284" s="2" t="str">
        <f ca="1">input_settle_555100!A$2</f>
        <v>555100</v>
      </c>
      <c r="B284" s="5">
        <v>848</v>
      </c>
      <c r="C284" s="7" t="str">
        <f t="shared" si="16"/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IFERROR(VLOOKUP(B284,input_settle_555100!L:R,7,FALSE),VLOOKUP(tables_settle_555100!C284,input_settle_555100!A:H,8,FALSE))</f>
        <v>4000</v>
      </c>
      <c r="P284" s="46">
        <f t="shared" ca="1" si="17"/>
        <v>6.9444444442033214E-4</v>
      </c>
      <c r="Q284" s="30">
        <f t="shared" si="19"/>
        <v>80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  <c r="W284" s="30">
        <v>5</v>
      </c>
    </row>
    <row r="285" spans="1:23" ht="21" customHeight="1" x14ac:dyDescent="0.15">
      <c r="A285" s="2" t="str">
        <f ca="1">input_settle_555100!A$2</f>
        <v>555100</v>
      </c>
      <c r="B285" s="5">
        <v>850</v>
      </c>
      <c r="C285" s="7" t="str">
        <f t="shared" si="16"/>
        <v>PremiumSS5R5only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IFERROR(VLOOKUP(B285,input_settle_555100!L:R,7,FALSE),VLOOKUP(tables_settle_555100!C285,input_settle_555100!A:H,8,FALSE))</f>
        <v>4000</v>
      </c>
      <c r="P285" s="46">
        <f t="shared" ca="1" si="17"/>
        <v>6.9444444442033214E-4</v>
      </c>
      <c r="Q285" s="30">
        <f t="shared" si="19"/>
        <v>80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  <c r="W285" s="30">
        <v>5</v>
      </c>
    </row>
    <row r="286" spans="1:23" ht="21" customHeight="1" x14ac:dyDescent="0.15">
      <c r="A286" s="2" t="str">
        <f ca="1">input_settle_555100!A$2</f>
        <v>555100</v>
      </c>
      <c r="B286" s="5">
        <v>852</v>
      </c>
      <c r="C286" s="7" t="str">
        <f t="shared" si="16"/>
        <v>Premium4R3less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IFERROR(VLOOKUP(B286,input_settle_555100!L:R,7,FALSE),VLOOKUP(tables_settle_555100!C286,input_settle_555100!A:H,8,FALSE))</f>
        <v>0</v>
      </c>
      <c r="P286" s="46">
        <f t="shared" ca="1" si="17"/>
        <v>0</v>
      </c>
      <c r="Q286" s="30">
        <f t="shared" si="19"/>
        <v>60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  <c r="W286" s="30">
        <v>5</v>
      </c>
    </row>
    <row r="287" spans="1:23" ht="21" customHeight="1" x14ac:dyDescent="0.15">
      <c r="A287" s="2" t="str">
        <f ca="1">input_settle_555100!A$2</f>
        <v>555100</v>
      </c>
      <c r="B287" s="5">
        <v>853</v>
      </c>
      <c r="C287" s="7" t="str">
        <f t="shared" si="16"/>
        <v>Premium5R3less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IFERROR(VLOOKUP(B287,input_settle_555100!L:R,7,FALSE),VLOOKUP(tables_settle_555100!C287,input_settle_555100!A:H,8,FALSE))</f>
        <v>57000</v>
      </c>
      <c r="P287" s="46">
        <f t="shared" ca="1" si="17"/>
        <v>9.8958333329897327E-3</v>
      </c>
      <c r="Q287" s="30">
        <f t="shared" si="19"/>
        <v>80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  <c r="W287" s="30">
        <v>5</v>
      </c>
    </row>
    <row r="288" spans="1:23" ht="21" customHeight="1" x14ac:dyDescent="0.15">
      <c r="A288" s="2" t="str">
        <f ca="1">input_settle_555100!A$2</f>
        <v>555100</v>
      </c>
      <c r="B288" s="5">
        <v>854</v>
      </c>
      <c r="C288" s="7" t="str">
        <f t="shared" si="16"/>
        <v>Premium4R3less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IFERROR(VLOOKUP(B288,input_settle_555100!L:R,7,FALSE),VLOOKUP(tables_settle_555100!C288,input_settle_555100!A:H,8,FALSE))</f>
        <v>0</v>
      </c>
      <c r="P288" s="46">
        <f t="shared" ca="1" si="17"/>
        <v>0</v>
      </c>
      <c r="Q288" s="30">
        <f t="shared" si="19"/>
        <v>60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  <c r="W288" s="30">
        <v>5</v>
      </c>
    </row>
    <row r="289" spans="1:23" ht="21" customHeight="1" x14ac:dyDescent="0.15">
      <c r="A289" s="2" t="str">
        <f ca="1">input_settle_555100!A$2</f>
        <v>555100</v>
      </c>
      <c r="B289" s="5">
        <v>855</v>
      </c>
      <c r="C289" s="7" t="str">
        <f t="shared" si="16"/>
        <v>Premium5R3less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IFERROR(VLOOKUP(B289,input_settle_555100!L:R,7,FALSE),VLOOKUP(tables_settle_555100!C289,input_settle_555100!A:H,8,FALSE))</f>
        <v>57000</v>
      </c>
      <c r="P289" s="46">
        <f t="shared" ca="1" si="17"/>
        <v>9.8958333329897327E-3</v>
      </c>
      <c r="Q289" s="30">
        <f t="shared" si="19"/>
        <v>80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  <c r="W289" s="30">
        <v>5</v>
      </c>
    </row>
    <row r="290" spans="1:23" ht="21" customHeight="1" x14ac:dyDescent="0.15">
      <c r="A290" s="2" t="str">
        <f ca="1">input_settle_555100!A$2</f>
        <v>555100</v>
      </c>
      <c r="B290" s="5">
        <v>862</v>
      </c>
      <c r="C290" s="7" t="str">
        <f t="shared" si="16"/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IFERROR(VLOOKUP(B290,input_settle_555100!L:R,7,FALSE),VLOOKUP(tables_settle_555100!C290,input_settle_555100!A:H,8,FALSE))</f>
        <v>0</v>
      </c>
      <c r="P290" s="46">
        <f t="shared" ca="1" si="17"/>
        <v>0</v>
      </c>
      <c r="Q290" s="30">
        <f t="shared" si="19"/>
        <v>60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  <c r="W290" s="30">
        <v>5</v>
      </c>
    </row>
    <row r="291" spans="1:23" ht="21" customHeight="1" x14ac:dyDescent="0.15">
      <c r="A291" s="2" t="str">
        <f ca="1">input_settle_555100!A$2</f>
        <v>555100</v>
      </c>
      <c r="B291" s="5">
        <v>863</v>
      </c>
      <c r="C291" s="7" t="str">
        <f t="shared" si="16"/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IFERROR(VLOOKUP(B291,input_settle_555100!L:R,7,FALSE),VLOOKUP(tables_settle_555100!C291,input_settle_555100!A:H,8,FALSE))</f>
        <v>57000</v>
      </c>
      <c r="P291" s="46">
        <f t="shared" ca="1" si="17"/>
        <v>9.8958333329897327E-3</v>
      </c>
      <c r="Q291" s="30">
        <f t="shared" si="19"/>
        <v>80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  <c r="W291" s="30">
        <v>5</v>
      </c>
    </row>
    <row r="292" spans="1:23" ht="21" customHeight="1" x14ac:dyDescent="0.15">
      <c r="A292" s="2" t="str">
        <f ca="1">input_settle_555100!A$2</f>
        <v>555100</v>
      </c>
      <c r="B292" s="5">
        <v>864</v>
      </c>
      <c r="C292" s="7" t="str">
        <f t="shared" si="16"/>
        <v>Premium4R3less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IFERROR(VLOOKUP(B292,input_settle_555100!L:R,7,FALSE),VLOOKUP(tables_settle_555100!C292,input_settle_555100!A:H,8,FALSE))</f>
        <v>0</v>
      </c>
      <c r="P292" s="46">
        <f t="shared" ca="1" si="17"/>
        <v>0</v>
      </c>
      <c r="Q292" s="30">
        <f t="shared" si="19"/>
        <v>60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  <c r="W292" s="30">
        <v>5</v>
      </c>
    </row>
    <row r="293" spans="1:23" ht="21" customHeight="1" x14ac:dyDescent="0.15">
      <c r="A293" s="2" t="str">
        <f ca="1">input_settle_555100!A$2</f>
        <v>555100</v>
      </c>
      <c r="B293" s="5">
        <v>865</v>
      </c>
      <c r="C293" s="7" t="str">
        <f t="shared" si="16"/>
        <v>Premium5R3less</v>
      </c>
      <c r="D293" s="7" t="str">
        <f t="shared" si="18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IFERROR(VLOOKUP(B293,input_settle_555100!L:R,7,FALSE),VLOOKUP(tables_settle_555100!C293,input_settle_555100!A:H,8,FALSE))</f>
        <v>57000</v>
      </c>
      <c r="P293" s="46">
        <f t="shared" ca="1" si="17"/>
        <v>9.8958333329897327E-3</v>
      </c>
      <c r="Q293" s="30">
        <f t="shared" si="19"/>
        <v>80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  <c r="W293" s="30">
        <v>5</v>
      </c>
    </row>
    <row r="294" spans="1:23" ht="21" customHeight="1" x14ac:dyDescent="0.15">
      <c r="A294" s="2" t="str">
        <f ca="1">input_settle_555100!A$2</f>
        <v>555100</v>
      </c>
      <c r="B294" s="5">
        <v>866</v>
      </c>
      <c r="C294" s="7" t="str">
        <f t="shared" si="16"/>
        <v>PremiumSS5R5only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IFERROR(VLOOKUP(B294,input_settle_555100!L:R,7,FALSE),VLOOKUP(tables_settle_555100!C294,input_settle_555100!A:H,8,FALSE))</f>
        <v>4000</v>
      </c>
      <c r="P294" s="46">
        <f t="shared" ca="1" si="17"/>
        <v>6.9444444442033214E-4</v>
      </c>
      <c r="Q294" s="30">
        <f t="shared" si="19"/>
        <v>80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  <c r="W294" s="30">
        <v>5</v>
      </c>
    </row>
    <row r="295" spans="1:23" ht="21" customHeight="1" x14ac:dyDescent="0.15">
      <c r="A295" s="2" t="str">
        <f ca="1">input_settle_555100!A$2</f>
        <v>555100</v>
      </c>
      <c r="B295" s="5">
        <v>868</v>
      </c>
      <c r="C295" s="7" t="str">
        <f t="shared" si="16"/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IFERROR(VLOOKUP(B295,input_settle_555100!L:R,7,FALSE),VLOOKUP(tables_settle_555100!C295,input_settle_555100!A:H,8,FALSE))</f>
        <v>4000</v>
      </c>
      <c r="P295" s="46">
        <f t="shared" ca="1" si="17"/>
        <v>6.9444444442033214E-4</v>
      </c>
      <c r="Q295" s="30">
        <f t="shared" si="19"/>
        <v>80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  <c r="W295" s="30">
        <v>5</v>
      </c>
    </row>
    <row r="296" spans="1:23" ht="21" customHeight="1" x14ac:dyDescent="0.15">
      <c r="A296" s="2" t="str">
        <f ca="1">input_settle_555100!A$2</f>
        <v>555100</v>
      </c>
      <c r="B296" s="5">
        <v>937</v>
      </c>
      <c r="C296" s="7" t="str">
        <f t="shared" si="16"/>
        <v>PremiumSS5R5only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IFERROR(VLOOKUP(B296,input_settle_555100!L:R,7,FALSE),VLOOKUP(tables_settle_555100!C296,input_settle_555100!A:H,8,FALSE))</f>
        <v>4000</v>
      </c>
      <c r="P296" s="46">
        <f t="shared" ca="1" si="17"/>
        <v>6.9444444442033214E-4</v>
      </c>
      <c r="Q296" s="30">
        <f t="shared" si="19"/>
        <v>80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  <c r="W296" s="30">
        <v>5</v>
      </c>
    </row>
    <row r="297" spans="1:23" ht="21" customHeight="1" x14ac:dyDescent="0.15">
      <c r="A297" s="2" t="str">
        <f ca="1">input_settle_555100!A$2</f>
        <v>555100</v>
      </c>
      <c r="B297" s="5">
        <v>939</v>
      </c>
      <c r="C297" s="7" t="str">
        <f t="shared" si="16"/>
        <v>Premium4R3less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IFERROR(VLOOKUP(B297,input_settle_555100!L:R,7,FALSE),VLOOKUP(tables_settle_555100!C297,input_settle_555100!A:H,8,FALSE))</f>
        <v>0</v>
      </c>
      <c r="P297" s="46">
        <f t="shared" ca="1" si="17"/>
        <v>0</v>
      </c>
      <c r="Q297" s="30">
        <f t="shared" si="19"/>
        <v>60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  <c r="W297" s="30">
        <v>5</v>
      </c>
    </row>
    <row r="298" spans="1:23" ht="21" customHeight="1" x14ac:dyDescent="0.15">
      <c r="A298" s="2" t="str">
        <f ca="1">input_settle_555100!A$2</f>
        <v>555100</v>
      </c>
      <c r="B298" s="5">
        <v>940</v>
      </c>
      <c r="C298" s="7" t="str">
        <f t="shared" si="16"/>
        <v>Premium5R3less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IFERROR(VLOOKUP(B298,input_settle_555100!L:R,7,FALSE),VLOOKUP(tables_settle_555100!C298,input_settle_555100!A:H,8,FALSE))</f>
        <v>57000</v>
      </c>
      <c r="P298" s="46">
        <f t="shared" ca="1" si="17"/>
        <v>9.8958333329897327E-3</v>
      </c>
      <c r="Q298" s="30">
        <f t="shared" si="19"/>
        <v>80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  <c r="W298" s="30">
        <v>5</v>
      </c>
    </row>
    <row r="299" spans="1:23" ht="21" customHeight="1" x14ac:dyDescent="0.15">
      <c r="A299" s="2" t="str">
        <f ca="1">input_settle_555100!A$2</f>
        <v>555100</v>
      </c>
      <c r="B299" s="5">
        <v>941</v>
      </c>
      <c r="C299" s="7" t="str">
        <f t="shared" si="16"/>
        <v>PremiumSS5R5only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IFERROR(VLOOKUP(B299,input_settle_555100!L:R,7,FALSE),VLOOKUP(tables_settle_555100!C299,input_settle_555100!A:H,8,FALSE))</f>
        <v>4000</v>
      </c>
      <c r="P299" s="46">
        <f t="shared" ca="1" si="17"/>
        <v>6.9444444442033214E-4</v>
      </c>
      <c r="Q299" s="30">
        <f t="shared" si="19"/>
        <v>80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  <c r="W299" s="30">
        <v>5</v>
      </c>
    </row>
    <row r="300" spans="1:23" ht="21" customHeight="1" x14ac:dyDescent="0.15">
      <c r="A300" s="2" t="str">
        <f ca="1">input_settle_555100!A$2</f>
        <v>555100</v>
      </c>
      <c r="B300" s="5">
        <v>943</v>
      </c>
      <c r="C300" s="7" t="str">
        <f t="shared" si="16"/>
        <v>PremiumSS5R5only</v>
      </c>
      <c r="D300" s="7" t="str">
        <f t="shared" si="18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IFERROR(VLOOKUP(B300,input_settle_555100!L:R,7,FALSE),VLOOKUP(tables_settle_555100!C300,input_settle_555100!A:H,8,FALSE))</f>
        <v>4000</v>
      </c>
      <c r="P300" s="46">
        <f t="shared" ca="1" si="17"/>
        <v>6.9444444442033214E-4</v>
      </c>
      <c r="Q300" s="30">
        <f t="shared" si="19"/>
        <v>80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  <c r="W300" s="30">
        <v>5</v>
      </c>
    </row>
    <row r="301" spans="1:23" ht="21" customHeight="1" x14ac:dyDescent="0.15">
      <c r="A301" s="2" t="str">
        <f ca="1">input_settle_555100!A$2</f>
        <v>555100</v>
      </c>
      <c r="B301" s="5">
        <v>1012</v>
      </c>
      <c r="C301" s="7" t="str">
        <f t="shared" si="16"/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IFERROR(VLOOKUP(B301,input_settle_555100!L:R,7,FALSE),VLOOKUP(tables_settle_555100!C301,input_settle_555100!A:H,8,FALSE))</f>
        <v>4000</v>
      </c>
      <c r="P301" s="46">
        <f t="shared" ca="1" si="17"/>
        <v>6.9444444442033214E-4</v>
      </c>
      <c r="Q301" s="30">
        <f t="shared" si="19"/>
        <v>80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  <c r="W301" s="30">
        <v>5</v>
      </c>
    </row>
    <row r="302" spans="1:23" ht="21" customHeight="1" x14ac:dyDescent="0.15">
      <c r="A302" s="2" t="str">
        <f ca="1">input_settle_555100!A$2</f>
        <v>555100</v>
      </c>
      <c r="B302" s="5">
        <v>1014</v>
      </c>
      <c r="C302" s="7" t="str">
        <f t="shared" si="16"/>
        <v>PremiumSS5R5only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IFERROR(VLOOKUP(B302,input_settle_555100!L:R,7,FALSE),VLOOKUP(tables_settle_555100!C302,input_settle_555100!A:H,8,FALSE))</f>
        <v>4000</v>
      </c>
      <c r="P302" s="46">
        <f t="shared" ca="1" si="17"/>
        <v>6.9444444442033214E-4</v>
      </c>
      <c r="Q302" s="30">
        <f t="shared" si="19"/>
        <v>80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  <c r="W302" s="30">
        <v>5</v>
      </c>
    </row>
    <row r="303" spans="1:23" ht="21" customHeight="1" x14ac:dyDescent="0.15">
      <c r="A303" s="2" t="str">
        <f ca="1">input_settle_555100!A$2</f>
        <v>555100</v>
      </c>
      <c r="B303" s="5">
        <v>1016</v>
      </c>
      <c r="C303" s="7" t="str">
        <f t="shared" si="16"/>
        <v>Premium4R3less</v>
      </c>
      <c r="D303" s="7" t="str">
        <f t="shared" si="18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IFERROR(VLOOKUP(B303,input_settle_555100!L:R,7,FALSE),VLOOKUP(tables_settle_555100!C303,input_settle_555100!A:H,8,FALSE))</f>
        <v>0</v>
      </c>
      <c r="P303" s="46">
        <f t="shared" ca="1" si="17"/>
        <v>0</v>
      </c>
      <c r="Q303" s="30">
        <f t="shared" si="19"/>
        <v>60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  <c r="W303" s="30">
        <v>5</v>
      </c>
    </row>
    <row r="304" spans="1:23" ht="21" customHeight="1" x14ac:dyDescent="0.15">
      <c r="A304" s="2" t="str">
        <f ca="1">input_settle_555100!A$2</f>
        <v>555100</v>
      </c>
      <c r="B304" s="5">
        <v>1017</v>
      </c>
      <c r="C304" s="7" t="str">
        <f t="shared" si="16"/>
        <v>Premium5R3less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IFERROR(VLOOKUP(B304,input_settle_555100!L:R,7,FALSE),VLOOKUP(tables_settle_555100!C304,input_settle_555100!A:H,8,FALSE))</f>
        <v>57000</v>
      </c>
      <c r="P304" s="46">
        <f t="shared" ca="1" si="17"/>
        <v>9.8958333329897327E-3</v>
      </c>
      <c r="Q304" s="30">
        <f t="shared" si="19"/>
        <v>80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  <c r="W304" s="30">
        <v>5</v>
      </c>
    </row>
    <row r="305" spans="1:23" ht="21" customHeight="1" x14ac:dyDescent="0.15">
      <c r="A305" s="2" t="str">
        <f ca="1">input_settle_555100!A$2</f>
        <v>555100</v>
      </c>
      <c r="B305" s="5">
        <v>1018</v>
      </c>
      <c r="C305" s="7" t="str">
        <f t="shared" si="16"/>
        <v>PremiumSS5R5only</v>
      </c>
      <c r="D305" s="7" t="str">
        <f t="shared" si="18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IFERROR(VLOOKUP(B305,input_settle_555100!L:R,7,FALSE),VLOOKUP(tables_settle_555100!C305,input_settle_555100!A:H,8,FALSE))</f>
        <v>4000</v>
      </c>
      <c r="P305" s="46">
        <f t="shared" ca="1" si="17"/>
        <v>6.9444444442033214E-4</v>
      </c>
      <c r="Q305" s="30">
        <f t="shared" si="19"/>
        <v>80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  <c r="W305" s="30">
        <v>5</v>
      </c>
    </row>
    <row r="306" spans="1:23" ht="21" customHeight="1" x14ac:dyDescent="0.15">
      <c r="A306" s="2" t="str">
        <f ca="1">input_settle_555100!A$2</f>
        <v>555100</v>
      </c>
      <c r="B306" s="5">
        <v>1026</v>
      </c>
      <c r="C306" s="7" t="str">
        <f t="shared" si="16"/>
        <v>Premium4R3less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IFERROR(VLOOKUP(B306,input_settle_555100!L:R,7,FALSE),VLOOKUP(tables_settle_555100!C306,input_settle_555100!A:H,8,FALSE))</f>
        <v>0</v>
      </c>
      <c r="P306" s="46">
        <f t="shared" ca="1" si="17"/>
        <v>0</v>
      </c>
      <c r="Q306" s="30">
        <f t="shared" si="19"/>
        <v>60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  <c r="W306" s="30">
        <v>5</v>
      </c>
    </row>
    <row r="307" spans="1:23" ht="21" customHeight="1" x14ac:dyDescent="0.15">
      <c r="A307" s="2" t="str">
        <f ca="1">input_settle_555100!A$2</f>
        <v>555100</v>
      </c>
      <c r="B307" s="5">
        <v>1027</v>
      </c>
      <c r="C307" s="7" t="str">
        <f t="shared" si="16"/>
        <v>Premium5R3less</v>
      </c>
      <c r="D307" s="7" t="str">
        <f t="shared" si="18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IFERROR(VLOOKUP(B307,input_settle_555100!L:R,7,FALSE),VLOOKUP(tables_settle_555100!C307,input_settle_555100!A:H,8,FALSE))</f>
        <v>57000</v>
      </c>
      <c r="P307" s="46">
        <f t="shared" ca="1" si="17"/>
        <v>9.8958333329897327E-3</v>
      </c>
      <c r="Q307" s="30">
        <f t="shared" si="19"/>
        <v>80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  <c r="W307" s="30">
        <v>5</v>
      </c>
    </row>
    <row r="308" spans="1:23" ht="21" customHeight="1" x14ac:dyDescent="0.15">
      <c r="A308" s="2" t="str">
        <f ca="1">input_settle_555100!A$2</f>
        <v>555100</v>
      </c>
      <c r="B308" s="5">
        <v>1028</v>
      </c>
      <c r="C308" s="7" t="str">
        <f t="shared" si="16"/>
        <v>PremiumSS5R5only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IFERROR(VLOOKUP(B308,input_settle_555100!L:R,7,FALSE),VLOOKUP(tables_settle_555100!C308,input_settle_555100!A:H,8,FALSE))</f>
        <v>4000</v>
      </c>
      <c r="P308" s="46">
        <f t="shared" ca="1" si="17"/>
        <v>6.9444444442033214E-4</v>
      </c>
      <c r="Q308" s="30">
        <f t="shared" si="19"/>
        <v>80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  <c r="W308" s="30">
        <v>5</v>
      </c>
    </row>
    <row r="309" spans="1:23" ht="21" customHeight="1" x14ac:dyDescent="0.15">
      <c r="A309" s="2" t="str">
        <f ca="1">input_settle_555100!A$2</f>
        <v>555100</v>
      </c>
      <c r="B309" s="5">
        <v>1031</v>
      </c>
      <c r="C309" s="7" t="str">
        <f t="shared" si="16"/>
        <v>PremiumSS5R5only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IFERROR(VLOOKUP(B309,input_settle_555100!L:R,7,FALSE),VLOOKUP(tables_settle_555100!C309,input_settle_555100!A:H,8,FALSE))</f>
        <v>4000</v>
      </c>
      <c r="P309" s="46">
        <f t="shared" ca="1" si="17"/>
        <v>6.9444444442033214E-4</v>
      </c>
      <c r="Q309" s="30">
        <f t="shared" si="19"/>
        <v>80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  <c r="W309" s="30">
        <v>5</v>
      </c>
    </row>
    <row r="310" spans="1:23" ht="21" customHeight="1" x14ac:dyDescent="0.15">
      <c r="A310" s="2" t="str">
        <f ca="1">input_settle_555100!A$2</f>
        <v>555100</v>
      </c>
      <c r="B310" s="5">
        <v>1033</v>
      </c>
      <c r="C310" s="7" t="str">
        <f t="shared" si="16"/>
        <v>PremiumSS5R5only</v>
      </c>
      <c r="D310" s="7" t="str">
        <f t="shared" si="18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IFERROR(VLOOKUP(B310,input_settle_555100!L:R,7,FALSE),VLOOKUP(tables_settle_555100!C310,input_settle_555100!A:H,8,FALSE))</f>
        <v>4000</v>
      </c>
      <c r="P310" s="46">
        <f t="shared" ca="1" si="17"/>
        <v>6.9444444442033214E-4</v>
      </c>
      <c r="Q310" s="30">
        <f t="shared" si="19"/>
        <v>80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  <c r="W310" s="30">
        <v>5</v>
      </c>
    </row>
    <row r="311" spans="1:23" ht="21" customHeight="1" x14ac:dyDescent="0.15">
      <c r="A311" s="2" t="str">
        <f ca="1">input_settle_555100!A$2</f>
        <v>555100</v>
      </c>
      <c r="B311" s="5">
        <v>1067</v>
      </c>
      <c r="C311" s="7" t="str">
        <f t="shared" si="16"/>
        <v>Premium4R3less</v>
      </c>
      <c r="D311" s="7" t="str">
        <f t="shared" si="1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IFERROR(VLOOKUP(B311,input_settle_555100!L:R,7,FALSE),VLOOKUP(tables_settle_555100!C311,input_settle_555100!A:H,8,FALSE))</f>
        <v>0</v>
      </c>
      <c r="P311" s="46">
        <f t="shared" ca="1" si="17"/>
        <v>0</v>
      </c>
      <c r="Q311" s="30">
        <f t="shared" si="19"/>
        <v>60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  <c r="W311" s="30">
        <v>5</v>
      </c>
    </row>
    <row r="312" spans="1:23" ht="21" customHeight="1" x14ac:dyDescent="0.15">
      <c r="A312" s="2" t="str">
        <f ca="1">input_settle_555100!A$2</f>
        <v>555100</v>
      </c>
      <c r="B312" s="5">
        <v>1068</v>
      </c>
      <c r="C312" s="7" t="str">
        <f t="shared" si="16"/>
        <v>Premium5R3less</v>
      </c>
      <c r="D312" s="7" t="str">
        <f t="shared" si="18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IFERROR(VLOOKUP(B312,input_settle_555100!L:R,7,FALSE),VLOOKUP(tables_settle_555100!C312,input_settle_555100!A:H,8,FALSE))</f>
        <v>57000</v>
      </c>
      <c r="P312" s="46">
        <f t="shared" ca="1" si="17"/>
        <v>9.8958333329897327E-3</v>
      </c>
      <c r="Q312" s="30">
        <f t="shared" si="19"/>
        <v>80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  <c r="W312" s="30">
        <v>5</v>
      </c>
    </row>
    <row r="313" spans="1:23" ht="21" customHeight="1" x14ac:dyDescent="0.15">
      <c r="A313" s="2" t="str">
        <f ca="1">input_settle_555100!A$2</f>
        <v>555100</v>
      </c>
      <c r="B313" s="5">
        <v>1069</v>
      </c>
      <c r="C313" s="7" t="str">
        <f t="shared" si="16"/>
        <v>PremiumSS5R5only</v>
      </c>
      <c r="D313" s="7" t="str">
        <f t="shared" si="1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IFERROR(VLOOKUP(B313,input_settle_555100!L:R,7,FALSE),VLOOKUP(tables_settle_555100!C313,input_settle_555100!A:H,8,FALSE))</f>
        <v>4000</v>
      </c>
      <c r="P313" s="46">
        <f t="shared" ca="1" si="17"/>
        <v>6.9444444442033214E-4</v>
      </c>
      <c r="Q313" s="30">
        <f t="shared" si="19"/>
        <v>80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  <c r="W313" s="30">
        <v>5</v>
      </c>
    </row>
    <row r="314" spans="1:23" ht="21" customHeight="1" x14ac:dyDescent="0.15">
      <c r="A314" s="2" t="str">
        <f ca="1">input_settle_555100!A$2</f>
        <v>555100</v>
      </c>
      <c r="B314" s="5">
        <v>1072</v>
      </c>
      <c r="C314" s="7" t="str">
        <f t="shared" si="16"/>
        <v>PremiumSS5R5only</v>
      </c>
      <c r="D314" s="7" t="str">
        <f t="shared" si="1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IFERROR(VLOOKUP(B314,input_settle_555100!L:R,7,FALSE),VLOOKUP(tables_settle_555100!C314,input_settle_555100!A:H,8,FALSE))</f>
        <v>4000</v>
      </c>
      <c r="P314" s="46">
        <f t="shared" ca="1" si="17"/>
        <v>6.9444444442033214E-4</v>
      </c>
      <c r="Q314" s="30">
        <f t="shared" si="19"/>
        <v>80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  <c r="W314" s="30">
        <v>5</v>
      </c>
    </row>
    <row r="315" spans="1:23" ht="21" customHeight="1" x14ac:dyDescent="0.15">
      <c r="A315" s="2" t="str">
        <f ca="1">input_settle_555100!A$2</f>
        <v>555100</v>
      </c>
      <c r="B315" s="5">
        <v>1074</v>
      </c>
      <c r="C315" s="7" t="str">
        <f t="shared" si="16"/>
        <v>PremiumSS5R5only</v>
      </c>
      <c r="D315" s="7" t="str">
        <f t="shared" si="18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IFERROR(VLOOKUP(B315,input_settle_555100!L:R,7,FALSE),VLOOKUP(tables_settle_555100!C315,input_settle_555100!A:H,8,FALSE))</f>
        <v>4000</v>
      </c>
      <c r="P315" s="46">
        <f t="shared" ca="1" si="17"/>
        <v>6.9444444442033214E-4</v>
      </c>
      <c r="Q315" s="30">
        <f t="shared" si="19"/>
        <v>80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  <c r="W315" s="30">
        <v>5</v>
      </c>
    </row>
    <row r="316" spans="1:23" ht="21" customHeight="1" x14ac:dyDescent="0.15">
      <c r="A316" s="2" t="str">
        <f ca="1">input_settle_555100!A$2</f>
        <v>555100</v>
      </c>
      <c r="B316" s="5">
        <v>1100</v>
      </c>
      <c r="C316" s="7" t="str">
        <f t="shared" si="16"/>
        <v>PremiumSS5R5only</v>
      </c>
      <c r="D316" s="7" t="str">
        <f t="shared" si="18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IFERROR(VLOOKUP(B316,input_settle_555100!L:R,7,FALSE),VLOOKUP(tables_settle_555100!C316,input_settle_555100!A:H,8,FALSE))</f>
        <v>4000</v>
      </c>
      <c r="P316" s="46">
        <f t="shared" ca="1" si="17"/>
        <v>6.9444444442033214E-4</v>
      </c>
      <c r="Q316" s="30">
        <f t="shared" si="19"/>
        <v>80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  <c r="W316" s="30">
        <v>5</v>
      </c>
    </row>
    <row r="317" spans="1:23" ht="21" customHeight="1" x14ac:dyDescent="0.15">
      <c r="A317" s="2" t="str">
        <f ca="1">input_settle_555100!A$2</f>
        <v>555100</v>
      </c>
      <c r="B317" s="5">
        <v>1102</v>
      </c>
      <c r="C317" s="7" t="str">
        <f t="shared" si="16"/>
        <v>PremiumSS5R5only</v>
      </c>
      <c r="D317" s="7" t="str">
        <f t="shared" si="18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IFERROR(VLOOKUP(B317,input_settle_555100!L:R,7,FALSE),VLOOKUP(tables_settle_555100!C317,input_settle_555100!A:H,8,FALSE))</f>
        <v>4000</v>
      </c>
      <c r="P317" s="46">
        <f t="shared" ca="1" si="17"/>
        <v>6.9444444442033214E-4</v>
      </c>
      <c r="Q317" s="30">
        <f t="shared" si="19"/>
        <v>80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  <c r="W317" s="30">
        <v>5</v>
      </c>
    </row>
    <row r="318" spans="1:23" ht="21" customHeight="1" x14ac:dyDescent="0.15">
      <c r="A318" s="2" t="str">
        <f ca="1">input_settle_555100!A$2</f>
        <v>555100</v>
      </c>
      <c r="B318" s="5">
        <v>1104</v>
      </c>
      <c r="C318" s="7" t="str">
        <f t="shared" si="16"/>
        <v>Premium4R3less</v>
      </c>
      <c r="D318" s="7" t="str">
        <f t="shared" si="18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IFERROR(VLOOKUP(B318,input_settle_555100!L:R,7,FALSE),VLOOKUP(tables_settle_555100!C318,input_settle_555100!A:H,8,FALSE))</f>
        <v>0</v>
      </c>
      <c r="P318" s="46">
        <f t="shared" ca="1" si="17"/>
        <v>0</v>
      </c>
      <c r="Q318" s="30">
        <f t="shared" si="19"/>
        <v>60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  <c r="W318" s="30">
        <v>5</v>
      </c>
    </row>
    <row r="319" spans="1:23" ht="21" customHeight="1" x14ac:dyDescent="0.15">
      <c r="A319" s="2" t="str">
        <f ca="1">input_settle_555100!A$2</f>
        <v>555100</v>
      </c>
      <c r="B319" s="5">
        <v>1105</v>
      </c>
      <c r="C319" s="7" t="str">
        <f t="shared" si="16"/>
        <v>Premium5R3less</v>
      </c>
      <c r="D319" s="7" t="str">
        <f t="shared" si="18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IFERROR(VLOOKUP(B319,input_settle_555100!L:R,7,FALSE),VLOOKUP(tables_settle_555100!C319,input_settle_555100!A:H,8,FALSE))</f>
        <v>57000</v>
      </c>
      <c r="P319" s="46">
        <f t="shared" ca="1" si="17"/>
        <v>9.8958333329897327E-3</v>
      </c>
      <c r="Q319" s="30">
        <f t="shared" si="19"/>
        <v>80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  <c r="W319" s="30">
        <v>5</v>
      </c>
    </row>
    <row r="320" spans="1:23" ht="21" customHeight="1" x14ac:dyDescent="0.15">
      <c r="A320" s="2" t="str">
        <f ca="1">input_settle_555100!A$2</f>
        <v>555100</v>
      </c>
      <c r="B320" s="5">
        <v>1106</v>
      </c>
      <c r="C320" s="7" t="str">
        <f t="shared" si="16"/>
        <v>PremiumSS5R5only</v>
      </c>
      <c r="D320" s="7" t="str">
        <f t="shared" si="18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IFERROR(VLOOKUP(B320,input_settle_555100!L:R,7,FALSE),VLOOKUP(tables_settle_555100!C320,input_settle_555100!A:H,8,FALSE))</f>
        <v>4000</v>
      </c>
      <c r="P320" s="46">
        <f t="shared" ca="1" si="17"/>
        <v>6.9444444442033214E-4</v>
      </c>
      <c r="Q320" s="30">
        <f t="shared" si="19"/>
        <v>80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  <c r="W320" s="30">
        <v>5</v>
      </c>
    </row>
    <row r="321" spans="1:23" ht="21" customHeight="1" x14ac:dyDescent="0.15">
      <c r="A321" s="2" t="str">
        <f ca="1">input_settle_555100!A$2</f>
        <v>555100</v>
      </c>
      <c r="B321" s="5">
        <v>1137</v>
      </c>
      <c r="C321" s="7" t="str">
        <f t="shared" si="16"/>
        <v>PremiumSS5R5only</v>
      </c>
      <c r="D321" s="7" t="str">
        <f t="shared" si="18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IFERROR(VLOOKUP(B321,input_settle_555100!L:R,7,FALSE),VLOOKUP(tables_settle_555100!C321,input_settle_555100!A:H,8,FALSE))</f>
        <v>4000</v>
      </c>
      <c r="P321" s="46">
        <f t="shared" ca="1" si="17"/>
        <v>6.9444444442033214E-4</v>
      </c>
      <c r="Q321" s="30">
        <f t="shared" si="19"/>
        <v>80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  <c r="W321" s="30">
        <v>5</v>
      </c>
    </row>
    <row r="322" spans="1:23" ht="21" customHeight="1" x14ac:dyDescent="0.15">
      <c r="A322" s="2" t="str">
        <f ca="1">input_settle_555100!A$2</f>
        <v>555100</v>
      </c>
      <c r="B322" s="5">
        <v>1139</v>
      </c>
      <c r="C322" s="7" t="str">
        <f t="shared" ref="C322:C355" si="20">D322&amp;J322&amp;E322&amp;F322&amp;G322</f>
        <v>PremiumSS5R5only</v>
      </c>
      <c r="D322" s="7" t="str">
        <f t="shared" si="18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IFERROR(VLOOKUP(B322,input_settle_555100!L:R,7,FALSE),VLOOKUP(tables_settle_555100!C322,input_settle_555100!A:H,8,FALSE))</f>
        <v>4000</v>
      </c>
      <c r="P322" s="46">
        <f t="shared" ref="P322:P355" ca="1" si="21">O322/SUM(O:O)</f>
        <v>6.9444444442033214E-4</v>
      </c>
      <c r="Q322" s="30">
        <f t="shared" si="19"/>
        <v>80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  <c r="W322" s="30">
        <v>5</v>
      </c>
    </row>
    <row r="323" spans="1:23" ht="21" customHeight="1" x14ac:dyDescent="0.15">
      <c r="A323" s="2" t="str">
        <f ca="1">input_settle_555100!A$2</f>
        <v>555100</v>
      </c>
      <c r="B323" s="5">
        <v>1141</v>
      </c>
      <c r="C323" s="7" t="str">
        <f t="shared" si="20"/>
        <v>PremiumSS5R5only</v>
      </c>
      <c r="D323" s="7" t="str">
        <f t="shared" ref="D323:D355" si="22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IFERROR(VLOOKUP(B323,input_settle_555100!L:R,7,FALSE),VLOOKUP(tables_settle_555100!C323,input_settle_555100!A:H,8,FALSE))</f>
        <v>4000</v>
      </c>
      <c r="P323" s="46">
        <f t="shared" ca="1" si="21"/>
        <v>6.9444444442033214E-4</v>
      </c>
      <c r="Q323" s="30">
        <f t="shared" ref="Q323:Q355" si="23">IF(J323=3,40,IF(J323=4,60,IF(J323=5,80,"ERROR")))</f>
        <v>80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  <c r="W323" s="30">
        <v>5</v>
      </c>
    </row>
    <row r="324" spans="1:23" ht="21" customHeight="1" x14ac:dyDescent="0.15">
      <c r="A324" s="2" t="str">
        <f ca="1">input_settle_555100!A$2</f>
        <v>555100</v>
      </c>
      <c r="B324" s="2">
        <v>1143</v>
      </c>
      <c r="C324" s="7" t="str">
        <f t="shared" si="20"/>
        <v>Premium4R3less</v>
      </c>
      <c r="D324" s="7" t="str">
        <f t="shared" si="22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IFERROR(VLOOKUP(B324,input_settle_555100!L:R,7,FALSE),VLOOKUP(tables_settle_555100!C324,input_settle_555100!A:H,8,FALSE))</f>
        <v>0</v>
      </c>
      <c r="P324" s="46">
        <f t="shared" ca="1" si="21"/>
        <v>0</v>
      </c>
      <c r="Q324" s="30">
        <f t="shared" si="23"/>
        <v>60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  <c r="W324" s="30">
        <v>5</v>
      </c>
    </row>
    <row r="325" spans="1:23" ht="21" customHeight="1" x14ac:dyDescent="0.15">
      <c r="A325" s="2" t="str">
        <f ca="1">input_settle_555100!A$2</f>
        <v>555100</v>
      </c>
      <c r="B325" s="2">
        <v>1144</v>
      </c>
      <c r="C325" s="7" t="str">
        <f t="shared" si="20"/>
        <v>Premium5R3less</v>
      </c>
      <c r="D325" s="7" t="str">
        <f t="shared" si="22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IFERROR(VLOOKUP(B325,input_settle_555100!L:R,7,FALSE),VLOOKUP(tables_settle_555100!C325,input_settle_555100!A:H,8,FALSE))</f>
        <v>57000</v>
      </c>
      <c r="P325" s="46">
        <f t="shared" ca="1" si="21"/>
        <v>9.8958333329897327E-3</v>
      </c>
      <c r="Q325" s="30">
        <f t="shared" si="23"/>
        <v>80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  <c r="W325" s="30">
        <v>5</v>
      </c>
    </row>
    <row r="326" spans="1:23" ht="21" customHeight="1" x14ac:dyDescent="0.15">
      <c r="A326" s="2" t="str">
        <f ca="1">input_settle_555100!A$2</f>
        <v>555100</v>
      </c>
      <c r="B326" s="2">
        <v>1151</v>
      </c>
      <c r="C326" s="7" t="str">
        <f t="shared" si="20"/>
        <v>Premium4R3less</v>
      </c>
      <c r="D326" s="7" t="str">
        <f t="shared" si="22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IFERROR(VLOOKUP(B326,input_settle_555100!L:R,7,FALSE),VLOOKUP(tables_settle_555100!C326,input_settle_555100!A:H,8,FALSE))</f>
        <v>0</v>
      </c>
      <c r="P326" s="46">
        <f t="shared" ca="1" si="21"/>
        <v>0</v>
      </c>
      <c r="Q326" s="30">
        <f t="shared" si="23"/>
        <v>60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  <c r="W326" s="30">
        <v>5</v>
      </c>
    </row>
    <row r="327" spans="1:23" ht="21" customHeight="1" x14ac:dyDescent="0.15">
      <c r="A327" s="2" t="str">
        <f ca="1">input_settle_555100!A$2</f>
        <v>555100</v>
      </c>
      <c r="B327" s="2">
        <v>1152</v>
      </c>
      <c r="C327" s="7" t="str">
        <f t="shared" si="20"/>
        <v>Premium5R3less</v>
      </c>
      <c r="D327" s="7" t="str">
        <f t="shared" si="22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IFERROR(VLOOKUP(B327,input_settle_555100!L:R,7,FALSE),VLOOKUP(tables_settle_555100!C327,input_settle_555100!A:H,8,FALSE))</f>
        <v>57000</v>
      </c>
      <c r="P327" s="46">
        <f t="shared" ca="1" si="21"/>
        <v>9.8958333329897327E-3</v>
      </c>
      <c r="Q327" s="30">
        <f t="shared" si="23"/>
        <v>80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  <c r="W327" s="30">
        <v>5</v>
      </c>
    </row>
    <row r="328" spans="1:23" ht="21" customHeight="1" x14ac:dyDescent="0.15">
      <c r="A328" s="2" t="str">
        <f ca="1">input_settle_555100!A$2</f>
        <v>555100</v>
      </c>
      <c r="B328" s="2">
        <v>1153</v>
      </c>
      <c r="C328" s="7" t="str">
        <f t="shared" si="20"/>
        <v>PremiumSS5R5only</v>
      </c>
      <c r="D328" s="7" t="str">
        <f t="shared" si="22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IFERROR(VLOOKUP(B328,input_settle_555100!L:R,7,FALSE),VLOOKUP(tables_settle_555100!C328,input_settle_555100!A:H,8,FALSE))</f>
        <v>4000</v>
      </c>
      <c r="P328" s="46">
        <f t="shared" ca="1" si="21"/>
        <v>6.9444444442033214E-4</v>
      </c>
      <c r="Q328" s="30">
        <f t="shared" si="23"/>
        <v>80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  <c r="W328" s="30">
        <v>5</v>
      </c>
    </row>
    <row r="329" spans="1:23" ht="21" customHeight="1" x14ac:dyDescent="0.15">
      <c r="A329" s="2" t="str">
        <f ca="1">input_settle_555100!A$2</f>
        <v>555100</v>
      </c>
      <c r="B329" s="2">
        <v>1155</v>
      </c>
      <c r="C329" s="7" t="str">
        <f t="shared" si="20"/>
        <v>PremiumSS5R5only</v>
      </c>
      <c r="D329" s="7" t="str">
        <f t="shared" si="22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IFERROR(VLOOKUP(B329,input_settle_555100!L:R,7,FALSE),VLOOKUP(tables_settle_555100!C329,input_settle_555100!A:H,8,FALSE))</f>
        <v>4000</v>
      </c>
      <c r="P329" s="46">
        <f t="shared" ca="1" si="21"/>
        <v>6.9444444442033214E-4</v>
      </c>
      <c r="Q329" s="30">
        <f t="shared" si="23"/>
        <v>80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  <c r="W329" s="30">
        <v>5</v>
      </c>
    </row>
    <row r="330" spans="1:23" ht="21" customHeight="1" x14ac:dyDescent="0.15">
      <c r="A330" s="2" t="str">
        <f ca="1">input_settle_555100!A$2</f>
        <v>555100</v>
      </c>
      <c r="B330" s="2">
        <v>1157</v>
      </c>
      <c r="C330" s="7" t="str">
        <f t="shared" si="20"/>
        <v>PremiumSS5R5only</v>
      </c>
      <c r="D330" s="97" t="str">
        <f t="shared" si="22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IFERROR(VLOOKUP(B330,input_settle_555100!L:R,7,FALSE),VLOOKUP(tables_settle_555100!C330,input_settle_555100!A:H,8,FALSE))</f>
        <v>4000</v>
      </c>
      <c r="P330" s="46">
        <f t="shared" ca="1" si="21"/>
        <v>6.9444444442033214E-4</v>
      </c>
      <c r="Q330" s="30">
        <f t="shared" si="23"/>
        <v>80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  <c r="W330" s="30">
        <v>5</v>
      </c>
    </row>
    <row r="331" spans="1:23" ht="21" customHeight="1" x14ac:dyDescent="0.15">
      <c r="A331" s="2" t="str">
        <f ca="1">input_settle_555100!A$2</f>
        <v>555100</v>
      </c>
      <c r="B331" s="60">
        <v>1214</v>
      </c>
      <c r="C331" s="7" t="str">
        <f t="shared" si="20"/>
        <v>PremiumSS5R5only</v>
      </c>
      <c r="D331" s="97" t="str">
        <f t="shared" si="22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IFERROR(VLOOKUP(B331,input_settle_555100!L:R,7,FALSE),VLOOKUP(tables_settle_555100!C331,input_settle_555100!A:H,8,FALSE))</f>
        <v>4000</v>
      </c>
      <c r="P331" s="46">
        <f t="shared" ca="1" si="21"/>
        <v>6.9444444442033214E-4</v>
      </c>
      <c r="Q331" s="30">
        <f t="shared" si="23"/>
        <v>80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  <c r="W331" s="30">
        <v>5</v>
      </c>
    </row>
    <row r="332" spans="1:23" ht="21" customHeight="1" x14ac:dyDescent="0.15">
      <c r="A332" s="2" t="str">
        <f ca="1">input_settle_555100!A$2</f>
        <v>555100</v>
      </c>
      <c r="B332" s="60">
        <v>1212</v>
      </c>
      <c r="C332" s="7" t="str">
        <f t="shared" si="20"/>
        <v>PremiumSS5R5only</v>
      </c>
      <c r="D332" s="97" t="str">
        <f t="shared" si="22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IFERROR(VLOOKUP(B332,input_settle_555100!L:R,7,FALSE),VLOOKUP(tables_settle_555100!C332,input_settle_555100!A:H,8,FALSE))</f>
        <v>4000</v>
      </c>
      <c r="P332" s="46">
        <f t="shared" ca="1" si="21"/>
        <v>6.9444444442033214E-4</v>
      </c>
      <c r="Q332" s="30">
        <f t="shared" si="23"/>
        <v>80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  <c r="W332" s="30">
        <v>5</v>
      </c>
    </row>
    <row r="333" spans="1:23" ht="21" customHeight="1" x14ac:dyDescent="0.15">
      <c r="A333" s="2" t="str">
        <f ca="1">input_settle_555100!A$2</f>
        <v>555100</v>
      </c>
      <c r="B333" s="60">
        <v>1208</v>
      </c>
      <c r="C333" s="7" t="str">
        <f t="shared" si="20"/>
        <v>PremiumSS5R5only</v>
      </c>
      <c r="D333" s="97" t="str">
        <f t="shared" si="22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IFERROR(VLOOKUP(B333,input_settle_555100!L:R,7,FALSE),VLOOKUP(tables_settle_555100!C333,input_settle_555100!A:H,8,FALSE))</f>
        <v>4000</v>
      </c>
      <c r="P333" s="46">
        <f t="shared" ca="1" si="21"/>
        <v>6.9444444442033214E-4</v>
      </c>
      <c r="Q333" s="30">
        <f t="shared" si="23"/>
        <v>80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  <c r="W333" s="30">
        <v>5</v>
      </c>
    </row>
    <row r="334" spans="1:23" ht="21" customHeight="1" x14ac:dyDescent="0.15">
      <c r="A334" s="2" t="str">
        <f ca="1">input_settle_555100!A$2</f>
        <v>555100</v>
      </c>
      <c r="B334" s="93">
        <v>1210</v>
      </c>
      <c r="C334" s="7" t="str">
        <f t="shared" si="20"/>
        <v>Premium4R3less</v>
      </c>
      <c r="D334" s="97" t="str">
        <f t="shared" si="22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IFERROR(VLOOKUP(B334,input_settle_555100!L:R,7,FALSE),VLOOKUP(tables_settle_555100!C334,input_settle_555100!A:H,8,FALSE))</f>
        <v>0</v>
      </c>
      <c r="P334" s="46">
        <f t="shared" ca="1" si="21"/>
        <v>0</v>
      </c>
      <c r="Q334" s="30">
        <f t="shared" si="23"/>
        <v>60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  <c r="W334" s="30">
        <v>5</v>
      </c>
    </row>
    <row r="335" spans="1:23" ht="21" customHeight="1" x14ac:dyDescent="0.15">
      <c r="A335" s="2" t="str">
        <f ca="1">input_settle_555100!A$2</f>
        <v>555100</v>
      </c>
      <c r="B335" s="60">
        <v>1211</v>
      </c>
      <c r="C335" s="7" t="str">
        <f t="shared" si="20"/>
        <v>Premium5R3less</v>
      </c>
      <c r="D335" s="97" t="str">
        <f t="shared" si="22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IFERROR(VLOOKUP(B335,input_settle_555100!L:R,7,FALSE),VLOOKUP(tables_settle_555100!C335,input_settle_555100!A:H,8,FALSE))</f>
        <v>57000</v>
      </c>
      <c r="P335" s="46">
        <f t="shared" ca="1" si="21"/>
        <v>9.8958333329897327E-3</v>
      </c>
      <c r="Q335" s="30">
        <f t="shared" si="23"/>
        <v>80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  <c r="W335" s="30">
        <v>5</v>
      </c>
    </row>
    <row r="336" spans="1:23" ht="21" customHeight="1" x14ac:dyDescent="0.15">
      <c r="A336" s="2" t="str">
        <f ca="1">input_settle_555100!A$2</f>
        <v>555100</v>
      </c>
      <c r="B336" s="2">
        <v>1224</v>
      </c>
      <c r="C336" s="7" t="str">
        <f t="shared" si="20"/>
        <v>Premium4R3less</v>
      </c>
      <c r="D336" s="97" t="str">
        <f t="shared" si="22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IFERROR(VLOOKUP(B336,input_settle_555100!L:R,7,FALSE),VLOOKUP(tables_settle_555100!C336,input_settle_555100!A:H,8,FALSE))</f>
        <v>0</v>
      </c>
      <c r="P336" s="46">
        <f t="shared" ca="1" si="21"/>
        <v>0</v>
      </c>
      <c r="Q336" s="30">
        <f t="shared" si="23"/>
        <v>60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  <c r="W336" s="30">
        <v>5</v>
      </c>
    </row>
    <row r="337" spans="1:23" ht="21" customHeight="1" x14ac:dyDescent="0.15">
      <c r="A337" s="2" t="str">
        <f ca="1">input_settle_555100!A$2</f>
        <v>555100</v>
      </c>
      <c r="B337" s="2">
        <v>1225</v>
      </c>
      <c r="C337" s="7" t="str">
        <f t="shared" si="20"/>
        <v>Premium5R3less</v>
      </c>
      <c r="D337" s="97" t="str">
        <f t="shared" si="2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IFERROR(VLOOKUP(B337,input_settle_555100!L:R,7,FALSE),VLOOKUP(tables_settle_555100!C337,input_settle_555100!A:H,8,FALSE))</f>
        <v>57000</v>
      </c>
      <c r="P337" s="46">
        <f t="shared" ca="1" si="21"/>
        <v>9.8958333329897327E-3</v>
      </c>
      <c r="Q337" s="30">
        <f t="shared" si="23"/>
        <v>80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  <c r="W337" s="30">
        <v>5</v>
      </c>
    </row>
    <row r="338" spans="1:23" ht="21" customHeight="1" x14ac:dyDescent="0.15">
      <c r="A338" s="2" t="str">
        <f ca="1">input_settle_555100!A$2</f>
        <v>555100</v>
      </c>
      <c r="B338" s="2">
        <v>1226</v>
      </c>
      <c r="C338" s="7" t="str">
        <f t="shared" si="20"/>
        <v>PremiumSS5R5only</v>
      </c>
      <c r="D338" s="97" t="str">
        <f t="shared" si="2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IFERROR(VLOOKUP(B338,input_settle_555100!L:R,7,FALSE),VLOOKUP(tables_settle_555100!C338,input_settle_555100!A:H,8,FALSE))</f>
        <v>4000</v>
      </c>
      <c r="P338" s="46">
        <f t="shared" ca="1" si="21"/>
        <v>6.9444444442033214E-4</v>
      </c>
      <c r="Q338" s="30">
        <f t="shared" si="23"/>
        <v>80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  <c r="W338" s="30">
        <v>5</v>
      </c>
    </row>
    <row r="339" spans="1:23" ht="21" customHeight="1" x14ac:dyDescent="0.15">
      <c r="A339" s="2" t="str">
        <f ca="1">input_settle_555100!A$2</f>
        <v>555100</v>
      </c>
      <c r="B339" s="2">
        <v>1228</v>
      </c>
      <c r="C339" s="7" t="str">
        <f t="shared" si="20"/>
        <v>PremiumSS5R5only</v>
      </c>
      <c r="D339" s="97" t="str">
        <f t="shared" si="2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IFERROR(VLOOKUP(B339,input_settle_555100!L:R,7,FALSE),VLOOKUP(tables_settle_555100!C339,input_settle_555100!A:H,8,FALSE))</f>
        <v>4000</v>
      </c>
      <c r="P339" s="46">
        <f t="shared" ca="1" si="21"/>
        <v>6.9444444442033214E-4</v>
      </c>
      <c r="Q339" s="30">
        <f t="shared" si="23"/>
        <v>80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  <c r="W339" s="30">
        <v>5</v>
      </c>
    </row>
    <row r="340" spans="1:23" ht="21" customHeight="1" x14ac:dyDescent="0.15">
      <c r="A340" s="2" t="str">
        <f ca="1">input_settle_555100!A$2</f>
        <v>555100</v>
      </c>
      <c r="B340" s="2">
        <v>1230</v>
      </c>
      <c r="C340" s="7" t="str">
        <f t="shared" si="20"/>
        <v>PremiumSS5R5only</v>
      </c>
      <c r="D340" s="97" t="str">
        <f t="shared" si="2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IFERROR(VLOOKUP(B340,input_settle_555100!L:R,7,FALSE),VLOOKUP(tables_settle_555100!C340,input_settle_555100!A:H,8,FALSE))</f>
        <v>4000</v>
      </c>
      <c r="P340" s="46">
        <f t="shared" ca="1" si="21"/>
        <v>6.9444444442033214E-4</v>
      </c>
      <c r="Q340" s="30">
        <f t="shared" si="23"/>
        <v>80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  <c r="W340" s="30">
        <v>5</v>
      </c>
    </row>
    <row r="341" spans="1:23" ht="21" customHeight="1" x14ac:dyDescent="0.15">
      <c r="A341" s="2" t="str">
        <f ca="1">input_settle_555100!A$2</f>
        <v>555100</v>
      </c>
      <c r="B341" s="1">
        <v>1250</v>
      </c>
      <c r="C341" s="7" t="str">
        <f t="shared" si="20"/>
        <v>PremiumSS5R5only</v>
      </c>
      <c r="D341" s="97" t="str">
        <f t="shared" si="22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IFERROR(VLOOKUP(B341,input_settle_555100!L:R,7,FALSE),VLOOKUP(tables_settle_555100!C341,input_settle_555100!A:H,8,FALSE))</f>
        <v>4000</v>
      </c>
      <c r="P341" s="46">
        <f t="shared" ca="1" si="21"/>
        <v>6.9444444442033214E-4</v>
      </c>
      <c r="Q341" s="30">
        <f t="shared" si="23"/>
        <v>80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  <c r="W341" s="30">
        <v>5</v>
      </c>
    </row>
    <row r="342" spans="1:23" ht="21" customHeight="1" x14ac:dyDescent="0.15">
      <c r="A342" s="2" t="str">
        <f ca="1">input_settle_555100!A$2</f>
        <v>555100</v>
      </c>
      <c r="B342" s="1">
        <v>1248</v>
      </c>
      <c r="C342" s="7" t="str">
        <f t="shared" si="20"/>
        <v>Premium4R3less</v>
      </c>
      <c r="D342" s="97" t="str">
        <f t="shared" si="22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IFERROR(VLOOKUP(B342,input_settle_555100!L:R,7,FALSE),VLOOKUP(tables_settle_555100!C342,input_settle_555100!A:H,8,FALSE))</f>
        <v>0</v>
      </c>
      <c r="P342" s="46">
        <f t="shared" ca="1" si="21"/>
        <v>0</v>
      </c>
      <c r="Q342" s="30">
        <f t="shared" si="23"/>
        <v>60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  <c r="W342" s="30">
        <v>5</v>
      </c>
    </row>
    <row r="343" spans="1:23" ht="21" customHeight="1" x14ac:dyDescent="0.15">
      <c r="A343" s="2" t="str">
        <f ca="1">input_settle_555100!A$2</f>
        <v>555100</v>
      </c>
      <c r="B343" s="1">
        <v>1249</v>
      </c>
      <c r="C343" s="7" t="str">
        <f t="shared" si="20"/>
        <v>Premium5R3less</v>
      </c>
      <c r="D343" s="97" t="str">
        <f t="shared" si="22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IFERROR(VLOOKUP(B343,input_settle_555100!L:R,7,FALSE),VLOOKUP(tables_settle_555100!C343,input_settle_555100!A:H,8,FALSE))</f>
        <v>57000</v>
      </c>
      <c r="P343" s="46">
        <f t="shared" ca="1" si="21"/>
        <v>9.8958333329897327E-3</v>
      </c>
      <c r="Q343" s="30">
        <f t="shared" si="23"/>
        <v>80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  <c r="W343" s="30">
        <v>5</v>
      </c>
    </row>
    <row r="344" spans="1:23" ht="21" customHeight="1" x14ac:dyDescent="0.15">
      <c r="A344" s="2" t="str">
        <f ca="1">input_settle_555100!A$2</f>
        <v>555100</v>
      </c>
      <c r="B344" s="1">
        <v>1246</v>
      </c>
      <c r="C344" s="7" t="str">
        <f t="shared" si="20"/>
        <v>PremiumSS5R5only</v>
      </c>
      <c r="D344" s="97" t="str">
        <f t="shared" si="22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IFERROR(VLOOKUP(B344,input_settle_555100!L:R,7,FALSE),VLOOKUP(tables_settle_555100!C344,input_settle_555100!A:H,8,FALSE))</f>
        <v>4000</v>
      </c>
      <c r="P344" s="46">
        <f t="shared" ca="1" si="21"/>
        <v>6.9444444442033214E-4</v>
      </c>
      <c r="Q344" s="30">
        <f t="shared" si="23"/>
        <v>80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  <c r="W344" s="30">
        <v>5</v>
      </c>
    </row>
    <row r="345" spans="1:23" ht="21" customHeight="1" x14ac:dyDescent="0.15">
      <c r="A345" s="2" t="str">
        <f ca="1">input_settle_555100!A$2</f>
        <v>555100</v>
      </c>
      <c r="B345" s="1">
        <v>1244</v>
      </c>
      <c r="C345" s="7" t="str">
        <f t="shared" si="20"/>
        <v>PremiumSS5R5only</v>
      </c>
      <c r="D345" s="97" t="str">
        <f t="shared" si="22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IFERROR(VLOOKUP(B345,input_settle_555100!L:R,7,FALSE),VLOOKUP(tables_settle_555100!C345,input_settle_555100!A:H,8,FALSE))</f>
        <v>4000</v>
      </c>
      <c r="P345" s="46">
        <f t="shared" ca="1" si="21"/>
        <v>6.9444444442033214E-4</v>
      </c>
      <c r="Q345" s="30">
        <f t="shared" si="23"/>
        <v>80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  <c r="W345" s="30">
        <v>5</v>
      </c>
    </row>
    <row r="346" spans="1:23" ht="21" customHeight="1" x14ac:dyDescent="0.15">
      <c r="A346" s="2" t="str">
        <f ca="1">input_settle_555100!A$2</f>
        <v>555100</v>
      </c>
      <c r="B346" s="1">
        <v>1260</v>
      </c>
      <c r="C346" s="7" t="str">
        <f t="shared" si="20"/>
        <v>PremiumSS5R5only</v>
      </c>
      <c r="D346" s="97" t="str">
        <f t="shared" si="22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IFERROR(VLOOKUP(B346,input_settle_555100!L:R,7,FALSE),VLOOKUP(tables_settle_555100!C346,input_settle_555100!A:H,8,FALSE))</f>
        <v>4000</v>
      </c>
      <c r="P346" s="46">
        <f t="shared" ca="1" si="21"/>
        <v>6.9444444442033214E-4</v>
      </c>
      <c r="Q346" s="30">
        <f t="shared" si="23"/>
        <v>80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  <c r="W346" s="30">
        <v>5</v>
      </c>
    </row>
    <row r="347" spans="1:23" ht="21" customHeight="1" x14ac:dyDescent="0.15">
      <c r="A347" s="2" t="str">
        <f ca="1">input_settle_555100!A$2</f>
        <v>555100</v>
      </c>
      <c r="B347" s="1">
        <v>1262</v>
      </c>
      <c r="C347" s="7" t="str">
        <f t="shared" si="20"/>
        <v>PremiumSS5R5only</v>
      </c>
      <c r="D347" s="97" t="str">
        <f t="shared" si="22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IFERROR(VLOOKUP(B347,input_settle_555100!L:R,7,FALSE),VLOOKUP(tables_settle_555100!C347,input_settle_555100!A:H,8,FALSE))</f>
        <v>4000</v>
      </c>
      <c r="P347" s="46">
        <f t="shared" ca="1" si="21"/>
        <v>6.9444444442033214E-4</v>
      </c>
      <c r="Q347" s="30">
        <f t="shared" si="23"/>
        <v>80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  <c r="W347" s="30">
        <v>5</v>
      </c>
    </row>
    <row r="348" spans="1:23" ht="21" customHeight="1" x14ac:dyDescent="0.15">
      <c r="A348" s="2" t="str">
        <f ca="1">input_settle_555100!A$2</f>
        <v>555100</v>
      </c>
      <c r="B348" s="1">
        <v>1264</v>
      </c>
      <c r="C348" s="7" t="str">
        <f t="shared" si="20"/>
        <v>PremiumSS5R5only</v>
      </c>
      <c r="D348" s="97" t="str">
        <f t="shared" si="22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IFERROR(VLOOKUP(B348,input_settle_555100!L:R,7,FALSE),VLOOKUP(tables_settle_555100!C348,input_settle_555100!A:H,8,FALSE))</f>
        <v>4000</v>
      </c>
      <c r="P348" s="46">
        <f t="shared" ca="1" si="21"/>
        <v>6.9444444442033214E-4</v>
      </c>
      <c r="Q348" s="30">
        <f t="shared" si="23"/>
        <v>80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  <c r="W348" s="30">
        <v>5</v>
      </c>
    </row>
    <row r="349" spans="1:23" ht="21" customHeight="1" x14ac:dyDescent="0.15">
      <c r="A349" s="2" t="str">
        <f ca="1">input_settle_555100!A$2</f>
        <v>555100</v>
      </c>
      <c r="B349" s="1">
        <v>1266</v>
      </c>
      <c r="C349" s="7" t="str">
        <f t="shared" si="20"/>
        <v>Premium4R3less</v>
      </c>
      <c r="D349" s="97" t="str">
        <f t="shared" si="22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IFERROR(VLOOKUP(B349,input_settle_555100!L:R,7,FALSE),VLOOKUP(tables_settle_555100!C349,input_settle_555100!A:H,8,FALSE))</f>
        <v>0</v>
      </c>
      <c r="P349" s="46">
        <f t="shared" ca="1" si="21"/>
        <v>0</v>
      </c>
      <c r="Q349" s="30">
        <f t="shared" si="23"/>
        <v>60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  <c r="W349" s="30">
        <v>5</v>
      </c>
    </row>
    <row r="350" spans="1:23" ht="21" customHeight="1" x14ac:dyDescent="0.15">
      <c r="A350" s="2" t="str">
        <f ca="1">input_settle_555100!A$2</f>
        <v>555100</v>
      </c>
      <c r="B350" s="1">
        <v>1267</v>
      </c>
      <c r="C350" s="7" t="str">
        <f t="shared" si="20"/>
        <v>Premium5R3less</v>
      </c>
      <c r="D350" s="97" t="str">
        <f t="shared" si="22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IFERROR(VLOOKUP(B350,input_settle_555100!L:R,7,FALSE),VLOOKUP(tables_settle_555100!C350,input_settle_555100!A:H,8,FALSE))</f>
        <v>57000</v>
      </c>
      <c r="P350" s="46">
        <f t="shared" ca="1" si="21"/>
        <v>9.8958333329897327E-3</v>
      </c>
      <c r="Q350" s="30">
        <f t="shared" si="23"/>
        <v>80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  <c r="W350" s="30">
        <v>5</v>
      </c>
    </row>
    <row r="351" spans="1:23" ht="21" customHeight="1" x14ac:dyDescent="0.15">
      <c r="A351" s="2" t="str">
        <f ca="1">input_settle_555100!A$2</f>
        <v>555100</v>
      </c>
      <c r="B351" s="99">
        <v>1332</v>
      </c>
      <c r="C351" s="7" t="str">
        <f t="shared" si="20"/>
        <v>PremiumSS5R5only</v>
      </c>
      <c r="D351" s="97" t="str">
        <f t="shared" si="22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IFERROR(VLOOKUP(B351,input_settle_555100!L:R,7,FALSE),VLOOKUP(tables_settle_555100!C351,input_settle_555100!A:H,8,FALSE))</f>
        <v>4000</v>
      </c>
      <c r="P351" s="46">
        <f t="shared" ca="1" si="21"/>
        <v>6.9444444442033214E-4</v>
      </c>
      <c r="Q351" s="30">
        <f t="shared" si="23"/>
        <v>80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  <c r="W351" s="30">
        <v>5</v>
      </c>
    </row>
    <row r="352" spans="1:23" ht="21" customHeight="1" x14ac:dyDescent="0.15">
      <c r="A352" s="2" t="str">
        <f ca="1">input_settle_555100!A$2</f>
        <v>555100</v>
      </c>
      <c r="B352" s="99">
        <v>1336</v>
      </c>
      <c r="C352" s="7" t="str">
        <f t="shared" si="20"/>
        <v>PremiumSS5R5only</v>
      </c>
      <c r="D352" s="97" t="str">
        <f t="shared" si="22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IFERROR(VLOOKUP(B352,input_settle_555100!L:R,7,FALSE),VLOOKUP(tables_settle_555100!C352,input_settle_555100!A:H,8,FALSE))</f>
        <v>4000</v>
      </c>
      <c r="P352" s="46">
        <f t="shared" ca="1" si="21"/>
        <v>6.9444444442033214E-4</v>
      </c>
      <c r="Q352" s="30">
        <f t="shared" si="23"/>
        <v>80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  <c r="W352" s="30">
        <v>5</v>
      </c>
    </row>
    <row r="353" spans="1:23" ht="21" customHeight="1" x14ac:dyDescent="0.15">
      <c r="A353" s="2" t="str">
        <f ca="1">input_settle_555100!A$2</f>
        <v>555100</v>
      </c>
      <c r="B353" s="99">
        <v>1338</v>
      </c>
      <c r="C353" s="7" t="str">
        <f t="shared" si="20"/>
        <v>PremiumSS5R5only</v>
      </c>
      <c r="D353" s="97" t="str">
        <f t="shared" si="22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IFERROR(VLOOKUP(B353,input_settle_555100!L:R,7,FALSE),VLOOKUP(tables_settle_555100!C353,input_settle_555100!A:H,8,FALSE))</f>
        <v>4000</v>
      </c>
      <c r="P353" s="46">
        <f t="shared" ca="1" si="21"/>
        <v>6.9444444442033214E-4</v>
      </c>
      <c r="Q353" s="30">
        <f t="shared" si="23"/>
        <v>80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  <c r="W353" s="30">
        <v>5</v>
      </c>
    </row>
    <row r="354" spans="1:23" ht="21" customHeight="1" x14ac:dyDescent="0.15">
      <c r="A354" s="2" t="str">
        <f ca="1">input_settle_555100!A$2</f>
        <v>555100</v>
      </c>
      <c r="B354" s="99">
        <v>1334</v>
      </c>
      <c r="C354" s="7" t="str">
        <f t="shared" si="20"/>
        <v>Premium4R3less</v>
      </c>
      <c r="D354" s="97" t="str">
        <f t="shared" si="22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IFERROR(VLOOKUP(B354,input_settle_555100!L:R,7,FALSE),VLOOKUP(tables_settle_555100!C354,input_settle_555100!A:H,8,FALSE))</f>
        <v>0</v>
      </c>
      <c r="P354" s="46">
        <f t="shared" ca="1" si="21"/>
        <v>0</v>
      </c>
      <c r="Q354" s="30">
        <f t="shared" si="23"/>
        <v>60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  <c r="W354" s="30">
        <v>5</v>
      </c>
    </row>
    <row r="355" spans="1:23" ht="21" customHeight="1" x14ac:dyDescent="0.15">
      <c r="A355" s="2" t="str">
        <f ca="1">input_settle_555100!A$2</f>
        <v>555100</v>
      </c>
      <c r="B355" s="99">
        <v>1335</v>
      </c>
      <c r="C355" s="7" t="str">
        <f t="shared" si="20"/>
        <v>Premium5R3less</v>
      </c>
      <c r="D355" s="97" t="str">
        <f t="shared" si="22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IFERROR(VLOOKUP(B355,input_settle_555100!L:R,7,FALSE),VLOOKUP(tables_settle_555100!C355,input_settle_555100!A:H,8,FALSE))</f>
        <v>57000</v>
      </c>
      <c r="P355" s="46">
        <f t="shared" ca="1" si="21"/>
        <v>9.8958333329897327E-3</v>
      </c>
      <c r="Q355" s="30">
        <f t="shared" si="23"/>
        <v>80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  <c r="W355" s="30">
        <v>5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L22" sqref="L2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確率の考え方</vt:lpstr>
      <vt:lpstr>Sheet1</vt:lpstr>
      <vt:lpstr>output</vt:lpstr>
      <vt:lpstr>input_555010</vt:lpstr>
      <vt:lpstr>tables_555010</vt:lpstr>
      <vt:lpstr>input_555100</vt:lpstr>
      <vt:lpstr>tables_555100</vt:lpstr>
      <vt:lpstr>input_settle_555100</vt:lpstr>
      <vt:lpstr>tables_settle_555100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2017-03-22T04:00:30Z</dcterms:modified>
</cp:coreProperties>
</file>