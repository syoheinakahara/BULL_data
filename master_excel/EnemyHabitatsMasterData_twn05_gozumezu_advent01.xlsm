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6440" yWindow="1220" windowWidth="34180" windowHeight="19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enemy_habitat_S!$B$1:$AA$4</definedName>
    <definedName name="_xlnm._FilterDatabase" localSheetId="2" hidden="1">enemy_habitats!$B$1:$AJ$8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21" l="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J43" i="11"/>
  <c r="O42" i="9"/>
  <c r="N42" i="9"/>
  <c r="M42" i="9"/>
  <c r="L42" i="9"/>
  <c r="K42" i="9"/>
  <c r="J42" i="9"/>
  <c r="I42" i="9"/>
  <c r="H42" i="9"/>
  <c r="G42" i="9"/>
  <c r="E42" i="9"/>
  <c r="D42" i="9"/>
  <c r="A42" i="9"/>
  <c r="J42" i="11"/>
  <c r="O41" i="9"/>
  <c r="N41" i="9"/>
  <c r="M41" i="9"/>
  <c r="L41" i="9"/>
  <c r="K41" i="9"/>
  <c r="J41" i="9"/>
  <c r="I41" i="9"/>
  <c r="H41" i="9"/>
  <c r="G41" i="9"/>
  <c r="E41" i="9"/>
  <c r="D41" i="9"/>
  <c r="A41" i="9"/>
  <c r="J41" i="11"/>
  <c r="O40" i="9"/>
  <c r="N40" i="9"/>
  <c r="M40" i="9"/>
  <c r="L40" i="9"/>
  <c r="K40" i="9"/>
  <c r="J40" i="9"/>
  <c r="I40" i="9"/>
  <c r="H40" i="9"/>
  <c r="G40" i="9"/>
  <c r="E40" i="9"/>
  <c r="D40" i="9"/>
  <c r="A40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J35" i="11"/>
  <c r="O53" i="9"/>
  <c r="N53" i="9"/>
  <c r="M53" i="9"/>
  <c r="L53" i="9"/>
  <c r="K53" i="9"/>
  <c r="J53" i="9"/>
  <c r="I53" i="9"/>
  <c r="H53" i="9"/>
  <c r="G53" i="9"/>
  <c r="E53" i="9"/>
  <c r="D53" i="9"/>
  <c r="A53" i="9"/>
  <c r="J34" i="11"/>
  <c r="O52" i="9"/>
  <c r="N52" i="9"/>
  <c r="M52" i="9"/>
  <c r="L52" i="9"/>
  <c r="K52" i="9"/>
  <c r="J52" i="9"/>
  <c r="I52" i="9"/>
  <c r="H52" i="9"/>
  <c r="G52" i="9"/>
  <c r="E52" i="9"/>
  <c r="D52" i="9"/>
  <c r="A52" i="9"/>
  <c r="J33" i="11"/>
  <c r="O51" i="9"/>
  <c r="N51" i="9"/>
  <c r="M51" i="9"/>
  <c r="L51" i="9"/>
  <c r="K51" i="9"/>
  <c r="J51" i="9"/>
  <c r="I51" i="9"/>
  <c r="H51" i="9"/>
  <c r="G51" i="9"/>
  <c r="E51" i="9"/>
  <c r="D51" i="9"/>
  <c r="A51" i="9"/>
  <c r="J32" i="11"/>
  <c r="O50" i="9"/>
  <c r="N50" i="9"/>
  <c r="M50" i="9"/>
  <c r="L50" i="9"/>
  <c r="K50" i="9"/>
  <c r="J50" i="9"/>
  <c r="I50" i="9"/>
  <c r="H50" i="9"/>
  <c r="G50" i="9"/>
  <c r="E50" i="9"/>
  <c r="D50" i="9"/>
  <c r="A50" i="9"/>
  <c r="J31" i="11"/>
  <c r="O49" i="9"/>
  <c r="N49" i="9"/>
  <c r="M49" i="9"/>
  <c r="L49" i="9"/>
  <c r="K49" i="9"/>
  <c r="J49" i="9"/>
  <c r="I49" i="9"/>
  <c r="H49" i="9"/>
  <c r="G49" i="9"/>
  <c r="E49" i="9"/>
  <c r="D49" i="9"/>
  <c r="A49" i="9"/>
  <c r="J30" i="11"/>
  <c r="O48" i="9"/>
  <c r="N48" i="9"/>
  <c r="M48" i="9"/>
  <c r="L48" i="9"/>
  <c r="K48" i="9"/>
  <c r="J48" i="9"/>
  <c r="I48" i="9"/>
  <c r="H48" i="9"/>
  <c r="G48" i="9"/>
  <c r="E48" i="9"/>
  <c r="D48" i="9"/>
  <c r="A48" i="9"/>
  <c r="J29" i="11"/>
  <c r="O47" i="9"/>
  <c r="N47" i="9"/>
  <c r="M47" i="9"/>
  <c r="L47" i="9"/>
  <c r="K47" i="9"/>
  <c r="J47" i="9"/>
  <c r="I47" i="9"/>
  <c r="H47" i="9"/>
  <c r="G47" i="9"/>
  <c r="E47" i="9"/>
  <c r="D47" i="9"/>
  <c r="A47" i="9"/>
  <c r="J16" i="11"/>
  <c r="O46" i="9"/>
  <c r="N46" i="9"/>
  <c r="M46" i="9"/>
  <c r="L46" i="9"/>
  <c r="K46" i="9"/>
  <c r="J46" i="9"/>
  <c r="I46" i="9"/>
  <c r="H46" i="9"/>
  <c r="G46" i="9"/>
  <c r="E46" i="9"/>
  <c r="D46" i="9"/>
  <c r="A46" i="9"/>
  <c r="J15" i="11"/>
  <c r="O45" i="9"/>
  <c r="N45" i="9"/>
  <c r="M45" i="9"/>
  <c r="L45" i="9"/>
  <c r="K45" i="9"/>
  <c r="J45" i="9"/>
  <c r="I45" i="9"/>
  <c r="H45" i="9"/>
  <c r="G45" i="9"/>
  <c r="E45" i="9"/>
  <c r="D45" i="9"/>
  <c r="A45" i="9"/>
  <c r="J14" i="11"/>
  <c r="O44" i="9"/>
  <c r="N44" i="9"/>
  <c r="M44" i="9"/>
  <c r="L44" i="9"/>
  <c r="K44" i="9"/>
  <c r="J44" i="9"/>
  <c r="I44" i="9"/>
  <c r="H44" i="9"/>
  <c r="G44" i="9"/>
  <c r="E44" i="9"/>
  <c r="D44" i="9"/>
  <c r="A44" i="9"/>
  <c r="J13" i="11"/>
  <c r="O43" i="9"/>
  <c r="N43" i="9"/>
  <c r="M43" i="9"/>
  <c r="L43" i="9"/>
  <c r="K43" i="9"/>
  <c r="J43" i="9"/>
  <c r="I43" i="9"/>
  <c r="H43" i="9"/>
  <c r="G43" i="9"/>
  <c r="E43" i="9"/>
  <c r="D43" i="9"/>
  <c r="A43" i="9"/>
  <c r="J40" i="11"/>
  <c r="J39" i="11"/>
  <c r="O27" i="9"/>
  <c r="M27" i="9"/>
  <c r="L27" i="9"/>
  <c r="K27" i="9"/>
  <c r="J27" i="9"/>
  <c r="I27" i="9"/>
  <c r="G27" i="9"/>
  <c r="E27" i="9"/>
  <c r="D27" i="9"/>
  <c r="A27" i="9"/>
  <c r="O26" i="9"/>
  <c r="M26" i="9"/>
  <c r="L26" i="9"/>
  <c r="K26" i="9"/>
  <c r="J26" i="9"/>
  <c r="I26" i="9"/>
  <c r="G26" i="9"/>
  <c r="E26" i="9"/>
  <c r="D26" i="9"/>
  <c r="A26" i="9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Y3" i="7"/>
  <c r="W3" i="7"/>
  <c r="U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3" i="7"/>
  <c r="I3" i="7"/>
  <c r="D3" i="7"/>
  <c r="F3" i="7"/>
  <c r="E3" i="7"/>
  <c r="A3" i="7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D7" i="1"/>
  <c r="AF7" i="1"/>
  <c r="AI7" i="1"/>
  <c r="AG7" i="1"/>
  <c r="AE7" i="1"/>
  <c r="E28" i="9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E15" i="9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E5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E11" i="9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E4" i="9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E2" i="9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J38" i="11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36" i="11"/>
  <c r="O10" i="9"/>
  <c r="G11" i="9"/>
  <c r="H11" i="9"/>
  <c r="I11" i="9"/>
  <c r="J11" i="9"/>
  <c r="K11" i="9"/>
  <c r="L11" i="9"/>
  <c r="M11" i="9"/>
  <c r="N11" i="9"/>
  <c r="J10" i="11"/>
  <c r="O11" i="9"/>
  <c r="G12" i="9"/>
  <c r="H12" i="9"/>
  <c r="I12" i="9"/>
  <c r="J12" i="9"/>
  <c r="K12" i="9"/>
  <c r="L12" i="9"/>
  <c r="M12" i="9"/>
  <c r="N12" i="9"/>
  <c r="J11" i="11"/>
  <c r="O12" i="9"/>
  <c r="G13" i="9"/>
  <c r="H13" i="9"/>
  <c r="I13" i="9"/>
  <c r="J13" i="9"/>
  <c r="K13" i="9"/>
  <c r="L13" i="9"/>
  <c r="M13" i="9"/>
  <c r="N13" i="9"/>
  <c r="J12" i="11"/>
  <c r="O13" i="9"/>
  <c r="G14" i="9"/>
  <c r="H14" i="9"/>
  <c r="I14" i="9"/>
  <c r="J14" i="9"/>
  <c r="K14" i="9"/>
  <c r="L14" i="9"/>
  <c r="M14" i="9"/>
  <c r="N14" i="9"/>
  <c r="J37" i="11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J17" i="11"/>
  <c r="O19" i="9"/>
  <c r="G20" i="9"/>
  <c r="H20" i="9"/>
  <c r="I20" i="9"/>
  <c r="J20" i="9"/>
  <c r="K20" i="9"/>
  <c r="L20" i="9"/>
  <c r="M20" i="9"/>
  <c r="N20" i="9"/>
  <c r="J18" i="11"/>
  <c r="O20" i="9"/>
  <c r="G21" i="9"/>
  <c r="H21" i="9"/>
  <c r="I21" i="9"/>
  <c r="J21" i="9"/>
  <c r="K21" i="9"/>
  <c r="L21" i="9"/>
  <c r="M21" i="9"/>
  <c r="N21" i="9"/>
  <c r="J19" i="11"/>
  <c r="O21" i="9"/>
  <c r="G22" i="9"/>
  <c r="H22" i="9"/>
  <c r="I22" i="9"/>
  <c r="J22" i="9"/>
  <c r="K22" i="9"/>
  <c r="L22" i="9"/>
  <c r="M22" i="9"/>
  <c r="N22" i="9"/>
  <c r="J20" i="11"/>
  <c r="O22" i="9"/>
  <c r="E10" i="9"/>
  <c r="D10" i="9"/>
  <c r="A10" i="9"/>
  <c r="E13" i="9"/>
  <c r="D13" i="9"/>
  <c r="A13" i="9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18" i="10"/>
  <c r="J18" i="10"/>
  <c r="I18" i="10"/>
  <c r="K18" i="10"/>
  <c r="H18" i="10"/>
  <c r="L18" i="10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23" i="9"/>
  <c r="H23" i="9"/>
  <c r="I23" i="9"/>
  <c r="J23" i="9"/>
  <c r="K23" i="9"/>
  <c r="L23" i="9"/>
  <c r="M23" i="9"/>
  <c r="N23" i="9"/>
  <c r="J21" i="11"/>
  <c r="O23" i="9"/>
  <c r="G24" i="9"/>
  <c r="H24" i="9"/>
  <c r="I24" i="9"/>
  <c r="J24" i="9"/>
  <c r="K24" i="9"/>
  <c r="L24" i="9"/>
  <c r="M24" i="9"/>
  <c r="N24" i="9"/>
  <c r="J22" i="11"/>
  <c r="O24" i="9"/>
  <c r="G25" i="9"/>
  <c r="H25" i="9"/>
  <c r="I25" i="9"/>
  <c r="J25" i="9"/>
  <c r="K25" i="9"/>
  <c r="L25" i="9"/>
  <c r="M25" i="9"/>
  <c r="N25" i="9"/>
  <c r="J23" i="11"/>
  <c r="O25" i="9"/>
  <c r="G28" i="9"/>
  <c r="H28" i="9"/>
  <c r="I28" i="9"/>
  <c r="J28" i="9"/>
  <c r="K28" i="9"/>
  <c r="L28" i="9"/>
  <c r="M28" i="9"/>
  <c r="N28" i="9"/>
  <c r="J24" i="11"/>
  <c r="O28" i="9"/>
  <c r="G29" i="9"/>
  <c r="H29" i="9"/>
  <c r="I29" i="9"/>
  <c r="J29" i="9"/>
  <c r="K29" i="9"/>
  <c r="L29" i="9"/>
  <c r="M29" i="9"/>
  <c r="N29" i="9"/>
  <c r="J25" i="11"/>
  <c r="O29" i="9"/>
  <c r="G30" i="9"/>
  <c r="H30" i="9"/>
  <c r="I30" i="9"/>
  <c r="J30" i="9"/>
  <c r="K30" i="9"/>
  <c r="L30" i="9"/>
  <c r="M30" i="9"/>
  <c r="N30" i="9"/>
  <c r="J26" i="11"/>
  <c r="O30" i="9"/>
  <c r="G31" i="9"/>
  <c r="H31" i="9"/>
  <c r="I31" i="9"/>
  <c r="J31" i="9"/>
  <c r="K31" i="9"/>
  <c r="L31" i="9"/>
  <c r="M31" i="9"/>
  <c r="N31" i="9"/>
  <c r="J27" i="11"/>
  <c r="O31" i="9"/>
  <c r="G32" i="9"/>
  <c r="H32" i="9"/>
  <c r="I32" i="9"/>
  <c r="J32" i="9"/>
  <c r="K32" i="9"/>
  <c r="L32" i="9"/>
  <c r="M32" i="9"/>
  <c r="N32" i="9"/>
  <c r="J28" i="11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5" i="9"/>
  <c r="H35" i="9"/>
  <c r="I35" i="9"/>
  <c r="J35" i="9"/>
  <c r="K35" i="9"/>
  <c r="L35" i="9"/>
  <c r="M35" i="9"/>
  <c r="N35" i="9"/>
  <c r="O35" i="9"/>
  <c r="G36" i="9"/>
  <c r="H36" i="9"/>
  <c r="I36" i="9"/>
  <c r="J36" i="9"/>
  <c r="K36" i="9"/>
  <c r="L36" i="9"/>
  <c r="M36" i="9"/>
  <c r="N36" i="9"/>
  <c r="O36" i="9"/>
  <c r="G37" i="9"/>
  <c r="H37" i="9"/>
  <c r="I37" i="9"/>
  <c r="J37" i="9"/>
  <c r="K37" i="9"/>
  <c r="L37" i="9"/>
  <c r="M37" i="9"/>
  <c r="N37" i="9"/>
  <c r="O37" i="9"/>
  <c r="G38" i="9"/>
  <c r="H38" i="9"/>
  <c r="I38" i="9"/>
  <c r="J38" i="9"/>
  <c r="K38" i="9"/>
  <c r="L38" i="9"/>
  <c r="M38" i="9"/>
  <c r="N38" i="9"/>
  <c r="O38" i="9"/>
  <c r="G39" i="9"/>
  <c r="H39" i="9"/>
  <c r="I39" i="9"/>
  <c r="J39" i="9"/>
  <c r="K39" i="9"/>
  <c r="L39" i="9"/>
  <c r="M39" i="9"/>
  <c r="N39" i="9"/>
  <c r="O39" i="9"/>
  <c r="A34" i="9"/>
  <c r="D34" i="9"/>
  <c r="E34" i="9"/>
  <c r="A35" i="9"/>
  <c r="D35" i="9"/>
  <c r="E35" i="9"/>
  <c r="A36" i="9"/>
  <c r="D36" i="9"/>
  <c r="E36" i="9"/>
  <c r="A37" i="9"/>
  <c r="D37" i="9"/>
  <c r="E37" i="9"/>
  <c r="A38" i="9"/>
  <c r="D38" i="9"/>
  <c r="E38" i="9"/>
  <c r="A39" i="9"/>
  <c r="D39" i="9"/>
  <c r="E39" i="9"/>
  <c r="A3" i="9"/>
  <c r="D3" i="9"/>
  <c r="E3" i="9"/>
  <c r="A4" i="9"/>
  <c r="D4" i="9"/>
  <c r="A5" i="9"/>
  <c r="D5" i="9"/>
  <c r="A6" i="9"/>
  <c r="D6" i="9"/>
  <c r="E6" i="9"/>
  <c r="A7" i="9"/>
  <c r="D7" i="9"/>
  <c r="E7" i="9"/>
  <c r="A8" i="9"/>
  <c r="D8" i="9"/>
  <c r="E8" i="9"/>
  <c r="A9" i="9"/>
  <c r="D9" i="9"/>
  <c r="E9" i="9"/>
  <c r="A11" i="9"/>
  <c r="D11" i="9"/>
  <c r="A12" i="9"/>
  <c r="D12" i="9"/>
  <c r="E12" i="9"/>
  <c r="A14" i="9"/>
  <c r="D14" i="9"/>
  <c r="E14" i="9"/>
  <c r="A15" i="9"/>
  <c r="D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A28" i="9"/>
  <c r="D28" i="9"/>
  <c r="A29" i="9"/>
  <c r="D29" i="9"/>
  <c r="E29" i="9"/>
  <c r="A30" i="9"/>
  <c r="D30" i="9"/>
  <c r="E30" i="9"/>
  <c r="A31" i="9"/>
  <c r="D31" i="9"/>
  <c r="E31" i="9"/>
  <c r="A32" i="9"/>
  <c r="D32" i="9"/>
  <c r="E32" i="9"/>
  <c r="A33" i="9"/>
  <c r="D33" i="9"/>
  <c r="E33" i="9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" i="10"/>
  <c r="H3" i="10"/>
  <c r="I3" i="10"/>
  <c r="J3" i="10"/>
  <c r="K3" i="10"/>
  <c r="L3" i="10"/>
  <c r="M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H10" i="1"/>
  <c r="H11" i="1"/>
  <c r="H12" i="1"/>
  <c r="H13" i="1"/>
  <c r="H8" i="1"/>
  <c r="H9" i="1"/>
  <c r="B3" i="2"/>
  <c r="B4" i="2"/>
  <c r="B5" i="2"/>
  <c r="B6" i="2"/>
  <c r="B7" i="2"/>
  <c r="B8" i="2"/>
  <c r="B9" i="2"/>
  <c r="X10" i="1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X8" i="1"/>
  <c r="X9" i="1"/>
  <c r="X11" i="1"/>
  <c r="X12" i="1"/>
  <c r="X13" i="1"/>
  <c r="A10" i="1"/>
  <c r="D10" i="1"/>
  <c r="E10" i="1"/>
  <c r="F10" i="1"/>
  <c r="I10" i="1"/>
  <c r="J10" i="1"/>
  <c r="M10" i="1"/>
  <c r="N10" i="1"/>
  <c r="O10" i="1"/>
  <c r="P10" i="1"/>
  <c r="Q10" i="1"/>
  <c r="T10" i="1"/>
  <c r="V10" i="1"/>
  <c r="AD10" i="1"/>
  <c r="AE10" i="1"/>
  <c r="AF10" i="1"/>
  <c r="AG10" i="1"/>
  <c r="AI10" i="1"/>
  <c r="A11" i="1"/>
  <c r="D11" i="1"/>
  <c r="E11" i="1"/>
  <c r="F11" i="1"/>
  <c r="I11" i="1"/>
  <c r="J11" i="1"/>
  <c r="M11" i="1"/>
  <c r="N11" i="1"/>
  <c r="O11" i="1"/>
  <c r="P11" i="1"/>
  <c r="Q11" i="1"/>
  <c r="T11" i="1"/>
  <c r="V11" i="1"/>
  <c r="AD11" i="1"/>
  <c r="AE11" i="1"/>
  <c r="AF11" i="1"/>
  <c r="AG11" i="1"/>
  <c r="AI11" i="1"/>
  <c r="A12" i="1"/>
  <c r="D12" i="1"/>
  <c r="E12" i="1"/>
  <c r="F12" i="1"/>
  <c r="I12" i="1"/>
  <c r="J12" i="1"/>
  <c r="M12" i="1"/>
  <c r="N12" i="1"/>
  <c r="O12" i="1"/>
  <c r="P12" i="1"/>
  <c r="Q12" i="1"/>
  <c r="T12" i="1"/>
  <c r="V12" i="1"/>
  <c r="AD12" i="1"/>
  <c r="AE12" i="1"/>
  <c r="AF12" i="1"/>
  <c r="AG12" i="1"/>
  <c r="AI12" i="1"/>
  <c r="A13" i="1"/>
  <c r="D13" i="1"/>
  <c r="E13" i="1"/>
  <c r="F13" i="1"/>
  <c r="I13" i="1"/>
  <c r="J13" i="1"/>
  <c r="M13" i="1"/>
  <c r="N13" i="1"/>
  <c r="O13" i="1"/>
  <c r="P13" i="1"/>
  <c r="Q13" i="1"/>
  <c r="T13" i="1"/>
  <c r="V13" i="1"/>
  <c r="AD13" i="1"/>
  <c r="AE13" i="1"/>
  <c r="AF13" i="1"/>
  <c r="AG13" i="1"/>
  <c r="AI13" i="1"/>
  <c r="D6" i="2"/>
  <c r="E6" i="2"/>
  <c r="H6" i="2"/>
  <c r="D7" i="2"/>
  <c r="E7" i="2"/>
  <c r="H7" i="2"/>
  <c r="D8" i="2"/>
  <c r="E8" i="2"/>
  <c r="H8" i="2"/>
  <c r="D9" i="2"/>
  <c r="E9" i="2"/>
  <c r="H9" i="2"/>
  <c r="D3" i="2"/>
  <c r="E3" i="2"/>
  <c r="H3" i="2"/>
  <c r="D4" i="2"/>
  <c r="E4" i="2"/>
  <c r="H4" i="2"/>
  <c r="D5" i="2"/>
  <c r="E5" i="2"/>
  <c r="H5" i="2"/>
  <c r="W4" i="7"/>
  <c r="U4" i="7"/>
  <c r="V9" i="1"/>
  <c r="V8" i="1"/>
  <c r="T9" i="1"/>
  <c r="T8" i="1"/>
  <c r="N2" i="22"/>
  <c r="G2" i="22"/>
  <c r="F2" i="22"/>
  <c r="D2" i="22"/>
  <c r="C2" i="22"/>
  <c r="A2" i="22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Y4" i="7"/>
  <c r="R4" i="7"/>
  <c r="Q4" i="7"/>
  <c r="P4" i="7"/>
  <c r="O4" i="7"/>
  <c r="N4" i="7"/>
  <c r="AD9" i="1"/>
  <c r="AG9" i="1"/>
  <c r="AF9" i="1"/>
  <c r="AE9" i="1"/>
  <c r="AD8" i="1"/>
  <c r="AG8" i="1"/>
  <c r="AF8" i="1"/>
  <c r="AE8" i="1"/>
  <c r="Q9" i="1"/>
  <c r="P9" i="1"/>
  <c r="O9" i="1"/>
  <c r="N9" i="1"/>
  <c r="M9" i="1"/>
  <c r="Q8" i="1"/>
  <c r="P8" i="1"/>
  <c r="O8" i="1"/>
  <c r="N8" i="1"/>
  <c r="M8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8" i="1"/>
  <c r="H4" i="7"/>
  <c r="J4" i="7"/>
  <c r="E8" i="16"/>
  <c r="E7" i="16"/>
  <c r="E6" i="16"/>
  <c r="E5" i="16"/>
  <c r="E4" i="16"/>
  <c r="E3" i="16"/>
  <c r="E2" i="16"/>
  <c r="A9" i="1"/>
  <c r="A8" i="1"/>
  <c r="AI9" i="1"/>
  <c r="A2" i="9"/>
  <c r="J9" i="1"/>
  <c r="I9" i="1"/>
  <c r="D9" i="1"/>
  <c r="F9" i="1"/>
  <c r="E9" i="1"/>
  <c r="A4" i="7"/>
  <c r="I4" i="7"/>
  <c r="D4" i="7"/>
  <c r="F4" i="7"/>
  <c r="E4" i="7"/>
  <c r="J8" i="1"/>
  <c r="I8" i="1"/>
  <c r="D2" i="2"/>
  <c r="E2" i="2"/>
  <c r="H2" i="2"/>
  <c r="D8" i="1"/>
  <c r="E8" i="1"/>
  <c r="F8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<sst xmlns="http://schemas.openxmlformats.org/spreadsheetml/2006/main" count="844" uniqueCount="395">
  <si>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</si>
  <si>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</si>
  <si>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</si>
  <si>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</si>
  <si>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</si>
  <si>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</si>
  <si>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</si>
  <si>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</si>
  <si>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</si>
  <si>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</si>
  <si>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</si>
  <si>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</si>
  <si>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</si>
  <si>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</si>
  <si>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</si>
  <si>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</si>
  <si>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</si>
  <si>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</si>
  <si>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</si>
  <si>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</si>
  <si>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</si>
  <si>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</si>
  <si>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</si>
  <si>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</si>
  <si>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</si>
  <si>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</si>
  <si>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</si>
  <si>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</si>
  <si>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</si>
  <si>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</si>
  <si>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</si>
  <si>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</si>
  <si>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</si>
  <si>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</si>
  <si>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</si>
  <si>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</si>
  <si>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</si>
  <si>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</si>
  <si>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</si>
  <si>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</si>
  <si>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</si>
  <si>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</si>
  <si>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</si>
  <si>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</si>
  <si>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</si>
  <si>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</si>
  <si>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</si>
  <si>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</si>
  <si>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</si>
  <si>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</si>
  <si>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</si>
  <si>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</si>
  <si>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</si>
  <si>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</si>
  <si>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</si>
  <si>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</si>
  <si>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</si>
  <si>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</si>
  <si>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</si>
  <si>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</si>
  <si>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</si>
  <si>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</si>
  <si>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</si>
  <si>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</si>
  <si>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</si>
  <si>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</si>
  <si>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</si>
  <si>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</si>
  <si>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</si>
  <si>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</si>
  <si>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</si>
  <si>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</si>
  <si>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</si>
  <si>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</si>
  <si>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</si>
  <si>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</si>
  <si>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</si>
  <si>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</si>
  <si>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</si>
  <si>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</si>
  <si>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</si>
  <si>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</si>
  <si>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</si>
  <si>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</si>
  <si>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</si>
  <si>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</si>
  <si>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</si>
  <si>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</si>
  <si>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</si>
  <si>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</si>
  <si>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</si>
  <si>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</si>
  <si>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</si>
  <si>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</si>
  <si>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</si>
  <si>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</si>
  <si>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</si>
  <si>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</si>
  <si>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</si>
  <si>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</si>
  <si>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</si>
  <si>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</si>
  <si>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</si>
  <si>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</si>
  <si>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</si>
  <si>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</si>
  <si>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</si>
  <si>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</si>
  <si>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</si>
  <si>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</si>
  <si>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</si>
  <si>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</si>
  <si>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</si>
  <si>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</si>
  <si>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</si>
  <si>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</si>
  <si>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</si>
  <si>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</si>
  <si>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</si>
  <si>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</si>
  <si>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</si>
  <si>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</si>
  <si>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</si>
  <si>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</si>
  <si>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</si>
  <si>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</si>
  <si>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</si>
  <si>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</si>
  <si>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</si>
  <si>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</si>
  <si>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</si>
  <si>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</si>
  <si>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</si>
  <si>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</si>
  <si>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</si>
  <si>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</si>
  <si>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</si>
  <si>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</si>
  <si>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</si>
  <si>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</si>
  <si>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</si>
  <si>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</si>
  <si>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</si>
  <si>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</si>
  <si>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</si>
  <si>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</si>
  <si>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</si>
  <si>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</si>
  <si>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</si>
  <si>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</si>
  <si>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</si>
  <si>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</si>
  <si>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</si>
  <si>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</si>
  <si>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</si>
  <si>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</si>
  <si>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</si>
  <si>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</si>
  <si>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</si>
  <si>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</si>
  <si>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</si>
  <si>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</si>
  <si>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</si>
  <si>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</si>
  <si>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</si>
  <si>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</si>
  <si>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</si>
  <si>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</si>
  <si>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</si>
  <si>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</si>
  <si>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</si>
  <si>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</si>
  <si>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</si>
  <si>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</si>
  <si>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</si>
  <si>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</si>
  <si>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</si>
  <si>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</si>
  <si>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</si>
  <si>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</si>
  <si>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</si>
  <si>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</si>
  <si>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</si>
  <si>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</si>
  <si>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</si>
  <si>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</si>
  <si>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</si>
  <si>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</si>
  <si>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</si>
  <si>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</si>
  <si>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</si>
  <si>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</si>
  <si>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</si>
  <si>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</si>
  <si>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</si>
  <si>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</si>
  <si>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</si>
  <si>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</si>
  <si>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</si>
  <si>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</si>
  <si>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</si>
  <si>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</si>
  <si>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</si>
  <si>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</si>
  <si>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</si>
  <si>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</si>
  <si>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</si>
  <si>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</si>
  <si>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</si>
  <si>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</si>
  <si>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</si>
  <si>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</si>
  <si>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</si>
  <si>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</si>
  <si>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</si>
  <si>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</si>
  <si>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</si>
  <si>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</si>
  <si>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</si>
  <si>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</si>
  <si>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</si>
  <si>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</si>
  <si>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</si>
  <si>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</si>
  <si>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</si>
  <si>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</si>
  <si>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</si>
  <si>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</si>
  <si>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</si>
  <si>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</si>
  <si>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</si>
  <si>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</si>
  <si>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</si>
  <si>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</si>
  <si>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</si>
  <si>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</si>
  <si>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</si>
  <si>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</si>
  <si>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</si>
  <si>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</si>
  <si>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</si>
  <si>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</si>
  <si>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</si>
  <si>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</si>
  <si>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</si>
  <si>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</si>
  <si>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</si>
  <si>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</si>
  <si>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</si>
  <si>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</si>
  <si>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</si>
  <si>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</si>
  <si>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</si>
  <si>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</si>
  <si>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全体攻撃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</si>
  <si>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</si>
  <si>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</si>
  <si>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</si>
  <si>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</si>
  <si>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</si>
  <si>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</si>
  <si>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[effect:spread, val:0.3]</t>
    <phoneticPr fontId="5"/>
  </si>
  <si>
    <t xml:space="preserve">[effect:virus, turn:3, rate:1, val:0.15, animation:enemy_virus]    </t>
    <phoneticPr fontId="5"/>
  </si>
  <si>
    <t xml:space="preserve">[effect:damage_anti_color, target:unit_all, color:blue, val1:0.8, val2:0.25]    </t>
    <phoneticPr fontId="5"/>
  </si>
  <si>
    <t xml:space="preserve">[effect:change_panel_ratio, turn:1, block_type:green, val:0, animation:block_incidence04]    </t>
    <phoneticPr fontId="5"/>
  </si>
  <si>
    <t xml:space="preserve">[effect:damage_anti_tribe, target:unit_all, tribe:animal, val1:0.8, val2:0.25]    </t>
    <phoneticPr fontId="5"/>
  </si>
  <si>
    <t xml:space="preserve">[effect:break_attack_fix, target:unit_all, val:200, lowest_val:500, count:-1, color:green, block01:block_blue]    </t>
    <phoneticPr fontId="5"/>
  </si>
  <si>
    <t xml:space="preserve">[effect:virus, turn:3, rate:1, val:0.08, animation:enemy_virus]    </t>
    <phoneticPr fontId="5"/>
  </si>
  <si>
    <t xml:space="preserve">[effect:virus, turn:3, rate:1, val:0.1, animation:enemy_virus]    </t>
    <phoneticPr fontId="5"/>
  </si>
  <si>
    <t xml:space="preserve">[effect:virus, turn:3, rate:1, val:0.12, animation:enemy_virus]    </t>
    <phoneticPr fontId="5"/>
  </si>
  <si>
    <t>いただきまーす♪</t>
    <phoneticPr fontId="5"/>
  </si>
  <si>
    <t>人間はアタシのもの…♪</t>
    <phoneticPr fontId="5"/>
  </si>
  <si>
    <t>焼き尽くすわ…</t>
    <phoneticPr fontId="5"/>
  </si>
  <si>
    <t>俺に近付くなよ…</t>
    <phoneticPr fontId="5"/>
  </si>
  <si>
    <t>反抗期じゃねーよ！</t>
    <phoneticPr fontId="5"/>
  </si>
  <si>
    <t>チッ…めんどくせーな</t>
    <phoneticPr fontId="5"/>
  </si>
  <si>
    <t>これでも喰らってろ！</t>
    <phoneticPr fontId="5"/>
  </si>
  <si>
    <t>ダークネス・ウィルス</t>
    <phoneticPr fontId="5"/>
  </si>
  <si>
    <t>青い人だーいすき！</t>
    <phoneticPr fontId="5"/>
  </si>
  <si>
    <t>あら？ここは危ないわよ</t>
    <phoneticPr fontId="5"/>
  </si>
  <si>
    <t>強さを見せてくれたら　お手伝いしてあげるわ</t>
    <phoneticPr fontId="5"/>
  </si>
  <si>
    <t xml:space="preserve">[effect:regenerate, turn:1, val:0.2, type:hp_ratio, animation:heal01]    </t>
    <phoneticPr fontId="5"/>
  </si>
  <si>
    <t>私に手加減なんて失礼よ？</t>
    <phoneticPr fontId="5"/>
  </si>
  <si>
    <t xml:space="preserve">[effect:regenerate, turn:1, val:0.1, type:hp_ratio, animation:heal01]    </t>
    <phoneticPr fontId="5"/>
  </si>
  <si>
    <t xml:space="preserve">[effect:regenerate, turn:1, val:0.15, type:hp_ratio, animation:heal01]    </t>
    <phoneticPr fontId="5"/>
  </si>
  <si>
    <t xml:space="preserve">[effect:regenerate, turn:1, val:0.04, type:hp_ratio, animation:heal01]    </t>
    <phoneticPr fontId="5"/>
  </si>
  <si>
    <t xml:space="preserve">[effect:regenerate, turn:1, val:0.06, type:hp_ratio, animation:heal01]    </t>
    <phoneticPr fontId="5"/>
  </si>
  <si>
    <t>動物さんどこかなー？</t>
    <phoneticPr fontId="5"/>
  </si>
  <si>
    <t>形勢逆転してやるわ…！</t>
    <phoneticPr fontId="5"/>
  </si>
  <si>
    <t>どうしても先に進むのね？</t>
    <phoneticPr fontId="5"/>
  </si>
  <si>
    <t>獄炎のツインターゲット</t>
    <phoneticPr fontId="5"/>
  </si>
  <si>
    <t>これでトドメよ！！</t>
    <phoneticPr fontId="5"/>
  </si>
  <si>
    <t>流石ね！ボーナスよ♪</t>
    <phoneticPr fontId="5"/>
  </si>
  <si>
    <t xml:space="preserve">   </t>
    <phoneticPr fontId="5"/>
  </si>
  <si>
    <t xml:space="preserve">[effect:virus, turn:3, rate:1, val:0.05, animation:enemy_virus],[effect:fix_speed, target:myself, turn:1],[effect:fix_speed, target:enemy_yellow, turn:2]    </t>
    <phoneticPr fontId="5"/>
  </si>
  <si>
    <t>[effect:tolerance, target:myself, turn:-1, tolerance_effect:all, count:-1, animation:enemy_tolerance],[effect:fix_speed, target:myself, turn:1]</t>
    <phoneticPr fontId="5"/>
  </si>
  <si>
    <t>[effect:critical, val:1.7]</t>
    <phoneticPr fontId="5"/>
  </si>
  <si>
    <t>[effect:spread, val:0.45]</t>
    <phoneticPr fontId="5"/>
  </si>
  <si>
    <t xml:space="preserve">[effect:break_attack_fix, target:unit_all, val:500, lowest_val:500, count:-1, color:green, block01:block_green]    </t>
    <phoneticPr fontId="5"/>
  </si>
  <si>
    <t>攻撃力UP</t>
    <phoneticPr fontId="5"/>
  </si>
  <si>
    <t xml:space="preserve">[effect:freq_turn, target:myself, turn:-1, val:1, animation:enemy_freq_turn]     </t>
    <phoneticPr fontId="5"/>
  </si>
  <si>
    <t>null</t>
    <phoneticPr fontId="5"/>
  </si>
  <si>
    <t xml:space="preserve">[effect:enhance_enemy, target:myself, turn:-1, status:attack, val:0.4, calc:mul, animation:enemy_enhance_attack]    </t>
    <phoneticPr fontId="5"/>
  </si>
  <si>
    <t>おいおい…容赦ねぇな</t>
    <phoneticPr fontId="5"/>
  </si>
  <si>
    <t>八大地獄・最下葬！！！</t>
    <phoneticPr fontId="5"/>
  </si>
  <si>
    <t xml:space="preserve">3ターンウィルス </t>
    <phoneticPr fontId="5"/>
  </si>
  <si>
    <t>ギャハハ！おもしれぇ！！</t>
    <phoneticPr fontId="5"/>
  </si>
  <si>
    <t>さぁ泣き喚け！！</t>
    <phoneticPr fontId="5"/>
  </si>
  <si>
    <t>残念、没収するぜ！</t>
    <phoneticPr fontId="5"/>
  </si>
  <si>
    <t xml:space="preserve"> null</t>
  </si>
  <si>
    <t xml:space="preserve">[effect:break_attack_fix, target:unit_all, val:450, lowest_val:450, count:-1, color:green, block01:block_green]    </t>
    <phoneticPr fontId="5"/>
  </si>
  <si>
    <t xml:space="preserve">[effect:break_attack_fix, target:unit_all, val:150, lowest_val:450, count:-1, color:green, block01:block_blue]    </t>
    <phoneticPr fontId="5"/>
  </si>
  <si>
    <t xml:space="preserve">[effect:break_attack_fix, target:unit_all, val:150, lowest_val:450, count:-1, color:green, block01:block_green]    </t>
    <phoneticPr fontId="5"/>
  </si>
  <si>
    <t>状態異常無効</t>
    <phoneticPr fontId="5"/>
  </si>
  <si>
    <t>状態異常のユニットに大ダメージ</t>
    <phoneticPr fontId="5"/>
  </si>
  <si>
    <t>クリティカル！</t>
    <phoneticPr fontId="5"/>
  </si>
  <si>
    <t>【！】次のターンに即死攻撃発動【！】</t>
    <phoneticPr fontId="5"/>
  </si>
  <si>
    <t>11,111,111固定ダメージ</t>
    <phoneticPr fontId="5"/>
  </si>
  <si>
    <t>攻撃頻度UP</t>
    <phoneticPr fontId="5"/>
  </si>
  <si>
    <t>null</t>
  </si>
  <si>
    <t>チエミとピーターパンは 
どちらか片方が倒れると 
残ったほうが強化されます</t>
    <phoneticPr fontId="5"/>
  </si>
  <si>
    <t>オセの生成する時限式ダメージパネルは 
威力が高いので気を付けましょう</t>
    <phoneticPr fontId="5"/>
  </si>
  <si>
    <t>牛頭馬面の2ゲージ目は
6ターン目に即死攻撃を行うので 
それまでに倒しましょう</t>
    <phoneticPr fontId="5"/>
  </si>
  <si>
    <t>牛頭馬面の2ゲージ目は
6ターン目に即死攻撃を行うので 
それまでに倒しましょう</t>
    <phoneticPr fontId="5"/>
  </si>
  <si>
    <t>[effect:rush, count:8, val:0.15]</t>
    <phoneticPr fontId="5"/>
  </si>
  <si>
    <t>[effect:rush, count:8, val:0.2]</t>
    <phoneticPr fontId="5"/>
  </si>
  <si>
    <t>null</t>
    <phoneticPr fontId="5"/>
  </si>
  <si>
    <t>link</t>
  </si>
  <si>
    <t>unit</t>
  </si>
  <si>
    <t>斧の錆にしてやる！！</t>
    <phoneticPr fontId="5"/>
  </si>
  <si>
    <t>はっ！オレの勝ちだな！！</t>
    <phoneticPr fontId="5"/>
  </si>
  <si>
    <t>暴れてやるぜェ！！</t>
    <phoneticPr fontId="5"/>
  </si>
  <si>
    <t>罪人には罰を与えるぜ！</t>
    <phoneticPr fontId="5"/>
  </si>
  <si>
    <t>人間には負けねぇ！</t>
    <phoneticPr fontId="5"/>
  </si>
  <si>
    <t>げ！閻羅様ァ！？</t>
  </si>
  <si>
    <t>賽の河原で遊んでな！</t>
    <phoneticPr fontId="5"/>
  </si>
  <si>
    <t>3ターン種族ヒューマンのユニットにスキルバインド</t>
    <phoneticPr fontId="5"/>
  </si>
  <si>
    <t>種族アニマルのユニットに大ダメージ</t>
    <phoneticPr fontId="5"/>
  </si>
  <si>
    <t>青属性のユニットに大ダメージ</t>
    <phoneticPr fontId="5"/>
  </si>
  <si>
    <t>3ターン種族ヒューマンのユニットにスキルバインド+
単体攻撃</t>
    <phoneticPr fontId="5"/>
  </si>
  <si>
    <t>緑パネルを吸収して全体攻撃</t>
  </si>
  <si>
    <t>1ターン回復効果付与</t>
    <phoneticPr fontId="5"/>
  </si>
  <si>
    <t>状態異常耐性+解除するまでウィルス</t>
    <phoneticPr fontId="5"/>
  </si>
  <si>
    <t>種族アニマルのユニットに大ダメージ+ 
ランダムでお邪魔パネルに2個変換</t>
    <phoneticPr fontId="5"/>
  </si>
  <si>
    <t>3ターン種族ヒューマンのユニットにスキルバインド+
攻撃頻度UP</t>
    <phoneticPr fontId="5"/>
  </si>
  <si>
    <t xml:space="preserve">状態異常無効+解除するまでウィルス </t>
    <phoneticPr fontId="5"/>
  </si>
  <si>
    <t>状態異常無効+解除するまでウィルス</t>
    <phoneticPr fontId="5"/>
  </si>
  <si>
    <t>緑パネルを吸収して全体攻撃</t>
    <phoneticPr fontId="5"/>
  </si>
  <si>
    <t>…っつ！痛ってェなぁ〜！</t>
    <phoneticPr fontId="5"/>
  </si>
  <si>
    <t>あ痛たたた…やっぱり閻羅様は強ぇえや…</t>
    <phoneticPr fontId="5"/>
  </si>
  <si>
    <t>まったく…なんでこんな目に…
いや！なんでもないです！すぐに仕事に戻ります！</t>
    <phoneticPr fontId="5"/>
  </si>
  <si>
    <t>「夢幻地獄」</t>
    <phoneticPr fontId="5"/>
  </si>
  <si>
    <t>「牛頭馬面」</t>
    <phoneticPr fontId="5"/>
  </si>
  <si>
    <t>「閻羅王」</t>
    <phoneticPr fontId="5"/>
  </si>
  <si>
    <t>看守の仕事へ戻るんだ</t>
    <phoneticPr fontId="5"/>
  </si>
  <si>
    <t>ALICE内の犯罪者を収容する施設
最高管理AIたる閻羅王の統制により
今回の事件までは限りなく0に近い
脱獄率を誇っていました</t>
    <phoneticPr fontId="5"/>
  </si>
  <si>
    <t>夢幻地獄に収監されたアバターを監視する
看守AI
彼は以前より自分の力をぶつける機会が
無い退屈な日々に飽き飽きしていたようです</t>
    <phoneticPr fontId="5"/>
  </si>
  <si>
    <t>夢幻地獄の最高管理AI
部下の牛頭馬面が起こした騒動を鎮圧する
ためハートの女王配下でありながら
プレイヤーと共闘する事を選びました</t>
    <phoneticPr fontId="5"/>
  </si>
  <si>
    <t>騒動の後閻羅王にこっぴどく絞られた
牛頭馬面は存分に暴れられた満足も
あったのかこれまで以上に真面目に
仕事をするようになったようです</t>
    <phoneticPr fontId="5"/>
  </si>
  <si>
    <t>あー分かったよ！
まったく…こんな目にあうくらいなら仕事の方がマシだぜ…</t>
    <phoneticPr fontId="5"/>
  </si>
  <si>
    <t>バハムートは種族ヒューマンのユニットに
対して大ダメージを与える攻撃や
スキルバインドを行います</t>
    <phoneticPr fontId="5"/>
  </si>
  <si>
    <t>種族ヒューマンのユニットに大ダメージの2回連続攻撃</t>
    <phoneticPr fontId="5"/>
  </si>
  <si>
    <t>ランダムで赤の時限式ダメージパネルに2個変換+ 
2回連続攻撃</t>
    <phoneticPr fontId="5"/>
  </si>
  <si>
    <t>8回連続攻撃</t>
    <phoneticPr fontId="5"/>
  </si>
  <si>
    <t xml:space="preserve">8回連続攻撃 </t>
    <phoneticPr fontId="5"/>
  </si>
  <si>
    <t xml:space="preserve">[effect:enemy_message, val1:1.0, val2:2.3],[effect:damage_anti_tribe, target:unit_one, tribe:human, val1:0.7, val2:0.5],[effect:damage_anti_tribe, target:unit_one, tribe:human, val1:0.7, val2:0.5]    </t>
    <phoneticPr fontId="5"/>
  </si>
  <si>
    <t>[effect:enemy_message, val1:1.0, val2:2.3],[effect:force_change_block, new_block:time_bomb, target:block_all, ignore01:crash, ignore02:crack_bomb, ignore03:time_bomb, ignore04:color_break, color:block_red, count:2, val:0.2, animation:change_block],[effect:rush, count:2, val:0.5]</t>
    <phoneticPr fontId="5"/>
  </si>
  <si>
    <t>[effect:enemy_message, val1:1.0, val2:2.3],[effect:hungup, target:unit_human, turn:3, rate:1, animation:hungup01],[effect:rush, count:1, val:1]</t>
    <phoneticPr fontId="5"/>
  </si>
  <si>
    <t>[effect:enemy_message, val1:1.0, val2:2.8],[effect:damage_anti_tribe, target:unit_all, tribe:animal, val1:0.8, val2:0.25],[effect:force_change_block, new_block:jammer, target:block_all, ignore01:crash, ignore02:crack_bomb, ignore03:time_bomb, ignore04:color_break, count:2, val:0, animation:change_block]</t>
    <phoneticPr fontId="5"/>
  </si>
  <si>
    <t xml:space="preserve">[effect:enemy_message, val1:1.0, val2:2.3],[effect:hungup, target:unit_human, turn:3, rate:1, animation:hungup01],[effect:freq_turn, target:myself, turn:-1, val:1, animation:enemy_freq_turn]     </t>
    <phoneticPr fontId="5"/>
  </si>
  <si>
    <t>デモンズアシスト I</t>
    <phoneticPr fontId="5"/>
  </si>
  <si>
    <t>デモンズアシスト II</t>
    <phoneticPr fontId="5"/>
  </si>
  <si>
    <t>デモンズアシスト III</t>
    <phoneticPr fontId="5"/>
  </si>
  <si>
    <t>デモンズアシスト IV</t>
    <phoneticPr fontId="5"/>
  </si>
  <si>
    <t xml:space="preserve">[effect:enemy_message, val1:1.0, val2:2.3],[effect:hungup, target:unit_human, turn:3, rate:1, animation:hungup01],[effect:fix_speed, target:myself, turn:1],[effect:fix_speed, target:enemy_attack, turn:2]    </t>
    <phoneticPr fontId="5"/>
  </si>
  <si>
    <t>[effect:enemy_message, val1:1.0, val2:2.1],[effect:fix_speed, target:myself, turn:1]</t>
    <phoneticPr fontId="5"/>
  </si>
  <si>
    <t xml:space="preserve">[effect:enemy_message, val1:1.0, val2:2.1],[effect:tolerance, target:myself, turn:-1, tolerance_effect:all, count:-1, animation:enemy_tolerance],[effect:virus, turn:-1, rate:1, val:0.1, animation:enemy_virus],[effect:fix_speed, target:myself, turn:2] </t>
    <phoneticPr fontId="5"/>
  </si>
  <si>
    <t xml:space="preserve">[effect:break_attack_fix, target:unit_all, val:200, lowest_val:500, count:-1, color:green, block01:block_green]    </t>
    <phoneticPr fontId="5"/>
  </si>
  <si>
    <t>[effect:enemy_message, val1:1.0, val2:2.1]</t>
    <phoneticPr fontId="5"/>
  </si>
  <si>
    <t>[effect:enemy_message, val1:1.5, val2:2.1],[effect:damage_fix_absolute, target:unit_one, val:1],[effect:damage_fix_absolute, target:unit_one, val:10],[effect:damage_fix_absolute, target:unit_one, val:100],[effect:damage_fix_absolute, target:unit_one, val:1000],[effect:damage_fix_absolute, target:unit_one, val:10000],[effect:damage_fix_absolute, target:unit_one, val:100000],[effect:damage_fix_absolute, target:unit_one, val:1000000],[effect:damage_fix_absolute, target:unit_one, val:10000000]</t>
    <phoneticPr fontId="5"/>
  </si>
  <si>
    <t>[effect:enemy_message, val1:1.0, val2:2.1],[effect:tolerance, target:myself, turn:-1, tolerance_effect:all, count:-1, animation:enemy_tolerance],[effect:virus, turn:-1, rate:1, val:0.15, animation:enemy_virus],[effect:fix_speed, target:myself, turn:1]</t>
    <phoneticPr fontId="5"/>
  </si>
  <si>
    <t xml:space="preserve">[effect:enemy_message, val1:1.0, val2:2.1],[effect:tolerance, target:myself, turn:-1, tolerance_effect:all, count:-1, animation:enemy_tolerance],[effect:virus, turn:-1, rate:1, val:0.1, animation:enemy_virus],[effect:fix_speed, target:myself, turn:2] </t>
    <phoneticPr fontId="5"/>
  </si>
  <si>
    <t xml:space="preserve">青パネルを吸収して全体攻撃 </t>
    <phoneticPr fontId="5"/>
  </si>
  <si>
    <t>青パネルを吸収して全体攻撃</t>
    <phoneticPr fontId="5"/>
  </si>
  <si>
    <t>キャハハ！
あたしを見てっ☆</t>
    <phoneticPr fontId="5"/>
  </si>
  <si>
    <t>男の子でしょ？
情けなーい！</t>
    <phoneticPr fontId="5"/>
  </si>
  <si>
    <t>[effect:enemy_message, val1:2.0, val2:3.5]</t>
    <phoneticPr fontId="5"/>
  </si>
  <si>
    <t>[effect:enemy_message, val1:2.8, val2:3.5]</t>
    <phoneticPr fontId="5"/>
  </si>
  <si>
    <t>1ターン緑パネルが出現しない</t>
    <phoneticPr fontId="5"/>
  </si>
  <si>
    <t xml:space="preserve">[effect:damage_anti_abnormal, target:unit_all, target_effect01:hungup, target_effect02:virus, target_effect03:sleep, val1:0.4, val2:0.35]    </t>
    <phoneticPr fontId="5"/>
  </si>
  <si>
    <t>オセは2ゲージ目になると  
体力が2割減るごとに 
1度ずつパーティの体力を回復します</t>
  </si>
  <si>
    <t>牛頭馬面は1ゲージ目のHPが 
一定以下になると  
状態異常のユニットに対して
大ダメージを与える攻撃を行います</t>
  </si>
  <si>
    <t>コイツもいただいてくぜ！</t>
    <phoneticPr fontId="5"/>
  </si>
  <si>
    <t>コイツもいただいてくぜ！</t>
    <phoneticPr fontId="5"/>
  </si>
  <si>
    <t>思いっきり…ぶっ壊す！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</si>
</sst>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8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7" xfId="0" applyNumberFormat="1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4" xfId="0" applyFont="1" applyBorder="1" applyAlignment="1">
      <alignment vertical="center"/>
    </xf>
    <xf numFmtId="177" fontId="8" fillId="0" borderId="24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7" xfId="0" applyNumberFormat="1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3" borderId="27" xfId="0" applyFont="1" applyFill="1" applyBorder="1" applyAlignment="1">
      <alignment horizontal="left" vertical="center"/>
    </xf>
    <xf numFmtId="0" fontId="16" fillId="3" borderId="27" xfId="0" applyFont="1" applyFill="1" applyBorder="1" applyAlignment="1">
      <alignment vertical="center"/>
    </xf>
    <xf numFmtId="0" fontId="16" fillId="0" borderId="23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2" xfId="0" applyBorder="1"/>
    <xf numFmtId="0" fontId="0" fillId="3" borderId="2" xfId="0" applyFill="1" applyBorder="1"/>
    <xf numFmtId="0" fontId="6" fillId="5" borderId="2" xfId="0" applyFont="1" applyFill="1" applyBorder="1" applyAlignment="1">
      <alignment vertical="center"/>
    </xf>
    <xf numFmtId="0" fontId="0" fillId="0" borderId="34" xfId="0" applyBorder="1"/>
    <xf numFmtId="0" fontId="0" fillId="3" borderId="34" xfId="0" applyFill="1" applyBorder="1"/>
    <xf numFmtId="0" fontId="6" fillId="5" borderId="34" xfId="0" applyFont="1" applyFill="1" applyBorder="1" applyAlignment="1">
      <alignment vertical="center"/>
    </xf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3" borderId="37" xfId="0" applyFill="1" applyBorder="1"/>
    <xf numFmtId="0" fontId="6" fillId="5" borderId="37" xfId="0" applyFont="1" applyFill="1" applyBorder="1" applyAlignment="1">
      <alignment vertical="center"/>
    </xf>
    <xf numFmtId="0" fontId="0" fillId="0" borderId="38" xfId="0" applyBorder="1"/>
    <xf numFmtId="0" fontId="0" fillId="0" borderId="39" xfId="0" applyBorder="1"/>
    <xf numFmtId="0" fontId="27" fillId="0" borderId="34" xfId="0" applyFont="1" applyFill="1" applyBorder="1"/>
    <xf numFmtId="0" fontId="0" fillId="0" borderId="40" xfId="0" applyBorder="1"/>
    <xf numFmtId="0" fontId="0" fillId="0" borderId="41" xfId="0" applyBorder="1"/>
    <xf numFmtId="0" fontId="27" fillId="0" borderId="37" xfId="0" applyFont="1" applyFill="1" applyBorder="1"/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4" fillId="7" borderId="42" xfId="0" applyFont="1" applyFill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0" fontId="4" fillId="13" borderId="31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16" fillId="13" borderId="12" xfId="0" applyFont="1" applyFill="1" applyBorder="1" applyAlignment="1">
      <alignment vertical="center"/>
    </xf>
    <xf numFmtId="0" fontId="14" fillId="7" borderId="43" xfId="0" applyFont="1" applyFill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13" borderId="2" xfId="0" applyFont="1" applyFill="1" applyBorder="1" applyAlignment="1">
      <alignment vertical="center"/>
    </xf>
    <xf numFmtId="0" fontId="16" fillId="13" borderId="27" xfId="0" applyFont="1" applyFill="1" applyBorder="1" applyAlignment="1">
      <alignment vertical="center"/>
    </xf>
    <xf numFmtId="0" fontId="27" fillId="13" borderId="7" xfId="0" applyFont="1" applyFill="1" applyBorder="1"/>
    <xf numFmtId="0" fontId="28" fillId="13" borderId="7" xfId="0" applyFont="1" applyFill="1" applyBorder="1"/>
    <xf numFmtId="0" fontId="29" fillId="13" borderId="12" xfId="0" applyFont="1" applyFill="1" applyBorder="1" applyAlignment="1">
      <alignment vertical="center"/>
    </xf>
    <xf numFmtId="0" fontId="30" fillId="13" borderId="7" xfId="0" applyFont="1" applyFill="1" applyBorder="1"/>
    <xf numFmtId="0" fontId="31" fillId="13" borderId="7" xfId="0" applyFont="1" applyFill="1" applyBorder="1"/>
    <xf numFmtId="38" fontId="16" fillId="13" borderId="7" xfId="628" applyFont="1" applyFill="1" applyBorder="1" applyAlignment="1">
      <alignment wrapText="1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39001</v>
          </cell>
        </row>
        <row r="176">
          <cell r="A176">
            <v>39002</v>
          </cell>
        </row>
        <row r="177">
          <cell r="A177">
            <v>39003</v>
          </cell>
        </row>
        <row r="178">
          <cell r="A178">
            <v>39004</v>
          </cell>
        </row>
        <row r="179">
          <cell r="A179">
            <v>39005</v>
          </cell>
        </row>
        <row r="180">
          <cell r="A180">
            <v>39006</v>
          </cell>
        </row>
        <row r="181">
          <cell r="A181">
            <v>39007</v>
          </cell>
        </row>
        <row r="182">
          <cell r="A182">
            <v>39008</v>
          </cell>
        </row>
        <row r="183">
          <cell r="A183">
            <v>39009</v>
          </cell>
        </row>
        <row r="184">
          <cell r="A184">
            <v>39010</v>
          </cell>
        </row>
        <row r="185">
          <cell r="A185">
            <v>39011</v>
          </cell>
        </row>
        <row r="186">
          <cell r="A186">
            <v>40001</v>
          </cell>
        </row>
        <row r="187">
          <cell r="A187">
            <v>40002</v>
          </cell>
        </row>
        <row r="188">
          <cell r="A188">
            <v>40003</v>
          </cell>
        </row>
        <row r="189">
          <cell r="A189">
            <v>40004</v>
          </cell>
        </row>
        <row r="190">
          <cell r="A190">
            <v>40005</v>
          </cell>
        </row>
        <row r="191">
          <cell r="A191">
            <v>40006</v>
          </cell>
        </row>
        <row r="192">
          <cell r="A192">
            <v>40007</v>
          </cell>
        </row>
        <row r="193">
          <cell r="A193">
            <v>40008</v>
          </cell>
        </row>
        <row r="194">
          <cell r="A194">
            <v>40009</v>
          </cell>
        </row>
        <row r="195">
          <cell r="A195">
            <v>40010</v>
          </cell>
        </row>
        <row r="196">
          <cell r="A196">
            <v>40011</v>
          </cell>
        </row>
        <row r="197">
          <cell r="A197">
            <v>40012</v>
          </cell>
        </row>
        <row r="198">
          <cell r="A198">
            <v>40013</v>
          </cell>
        </row>
        <row r="199">
          <cell r="A199">
            <v>40014</v>
          </cell>
        </row>
        <row r="200">
          <cell r="A200">
            <v>40015</v>
          </cell>
        </row>
        <row r="201">
          <cell r="A201">
            <v>40016</v>
          </cell>
        </row>
        <row r="202">
          <cell r="A202">
            <v>40017</v>
          </cell>
        </row>
        <row r="203">
          <cell r="A203">
            <v>40018</v>
          </cell>
        </row>
        <row r="204">
          <cell r="A204">
            <v>40019</v>
          </cell>
        </row>
        <row r="205">
          <cell r="A205">
            <v>40021</v>
          </cell>
        </row>
        <row r="206">
          <cell r="A206">
            <v>40022</v>
          </cell>
        </row>
        <row r="207">
          <cell r="A207">
            <v>40023</v>
          </cell>
        </row>
        <row r="208">
          <cell r="A208">
            <v>40024</v>
          </cell>
        </row>
        <row r="209">
          <cell r="A209">
            <v>40025</v>
          </cell>
        </row>
        <row r="210">
          <cell r="A210">
            <v>40026</v>
          </cell>
        </row>
        <row r="211">
          <cell r="A211">
            <v>40027</v>
          </cell>
        </row>
        <row r="212">
          <cell r="A212">
            <v>40028</v>
          </cell>
        </row>
        <row r="213">
          <cell r="A213">
            <v>40029</v>
          </cell>
        </row>
        <row r="214">
          <cell r="A214">
            <v>40030</v>
          </cell>
        </row>
        <row r="215">
          <cell r="A215">
            <v>40031</v>
          </cell>
        </row>
        <row r="216">
          <cell r="A216">
            <v>40032</v>
          </cell>
        </row>
        <row r="217">
          <cell r="A217">
            <v>40033</v>
          </cell>
        </row>
        <row r="218">
          <cell r="A218">
            <v>40034</v>
          </cell>
        </row>
        <row r="219">
          <cell r="A219">
            <v>40035</v>
          </cell>
        </row>
        <row r="220">
          <cell r="A220">
            <v>40036</v>
          </cell>
        </row>
        <row r="221">
          <cell r="A221">
            <v>40037</v>
          </cell>
        </row>
        <row r="222">
          <cell r="A222">
            <v>40038</v>
          </cell>
        </row>
        <row r="223">
          <cell r="A223">
            <v>40039</v>
          </cell>
        </row>
        <row r="224">
          <cell r="A224">
            <v>40040</v>
          </cell>
        </row>
        <row r="225">
          <cell r="A225">
            <v>40041</v>
          </cell>
        </row>
        <row r="226">
          <cell r="A226">
            <v>40042</v>
          </cell>
        </row>
        <row r="227">
          <cell r="A227">
            <v>48001</v>
          </cell>
        </row>
        <row r="228">
          <cell r="A228">
            <v>48002</v>
          </cell>
        </row>
        <row r="229">
          <cell r="A229">
            <v>48003</v>
          </cell>
        </row>
        <row r="230">
          <cell r="A230">
            <v>48004</v>
          </cell>
        </row>
        <row r="231">
          <cell r="A231">
            <v>48005</v>
          </cell>
        </row>
        <row r="232">
          <cell r="A232">
            <v>48006</v>
          </cell>
        </row>
        <row r="233">
          <cell r="A233">
            <v>48007</v>
          </cell>
        </row>
        <row r="234">
          <cell r="A234">
            <v>48008</v>
          </cell>
        </row>
        <row r="235">
          <cell r="A235">
            <v>48009</v>
          </cell>
        </row>
        <row r="236">
          <cell r="A236">
            <v>48010</v>
          </cell>
        </row>
        <row r="237">
          <cell r="A237">
            <v>48501</v>
          </cell>
        </row>
        <row r="238">
          <cell r="A238">
            <v>41001</v>
          </cell>
        </row>
        <row r="239">
          <cell r="A239">
            <v>41002</v>
          </cell>
        </row>
        <row r="240">
          <cell r="A240">
            <v>41003</v>
          </cell>
        </row>
        <row r="241">
          <cell r="A241">
            <v>41004</v>
          </cell>
        </row>
        <row r="242">
          <cell r="A242">
            <v>41005</v>
          </cell>
        </row>
        <row r="243">
          <cell r="A243">
            <v>41006</v>
          </cell>
        </row>
        <row r="244">
          <cell r="A244">
            <v>41007</v>
          </cell>
        </row>
        <row r="245">
          <cell r="A245">
            <v>41008</v>
          </cell>
        </row>
        <row r="246">
          <cell r="A246">
            <v>41009</v>
          </cell>
        </row>
        <row r="247">
          <cell r="A247">
            <v>41010</v>
          </cell>
        </row>
        <row r="248">
          <cell r="A248">
            <v>41011</v>
          </cell>
        </row>
        <row r="249">
          <cell r="A249">
            <v>41012</v>
          </cell>
        </row>
        <row r="250">
          <cell r="A250">
            <v>41013</v>
          </cell>
        </row>
        <row r="251">
          <cell r="A251">
            <v>41014</v>
          </cell>
        </row>
        <row r="252">
          <cell r="A252">
            <v>41015</v>
          </cell>
        </row>
        <row r="253">
          <cell r="A253">
            <v>47001</v>
          </cell>
        </row>
        <row r="254">
          <cell r="A254">
            <v>47002</v>
          </cell>
        </row>
        <row r="255">
          <cell r="A255">
            <v>47003</v>
          </cell>
        </row>
        <row r="256">
          <cell r="A256">
            <v>47004</v>
          </cell>
        </row>
        <row r="257">
          <cell r="A257">
            <v>47005</v>
          </cell>
        </row>
        <row r="258">
          <cell r="A258">
            <v>47006</v>
          </cell>
        </row>
        <row r="259">
          <cell r="A259">
            <v>49001</v>
          </cell>
        </row>
        <row r="260">
          <cell r="A260">
            <v>49002</v>
          </cell>
        </row>
        <row r="261">
          <cell r="A261">
            <v>49003</v>
          </cell>
        </row>
        <row r="262">
          <cell r="A262">
            <v>49004</v>
          </cell>
        </row>
        <row r="263">
          <cell r="A263">
            <v>49005</v>
          </cell>
        </row>
        <row r="264">
          <cell r="A264">
            <v>49006</v>
          </cell>
        </row>
        <row r="265">
          <cell r="A265">
            <v>49007</v>
          </cell>
        </row>
        <row r="266">
          <cell r="A266">
            <v>49008</v>
          </cell>
        </row>
        <row r="267">
          <cell r="A267">
            <v>49009</v>
          </cell>
        </row>
        <row r="268">
          <cell r="A268">
            <v>49010</v>
          </cell>
        </row>
        <row r="269">
          <cell r="A269">
            <v>49011</v>
          </cell>
        </row>
        <row r="270">
          <cell r="A270">
            <v>49012</v>
          </cell>
        </row>
        <row r="271">
          <cell r="A271">
            <v>49013</v>
          </cell>
        </row>
        <row r="272">
          <cell r="A272">
            <v>50001</v>
          </cell>
        </row>
        <row r="273">
          <cell r="A273">
            <v>50002</v>
          </cell>
        </row>
        <row r="274">
          <cell r="A274">
            <v>50003</v>
          </cell>
        </row>
        <row r="275">
          <cell r="A275">
            <v>50004</v>
          </cell>
        </row>
        <row r="276">
          <cell r="A276">
            <v>50005</v>
          </cell>
        </row>
        <row r="277">
          <cell r="A277">
            <v>50006</v>
          </cell>
        </row>
        <row r="278">
          <cell r="A278">
            <v>50007</v>
          </cell>
        </row>
        <row r="279">
          <cell r="A279">
            <v>50008</v>
          </cell>
        </row>
        <row r="280">
          <cell r="A280">
            <v>50009</v>
          </cell>
        </row>
        <row r="281">
          <cell r="A281">
            <v>50010</v>
          </cell>
        </row>
        <row r="282">
          <cell r="A282">
            <v>50011</v>
          </cell>
        </row>
        <row r="283">
          <cell r="A283">
            <v>50012</v>
          </cell>
        </row>
        <row r="284">
          <cell r="A284">
            <v>50013</v>
          </cell>
        </row>
        <row r="285">
          <cell r="A285">
            <v>51001</v>
          </cell>
        </row>
        <row r="286">
          <cell r="A286">
            <v>51002</v>
          </cell>
        </row>
        <row r="287">
          <cell r="A287">
            <v>59001</v>
          </cell>
        </row>
        <row r="288">
          <cell r="A288">
            <v>60001</v>
          </cell>
        </row>
        <row r="289">
          <cell r="A289">
            <v>60002</v>
          </cell>
        </row>
        <row r="290">
          <cell r="A290">
            <v>60003</v>
          </cell>
        </row>
        <row r="291">
          <cell r="A291">
            <v>60004</v>
          </cell>
        </row>
        <row r="292">
          <cell r="A292">
            <v>60005</v>
          </cell>
        </row>
        <row r="293">
          <cell r="A293">
            <v>60006</v>
          </cell>
        </row>
        <row r="294">
          <cell r="A294">
            <v>60007</v>
          </cell>
        </row>
        <row r="295">
          <cell r="A295">
            <v>60010</v>
          </cell>
        </row>
        <row r="296">
          <cell r="A296">
            <v>60011</v>
          </cell>
        </row>
        <row r="297">
          <cell r="A297">
            <v>61011</v>
          </cell>
        </row>
        <row r="298">
          <cell r="A298">
            <v>60012</v>
          </cell>
        </row>
        <row r="299">
          <cell r="A299">
            <v>60013</v>
          </cell>
        </row>
        <row r="300">
          <cell r="A300">
            <v>60014</v>
          </cell>
        </row>
        <row r="301">
          <cell r="A301">
            <v>60015</v>
          </cell>
        </row>
        <row r="302">
          <cell r="A302">
            <v>60016</v>
          </cell>
        </row>
        <row r="303">
          <cell r="A303">
            <v>60017</v>
          </cell>
        </row>
        <row r="304">
          <cell r="A304">
            <v>60018</v>
          </cell>
        </row>
        <row r="305">
          <cell r="A305">
            <v>60019</v>
          </cell>
        </row>
        <row r="306">
          <cell r="A306">
            <v>60020</v>
          </cell>
        </row>
        <row r="307">
          <cell r="A307">
            <v>60025</v>
          </cell>
        </row>
        <row r="308">
          <cell r="A308">
            <v>60026</v>
          </cell>
        </row>
        <row r="309">
          <cell r="A309">
            <v>60027</v>
          </cell>
        </row>
        <row r="310">
          <cell r="A310">
            <v>65525</v>
          </cell>
        </row>
        <row r="311">
          <cell r="A311">
            <v>65526</v>
          </cell>
        </row>
        <row r="312">
          <cell r="A312">
            <v>65527</v>
          </cell>
        </row>
        <row r="313">
          <cell r="A313">
            <v>65528</v>
          </cell>
        </row>
        <row r="314">
          <cell r="A314">
            <v>65529</v>
          </cell>
        </row>
        <row r="315">
          <cell r="A315">
            <v>65530</v>
          </cell>
        </row>
        <row r="316">
          <cell r="A316">
            <v>65531</v>
          </cell>
        </row>
        <row r="317">
          <cell r="A317">
            <v>65532</v>
          </cell>
        </row>
        <row r="318">
          <cell r="A318">
            <v>65533</v>
          </cell>
        </row>
        <row r="319">
          <cell r="A319">
            <v>65534</v>
          </cell>
        </row>
        <row r="320">
          <cell r="A320">
            <v>65535</v>
          </cell>
        </row>
        <row r="321">
          <cell r="A321">
            <v>60021</v>
          </cell>
        </row>
        <row r="322">
          <cell r="A322">
            <v>60022</v>
          </cell>
        </row>
        <row r="323">
          <cell r="A323">
            <v>60023</v>
          </cell>
        </row>
        <row r="324">
          <cell r="A32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39001_1</v>
          </cell>
        </row>
        <row r="638">
          <cell r="A638" t="str">
            <v>39001_2</v>
          </cell>
        </row>
        <row r="639">
          <cell r="A639" t="str">
            <v>39001_3</v>
          </cell>
        </row>
        <row r="640">
          <cell r="A640" t="str">
            <v>39001_4</v>
          </cell>
        </row>
        <row r="641">
          <cell r="A641" t="str">
            <v>39001_5</v>
          </cell>
        </row>
        <row r="642">
          <cell r="A642" t="str">
            <v>39002_1</v>
          </cell>
        </row>
        <row r="643">
          <cell r="A643" t="str">
            <v>39002_2</v>
          </cell>
        </row>
        <row r="644">
          <cell r="A644" t="str">
            <v>39002_3</v>
          </cell>
        </row>
        <row r="645">
          <cell r="A645" t="str">
            <v>39002_4</v>
          </cell>
        </row>
        <row r="646">
          <cell r="A646" t="str">
            <v>39003_1</v>
          </cell>
        </row>
        <row r="647">
          <cell r="A647" t="str">
            <v>39003_2</v>
          </cell>
        </row>
        <row r="648">
          <cell r="A648" t="str">
            <v>39003_3</v>
          </cell>
        </row>
        <row r="649">
          <cell r="A649" t="str">
            <v>39003_4</v>
          </cell>
        </row>
        <row r="650">
          <cell r="A650" t="str">
            <v>39004_1</v>
          </cell>
        </row>
        <row r="651">
          <cell r="A651" t="str">
            <v>39004_2</v>
          </cell>
        </row>
        <row r="652">
          <cell r="A652" t="str">
            <v>39004_3</v>
          </cell>
        </row>
        <row r="653">
          <cell r="A653" t="str">
            <v>39004_4</v>
          </cell>
        </row>
        <row r="654">
          <cell r="A654" t="str">
            <v>39005_1</v>
          </cell>
        </row>
        <row r="655">
          <cell r="A655" t="str">
            <v>39005_2</v>
          </cell>
        </row>
        <row r="656">
          <cell r="A656" t="str">
            <v>39005_3</v>
          </cell>
        </row>
        <row r="657">
          <cell r="A657" t="str">
            <v>39005_4</v>
          </cell>
        </row>
        <row r="658">
          <cell r="A658" t="str">
            <v>39005_5</v>
          </cell>
        </row>
        <row r="659">
          <cell r="A659" t="str">
            <v>39006_1</v>
          </cell>
        </row>
        <row r="660">
          <cell r="A660" t="str">
            <v>39006_2</v>
          </cell>
        </row>
        <row r="661">
          <cell r="A661" t="str">
            <v>39006_3</v>
          </cell>
        </row>
        <row r="662">
          <cell r="A662" t="str">
            <v>39006_4</v>
          </cell>
        </row>
        <row r="663">
          <cell r="A663" t="str">
            <v>39007_1</v>
          </cell>
        </row>
        <row r="664">
          <cell r="A664" t="str">
            <v>39007_2</v>
          </cell>
        </row>
        <row r="665">
          <cell r="A665" t="str">
            <v>39007_3</v>
          </cell>
        </row>
        <row r="666">
          <cell r="A666" t="str">
            <v>39007_4</v>
          </cell>
        </row>
        <row r="667">
          <cell r="A667" t="str">
            <v>39008_1</v>
          </cell>
        </row>
        <row r="668">
          <cell r="A668" t="str">
            <v>39008_2</v>
          </cell>
        </row>
        <row r="669">
          <cell r="A669" t="str">
            <v>39008_3</v>
          </cell>
        </row>
        <row r="670">
          <cell r="A670" t="str">
            <v>39008_4</v>
          </cell>
        </row>
        <row r="671">
          <cell r="A671" t="str">
            <v>39008_5</v>
          </cell>
        </row>
        <row r="672">
          <cell r="A672" t="str">
            <v>39009_1</v>
          </cell>
        </row>
        <row r="673">
          <cell r="A673" t="str">
            <v>39009_2</v>
          </cell>
        </row>
        <row r="674">
          <cell r="A674" t="str">
            <v>39009_3</v>
          </cell>
        </row>
        <row r="675">
          <cell r="A675" t="str">
            <v>39009_4</v>
          </cell>
        </row>
        <row r="676">
          <cell r="A676" t="str">
            <v>39009_5</v>
          </cell>
        </row>
        <row r="677">
          <cell r="A677" t="str">
            <v>39010_1</v>
          </cell>
        </row>
        <row r="678">
          <cell r="A678" t="str">
            <v>39010_2</v>
          </cell>
        </row>
        <row r="679">
          <cell r="A679" t="str">
            <v>39010_3</v>
          </cell>
        </row>
        <row r="680">
          <cell r="A680" t="str">
            <v>39010_4</v>
          </cell>
        </row>
        <row r="681">
          <cell r="A681" t="str">
            <v>39011_1</v>
          </cell>
        </row>
        <row r="682">
          <cell r="A682" t="str">
            <v>39011_2</v>
          </cell>
        </row>
        <row r="683">
          <cell r="A683" t="str">
            <v>39011_3</v>
          </cell>
        </row>
        <row r="684">
          <cell r="A684" t="str">
            <v>39011_4</v>
          </cell>
        </row>
        <row r="685">
          <cell r="A685" t="str">
            <v>40001_1</v>
          </cell>
        </row>
        <row r="686">
          <cell r="A686" t="str">
            <v>40002_1</v>
          </cell>
        </row>
        <row r="687">
          <cell r="A687" t="str">
            <v>40002_2</v>
          </cell>
        </row>
        <row r="688">
          <cell r="A688" t="str">
            <v>40002_3</v>
          </cell>
        </row>
        <row r="689">
          <cell r="A689" t="str">
            <v>40003_1</v>
          </cell>
        </row>
        <row r="690">
          <cell r="A690" t="str">
            <v>40004_1</v>
          </cell>
        </row>
        <row r="691">
          <cell r="A691" t="str">
            <v>40005_1</v>
          </cell>
        </row>
        <row r="692">
          <cell r="A692" t="str">
            <v>40006_1</v>
          </cell>
        </row>
        <row r="693">
          <cell r="A693" t="str">
            <v>40007_1</v>
          </cell>
        </row>
        <row r="694">
          <cell r="A694" t="str">
            <v>40008_1</v>
          </cell>
        </row>
        <row r="695">
          <cell r="A695" t="str">
            <v>40009_1</v>
          </cell>
        </row>
        <row r="696">
          <cell r="A696" t="str">
            <v>40010_1</v>
          </cell>
        </row>
        <row r="697">
          <cell r="A697" t="str">
            <v>40011_1</v>
          </cell>
        </row>
        <row r="698">
          <cell r="A698" t="str">
            <v>40012_1</v>
          </cell>
        </row>
        <row r="699">
          <cell r="A699" t="str">
            <v>40013_1</v>
          </cell>
        </row>
        <row r="700">
          <cell r="A700" t="str">
            <v>40014_1</v>
          </cell>
        </row>
        <row r="701">
          <cell r="A701" t="str">
            <v>40015_1</v>
          </cell>
        </row>
        <row r="702">
          <cell r="A702" t="str">
            <v>40016_1</v>
          </cell>
        </row>
        <row r="703">
          <cell r="A703" t="str">
            <v>40016_2</v>
          </cell>
        </row>
        <row r="704">
          <cell r="A704" t="str">
            <v>40017_1</v>
          </cell>
        </row>
        <row r="705">
          <cell r="A705" t="str">
            <v>40017_2</v>
          </cell>
        </row>
        <row r="706">
          <cell r="A706" t="str">
            <v>40017_3</v>
          </cell>
        </row>
        <row r="707">
          <cell r="A707" t="str">
            <v>40018_1</v>
          </cell>
        </row>
        <row r="708">
          <cell r="A708" t="str">
            <v>40018_2</v>
          </cell>
        </row>
        <row r="709">
          <cell r="A709" t="str">
            <v>40018_3</v>
          </cell>
        </row>
        <row r="710">
          <cell r="A710" t="str">
            <v>40019_1</v>
          </cell>
        </row>
        <row r="711">
          <cell r="A711" t="str">
            <v>40019_2</v>
          </cell>
        </row>
        <row r="712">
          <cell r="A712" t="str">
            <v>40019_3</v>
          </cell>
        </row>
        <row r="713">
          <cell r="A713" t="str">
            <v>40021_1</v>
          </cell>
        </row>
        <row r="714">
          <cell r="A714" t="str">
            <v>40021_2</v>
          </cell>
        </row>
        <row r="715">
          <cell r="A715" t="str">
            <v>40022_1</v>
          </cell>
        </row>
        <row r="716">
          <cell r="A716" t="str">
            <v>40022_2</v>
          </cell>
        </row>
        <row r="717">
          <cell r="A717" t="str">
            <v>40023_1</v>
          </cell>
        </row>
        <row r="718">
          <cell r="A718" t="str">
            <v>40023_2</v>
          </cell>
        </row>
        <row r="719">
          <cell r="A719" t="str">
            <v>40024_1</v>
          </cell>
        </row>
        <row r="720">
          <cell r="A720" t="str">
            <v>40024_2</v>
          </cell>
        </row>
        <row r="721">
          <cell r="A721" t="str">
            <v>40025_1</v>
          </cell>
        </row>
        <row r="722">
          <cell r="A722" t="str">
            <v>40025_2</v>
          </cell>
        </row>
        <row r="723">
          <cell r="A723" t="str">
            <v>40026_1</v>
          </cell>
        </row>
        <row r="724">
          <cell r="A724" t="str">
            <v>40026_2</v>
          </cell>
        </row>
        <row r="725">
          <cell r="A725" t="str">
            <v>40027_1</v>
          </cell>
        </row>
        <row r="726">
          <cell r="A726" t="str">
            <v>40027_2</v>
          </cell>
        </row>
        <row r="727">
          <cell r="A727" t="str">
            <v>40028_1</v>
          </cell>
        </row>
        <row r="728">
          <cell r="A728" t="str">
            <v>40028_2</v>
          </cell>
        </row>
        <row r="729">
          <cell r="A729" t="str">
            <v>40029_1</v>
          </cell>
        </row>
        <row r="730">
          <cell r="A730" t="str">
            <v>40029_2</v>
          </cell>
        </row>
        <row r="731">
          <cell r="A731" t="str">
            <v>40030_1</v>
          </cell>
        </row>
        <row r="732">
          <cell r="A732" t="str">
            <v>40030_2</v>
          </cell>
        </row>
        <row r="733">
          <cell r="A733" t="str">
            <v>40031_1</v>
          </cell>
        </row>
        <row r="734">
          <cell r="A734" t="str">
            <v>40031_2</v>
          </cell>
        </row>
        <row r="735">
          <cell r="A735" t="str">
            <v>40032_1</v>
          </cell>
        </row>
        <row r="736">
          <cell r="A736" t="str">
            <v>40032_2</v>
          </cell>
        </row>
        <row r="737">
          <cell r="A737" t="str">
            <v>40033_1</v>
          </cell>
        </row>
        <row r="738">
          <cell r="A738" t="str">
            <v>40033_2</v>
          </cell>
        </row>
        <row r="739">
          <cell r="A739" t="str">
            <v>40034_1</v>
          </cell>
        </row>
        <row r="740">
          <cell r="A740" t="str">
            <v>40034_2</v>
          </cell>
        </row>
        <row r="741">
          <cell r="A741" t="str">
            <v>40035_1</v>
          </cell>
        </row>
        <row r="742">
          <cell r="A742" t="str">
            <v>40035_2</v>
          </cell>
        </row>
        <row r="743">
          <cell r="A743" t="str">
            <v>40036_1</v>
          </cell>
        </row>
        <row r="744">
          <cell r="A744" t="str">
            <v>40036_2</v>
          </cell>
        </row>
        <row r="745">
          <cell r="A745" t="str">
            <v>40037_1</v>
          </cell>
        </row>
        <row r="746">
          <cell r="A746" t="str">
            <v>40037_2</v>
          </cell>
        </row>
        <row r="747">
          <cell r="A747" t="str">
            <v>40038_1</v>
          </cell>
        </row>
        <row r="748">
          <cell r="A748" t="str">
            <v>40038_2</v>
          </cell>
        </row>
        <row r="749">
          <cell r="A749" t="str">
            <v>40039_1</v>
          </cell>
        </row>
        <row r="750">
          <cell r="A750" t="str">
            <v>40039_2</v>
          </cell>
        </row>
        <row r="751">
          <cell r="A751" t="str">
            <v>40040_1</v>
          </cell>
        </row>
        <row r="752">
          <cell r="A752" t="str">
            <v>40040_2</v>
          </cell>
        </row>
        <row r="753">
          <cell r="A753" t="str">
            <v>40041_1</v>
          </cell>
        </row>
        <row r="754">
          <cell r="A754" t="str">
            <v>40041_2</v>
          </cell>
        </row>
        <row r="755">
          <cell r="A755" t="str">
            <v>40042_1</v>
          </cell>
        </row>
        <row r="756">
          <cell r="A756" t="str">
            <v>40042_2</v>
          </cell>
        </row>
        <row r="757">
          <cell r="A757" t="str">
            <v>41001_1</v>
          </cell>
        </row>
        <row r="758">
          <cell r="A758" t="str">
            <v>41001_2</v>
          </cell>
        </row>
        <row r="759">
          <cell r="A759" t="str">
            <v>41001_3</v>
          </cell>
        </row>
        <row r="760">
          <cell r="A760" t="str">
            <v>41002_1</v>
          </cell>
        </row>
        <row r="761">
          <cell r="A761" t="str">
            <v>41002_2</v>
          </cell>
        </row>
        <row r="762">
          <cell r="A762" t="str">
            <v>41002_3</v>
          </cell>
        </row>
        <row r="763">
          <cell r="A763" t="str">
            <v>41003_1</v>
          </cell>
        </row>
        <row r="764">
          <cell r="A764" t="str">
            <v>41003_2</v>
          </cell>
        </row>
        <row r="765">
          <cell r="A765" t="str">
            <v>41003_3</v>
          </cell>
        </row>
        <row r="766">
          <cell r="A766" t="str">
            <v>41004_1</v>
          </cell>
        </row>
        <row r="767">
          <cell r="A767" t="str">
            <v>41004_2</v>
          </cell>
        </row>
        <row r="768">
          <cell r="A768" t="str">
            <v>41004_3</v>
          </cell>
        </row>
        <row r="769">
          <cell r="A769" t="str">
            <v>41005_1</v>
          </cell>
        </row>
        <row r="770">
          <cell r="A770" t="str">
            <v>41005_2</v>
          </cell>
        </row>
        <row r="771">
          <cell r="A771" t="str">
            <v>41005_3</v>
          </cell>
        </row>
        <row r="772">
          <cell r="A772" t="str">
            <v>41006_1</v>
          </cell>
        </row>
        <row r="773">
          <cell r="A773" t="str">
            <v>41006_2</v>
          </cell>
        </row>
        <row r="774">
          <cell r="A774" t="str">
            <v>41006_3</v>
          </cell>
        </row>
        <row r="775">
          <cell r="A775" t="str">
            <v>41007_1</v>
          </cell>
        </row>
        <row r="776">
          <cell r="A776" t="str">
            <v>41007_2</v>
          </cell>
        </row>
        <row r="777">
          <cell r="A777" t="str">
            <v>41007_3</v>
          </cell>
        </row>
        <row r="778">
          <cell r="A778" t="str">
            <v>41008_1</v>
          </cell>
        </row>
        <row r="779">
          <cell r="A779" t="str">
            <v>41008_2</v>
          </cell>
        </row>
        <row r="780">
          <cell r="A780" t="str">
            <v>41008_3</v>
          </cell>
        </row>
        <row r="781">
          <cell r="A781" t="str">
            <v>41009_1</v>
          </cell>
        </row>
        <row r="782">
          <cell r="A782" t="str">
            <v>41009_2</v>
          </cell>
        </row>
        <row r="783">
          <cell r="A783" t="str">
            <v>41009_3</v>
          </cell>
        </row>
        <row r="784">
          <cell r="A784" t="str">
            <v>41010_1</v>
          </cell>
        </row>
        <row r="785">
          <cell r="A785" t="str">
            <v>41010_2</v>
          </cell>
        </row>
        <row r="786">
          <cell r="A786" t="str">
            <v>41010_3</v>
          </cell>
        </row>
        <row r="787">
          <cell r="A787" t="str">
            <v>41011_1</v>
          </cell>
        </row>
        <row r="788">
          <cell r="A788" t="str">
            <v>41011_2</v>
          </cell>
        </row>
        <row r="789">
          <cell r="A789" t="str">
            <v>41012_1</v>
          </cell>
        </row>
        <row r="790">
          <cell r="A790" t="str">
            <v>41012_2</v>
          </cell>
        </row>
        <row r="791">
          <cell r="A791" t="str">
            <v>41013_1</v>
          </cell>
        </row>
        <row r="792">
          <cell r="A792" t="str">
            <v>41013_2</v>
          </cell>
        </row>
        <row r="793">
          <cell r="A793" t="str">
            <v>41014_1</v>
          </cell>
        </row>
        <row r="794">
          <cell r="A794" t="str">
            <v>41014_2</v>
          </cell>
        </row>
        <row r="795">
          <cell r="A795" t="str">
            <v>41015_1</v>
          </cell>
        </row>
        <row r="796">
          <cell r="A796" t="str">
            <v>41015_2</v>
          </cell>
        </row>
        <row r="797">
          <cell r="A797" t="str">
            <v>47001_1</v>
          </cell>
        </row>
        <row r="798">
          <cell r="A798" t="str">
            <v>47001_2</v>
          </cell>
        </row>
        <row r="799">
          <cell r="A799" t="str">
            <v>47002_1</v>
          </cell>
        </row>
        <row r="800">
          <cell r="A800" t="str">
            <v>47002_2</v>
          </cell>
        </row>
        <row r="801">
          <cell r="A801" t="str">
            <v>47003_1</v>
          </cell>
        </row>
        <row r="802">
          <cell r="A802" t="str">
            <v>47003_2</v>
          </cell>
        </row>
        <row r="803">
          <cell r="A803" t="str">
            <v>47003_3</v>
          </cell>
        </row>
        <row r="804">
          <cell r="A804" t="str">
            <v>47003_4</v>
          </cell>
        </row>
        <row r="805">
          <cell r="A805" t="str">
            <v>47004_1</v>
          </cell>
        </row>
        <row r="806">
          <cell r="A806" t="str">
            <v>47004_2</v>
          </cell>
        </row>
        <row r="807">
          <cell r="A807" t="str">
            <v>47004_3</v>
          </cell>
        </row>
        <row r="808">
          <cell r="A808" t="str">
            <v>47004_4</v>
          </cell>
        </row>
        <row r="809">
          <cell r="A809" t="str">
            <v>47005_1</v>
          </cell>
        </row>
        <row r="810">
          <cell r="A810" t="str">
            <v>47006_1</v>
          </cell>
        </row>
        <row r="811">
          <cell r="A811" t="str">
            <v>47006_2</v>
          </cell>
        </row>
        <row r="812">
          <cell r="A812" t="str">
            <v>48001_1</v>
          </cell>
        </row>
        <row r="813">
          <cell r="A813" t="str">
            <v>48002_1</v>
          </cell>
        </row>
        <row r="814">
          <cell r="A814" t="str">
            <v>48002_2</v>
          </cell>
        </row>
        <row r="815">
          <cell r="A815" t="str">
            <v>48002_3</v>
          </cell>
        </row>
        <row r="816">
          <cell r="A816" t="str">
            <v>48003_1</v>
          </cell>
        </row>
        <row r="817">
          <cell r="A817" t="str">
            <v>48003_2</v>
          </cell>
        </row>
        <row r="818">
          <cell r="A818" t="str">
            <v>48004_1</v>
          </cell>
        </row>
        <row r="819">
          <cell r="A819" t="str">
            <v>48004_2</v>
          </cell>
        </row>
        <row r="820">
          <cell r="A820" t="str">
            <v>48005_1</v>
          </cell>
        </row>
        <row r="821">
          <cell r="A821" t="str">
            <v>48005_2</v>
          </cell>
        </row>
        <row r="822">
          <cell r="A822" t="str">
            <v>48006_1</v>
          </cell>
        </row>
        <row r="823">
          <cell r="A823" t="str">
            <v>48006_2</v>
          </cell>
        </row>
        <row r="824">
          <cell r="A824" t="str">
            <v>48007_1</v>
          </cell>
        </row>
        <row r="825">
          <cell r="A825" t="str">
            <v>48007_2</v>
          </cell>
        </row>
        <row r="826">
          <cell r="A826" t="str">
            <v>48008_1</v>
          </cell>
        </row>
        <row r="827">
          <cell r="A827" t="str">
            <v>48008_2</v>
          </cell>
        </row>
        <row r="828">
          <cell r="A828" t="str">
            <v>48009_1</v>
          </cell>
        </row>
        <row r="829">
          <cell r="A829" t="str">
            <v>48009_2</v>
          </cell>
        </row>
        <row r="830">
          <cell r="A830" t="str">
            <v>48010_1</v>
          </cell>
        </row>
        <row r="831">
          <cell r="A831" t="str">
            <v>48501_1</v>
          </cell>
        </row>
        <row r="832">
          <cell r="A832" t="str">
            <v>48501_2</v>
          </cell>
        </row>
        <row r="833">
          <cell r="A833" t="str">
            <v>49001_1</v>
          </cell>
        </row>
        <row r="834">
          <cell r="A834" t="str">
            <v>49002_1</v>
          </cell>
        </row>
        <row r="835">
          <cell r="A835" t="str">
            <v>49002_2</v>
          </cell>
        </row>
        <row r="836">
          <cell r="A836" t="str">
            <v>49003_1</v>
          </cell>
        </row>
        <row r="837">
          <cell r="A837" t="str">
            <v>49003_2</v>
          </cell>
        </row>
        <row r="838">
          <cell r="A838" t="str">
            <v>49004_1</v>
          </cell>
        </row>
        <row r="839">
          <cell r="A839" t="str">
            <v>49004_2</v>
          </cell>
        </row>
        <row r="840">
          <cell r="A840" t="str">
            <v>49004_3</v>
          </cell>
        </row>
        <row r="841">
          <cell r="A841" t="str">
            <v>49005_1</v>
          </cell>
        </row>
        <row r="842">
          <cell r="A842" t="str">
            <v>49006_1</v>
          </cell>
        </row>
        <row r="843">
          <cell r="A843" t="str">
            <v>49006_2</v>
          </cell>
        </row>
        <row r="844">
          <cell r="A844" t="str">
            <v>49007_1</v>
          </cell>
        </row>
        <row r="845">
          <cell r="A845" t="str">
            <v>49007_2</v>
          </cell>
        </row>
        <row r="846">
          <cell r="A846" t="str">
            <v>49007_3</v>
          </cell>
        </row>
        <row r="847">
          <cell r="A847" t="str">
            <v>49008_1</v>
          </cell>
        </row>
        <row r="848">
          <cell r="A848" t="str">
            <v>49009_1</v>
          </cell>
        </row>
        <row r="849">
          <cell r="A849" t="str">
            <v>49010_1</v>
          </cell>
        </row>
        <row r="850">
          <cell r="A850" t="str">
            <v>49011_1</v>
          </cell>
        </row>
        <row r="851">
          <cell r="A851" t="str">
            <v>49012_1</v>
          </cell>
        </row>
        <row r="852">
          <cell r="A852" t="str">
            <v>49013_1</v>
          </cell>
        </row>
        <row r="853">
          <cell r="A853" t="str">
            <v>50001_1</v>
          </cell>
        </row>
        <row r="854">
          <cell r="A854" t="str">
            <v>50002_1</v>
          </cell>
        </row>
        <row r="855">
          <cell r="A855" t="str">
            <v>50003_1</v>
          </cell>
        </row>
        <row r="856">
          <cell r="A856" t="str">
            <v>50004_1</v>
          </cell>
        </row>
        <row r="857">
          <cell r="A857" t="str">
            <v>50005_1</v>
          </cell>
        </row>
        <row r="858">
          <cell r="A858" t="str">
            <v>50006_1</v>
          </cell>
        </row>
        <row r="859">
          <cell r="A859" t="str">
            <v>50007_1</v>
          </cell>
        </row>
        <row r="860">
          <cell r="A860" t="str">
            <v>50008_1</v>
          </cell>
        </row>
        <row r="861">
          <cell r="A861" t="str">
            <v>50009_1</v>
          </cell>
        </row>
        <row r="862">
          <cell r="A862" t="str">
            <v>50010_1</v>
          </cell>
        </row>
        <row r="863">
          <cell r="A863" t="str">
            <v>50011_1</v>
          </cell>
        </row>
        <row r="864">
          <cell r="A864" t="str">
            <v>50012_1</v>
          </cell>
        </row>
        <row r="865">
          <cell r="A865" t="str">
            <v>50013_1</v>
          </cell>
        </row>
        <row r="866">
          <cell r="A866" t="str">
            <v>51001_1</v>
          </cell>
        </row>
        <row r="867">
          <cell r="A867" t="str">
            <v>51002_1</v>
          </cell>
        </row>
        <row r="868">
          <cell r="A868" t="str">
            <v>59001_1</v>
          </cell>
        </row>
        <row r="869">
          <cell r="A869" t="str">
            <v>60001_1</v>
          </cell>
        </row>
        <row r="870">
          <cell r="A870" t="str">
            <v>60002_1</v>
          </cell>
        </row>
        <row r="871">
          <cell r="A871" t="str">
            <v>60002_2</v>
          </cell>
        </row>
        <row r="872">
          <cell r="A872" t="str">
            <v>60003_1</v>
          </cell>
        </row>
        <row r="873">
          <cell r="A873" t="str">
            <v>60003_2</v>
          </cell>
        </row>
        <row r="874">
          <cell r="A874" t="str">
            <v>60003_3</v>
          </cell>
        </row>
        <row r="875">
          <cell r="A875" t="str">
            <v>60004_1</v>
          </cell>
        </row>
        <row r="876">
          <cell r="A876" t="str">
            <v>60005_1</v>
          </cell>
        </row>
        <row r="877">
          <cell r="A877" t="str">
            <v>60006_1</v>
          </cell>
        </row>
        <row r="878">
          <cell r="A878" t="str">
            <v>60006_2</v>
          </cell>
        </row>
        <row r="879">
          <cell r="A879" t="str">
            <v>60006_3</v>
          </cell>
        </row>
        <row r="880">
          <cell r="A880" t="str">
            <v>60007_1</v>
          </cell>
        </row>
        <row r="881">
          <cell r="A881" t="str">
            <v>60007_2</v>
          </cell>
        </row>
        <row r="882">
          <cell r="A882" t="str">
            <v>60007_3</v>
          </cell>
        </row>
        <row r="883">
          <cell r="A883" t="str">
            <v>60010_1</v>
          </cell>
        </row>
        <row r="884">
          <cell r="A884" t="str">
            <v>60011_1</v>
          </cell>
        </row>
        <row r="885">
          <cell r="A885" t="str">
            <v>60011_2</v>
          </cell>
        </row>
        <row r="886">
          <cell r="A886" t="str">
            <v>60012_1</v>
          </cell>
        </row>
        <row r="887">
          <cell r="A887" t="str">
            <v>60013_1</v>
          </cell>
        </row>
        <row r="888">
          <cell r="A888" t="str">
            <v>60013_2</v>
          </cell>
        </row>
        <row r="889">
          <cell r="A889" t="str">
            <v>60013_3</v>
          </cell>
        </row>
        <row r="890">
          <cell r="A890" t="str">
            <v>60014_1</v>
          </cell>
        </row>
        <row r="891">
          <cell r="A891" t="str">
            <v>60015_1</v>
          </cell>
        </row>
        <row r="892">
          <cell r="A892" t="str">
            <v>60016_1</v>
          </cell>
        </row>
        <row r="893">
          <cell r="A893" t="str">
            <v>60017_1</v>
          </cell>
        </row>
        <row r="894">
          <cell r="A894" t="str">
            <v>60018_1</v>
          </cell>
        </row>
        <row r="895">
          <cell r="A895" t="str">
            <v>60019_1</v>
          </cell>
        </row>
        <row r="896">
          <cell r="A896" t="str">
            <v>60020_1</v>
          </cell>
        </row>
        <row r="897">
          <cell r="A897" t="str">
            <v>60021_3</v>
          </cell>
        </row>
        <row r="898">
          <cell r="A898" t="str">
            <v>60022_3</v>
          </cell>
        </row>
        <row r="899">
          <cell r="A899" t="str">
            <v>60023_3</v>
          </cell>
        </row>
        <row r="900">
          <cell r="A900" t="str">
            <v>60024_3</v>
          </cell>
        </row>
        <row r="901">
          <cell r="A901" t="str">
            <v>60025_1</v>
          </cell>
        </row>
        <row r="902">
          <cell r="A902" t="str">
            <v>60026_1</v>
          </cell>
        </row>
        <row r="903">
          <cell r="A903" t="str">
            <v>61011_1</v>
          </cell>
        </row>
        <row r="904">
          <cell r="A904" t="str">
            <v>60027_1</v>
          </cell>
        </row>
        <row r="905">
          <cell r="A905" t="str">
            <v>65525_1</v>
          </cell>
        </row>
        <row r="906">
          <cell r="A906" t="str">
            <v>65526_1</v>
          </cell>
        </row>
        <row r="907">
          <cell r="A907" t="str">
            <v>65526_2</v>
          </cell>
        </row>
        <row r="908">
          <cell r="A908" t="str">
            <v>65527_1</v>
          </cell>
        </row>
        <row r="909">
          <cell r="A909" t="str">
            <v>65528_1</v>
          </cell>
        </row>
        <row r="910">
          <cell r="A910" t="str">
            <v>65529_1</v>
          </cell>
        </row>
        <row r="911">
          <cell r="A911" t="str">
            <v>65530_1</v>
          </cell>
        </row>
        <row r="912">
          <cell r="A912" t="str">
            <v>65531_1</v>
          </cell>
        </row>
        <row r="913">
          <cell r="A913" t="str">
            <v>65531_2</v>
          </cell>
        </row>
        <row r="914">
          <cell r="A914" t="str">
            <v>65532_1</v>
          </cell>
        </row>
        <row r="915">
          <cell r="A915" t="str">
            <v>65532_2</v>
          </cell>
        </row>
        <row r="916">
          <cell r="A916" t="str">
            <v>65533_1</v>
          </cell>
        </row>
        <row r="917">
          <cell r="A917" t="str">
            <v>65533_2</v>
          </cell>
        </row>
        <row r="918">
          <cell r="A918" t="str">
            <v>65534_1</v>
          </cell>
        </row>
        <row r="919">
          <cell r="A919" t="str">
            <v>65535_1</v>
          </cell>
        </row>
        <row r="920">
          <cell r="A920" t="str">
            <v>65535_2</v>
          </cell>
        </row>
        <row r="921">
          <cell r="A921" t="str">
            <v>65535_3</v>
          </cell>
        </row>
        <row r="922">
          <cell r="A922" t="str">
            <v>65535_4</v>
          </cell>
        </row>
        <row r="923">
          <cell r="A923" t="str">
            <v>65535_5</v>
          </cell>
        </row>
        <row r="924">
          <cell r="A924" t="str">
            <v>65535_6</v>
          </cell>
        </row>
        <row r="925">
          <cell r="A925" t="str">
            <v>65535_7</v>
          </cell>
        </row>
        <row r="926">
          <cell r="A926" t="str">
            <v>65535_8</v>
          </cell>
        </row>
        <row r="927">
          <cell r="A927" t="str">
            <v>65535_9</v>
          </cell>
        </row>
        <row r="928">
          <cell r="A92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28" sqref="D2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253</v>
      </c>
      <c r="B2" s="57" t="s">
        <v>105</v>
      </c>
      <c r="C2" s="62">
        <v>48006</v>
      </c>
      <c r="D2" s="57" t="s">
        <v>106</v>
      </c>
      <c r="E2" s="56" t="str">
        <f>B2&amp;C2&amp;D2</f>
        <v>floors_48006.tmp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253</v>
      </c>
      <c r="B3" s="57" t="s">
        <v>108</v>
      </c>
      <c r="C3" s="62">
        <f>C$2</f>
        <v>48006</v>
      </c>
      <c r="D3" s="57" t="s">
        <v>106</v>
      </c>
      <c r="E3" s="56" t="str">
        <f>B3&amp;C3&amp;D3</f>
        <v>enemy_habitats_48006.tmp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61" t="s">
        <v>253</v>
      </c>
      <c r="B4" s="57" t="s">
        <v>110</v>
      </c>
      <c r="C4" s="62">
        <f t="shared" ref="C4:C13" si="0">C$2</f>
        <v>48006</v>
      </c>
      <c r="D4" s="57" t="s">
        <v>106</v>
      </c>
      <c r="E4" s="56" t="str">
        <f>B4&amp;C4&amp;D4</f>
        <v>enemy_habitat_S_48006.tmp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253</v>
      </c>
      <c r="B5" s="57" t="s">
        <v>112</v>
      </c>
      <c r="C5" s="62">
        <f t="shared" si="0"/>
        <v>48006</v>
      </c>
      <c r="D5" s="57" t="s">
        <v>106</v>
      </c>
      <c r="E5" s="56" t="str">
        <f>B5&amp;C5&amp;D5</f>
        <v>enemy_skill_sets_48006.tmp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253</v>
      </c>
      <c r="B6" s="57" t="s">
        <v>114</v>
      </c>
      <c r="C6" s="62">
        <f t="shared" si="0"/>
        <v>48006</v>
      </c>
      <c r="D6" s="57" t="s">
        <v>115</v>
      </c>
      <c r="E6" s="56" t="str">
        <f t="shared" ref="E6:E10" si="1">B6&amp;C6&amp;D6</f>
        <v>enemy_skills_tmp_48006.tmp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253</v>
      </c>
      <c r="B7" s="57" t="s">
        <v>116</v>
      </c>
      <c r="C7" s="62">
        <f t="shared" si="0"/>
        <v>48006</v>
      </c>
      <c r="D7" s="57" t="s">
        <v>106</v>
      </c>
      <c r="E7" s="56" t="str">
        <f>B7&amp;C7&amp;D7</f>
        <v>enemy_skills_i18n_48006.tmp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253</v>
      </c>
      <c r="B8" s="57" t="s">
        <v>118</v>
      </c>
      <c r="C8" s="62">
        <f t="shared" si="0"/>
        <v>48006</v>
      </c>
      <c r="D8" s="57" t="s">
        <v>119</v>
      </c>
      <c r="E8" s="56" t="str">
        <f t="shared" si="1"/>
        <v>enemy_skill_triggers_48006.tmp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253</v>
      </c>
      <c r="B9" s="67" t="s">
        <v>176</v>
      </c>
      <c r="C9" s="62">
        <f t="shared" si="0"/>
        <v>48006</v>
      </c>
      <c r="D9" s="67" t="s">
        <v>170</v>
      </c>
      <c r="E9" s="68" t="str">
        <f t="shared" si="1"/>
        <v>stage_bug_bonuses_48006.tmp</v>
      </c>
      <c r="F9" s="67" t="s">
        <v>171</v>
      </c>
      <c r="G9" s="64" t="s">
        <v>149</v>
      </c>
      <c r="H9" s="64" t="s">
        <v>172</v>
      </c>
      <c r="I9" s="64" t="s">
        <v>173</v>
      </c>
      <c r="J9" s="66" t="s">
        <v>174</v>
      </c>
      <c r="K9" s="64" t="s">
        <v>175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253</v>
      </c>
      <c r="B10" s="67" t="s">
        <v>200</v>
      </c>
      <c r="C10" s="62">
        <f>C$2</f>
        <v>48006</v>
      </c>
      <c r="D10" s="67" t="s">
        <v>179</v>
      </c>
      <c r="E10" s="68" t="str">
        <f t="shared" si="1"/>
        <v>stage_hints_data_c_48006.tmp</v>
      </c>
      <c r="F10" s="67" t="s">
        <v>208</v>
      </c>
      <c r="G10" s="73" t="s">
        <v>180</v>
      </c>
      <c r="H10" s="73" t="s">
        <v>172</v>
      </c>
      <c r="I10" s="74" t="s">
        <v>181</v>
      </c>
      <c r="J10" s="66" t="s">
        <v>182</v>
      </c>
      <c r="K10" s="66" t="s">
        <v>183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253</v>
      </c>
      <c r="B11" s="67" t="s">
        <v>201</v>
      </c>
      <c r="C11" s="62">
        <f t="shared" si="0"/>
        <v>48006</v>
      </c>
      <c r="D11" s="67" t="s">
        <v>170</v>
      </c>
      <c r="E11" s="68" t="str">
        <f t="shared" ref="E11:E13" si="2">B11&amp;C11&amp;D11</f>
        <v>stage_hints_data_f_48006.tmp</v>
      </c>
      <c r="F11" s="67" t="s">
        <v>209</v>
      </c>
      <c r="G11" s="73" t="s">
        <v>180</v>
      </c>
      <c r="H11" s="73" t="s">
        <v>172</v>
      </c>
      <c r="I11" s="74" t="s">
        <v>181</v>
      </c>
      <c r="J11" s="66" t="s">
        <v>182</v>
      </c>
      <c r="K11" s="66" t="s">
        <v>183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253</v>
      </c>
      <c r="B12" s="67" t="s">
        <v>202</v>
      </c>
      <c r="C12" s="62">
        <f t="shared" si="0"/>
        <v>48006</v>
      </c>
      <c r="D12" s="67" t="s">
        <v>170</v>
      </c>
      <c r="E12" s="68" t="str">
        <f t="shared" si="2"/>
        <v>stage_hints_i18n_48006.tmp</v>
      </c>
      <c r="F12" s="67" t="s">
        <v>210</v>
      </c>
      <c r="G12" s="74" t="s">
        <v>203</v>
      </c>
      <c r="H12" s="93" t="s">
        <v>204</v>
      </c>
      <c r="I12" s="73" t="s">
        <v>205</v>
      </c>
      <c r="J12" s="101" t="s">
        <v>206</v>
      </c>
      <c r="K12" s="66" t="s">
        <v>207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253</v>
      </c>
      <c r="B13" s="67" t="s">
        <v>250</v>
      </c>
      <c r="C13" s="62">
        <f t="shared" si="0"/>
        <v>48006</v>
      </c>
      <c r="D13" s="67" t="s">
        <v>231</v>
      </c>
      <c r="E13" s="68" t="str">
        <f t="shared" si="2"/>
        <v>stage_bonuses_48006.tmp</v>
      </c>
      <c r="F13" s="67" t="s">
        <v>230</v>
      </c>
      <c r="G13" s="73" t="s">
        <v>232</v>
      </c>
      <c r="H13" s="73" t="s">
        <v>233</v>
      </c>
      <c r="I13" s="73" t="s">
        <v>234</v>
      </c>
      <c r="J13" s="73" t="s">
        <v>235</v>
      </c>
      <c r="K13" s="73" t="s">
        <v>236</v>
      </c>
      <c r="L13" s="73" t="s">
        <v>237</v>
      </c>
      <c r="M13" s="73" t="s">
        <v>238</v>
      </c>
      <c r="N13" s="73" t="s">
        <v>239</v>
      </c>
      <c r="O13" s="73" t="s">
        <v>240</v>
      </c>
      <c r="P13" s="73" t="s">
        <v>241</v>
      </c>
      <c r="Q13" s="73" t="s">
        <v>242</v>
      </c>
      <c r="R13" s="73" t="s">
        <v>243</v>
      </c>
      <c r="S13" s="73" t="s">
        <v>244</v>
      </c>
      <c r="T13" s="73" t="s">
        <v>245</v>
      </c>
      <c r="U13" s="73" t="s">
        <v>246</v>
      </c>
      <c r="V13" s="73" t="s">
        <v>247</v>
      </c>
      <c r="W13" s="73" t="s">
        <v>248</v>
      </c>
      <c r="X13" s="73" t="s">
        <v>249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A8" sqref="A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48006_1-1</v>
      </c>
      <c r="B2" s="16" t="str">
        <f>IF(COUNTIF(enemy_habitats!$H:$H,A2),"OK","NG")</f>
        <v>OK</v>
      </c>
      <c r="C2" s="7">
        <v>48006</v>
      </c>
      <c r="D2" s="11" t="str">
        <f ca="1">VLOOKUP($C2,OFFSET([2]quests!$A$1,0,0,COUNTA([2]quests!$A:$A),MATCH(D$1,[2]quests!$1:$1,0)-MATCH($C$1,[2]quests!$1:$1,0)+1),MATCH(D$1,[2]quests!$1:$1,0)-MATCH($C$1,[2]quests!$1:$1,0)+1,FALSE)</f>
        <v>牛頭馬面襲来！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台湾版降臨7</v>
      </c>
      <c r="F2" s="21">
        <v>1</v>
      </c>
      <c r="G2" s="23" t="str">
        <f>C2&amp;"_"&amp;F2</f>
        <v>48006_1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【超絶級】牛頭馬面襲来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48006_1-2</v>
      </c>
      <c r="B3" s="16" t="str">
        <f>IF(COUNTIF(enemy_habitats!$H:$H,A3),"OK","NG")</f>
        <v>OK</v>
      </c>
      <c r="C3" s="7">
        <v>48006</v>
      </c>
      <c r="D3" s="11" t="str">
        <f ca="1">VLOOKUP($C3,OFFSET([2]quests!$A$1,0,0,COUNTA([2]quests!$A:$A),MATCH(D$1,[2]quests!$1:$1,0)-MATCH($C$1,[2]quests!$1:$1,0)+1),MATCH(D$1,[2]quests!$1:$1,0)-MATCH($C$1,[2]quests!$1:$1,0)+1,FALSE)</f>
        <v>牛頭馬面襲来！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台湾版降臨7</v>
      </c>
      <c r="F3" s="21">
        <v>1</v>
      </c>
      <c r="G3" s="23" t="str">
        <f t="shared" ref="G3:G5" si="1">C3&amp;"_"&amp;F3</f>
        <v>48006_1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【超絶級】牛頭馬面襲来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48006_1-3</v>
      </c>
      <c r="B4" s="16" t="str">
        <f>IF(COUNTIF(enemy_habitats!$H:$H,A4),"OK","NG")</f>
        <v>OK</v>
      </c>
      <c r="C4" s="7">
        <v>48006</v>
      </c>
      <c r="D4" s="11" t="str">
        <f ca="1">VLOOKUP($C4,OFFSET([2]quests!$A$1,0,0,COUNTA([2]quests!$A:$A),MATCH(D$1,[2]quests!$1:$1,0)-MATCH($C$1,[2]quests!$1:$1,0)+1),MATCH(D$1,[2]quests!$1:$1,0)-MATCH($C$1,[2]quests!$1:$1,0)+1,FALSE)</f>
        <v>牛頭馬面襲来！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台湾版降臨7</v>
      </c>
      <c r="F4" s="21">
        <v>1</v>
      </c>
      <c r="G4" s="23" t="str">
        <f t="shared" si="1"/>
        <v>48006_1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【超絶級】牛頭馬面襲来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48006_1-4</v>
      </c>
      <c r="B5" s="16" t="str">
        <f>IF(COUNTIF(enemy_habitats!$H:$H,A5),"OK","NG")</f>
        <v>OK</v>
      </c>
      <c r="C5" s="7">
        <v>48006</v>
      </c>
      <c r="D5" s="11" t="str">
        <f ca="1">VLOOKUP($C5,OFFSET([2]quests!$A$1,0,0,COUNTA([2]quests!$A:$A),MATCH(D$1,[2]quests!$1:$1,0)-MATCH($C$1,[2]quests!$1:$1,0)+1),MATCH(D$1,[2]quests!$1:$1,0)-MATCH($C$1,[2]quests!$1:$1,0)+1,FALSE)</f>
        <v>牛頭馬面襲来！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台湾版降臨7</v>
      </c>
      <c r="F5" s="21">
        <v>1</v>
      </c>
      <c r="G5" s="23" t="str">
        <f t="shared" si="1"/>
        <v>48006_1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【超絶級】牛頭馬面襲来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ref="A6:A9" si="2">G6&amp;"-"&amp;I6</f>
        <v>48006_2-1</v>
      </c>
      <c r="B6" s="16" t="str">
        <f>IF(COUNTIF(enemy_habitats!$H:$H,A6),"OK","NG")</f>
        <v>OK</v>
      </c>
      <c r="C6" s="7">
        <v>48006</v>
      </c>
      <c r="D6" s="11" t="str">
        <f ca="1">VLOOKUP($C6,OFFSET([2]quests!$A$1,0,0,COUNTA([2]quests!$A:$A),MATCH(D$1,[2]quests!$1:$1,0)-MATCH($C$1,[2]quests!$1:$1,0)+1),MATCH(D$1,[2]quests!$1:$1,0)-MATCH($C$1,[2]quests!$1:$1,0)+1,FALSE)</f>
        <v>牛頭馬面襲来！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台湾版降臨7</v>
      </c>
      <c r="F6" s="21">
        <v>2</v>
      </c>
      <c r="G6" s="23" t="str">
        <f t="shared" ref="G6:G9" si="3">C6&amp;"_"&amp;F6</f>
        <v>48006_2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【ウィザード級】牛頭馬面襲来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2"/>
        <v>48006_2-2</v>
      </c>
      <c r="B7" s="16" t="str">
        <f>IF(COUNTIF(enemy_habitats!$H:$H,A7),"OK","NG")</f>
        <v>OK</v>
      </c>
      <c r="C7" s="7">
        <v>48006</v>
      </c>
      <c r="D7" s="11" t="str">
        <f ca="1">VLOOKUP($C7,OFFSET([2]quests!$A$1,0,0,COUNTA([2]quests!$A:$A),MATCH(D$1,[2]quests!$1:$1,0)-MATCH($C$1,[2]quests!$1:$1,0)+1),MATCH(D$1,[2]quests!$1:$1,0)-MATCH($C$1,[2]quests!$1:$1,0)+1,FALSE)</f>
        <v>牛頭馬面襲来！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台湾版降臨7</v>
      </c>
      <c r="F7" s="21">
        <v>2</v>
      </c>
      <c r="G7" s="23" t="str">
        <f t="shared" si="3"/>
        <v>48006_2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【ウィザード級】牛頭馬面襲来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48006_2-3</v>
      </c>
      <c r="B8" s="16" t="str">
        <f>IF(COUNTIF(enemy_habitats!$H:$H,A8),"OK","NG")</f>
        <v>OK</v>
      </c>
      <c r="C8" s="7">
        <v>48006</v>
      </c>
      <c r="D8" s="11" t="str">
        <f ca="1">VLOOKUP($C8,OFFSET([2]quests!$A$1,0,0,COUNTA([2]quests!$A:$A),MATCH(D$1,[2]quests!$1:$1,0)-MATCH($C$1,[2]quests!$1:$1,0)+1),MATCH(D$1,[2]quests!$1:$1,0)-MATCH($C$1,[2]quests!$1:$1,0)+1,FALSE)</f>
        <v>牛頭馬面襲来！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台湾版降臨7</v>
      </c>
      <c r="F8" s="21">
        <v>2</v>
      </c>
      <c r="G8" s="23" t="str">
        <f t="shared" si="3"/>
        <v>48006_2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【ウィザード級】牛頭馬面襲来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48006_2-4</v>
      </c>
      <c r="B9" s="16" t="str">
        <f>IF(COUNTIF(enemy_habitats!$H:$H,A9),"OK","NG")</f>
        <v>OK</v>
      </c>
      <c r="C9" s="7">
        <v>48006</v>
      </c>
      <c r="D9" s="11" t="str">
        <f ca="1">VLOOKUP($C9,OFFSET([2]quests!$A$1,0,0,COUNTA([2]quests!$A:$A),MATCH(D$1,[2]quests!$1:$1,0)-MATCH($C$1,[2]quests!$1:$1,0)+1),MATCH(D$1,[2]quests!$1:$1,0)-MATCH($C$1,[2]quests!$1:$1,0)+1,FALSE)</f>
        <v>牛頭馬面襲来！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台湾版降臨7</v>
      </c>
      <c r="F9" s="21">
        <v>2</v>
      </c>
      <c r="G9" s="23" t="str">
        <f t="shared" si="3"/>
        <v>48006_2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【ウィザード級】牛頭馬面襲来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3"/>
  <sheetViews>
    <sheetView showGridLines="0" zoomScale="94" zoomScaleNormal="94" zoomScalePageLayoutView="94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6" sqref="S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251</v>
      </c>
      <c r="U1" s="26" t="s">
        <v>50</v>
      </c>
      <c r="V1" s="102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48006_1-1/381&lt;lv65&gt;s1</v>
      </c>
      <c r="B2" s="22">
        <v>48006</v>
      </c>
      <c r="C2" s="21">
        <v>1</v>
      </c>
      <c r="D2" s="2" t="str">
        <f>B2&amp;"_"&amp;C2</f>
        <v>48006_1</v>
      </c>
      <c r="E2" s="4" t="str">
        <f ca="1">VLOOKUP($B2,OFFSET([2]quests!$A$1,0,0,COUNTA([2]quests!$A:$A),MATCH(E$1,[2]quests!$1:$1,0)-MATCH($B$1,[2]quests!$1:$1,0)+1),MATCH(E$1,[2]quests!$1:$1,0)-MATCH($B$1,[2]quests!$1:$1,0)+1,FALSE)</f>
        <v>牛頭馬面襲来！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【超絶級】牛頭馬面襲来</v>
      </c>
      <c r="G2" s="21">
        <v>1</v>
      </c>
      <c r="H2" s="15" t="str">
        <f>B2&amp;"_"&amp;C2&amp;"-"&amp;G2</f>
        <v>48006_1-1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381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肉食の恋火 バハムート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65</v>
      </c>
      <c r="S2" s="25">
        <v>0.8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71580.800000000003</v>
      </c>
      <c r="U2" s="25">
        <v>0.3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2042.6999999999998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3ターン種族ヒューマンのユニットにスキルバインド</v>
      </c>
      <c r="Y2" s="47">
        <v>48006100</v>
      </c>
      <c r="Z2" s="6">
        <v>1</v>
      </c>
      <c r="AA2" s="6">
        <v>100</v>
      </c>
      <c r="AB2" s="6">
        <v>1</v>
      </c>
      <c r="AC2" s="17">
        <v>1</v>
      </c>
      <c r="AD2" s="24">
        <f>L2</f>
        <v>381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肉食の恋火 バハムート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>B3&amp;"_"&amp;C3&amp;"-"&amp;G3&amp;"/"&amp;L3&amp;"&lt;lv"&amp;R3&amp;"&gt;s"&amp;AC3</f>
        <v>48006_1-1/401&lt;lv65&gt;s2</v>
      </c>
      <c r="B3" s="22">
        <v>48006</v>
      </c>
      <c r="C3" s="21">
        <v>1</v>
      </c>
      <c r="D3" s="2" t="str">
        <f>B3&amp;"_"&amp;C3</f>
        <v>48006_1</v>
      </c>
      <c r="E3" s="4" t="str">
        <f ca="1">VLOOKUP($B3,OFFSET([2]quests!$A$1,0,0,COUNTA([2]quests!$A:$A),MATCH(E$1,[2]quests!$1:$1,0)-MATCH($B$1,[2]quests!$1:$1,0)+1),MATCH(E$1,[2]quests!$1:$1,0)-MATCH($B$1,[2]quests!$1:$1,0)+1,FALSE)</f>
        <v>牛頭馬面襲来！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【超絶級】牛頭馬面襲来</v>
      </c>
      <c r="G3" s="21">
        <v>1</v>
      </c>
      <c r="H3" s="15" t="str">
        <f>B3&amp;"_"&amp;C3&amp;"-"&amp;G3</f>
        <v>48006_1-1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401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紅銀の孤狼 フェンリル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65</v>
      </c>
      <c r="S3" s="25">
        <v>0.9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77805</v>
      </c>
      <c r="U3" s="25">
        <v>0.3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3018.6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全体攻撃</v>
      </c>
      <c r="Y3" s="47">
        <v>48006102</v>
      </c>
      <c r="Z3" s="6">
        <v>1</v>
      </c>
      <c r="AA3" s="6">
        <v>100</v>
      </c>
      <c r="AB3" s="6">
        <v>2</v>
      </c>
      <c r="AC3" s="17">
        <v>2</v>
      </c>
      <c r="AD3" s="24">
        <f>L3</f>
        <v>401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紅銀の孤狼 フェンリル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ca="1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ref="A4:A7" si="0">B4&amp;"_"&amp;C4&amp;"-"&amp;G4&amp;"/"&amp;L4&amp;"&lt;lv"&amp;R4&amp;"&gt;s"&amp;AC4</f>
        <v>48006_1-2/305&lt;lv80&gt;s2</v>
      </c>
      <c r="B4" s="22">
        <v>48006</v>
      </c>
      <c r="C4" s="21">
        <v>1</v>
      </c>
      <c r="D4" s="2" t="str">
        <f t="shared" ref="D4:D7" si="1">B4&amp;"_"&amp;C4</f>
        <v>48006_1</v>
      </c>
      <c r="E4" s="4" t="str">
        <f ca="1">VLOOKUP($B4,OFFSET([2]quests!$A$1,0,0,COUNTA([2]quests!$A:$A),MATCH(E$1,[2]quests!$1:$1,0)-MATCH($B$1,[2]quests!$1:$1,0)+1),MATCH(E$1,[2]quests!$1:$1,0)-MATCH($B$1,[2]quests!$1:$1,0)+1,FALSE)</f>
        <v>牛頭馬面襲来！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【超絶級】牛頭馬面襲来</v>
      </c>
      <c r="G4" s="21">
        <v>2</v>
      </c>
      <c r="H4" s="15" t="str">
        <f t="shared" ref="H4:H7" si="2">B4&amp;"_"&amp;C4&amp;"-"&amp;G4</f>
        <v>48006_1-2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305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螺旋の雷電 チエミ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5">
        <v>2.2999999999999998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224482.3</v>
      </c>
      <c r="U4" s="25">
        <v>0.3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3297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種族アニマルのユニットに大ダメージ</v>
      </c>
      <c r="Y4" s="47">
        <v>48006108</v>
      </c>
      <c r="Z4" s="6">
        <v>1</v>
      </c>
      <c r="AA4" s="6">
        <v>100</v>
      </c>
      <c r="AB4" s="6">
        <v>0</v>
      </c>
      <c r="AC4" s="17">
        <v>2</v>
      </c>
      <c r="AD4" s="24">
        <f t="shared" ref="AD4:AD7" si="3">L4</f>
        <v>305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螺旋の雷電 チエミ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Drop2W</v>
      </c>
      <c r="AH4" s="7">
        <v>1</v>
      </c>
      <c r="AI4" s="24">
        <f t="shared" ref="AI4:AI7" ca="1" si="4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48006_1-2/393&lt;lv89&gt;s1</v>
      </c>
      <c r="B5" s="22">
        <v>48006</v>
      </c>
      <c r="C5" s="21">
        <v>1</v>
      </c>
      <c r="D5" s="2" t="str">
        <f t="shared" si="1"/>
        <v>48006_1</v>
      </c>
      <c r="E5" s="4" t="str">
        <f ca="1">VLOOKUP($B5,OFFSET([2]quests!$A$1,0,0,COUNTA([2]quests!$A:$A),MATCH(E$1,[2]quests!$1:$1,0)-MATCH($B$1,[2]quests!$1:$1,0)+1),MATCH(E$1,[2]quests!$1:$1,0)-MATCH($B$1,[2]quests!$1:$1,0)+1,FALSE)</f>
        <v>牛頭馬面襲来！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【超絶級】牛頭馬面襲来</v>
      </c>
      <c r="G5" s="21">
        <v>2</v>
      </c>
      <c r="H5" s="15" t="str">
        <f t="shared" si="2"/>
        <v>48006_1-2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393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影縫い ピーターパン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89</v>
      </c>
      <c r="S5" s="25">
        <v>3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338409</v>
      </c>
      <c r="U5" s="25">
        <v>0.3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3552.2999999999997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 xml:space="preserve">3ターンウィルス </v>
      </c>
      <c r="Y5" s="47">
        <v>48006103</v>
      </c>
      <c r="Z5" s="6">
        <v>1</v>
      </c>
      <c r="AA5" s="6">
        <v>100</v>
      </c>
      <c r="AB5" s="6">
        <v>1</v>
      </c>
      <c r="AC5" s="17">
        <v>1</v>
      </c>
      <c r="AD5" s="24">
        <f t="shared" si="3"/>
        <v>393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影縫い ピーターパン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48006_1-3/1056&lt;lv41&gt;s1</v>
      </c>
      <c r="B6" s="22">
        <v>48006</v>
      </c>
      <c r="C6" s="21">
        <v>1</v>
      </c>
      <c r="D6" s="2" t="str">
        <f t="shared" si="1"/>
        <v>48006_1</v>
      </c>
      <c r="E6" s="4" t="str">
        <f ca="1">VLOOKUP($B6,OFFSET([2]quests!$A$1,0,0,COUNTA([2]quests!$A:$A),MATCH(E$1,[2]quests!$1:$1,0)-MATCH($B$1,[2]quests!$1:$1,0)+1),MATCH(E$1,[2]quests!$1:$1,0)-MATCH($B$1,[2]quests!$1:$1,0)+1,FALSE)</f>
        <v>牛頭馬面襲来！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【超絶級】牛頭馬面襲来</v>
      </c>
      <c r="G6" s="21">
        <v>3</v>
      </c>
      <c r="H6" s="15" t="str">
        <f t="shared" si="2"/>
        <v>48006_1-3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20">
        <v>1056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神解の預欺皇 オセ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demon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41</v>
      </c>
      <c r="S6" s="25">
        <v>6.5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479017.5</v>
      </c>
      <c r="U6" s="25">
        <v>0.6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3629.4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6" s="47">
        <v>48006128</v>
      </c>
      <c r="Z6" s="6">
        <v>1</v>
      </c>
      <c r="AA6" s="6">
        <v>100</v>
      </c>
      <c r="AB6" s="6">
        <v>1</v>
      </c>
      <c r="AC6" s="17">
        <v>1</v>
      </c>
      <c r="AD6" s="24">
        <f t="shared" si="3"/>
        <v>1056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神解の預欺皇 オセ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6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6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s="135" customFormat="1" ht="21" customHeight="1" thickBot="1" x14ac:dyDescent="0.2">
      <c r="A7" s="119" t="str">
        <f t="shared" si="0"/>
        <v>48006_1-4/8033&lt;lv65&gt;s2</v>
      </c>
      <c r="B7" s="120">
        <v>48006</v>
      </c>
      <c r="C7" s="121">
        <v>1</v>
      </c>
      <c r="D7" s="122" t="str">
        <f t="shared" si="1"/>
        <v>48006_1</v>
      </c>
      <c r="E7" s="123" t="str">
        <f ca="1">VLOOKUP($B7,OFFSET([2]quests!$A$1,0,0,COUNTA([2]quests!$A:$A),MATCH(E$1,[2]quests!$1:$1,0)-MATCH($B$1,[2]quests!$1:$1,0)+1),MATCH(E$1,[2]quests!$1:$1,0)-MATCH($B$1,[2]quests!$1:$1,0)+1,FALSE)</f>
        <v>牛頭馬面襲来！</v>
      </c>
      <c r="F7" s="123" t="str">
        <f ca="1">VLOOKUP($D7,OFFSET([2]stages!$A$1,0,0,COUNTA([2]stages!$A:$A),MATCH(F$1,[2]stages!$2:$2,0)-MATCH($D$1,[2]stages!$2:$2,0)+1),MATCH(F$1,[2]stages!$2:$2,0)-MATCH($D$1,[2]stages!$2:$2,0)+1,FALSE)</f>
        <v>【超絶級】牛頭馬面襲来</v>
      </c>
      <c r="G7" s="121">
        <v>4</v>
      </c>
      <c r="H7" s="122" t="str">
        <f t="shared" si="2"/>
        <v>48006_1-4</v>
      </c>
      <c r="I7" s="123">
        <f ca="1">VLOOKUP($H7,OFFSET(floors!$A$1,0,0,COUNTA(floors!$A:$A),MATCH(I$1,floors!$1:$1,0)-MATCH($H$1,floors!$1:$1,0)+1),MATCH(I$1,floors!$1:$1,0)-MATCH($H$1,floors!$1:$1,0)+1,FALSE)</f>
        <v>60</v>
      </c>
      <c r="J7" s="123">
        <f ca="1">VLOOKUP($H7,OFFSET(floors!$A$1,0,0,COUNTA(floors!$A:$A),MATCH(J$1,floors!$1:$1,0)-MATCH($H$1,floors!$1:$1,0)+1),MATCH(J$1,floors!$1:$1,0)-MATCH($H$1,floors!$1:$1,0)+1,FALSE)</f>
        <v>60</v>
      </c>
      <c r="K7" s="124">
        <v>4</v>
      </c>
      <c r="L7" s="125">
        <v>8033</v>
      </c>
      <c r="M7" s="126" t="str">
        <f ca="1">VLOOKUP($L7,OFFSET([3]enemies!$A$1,0,0,COUNTA([3]enemies!$A:$A),MATCH(M$1,[3]enemies!$1:$1,0)-MATCH($L$1,[3]enemies!$1:$1,0)+1),MATCH(M$1,[3]enemies!$1:$1,0)-MATCH($L$1,[3]enemies!$1:$1,0)+1,FALSE)</f>
        <v>牛頭馬面</v>
      </c>
      <c r="N7" s="126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26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26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26">
        <f ca="1">VLOOKUP($L7,OFFSET([3]enemies!$A$1,0,0,COUNTA([3]enemies!$A:$A),MATCH(Q$1,[3]enemies!$1:$1,0)-MATCH($L$1,[3]enemies!$1:$1,0)+1),MATCH(Q$1,[3]enemies!$1:$1,0)-MATCH($L$1,[3]enemies!$1:$1,0)+1,FALSE)</f>
        <v>60</v>
      </c>
      <c r="R7" s="127">
        <v>65</v>
      </c>
      <c r="S7" s="128">
        <v>4.2</v>
      </c>
      <c r="T7" s="12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128">
        <v>0.6</v>
      </c>
      <c r="V7" s="12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127">
        <v>0</v>
      </c>
      <c r="X7" s="123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状態異常耐性+解除するまでウィルス</v>
      </c>
      <c r="Y7" s="130">
        <v>48006122</v>
      </c>
      <c r="Z7" s="131">
        <v>1</v>
      </c>
      <c r="AA7" s="131">
        <v>100</v>
      </c>
      <c r="AB7" s="131">
        <v>1</v>
      </c>
      <c r="AC7" s="126">
        <v>2</v>
      </c>
      <c r="AD7" s="132">
        <f t="shared" si="3"/>
        <v>8033</v>
      </c>
      <c r="AE7" s="123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牛頭馬面</v>
      </c>
      <c r="AF7" s="123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23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33">
        <v>1</v>
      </c>
      <c r="AI7" s="132">
        <f t="shared" ca="1" si="4"/>
        <v>5</v>
      </c>
      <c r="AJ7" s="168">
        <v>15</v>
      </c>
      <c r="AK7" s="133">
        <v>0</v>
      </c>
      <c r="AL7" s="133">
        <v>0</v>
      </c>
      <c r="AM7" s="133">
        <v>0</v>
      </c>
      <c r="AN7" s="133">
        <v>0</v>
      </c>
      <c r="AO7" s="133">
        <v>1</v>
      </c>
      <c r="AP7" s="134">
        <v>1</v>
      </c>
    </row>
    <row r="8" spans="1:42" ht="21" customHeight="1" thickTop="1" x14ac:dyDescent="0.15">
      <c r="A8" s="16" t="str">
        <f>B8&amp;"_"&amp;C8&amp;"-"&amp;G8&amp;"/"&amp;L8&amp;"&lt;lv"&amp;R8&amp;"&gt;s"&amp;AC8</f>
        <v>48006_2-1/381&lt;lv97&gt;s1</v>
      </c>
      <c r="B8" s="22">
        <v>48006</v>
      </c>
      <c r="C8" s="106">
        <v>2</v>
      </c>
      <c r="D8" s="107" t="str">
        <f>B8&amp;"_"&amp;C8</f>
        <v>48006_2</v>
      </c>
      <c r="E8" s="4" t="str">
        <f ca="1">VLOOKUP($B8,OFFSET([2]quests!$A$1,0,0,COUNTA([2]quests!$A:$A),MATCH(E$1,[2]quests!$1:$1,0)-MATCH($B$1,[2]quests!$1:$1,0)+1),MATCH(E$1,[2]quests!$1:$1,0)-MATCH($B$1,[2]quests!$1:$1,0)+1,FALSE)</f>
        <v>牛頭馬面襲来！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【ウィザード級】牛頭馬面襲来</v>
      </c>
      <c r="G8" s="106">
        <v>1</v>
      </c>
      <c r="H8" s="107" t="str">
        <f>B8&amp;"_"&amp;C8&amp;"-"&amp;G8</f>
        <v>48006_2-1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08" t="s">
        <v>53</v>
      </c>
      <c r="L8" s="109">
        <v>381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肉食の恋火 バハムート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110">
        <v>97</v>
      </c>
      <c r="S8" s="111">
        <v>0.7</v>
      </c>
      <c r="T8" s="11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92772.4</v>
      </c>
      <c r="U8" s="111">
        <v>0.4</v>
      </c>
      <c r="V8" s="11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4034.4</v>
      </c>
      <c r="W8" s="110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3ターン種族ヒューマンのユニットにスキルバインド</v>
      </c>
      <c r="Y8" s="113">
        <v>48006100</v>
      </c>
      <c r="Z8" s="114">
        <v>1</v>
      </c>
      <c r="AA8" s="114">
        <v>100</v>
      </c>
      <c r="AB8" s="114">
        <v>1</v>
      </c>
      <c r="AC8" s="17">
        <v>1</v>
      </c>
      <c r="AD8" s="115">
        <f>L8</f>
        <v>381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肉食の恋火 バハムート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116">
        <v>1</v>
      </c>
      <c r="AI8" s="115">
        <f ca="1">AF8</f>
        <v>4</v>
      </c>
      <c r="AJ8" s="117">
        <v>0</v>
      </c>
      <c r="AK8" s="116">
        <v>0</v>
      </c>
      <c r="AL8" s="116">
        <v>0</v>
      </c>
      <c r="AM8" s="116">
        <v>0</v>
      </c>
      <c r="AN8" s="116">
        <v>0</v>
      </c>
      <c r="AO8" s="116">
        <v>1</v>
      </c>
      <c r="AP8" s="118">
        <v>1</v>
      </c>
    </row>
    <row r="9" spans="1:42" ht="21" customHeight="1" x14ac:dyDescent="0.15">
      <c r="A9" s="16" t="str">
        <f>B9&amp;"_"&amp;C9&amp;"-"&amp;G9&amp;"/"&amp;L9&amp;"&lt;lv"&amp;R9&amp;"&gt;s"&amp;AC9</f>
        <v>48006_2-1/401&lt;lv85&gt;s2</v>
      </c>
      <c r="B9" s="22">
        <v>48006</v>
      </c>
      <c r="C9" s="21">
        <v>2</v>
      </c>
      <c r="D9" s="2" t="str">
        <f>B9&amp;"_"&amp;C9</f>
        <v>48006_2</v>
      </c>
      <c r="E9" s="4" t="str">
        <f ca="1">VLOOKUP($B9,OFFSET([2]quests!$A$1,0,0,COUNTA([2]quests!$A:$A),MATCH(E$1,[2]quests!$1:$1,0)-MATCH($B$1,[2]quests!$1:$1,0)+1),MATCH(E$1,[2]quests!$1:$1,0)-MATCH($B$1,[2]quests!$1:$1,0)+1,FALSE)</f>
        <v>牛頭馬面襲来！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【ウィザード級】牛頭馬面襲来</v>
      </c>
      <c r="G9" s="21">
        <v>1</v>
      </c>
      <c r="H9" s="15" t="str">
        <f>B9&amp;"_"&amp;C9&amp;"-"&amp;G9</f>
        <v>48006_2-1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401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紅銀の孤狼 フェンリル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85</v>
      </c>
      <c r="S9" s="25">
        <v>1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112450</v>
      </c>
      <c r="U9" s="25">
        <v>0.3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3926.7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全体攻撃</v>
      </c>
      <c r="Y9" s="47">
        <v>48006102</v>
      </c>
      <c r="Z9" s="6">
        <v>1</v>
      </c>
      <c r="AA9" s="6">
        <v>100</v>
      </c>
      <c r="AB9" s="6">
        <v>2</v>
      </c>
      <c r="AC9" s="17">
        <v>2</v>
      </c>
      <c r="AD9" s="24">
        <f>L9</f>
        <v>401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紅銀の孤狼 フェンリル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7">
        <v>1</v>
      </c>
      <c r="AI9" s="24">
        <f ca="1">AF9</f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ref="A10:A13" si="5">B10&amp;"_"&amp;C10&amp;"-"&amp;G10&amp;"/"&amp;L10&amp;"&lt;lv"&amp;R10&amp;"&gt;s"&amp;AC10</f>
        <v>48006_2-2/305&lt;lv90&gt;s2</v>
      </c>
      <c r="B10" s="22">
        <v>48006</v>
      </c>
      <c r="C10" s="21">
        <v>2</v>
      </c>
      <c r="D10" s="2" t="str">
        <f t="shared" ref="D10:D13" si="6">B10&amp;"_"&amp;C10</f>
        <v>48006_2</v>
      </c>
      <c r="E10" s="4" t="str">
        <f ca="1">VLOOKUP($B10,OFFSET([2]quests!$A$1,0,0,COUNTA([2]quests!$A:$A),MATCH(E$1,[2]quests!$1:$1,0)-MATCH($B$1,[2]quests!$1:$1,0)+1),MATCH(E$1,[2]quests!$1:$1,0)-MATCH($B$1,[2]quests!$1:$1,0)+1,FALSE)</f>
        <v>牛頭馬面襲来！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【ウィザード級】牛頭馬面襲来</v>
      </c>
      <c r="G10" s="21">
        <v>2</v>
      </c>
      <c r="H10" s="15" t="str">
        <f t="shared" ref="H10:H13" si="7">B10&amp;"_"&amp;C10&amp;"-"&amp;G10</f>
        <v>48006_2-2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305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螺旋の雷電 チエミ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90</v>
      </c>
      <c r="S10" s="25">
        <v>2.2999999999999998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252027.09999999998</v>
      </c>
      <c r="U10" s="25">
        <v>0.3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3701.7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種族アニマルのユニットに大ダメージ</v>
      </c>
      <c r="Y10" s="47">
        <v>48006108</v>
      </c>
      <c r="Z10" s="6">
        <v>1</v>
      </c>
      <c r="AA10" s="6">
        <v>100</v>
      </c>
      <c r="AB10" s="6">
        <v>0</v>
      </c>
      <c r="AC10" s="17">
        <v>2</v>
      </c>
      <c r="AD10" s="24">
        <f t="shared" ref="AD10:AD13" si="8">L10</f>
        <v>305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螺旋の雷電 チエミ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Drop2W</v>
      </c>
      <c r="AH10" s="7">
        <v>1</v>
      </c>
      <c r="AI10" s="24">
        <f t="shared" ref="AI10:AI13" ca="1" si="9">AF10</f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5"/>
        <v>48006_2-2/393&lt;lv99&gt;s1</v>
      </c>
      <c r="B11" s="22">
        <v>48006</v>
      </c>
      <c r="C11" s="21">
        <v>2</v>
      </c>
      <c r="D11" s="2" t="str">
        <f t="shared" si="6"/>
        <v>48006_2</v>
      </c>
      <c r="E11" s="4" t="str">
        <f ca="1">VLOOKUP($B11,OFFSET([2]quests!$A$1,0,0,COUNTA([2]quests!$A:$A),MATCH(E$1,[2]quests!$1:$1,0)-MATCH($B$1,[2]quests!$1:$1,0)+1),MATCH(E$1,[2]quests!$1:$1,0)-MATCH($B$1,[2]quests!$1:$1,0)+1,FALSE)</f>
        <v>牛頭馬面襲来！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【ウィザード級】牛頭馬面襲来</v>
      </c>
      <c r="G11" s="21">
        <v>2</v>
      </c>
      <c r="H11" s="15" t="str">
        <f t="shared" si="7"/>
        <v>48006_2-2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393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影縫い ピーターパン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99</v>
      </c>
      <c r="S11" s="25">
        <v>3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375801</v>
      </c>
      <c r="U11" s="25">
        <v>0.3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3945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 xml:space="preserve">3ターンウィルス </v>
      </c>
      <c r="Y11" s="47">
        <v>48006103</v>
      </c>
      <c r="Z11" s="6">
        <v>1</v>
      </c>
      <c r="AA11" s="6">
        <v>100</v>
      </c>
      <c r="AB11" s="6">
        <v>1</v>
      </c>
      <c r="AC11" s="17">
        <v>1</v>
      </c>
      <c r="AD11" s="24">
        <f t="shared" si="8"/>
        <v>393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影縫い ピーターパン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7">
        <v>1</v>
      </c>
      <c r="AI11" s="24">
        <f t="shared" ca="1" si="9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5"/>
        <v>48006_2-3/1056&lt;lv65&gt;s1</v>
      </c>
      <c r="B12" s="22">
        <v>48006</v>
      </c>
      <c r="C12" s="21">
        <v>2</v>
      </c>
      <c r="D12" s="2" t="str">
        <f t="shared" si="6"/>
        <v>48006_2</v>
      </c>
      <c r="E12" s="4" t="str">
        <f ca="1">VLOOKUP($B12,OFFSET([2]quests!$A$1,0,0,COUNTA([2]quests!$A:$A),MATCH(E$1,[2]quests!$1:$1,0)-MATCH($B$1,[2]quests!$1:$1,0)+1),MATCH(E$1,[2]quests!$1:$1,0)-MATCH($B$1,[2]quests!$1:$1,0)+1,FALSE)</f>
        <v>牛頭馬面襲来！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【ウィザード級】牛頭馬面襲来</v>
      </c>
      <c r="G12" s="21">
        <v>3</v>
      </c>
      <c r="H12" s="15" t="str">
        <f t="shared" si="7"/>
        <v>48006_2-3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20">
        <v>1056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神解の預欺皇 オセ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demon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65</v>
      </c>
      <c r="S12" s="25">
        <v>4.7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541961.70000000007</v>
      </c>
      <c r="U12" s="25">
        <v>0.5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4732.5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12" s="47">
        <v>48006111</v>
      </c>
      <c r="Z12" s="6">
        <v>1</v>
      </c>
      <c r="AA12" s="6">
        <v>100</v>
      </c>
      <c r="AB12" s="6">
        <v>1</v>
      </c>
      <c r="AC12" s="17">
        <v>1</v>
      </c>
      <c r="AD12" s="24">
        <f t="shared" si="8"/>
        <v>1056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神解の預欺皇 オセ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6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2" s="7">
        <v>1</v>
      </c>
      <c r="AI12" s="24">
        <f t="shared" ca="1" si="9"/>
        <v>6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5"/>
        <v>48006_2-4/8033&lt;lv85&gt;s2</v>
      </c>
      <c r="B13" s="22">
        <v>48006</v>
      </c>
      <c r="C13" s="21">
        <v>2</v>
      </c>
      <c r="D13" s="2" t="str">
        <f t="shared" si="6"/>
        <v>48006_2</v>
      </c>
      <c r="E13" s="4" t="str">
        <f ca="1">VLOOKUP($B13,OFFSET([2]quests!$A$1,0,0,COUNTA([2]quests!$A:$A),MATCH(E$1,[2]quests!$1:$1,0)-MATCH($B$1,[2]quests!$1:$1,0)+1),MATCH(E$1,[2]quests!$1:$1,0)-MATCH($B$1,[2]quests!$1:$1,0)+1,FALSE)</f>
        <v>牛頭馬面襲来！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【ウィザード級】牛頭馬面襲来</v>
      </c>
      <c r="G13" s="21">
        <v>4</v>
      </c>
      <c r="H13" s="15" t="str">
        <f t="shared" si="7"/>
        <v>48006_2-4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2</v>
      </c>
      <c r="L13" s="20">
        <v>8033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牛頭馬面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85</v>
      </c>
      <c r="S13" s="25">
        <v>4.2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25">
        <v>0.6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状態異常耐性+解除するまでウィルス</v>
      </c>
      <c r="Y13" s="47">
        <v>48006122</v>
      </c>
      <c r="Z13" s="6">
        <v>1</v>
      </c>
      <c r="AA13" s="6">
        <v>100</v>
      </c>
      <c r="AB13" s="6">
        <v>1</v>
      </c>
      <c r="AC13" s="17">
        <v>2</v>
      </c>
      <c r="AD13" s="24">
        <f t="shared" si="8"/>
        <v>8033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牛頭馬面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9"/>
        <v>5</v>
      </c>
      <c r="AJ13" s="169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23" spans="2:2" ht="21" customHeight="1" x14ac:dyDescent="0.15">
      <c r="B23" s="3" t="s">
        <v>293</v>
      </c>
    </row>
  </sheetData>
  <sheetProtection selectLockedCells="1" selectUnlockedCells="1"/>
  <autoFilter ref="B1:AJ8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93" zoomScaleNormal="93" zoomScalePageLayoutView="93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2" sqref="T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6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251</v>
      </c>
      <c r="V1" s="26" t="s">
        <v>50</v>
      </c>
      <c r="W1" s="102" t="s">
        <v>252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48006_1-3/1056&lt;lv41&gt;sq3st2</v>
      </c>
      <c r="B2" s="22">
        <v>48006</v>
      </c>
      <c r="C2" s="21">
        <v>1</v>
      </c>
      <c r="D2" s="2" t="str">
        <f>B2&amp;"_"&amp;C2</f>
        <v>48006_1</v>
      </c>
      <c r="E2" s="4" t="str">
        <f ca="1">VLOOKUP($B2,OFFSET([2]quests!$A$1,0,0,COUNTA([2]quests!$A:$A),MATCH(E$1,[2]quests!$1:$1,0)-MATCH($B$1,[2]quests!$1:$1,0)+1),MATCH(E$1,[2]quests!$1:$1,0)-MATCH($B$1,[2]quests!$1:$1,0)+1,FALSE)</f>
        <v>牛頭馬面襲来！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【超絶級】牛頭馬面襲来</v>
      </c>
      <c r="G2" s="21">
        <v>3</v>
      </c>
      <c r="H2" s="15" t="str">
        <f>B2&amp;"_"&amp;C2&amp;"-"&amp;G2</f>
        <v>48006_1-3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3</v>
      </c>
      <c r="L2" s="38">
        <v>2</v>
      </c>
      <c r="M2" s="20">
        <v>1056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神解の預欺皇 オセ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demon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41</v>
      </c>
      <c r="T2" s="25">
        <v>6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442170</v>
      </c>
      <c r="V2" s="25">
        <v>0.6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3629.4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48006115</v>
      </c>
      <c r="AA2" s="70">
        <v>1</v>
      </c>
    </row>
    <row r="3" spans="1:27" s="135" customFormat="1" ht="21" customHeight="1" thickBot="1" x14ac:dyDescent="0.2">
      <c r="A3" s="119" t="str">
        <f>B3&amp;"_"&amp;C3&amp;"-"&amp;G3&amp;"/"&amp;M3&amp;"&lt;lv"&amp;S3&amp;"&gt;sq"&amp;K3&amp;"st"&amp;L3</f>
        <v>48006_1-4/8033&lt;lv65&gt;sq4st2</v>
      </c>
      <c r="B3" s="120">
        <v>48006</v>
      </c>
      <c r="C3" s="121">
        <v>1</v>
      </c>
      <c r="D3" s="122" t="str">
        <f>B3&amp;"_"&amp;C3</f>
        <v>48006_1</v>
      </c>
      <c r="E3" s="123" t="str">
        <f ca="1">VLOOKUP($B3,OFFSET([2]quests!$A$1,0,0,COUNTA([2]quests!$A:$A),MATCH(E$1,[2]quests!$1:$1,0)-MATCH($B$1,[2]quests!$1:$1,0)+1),MATCH(E$1,[2]quests!$1:$1,0)-MATCH($B$1,[2]quests!$1:$1,0)+1,FALSE)</f>
        <v>牛頭馬面襲来！</v>
      </c>
      <c r="F3" s="123" t="str">
        <f ca="1">VLOOKUP($D3,OFFSET([2]stages!$A$1,0,0,COUNTA([2]stages!$A:$A),MATCH(F$1,[2]stages!$2:$2,0)-MATCH($D$1,[2]stages!$2:$2,0)+1),MATCH(F$1,[2]stages!$2:$2,0)-MATCH($D$1,[2]stages!$2:$2,0)+1,FALSE)</f>
        <v>【超絶級】牛頭馬面襲来</v>
      </c>
      <c r="G3" s="121">
        <v>4</v>
      </c>
      <c r="H3" s="122" t="str">
        <f>B3&amp;"_"&amp;C3&amp;"-"&amp;G3</f>
        <v>48006_1-4</v>
      </c>
      <c r="I3" s="123">
        <f ca="1">VLOOKUP($H3,OFFSET(floors!$A$1,0,0,COUNTA(floors!$A:$A),MATCH(I$1,floors!$1:$1,0)-MATCH($H$1,floors!$1:$1,0)+1),MATCH(I$1,floors!$1:$1,0)-MATCH($H$1,floors!$1:$1,0)+1,FALSE)</f>
        <v>60</v>
      </c>
      <c r="J3" s="123">
        <f ca="1">VLOOKUP($H3,OFFSET(floors!$A$1,0,0,COUNTA(floors!$A:$A),MATCH(J$1,floors!$1:$1,0)-MATCH($H$1,floors!$1:$1,0)+1),MATCH(J$1,floors!$1:$1,0)-MATCH($H$1,floors!$1:$1,0)+1,FALSE)</f>
        <v>60</v>
      </c>
      <c r="K3" s="124">
        <v>4</v>
      </c>
      <c r="L3" s="124">
        <v>2</v>
      </c>
      <c r="M3" s="125">
        <v>8033</v>
      </c>
      <c r="N3" s="126" t="str">
        <f ca="1">VLOOKUP($M3,OFFSET([3]enemies!$A$1,0,0,COUNTA([3]enemies!$A:$A),MATCH(N$1,[3]enemies!$1:$1,0)-MATCH($M$1,[3]enemies!$1:$1,0)+1),MATCH(N$1,[3]enemies!$1:$1,0)-MATCH($M$1,[3]enemies!$1:$1,0)+1,FALSE)</f>
        <v>牛頭馬面</v>
      </c>
      <c r="O3" s="12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2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26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26">
        <f ca="1">VLOOKUP($M3,OFFSET([3]enemies!$A$1,0,0,COUNTA([3]enemies!$A:$A),MATCH(R$1,[3]enemies!$1:$1,0)-MATCH($M$1,[3]enemies!$1:$1,0)+1),MATCH(R$1,[3]enemies!$1:$1,0)-MATCH($M$1,[3]enemies!$1:$1,0)+1,FALSE)</f>
        <v>60</v>
      </c>
      <c r="S3" s="127">
        <v>65</v>
      </c>
      <c r="T3" s="128">
        <v>4.5</v>
      </c>
      <c r="U3" s="12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128">
        <v>0.6</v>
      </c>
      <c r="W3" s="12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127">
        <v>0</v>
      </c>
      <c r="Y3" s="123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30">
        <v>48006129</v>
      </c>
      <c r="AA3" s="137">
        <v>1</v>
      </c>
    </row>
    <row r="4" spans="1:27" ht="21" customHeight="1" thickTop="1" x14ac:dyDescent="0.15">
      <c r="A4" s="16" t="str">
        <f>B4&amp;"_"&amp;C4&amp;"-"&amp;G4&amp;"/"&amp;M4&amp;"&lt;lv"&amp;S4&amp;"&gt;sq"&amp;K4&amp;"st"&amp;L4</f>
        <v>48006_2-3/1056&lt;lv65&gt;sq1st2</v>
      </c>
      <c r="B4" s="22">
        <v>48006</v>
      </c>
      <c r="C4" s="106">
        <v>2</v>
      </c>
      <c r="D4" s="107" t="str">
        <f>B4&amp;"_"&amp;C4</f>
        <v>48006_2</v>
      </c>
      <c r="E4" s="4" t="str">
        <f ca="1">VLOOKUP($B4,OFFSET([2]quests!$A$1,0,0,COUNTA([2]quests!$A:$A),MATCH(E$1,[2]quests!$1:$1,0)-MATCH($B$1,[2]quests!$1:$1,0)+1),MATCH(E$1,[2]quests!$1:$1,0)-MATCH($B$1,[2]quests!$1:$1,0)+1,FALSE)</f>
        <v>牛頭馬面襲来！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【ウィザード級】牛頭馬面襲来</v>
      </c>
      <c r="G4" s="106">
        <v>3</v>
      </c>
      <c r="H4" s="107" t="str">
        <f>B4&amp;"_"&amp;C4&amp;"-"&amp;G4</f>
        <v>48006_2-3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08">
        <v>1</v>
      </c>
      <c r="L4" s="108">
        <v>2</v>
      </c>
      <c r="M4" s="109">
        <v>1056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神解の預欺皇 オセ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demon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110">
        <v>65</v>
      </c>
      <c r="T4" s="111">
        <v>5</v>
      </c>
      <c r="U4" s="11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576555</v>
      </c>
      <c r="V4" s="111">
        <v>0.5</v>
      </c>
      <c r="W4" s="11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4732.5</v>
      </c>
      <c r="X4" s="110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13">
        <v>48006115</v>
      </c>
      <c r="AA4" s="136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48006_2-4/8034&lt;lv85&gt;sq2st2</v>
      </c>
      <c r="B5" s="22">
        <v>48006</v>
      </c>
      <c r="C5" s="21">
        <v>2</v>
      </c>
      <c r="D5" s="2" t="str">
        <f>B5&amp;"_"&amp;C5</f>
        <v>48006_2</v>
      </c>
      <c r="E5" s="4" t="str">
        <f ca="1">VLOOKUP($B5,OFFSET([2]quests!$A$1,0,0,COUNTA([2]quests!$A:$A),MATCH(E$1,[2]quests!$1:$1,0)-MATCH($B$1,[2]quests!$1:$1,0)+1),MATCH(E$1,[2]quests!$1:$1,0)-MATCH($B$1,[2]quests!$1:$1,0)+1,FALSE)</f>
        <v>牛頭馬面襲来！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【ウィザード級】牛頭馬面襲来</v>
      </c>
      <c r="G5" s="21">
        <v>4</v>
      </c>
      <c r="H5" s="15" t="str">
        <f>B5&amp;"_"&amp;C5&amp;"-"&amp;G5</f>
        <v>48006_2-4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2</v>
      </c>
      <c r="M5" s="20">
        <v>8034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冥府狩る魂使 牛頭馬面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85</v>
      </c>
      <c r="T5" s="25">
        <v>5.5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5">
        <v>0.6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7">
        <v>48006127</v>
      </c>
      <c r="AA5" s="70">
        <v>1</v>
      </c>
    </row>
  </sheetData>
  <sheetProtection selectLockedCells="1" selectUnlockedCells="1"/>
  <autoFilter ref="B1:AA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6"/>
  <sheetViews>
    <sheetView showGridLines="0" workbookViewId="0">
      <pane xSplit="5" ySplit="1" topLeftCell="F13" activePane="bottomRight" state="frozen"/>
      <selection pane="topRight"/>
      <selection pane="bottomLeft"/>
      <selection pane="bottomRight" activeCell="K20" sqref="K2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23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48006100_48006100</v>
      </c>
      <c r="B2" s="47">
        <v>48006100</v>
      </c>
      <c r="C2" s="47">
        <v>48006100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人間はアタシのもの…♪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3ターン種族ヒューマンのユニットにスキルバインド</v>
      </c>
      <c r="F2" s="47">
        <v>48006100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3" si="1">B3&amp;"_"&amp;C3</f>
        <v>48006100_48006101</v>
      </c>
      <c r="B3" s="47">
        <v>48006100</v>
      </c>
      <c r="C3" s="47">
        <v>48006101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いただきまーす♪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種族ヒューマンのユニットに大ダメージの2回連続攻撃</v>
      </c>
      <c r="F3" s="47">
        <v>48006101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3" s="47"/>
      <c r="Q3" s="47"/>
      <c r="R3" s="47"/>
    </row>
    <row r="4" spans="1:18" ht="21" customHeight="1" x14ac:dyDescent="0.15">
      <c r="A4" s="39" t="str">
        <f t="shared" si="1"/>
        <v>48006102_48006102</v>
      </c>
      <c r="B4" s="47">
        <v>48006102</v>
      </c>
      <c r="C4" s="47">
        <v>48006102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焼き尽くすわ…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7">
        <v>48006102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4" s="47"/>
      <c r="Q4" s="47"/>
      <c r="R4" s="47"/>
    </row>
    <row r="5" spans="1:18" ht="21" customHeight="1" x14ac:dyDescent="0.15">
      <c r="A5" s="39" t="str">
        <f t="shared" si="1"/>
        <v>48006103_48006103</v>
      </c>
      <c r="B5" s="47">
        <v>48006103</v>
      </c>
      <c r="C5" s="47">
        <v>48006103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俺に近付くなよ…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 xml:space="preserve">3ターンウィルス </v>
      </c>
      <c r="F5" s="47">
        <v>48006103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48006103_48006104</v>
      </c>
      <c r="B6" s="47">
        <v>48006103</v>
      </c>
      <c r="C6" s="47">
        <v>48006104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反抗期じゃねーよ！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 xml:space="preserve">3ターンウィルス </v>
      </c>
      <c r="F6" s="47">
        <v>48006104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48006103_48006105</v>
      </c>
      <c r="B7" s="47">
        <v>48006103</v>
      </c>
      <c r="C7" s="47">
        <v>48006105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チッ…めんどくせーな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 xml:space="preserve">3ターンウィルス </v>
      </c>
      <c r="F7" s="47">
        <v>48006105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48006103_48006106</v>
      </c>
      <c r="B8" s="47">
        <v>48006103</v>
      </c>
      <c r="C8" s="47">
        <v>48006106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これでも喰らってろ！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 xml:space="preserve">3ターンウィルス </v>
      </c>
      <c r="F8" s="47">
        <v>48006106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48006103_48006107</v>
      </c>
      <c r="B9" s="47">
        <v>48006103</v>
      </c>
      <c r="C9" s="47">
        <v>48006107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ダークネス・ウィルス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 xml:space="preserve">3ターンウィルス </v>
      </c>
      <c r="F9" s="47">
        <v>48006107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2">B10&amp;"_"&amp;C10</f>
        <v>48006103_48006134</v>
      </c>
      <c r="B10" s="47">
        <v>48006103</v>
      </c>
      <c r="C10" s="47">
        <v>48006134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おいおい…容赦ねぇな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攻撃力UP</v>
      </c>
      <c r="F10" s="47">
        <v>48006134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305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48006108_48006108</v>
      </c>
      <c r="B11" s="47">
        <v>48006108</v>
      </c>
      <c r="C11" s="47">
        <v>48006108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動物さんどこかなー？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11" s="47">
        <v>48006108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48006108_48006109</v>
      </c>
      <c r="B12" s="47">
        <v>48006108</v>
      </c>
      <c r="C12" s="47">
        <v>48006109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青い人だーいすき！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12" s="47">
        <v>48006109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" si="3">B13&amp;"_"&amp;C13</f>
        <v>48006108_48006110</v>
      </c>
      <c r="B13" s="47">
        <v>48006108</v>
      </c>
      <c r="C13" s="47">
        <v>48006110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キャハハ！_x000D_あたしを見てっ☆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3ターン種族ヒューマンのユニットにスキルバインド+_x000D_単体攻撃</v>
      </c>
      <c r="F13" s="47">
        <v>48006110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>B14&amp;"_"&amp;C14</f>
        <v>48006108_48006135</v>
      </c>
      <c r="B14" s="47">
        <v>48006108</v>
      </c>
      <c r="C14" s="47">
        <v>48006135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男の子でしょ？_x000D_情けなーい！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14" s="47">
        <v>48006135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393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48006111_48006111</v>
      </c>
      <c r="B15" s="47">
        <v>48006111</v>
      </c>
      <c r="C15" s="47">
        <v>48006111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あら？ここは危ないわよ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5" s="47">
        <v>48006111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48006111_48006112</v>
      </c>
      <c r="B16" s="47">
        <v>48006111</v>
      </c>
      <c r="C16" s="47">
        <v>48006112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獄炎のツインターゲット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ランダムで赤の時限式ダメージパネルに2個変換+ _x000D_2回連続攻撃</v>
      </c>
      <c r="F16" s="47">
        <v>48006112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48006111_48006113</v>
      </c>
      <c r="B17" s="47">
        <v>48006111</v>
      </c>
      <c r="C17" s="47">
        <v>48006113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形勢逆転してやるわ…！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1ターン緑パネルが出現しない</v>
      </c>
      <c r="F17" s="47">
        <v>48006113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48006111_48006114</v>
      </c>
      <c r="B18" s="47">
        <v>48006111</v>
      </c>
      <c r="C18" s="47">
        <v>48006114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これでトドメよ！！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18" s="47">
        <v>48006114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48006115_48006115</v>
      </c>
      <c r="B19" s="47">
        <v>48006115</v>
      </c>
      <c r="C19" s="47">
        <v>48006115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どうしても先に進むのね？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強さを見せてくれたら　お手伝いしてあげるわ</v>
      </c>
      <c r="F19" s="47">
        <v>48006115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48006115_48006116</v>
      </c>
      <c r="B20" s="47">
        <v>48006115</v>
      </c>
      <c r="C20" s="47">
        <v>48006116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デモンズアシスト I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0" s="47">
        <v>48006116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0" s="48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48006115_48006117</v>
      </c>
      <c r="B21" s="47">
        <v>48006115</v>
      </c>
      <c r="C21" s="47">
        <v>48006117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デモンズアシスト II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1" s="47">
        <v>48006117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1" s="48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48006115_48006118</v>
      </c>
      <c r="B22" s="47">
        <v>48006115</v>
      </c>
      <c r="C22" s="47">
        <v>48006118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デモンズアシスト III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2" s="47">
        <v>48006118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2" s="48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48006115_48006119</v>
      </c>
      <c r="B23" s="47">
        <v>48006115</v>
      </c>
      <c r="C23" s="47">
        <v>48006119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デモンズアシスト IV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3" s="47">
        <v>48006119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11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48006115_48006120</v>
      </c>
      <c r="B24" s="162">
        <v>48006115</v>
      </c>
      <c r="C24" s="162">
        <v>48006120</v>
      </c>
      <c r="D24" s="16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流石ね！ボーナスよ♪</v>
      </c>
      <c r="E24" s="16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4" s="162">
        <v>48006120</v>
      </c>
      <c r="G24" s="16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6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4" s="16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64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24" s="16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6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164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16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6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62"/>
      <c r="Q24" s="162"/>
      <c r="R24" s="162"/>
    </row>
    <row r="25" spans="1:18" s="166" customFormat="1" ht="21" customHeight="1" thickBot="1" x14ac:dyDescent="0.2">
      <c r="A25" s="165" t="str">
        <f t="shared" si="1"/>
        <v>48006115_48006121</v>
      </c>
      <c r="B25" s="130">
        <v>48006115</v>
      </c>
      <c r="C25" s="130">
        <v>48006121</v>
      </c>
      <c r="D25" s="141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私に手加減なんて失礼よ？</v>
      </c>
      <c r="E25" s="141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5" s="130">
        <v>48006121</v>
      </c>
      <c r="G25" s="142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142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5" s="142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142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142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142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142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142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142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30"/>
      <c r="Q25" s="130"/>
      <c r="R25" s="130"/>
    </row>
    <row r="26" spans="1:18" ht="21" customHeight="1" thickTop="1" x14ac:dyDescent="0.15">
      <c r="A26" s="39" t="str">
        <f t="shared" ref="A26:A27" si="4">B26&amp;"_"&amp;C26</f>
        <v>48006122_48006122</v>
      </c>
      <c r="B26" s="113">
        <v>48006122</v>
      </c>
      <c r="C26" s="113">
        <v>48006122</v>
      </c>
      <c r="D26" s="138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げ！閻羅様ァ！？</v>
      </c>
      <c r="E26" s="138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状態異常耐性+解除するまでウィルス</v>
      </c>
      <c r="F26" s="113">
        <v>48006180</v>
      </c>
      <c r="G26" s="139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139">
        <v>150</v>
      </c>
      <c r="I26" s="139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39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39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39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39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39">
        <v>8031</v>
      </c>
      <c r="O26" s="139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13"/>
      <c r="Q26" s="113"/>
      <c r="R26" s="113"/>
    </row>
    <row r="27" spans="1:18" ht="21" customHeight="1" x14ac:dyDescent="0.15">
      <c r="A27" s="39" t="str">
        <f t="shared" si="4"/>
        <v>48006122_48006122</v>
      </c>
      <c r="B27" s="47">
        <v>48006122</v>
      </c>
      <c r="C27" s="47">
        <v>48006122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げ！閻羅様ァ！？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状態異常耐性+解除するまでウィルス</v>
      </c>
      <c r="F27" s="47">
        <v>48006181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v>140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v>8032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48006122_48006136</v>
      </c>
      <c r="B28" s="47">
        <v>48006122</v>
      </c>
      <c r="C28" s="47">
        <v>48006136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暴れてやるぜェ！！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状態異常無効+解除するまでウィルス</v>
      </c>
      <c r="F28" s="47">
        <v>48006122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48006122_48006123</v>
      </c>
      <c r="B29" s="47">
        <v>48006122</v>
      </c>
      <c r="C29" s="47">
        <v>48006123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賽の河原で遊んでな！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種族アニマルのユニットに大ダメージ+ _x000D_ランダムでお邪魔パネルに2個変換</v>
      </c>
      <c r="F29" s="47">
        <v>48006123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48006122_48006124</v>
      </c>
      <c r="B30" s="47">
        <v>48006122</v>
      </c>
      <c r="C30" s="47">
        <v>48006124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斧の錆にしてやる！！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30" s="47">
        <v>48006124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48006122_48006125</v>
      </c>
      <c r="B31" s="47">
        <v>48006122</v>
      </c>
      <c r="C31" s="47">
        <v>48006125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人間には負けねぇ！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3ターン種族ヒューマンのユニットにスキルバインド+_x000D_攻撃頻度UP</v>
      </c>
      <c r="F31" s="47">
        <v>48006125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48006122_48006126</v>
      </c>
      <c r="B32" s="47">
        <v>48006122</v>
      </c>
      <c r="C32" s="47">
        <v>48006126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罪人には罰を与えるぜ！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状態異常のユニットに大ダメージ</v>
      </c>
      <c r="F32" s="47">
        <v>48006126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48006127_48006127</v>
      </c>
      <c r="B33" s="47">
        <v>48006127</v>
      </c>
      <c r="C33" s="47">
        <v>48006127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ギャハハ！おもしれぇ！！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 xml:space="preserve">状態異常無効+解除するまでウィルス </v>
      </c>
      <c r="F33" s="47">
        <v>48006127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:A42" si="5">B34&amp;"_"&amp;C34</f>
        <v>48006127_48006128</v>
      </c>
      <c r="B34" s="47">
        <v>48006127</v>
      </c>
      <c r="C34" s="47">
        <v>48006128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残念、没収するぜ！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 xml:space="preserve">青パネルを吸収して全体攻撃 </v>
      </c>
      <c r="F34" s="47">
        <v>48006128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5"/>
        <v>48006127_48006129</v>
      </c>
      <c r="B35" s="47">
        <v>48006127</v>
      </c>
      <c r="C35" s="47">
        <v>48006129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思いっきり…ぶっ壊す！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5" s="47">
        <v>48006129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5"/>
        <v>48006127_48006130</v>
      </c>
      <c r="B36" s="47">
        <v>48006127</v>
      </c>
      <c r="C36" s="47">
        <v>48006130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さぁ泣き喚け！！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 xml:space="preserve">8回連続攻撃 </v>
      </c>
      <c r="F36" s="47">
        <v>48006130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5"/>
        <v>48006127_48006131</v>
      </c>
      <c r="B37" s="47">
        <v>48006127</v>
      </c>
      <c r="C37" s="47">
        <v>48006131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コイツもいただいてくぜ！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37" s="47">
        <v>48006131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5"/>
        <v>48006127_48006132</v>
      </c>
      <c r="B38" s="47">
        <v>48006127</v>
      </c>
      <c r="C38" s="47">
        <v>48006132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はっ！オレの勝ちだな！！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【！】次のターンに即死攻撃発動【！】</v>
      </c>
      <c r="F38" s="47">
        <v>48006132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s="175" customFormat="1" ht="21" customHeight="1" x14ac:dyDescent="0.15">
      <c r="A39" s="174" t="str">
        <f t="shared" si="5"/>
        <v>48006127_48006133</v>
      </c>
      <c r="B39" s="47">
        <v>48006127</v>
      </c>
      <c r="C39" s="47">
        <v>48006133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八大地獄・最下葬！！！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11,111,111固定ダメージ</v>
      </c>
      <c r="F39" s="47">
        <v>48006133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5"/>
        <v>48006127_48006141</v>
      </c>
      <c r="B40" s="173">
        <v>48006127</v>
      </c>
      <c r="C40" s="173">
        <v>48006141</v>
      </c>
      <c r="D40" s="138" t="str">
        <f ca="1">VLOOKUP($C40,OFFSET(enemy_skills!$A$1,0,0,COUNTA(enemy_skills!$A:$A),MATCH(D$1,enemy_skills!$1:$1,0)-MATCH("enemy_skill_id",enemy_skills!$1:$1,0)+1),MATCH(D$1,enemy_skills!$1:$1,0)-MATCH("enemy_skill_id",enemy_skills!$1:$1,0)+1,FALSE)</f>
        <v>…っつ！痛ってェなぁ〜！</v>
      </c>
      <c r="E40" s="138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あー分かったよ！_x000D_まったく…こんな目にあうくらいなら仕事の方がマシだぜ…</v>
      </c>
      <c r="F40" s="173">
        <v>48006182</v>
      </c>
      <c r="G40" s="139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139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0" s="139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39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39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39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0" s="139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139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0" s="139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13"/>
      <c r="Q40" s="113"/>
      <c r="R40" s="113"/>
    </row>
    <row r="41" spans="1:18" ht="21" customHeight="1" x14ac:dyDescent="0.15">
      <c r="A41" s="39" t="str">
        <f t="shared" si="5"/>
        <v>48006127_48006241</v>
      </c>
      <c r="B41" s="176">
        <v>48006127</v>
      </c>
      <c r="C41" s="176">
        <v>48006241</v>
      </c>
      <c r="D41" s="163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あ痛たたた…やっぱり閻羅様は強ぇえや…</v>
      </c>
      <c r="E41" s="163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まったく…なんでこんな目に…_x000D_いや！なんでもないです！すぐに仕事に戻ります！</v>
      </c>
      <c r="F41" s="176">
        <v>48006183</v>
      </c>
      <c r="G41" s="16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164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41" s="16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164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16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164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164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164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8031</v>
      </c>
      <c r="O41" s="16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162"/>
      <c r="Q41" s="162"/>
      <c r="R41" s="162"/>
    </row>
    <row r="42" spans="1:18" s="166" customFormat="1" ht="21" customHeight="1" thickBot="1" x14ac:dyDescent="0.2">
      <c r="A42" s="165" t="str">
        <f t="shared" si="5"/>
        <v>48006127_48006241</v>
      </c>
      <c r="B42" s="177">
        <v>48006127</v>
      </c>
      <c r="C42" s="177">
        <v>48006241</v>
      </c>
      <c r="D42" s="141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あ痛たたた…やっぱり閻羅様は強ぇえや…</v>
      </c>
      <c r="E42" s="141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まったく…なんでこんな目に…_x000D_いや！なんでもないです！すぐに仕事に戻ります！</v>
      </c>
      <c r="F42" s="177">
        <v>48006184</v>
      </c>
      <c r="G42" s="142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42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42" s="142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42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142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42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" s="142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42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8032</v>
      </c>
      <c r="O42" s="142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130"/>
      <c r="Q42" s="130"/>
      <c r="R42" s="130"/>
    </row>
    <row r="43" spans="1:18" ht="21" customHeight="1" thickTop="1" x14ac:dyDescent="0.15">
      <c r="A43" s="39" t="str">
        <f t="shared" ref="A43:A46" si="6">B43&amp;"_"&amp;C43</f>
        <v>48006128_48006111</v>
      </c>
      <c r="B43" s="113">
        <v>48006128</v>
      </c>
      <c r="C43" s="113">
        <v>48006111</v>
      </c>
      <c r="D43" s="138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あら？ここは危ないわよ</v>
      </c>
      <c r="E43" s="138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3" s="113">
        <v>48006111</v>
      </c>
      <c r="G43" s="139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139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3" s="139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39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39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39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139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39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139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13"/>
      <c r="Q43" s="113"/>
      <c r="R43" s="113"/>
    </row>
    <row r="44" spans="1:18" ht="21" customHeight="1" x14ac:dyDescent="0.15">
      <c r="A44" s="39" t="str">
        <f t="shared" si="6"/>
        <v>48006128_48006112</v>
      </c>
      <c r="B44" s="47">
        <v>48006128</v>
      </c>
      <c r="C44" s="47">
        <v>48006112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獄炎のツインターゲット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ランダムで赤の時限式ダメージパネルに2個変換+ _x000D_2回連続攻撃</v>
      </c>
      <c r="F44" s="47">
        <v>48006112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6"/>
        <v>48006128_48006113</v>
      </c>
      <c r="B45" s="47">
        <v>48006128</v>
      </c>
      <c r="C45" s="47">
        <v>48006113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形勢逆転してやるわ…！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1ターン緑パネルが出現しない</v>
      </c>
      <c r="F45" s="47">
        <v>48006113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s="143" customFormat="1" ht="21" customHeight="1" thickBot="1" x14ac:dyDescent="0.2">
      <c r="A46" s="140" t="str">
        <f t="shared" si="6"/>
        <v>48006128_48006138</v>
      </c>
      <c r="B46" s="130">
        <v>48006128</v>
      </c>
      <c r="C46" s="130">
        <v>48006138</v>
      </c>
      <c r="D46" s="141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これでトドメよ！！</v>
      </c>
      <c r="E46" s="141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46" s="130">
        <v>48006114</v>
      </c>
      <c r="G46" s="142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42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6" s="142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42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142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42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142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142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42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30"/>
      <c r="Q46" s="130"/>
      <c r="R46" s="130"/>
    </row>
    <row r="47" spans="1:18" ht="21" customHeight="1" thickTop="1" x14ac:dyDescent="0.15">
      <c r="A47" s="39" t="str">
        <f t="shared" ref="A47:A53" si="7">B47&amp;"_"&amp;C47</f>
        <v>48006129_48006127</v>
      </c>
      <c r="B47" s="47">
        <v>48006129</v>
      </c>
      <c r="C47" s="47">
        <v>48006127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ギャハハ！おもしれぇ！！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 xml:space="preserve">状態異常無効+解除するまでウィルス </v>
      </c>
      <c r="F47" s="47">
        <v>48006127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7"/>
        <v>48006129_48006139</v>
      </c>
      <c r="B48" s="47">
        <v>48006129</v>
      </c>
      <c r="C48" s="47">
        <v>48006139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残念、没収するぜ！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48" s="47">
        <v>48006128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7"/>
        <v>48006129_48006129</v>
      </c>
      <c r="B49" s="47">
        <v>48006129</v>
      </c>
      <c r="C49" s="47">
        <v>48006129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思いっきり…ぶっ壊す！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9" s="47">
        <v>48006129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7"/>
        <v>48006129_48006130</v>
      </c>
      <c r="B50" s="47">
        <v>48006129</v>
      </c>
      <c r="C50" s="47">
        <v>48006130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さぁ泣き喚け！！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 xml:space="preserve">8回連続攻撃 </v>
      </c>
      <c r="F50" s="47">
        <v>48006130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7"/>
        <v>48006129_48006140</v>
      </c>
      <c r="B51" s="47">
        <v>48006129</v>
      </c>
      <c r="C51" s="47">
        <v>48006140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コイツも頂いてくぜ！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51" s="47">
        <v>48006131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7"/>
        <v>48006129_48006132</v>
      </c>
      <c r="B52" s="47">
        <v>48006129</v>
      </c>
      <c r="C52" s="47">
        <v>48006132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はっ！オレの勝ちだな！！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【！】次のターンに即死攻撃発動【！】</v>
      </c>
      <c r="F52" s="47">
        <v>48006132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7"/>
        <v>48006129_48006133</v>
      </c>
      <c r="B53" s="47">
        <v>48006129</v>
      </c>
      <c r="C53" s="47">
        <v>48006133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八大地獄・最下葬！！！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11,111,111固定ダメージ</v>
      </c>
      <c r="F53" s="47">
        <v>48006133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ref="A54:A56" si="8">B54&amp;"_"&amp;C54</f>
        <v>48006129_48006141</v>
      </c>
      <c r="B54" s="170">
        <v>48006129</v>
      </c>
      <c r="C54" s="170">
        <v>48006141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…っつ！痛ってェなぁ〜！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あー分かったよ！_x000D_まったく…こんな目にあうくらいなら仕事の方がマシだぜ…</v>
      </c>
      <c r="F54" s="170">
        <v>48006182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8"/>
        <v>48006129_48006241</v>
      </c>
      <c r="B55" s="170">
        <v>48006129</v>
      </c>
      <c r="C55" s="170">
        <v>48006241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あ痛たたた…やっぱり閻羅様は強ぇえや…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まったく…なんでこんな目に…_x000D_いや！なんでもないです！すぐに仕事に戻ります！</v>
      </c>
      <c r="F55" s="170">
        <v>48006183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8031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8"/>
        <v>48006129_48006241</v>
      </c>
      <c r="B56" s="170">
        <v>48006129</v>
      </c>
      <c r="C56" s="170">
        <v>48006241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あ痛たたた…やっぱり閻羅様は強ぇえや…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まったく…なんでこんな目に…_x000D_いや！なんでもないです！すぐに仕事に戻ります！</v>
      </c>
      <c r="F56" s="170">
        <v>48006184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8032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3"/>
  <sheetViews>
    <sheetView showGridLines="0" tabSelected="1" workbookViewId="0">
      <pane ySplit="1" topLeftCell="A27" activePane="bottomLeft" state="frozenSplit"/>
      <selection pane="bottomLeft" activeCell="E41" sqref="E41"/>
    </sheetView>
  </sheetViews>
  <sheetFormatPr baseColWidth="12" defaultColWidth="12.83203125" defaultRowHeight="40" customHeight="1" outlineLevelCol="1" x14ac:dyDescent="0.15"/>
  <cols>
    <col min="1" max="1" width="12.83203125" style="49"/>
    <col min="2" max="2" width="133.6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40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40" customHeight="1" x14ac:dyDescent="0.15">
      <c r="A2" s="47">
        <v>48006100</v>
      </c>
      <c r="B2" s="47" t="s">
        <v>374</v>
      </c>
      <c r="C2" s="50">
        <v>3</v>
      </c>
      <c r="D2" s="50" t="s">
        <v>126</v>
      </c>
      <c r="E2" s="51" t="s">
        <v>271</v>
      </c>
      <c r="F2" s="51" t="s">
        <v>336</v>
      </c>
      <c r="G2" s="63" t="str">
        <f>IFERROR(LEFT(B2,FIND("],",B2)),B2)</f>
        <v>[effect:enemy_message, val1:1.0, val2:2.3]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 xml:space="preserve">[effect:hungup, target:unit_human, turn:3, rate:1, animation:hungup01],[effect:fix_speed, target:myself, turn:1],[effect:fix_speed, target:enemy_attack, turn:2]    </v>
      </c>
      <c r="N2" s="48" t="str">
        <f>IFERROR(LEFT(M2,FIND("],",M2)+S12),M2)</f>
        <v xml:space="preserve">[effect:hungup, target:unit_human, turn:3, rate:1, animation:hungup01],[effect:fix_speed, target:myself, turn:1],[effect:fix_speed, target:enemy_attack, turn:2]    </v>
      </c>
      <c r="O2" s="63">
        <f>FIND("effect:",N2)+7</f>
        <v>9</v>
      </c>
      <c r="P2" s="63">
        <f>IFERROR(FIND(",",N2),LEN(N2))</f>
        <v>15</v>
      </c>
      <c r="Q2" s="63">
        <f>FIND("target:",N2)+7</f>
        <v>24</v>
      </c>
      <c r="R2" s="63">
        <f>FIND(",",N2,P2+1)</f>
        <v>34</v>
      </c>
      <c r="S2" s="63" t="str">
        <f>IFERROR(VLOOKUP(MID(N2,Q2,R2-Q2),[6]skilldef!$C:$D,2,FALSE),"-") &amp; " / " &amp; IFERROR(VLOOKUP(MID(N2,O2,P2-O2),[6]skilldef!$A:$B,2,FALSE),"-")</f>
        <v>ヒューマンの味方に / ハングアップ</v>
      </c>
      <c r="T2" s="48" t="str">
        <f>IFERROR(RIGHT(M2,LEN(M2)-FIND("],",M2)-1),"none")</f>
        <v xml:space="preserve">[effect:fix_speed, target:myself, turn:1],[effect:fix_speed, target:enemy_attack, turn:2]    </v>
      </c>
      <c r="U2" s="63">
        <f>FIND("effect:",T2)+7</f>
        <v>9</v>
      </c>
      <c r="V2" s="63">
        <f>IFERROR(FIND(",",T2),LEN(T2))</f>
        <v>18</v>
      </c>
      <c r="W2" s="63">
        <f>FIND("target:",T2)+7</f>
        <v>27</v>
      </c>
      <c r="X2" s="63">
        <f>FIND(",",T2,V2+1)</f>
        <v>33</v>
      </c>
      <c r="Y2" s="63" t="str">
        <f>IFERROR(VLOOKUP(MID(T2,W2,X2-W2),[6]skilldef!$C:$D,2,FALSE),"-") &amp; " / " &amp; IFERROR(VLOOKUP(MID(T2,U2,V2-U2),[6]skilldef!$A:$B,2,FALSE),"-")</f>
        <v>自分自身に / 行動値設定</v>
      </c>
      <c r="Z2" s="50"/>
      <c r="AA2" s="52"/>
      <c r="AB2" s="50"/>
    </row>
    <row r="3" spans="1:28" ht="40" customHeight="1" x14ac:dyDescent="0.15">
      <c r="A3" s="47">
        <v>48006101</v>
      </c>
      <c r="B3" s="47" t="s">
        <v>365</v>
      </c>
      <c r="C3" s="50">
        <v>3</v>
      </c>
      <c r="D3" s="50" t="s">
        <v>126</v>
      </c>
      <c r="E3" s="51" t="s">
        <v>270</v>
      </c>
      <c r="F3" s="51" t="s">
        <v>361</v>
      </c>
      <c r="G3" s="63" t="str">
        <f t="shared" ref="G3:G28" si="0">IFERROR(LEFT(B3,FIND("],",B3)),B3)</f>
        <v>[effect:enemy_message, val1:1.0, val2:2.3]</v>
      </c>
      <c r="H3" s="63">
        <f t="shared" ref="H3:H35" si="1">FIND("effect:",G3)+7</f>
        <v>9</v>
      </c>
      <c r="I3" s="63">
        <f t="shared" ref="I3:I28" si="2">IFERROR(FIND(",",G3),LEN(G3))</f>
        <v>22</v>
      </c>
      <c r="J3" s="63" t="e">
        <f t="shared" ref="J3:J28" si="3">FIND("target:",G3)+7</f>
        <v>#VALUE!</v>
      </c>
      <c r="K3" s="63">
        <f t="shared" ref="K3:K28" si="4">FIND(",",G3,I3+1)</f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28" si="5">IFERROR(RIGHT(B3,LEN(B3)-FIND("],",B3)-1),"none")</f>
        <v xml:space="preserve">[effect:damage_anti_tribe, target:unit_one, tribe:human, val1:0.7, val2:0.5],[effect:damage_anti_tribe, target:unit_one, tribe:human, val1:0.7, val2:0.5]    </v>
      </c>
      <c r="N3" s="48" t="str">
        <f t="shared" ref="N3:N28" si="6">IFERROR(LEFT(M3,FIND("],",M3)+S13),M3)</f>
        <v xml:space="preserve">[effect:damage_anti_tribe, target:unit_one, tribe:human, val1:0.7, val2:0.5],[effect:damage_anti_tribe, target:unit_one, tribe:human, val1:0.7, val2:0.5]    </v>
      </c>
      <c r="O3" s="63">
        <f t="shared" ref="O3:O35" si="7">FIND("effect:",N3)+7</f>
        <v>9</v>
      </c>
      <c r="P3" s="63">
        <f t="shared" ref="P3:P28" si="8">IFERROR(FIND(",",N3),LEN(N3))</f>
        <v>26</v>
      </c>
      <c r="Q3" s="63">
        <f t="shared" ref="Q3:Q28" si="9">FIND("target:",N3)+7</f>
        <v>35</v>
      </c>
      <c r="R3" s="63">
        <f t="shared" ref="R3:R28" si="10">FIND(",",N3,P3+1)</f>
        <v>43</v>
      </c>
      <c r="S3" s="63" t="str">
        <f>IFERROR(VLOOKUP(MID(N3,Q3,R3-Q3),[6]skilldef!$C:$D,2,FALSE),"-") &amp; " / " &amp; IFERROR(VLOOKUP(MID(N3,O3,P3-O3),[6]skilldef!$A:$B,2,FALSE),"-")</f>
        <v>味方単体に / 種族キラー</v>
      </c>
      <c r="T3" s="48" t="str">
        <f t="shared" ref="T3:T28" si="11">IFERROR(RIGHT(M3,LEN(M3)-FIND("],",M3)-1),"none")</f>
        <v xml:space="preserve">[effect:damage_anti_tribe, target:unit_one, tribe:human, val1:0.7, val2:0.5]    </v>
      </c>
      <c r="U3" s="63">
        <f t="shared" ref="U3:U35" si="12">FIND("effect:",T3)+7</f>
        <v>9</v>
      </c>
      <c r="V3" s="63">
        <f t="shared" ref="V3:V28" si="13">IFERROR(FIND(",",T3),LEN(T3))</f>
        <v>26</v>
      </c>
      <c r="W3" s="63">
        <f t="shared" ref="W3:W28" si="14">FIND("target:",T3)+7</f>
        <v>35</v>
      </c>
      <c r="X3" s="63">
        <f t="shared" ref="X3:X28" si="15">FIND(",",T3,V3+1)</f>
        <v>43</v>
      </c>
      <c r="Y3" s="63" t="str">
        <f>IFERROR(VLOOKUP(MID(T3,W3,X3-W3),[6]skilldef!$C:$D,2,FALSE),"-") &amp; " / " &amp; IFERROR(VLOOKUP(MID(T3,U3,V3-U3),[6]skilldef!$A:$B,2,FALSE),"-")</f>
        <v>味方単体に / 種族キラー</v>
      </c>
      <c r="Z3" s="50"/>
      <c r="AA3" s="52"/>
      <c r="AB3" s="50"/>
    </row>
    <row r="4" spans="1:28" ht="40" customHeight="1" x14ac:dyDescent="0.15">
      <c r="A4" s="47">
        <v>48006102</v>
      </c>
      <c r="B4" s="47" t="s">
        <v>261</v>
      </c>
      <c r="C4" s="50">
        <v>3</v>
      </c>
      <c r="D4" s="50" t="s">
        <v>126</v>
      </c>
      <c r="E4" s="51" t="s">
        <v>272</v>
      </c>
      <c r="F4" s="51" t="s">
        <v>254</v>
      </c>
      <c r="G4" s="63" t="str">
        <f t="shared" si="0"/>
        <v>[effect:spread, val:0.3]</v>
      </c>
      <c r="H4" s="63">
        <f t="shared" si="1"/>
        <v>9</v>
      </c>
      <c r="I4" s="63">
        <f t="shared" si="2"/>
        <v>15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全体攻撃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40" customHeight="1" x14ac:dyDescent="0.15">
      <c r="A5" s="47">
        <v>48006103</v>
      </c>
      <c r="B5" s="47" t="s">
        <v>294</v>
      </c>
      <c r="C5" s="50">
        <v>3</v>
      </c>
      <c r="D5" s="50" t="s">
        <v>126</v>
      </c>
      <c r="E5" s="51" t="s">
        <v>273</v>
      </c>
      <c r="F5" s="51" t="s">
        <v>305</v>
      </c>
      <c r="G5" s="63" t="str">
        <f t="shared" si="0"/>
        <v>[effect:virus, turn:3, rate:1, val:0.05, animation:enemy_virus]</v>
      </c>
      <c r="H5" s="63">
        <f t="shared" si="1"/>
        <v>9</v>
      </c>
      <c r="I5" s="63">
        <f t="shared" si="2"/>
        <v>14</v>
      </c>
      <c r="J5" s="63" t="e">
        <f t="shared" si="3"/>
        <v>#VALUE!</v>
      </c>
      <c r="K5" s="63">
        <f t="shared" si="4"/>
        <v>22</v>
      </c>
      <c r="L5" s="63" t="str">
        <f>IFERROR(VLOOKUP(MID(G5,J5,K5-J5),[6]skilldef!$C:$D,2,FALSE),"-") &amp; " / " &amp; IFERROR(VLOOKUP(MID(G5,H5,I5-H5),[6]skilldef!$A:$B,2,FALSE),"-")</f>
        <v>- / ウィルス</v>
      </c>
      <c r="M5" s="63" t="str">
        <f t="shared" si="5"/>
        <v xml:space="preserve">[effect:fix_speed, target:myself, turn:1],[effect:fix_speed, target:enemy_yellow, turn:2]    </v>
      </c>
      <c r="N5" s="48" t="str">
        <f t="shared" si="6"/>
        <v xml:space="preserve">[effect:fix_speed, target:myself, turn:1],[effect:fix_speed, target:enemy_yellow, turn:2]    </v>
      </c>
      <c r="O5" s="63">
        <f t="shared" si="7"/>
        <v>9</v>
      </c>
      <c r="P5" s="63">
        <f t="shared" si="8"/>
        <v>18</v>
      </c>
      <c r="Q5" s="63">
        <f t="shared" si="9"/>
        <v>27</v>
      </c>
      <c r="R5" s="63">
        <f t="shared" si="10"/>
        <v>33</v>
      </c>
      <c r="S5" s="63" t="str">
        <f>IFERROR(VLOOKUP(MID(N5,Q5,R5-Q5),[6]skilldef!$C:$D,2,FALSE),"-") &amp; " / " &amp; IFERROR(VLOOKUP(MID(N5,O5,P5-O5),[6]skilldef!$A:$B,2,FALSE),"-")</f>
        <v>自分自身に / 行動値設定</v>
      </c>
      <c r="T5" s="48" t="str">
        <f t="shared" si="11"/>
        <v xml:space="preserve">[effect:fix_speed, target:enemy_yellow, turn:2]    </v>
      </c>
      <c r="U5" s="63">
        <f t="shared" si="12"/>
        <v>9</v>
      </c>
      <c r="V5" s="63">
        <f t="shared" si="13"/>
        <v>18</v>
      </c>
      <c r="W5" s="63">
        <f t="shared" si="14"/>
        <v>27</v>
      </c>
      <c r="X5" s="63">
        <f t="shared" si="15"/>
        <v>39</v>
      </c>
      <c r="Y5" s="63" t="str">
        <f>IFERROR(VLOOKUP(MID(T5,W5,X5-W5),[6]skilldef!$C:$D,2,FALSE),"-") &amp; " / " &amp; IFERROR(VLOOKUP(MID(T5,U5,V5-U5),[6]skilldef!$A:$B,2,FALSE),"-")</f>
        <v>黄の敵に / 行動値設定</v>
      </c>
      <c r="Z5" s="50"/>
      <c r="AA5" s="52"/>
      <c r="AB5" s="50"/>
    </row>
    <row r="6" spans="1:28" ht="40" customHeight="1" x14ac:dyDescent="0.15">
      <c r="A6" s="47">
        <v>48006104</v>
      </c>
      <c r="B6" s="47" t="s">
        <v>267</v>
      </c>
      <c r="C6" s="50">
        <v>3</v>
      </c>
      <c r="D6" s="50" t="s">
        <v>126</v>
      </c>
      <c r="E6" s="51" t="s">
        <v>274</v>
      </c>
      <c r="F6" s="51" t="s">
        <v>305</v>
      </c>
      <c r="G6" s="63" t="str">
        <f t="shared" si="0"/>
        <v xml:space="preserve">[effect:virus, turn:3, rate:1, val:0.08, animation:enemy_virus]    </v>
      </c>
      <c r="H6" s="63">
        <f t="shared" si="1"/>
        <v>9</v>
      </c>
      <c r="I6" s="63">
        <f t="shared" si="2"/>
        <v>14</v>
      </c>
      <c r="J6" s="63" t="e">
        <f t="shared" si="3"/>
        <v>#VALUE!</v>
      </c>
      <c r="K6" s="63">
        <f t="shared" si="4"/>
        <v>22</v>
      </c>
      <c r="L6" s="63" t="str">
        <f>IFERROR(VLOOKUP(MID(G6,J6,K6-J6),[6]skilldef!$C:$D,2,FALSE),"-") &amp; " / " &amp; IFERROR(VLOOKUP(MID(G6,H6,I6-H6),[6]skilldef!$A:$B,2,FALSE),"-")</f>
        <v>- / ウィルス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40" customHeight="1" x14ac:dyDescent="0.15">
      <c r="A7" s="47">
        <v>48006105</v>
      </c>
      <c r="B7" s="47" t="s">
        <v>268</v>
      </c>
      <c r="C7" s="50">
        <v>3</v>
      </c>
      <c r="D7" s="50" t="s">
        <v>126</v>
      </c>
      <c r="E7" s="51" t="s">
        <v>275</v>
      </c>
      <c r="F7" s="51" t="s">
        <v>305</v>
      </c>
      <c r="G7" s="63" t="str">
        <f t="shared" si="0"/>
        <v xml:space="preserve">[effect:virus, turn:3, rate:1, val:0.1, animation:enemy_virus]    </v>
      </c>
      <c r="H7" s="63">
        <f t="shared" si="1"/>
        <v>9</v>
      </c>
      <c r="I7" s="63">
        <f t="shared" si="2"/>
        <v>14</v>
      </c>
      <c r="J7" s="63" t="e">
        <f t="shared" si="3"/>
        <v>#VALUE!</v>
      </c>
      <c r="K7" s="63">
        <f t="shared" si="4"/>
        <v>22</v>
      </c>
      <c r="L7" s="63" t="str">
        <f>IFERROR(VLOOKUP(MID(G7,J7,K7-J7),[6]skilldef!$C:$D,2,FALSE),"-") &amp; " / " &amp; IFERROR(VLOOKUP(MID(G7,H7,I7-H7),[6]skilldef!$A:$B,2,FALSE),"-")</f>
        <v>- / ウィルス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40" customHeight="1" x14ac:dyDescent="0.15">
      <c r="A8" s="47">
        <v>48006106</v>
      </c>
      <c r="B8" s="47" t="s">
        <v>269</v>
      </c>
      <c r="C8" s="50">
        <v>3</v>
      </c>
      <c r="D8" s="50" t="s">
        <v>126</v>
      </c>
      <c r="E8" s="51" t="s">
        <v>276</v>
      </c>
      <c r="F8" s="51" t="s">
        <v>305</v>
      </c>
      <c r="G8" s="63" t="str">
        <f t="shared" si="0"/>
        <v xml:space="preserve">[effect:virus, turn:3, rate:1, val:0.12, animation:enemy_virus]    </v>
      </c>
      <c r="H8" s="63">
        <f t="shared" si="1"/>
        <v>9</v>
      </c>
      <c r="I8" s="63">
        <f t="shared" si="2"/>
        <v>14</v>
      </c>
      <c r="J8" s="63" t="e">
        <f t="shared" si="3"/>
        <v>#VALUE!</v>
      </c>
      <c r="K8" s="63">
        <f t="shared" si="4"/>
        <v>22</v>
      </c>
      <c r="L8" s="63" t="str">
        <f>IFERROR(VLOOKUP(MID(G8,J8,K8-J8),[6]skilldef!$C:$D,2,FALSE),"-") &amp; " / " &amp; IFERROR(VLOOKUP(MID(G8,H8,I8-H8),[6]skilldef!$A:$B,2,FALSE),"-")</f>
        <v>- / ウィルス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40" customHeight="1" x14ac:dyDescent="0.15">
      <c r="A9" s="47">
        <v>48006107</v>
      </c>
      <c r="B9" s="47" t="s">
        <v>262</v>
      </c>
      <c r="C9" s="50">
        <v>3</v>
      </c>
      <c r="D9" s="50" t="s">
        <v>126</v>
      </c>
      <c r="E9" s="51" t="s">
        <v>277</v>
      </c>
      <c r="F9" s="51" t="s">
        <v>305</v>
      </c>
      <c r="G9" s="63" t="str">
        <f t="shared" si="0"/>
        <v xml:space="preserve">[effect:virus, turn:3, rate:1, val:0.15, animation:enemy_virus]    </v>
      </c>
      <c r="H9" s="63">
        <f t="shared" si="1"/>
        <v>9</v>
      </c>
      <c r="I9" s="63">
        <f t="shared" si="2"/>
        <v>14</v>
      </c>
      <c r="J9" s="63" t="e">
        <f t="shared" si="3"/>
        <v>#VALUE!</v>
      </c>
      <c r="K9" s="63">
        <f t="shared" si="4"/>
        <v>22</v>
      </c>
      <c r="L9" s="63" t="str">
        <f>IFERROR(VLOOKUP(MID(G9,J9,K9-J9),[6]skilldef!$C:$D,2,FALSE),"-") &amp; " / " &amp; IFERROR(VLOOKUP(MID(G9,H9,I9-H9),[6]skilldef!$A:$B,2,FALSE),"-")</f>
        <v>- / ウィルス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40" customHeight="1" x14ac:dyDescent="0.15">
      <c r="A10" s="47">
        <v>48006108</v>
      </c>
      <c r="B10" s="47" t="s">
        <v>265</v>
      </c>
      <c r="C10" s="50">
        <v>3</v>
      </c>
      <c r="D10" s="50" t="s">
        <v>126</v>
      </c>
      <c r="E10" s="51" t="s">
        <v>287</v>
      </c>
      <c r="F10" s="51" t="s">
        <v>337</v>
      </c>
      <c r="G10" s="63" t="str">
        <f t="shared" si="0"/>
        <v xml:space="preserve">[effect:damage_anti_tribe, target:unit_all, tribe:animal, val1:0.8, val2:0.25]    </v>
      </c>
      <c r="H10" s="63">
        <f t="shared" si="1"/>
        <v>9</v>
      </c>
      <c r="I10" s="63">
        <f t="shared" si="2"/>
        <v>26</v>
      </c>
      <c r="J10" s="63">
        <f t="shared" si="3"/>
        <v>35</v>
      </c>
      <c r="K10" s="63">
        <f t="shared" si="4"/>
        <v>43</v>
      </c>
      <c r="L10" s="63" t="str">
        <f>IFERROR(VLOOKUP(MID(G10,J10,K10-J10),[6]skilldef!$C:$D,2,FALSE),"-") &amp; " / " &amp; IFERROR(VLOOKUP(MID(G10,H10,I10-H10),[6]skilldef!$A:$B,2,FALSE),"-")</f>
        <v>味方全体に / 種族キラー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40" customHeight="1" x14ac:dyDescent="0.15">
      <c r="A11" s="47">
        <v>48006109</v>
      </c>
      <c r="B11" s="47" t="s">
        <v>263</v>
      </c>
      <c r="C11" s="50">
        <v>3</v>
      </c>
      <c r="D11" s="50" t="s">
        <v>126</v>
      </c>
      <c r="E11" s="51" t="s">
        <v>278</v>
      </c>
      <c r="F11" s="51" t="s">
        <v>338</v>
      </c>
      <c r="G11" s="63" t="str">
        <f t="shared" si="0"/>
        <v xml:space="preserve">[effect:damage_anti_color, target:unit_all, color:blue, val1:0.8, val2:0.25]    </v>
      </c>
      <c r="H11" s="63">
        <f t="shared" si="1"/>
        <v>9</v>
      </c>
      <c r="I11" s="63">
        <f t="shared" si="2"/>
        <v>26</v>
      </c>
      <c r="J11" s="63">
        <f t="shared" si="3"/>
        <v>35</v>
      </c>
      <c r="K11" s="63">
        <f t="shared" si="4"/>
        <v>43</v>
      </c>
      <c r="L11" s="63" t="str">
        <f>IFERROR(VLOOKUP(MID(G11,J11,K11-J11),[6]skilldef!$C:$D,2,FALSE),"-") &amp; " / " &amp; IFERROR(VLOOKUP(MID(G11,H11,I11-H11),[6]skilldef!$A:$B,2,FALSE),"-")</f>
        <v>味方全体に / 属性キラー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40" customHeight="1" x14ac:dyDescent="0.15">
      <c r="A12" s="47">
        <v>48006110</v>
      </c>
      <c r="B12" s="47" t="s">
        <v>367</v>
      </c>
      <c r="C12" s="50">
        <v>3</v>
      </c>
      <c r="D12" s="50" t="s">
        <v>126</v>
      </c>
      <c r="E12" s="51" t="s">
        <v>384</v>
      </c>
      <c r="F12" s="51" t="s">
        <v>339</v>
      </c>
      <c r="G12" s="63" t="str">
        <f t="shared" si="0"/>
        <v>[effect:enemy_message, val1:1.0, val2:2.3]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>[effect:hungup, target:unit_human, turn:3, rate:1, animation:hungup01],[effect:rush, count:1, val:1]</v>
      </c>
      <c r="N12" s="48" t="str">
        <f t="shared" si="6"/>
        <v>[effect:hungup, target:unit_human, turn:3, rate:1, animation:hungup01],[effect:rush, count:1, val:1]</v>
      </c>
      <c r="O12" s="63">
        <f t="shared" si="7"/>
        <v>9</v>
      </c>
      <c r="P12" s="63">
        <f t="shared" si="8"/>
        <v>15</v>
      </c>
      <c r="Q12" s="63">
        <f t="shared" si="9"/>
        <v>24</v>
      </c>
      <c r="R12" s="63">
        <f t="shared" si="10"/>
        <v>34</v>
      </c>
      <c r="S12" s="63" t="str">
        <f>IFERROR(VLOOKUP(MID(N12,Q12,R12-Q12),[6]skilldef!$C:$D,2,FALSE),"-") &amp; " / " &amp; IFERROR(VLOOKUP(MID(N12,O12,P12-O12),[6]skilldef!$A:$B,2,FALSE),"-")</f>
        <v>ヒューマンの味方に / ハングアップ</v>
      </c>
      <c r="T12" s="48" t="str">
        <f t="shared" si="11"/>
        <v>[effect:rush, count:1, val:1]</v>
      </c>
      <c r="U12" s="63">
        <f t="shared" si="12"/>
        <v>9</v>
      </c>
      <c r="V12" s="63">
        <f t="shared" si="13"/>
        <v>13</v>
      </c>
      <c r="W12" s="63" t="e">
        <f t="shared" si="14"/>
        <v>#VALUE!</v>
      </c>
      <c r="X12" s="63">
        <f t="shared" si="15"/>
        <v>22</v>
      </c>
      <c r="Y12" s="63" t="str">
        <f>IFERROR(VLOOKUP(MID(T12,W12,X12-W12),[6]skilldef!$C:$D,2,FALSE),"-") &amp; " / " &amp; IFERROR(VLOOKUP(MID(T12,U12,V12-U12),[6]skilldef!$A:$B,2,FALSE),"-")</f>
        <v>- / 連続攻撃</v>
      </c>
      <c r="Z12" s="50"/>
      <c r="AA12" s="52"/>
      <c r="AB12" s="50"/>
    </row>
    <row r="13" spans="1:28" ht="40" customHeight="1" x14ac:dyDescent="0.15">
      <c r="A13" s="47">
        <v>48006111</v>
      </c>
      <c r="B13" s="47" t="s">
        <v>295</v>
      </c>
      <c r="C13" s="50">
        <v>3</v>
      </c>
      <c r="D13" s="50" t="s">
        <v>126</v>
      </c>
      <c r="E13" s="51" t="s">
        <v>279</v>
      </c>
      <c r="F13" s="51" t="s">
        <v>313</v>
      </c>
      <c r="G13" s="63" t="str">
        <f t="shared" si="0"/>
        <v>[effect:tolerance, target:myself, turn:-1, tolerance_effect:all, count:-1, animation:enemy_tolerance]</v>
      </c>
      <c r="H13" s="63">
        <f t="shared" si="1"/>
        <v>9</v>
      </c>
      <c r="I13" s="63">
        <f t="shared" si="2"/>
        <v>18</v>
      </c>
      <c r="J13" s="63">
        <f t="shared" si="3"/>
        <v>27</v>
      </c>
      <c r="K13" s="63">
        <f t="shared" si="4"/>
        <v>33</v>
      </c>
      <c r="L13" s="63" t="str">
        <f>IFERROR(VLOOKUP(MID(G13,J13,K13-J13),[6]skilldef!$C:$D,2,FALSE),"-") &amp; " / " &amp; IFERROR(VLOOKUP(MID(G13,H13,I13-H13),[6]skilldef!$A:$B,2,FALSE),"-")</f>
        <v>自分自身に / 状態異常耐性</v>
      </c>
      <c r="M13" s="63" t="str">
        <f t="shared" si="5"/>
        <v>[effect:fix_speed, target:myself, turn:1]</v>
      </c>
      <c r="N13" s="48" t="str">
        <f t="shared" si="6"/>
        <v>[effect:fix_speed, target:myself, turn:1]</v>
      </c>
      <c r="O13" s="63">
        <f t="shared" si="7"/>
        <v>9</v>
      </c>
      <c r="P13" s="63">
        <f t="shared" si="8"/>
        <v>18</v>
      </c>
      <c r="Q13" s="63">
        <f t="shared" si="9"/>
        <v>27</v>
      </c>
      <c r="R13" s="63">
        <f t="shared" si="10"/>
        <v>33</v>
      </c>
      <c r="S13" s="63" t="str">
        <f>IFERROR(VLOOKUP(MID(N13,Q13,R13-Q13),[6]skilldef!$C:$D,2,FALSE),"-") &amp; " / " &amp; IFERROR(VLOOKUP(MID(N13,O13,P13-O13),[6]skilldef!$A:$B,2,FALSE),"-")</f>
        <v>自分自身に / 行動値設定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40" customHeight="1" x14ac:dyDescent="0.15">
      <c r="A14" s="47">
        <v>48006112</v>
      </c>
      <c r="B14" s="47" t="s">
        <v>366</v>
      </c>
      <c r="C14" s="50">
        <v>3</v>
      </c>
      <c r="D14" s="50" t="s">
        <v>126</v>
      </c>
      <c r="E14" s="51" t="s">
        <v>290</v>
      </c>
      <c r="F14" s="51" t="s">
        <v>362</v>
      </c>
      <c r="G14" s="63" t="str">
        <f t="shared" si="0"/>
        <v>[effect:enemy_message, val1:1.0, val2:2.3]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[effect:force_change_block, new_block:time_bomb, target:block_all, ignore01:crash, ignore02:crack_bomb, ignore03:time_bomb, ignore04:color_break, color:block_red, count:2, val:0.2, animation:change_block],[effect:rush, count:2, val:0.5]</v>
      </c>
      <c r="N14" s="48" t="str">
        <f t="shared" si="6"/>
        <v>[effect:force_change_block, new_block:time_bomb, target:block_all, ignore01:crash, ignore02:crack_bomb, ignore03:time_bomb, ignore04:color_break, color:block_red, count:2, val:0.2, animation:change_block],[effect:rush, count:2, val:0.5]</v>
      </c>
      <c r="O14" s="63">
        <f t="shared" si="7"/>
        <v>9</v>
      </c>
      <c r="P14" s="63">
        <f t="shared" si="8"/>
        <v>27</v>
      </c>
      <c r="Q14" s="63">
        <f t="shared" si="9"/>
        <v>57</v>
      </c>
      <c r="R14" s="63">
        <f t="shared" si="10"/>
        <v>48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[effect:rush, count:2, val:0.5]</v>
      </c>
      <c r="U14" s="63">
        <f t="shared" si="12"/>
        <v>9</v>
      </c>
      <c r="V14" s="63">
        <f t="shared" si="13"/>
        <v>13</v>
      </c>
      <c r="W14" s="63" t="e">
        <f t="shared" si="14"/>
        <v>#VALUE!</v>
      </c>
      <c r="X14" s="63">
        <f t="shared" si="15"/>
        <v>22</v>
      </c>
      <c r="Y14" s="63" t="str">
        <f>IFERROR(VLOOKUP(MID(T14,W14,X14-W14),[6]skilldef!$C:$D,2,FALSE),"-") &amp; " / " &amp; IFERROR(VLOOKUP(MID(T14,U14,V14-U14),[6]skilldef!$A:$B,2,FALSE),"-")</f>
        <v>- / 連続攻撃</v>
      </c>
      <c r="Z14" s="50"/>
      <c r="AA14" s="52"/>
      <c r="AB14" s="50"/>
    </row>
    <row r="15" spans="1:28" ht="40" customHeight="1" x14ac:dyDescent="0.15">
      <c r="A15" s="47">
        <v>48006113</v>
      </c>
      <c r="B15" s="47" t="s">
        <v>264</v>
      </c>
      <c r="C15" s="50">
        <v>3</v>
      </c>
      <c r="D15" s="50" t="s">
        <v>126</v>
      </c>
      <c r="E15" s="51" t="s">
        <v>288</v>
      </c>
      <c r="F15" s="51" t="s">
        <v>388</v>
      </c>
      <c r="G15" s="63" t="str">
        <f t="shared" si="0"/>
        <v xml:space="preserve">[effect:change_panel_ratio, turn:1, block_type:green, val:0, animation:block_incidence04]    </v>
      </c>
      <c r="H15" s="63">
        <f t="shared" si="1"/>
        <v>9</v>
      </c>
      <c r="I15" s="63">
        <f t="shared" si="2"/>
        <v>27</v>
      </c>
      <c r="J15" s="63" t="e">
        <f t="shared" si="3"/>
        <v>#VALUE!</v>
      </c>
      <c r="K15" s="63">
        <f t="shared" si="4"/>
        <v>35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40" customHeight="1" x14ac:dyDescent="0.15">
      <c r="A16" s="47">
        <v>48006114</v>
      </c>
      <c r="B16" s="47" t="s">
        <v>298</v>
      </c>
      <c r="C16" s="50">
        <v>3</v>
      </c>
      <c r="D16" s="50" t="s">
        <v>126</v>
      </c>
      <c r="E16" s="51" t="s">
        <v>291</v>
      </c>
      <c r="F16" s="51" t="s">
        <v>347</v>
      </c>
      <c r="G16" s="63" t="str">
        <f t="shared" si="0"/>
        <v xml:space="preserve">[effect:break_attack_fix, target:unit_all, val:500, lowest_val:500, count:-1, color:green, block01:block_green]    </v>
      </c>
      <c r="H16" s="63">
        <f t="shared" si="1"/>
        <v>9</v>
      </c>
      <c r="I16" s="63">
        <f t="shared" si="2"/>
        <v>25</v>
      </c>
      <c r="J16" s="63">
        <f t="shared" si="3"/>
        <v>34</v>
      </c>
      <c r="K16" s="63">
        <f t="shared" si="4"/>
        <v>42</v>
      </c>
      <c r="L16" s="63" t="str">
        <f>IFERROR(VLOOKUP(MID(G16,J16,K16-J16),[6]skilldef!$C:$D,2,FALSE),"-") &amp; " / " &amp; IFERROR(VLOOKUP(MID(G16,H16,I16-H16),[6]skilldef!$A:$B,2,FALSE),"-")</f>
        <v>味方全体に / -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40" customHeight="1" x14ac:dyDescent="0.15">
      <c r="A17" s="47">
        <v>48006115</v>
      </c>
      <c r="B17" s="47" t="s">
        <v>375</v>
      </c>
      <c r="C17" s="50">
        <v>3</v>
      </c>
      <c r="D17" s="50" t="s">
        <v>126</v>
      </c>
      <c r="E17" s="51" t="s">
        <v>289</v>
      </c>
      <c r="F17" s="51" t="s">
        <v>280</v>
      </c>
      <c r="G17" s="63" t="str">
        <f t="shared" si="0"/>
        <v>[effect:enemy_message, val1:1.0, val2:2.1]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[effect:fix_speed, target:myself, turn:1]</v>
      </c>
      <c r="N17" s="48" t="str">
        <f t="shared" si="6"/>
        <v>[effect:fix_speed, target:myself, turn:1]</v>
      </c>
      <c r="O17" s="63">
        <f t="shared" si="7"/>
        <v>9</v>
      </c>
      <c r="P17" s="63">
        <f t="shared" si="8"/>
        <v>18</v>
      </c>
      <c r="Q17" s="63">
        <f t="shared" si="9"/>
        <v>27</v>
      </c>
      <c r="R17" s="63">
        <f t="shared" si="10"/>
        <v>33</v>
      </c>
      <c r="S17" s="63" t="str">
        <f>IFERROR(VLOOKUP(MID(N17,Q17,R17-Q17),[6]skilldef!$C:$D,2,FALSE),"-") &amp; " / " &amp; IFERROR(VLOOKUP(MID(N17,O17,P17-O17),[6]skilldef!$A:$B,2,FALSE),"-")</f>
        <v>自分自身に / 行動値設定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40" customHeight="1" x14ac:dyDescent="0.15">
      <c r="A18" s="47">
        <v>48006116</v>
      </c>
      <c r="B18" s="47" t="s">
        <v>285</v>
      </c>
      <c r="C18" s="50">
        <v>3</v>
      </c>
      <c r="D18" s="50" t="s">
        <v>126</v>
      </c>
      <c r="E18" s="172" t="s">
        <v>370</v>
      </c>
      <c r="F18" s="105" t="s">
        <v>341</v>
      </c>
      <c r="G18" s="63" t="str">
        <f t="shared" si="0"/>
        <v xml:space="preserve">[effect:regenerate, turn:1, val:0.04, type:hp_ratio, animation:heal01]    </v>
      </c>
      <c r="H18" s="63">
        <f t="shared" si="1"/>
        <v>9</v>
      </c>
      <c r="I18" s="63">
        <f t="shared" si="2"/>
        <v>19</v>
      </c>
      <c r="J18" s="63" t="e">
        <f t="shared" si="3"/>
        <v>#VALUE!</v>
      </c>
      <c r="K18" s="63">
        <f t="shared" si="4"/>
        <v>27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40" customHeight="1" x14ac:dyDescent="0.15">
      <c r="A19" s="47">
        <v>48006117</v>
      </c>
      <c r="B19" s="47" t="s">
        <v>286</v>
      </c>
      <c r="C19" s="50">
        <v>3</v>
      </c>
      <c r="D19" s="50" t="s">
        <v>126</v>
      </c>
      <c r="E19" s="172" t="s">
        <v>371</v>
      </c>
      <c r="F19" s="105" t="s">
        <v>341</v>
      </c>
      <c r="G19" s="63" t="str">
        <f>IFERROR(LEFT(B21,FIND("],",B21)),B21)</f>
        <v xml:space="preserve">[effect:regenerate, turn:1, val:0.15, type:hp_ratio, animation:heal01]    </v>
      </c>
      <c r="H19" s="63">
        <f t="shared" si="1"/>
        <v>9</v>
      </c>
      <c r="I19" s="63">
        <f t="shared" si="2"/>
        <v>19</v>
      </c>
      <c r="J19" s="63" t="e">
        <f t="shared" si="3"/>
        <v>#VALUE!</v>
      </c>
      <c r="K19" s="63">
        <f t="shared" si="4"/>
        <v>27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>IFERROR(RIGHT(B21,LEN(B21)-FIND("],",B21)-1),"none")</f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40" customHeight="1" x14ac:dyDescent="0.15">
      <c r="A20" s="47">
        <v>48006118</v>
      </c>
      <c r="B20" s="47" t="s">
        <v>283</v>
      </c>
      <c r="C20" s="50">
        <v>3</v>
      </c>
      <c r="D20" s="50" t="s">
        <v>126</v>
      </c>
      <c r="E20" s="172" t="s">
        <v>372</v>
      </c>
      <c r="F20" s="105" t="s">
        <v>341</v>
      </c>
      <c r="G20" s="63" t="str">
        <f t="shared" si="0"/>
        <v xml:space="preserve">[effect:regenerate, turn:1, val:0.1, type:hp_ratio, animation:heal01]    </v>
      </c>
      <c r="H20" s="63">
        <f t="shared" si="1"/>
        <v>9</v>
      </c>
      <c r="I20" s="63">
        <f t="shared" si="2"/>
        <v>19</v>
      </c>
      <c r="J20" s="63" t="e">
        <f t="shared" si="3"/>
        <v>#VALUE!</v>
      </c>
      <c r="K20" s="63">
        <f t="shared" si="4"/>
        <v>27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40" customHeight="1" x14ac:dyDescent="0.15">
      <c r="A21" s="47">
        <v>48006119</v>
      </c>
      <c r="B21" s="47" t="s">
        <v>284</v>
      </c>
      <c r="C21" s="50">
        <v>3</v>
      </c>
      <c r="D21" s="50" t="s">
        <v>126</v>
      </c>
      <c r="E21" s="172" t="s">
        <v>373</v>
      </c>
      <c r="F21" s="105" t="s">
        <v>341</v>
      </c>
      <c r="G21" s="63" t="e">
        <f>IFERROR(LEFT(#REF!,FIND("],",#REF!)),#REF!)</f>
        <v>#REF!</v>
      </c>
      <c r="H21" s="63" t="e">
        <f t="shared" si="1"/>
        <v>#REF!</v>
      </c>
      <c r="I21" s="63" t="e">
        <f t="shared" si="2"/>
        <v>#REF!</v>
      </c>
      <c r="J21" s="63" t="e">
        <f t="shared" si="3"/>
        <v>#REF!</v>
      </c>
      <c r="K21" s="63" t="e">
        <f t="shared" si="4"/>
        <v>#REF!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>IFERROR(RIGHT(#REF!,LEN(#REF!)-FIND("],",#REF!)-1),"none")</f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40" customHeight="1" x14ac:dyDescent="0.15">
      <c r="A22" s="47">
        <v>48006120</v>
      </c>
      <c r="B22" s="47" t="s">
        <v>281</v>
      </c>
      <c r="C22" s="50">
        <v>3</v>
      </c>
      <c r="D22" s="50" t="s">
        <v>126</v>
      </c>
      <c r="E22" s="51" t="s">
        <v>292</v>
      </c>
      <c r="F22" s="105" t="s">
        <v>341</v>
      </c>
      <c r="G22" s="63" t="str">
        <f t="shared" si="0"/>
        <v xml:space="preserve">[effect:regenerate, turn:1, val:0.2, type:hp_ratio, animation:heal01]    </v>
      </c>
      <c r="H22" s="63">
        <f t="shared" si="1"/>
        <v>9</v>
      </c>
      <c r="I22" s="63">
        <f t="shared" si="2"/>
        <v>19</v>
      </c>
      <c r="J22" s="63" t="e">
        <f t="shared" si="3"/>
        <v>#VALUE!</v>
      </c>
      <c r="K22" s="63">
        <f t="shared" si="4"/>
        <v>27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40" customHeight="1" x14ac:dyDescent="0.15">
      <c r="A23" s="47">
        <v>48006121</v>
      </c>
      <c r="B23" s="47" t="s">
        <v>297</v>
      </c>
      <c r="C23" s="50">
        <v>3</v>
      </c>
      <c r="D23" s="50" t="s">
        <v>126</v>
      </c>
      <c r="E23" s="51" t="s">
        <v>282</v>
      </c>
      <c r="F23" s="51" t="s">
        <v>254</v>
      </c>
      <c r="G23" s="63" t="str">
        <f t="shared" si="0"/>
        <v>[effect:spread, val:0.45]</v>
      </c>
      <c r="H23" s="63">
        <f t="shared" si="1"/>
        <v>9</v>
      </c>
      <c r="I23" s="63">
        <f t="shared" si="2"/>
        <v>15</v>
      </c>
      <c r="J23" s="63" t="e">
        <f t="shared" si="3"/>
        <v>#VALUE!</v>
      </c>
      <c r="K23" s="63" t="e">
        <f t="shared" si="4"/>
        <v>#VALUE!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40" customHeight="1" x14ac:dyDescent="0.15">
      <c r="A24" s="47">
        <v>48006122</v>
      </c>
      <c r="B24" s="47" t="s">
        <v>376</v>
      </c>
      <c r="C24" s="50">
        <v>3</v>
      </c>
      <c r="D24" s="50" t="s">
        <v>126</v>
      </c>
      <c r="E24" s="167" t="s">
        <v>334</v>
      </c>
      <c r="F24" s="51" t="s">
        <v>342</v>
      </c>
      <c r="G24" s="63" t="str">
        <f t="shared" si="0"/>
        <v>[effect:enemy_message, val1:1.0, val2:2.1]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 xml:space="preserve">[effect:tolerance, target:myself, turn:-1, tolerance_effect:all, count:-1, animation:enemy_tolerance],[effect:virus, turn:-1, rate:1, val:0.1, animation:enemy_virus],[effect:fix_speed, target:myself, turn:2] </v>
      </c>
      <c r="N24" s="48" t="str">
        <f t="shared" si="6"/>
        <v xml:space="preserve">[effect:tolerance, target:myself, turn:-1, tolerance_effect:all, count:-1, animation:enemy_tolerance],[effect:virus, turn:-1, rate:1, val:0.1, animation:enemy_virus],[effect:fix_speed, target:myself, turn:2] </v>
      </c>
      <c r="O24" s="63">
        <f t="shared" si="7"/>
        <v>9</v>
      </c>
      <c r="P24" s="63">
        <f t="shared" si="8"/>
        <v>18</v>
      </c>
      <c r="Q24" s="63">
        <f t="shared" si="9"/>
        <v>27</v>
      </c>
      <c r="R24" s="63">
        <f t="shared" si="10"/>
        <v>33</v>
      </c>
      <c r="S24" s="63" t="str">
        <f>IFERROR(VLOOKUP(MID(N24,Q24,R24-Q24),[6]skilldef!$C:$D,2,FALSE),"-") &amp; " / " &amp; IFERROR(VLOOKUP(MID(N24,O24,P24-O24),[6]skilldef!$A:$B,2,FALSE),"-")</f>
        <v>自分自身に / 状態異常耐性</v>
      </c>
      <c r="T24" s="48" t="str">
        <f t="shared" si="11"/>
        <v xml:space="preserve">[effect:virus, turn:-1, rate:1, val:0.1, animation:enemy_virus],[effect:fix_speed, target:myself, turn:2] </v>
      </c>
      <c r="U24" s="63">
        <f t="shared" si="12"/>
        <v>9</v>
      </c>
      <c r="V24" s="63">
        <f t="shared" si="13"/>
        <v>14</v>
      </c>
      <c r="W24" s="63">
        <f t="shared" si="14"/>
        <v>91</v>
      </c>
      <c r="X24" s="63">
        <f t="shared" si="15"/>
        <v>23</v>
      </c>
      <c r="Y24" s="63" t="str">
        <f>IFERROR(VLOOKUP(MID(T24,W24,X24-W24),[6]skilldef!$C:$D,2,FALSE),"-") &amp; " / " &amp; IFERROR(VLOOKUP(MID(T24,U24,V24-U24),[6]skilldef!$A:$B,2,FALSE),"-")</f>
        <v>- / ウィルス</v>
      </c>
      <c r="Z24" s="50"/>
      <c r="AA24" s="52"/>
      <c r="AB24" s="50"/>
    </row>
    <row r="25" spans="1:28" ht="40" customHeight="1" x14ac:dyDescent="0.15">
      <c r="A25" s="47">
        <v>48006123</v>
      </c>
      <c r="B25" s="47" t="s">
        <v>368</v>
      </c>
      <c r="C25" s="50">
        <v>3</v>
      </c>
      <c r="D25" s="50" t="s">
        <v>126</v>
      </c>
      <c r="E25" s="167" t="s">
        <v>335</v>
      </c>
      <c r="F25" s="51" t="s">
        <v>343</v>
      </c>
      <c r="G25" s="63" t="str">
        <f t="shared" si="0"/>
        <v>[effect:enemy_message, val1:1.0, val2:2.8]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5"/>
        <v>[effect:damage_anti_tribe, target:unit_all, tribe:animal, val1:0.8, val2:0.25],[effect:force_change_block, new_block:jammer, target:block_all, ignore01:crash, ignore02:crack_bomb, ignore03:time_bomb, ignore04:color_break, count:2, val:0, animation:change_block]</v>
      </c>
      <c r="N25" s="48" t="str">
        <f t="shared" si="6"/>
        <v>[effect:damage_anti_tribe, target:unit_all, tribe:animal, val1:0.8, val2:0.25],[effect:force_change_block, new_block:jammer, target:block_all, ignore01:crash, ignore02:crack_bomb, ignore03:time_bomb, ignore04:color_break, count:2, val:0, animation:change_block]</v>
      </c>
      <c r="O25" s="63">
        <f t="shared" si="7"/>
        <v>9</v>
      </c>
      <c r="P25" s="63">
        <f t="shared" si="8"/>
        <v>26</v>
      </c>
      <c r="Q25" s="63">
        <f t="shared" si="9"/>
        <v>35</v>
      </c>
      <c r="R25" s="63">
        <f t="shared" si="10"/>
        <v>43</v>
      </c>
      <c r="S25" s="63" t="str">
        <f>IFERROR(VLOOKUP(MID(N25,Q25,R25-Q25),[6]skilldef!$C:$D,2,FALSE),"-") &amp; " / " &amp; IFERROR(VLOOKUP(MID(N25,O25,P25-O25),[6]skilldef!$A:$B,2,FALSE),"-")</f>
        <v>味方全体に / 種族キラー</v>
      </c>
      <c r="T25" s="48" t="str">
        <f t="shared" si="11"/>
        <v>[effect:force_change_block, new_block:jammer, target:block_all, ignore01:crash, ignore02:crack_bomb, ignore03:time_bomb, ignore04:color_break, count:2, val:0, animation:change_block]</v>
      </c>
      <c r="U25" s="63">
        <f t="shared" si="12"/>
        <v>9</v>
      </c>
      <c r="V25" s="63">
        <f t="shared" si="13"/>
        <v>27</v>
      </c>
      <c r="W25" s="63">
        <f t="shared" si="14"/>
        <v>54</v>
      </c>
      <c r="X25" s="63">
        <f t="shared" si="15"/>
        <v>45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40" customHeight="1" x14ac:dyDescent="0.15">
      <c r="A26" s="47">
        <v>48006124</v>
      </c>
      <c r="B26" s="47" t="s">
        <v>324</v>
      </c>
      <c r="C26" s="50">
        <v>3</v>
      </c>
      <c r="D26" s="50" t="s">
        <v>126</v>
      </c>
      <c r="E26" s="167" t="s">
        <v>329</v>
      </c>
      <c r="F26" s="51" t="s">
        <v>363</v>
      </c>
      <c r="G26" s="63" t="str">
        <f t="shared" si="0"/>
        <v>[effect:rush, count:8, val:0.15]</v>
      </c>
      <c r="H26" s="63">
        <f t="shared" si="1"/>
        <v>9</v>
      </c>
      <c r="I26" s="63">
        <f t="shared" si="2"/>
        <v>13</v>
      </c>
      <c r="J26" s="63" t="e">
        <f t="shared" si="3"/>
        <v>#VALUE!</v>
      </c>
      <c r="K26" s="63">
        <f t="shared" si="4"/>
        <v>22</v>
      </c>
      <c r="L26" s="63" t="str">
        <f>IFERROR(VLOOKUP(MID(G26,J26,K26-J26),[6]skilldef!$C:$D,2,FALSE),"-") &amp; " / " &amp; IFERROR(VLOOKUP(MID(G26,H26,I26-H26),[6]skilldef!$A:$B,2,FALSE),"-")</f>
        <v>- / 連続攻撃</v>
      </c>
      <c r="M26" s="63" t="str">
        <f t="shared" si="5"/>
        <v>none</v>
      </c>
      <c r="N26" s="48" t="str">
        <f t="shared" si="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40" customHeight="1" x14ac:dyDescent="0.15">
      <c r="A27" s="47">
        <v>48006125</v>
      </c>
      <c r="B27" s="47" t="s">
        <v>369</v>
      </c>
      <c r="C27" s="50">
        <v>3</v>
      </c>
      <c r="D27" s="50" t="s">
        <v>126</v>
      </c>
      <c r="E27" s="167" t="s">
        <v>333</v>
      </c>
      <c r="F27" s="51" t="s">
        <v>344</v>
      </c>
      <c r="G27" s="63" t="str">
        <f t="shared" si="0"/>
        <v>[effect:enemy_message, val1:1.0, val2:2.3]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 xml:space="preserve">[effect:hungup, target:unit_human, turn:3, rate:1, animation:hungup01],[effect:freq_turn, target:myself, turn:-1, val:1, animation:enemy_freq_turn]     </v>
      </c>
      <c r="N27" s="48" t="str">
        <f t="shared" si="6"/>
        <v xml:space="preserve">[effect:hungup, target:unit_human, turn:3, rate:1, animation:hungup01],[effect:freq_turn, target:myself, turn:-1, val:1, animation:enemy_freq_turn]     </v>
      </c>
      <c r="O27" s="63">
        <f t="shared" si="7"/>
        <v>9</v>
      </c>
      <c r="P27" s="63">
        <f t="shared" si="8"/>
        <v>15</v>
      </c>
      <c r="Q27" s="63">
        <f t="shared" si="9"/>
        <v>24</v>
      </c>
      <c r="R27" s="63">
        <f t="shared" si="10"/>
        <v>34</v>
      </c>
      <c r="S27" s="63" t="str">
        <f>IFERROR(VLOOKUP(MID(N27,Q27,R27-Q27),[6]skilldef!$C:$D,2,FALSE),"-") &amp; " / " &amp; IFERROR(VLOOKUP(MID(N27,O27,P27-O27),[6]skilldef!$A:$B,2,FALSE),"-")</f>
        <v>ヒューマンの味方に / ハングアップ</v>
      </c>
      <c r="T27" s="48" t="str">
        <f t="shared" si="11"/>
        <v xml:space="preserve">[effect:freq_turn, target:myself, turn:-1, val:1, animation:enemy_freq_turn]     </v>
      </c>
      <c r="U27" s="63">
        <f t="shared" si="12"/>
        <v>9</v>
      </c>
      <c r="V27" s="63">
        <f t="shared" si="13"/>
        <v>18</v>
      </c>
      <c r="W27" s="63">
        <f t="shared" si="14"/>
        <v>27</v>
      </c>
      <c r="X27" s="63">
        <f t="shared" si="15"/>
        <v>33</v>
      </c>
      <c r="Y27" s="63" t="str">
        <f>IFERROR(VLOOKUP(MID(T27,W27,X27-W27),[6]skilldef!$C:$D,2,FALSE),"-") &amp; " / " &amp; IFERROR(VLOOKUP(MID(T27,U27,V27-U27),[6]skilldef!$A:$B,2,FALSE),"-")</f>
        <v>自分自身に / 攻撃頻度がUP</v>
      </c>
      <c r="Z27" s="50"/>
      <c r="AA27" s="52"/>
      <c r="AB27" s="50"/>
    </row>
    <row r="28" spans="1:28" ht="40" customHeight="1" x14ac:dyDescent="0.15">
      <c r="A28" s="47">
        <v>48006126</v>
      </c>
      <c r="B28" s="47" t="s">
        <v>389</v>
      </c>
      <c r="C28" s="50">
        <v>3</v>
      </c>
      <c r="D28" s="50" t="s">
        <v>126</v>
      </c>
      <c r="E28" s="167" t="s">
        <v>332</v>
      </c>
      <c r="F28" s="51" t="s">
        <v>314</v>
      </c>
      <c r="G28" s="63" t="str">
        <f t="shared" si="0"/>
        <v xml:space="preserve">[effect:damage_anti_abnormal, target:unit_all, target_effect01:hungup, target_effect02:virus, target_effect03:sleep, val1:0.4, val2:0.35]    </v>
      </c>
      <c r="H28" s="63">
        <f t="shared" si="1"/>
        <v>9</v>
      </c>
      <c r="I28" s="63">
        <f t="shared" si="2"/>
        <v>29</v>
      </c>
      <c r="J28" s="63">
        <f t="shared" si="3"/>
        <v>38</v>
      </c>
      <c r="K28" s="63">
        <f t="shared" si="4"/>
        <v>46</v>
      </c>
      <c r="L28" s="63" t="str">
        <f>IFERROR(VLOOKUP(MID(G28,J28,K28-J28),[6]skilldef!$C:$D,2,FALSE),"-") &amp; " / " &amp; IFERROR(VLOOKUP(MID(G28,H28,I28-H28),[6]skilldef!$A:$B,2,FALSE),"-")</f>
        <v>味方全体に / -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40" customHeight="1" x14ac:dyDescent="0.15">
      <c r="A29" s="47">
        <v>48006127</v>
      </c>
      <c r="B29" s="47" t="s">
        <v>380</v>
      </c>
      <c r="C29" s="50">
        <v>3</v>
      </c>
      <c r="D29" s="50" t="s">
        <v>126</v>
      </c>
      <c r="E29" s="167" t="s">
        <v>306</v>
      </c>
      <c r="F29" s="51" t="s">
        <v>345</v>
      </c>
      <c r="G29" s="63" t="str">
        <f t="shared" ref="G29:G32" si="16">IFERROR(LEFT(B29,FIND("],",B29)),B29)</f>
        <v>[effect:enemy_message, val1:1.0, val2:2.1]</v>
      </c>
      <c r="H29" s="63">
        <f t="shared" si="1"/>
        <v>9</v>
      </c>
      <c r="I29" s="63">
        <f t="shared" ref="I29:I32" si="17">IFERROR(FIND(",",G29),LEN(G29))</f>
        <v>22</v>
      </c>
      <c r="J29" s="63" t="e">
        <f t="shared" ref="J29:J32" si="18">FIND("target:",G29)+7</f>
        <v>#VALUE!</v>
      </c>
      <c r="K29" s="63">
        <f t="shared" ref="K29:K32" si="19">FIND(",",G29,I29+1)</f>
        <v>32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ref="M29:M32" si="20">IFERROR(RIGHT(B29,LEN(B29)-FIND("],",B29)-1),"none")</f>
        <v>[effect:tolerance, target:myself, turn:-1, tolerance_effect:all, count:-1, animation:enemy_tolerance],[effect:virus, turn:-1, rate:1, val:0.15, animation:enemy_virus],[effect:fix_speed, target:myself, turn:1]</v>
      </c>
      <c r="N29" s="48" t="str">
        <f>IFERROR(LEFT(M29,FIND("],",M29)+#REF!),M29)</f>
        <v>[effect:tolerance, target:myself, turn:-1, tolerance_effect:all, count:-1, animation:enemy_tolerance],[effect:virus, turn:-1, rate:1, val:0.15, animation:enemy_virus],[effect:fix_speed, target:myself, turn:1]</v>
      </c>
      <c r="O29" s="63">
        <f t="shared" si="7"/>
        <v>9</v>
      </c>
      <c r="P29" s="63">
        <f t="shared" ref="P29:P32" si="21">IFERROR(FIND(",",N29),LEN(N29))</f>
        <v>18</v>
      </c>
      <c r="Q29" s="63">
        <f t="shared" ref="Q29:Q32" si="22">FIND("target:",N29)+7</f>
        <v>27</v>
      </c>
      <c r="R29" s="63">
        <f t="shared" ref="R29:R32" si="23">FIND(",",N29,P29+1)</f>
        <v>33</v>
      </c>
      <c r="S29" s="63" t="str">
        <f>IFERROR(VLOOKUP(MID(N29,Q29,R29-Q29),[6]skilldef!$C:$D,2,FALSE),"-") &amp; " / " &amp; IFERROR(VLOOKUP(MID(N29,O29,P29-O29),[6]skilldef!$A:$B,2,FALSE),"-")</f>
        <v>自分自身に / 状態異常耐性</v>
      </c>
      <c r="T29" s="48" t="str">
        <f t="shared" ref="T29:T32" si="24">IFERROR(RIGHT(M29,LEN(M29)-FIND("],",M29)-1),"none")</f>
        <v>[effect:virus, turn:-1, rate:1, val:0.15, animation:enemy_virus],[effect:fix_speed, target:myself, turn:1]</v>
      </c>
      <c r="U29" s="63">
        <f t="shared" si="12"/>
        <v>9</v>
      </c>
      <c r="V29" s="63">
        <f t="shared" ref="V29:V32" si="25">IFERROR(FIND(",",T29),LEN(T29))</f>
        <v>14</v>
      </c>
      <c r="W29" s="63">
        <f t="shared" ref="W29:W32" si="26">FIND("target:",T29)+7</f>
        <v>92</v>
      </c>
      <c r="X29" s="63">
        <f t="shared" ref="X29:X32" si="27">FIND(",",T29,V29+1)</f>
        <v>23</v>
      </c>
      <c r="Y29" s="63" t="str">
        <f>IFERROR(VLOOKUP(MID(T29,W29,X29-W29),[6]skilldef!$C:$D,2,FALSE),"-") &amp; " / " &amp; IFERROR(VLOOKUP(MID(T29,U29,V29-U29),[6]skilldef!$A:$B,2,FALSE),"-")</f>
        <v>- / ウィルス</v>
      </c>
      <c r="Z29" s="50"/>
      <c r="AA29" s="52"/>
      <c r="AB29" s="50"/>
    </row>
    <row r="30" spans="1:28" ht="40" customHeight="1" x14ac:dyDescent="0.15">
      <c r="A30" s="47">
        <v>48006128</v>
      </c>
      <c r="B30" s="47" t="s">
        <v>266</v>
      </c>
      <c r="C30" s="50">
        <v>3</v>
      </c>
      <c r="D30" s="50" t="s">
        <v>126</v>
      </c>
      <c r="E30" s="167" t="s">
        <v>308</v>
      </c>
      <c r="F30" s="51" t="s">
        <v>382</v>
      </c>
      <c r="G30" s="63" t="str">
        <f t="shared" si="16"/>
        <v xml:space="preserve">[effect:break_attack_fix, target:unit_all, val:200, lowest_val:500, count:-1, color:green, block01:block_blue]    </v>
      </c>
      <c r="H30" s="63">
        <f t="shared" si="1"/>
        <v>9</v>
      </c>
      <c r="I30" s="63">
        <f t="shared" si="17"/>
        <v>25</v>
      </c>
      <c r="J30" s="63">
        <f t="shared" si="18"/>
        <v>34</v>
      </c>
      <c r="K30" s="63">
        <f t="shared" si="19"/>
        <v>42</v>
      </c>
      <c r="L30" s="63" t="str">
        <f>IFERROR(VLOOKUP(MID(G30,J30,K30-J30),[6]skilldef!$C:$D,2,FALSE),"-") &amp; " / " &amp; IFERROR(VLOOKUP(MID(G30,H30,I30-H30),[6]skilldef!$A:$B,2,FALSE),"-")</f>
        <v>味方全体に / -</v>
      </c>
      <c r="M30" s="63" t="str">
        <f t="shared" si="20"/>
        <v>none</v>
      </c>
      <c r="N30" s="48" t="str">
        <f t="shared" ref="N30:N38" si="28">IFERROR(LEFT(M30,FIND("],",M30)+S40),M30)</f>
        <v>none</v>
      </c>
      <c r="O30" s="63" t="e">
        <f t="shared" si="7"/>
        <v>#VALUE!</v>
      </c>
      <c r="P30" s="63">
        <f t="shared" si="21"/>
        <v>4</v>
      </c>
      <c r="Q30" s="63" t="e">
        <f t="shared" si="22"/>
        <v>#VALUE!</v>
      </c>
      <c r="R30" s="63" t="e">
        <f t="shared" si="23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24"/>
        <v>none</v>
      </c>
      <c r="U30" s="63" t="e">
        <f t="shared" si="12"/>
        <v>#VALUE!</v>
      </c>
      <c r="V30" s="63">
        <f t="shared" si="25"/>
        <v>4</v>
      </c>
      <c r="W30" s="63" t="e">
        <f t="shared" si="26"/>
        <v>#VALUE!</v>
      </c>
      <c r="X30" s="63" t="e">
        <f t="shared" si="27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40" customHeight="1" x14ac:dyDescent="0.15">
      <c r="A31" s="47">
        <v>48006129</v>
      </c>
      <c r="B31" s="47" t="s">
        <v>296</v>
      </c>
      <c r="C31" s="50">
        <v>3</v>
      </c>
      <c r="D31" s="50" t="s">
        <v>126</v>
      </c>
      <c r="E31" s="167" t="s">
        <v>394</v>
      </c>
      <c r="F31" s="51" t="s">
        <v>315</v>
      </c>
      <c r="G31" s="63" t="str">
        <f t="shared" si="16"/>
        <v>[effect:critical, val:1.7]</v>
      </c>
      <c r="H31" s="63">
        <f t="shared" si="1"/>
        <v>9</v>
      </c>
      <c r="I31" s="63">
        <f t="shared" si="17"/>
        <v>17</v>
      </c>
      <c r="J31" s="63" t="e">
        <f t="shared" si="18"/>
        <v>#VALUE!</v>
      </c>
      <c r="K31" s="63" t="e">
        <f t="shared" si="19"/>
        <v>#VALUE!</v>
      </c>
      <c r="L31" s="63" t="str">
        <f>IFERROR(VLOOKUP(MID(G31,J31,K31-J31),[6]skilldef!$C:$D,2,FALSE),"-") &amp; " / " &amp; IFERROR(VLOOKUP(MID(G31,H31,I31-H31),[6]skilldef!$A:$B,2,FALSE),"-")</f>
        <v>- / 大攻撃</v>
      </c>
      <c r="M31" s="63" t="str">
        <f t="shared" si="20"/>
        <v>none</v>
      </c>
      <c r="N31" s="48" t="str">
        <f t="shared" si="28"/>
        <v>none</v>
      </c>
      <c r="O31" s="63" t="e">
        <f t="shared" si="7"/>
        <v>#VALUE!</v>
      </c>
      <c r="P31" s="63">
        <f t="shared" si="21"/>
        <v>4</v>
      </c>
      <c r="Q31" s="63" t="e">
        <f t="shared" si="22"/>
        <v>#VALUE!</v>
      </c>
      <c r="R31" s="63" t="e">
        <f t="shared" si="23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24"/>
        <v>none</v>
      </c>
      <c r="U31" s="63" t="e">
        <f t="shared" si="12"/>
        <v>#VALUE!</v>
      </c>
      <c r="V31" s="63">
        <f t="shared" si="25"/>
        <v>4</v>
      </c>
      <c r="W31" s="63" t="e">
        <f t="shared" si="26"/>
        <v>#VALUE!</v>
      </c>
      <c r="X31" s="63" t="e">
        <f t="shared" si="27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40" customHeight="1" x14ac:dyDescent="0.15">
      <c r="A32" s="47">
        <v>48006130</v>
      </c>
      <c r="B32" s="47" t="s">
        <v>325</v>
      </c>
      <c r="C32" s="50">
        <v>3</v>
      </c>
      <c r="D32" s="50" t="s">
        <v>126</v>
      </c>
      <c r="E32" s="167" t="s">
        <v>307</v>
      </c>
      <c r="F32" s="51" t="s">
        <v>364</v>
      </c>
      <c r="G32" s="63" t="str">
        <f t="shared" si="16"/>
        <v>[effect:rush, count:8, val:0.2]</v>
      </c>
      <c r="H32" s="63">
        <f t="shared" si="1"/>
        <v>9</v>
      </c>
      <c r="I32" s="63">
        <f t="shared" si="17"/>
        <v>13</v>
      </c>
      <c r="J32" s="63" t="e">
        <f t="shared" si="18"/>
        <v>#VALUE!</v>
      </c>
      <c r="K32" s="63">
        <f t="shared" si="19"/>
        <v>22</v>
      </c>
      <c r="L32" s="63" t="str">
        <f>IFERROR(VLOOKUP(MID(G32,J32,K32-J32),[6]skilldef!$C:$D,2,FALSE),"-") &amp; " / " &amp; IFERROR(VLOOKUP(MID(G32,H32,I32-H32),[6]skilldef!$A:$B,2,FALSE),"-")</f>
        <v>- / 連続攻撃</v>
      </c>
      <c r="M32" s="63" t="str">
        <f t="shared" si="20"/>
        <v>none</v>
      </c>
      <c r="N32" s="48" t="str">
        <f t="shared" si="28"/>
        <v>none</v>
      </c>
      <c r="O32" s="63" t="e">
        <f t="shared" si="7"/>
        <v>#VALUE!</v>
      </c>
      <c r="P32" s="63">
        <f t="shared" si="21"/>
        <v>4</v>
      </c>
      <c r="Q32" s="63" t="e">
        <f t="shared" si="22"/>
        <v>#VALUE!</v>
      </c>
      <c r="R32" s="63" t="e">
        <f t="shared" si="23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24"/>
        <v>none</v>
      </c>
      <c r="U32" s="63" t="e">
        <f t="shared" si="12"/>
        <v>#VALUE!</v>
      </c>
      <c r="V32" s="63">
        <f t="shared" si="25"/>
        <v>4</v>
      </c>
      <c r="W32" s="63" t="e">
        <f t="shared" si="26"/>
        <v>#VALUE!</v>
      </c>
      <c r="X32" s="63" t="e">
        <f t="shared" si="27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40" customHeight="1" x14ac:dyDescent="0.15">
      <c r="A33" s="47">
        <v>48006131</v>
      </c>
      <c r="B33" s="47" t="s">
        <v>377</v>
      </c>
      <c r="C33" s="50">
        <v>3</v>
      </c>
      <c r="D33" s="50" t="s">
        <v>126</v>
      </c>
      <c r="E33" s="167" t="s">
        <v>392</v>
      </c>
      <c r="F33" s="51" t="s">
        <v>340</v>
      </c>
      <c r="G33" s="63" t="str">
        <f t="shared" ref="G33:G35" si="29">IFERROR(LEFT(B33,FIND("],",B33)),B33)</f>
        <v xml:space="preserve">[effect:break_attack_fix, target:unit_all, val:200, lowest_val:500, count:-1, color:green, block01:block_green]    </v>
      </c>
      <c r="H33" s="63">
        <f t="shared" si="1"/>
        <v>9</v>
      </c>
      <c r="I33" s="63">
        <f t="shared" ref="I33:I35" si="30">IFERROR(FIND(",",G33),LEN(G33))</f>
        <v>25</v>
      </c>
      <c r="J33" s="63">
        <f t="shared" ref="J33:J35" si="31">FIND("target:",G33)+7</f>
        <v>34</v>
      </c>
      <c r="K33" s="63">
        <f t="shared" ref="K33:K35" si="32">FIND(",",G33,I33+1)</f>
        <v>42</v>
      </c>
      <c r="L33" s="63" t="str">
        <f>IFERROR(VLOOKUP(MID(G33,J33,K33-J33),[6]skilldef!$C:$D,2,FALSE),"-") &amp; " / " &amp; IFERROR(VLOOKUP(MID(G33,H33,I33-H33),[6]skilldef!$A:$B,2,FALSE),"-")</f>
        <v>味方全体に / -</v>
      </c>
      <c r="M33" s="63" t="str">
        <f t="shared" ref="M33:M35" si="33">IFERROR(RIGHT(B33,LEN(B33)-FIND("],",B33)-1),"none")</f>
        <v>none</v>
      </c>
      <c r="N33" s="48" t="str">
        <f t="shared" si="28"/>
        <v>none</v>
      </c>
      <c r="O33" s="63" t="e">
        <f t="shared" si="7"/>
        <v>#VALUE!</v>
      </c>
      <c r="P33" s="63">
        <f t="shared" ref="P33:P35" si="34">IFERROR(FIND(",",N33),LEN(N33))</f>
        <v>4</v>
      </c>
      <c r="Q33" s="63" t="e">
        <f t="shared" ref="Q33:Q35" si="35">FIND("target:",N33)+7</f>
        <v>#VALUE!</v>
      </c>
      <c r="R33" s="63" t="e">
        <f t="shared" ref="R33:R35" si="36">FIND(",",N33,P33+1)</f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ref="T33:T35" si="37">IFERROR(RIGHT(M33,LEN(M33)-FIND("],",M33)-1),"none")</f>
        <v>none</v>
      </c>
      <c r="U33" s="63" t="e">
        <f t="shared" si="12"/>
        <v>#VALUE!</v>
      </c>
      <c r="V33" s="63">
        <f t="shared" ref="V33:V35" si="38">IFERROR(FIND(",",T33),LEN(T33))</f>
        <v>4</v>
      </c>
      <c r="W33" s="63" t="e">
        <f t="shared" ref="W33:W35" si="39">FIND("target:",T33)+7</f>
        <v>#VALUE!</v>
      </c>
      <c r="X33" s="63" t="e">
        <f t="shared" ref="X33:X35" si="40"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40" customHeight="1" x14ac:dyDescent="0.15">
      <c r="A34" s="47">
        <v>48006132</v>
      </c>
      <c r="B34" s="47" t="s">
        <v>378</v>
      </c>
      <c r="C34" s="50">
        <v>3</v>
      </c>
      <c r="D34" s="50" t="s">
        <v>126</v>
      </c>
      <c r="E34" s="167" t="s">
        <v>330</v>
      </c>
      <c r="F34" s="51" t="s">
        <v>316</v>
      </c>
      <c r="G34" s="63" t="str">
        <f t="shared" si="29"/>
        <v>[effect:enemy_message, val1:1.0, val2:2.1]</v>
      </c>
      <c r="H34" s="63">
        <f t="shared" si="1"/>
        <v>9</v>
      </c>
      <c r="I34" s="63">
        <f t="shared" si="30"/>
        <v>22</v>
      </c>
      <c r="J34" s="63" t="e">
        <f t="shared" si="31"/>
        <v>#VALUE!</v>
      </c>
      <c r="K34" s="63">
        <f t="shared" si="32"/>
        <v>32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33"/>
        <v>none</v>
      </c>
      <c r="N34" s="48" t="str">
        <f t="shared" si="28"/>
        <v>none</v>
      </c>
      <c r="O34" s="63" t="e">
        <f t="shared" si="7"/>
        <v>#VALUE!</v>
      </c>
      <c r="P34" s="63">
        <f t="shared" si="34"/>
        <v>4</v>
      </c>
      <c r="Q34" s="63" t="e">
        <f t="shared" si="35"/>
        <v>#VALUE!</v>
      </c>
      <c r="R34" s="63" t="e">
        <f t="shared" si="36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37"/>
        <v>none</v>
      </c>
      <c r="U34" s="63" t="e">
        <f t="shared" si="12"/>
        <v>#VALUE!</v>
      </c>
      <c r="V34" s="63">
        <f t="shared" si="38"/>
        <v>4</v>
      </c>
      <c r="W34" s="63" t="e">
        <f t="shared" si="39"/>
        <v>#VALUE!</v>
      </c>
      <c r="X34" s="63" t="e">
        <f t="shared" si="40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40" customHeight="1" x14ac:dyDescent="0.15">
      <c r="A35" s="47">
        <v>48006133</v>
      </c>
      <c r="B35" s="47" t="s">
        <v>379</v>
      </c>
      <c r="C35" s="50">
        <v>3</v>
      </c>
      <c r="D35" s="50" t="s">
        <v>126</v>
      </c>
      <c r="E35" s="167" t="s">
        <v>304</v>
      </c>
      <c r="F35" s="51" t="s">
        <v>317</v>
      </c>
      <c r="G35" s="63" t="str">
        <f t="shared" si="29"/>
        <v>[effect:enemy_message, val1:1.5, val2:2.1]</v>
      </c>
      <c r="H35" s="63">
        <f t="shared" si="1"/>
        <v>9</v>
      </c>
      <c r="I35" s="63">
        <f t="shared" si="30"/>
        <v>22</v>
      </c>
      <c r="J35" s="63" t="e">
        <f t="shared" si="31"/>
        <v>#VALUE!</v>
      </c>
      <c r="K35" s="63">
        <f t="shared" si="32"/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33"/>
        <v>[effect:damage_fix_absolute, target:unit_one, val:1],[effect:damage_fix_absolute, target:unit_one, val:10],[effect:damage_fix_absolute, target:unit_one, val:100],[effect:damage_fix_absolute, target:unit_one, val:1000],[effect:damage_fix_absolute, target:unit_one, val:10000],[effect:damage_fix_absolute, target:unit_one, val:100000],[effect:damage_fix_absolute, target:unit_one, val:1000000],[effect:damage_fix_absolute, target:unit_one, val:10000000]</v>
      </c>
      <c r="N35" s="48" t="str">
        <f t="shared" si="28"/>
        <v>[effect:damage_fix_absolute, target:unit_one, val:1]</v>
      </c>
      <c r="O35" s="63">
        <f t="shared" si="7"/>
        <v>9</v>
      </c>
      <c r="P35" s="63">
        <f t="shared" si="34"/>
        <v>28</v>
      </c>
      <c r="Q35" s="63">
        <f t="shared" si="35"/>
        <v>37</v>
      </c>
      <c r="R35" s="63">
        <f t="shared" si="36"/>
        <v>45</v>
      </c>
      <c r="S35" s="63" t="str">
        <f>IFERROR(VLOOKUP(MID(N35,Q35,R35-Q35),[6]skilldef!$C:$D,2,FALSE),"-") &amp; " / " &amp; IFERROR(VLOOKUP(MID(N35,O35,P35-O35),[6]skilldef!$A:$B,2,FALSE),"-")</f>
        <v>味方単体に / -</v>
      </c>
      <c r="T35" s="48" t="str">
        <f t="shared" si="37"/>
        <v>[effect:damage_fix_absolute, target:unit_one, val:10],[effect:damage_fix_absolute, target:unit_one, val:100],[effect:damage_fix_absolute, target:unit_one, val:1000],[effect:damage_fix_absolute, target:unit_one, val:10000],[effect:damage_fix_absolute, target:unit_one, val:100000],[effect:damage_fix_absolute, target:unit_one, val:1000000],[effect:damage_fix_absolute, target:unit_one, val:10000000]</v>
      </c>
      <c r="U35" s="63">
        <f t="shared" si="12"/>
        <v>9</v>
      </c>
      <c r="V35" s="63">
        <f t="shared" si="38"/>
        <v>28</v>
      </c>
      <c r="W35" s="63">
        <f t="shared" si="39"/>
        <v>37</v>
      </c>
      <c r="X35" s="63">
        <f t="shared" si="40"/>
        <v>45</v>
      </c>
      <c r="Y35" s="63" t="str">
        <f>IFERROR(VLOOKUP(MID(T35,W35,X35-W35),[6]skilldef!$C:$D,2,FALSE),"-") &amp; " / " &amp; IFERROR(VLOOKUP(MID(T35,U35,V35-U35),[6]skilldef!$A:$B,2,FALSE),"-")</f>
        <v>味方単体に / -</v>
      </c>
      <c r="Z35" s="50"/>
      <c r="AA35" s="52"/>
      <c r="AB35" s="50"/>
    </row>
    <row r="36" spans="1:28" ht="40" customHeight="1" x14ac:dyDescent="0.15">
      <c r="A36" s="47">
        <v>48006134</v>
      </c>
      <c r="B36" s="47" t="s">
        <v>302</v>
      </c>
      <c r="C36" s="50">
        <v>3</v>
      </c>
      <c r="D36" s="50" t="s">
        <v>126</v>
      </c>
      <c r="E36" s="51" t="s">
        <v>303</v>
      </c>
      <c r="F36" s="51" t="s">
        <v>299</v>
      </c>
      <c r="G36" s="63" t="str">
        <f t="shared" ref="G36:G38" si="41">IFERROR(LEFT(B36,FIND("],",B36)),B36)</f>
        <v xml:space="preserve">[effect:enhance_enemy, target:myself, turn:-1, status:attack, val:0.4, calc:mul, animation:enemy_enhance_attack]    </v>
      </c>
      <c r="H36" s="63">
        <f t="shared" ref="H36:H38" si="42">FIND("effect:",G36)+7</f>
        <v>9</v>
      </c>
      <c r="I36" s="63">
        <f t="shared" ref="I36:I38" si="43">IFERROR(FIND(",",G36),LEN(G36))</f>
        <v>22</v>
      </c>
      <c r="J36" s="63">
        <f t="shared" ref="J36:J38" si="44">FIND("target:",G36)+7</f>
        <v>31</v>
      </c>
      <c r="K36" s="63">
        <f t="shared" ref="K36:K38" si="45">FIND(",",G36,I36+1)</f>
        <v>37</v>
      </c>
      <c r="L36" s="63" t="str">
        <f>IFERROR(VLOOKUP(MID(G36,J36,K36-J36),[6]skilldef!$C:$D,2,FALSE),"-") &amp; " / " &amp; IFERROR(VLOOKUP(MID(G36,H36,I36-H36),[6]skilldef!$A:$B,2,FALSE),"-")</f>
        <v>自分自身に / ステータス強化</v>
      </c>
      <c r="M36" s="63" t="str">
        <f t="shared" ref="M36:M38" si="46">IFERROR(RIGHT(B36,LEN(B36)-FIND("],",B36)-1),"none")</f>
        <v>none</v>
      </c>
      <c r="N36" s="48" t="str">
        <f t="shared" si="28"/>
        <v>none</v>
      </c>
      <c r="O36" s="63" t="e">
        <f t="shared" ref="O36:O38" si="47">FIND("effect:",N36)+7</f>
        <v>#VALUE!</v>
      </c>
      <c r="P36" s="63">
        <f t="shared" ref="P36:P38" si="48">IFERROR(FIND(",",N36),LEN(N36))</f>
        <v>4</v>
      </c>
      <c r="Q36" s="63" t="e">
        <f t="shared" ref="Q36:Q38" si="49">FIND("target:",N36)+7</f>
        <v>#VALUE!</v>
      </c>
      <c r="R36" s="63" t="e">
        <f t="shared" ref="R36:R38" si="50">FIND(",",N36,P36+1)</f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ref="T36:T38" si="51">IFERROR(RIGHT(M36,LEN(M36)-FIND("],",M36)-1),"none")</f>
        <v>none</v>
      </c>
      <c r="U36" s="63" t="e">
        <f t="shared" ref="U36:U38" si="52">FIND("effect:",T36)+7</f>
        <v>#VALUE!</v>
      </c>
      <c r="V36" s="63">
        <f t="shared" ref="V36:V38" si="53">IFERROR(FIND(",",T36),LEN(T36))</f>
        <v>4</v>
      </c>
      <c r="W36" s="63" t="e">
        <f t="shared" ref="W36:W38" si="54">FIND("target:",T36)+7</f>
        <v>#VALUE!</v>
      </c>
      <c r="X36" s="63" t="e">
        <f t="shared" ref="X36:X38" si="55">FIND(",",T36,V36+1)</f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40" customHeight="1" x14ac:dyDescent="0.15">
      <c r="A37" s="47">
        <v>48006135</v>
      </c>
      <c r="B37" s="47" t="s">
        <v>300</v>
      </c>
      <c r="C37" s="50">
        <v>3</v>
      </c>
      <c r="D37" s="50" t="s">
        <v>126</v>
      </c>
      <c r="E37" s="51" t="s">
        <v>385</v>
      </c>
      <c r="F37" s="51" t="s">
        <v>318</v>
      </c>
      <c r="G37" s="63" t="str">
        <f t="shared" si="41"/>
        <v xml:space="preserve">[effect:freq_turn, target:myself, turn:-1, val:1, animation:enemy_freq_turn]     </v>
      </c>
      <c r="H37" s="63">
        <f t="shared" si="42"/>
        <v>9</v>
      </c>
      <c r="I37" s="63">
        <f t="shared" si="43"/>
        <v>18</v>
      </c>
      <c r="J37" s="63">
        <f t="shared" si="44"/>
        <v>27</v>
      </c>
      <c r="K37" s="63">
        <f t="shared" si="45"/>
        <v>33</v>
      </c>
      <c r="L37" s="63" t="str">
        <f>IFERROR(VLOOKUP(MID(G37,J37,K37-J37),[6]skilldef!$C:$D,2,FALSE),"-") &amp; " / " &amp; IFERROR(VLOOKUP(MID(G37,H37,I37-H37),[6]skilldef!$A:$B,2,FALSE),"-")</f>
        <v>自分自身に / 攻撃頻度がUP</v>
      </c>
      <c r="M37" s="63" t="str">
        <f t="shared" si="46"/>
        <v>none</v>
      </c>
      <c r="N37" s="48" t="str">
        <f t="shared" si="28"/>
        <v>none</v>
      </c>
      <c r="O37" s="63" t="e">
        <f t="shared" si="47"/>
        <v>#VALUE!</v>
      </c>
      <c r="P37" s="63">
        <f t="shared" si="48"/>
        <v>4</v>
      </c>
      <c r="Q37" s="63" t="e">
        <f t="shared" si="49"/>
        <v>#VALUE!</v>
      </c>
      <c r="R37" s="63" t="e">
        <f t="shared" si="50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51"/>
        <v>none</v>
      </c>
      <c r="U37" s="63" t="e">
        <f t="shared" si="52"/>
        <v>#VALUE!</v>
      </c>
      <c r="V37" s="63">
        <f t="shared" si="53"/>
        <v>4</v>
      </c>
      <c r="W37" s="63" t="e">
        <f t="shared" si="54"/>
        <v>#VALUE!</v>
      </c>
      <c r="X37" s="63" t="e">
        <f t="shared" si="55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40" customHeight="1" x14ac:dyDescent="0.15">
      <c r="A38" s="47">
        <v>48006136</v>
      </c>
      <c r="B38" s="47" t="s">
        <v>381</v>
      </c>
      <c r="C38" s="50">
        <v>3</v>
      </c>
      <c r="D38" s="50" t="s">
        <v>126</v>
      </c>
      <c r="E38" s="51" t="s">
        <v>331</v>
      </c>
      <c r="F38" s="51" t="s">
        <v>346</v>
      </c>
      <c r="G38" s="63" t="str">
        <f t="shared" si="41"/>
        <v>[effect:enemy_message, val1:1.0, val2:2.1]</v>
      </c>
      <c r="H38" s="63">
        <f t="shared" si="42"/>
        <v>9</v>
      </c>
      <c r="I38" s="63">
        <f t="shared" si="43"/>
        <v>22</v>
      </c>
      <c r="J38" s="63" t="e">
        <f t="shared" si="44"/>
        <v>#VALUE!</v>
      </c>
      <c r="K38" s="63">
        <f t="shared" si="45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46"/>
        <v xml:space="preserve">[effect:tolerance, target:myself, turn:-1, tolerance_effect:all, count:-1, animation:enemy_tolerance],[effect:virus, turn:-1, rate:1, val:0.1, animation:enemy_virus],[effect:fix_speed, target:myself, turn:2] </v>
      </c>
      <c r="N38" s="48" t="str">
        <f t="shared" si="28"/>
        <v>[effect:tolerance, target:myself, turn:-1, tolerance_effect:all, count:-1, animation:enemy_tolerance]</v>
      </c>
      <c r="O38" s="63">
        <f t="shared" si="47"/>
        <v>9</v>
      </c>
      <c r="P38" s="63">
        <f t="shared" si="48"/>
        <v>18</v>
      </c>
      <c r="Q38" s="63">
        <f t="shared" si="49"/>
        <v>27</v>
      </c>
      <c r="R38" s="63">
        <f t="shared" si="50"/>
        <v>33</v>
      </c>
      <c r="S38" s="63" t="str">
        <f>IFERROR(VLOOKUP(MID(N38,Q38,R38-Q38),[6]skilldef!$C:$D,2,FALSE),"-") &amp; " / " &amp; IFERROR(VLOOKUP(MID(N38,O38,P38-O38),[6]skilldef!$A:$B,2,FALSE),"-")</f>
        <v>自分自身に / 状態異常耐性</v>
      </c>
      <c r="T38" s="48" t="str">
        <f t="shared" si="51"/>
        <v xml:space="preserve">[effect:virus, turn:-1, rate:1, val:0.1, animation:enemy_virus],[effect:fix_speed, target:myself, turn:2] </v>
      </c>
      <c r="U38" s="63">
        <f t="shared" si="52"/>
        <v>9</v>
      </c>
      <c r="V38" s="63">
        <f t="shared" si="53"/>
        <v>14</v>
      </c>
      <c r="W38" s="63">
        <f t="shared" si="54"/>
        <v>91</v>
      </c>
      <c r="X38" s="63">
        <f t="shared" si="55"/>
        <v>23</v>
      </c>
      <c r="Y38" s="63" t="str">
        <f>IFERROR(VLOOKUP(MID(T38,W38,X38-W38),[6]skilldef!$C:$D,2,FALSE),"-") &amp; " / " &amp; IFERROR(VLOOKUP(MID(T38,U38,V38-U38),[6]skilldef!$A:$B,2,FALSE),"-")</f>
        <v>- / ウィルス</v>
      </c>
      <c r="Z38" s="50"/>
      <c r="AA38" s="52"/>
      <c r="AB38" s="50"/>
    </row>
    <row r="39" spans="1:28" ht="40" customHeight="1" x14ac:dyDescent="0.15">
      <c r="A39" s="47">
        <v>48006138</v>
      </c>
      <c r="B39" s="47" t="s">
        <v>310</v>
      </c>
      <c r="C39" s="50">
        <v>3</v>
      </c>
      <c r="D39" s="50" t="s">
        <v>126</v>
      </c>
      <c r="E39" s="51" t="s">
        <v>291</v>
      </c>
      <c r="F39" s="51" t="s">
        <v>340</v>
      </c>
      <c r="G39" s="63" t="str">
        <f t="shared" ref="G39:G40" si="56">IFERROR(LEFT(B39,FIND("],",B39)),B39)</f>
        <v xml:space="preserve">[effect:break_attack_fix, target:unit_all, val:450, lowest_val:450, count:-1, color:green, block01:block_green]    </v>
      </c>
      <c r="H39" s="63">
        <f t="shared" ref="H39:H40" si="57">FIND("effect:",G39)+7</f>
        <v>9</v>
      </c>
      <c r="I39" s="63">
        <f t="shared" ref="I39:I40" si="58">IFERROR(FIND(",",G39),LEN(G39))</f>
        <v>25</v>
      </c>
      <c r="J39" s="63">
        <f t="shared" ref="J39:J40" si="59">FIND("target:",G39)+7</f>
        <v>34</v>
      </c>
      <c r="K39" s="63">
        <f t="shared" ref="K39:K40" si="60">FIND(",",G39,I39+1)</f>
        <v>42</v>
      </c>
      <c r="L39" s="63" t="str">
        <f>IFERROR(VLOOKUP(MID(G39,J39,K39-J39),[6]skilldef!$C:$D,2,FALSE),"-") &amp; " / " &amp; IFERROR(VLOOKUP(MID(G39,H39,I39-H39),[6]skilldef!$A:$B,2,FALSE),"-")</f>
        <v>味方全体に / -</v>
      </c>
      <c r="M39" s="63" t="str">
        <f t="shared" ref="M39:M40" si="61">IFERROR(RIGHT(B39,LEN(B39)-FIND("],",B39)-1),"none")</f>
        <v>none</v>
      </c>
      <c r="N39" s="48" t="str">
        <f t="shared" ref="N39" si="62">IFERROR(LEFT(M39,FIND("],",M39)+S49),M39)</f>
        <v>none</v>
      </c>
      <c r="O39" s="63" t="e">
        <f t="shared" ref="O39:O40" si="63">FIND("effect:",N39)+7</f>
        <v>#VALUE!</v>
      </c>
      <c r="P39" s="63">
        <f t="shared" ref="P39:P40" si="64">IFERROR(FIND(",",N39),LEN(N39))</f>
        <v>4</v>
      </c>
      <c r="Q39" s="63" t="e">
        <f t="shared" ref="Q39:Q40" si="65">FIND("target:",N39)+7</f>
        <v>#VALUE!</v>
      </c>
      <c r="R39" s="63" t="e">
        <f t="shared" ref="R39:R40" si="66">FIND(",",N39,P39+1)</f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ref="T39:T40" si="67">IFERROR(RIGHT(M39,LEN(M39)-FIND("],",M39)-1),"none")</f>
        <v>none</v>
      </c>
      <c r="U39" s="63" t="e">
        <f t="shared" ref="U39:U40" si="68">FIND("effect:",T39)+7</f>
        <v>#VALUE!</v>
      </c>
      <c r="V39" s="63">
        <f t="shared" ref="V39:V40" si="69">IFERROR(FIND(",",T39),LEN(T39))</f>
        <v>4</v>
      </c>
      <c r="W39" s="63" t="e">
        <f t="shared" ref="W39:W40" si="70">FIND("target:",T39)+7</f>
        <v>#VALUE!</v>
      </c>
      <c r="X39" s="63" t="e">
        <f t="shared" ref="X39:X40" si="71">FIND(",",T39,V39+1)</f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40" customHeight="1" x14ac:dyDescent="0.15">
      <c r="A40" s="47">
        <v>48006139</v>
      </c>
      <c r="B40" s="47" t="s">
        <v>311</v>
      </c>
      <c r="C40" s="50">
        <v>3</v>
      </c>
      <c r="D40" s="50" t="s">
        <v>126</v>
      </c>
      <c r="E40" s="51" t="s">
        <v>308</v>
      </c>
      <c r="F40" s="51" t="s">
        <v>383</v>
      </c>
      <c r="G40" s="63" t="str">
        <f t="shared" si="56"/>
        <v xml:space="preserve">[effect:break_attack_fix, target:unit_all, val:150, lowest_val:450, count:-1, color:green, block01:block_blue]    </v>
      </c>
      <c r="H40" s="63">
        <f t="shared" si="57"/>
        <v>9</v>
      </c>
      <c r="I40" s="63">
        <f t="shared" si="58"/>
        <v>25</v>
      </c>
      <c r="J40" s="63">
        <f t="shared" si="59"/>
        <v>34</v>
      </c>
      <c r="K40" s="63">
        <f t="shared" si="60"/>
        <v>42</v>
      </c>
      <c r="L40" s="63" t="str">
        <f>IFERROR(VLOOKUP(MID(G40,J40,K40-J40),[6]skilldef!$C:$D,2,FALSE),"-") &amp; " / " &amp; IFERROR(VLOOKUP(MID(G40,H40,I40-H40),[6]skilldef!$A:$B,2,FALSE),"-")</f>
        <v>味方全体に / -</v>
      </c>
      <c r="M40" s="63" t="str">
        <f t="shared" si="61"/>
        <v>none</v>
      </c>
      <c r="N40" s="48" t="str">
        <f t="shared" ref="N40" si="72">IFERROR(LEFT(M40,FIND("],",M40)+S50),M40)</f>
        <v>none</v>
      </c>
      <c r="O40" s="63" t="e">
        <f t="shared" si="63"/>
        <v>#VALUE!</v>
      </c>
      <c r="P40" s="63">
        <f t="shared" si="64"/>
        <v>4</v>
      </c>
      <c r="Q40" s="63" t="e">
        <f t="shared" si="65"/>
        <v>#VALUE!</v>
      </c>
      <c r="R40" s="63" t="e">
        <f t="shared" si="66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67"/>
        <v>none</v>
      </c>
      <c r="U40" s="63" t="e">
        <f t="shared" si="68"/>
        <v>#VALUE!</v>
      </c>
      <c r="V40" s="63">
        <f t="shared" si="69"/>
        <v>4</v>
      </c>
      <c r="W40" s="63" t="e">
        <f t="shared" si="70"/>
        <v>#VALUE!</v>
      </c>
      <c r="X40" s="63" t="e">
        <f t="shared" si="71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40" customHeight="1" x14ac:dyDescent="0.15">
      <c r="A41" s="47">
        <v>48006140</v>
      </c>
      <c r="B41" s="47" t="s">
        <v>312</v>
      </c>
      <c r="C41" s="50">
        <v>3</v>
      </c>
      <c r="D41" s="50" t="s">
        <v>126</v>
      </c>
      <c r="E41" s="51" t="s">
        <v>393</v>
      </c>
      <c r="F41" s="51" t="s">
        <v>340</v>
      </c>
      <c r="G41" s="63" t="str">
        <f t="shared" ref="G41" si="73">IFERROR(LEFT(B41,FIND("],",B41)),B41)</f>
        <v xml:space="preserve">[effect:break_attack_fix, target:unit_all, val:150, lowest_val:450, count:-1, color:green, block01:block_green]    </v>
      </c>
      <c r="H41" s="63">
        <f t="shared" ref="H41" si="74">FIND("effect:",G41)+7</f>
        <v>9</v>
      </c>
      <c r="I41" s="63">
        <f t="shared" ref="I41" si="75">IFERROR(FIND(",",G41),LEN(G41))</f>
        <v>25</v>
      </c>
      <c r="J41" s="63">
        <f t="shared" ref="J41" si="76">FIND("target:",G41)+7</f>
        <v>34</v>
      </c>
      <c r="K41" s="63">
        <f t="shared" ref="K41" si="77">FIND(",",G41,I41+1)</f>
        <v>42</v>
      </c>
      <c r="L41" s="63" t="str">
        <f>IFERROR(VLOOKUP(MID(G41,J41,K41-J41),[6]skilldef!$C:$D,2,FALSE),"-") &amp; " / " &amp; IFERROR(VLOOKUP(MID(G41,H41,I41-H41),[6]skilldef!$A:$B,2,FALSE),"-")</f>
        <v>味方全体に / -</v>
      </c>
      <c r="M41" s="63" t="str">
        <f t="shared" ref="M41" si="78">IFERROR(RIGHT(B41,LEN(B41)-FIND("],",B41)-1),"none")</f>
        <v>none</v>
      </c>
      <c r="N41" s="48" t="str">
        <f t="shared" ref="N41" si="79">IFERROR(LEFT(M41,FIND("],",M41)+S51),M41)</f>
        <v>none</v>
      </c>
      <c r="O41" s="63" t="e">
        <f t="shared" ref="O41" si="80">FIND("effect:",N41)+7</f>
        <v>#VALUE!</v>
      </c>
      <c r="P41" s="63">
        <f t="shared" ref="P41" si="81">IFERROR(FIND(",",N41),LEN(N41))</f>
        <v>4</v>
      </c>
      <c r="Q41" s="63" t="e">
        <f t="shared" ref="Q41" si="82">FIND("target:",N41)+7</f>
        <v>#VALUE!</v>
      </c>
      <c r="R41" s="63" t="e">
        <f t="shared" ref="R41" si="83">FIND(",",N41,P41+1)</f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ref="T41" si="84">IFERROR(RIGHT(M41,LEN(M41)-FIND("],",M41)-1),"none")</f>
        <v>none</v>
      </c>
      <c r="U41" s="63" t="e">
        <f t="shared" ref="U41" si="85">FIND("effect:",T41)+7</f>
        <v>#VALUE!</v>
      </c>
      <c r="V41" s="63">
        <f t="shared" ref="V41" si="86">IFERROR(FIND(",",T41),LEN(T41))</f>
        <v>4</v>
      </c>
      <c r="W41" s="63" t="e">
        <f t="shared" ref="W41" si="87">FIND("target:",T41)+7</f>
        <v>#VALUE!</v>
      </c>
      <c r="X41" s="63" t="e">
        <f t="shared" ref="X41" si="88">FIND(",",T41,V41+1)</f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40" customHeight="1" x14ac:dyDescent="0.15">
      <c r="A42" s="170">
        <v>48006141</v>
      </c>
      <c r="B42" s="170" t="s">
        <v>386</v>
      </c>
      <c r="C42" s="171">
        <v>3</v>
      </c>
      <c r="D42" s="171" t="s">
        <v>126</v>
      </c>
      <c r="E42" s="172" t="s">
        <v>348</v>
      </c>
      <c r="F42" s="172" t="s">
        <v>359</v>
      </c>
      <c r="G42" s="63" t="str">
        <f t="shared" ref="G42:G43" si="89">IFERROR(LEFT(B42,FIND("],",B42)),B42)</f>
        <v>[effect:enemy_message, val1:2.0, val2:3.5]</v>
      </c>
      <c r="H42" s="63">
        <f t="shared" ref="H42:H43" si="90">FIND("effect:",G42)+7</f>
        <v>9</v>
      </c>
      <c r="I42" s="63">
        <f t="shared" ref="I42:I43" si="91">IFERROR(FIND(",",G42),LEN(G42))</f>
        <v>22</v>
      </c>
      <c r="J42" s="63" t="e">
        <f t="shared" ref="J42:J43" si="92">FIND("target:",G42)+7</f>
        <v>#VALUE!</v>
      </c>
      <c r="K42" s="63">
        <f t="shared" ref="K42:K43" si="93">FIND(",",G42,I42+1)</f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ref="M42:M43" si="94">IFERROR(RIGHT(B42,LEN(B42)-FIND("],",B42)-1),"none")</f>
        <v>none</v>
      </c>
      <c r="N42" s="48" t="str">
        <f t="shared" ref="N42:N43" si="95">IFERROR(LEFT(M42,FIND("],",M42)+S52),M42)</f>
        <v>none</v>
      </c>
      <c r="O42" s="63" t="e">
        <f t="shared" ref="O42:O43" si="96">FIND("effect:",N42)+7</f>
        <v>#VALUE!</v>
      </c>
      <c r="P42" s="63">
        <f t="shared" ref="P42:P43" si="97">IFERROR(FIND(",",N42),LEN(N42))</f>
        <v>4</v>
      </c>
      <c r="Q42" s="63" t="e">
        <f t="shared" ref="Q42:Q43" si="98">FIND("target:",N42)+7</f>
        <v>#VALUE!</v>
      </c>
      <c r="R42" s="63" t="e">
        <f t="shared" ref="R42:R43" si="99">FIND(",",N42,P42+1)</f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ref="T42:T43" si="100">IFERROR(RIGHT(M42,LEN(M42)-FIND("],",M42)-1),"none")</f>
        <v>none</v>
      </c>
      <c r="U42" s="63" t="e">
        <f t="shared" ref="U42:U43" si="101">FIND("effect:",T42)+7</f>
        <v>#VALUE!</v>
      </c>
      <c r="V42" s="63">
        <f t="shared" ref="V42:V43" si="102">IFERROR(FIND(",",T42),LEN(T42))</f>
        <v>4</v>
      </c>
      <c r="W42" s="63" t="e">
        <f t="shared" ref="W42:W43" si="103">FIND("target:",T42)+7</f>
        <v>#VALUE!</v>
      </c>
      <c r="X42" s="63" t="e">
        <f t="shared" ref="X42:X43" si="104">FIND(",",T42,V42+1)</f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40" customHeight="1" x14ac:dyDescent="0.15">
      <c r="A43" s="170">
        <v>48006241</v>
      </c>
      <c r="B43" s="170" t="s">
        <v>387</v>
      </c>
      <c r="C43" s="171">
        <v>3</v>
      </c>
      <c r="D43" s="171" t="s">
        <v>126</v>
      </c>
      <c r="E43" s="172" t="s">
        <v>349</v>
      </c>
      <c r="F43" s="172" t="s">
        <v>350</v>
      </c>
      <c r="G43" s="63" t="str">
        <f t="shared" si="89"/>
        <v>[effect:enemy_message, val1:2.8, val2:3.5]</v>
      </c>
      <c r="H43" s="63">
        <f t="shared" si="90"/>
        <v>9</v>
      </c>
      <c r="I43" s="63">
        <f t="shared" si="91"/>
        <v>22</v>
      </c>
      <c r="J43" s="63" t="e">
        <f t="shared" si="92"/>
        <v>#VALUE!</v>
      </c>
      <c r="K43" s="63">
        <f t="shared" si="93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94"/>
        <v>none</v>
      </c>
      <c r="N43" s="48" t="str">
        <f t="shared" si="95"/>
        <v>none</v>
      </c>
      <c r="O43" s="63" t="e">
        <f t="shared" si="96"/>
        <v>#VALUE!</v>
      </c>
      <c r="P43" s="63">
        <f t="shared" si="97"/>
        <v>4</v>
      </c>
      <c r="Q43" s="63" t="e">
        <f t="shared" si="98"/>
        <v>#VALUE!</v>
      </c>
      <c r="R43" s="63" t="e">
        <f t="shared" si="99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00"/>
        <v>none</v>
      </c>
      <c r="U43" s="63" t="e">
        <f t="shared" si="101"/>
        <v>#VALUE!</v>
      </c>
      <c r="V43" s="63">
        <f t="shared" si="102"/>
        <v>4</v>
      </c>
      <c r="W43" s="63" t="e">
        <f t="shared" si="103"/>
        <v>#VALUE!</v>
      </c>
      <c r="X43" s="63" t="e">
        <f t="shared" si="104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3"/>
  <sheetViews>
    <sheetView showGridLines="0" workbookViewId="0">
      <pane ySplit="1" topLeftCell="A19" activePane="bottomLeft" state="frozenSplit"/>
      <selection pane="bottomLeft" activeCell="F9" sqref="F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48006100</v>
      </c>
      <c r="B2" s="47">
        <v>1</v>
      </c>
      <c r="C2" s="47">
        <v>120</v>
      </c>
      <c r="D2" s="47">
        <v>100</v>
      </c>
      <c r="E2" s="47" t="s">
        <v>258</v>
      </c>
      <c r="F2" s="47" t="s">
        <v>258</v>
      </c>
      <c r="G2" s="47">
        <v>1</v>
      </c>
      <c r="H2" s="47" t="s">
        <v>258</v>
      </c>
      <c r="I2" s="47" t="s">
        <v>258</v>
      </c>
      <c r="J2" s="48">
        <f t="shared" ref="J2:J36" si="0">D2</f>
        <v>100</v>
      </c>
    </row>
    <row r="3" spans="1:11" ht="21" customHeight="1" x14ac:dyDescent="0.15">
      <c r="A3" s="47">
        <v>48006101</v>
      </c>
      <c r="B3" s="47">
        <v>0</v>
      </c>
      <c r="C3" s="47" t="s">
        <v>255</v>
      </c>
      <c r="D3" s="47">
        <v>65</v>
      </c>
      <c r="E3" s="47" t="s">
        <v>53</v>
      </c>
      <c r="F3" s="47" t="s">
        <v>53</v>
      </c>
      <c r="G3" s="47" t="s">
        <v>53</v>
      </c>
      <c r="H3" s="47" t="s">
        <v>256</v>
      </c>
      <c r="I3" s="47" t="s">
        <v>257</v>
      </c>
      <c r="J3" s="48">
        <f t="shared" si="0"/>
        <v>65</v>
      </c>
    </row>
    <row r="4" spans="1:11" ht="21" customHeight="1" x14ac:dyDescent="0.15">
      <c r="A4" s="47">
        <v>48006102</v>
      </c>
      <c r="B4" s="47">
        <v>0</v>
      </c>
      <c r="C4" s="47" t="s">
        <v>255</v>
      </c>
      <c r="D4" s="47">
        <v>80</v>
      </c>
      <c r="E4" s="47" t="s">
        <v>53</v>
      </c>
      <c r="F4" s="47" t="s">
        <v>53</v>
      </c>
      <c r="G4" s="47" t="s">
        <v>53</v>
      </c>
      <c r="H4" s="47" t="s">
        <v>256</v>
      </c>
      <c r="I4" s="47" t="s">
        <v>257</v>
      </c>
      <c r="J4" s="48">
        <f t="shared" si="0"/>
        <v>80</v>
      </c>
    </row>
    <row r="5" spans="1:11" ht="21" customHeight="1" x14ac:dyDescent="0.15">
      <c r="A5" s="47">
        <v>48006103</v>
      </c>
      <c r="B5" s="47">
        <v>1</v>
      </c>
      <c r="C5" s="47">
        <v>120</v>
      </c>
      <c r="D5" s="47">
        <v>100</v>
      </c>
      <c r="E5" s="47" t="s">
        <v>258</v>
      </c>
      <c r="F5" s="47" t="s">
        <v>258</v>
      </c>
      <c r="G5" s="47">
        <v>1</v>
      </c>
      <c r="H5" s="47" t="s">
        <v>258</v>
      </c>
      <c r="I5" s="47" t="s">
        <v>258</v>
      </c>
      <c r="J5" s="48">
        <f t="shared" si="0"/>
        <v>100</v>
      </c>
    </row>
    <row r="6" spans="1:11" ht="21" customHeight="1" x14ac:dyDescent="0.15">
      <c r="A6" s="47">
        <v>48006104</v>
      </c>
      <c r="B6" s="47">
        <v>0</v>
      </c>
      <c r="C6" s="47">
        <v>100</v>
      </c>
      <c r="D6" s="47">
        <v>100</v>
      </c>
      <c r="E6" s="47" t="s">
        <v>258</v>
      </c>
      <c r="F6" s="47" t="s">
        <v>258</v>
      </c>
      <c r="G6" s="47">
        <v>1</v>
      </c>
      <c r="H6" s="47">
        <v>3</v>
      </c>
      <c r="I6" s="47" t="s">
        <v>258</v>
      </c>
      <c r="J6" s="48">
        <f t="shared" si="0"/>
        <v>100</v>
      </c>
    </row>
    <row r="7" spans="1:11" ht="21" customHeight="1" x14ac:dyDescent="0.15">
      <c r="A7" s="47">
        <v>48006105</v>
      </c>
      <c r="B7" s="47">
        <v>0</v>
      </c>
      <c r="C7" s="47">
        <v>90</v>
      </c>
      <c r="D7" s="47">
        <v>100</v>
      </c>
      <c r="E7" s="47" t="s">
        <v>258</v>
      </c>
      <c r="F7" s="47" t="s">
        <v>258</v>
      </c>
      <c r="G7" s="47">
        <v>1</v>
      </c>
      <c r="H7" s="47">
        <v>6</v>
      </c>
      <c r="I7" s="47" t="s">
        <v>258</v>
      </c>
      <c r="J7" s="48">
        <f t="shared" si="0"/>
        <v>100</v>
      </c>
    </row>
    <row r="8" spans="1:11" ht="21" customHeight="1" x14ac:dyDescent="0.15">
      <c r="A8" s="47">
        <v>48006106</v>
      </c>
      <c r="B8" s="47">
        <v>0</v>
      </c>
      <c r="C8" s="47">
        <v>80</v>
      </c>
      <c r="D8" s="47">
        <v>100</v>
      </c>
      <c r="E8" s="47" t="s">
        <v>258</v>
      </c>
      <c r="F8" s="47" t="s">
        <v>258</v>
      </c>
      <c r="G8" s="47">
        <v>1</v>
      </c>
      <c r="H8" s="47">
        <v>9</v>
      </c>
      <c r="I8" s="47" t="s">
        <v>258</v>
      </c>
      <c r="J8" s="48">
        <f t="shared" si="0"/>
        <v>100</v>
      </c>
    </row>
    <row r="9" spans="1:11" ht="21" customHeight="1" x14ac:dyDescent="0.15">
      <c r="A9" s="47">
        <v>48006107</v>
      </c>
      <c r="B9" s="47">
        <v>0</v>
      </c>
      <c r="C9" s="47">
        <v>70</v>
      </c>
      <c r="D9" s="47">
        <v>100</v>
      </c>
      <c r="E9" s="47" t="s">
        <v>258</v>
      </c>
      <c r="F9" s="47" t="s">
        <v>258</v>
      </c>
      <c r="G9" s="47" t="s">
        <v>53</v>
      </c>
      <c r="H9" s="47">
        <v>3</v>
      </c>
      <c r="I9" s="47" t="s">
        <v>258</v>
      </c>
      <c r="J9" s="48">
        <f t="shared" si="0"/>
        <v>100</v>
      </c>
    </row>
    <row r="10" spans="1:11" ht="21" customHeight="1" x14ac:dyDescent="0.15">
      <c r="A10" s="47">
        <v>48006108</v>
      </c>
      <c r="B10" s="47">
        <v>0</v>
      </c>
      <c r="C10" s="47">
        <v>80</v>
      </c>
      <c r="D10" s="47">
        <v>100</v>
      </c>
      <c r="E10" s="47" t="s">
        <v>258</v>
      </c>
      <c r="F10" s="47" t="s">
        <v>258</v>
      </c>
      <c r="G10" s="47" t="s">
        <v>257</v>
      </c>
      <c r="H10" s="47">
        <v>2</v>
      </c>
      <c r="I10" s="47" t="s">
        <v>258</v>
      </c>
      <c r="J10" s="48">
        <f t="shared" si="0"/>
        <v>100</v>
      </c>
    </row>
    <row r="11" spans="1:11" ht="21" customHeight="1" x14ac:dyDescent="0.15">
      <c r="A11" s="47">
        <v>48006109</v>
      </c>
      <c r="B11" s="47">
        <v>0</v>
      </c>
      <c r="C11" s="47">
        <v>50</v>
      </c>
      <c r="D11" s="47">
        <v>100</v>
      </c>
      <c r="E11" s="47" t="s">
        <v>258</v>
      </c>
      <c r="F11" s="47" t="s">
        <v>258</v>
      </c>
      <c r="G11" s="47" t="s">
        <v>259</v>
      </c>
      <c r="H11" s="47">
        <v>1</v>
      </c>
      <c r="I11" s="47" t="s">
        <v>258</v>
      </c>
      <c r="J11" s="48">
        <f t="shared" si="0"/>
        <v>100</v>
      </c>
    </row>
    <row r="12" spans="1:11" ht="21" customHeight="1" x14ac:dyDescent="0.15">
      <c r="A12" s="47">
        <v>48006110</v>
      </c>
      <c r="B12" s="47">
        <v>0</v>
      </c>
      <c r="C12" s="47">
        <v>100</v>
      </c>
      <c r="D12" s="47">
        <v>100</v>
      </c>
      <c r="E12" s="47">
        <v>50</v>
      </c>
      <c r="F12" s="47" t="s">
        <v>258</v>
      </c>
      <c r="G12" s="47">
        <v>1</v>
      </c>
      <c r="H12" s="47">
        <v>1</v>
      </c>
      <c r="I12" s="47" t="s">
        <v>258</v>
      </c>
      <c r="J12" s="48">
        <f t="shared" si="0"/>
        <v>100</v>
      </c>
    </row>
    <row r="13" spans="1:11" ht="21" customHeight="1" x14ac:dyDescent="0.15">
      <c r="A13" s="47">
        <v>48006111</v>
      </c>
      <c r="B13" s="47">
        <v>1</v>
      </c>
      <c r="C13" s="47">
        <v>120</v>
      </c>
      <c r="D13" s="47">
        <v>100</v>
      </c>
      <c r="E13" s="47" t="s">
        <v>258</v>
      </c>
      <c r="F13" s="47" t="s">
        <v>258</v>
      </c>
      <c r="G13" s="47">
        <v>1</v>
      </c>
      <c r="H13" s="47" t="s">
        <v>258</v>
      </c>
      <c r="I13" s="47" t="s">
        <v>258</v>
      </c>
      <c r="J13" s="48">
        <f t="shared" si="0"/>
        <v>100</v>
      </c>
    </row>
    <row r="14" spans="1:11" ht="21" customHeight="1" x14ac:dyDescent="0.15">
      <c r="A14" s="47">
        <v>48006112</v>
      </c>
      <c r="B14" s="47">
        <v>0</v>
      </c>
      <c r="C14" s="47">
        <v>80</v>
      </c>
      <c r="D14" s="47">
        <v>100</v>
      </c>
      <c r="E14" s="47" t="s">
        <v>258</v>
      </c>
      <c r="F14" s="47" t="s">
        <v>258</v>
      </c>
      <c r="G14" s="47" t="s">
        <v>257</v>
      </c>
      <c r="H14" s="47">
        <v>2</v>
      </c>
      <c r="I14" s="47" t="s">
        <v>258</v>
      </c>
      <c r="J14" s="48">
        <f t="shared" si="0"/>
        <v>100</v>
      </c>
    </row>
    <row r="15" spans="1:11" ht="21" customHeight="1" x14ac:dyDescent="0.15">
      <c r="A15" s="47">
        <v>48006113</v>
      </c>
      <c r="B15" s="47">
        <v>0</v>
      </c>
      <c r="C15" s="47">
        <v>100</v>
      </c>
      <c r="D15" s="47">
        <v>100</v>
      </c>
      <c r="E15" s="47">
        <v>50</v>
      </c>
      <c r="F15" s="47" t="s">
        <v>258</v>
      </c>
      <c r="G15" s="47">
        <v>1</v>
      </c>
      <c r="H15" s="47">
        <v>1</v>
      </c>
      <c r="I15" s="47" t="s">
        <v>258</v>
      </c>
      <c r="J15" s="48">
        <f t="shared" si="0"/>
        <v>100</v>
      </c>
    </row>
    <row r="16" spans="1:11" ht="21" customHeight="1" x14ac:dyDescent="0.15">
      <c r="A16" s="47">
        <v>48006114</v>
      </c>
      <c r="B16" s="47">
        <v>0</v>
      </c>
      <c r="C16" s="47">
        <v>90</v>
      </c>
      <c r="D16" s="47">
        <v>100</v>
      </c>
      <c r="E16" s="47">
        <v>50</v>
      </c>
      <c r="F16" s="47" t="s">
        <v>258</v>
      </c>
      <c r="G16" s="47">
        <v>1</v>
      </c>
      <c r="H16" s="47">
        <v>1</v>
      </c>
      <c r="I16" s="47" t="s">
        <v>258</v>
      </c>
      <c r="J16" s="48">
        <f t="shared" si="0"/>
        <v>100</v>
      </c>
    </row>
    <row r="17" spans="1:10" ht="21" customHeight="1" x14ac:dyDescent="0.15">
      <c r="A17" s="47">
        <v>48006115</v>
      </c>
      <c r="B17" s="47">
        <v>1</v>
      </c>
      <c r="C17" s="47">
        <v>120</v>
      </c>
      <c r="D17" s="47">
        <v>100</v>
      </c>
      <c r="E17" s="47" t="s">
        <v>258</v>
      </c>
      <c r="F17" s="47" t="s">
        <v>258</v>
      </c>
      <c r="G17" s="47">
        <v>1</v>
      </c>
      <c r="H17" s="47" t="s">
        <v>258</v>
      </c>
      <c r="I17" s="47" t="s">
        <v>258</v>
      </c>
      <c r="J17" s="48">
        <f t="shared" si="0"/>
        <v>100</v>
      </c>
    </row>
    <row r="18" spans="1:10" ht="21" customHeight="1" x14ac:dyDescent="0.15">
      <c r="A18" s="47">
        <v>48006116</v>
      </c>
      <c r="B18" s="47">
        <v>0</v>
      </c>
      <c r="C18" s="47">
        <v>100</v>
      </c>
      <c r="D18" s="47">
        <v>100</v>
      </c>
      <c r="E18" s="47">
        <v>80</v>
      </c>
      <c r="F18" s="47">
        <v>61</v>
      </c>
      <c r="G18" s="47">
        <v>1</v>
      </c>
      <c r="H18" s="47" t="s">
        <v>258</v>
      </c>
      <c r="I18" s="47" t="s">
        <v>258</v>
      </c>
      <c r="J18" s="48">
        <f t="shared" si="0"/>
        <v>100</v>
      </c>
    </row>
    <row r="19" spans="1:10" ht="21" customHeight="1" x14ac:dyDescent="0.15">
      <c r="A19" s="47">
        <v>48006117</v>
      </c>
      <c r="B19" s="47">
        <v>0</v>
      </c>
      <c r="C19" s="47">
        <v>80</v>
      </c>
      <c r="D19" s="47">
        <v>100</v>
      </c>
      <c r="E19" s="47">
        <v>60</v>
      </c>
      <c r="F19" s="47">
        <v>41</v>
      </c>
      <c r="G19" s="47">
        <v>1</v>
      </c>
      <c r="H19" s="47" t="s">
        <v>258</v>
      </c>
      <c r="I19" s="47" t="s">
        <v>258</v>
      </c>
      <c r="J19" s="48">
        <f t="shared" si="0"/>
        <v>100</v>
      </c>
    </row>
    <row r="20" spans="1:10" ht="21" customHeight="1" x14ac:dyDescent="0.15">
      <c r="A20" s="47">
        <v>48006118</v>
      </c>
      <c r="B20" s="47">
        <v>0</v>
      </c>
      <c r="C20" s="47">
        <v>60</v>
      </c>
      <c r="D20" s="47">
        <v>100</v>
      </c>
      <c r="E20" s="47">
        <v>40</v>
      </c>
      <c r="F20" s="47">
        <v>21</v>
      </c>
      <c r="G20" s="47">
        <v>1</v>
      </c>
      <c r="H20" s="47" t="s">
        <v>258</v>
      </c>
      <c r="I20" s="47" t="s">
        <v>258</v>
      </c>
      <c r="J20" s="48">
        <f t="shared" si="0"/>
        <v>100</v>
      </c>
    </row>
    <row r="21" spans="1:10" ht="21" customHeight="1" x14ac:dyDescent="0.15">
      <c r="A21" s="47">
        <v>48006119</v>
      </c>
      <c r="B21" s="47">
        <v>0</v>
      </c>
      <c r="C21" s="47">
        <v>40</v>
      </c>
      <c r="D21" s="47">
        <v>100</v>
      </c>
      <c r="E21" s="47">
        <v>20</v>
      </c>
      <c r="F21" s="47">
        <v>11</v>
      </c>
      <c r="G21" s="47">
        <v>1</v>
      </c>
      <c r="H21" s="47" t="s">
        <v>258</v>
      </c>
      <c r="I21" s="47" t="s">
        <v>258</v>
      </c>
      <c r="J21" s="48">
        <f t="shared" si="0"/>
        <v>100</v>
      </c>
    </row>
    <row r="22" spans="1:10" ht="21" customHeight="1" x14ac:dyDescent="0.15">
      <c r="A22" s="47">
        <v>48006120</v>
      </c>
      <c r="B22" s="47">
        <v>0</v>
      </c>
      <c r="C22" s="47">
        <v>20</v>
      </c>
      <c r="D22" s="47">
        <v>100</v>
      </c>
      <c r="E22" s="47">
        <v>10</v>
      </c>
      <c r="F22" s="47" t="s">
        <v>258</v>
      </c>
      <c r="G22" s="47">
        <v>1</v>
      </c>
      <c r="H22" s="47" t="s">
        <v>258</v>
      </c>
      <c r="I22" s="47" t="s">
        <v>258</v>
      </c>
      <c r="J22" s="48">
        <f t="shared" si="0"/>
        <v>100</v>
      </c>
    </row>
    <row r="23" spans="1:10" ht="21" customHeight="1" x14ac:dyDescent="0.15">
      <c r="A23" s="47">
        <v>48006121</v>
      </c>
      <c r="B23" s="47">
        <v>0</v>
      </c>
      <c r="C23" s="47">
        <v>10</v>
      </c>
      <c r="D23" s="47">
        <v>100</v>
      </c>
      <c r="E23" s="47" t="s">
        <v>53</v>
      </c>
      <c r="F23" s="47" t="s">
        <v>258</v>
      </c>
      <c r="G23" s="47" t="s">
        <v>260</v>
      </c>
      <c r="H23" s="47" t="s">
        <v>258</v>
      </c>
      <c r="I23" s="47" t="s">
        <v>258</v>
      </c>
      <c r="J23" s="48">
        <f t="shared" si="0"/>
        <v>100</v>
      </c>
    </row>
    <row r="24" spans="1:10" ht="21" customHeight="1" x14ac:dyDescent="0.15">
      <c r="A24" s="47">
        <v>48006122</v>
      </c>
      <c r="B24" s="47">
        <v>1</v>
      </c>
      <c r="C24" s="47">
        <v>120</v>
      </c>
      <c r="D24" s="47">
        <v>100</v>
      </c>
      <c r="E24" s="47" t="s">
        <v>258</v>
      </c>
      <c r="F24" s="47" t="s">
        <v>258</v>
      </c>
      <c r="G24" s="47">
        <v>1</v>
      </c>
      <c r="H24" s="47" t="s">
        <v>258</v>
      </c>
      <c r="I24" s="47" t="s">
        <v>258</v>
      </c>
      <c r="J24" s="48">
        <f t="shared" si="0"/>
        <v>100</v>
      </c>
    </row>
    <row r="25" spans="1:10" ht="21" customHeight="1" x14ac:dyDescent="0.15">
      <c r="A25" s="47">
        <v>48006123</v>
      </c>
      <c r="B25" s="47">
        <v>0</v>
      </c>
      <c r="C25" s="47">
        <v>80</v>
      </c>
      <c r="D25" s="47">
        <v>100</v>
      </c>
      <c r="E25" s="47" t="s">
        <v>258</v>
      </c>
      <c r="F25" s="47" t="s">
        <v>258</v>
      </c>
      <c r="G25" s="47" t="s">
        <v>257</v>
      </c>
      <c r="H25" s="47">
        <v>2</v>
      </c>
      <c r="I25" s="47" t="s">
        <v>258</v>
      </c>
      <c r="J25" s="48">
        <f t="shared" si="0"/>
        <v>100</v>
      </c>
    </row>
    <row r="26" spans="1:10" ht="21" customHeight="1" x14ac:dyDescent="0.15">
      <c r="A26" s="47">
        <v>48006124</v>
      </c>
      <c r="B26" s="47">
        <v>0</v>
      </c>
      <c r="C26" s="47">
        <v>50</v>
      </c>
      <c r="D26" s="47">
        <v>100</v>
      </c>
      <c r="E26" s="47" t="s">
        <v>258</v>
      </c>
      <c r="F26" s="47" t="s">
        <v>258</v>
      </c>
      <c r="G26" s="47" t="s">
        <v>259</v>
      </c>
      <c r="H26" s="47">
        <v>1</v>
      </c>
      <c r="I26" s="47" t="s">
        <v>258</v>
      </c>
      <c r="J26" s="48">
        <f t="shared" si="0"/>
        <v>100</v>
      </c>
    </row>
    <row r="27" spans="1:10" ht="21" customHeight="1" x14ac:dyDescent="0.15">
      <c r="A27" s="47">
        <v>48006125</v>
      </c>
      <c r="B27" s="47">
        <v>0</v>
      </c>
      <c r="C27" s="47">
        <v>100</v>
      </c>
      <c r="D27" s="47">
        <v>100</v>
      </c>
      <c r="E27" s="47">
        <v>50</v>
      </c>
      <c r="F27" s="47" t="s">
        <v>258</v>
      </c>
      <c r="G27" s="47">
        <v>1</v>
      </c>
      <c r="H27" s="47">
        <v>1</v>
      </c>
      <c r="I27" s="47" t="s">
        <v>258</v>
      </c>
      <c r="J27" s="48">
        <f t="shared" si="0"/>
        <v>100</v>
      </c>
    </row>
    <row r="28" spans="1:10" ht="21" customHeight="1" x14ac:dyDescent="0.15">
      <c r="A28" s="47">
        <v>48006126</v>
      </c>
      <c r="B28" s="47">
        <v>0</v>
      </c>
      <c r="C28" s="47">
        <v>90</v>
      </c>
      <c r="D28" s="47">
        <v>100</v>
      </c>
      <c r="E28" s="47">
        <v>50</v>
      </c>
      <c r="F28" s="47" t="s">
        <v>258</v>
      </c>
      <c r="G28" s="47">
        <v>1</v>
      </c>
      <c r="H28" s="47">
        <v>1</v>
      </c>
      <c r="I28" s="47" t="s">
        <v>258</v>
      </c>
      <c r="J28" s="48">
        <f t="shared" si="0"/>
        <v>100</v>
      </c>
    </row>
    <row r="29" spans="1:10" ht="21" customHeight="1" x14ac:dyDescent="0.15">
      <c r="A29" s="47">
        <v>48006127</v>
      </c>
      <c r="B29" s="47">
        <v>1</v>
      </c>
      <c r="C29" s="47">
        <v>120</v>
      </c>
      <c r="D29" s="47">
        <v>100</v>
      </c>
      <c r="E29" s="47" t="s">
        <v>258</v>
      </c>
      <c r="F29" s="47" t="s">
        <v>258</v>
      </c>
      <c r="G29" s="47">
        <v>1</v>
      </c>
      <c r="H29" s="47" t="s">
        <v>258</v>
      </c>
      <c r="I29" s="47" t="s">
        <v>258</v>
      </c>
      <c r="J29" s="48">
        <f t="shared" si="0"/>
        <v>100</v>
      </c>
    </row>
    <row r="30" spans="1:10" ht="21" customHeight="1" x14ac:dyDescent="0.15">
      <c r="A30" s="47">
        <v>48006128</v>
      </c>
      <c r="B30" s="47">
        <v>0</v>
      </c>
      <c r="C30" s="47">
        <v>110</v>
      </c>
      <c r="D30" s="47">
        <v>100</v>
      </c>
      <c r="E30" s="47" t="s">
        <v>258</v>
      </c>
      <c r="F30" s="47" t="s">
        <v>258</v>
      </c>
      <c r="G30" s="47">
        <v>1</v>
      </c>
      <c r="H30" s="47">
        <v>1</v>
      </c>
      <c r="I30" s="47" t="s">
        <v>258</v>
      </c>
      <c r="J30" s="48">
        <f t="shared" si="0"/>
        <v>100</v>
      </c>
    </row>
    <row r="31" spans="1:10" ht="21" customHeight="1" x14ac:dyDescent="0.15">
      <c r="A31" s="47">
        <v>48006129</v>
      </c>
      <c r="B31" s="47">
        <v>0</v>
      </c>
      <c r="C31" s="47">
        <v>100</v>
      </c>
      <c r="D31" s="47">
        <v>100</v>
      </c>
      <c r="E31" s="47" t="s">
        <v>258</v>
      </c>
      <c r="F31" s="47" t="s">
        <v>258</v>
      </c>
      <c r="G31" s="47">
        <v>1</v>
      </c>
      <c r="H31" s="47">
        <v>2</v>
      </c>
      <c r="I31" s="47" t="s">
        <v>258</v>
      </c>
      <c r="J31" s="48">
        <f t="shared" si="0"/>
        <v>100</v>
      </c>
    </row>
    <row r="32" spans="1:10" ht="21" customHeight="1" x14ac:dyDescent="0.15">
      <c r="A32" s="47">
        <v>48006130</v>
      </c>
      <c r="B32" s="47">
        <v>0</v>
      </c>
      <c r="C32" s="47">
        <v>90</v>
      </c>
      <c r="D32" s="47">
        <v>100</v>
      </c>
      <c r="E32" s="47" t="s">
        <v>258</v>
      </c>
      <c r="F32" s="47" t="s">
        <v>258</v>
      </c>
      <c r="G32" s="47">
        <v>1</v>
      </c>
      <c r="H32" s="47">
        <v>3</v>
      </c>
      <c r="I32" s="47" t="s">
        <v>258</v>
      </c>
      <c r="J32" s="48">
        <f t="shared" si="0"/>
        <v>100</v>
      </c>
    </row>
    <row r="33" spans="1:10" ht="21" customHeight="1" x14ac:dyDescent="0.15">
      <c r="A33" s="47">
        <v>48006131</v>
      </c>
      <c r="B33" s="47">
        <v>0</v>
      </c>
      <c r="C33" s="47">
        <v>80</v>
      </c>
      <c r="D33" s="47">
        <v>100</v>
      </c>
      <c r="E33" s="47" t="s">
        <v>258</v>
      </c>
      <c r="F33" s="47" t="s">
        <v>258</v>
      </c>
      <c r="G33" s="47">
        <v>1</v>
      </c>
      <c r="H33" s="47">
        <v>4</v>
      </c>
      <c r="I33" s="47" t="s">
        <v>258</v>
      </c>
      <c r="J33" s="48">
        <f t="shared" si="0"/>
        <v>100</v>
      </c>
    </row>
    <row r="34" spans="1:10" ht="21" customHeight="1" x14ac:dyDescent="0.15">
      <c r="A34" s="47">
        <v>48006132</v>
      </c>
      <c r="B34" s="47">
        <v>0</v>
      </c>
      <c r="C34" s="47">
        <v>70</v>
      </c>
      <c r="D34" s="47">
        <v>100</v>
      </c>
      <c r="E34" s="47" t="s">
        <v>258</v>
      </c>
      <c r="F34" s="47" t="s">
        <v>258</v>
      </c>
      <c r="G34" s="47">
        <v>1</v>
      </c>
      <c r="H34" s="47">
        <v>5</v>
      </c>
      <c r="I34" s="47" t="s">
        <v>258</v>
      </c>
      <c r="J34" s="48">
        <f t="shared" si="0"/>
        <v>100</v>
      </c>
    </row>
    <row r="35" spans="1:10" ht="21" customHeight="1" x14ac:dyDescent="0.15">
      <c r="A35" s="47">
        <v>48006133</v>
      </c>
      <c r="B35" s="47">
        <v>0</v>
      </c>
      <c r="C35" s="47">
        <v>60</v>
      </c>
      <c r="D35" s="47">
        <v>100</v>
      </c>
      <c r="E35" s="47" t="s">
        <v>258</v>
      </c>
      <c r="F35" s="47" t="s">
        <v>258</v>
      </c>
      <c r="G35" s="47">
        <v>1</v>
      </c>
      <c r="H35" s="47">
        <v>6</v>
      </c>
      <c r="I35" s="47" t="s">
        <v>258</v>
      </c>
      <c r="J35" s="48">
        <f t="shared" si="0"/>
        <v>100</v>
      </c>
    </row>
    <row r="36" spans="1:10" ht="21" customHeight="1" x14ac:dyDescent="0.15">
      <c r="A36" s="47">
        <v>48006134</v>
      </c>
      <c r="B36" s="48">
        <v>0</v>
      </c>
      <c r="C36" s="48">
        <v>120</v>
      </c>
      <c r="D36" s="48">
        <v>100</v>
      </c>
      <c r="E36" s="48" t="s">
        <v>53</v>
      </c>
      <c r="F36" s="48" t="s">
        <v>301</v>
      </c>
      <c r="G36" s="48">
        <v>1</v>
      </c>
      <c r="H36" s="48" t="s">
        <v>53</v>
      </c>
      <c r="I36" s="48">
        <v>305</v>
      </c>
      <c r="J36" s="48">
        <f t="shared" si="0"/>
        <v>100</v>
      </c>
    </row>
    <row r="37" spans="1:10" ht="21" customHeight="1" x14ac:dyDescent="0.15">
      <c r="A37" s="47">
        <v>48006135</v>
      </c>
      <c r="B37" s="48">
        <v>0</v>
      </c>
      <c r="C37" s="48">
        <v>120</v>
      </c>
      <c r="D37" s="48">
        <v>100</v>
      </c>
      <c r="E37" s="48" t="s">
        <v>53</v>
      </c>
      <c r="F37" s="48" t="s">
        <v>301</v>
      </c>
      <c r="G37" s="48">
        <v>1</v>
      </c>
      <c r="H37" s="48" t="s">
        <v>53</v>
      </c>
      <c r="I37" s="48">
        <v>393</v>
      </c>
      <c r="J37" s="48">
        <f t="shared" ref="J37:J41" si="1">D37</f>
        <v>100</v>
      </c>
    </row>
    <row r="38" spans="1:10" ht="21" customHeight="1" x14ac:dyDescent="0.15">
      <c r="A38" s="47">
        <v>48006137</v>
      </c>
      <c r="B38" s="47">
        <v>0</v>
      </c>
      <c r="C38" s="47" t="s">
        <v>309</v>
      </c>
      <c r="D38" s="47">
        <v>100</v>
      </c>
      <c r="E38" s="47">
        <v>100</v>
      </c>
      <c r="F38" s="47" t="s">
        <v>309</v>
      </c>
      <c r="G38" s="47">
        <v>0</v>
      </c>
      <c r="H38" s="47" t="s">
        <v>309</v>
      </c>
      <c r="I38" s="47">
        <v>0</v>
      </c>
      <c r="J38" s="48">
        <f t="shared" si="1"/>
        <v>100</v>
      </c>
    </row>
    <row r="39" spans="1:10" ht="21" customHeight="1" x14ac:dyDescent="0.15">
      <c r="A39" s="47">
        <v>48006180</v>
      </c>
      <c r="B39" s="47">
        <v>1</v>
      </c>
      <c r="C39" s="47">
        <v>150</v>
      </c>
      <c r="D39" s="47">
        <v>100</v>
      </c>
      <c r="E39" s="47" t="s">
        <v>319</v>
      </c>
      <c r="F39" s="47" t="s">
        <v>319</v>
      </c>
      <c r="G39" s="47">
        <v>1</v>
      </c>
      <c r="H39" s="47" t="s">
        <v>319</v>
      </c>
      <c r="I39" s="47">
        <v>8031</v>
      </c>
      <c r="J39" s="48">
        <f t="shared" si="1"/>
        <v>100</v>
      </c>
    </row>
    <row r="40" spans="1:10" ht="21" customHeight="1" x14ac:dyDescent="0.15">
      <c r="A40" s="47">
        <v>48006181</v>
      </c>
      <c r="B40" s="47">
        <v>1</v>
      </c>
      <c r="C40" s="47">
        <v>140</v>
      </c>
      <c r="D40" s="47">
        <v>100</v>
      </c>
      <c r="E40" s="47" t="s">
        <v>319</v>
      </c>
      <c r="F40" s="47" t="s">
        <v>319</v>
      </c>
      <c r="G40" s="47">
        <v>1</v>
      </c>
      <c r="H40" s="47" t="s">
        <v>319</v>
      </c>
      <c r="I40" s="47">
        <v>8032</v>
      </c>
      <c r="J40" s="48">
        <f t="shared" si="1"/>
        <v>100</v>
      </c>
    </row>
    <row r="41" spans="1:10" ht="21" customHeight="1" x14ac:dyDescent="0.15">
      <c r="A41" s="170">
        <v>48006182</v>
      </c>
      <c r="B41" s="170">
        <v>0</v>
      </c>
      <c r="C41" s="170">
        <v>200</v>
      </c>
      <c r="D41" s="170">
        <v>100</v>
      </c>
      <c r="E41" s="170" t="s">
        <v>319</v>
      </c>
      <c r="F41" s="170" t="s">
        <v>319</v>
      </c>
      <c r="G41" s="170">
        <v>0</v>
      </c>
      <c r="H41" s="170" t="s">
        <v>319</v>
      </c>
      <c r="I41" s="170">
        <v>0</v>
      </c>
      <c r="J41" s="48">
        <f t="shared" si="1"/>
        <v>100</v>
      </c>
    </row>
    <row r="42" spans="1:10" ht="21" customHeight="1" x14ac:dyDescent="0.15">
      <c r="A42" s="170">
        <v>48006183</v>
      </c>
      <c r="B42" s="170">
        <v>0</v>
      </c>
      <c r="C42" s="170">
        <v>201</v>
      </c>
      <c r="D42" s="170">
        <v>100</v>
      </c>
      <c r="E42" s="170" t="s">
        <v>319</v>
      </c>
      <c r="F42" s="170" t="s">
        <v>319</v>
      </c>
      <c r="G42" s="170">
        <v>0</v>
      </c>
      <c r="H42" s="170" t="s">
        <v>319</v>
      </c>
      <c r="I42" s="170">
        <v>8031</v>
      </c>
      <c r="J42" s="48">
        <f t="shared" ref="J42:J43" si="2">D42</f>
        <v>100</v>
      </c>
    </row>
    <row r="43" spans="1:10" ht="21" customHeight="1" x14ac:dyDescent="0.15">
      <c r="A43" s="170">
        <v>48006184</v>
      </c>
      <c r="B43" s="170">
        <v>0</v>
      </c>
      <c r="C43" s="170">
        <v>202</v>
      </c>
      <c r="D43" s="170">
        <v>100</v>
      </c>
      <c r="E43" s="170" t="s">
        <v>319</v>
      </c>
      <c r="F43" s="170" t="s">
        <v>319</v>
      </c>
      <c r="G43" s="170">
        <v>0</v>
      </c>
      <c r="H43" s="170" t="s">
        <v>319</v>
      </c>
      <c r="I43" s="170">
        <v>8032</v>
      </c>
      <c r="J43" s="48">
        <f t="shared" si="2"/>
        <v>100</v>
      </c>
    </row>
  </sheetData>
  <autoFilter ref="A1:G1"/>
  <phoneticPr fontId="5"/>
  <conditionalFormatting sqref="K44:K1048576 K1:K40">
    <cfRule type="duplicateValues" dxfId="2" priority="3"/>
  </conditionalFormatting>
  <conditionalFormatting sqref="K42:K43">
    <cfRule type="duplicateValues" dxfId="1" priority="2"/>
  </conditionalFormatting>
  <conditionalFormatting sqref="K4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J35" sqref="J3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2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57">
        <v>48006</v>
      </c>
      <c r="B2" s="57">
        <v>1</v>
      </c>
      <c r="C2" s="71" t="str">
        <f>A2&amp; "_"&amp;B2</f>
        <v>48006_1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167</v>
      </c>
      <c r="G2" s="57">
        <v>40000</v>
      </c>
      <c r="H2" s="57" t="s">
        <v>326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168</v>
      </c>
      <c r="R2" s="57" t="s">
        <v>169</v>
      </c>
    </row>
    <row r="3" spans="1:18" x14ac:dyDescent="0.15">
      <c r="A3" s="57">
        <v>48006</v>
      </c>
      <c r="B3" s="57">
        <v>1</v>
      </c>
      <c r="C3" s="71" t="str">
        <f t="shared" ref="C3:C18" si="0">A3&amp; "_"&amp;B3</f>
        <v>48006_1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327</v>
      </c>
      <c r="G3" s="57">
        <v>30</v>
      </c>
      <c r="H3" s="57" t="s">
        <v>255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168</v>
      </c>
      <c r="R3" s="57" t="s">
        <v>169</v>
      </c>
    </row>
    <row r="4" spans="1:18" x14ac:dyDescent="0.15">
      <c r="A4" s="57">
        <v>48006</v>
      </c>
      <c r="B4" s="57">
        <v>1</v>
      </c>
      <c r="C4" s="71" t="str">
        <f t="shared" si="0"/>
        <v>48006_1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328</v>
      </c>
      <c r="G4" s="57">
        <v>337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168</v>
      </c>
      <c r="R4" s="57" t="s">
        <v>169</v>
      </c>
    </row>
    <row r="5" spans="1:18" x14ac:dyDescent="0.15">
      <c r="A5" s="57">
        <v>48006</v>
      </c>
      <c r="B5" s="57">
        <v>1</v>
      </c>
      <c r="C5" s="71" t="str">
        <f t="shared" si="0"/>
        <v>48006_1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328</v>
      </c>
      <c r="G5" s="57">
        <v>338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168</v>
      </c>
      <c r="R5" s="57" t="s">
        <v>169</v>
      </c>
    </row>
    <row r="6" spans="1:18" x14ac:dyDescent="0.15">
      <c r="A6" s="57">
        <v>48006</v>
      </c>
      <c r="B6" s="57">
        <v>1</v>
      </c>
      <c r="C6" s="71" t="str">
        <f t="shared" si="0"/>
        <v>48006_1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328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168</v>
      </c>
      <c r="R6" s="57" t="s">
        <v>169</v>
      </c>
    </row>
    <row r="7" spans="1:18" x14ac:dyDescent="0.15">
      <c r="A7" s="57">
        <v>48006</v>
      </c>
      <c r="B7" s="57">
        <v>1</v>
      </c>
      <c r="C7" s="71" t="str">
        <f t="shared" si="0"/>
        <v>48006_1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328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168</v>
      </c>
      <c r="R7" s="57" t="s">
        <v>169</v>
      </c>
    </row>
    <row r="8" spans="1:18" x14ac:dyDescent="0.15">
      <c r="A8" s="57">
        <v>48006</v>
      </c>
      <c r="B8" s="57">
        <v>1</v>
      </c>
      <c r="C8" s="71" t="str">
        <f t="shared" si="0"/>
        <v>48006_1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328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168</v>
      </c>
      <c r="R8" s="57" t="s">
        <v>169</v>
      </c>
    </row>
    <row r="9" spans="1:18" x14ac:dyDescent="0.15">
      <c r="A9" s="57">
        <v>48006</v>
      </c>
      <c r="B9" s="57">
        <v>1</v>
      </c>
      <c r="C9" s="71" t="str">
        <f t="shared" si="0"/>
        <v>48006_1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328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168</v>
      </c>
      <c r="R9" s="57" t="s">
        <v>169</v>
      </c>
    </row>
    <row r="10" spans="1:18" x14ac:dyDescent="0.15">
      <c r="A10" s="57">
        <v>48006</v>
      </c>
      <c r="B10" s="57">
        <v>1</v>
      </c>
      <c r="C10" s="71" t="str">
        <f t="shared" si="0"/>
        <v>48006_1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328</v>
      </c>
      <c r="G10" s="57">
        <v>8033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100</v>
      </c>
      <c r="Q10" s="57" t="s">
        <v>168</v>
      </c>
      <c r="R10" s="57" t="s">
        <v>169</v>
      </c>
    </row>
    <row r="11" spans="1:18" ht="16" thickBot="1" x14ac:dyDescent="0.2">
      <c r="A11" s="145">
        <v>48006</v>
      </c>
      <c r="B11" s="145">
        <v>1</v>
      </c>
      <c r="C11" s="146" t="str">
        <f t="shared" si="0"/>
        <v>48006_1</v>
      </c>
      <c r="D11" s="14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45">
        <v>10</v>
      </c>
      <c r="F11" s="145" t="s">
        <v>328</v>
      </c>
      <c r="G11" s="145">
        <v>350</v>
      </c>
      <c r="H11" s="145">
        <v>1</v>
      </c>
      <c r="I11" s="145">
        <v>1</v>
      </c>
      <c r="J11" s="145">
        <v>1</v>
      </c>
      <c r="K11" s="145">
        <v>0</v>
      </c>
      <c r="L11" s="145">
        <v>0</v>
      </c>
      <c r="M11" s="145">
        <v>0</v>
      </c>
      <c r="N11" s="145">
        <v>0</v>
      </c>
      <c r="O11" s="145">
        <v>1</v>
      </c>
      <c r="P11" s="145">
        <v>150</v>
      </c>
      <c r="Q11" s="145" t="s">
        <v>168</v>
      </c>
      <c r="R11" s="145" t="s">
        <v>169</v>
      </c>
    </row>
    <row r="12" spans="1:18" x14ac:dyDescent="0.15">
      <c r="A12" s="157">
        <v>48006</v>
      </c>
      <c r="B12" s="148">
        <v>2</v>
      </c>
      <c r="C12" s="149" t="str">
        <f t="shared" si="0"/>
        <v>48006_2</v>
      </c>
      <c r="D12" s="150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58">
        <v>1</v>
      </c>
      <c r="F12" s="158" t="s">
        <v>226</v>
      </c>
      <c r="G12" s="158">
        <v>338</v>
      </c>
      <c r="H12" s="158">
        <v>1</v>
      </c>
      <c r="I12" s="158">
        <v>1</v>
      </c>
      <c r="J12" s="158">
        <v>1</v>
      </c>
      <c r="K12" s="158">
        <v>0</v>
      </c>
      <c r="L12" s="158">
        <v>0</v>
      </c>
      <c r="M12" s="158">
        <v>0</v>
      </c>
      <c r="N12" s="158">
        <v>0</v>
      </c>
      <c r="O12" s="158">
        <v>1</v>
      </c>
      <c r="P12" s="148">
        <v>50</v>
      </c>
      <c r="Q12" s="148" t="s">
        <v>168</v>
      </c>
      <c r="R12" s="151" t="s">
        <v>169</v>
      </c>
    </row>
    <row r="13" spans="1:18" x14ac:dyDescent="0.15">
      <c r="A13" s="159">
        <v>48006</v>
      </c>
      <c r="B13" s="57">
        <v>2</v>
      </c>
      <c r="C13" s="71" t="str">
        <f t="shared" si="0"/>
        <v>48006_2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1">
        <v>2</v>
      </c>
      <c r="F13" s="81" t="s">
        <v>226</v>
      </c>
      <c r="G13" s="81">
        <v>350</v>
      </c>
      <c r="H13" s="81">
        <v>1</v>
      </c>
      <c r="I13" s="81">
        <v>1</v>
      </c>
      <c r="J13" s="81">
        <v>1</v>
      </c>
      <c r="K13" s="81">
        <v>0</v>
      </c>
      <c r="L13" s="81">
        <v>0</v>
      </c>
      <c r="M13" s="81">
        <v>0</v>
      </c>
      <c r="N13" s="81">
        <v>0</v>
      </c>
      <c r="O13" s="81">
        <v>1</v>
      </c>
      <c r="P13" s="57">
        <v>120</v>
      </c>
      <c r="Q13" s="57" t="s">
        <v>168</v>
      </c>
      <c r="R13" s="152" t="s">
        <v>169</v>
      </c>
    </row>
    <row r="14" spans="1:18" x14ac:dyDescent="0.15">
      <c r="A14" s="159">
        <v>48006</v>
      </c>
      <c r="B14" s="57">
        <v>2</v>
      </c>
      <c r="C14" s="71" t="str">
        <f t="shared" si="0"/>
        <v>48006_2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1">
        <v>3</v>
      </c>
      <c r="F14" s="81" t="s">
        <v>226</v>
      </c>
      <c r="G14" s="81">
        <v>607</v>
      </c>
      <c r="H14" s="81">
        <v>1</v>
      </c>
      <c r="I14" s="81">
        <v>1</v>
      </c>
      <c r="J14" s="81">
        <v>1</v>
      </c>
      <c r="K14" s="81">
        <v>0</v>
      </c>
      <c r="L14" s="81">
        <v>0</v>
      </c>
      <c r="M14" s="81">
        <v>0</v>
      </c>
      <c r="N14" s="81">
        <v>0</v>
      </c>
      <c r="O14" s="81">
        <v>1</v>
      </c>
      <c r="P14" s="57">
        <v>100</v>
      </c>
      <c r="Q14" s="57" t="s">
        <v>168</v>
      </c>
      <c r="R14" s="152" t="s">
        <v>169</v>
      </c>
    </row>
    <row r="15" spans="1:18" x14ac:dyDescent="0.15">
      <c r="A15" s="159">
        <v>48006</v>
      </c>
      <c r="B15" s="57">
        <v>2</v>
      </c>
      <c r="C15" s="71" t="str">
        <f t="shared" si="0"/>
        <v>48006_2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1">
        <v>4</v>
      </c>
      <c r="F15" s="81" t="s">
        <v>226</v>
      </c>
      <c r="G15" s="81">
        <v>608</v>
      </c>
      <c r="H15" s="81">
        <v>1</v>
      </c>
      <c r="I15" s="81">
        <v>1</v>
      </c>
      <c r="J15" s="81">
        <v>1</v>
      </c>
      <c r="K15" s="81">
        <v>0</v>
      </c>
      <c r="L15" s="81">
        <v>0</v>
      </c>
      <c r="M15" s="81">
        <v>0</v>
      </c>
      <c r="N15" s="81">
        <v>0</v>
      </c>
      <c r="O15" s="81">
        <v>1</v>
      </c>
      <c r="P15" s="57">
        <v>100</v>
      </c>
      <c r="Q15" s="57" t="s">
        <v>168</v>
      </c>
      <c r="R15" s="152" t="s">
        <v>169</v>
      </c>
    </row>
    <row r="16" spans="1:18" x14ac:dyDescent="0.15">
      <c r="A16" s="159">
        <v>48006</v>
      </c>
      <c r="B16" s="57">
        <v>2</v>
      </c>
      <c r="C16" s="71" t="str">
        <f t="shared" si="0"/>
        <v>48006_2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1">
        <v>5</v>
      </c>
      <c r="F16" s="81" t="s">
        <v>226</v>
      </c>
      <c r="G16" s="81">
        <v>609</v>
      </c>
      <c r="H16" s="81">
        <v>1</v>
      </c>
      <c r="I16" s="81">
        <v>1</v>
      </c>
      <c r="J16" s="81">
        <v>1</v>
      </c>
      <c r="K16" s="81">
        <v>0</v>
      </c>
      <c r="L16" s="81">
        <v>0</v>
      </c>
      <c r="M16" s="81">
        <v>0</v>
      </c>
      <c r="N16" s="81">
        <v>0</v>
      </c>
      <c r="O16" s="81">
        <v>1</v>
      </c>
      <c r="P16" s="57">
        <v>100</v>
      </c>
      <c r="Q16" s="57" t="s">
        <v>168</v>
      </c>
      <c r="R16" s="152" t="s">
        <v>169</v>
      </c>
    </row>
    <row r="17" spans="1:18" x14ac:dyDescent="0.15">
      <c r="A17" s="159">
        <v>48006</v>
      </c>
      <c r="B17" s="57">
        <v>2</v>
      </c>
      <c r="C17" s="71" t="str">
        <f t="shared" si="0"/>
        <v>48006_2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1">
        <v>6</v>
      </c>
      <c r="F17" s="81" t="s">
        <v>226</v>
      </c>
      <c r="G17" s="81">
        <v>125</v>
      </c>
      <c r="H17" s="81">
        <v>1</v>
      </c>
      <c r="I17" s="81">
        <v>1</v>
      </c>
      <c r="J17" s="81">
        <v>1</v>
      </c>
      <c r="K17" s="81">
        <v>0</v>
      </c>
      <c r="L17" s="81">
        <v>0</v>
      </c>
      <c r="M17" s="81">
        <v>0</v>
      </c>
      <c r="N17" s="81">
        <v>0</v>
      </c>
      <c r="O17" s="81">
        <v>1</v>
      </c>
      <c r="P17" s="57">
        <v>30</v>
      </c>
      <c r="Q17" s="57" t="s">
        <v>168</v>
      </c>
      <c r="R17" s="152" t="s">
        <v>169</v>
      </c>
    </row>
    <row r="18" spans="1:18" ht="16" thickBot="1" x14ac:dyDescent="0.2">
      <c r="A18" s="160">
        <v>48006</v>
      </c>
      <c r="B18" s="153">
        <v>2</v>
      </c>
      <c r="C18" s="154" t="str">
        <f t="shared" si="0"/>
        <v>48006_2</v>
      </c>
      <c r="D18" s="155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1">
        <v>7</v>
      </c>
      <c r="F18" s="161" t="s">
        <v>226</v>
      </c>
      <c r="G18" s="161">
        <v>8033</v>
      </c>
      <c r="H18" s="161">
        <v>1</v>
      </c>
      <c r="I18" s="161">
        <v>1</v>
      </c>
      <c r="J18" s="161">
        <v>1</v>
      </c>
      <c r="K18" s="161">
        <v>0</v>
      </c>
      <c r="L18" s="161">
        <v>0</v>
      </c>
      <c r="M18" s="161">
        <v>0</v>
      </c>
      <c r="N18" s="161">
        <v>0</v>
      </c>
      <c r="O18" s="161">
        <v>1</v>
      </c>
      <c r="P18" s="153">
        <v>500</v>
      </c>
      <c r="Q18" s="153" t="s">
        <v>168</v>
      </c>
      <c r="R18" s="156" t="s">
        <v>169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15" sqref="H15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186</v>
      </c>
      <c r="B1" s="73" t="s">
        <v>187</v>
      </c>
      <c r="C1" s="77" t="s">
        <v>188</v>
      </c>
      <c r="D1" s="77" t="s">
        <v>33</v>
      </c>
      <c r="E1" s="73" t="s">
        <v>189</v>
      </c>
      <c r="F1" s="77" t="s">
        <v>190</v>
      </c>
      <c r="G1" s="77" t="s">
        <v>33</v>
      </c>
      <c r="H1" s="73" t="s">
        <v>191</v>
      </c>
      <c r="I1" s="91" t="s">
        <v>193</v>
      </c>
      <c r="J1" s="79" t="s">
        <v>125</v>
      </c>
      <c r="K1" s="78" t="s">
        <v>185</v>
      </c>
      <c r="L1" s="92" t="s">
        <v>184</v>
      </c>
      <c r="M1" s="80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2" activePane="bottomLeft" state="frozen"/>
      <selection pane="bottomLeft" activeCell="M7" sqref="M7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186</v>
      </c>
      <c r="B1" s="73" t="s">
        <v>149</v>
      </c>
      <c r="C1" s="77" t="s">
        <v>188</v>
      </c>
      <c r="D1" s="77" t="s">
        <v>33</v>
      </c>
      <c r="E1" s="73" t="s">
        <v>189</v>
      </c>
      <c r="F1" s="77" t="s">
        <v>18</v>
      </c>
      <c r="G1" s="77" t="s">
        <v>33</v>
      </c>
      <c r="H1" s="73" t="s">
        <v>191</v>
      </c>
      <c r="I1" s="89" t="s">
        <v>192</v>
      </c>
      <c r="J1" s="91" t="s">
        <v>193</v>
      </c>
      <c r="K1" s="79" t="s">
        <v>125</v>
      </c>
      <c r="L1" s="78" t="s">
        <v>185</v>
      </c>
      <c r="M1" s="92" t="s">
        <v>184</v>
      </c>
      <c r="N1" s="80" t="s">
        <v>194</v>
      </c>
    </row>
    <row r="2" spans="1:14" ht="42" x14ac:dyDescent="0.15">
      <c r="A2" s="81" t="s">
        <v>195</v>
      </c>
      <c r="B2" s="82">
        <f>floors!$C$2</f>
        <v>48006</v>
      </c>
      <c r="C2" s="83" t="str">
        <f ca="1">VLOOKUP($B2,OFFSET([2]quests!$A$1,0,0,COUNTA([2]quests!$A:$A),MATCH(C$1,[2]quests!$1:$1,0)-MATCH($B$1,[2]quests!$1:$1,0)+1),MATCH(C$1,[2]quests!$1:$1,0)-MATCH($B$1,[2]quests!$1:$1,0)+1,FALSE)</f>
        <v>牛頭馬面襲来！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台湾版降臨7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【超絶級】牛頭馬面襲来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台湾版降臨7</v>
      </c>
      <c r="H2" s="85">
        <v>1</v>
      </c>
      <c r="I2" s="90">
        <f>ROW()-1</f>
        <v>1</v>
      </c>
      <c r="J2" s="86" t="str">
        <f>B2&amp;TEXT(I2,"00")</f>
        <v>4800601</v>
      </c>
      <c r="K2" s="84" t="s">
        <v>196</v>
      </c>
      <c r="L2" s="87" t="s">
        <v>197</v>
      </c>
      <c r="M2" s="144" t="s">
        <v>360</v>
      </c>
      <c r="N2" s="57" t="s">
        <v>198</v>
      </c>
    </row>
    <row r="3" spans="1:14" ht="42" x14ac:dyDescent="0.15">
      <c r="A3" s="81" t="s">
        <v>195</v>
      </c>
      <c r="B3" s="82">
        <f>floors!$C$2</f>
        <v>48006</v>
      </c>
      <c r="C3" s="83" t="str">
        <f ca="1">VLOOKUP($B3,OFFSET([2]quests!$A$1,0,0,COUNTA([2]quests!$A:$A),MATCH(C$1,[2]quests!$1:$1,0)-MATCH($B$1,[2]quests!$1:$1,0)+1),MATCH(C$1,[2]quests!$1:$1,0)-MATCH($B$1,[2]quests!$1:$1,0)+1,FALSE)</f>
        <v>牛頭馬面襲来！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台湾版降臨7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【超絶級】牛頭馬面襲来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台湾版降臨7</v>
      </c>
      <c r="H3" s="85">
        <v>2</v>
      </c>
      <c r="I3" s="90">
        <f t="shared" ref="I3:I21" si="0">ROW()-1</f>
        <v>2</v>
      </c>
      <c r="J3" s="86" t="str">
        <f t="shared" ref="J3:J7" si="1">B3&amp;TEXT(I3,"00")</f>
        <v>4800602</v>
      </c>
      <c r="K3" s="84" t="s">
        <v>126</v>
      </c>
      <c r="L3" s="87" t="s">
        <v>197</v>
      </c>
      <c r="M3" s="144" t="s">
        <v>320</v>
      </c>
      <c r="N3" s="57" t="s">
        <v>198</v>
      </c>
    </row>
    <row r="4" spans="1:14" ht="28" x14ac:dyDescent="0.15">
      <c r="A4" s="81" t="s">
        <v>195</v>
      </c>
      <c r="B4" s="82">
        <f>floors!$C$2</f>
        <v>48006</v>
      </c>
      <c r="C4" s="83" t="str">
        <f ca="1">VLOOKUP($B4,OFFSET([2]quests!$A$1,0,0,COUNTA([2]quests!$A:$A),MATCH(C$1,[2]quests!$1:$1,0)-MATCH($B$1,[2]quests!$1:$1,0)+1),MATCH(C$1,[2]quests!$1:$1,0)-MATCH($B$1,[2]quests!$1:$1,0)+1,FALSE)</f>
        <v>牛頭馬面襲来！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台湾版降臨7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【超絶級】牛頭馬面襲来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台湾版降臨7</v>
      </c>
      <c r="H4" s="85">
        <v>3</v>
      </c>
      <c r="I4" s="90">
        <f t="shared" si="0"/>
        <v>3</v>
      </c>
      <c r="J4" s="86" t="str">
        <f t="shared" si="1"/>
        <v>4800603</v>
      </c>
      <c r="K4" s="84" t="s">
        <v>126</v>
      </c>
      <c r="L4" s="87" t="s">
        <v>197</v>
      </c>
      <c r="M4" s="144" t="s">
        <v>321</v>
      </c>
      <c r="N4" s="57" t="s">
        <v>198</v>
      </c>
    </row>
    <row r="5" spans="1:14" ht="42" x14ac:dyDescent="0.15">
      <c r="A5" s="81" t="s">
        <v>195</v>
      </c>
      <c r="B5" s="82">
        <f>floors!$C$2</f>
        <v>48006</v>
      </c>
      <c r="C5" s="83" t="str">
        <f ca="1">VLOOKUP($B5,OFFSET([2]quests!$A$1,0,0,COUNTA([2]quests!$A:$A),MATCH(C$1,[2]quests!$1:$1,0)-MATCH($B$1,[2]quests!$1:$1,0)+1),MATCH(C$1,[2]quests!$1:$1,0)-MATCH($B$1,[2]quests!$1:$1,0)+1,FALSE)</f>
        <v>牛頭馬面襲来！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台湾版降臨7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【超絶級】牛頭馬面襲来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台湾版降臨7</v>
      </c>
      <c r="H5" s="85">
        <v>3</v>
      </c>
      <c r="I5" s="90">
        <f t="shared" si="0"/>
        <v>4</v>
      </c>
      <c r="J5" s="86" t="str">
        <f t="shared" si="1"/>
        <v>4800604</v>
      </c>
      <c r="K5" s="84" t="s">
        <v>126</v>
      </c>
      <c r="L5" s="87" t="s">
        <v>197</v>
      </c>
      <c r="M5" s="144" t="s">
        <v>390</v>
      </c>
      <c r="N5" s="57" t="s">
        <v>198</v>
      </c>
    </row>
    <row r="6" spans="1:14" ht="56" x14ac:dyDescent="0.15">
      <c r="A6" s="81" t="s">
        <v>195</v>
      </c>
      <c r="B6" s="82">
        <f>floors!$C$2</f>
        <v>48006</v>
      </c>
      <c r="C6" s="83" t="str">
        <f ca="1">VLOOKUP($B6,OFFSET([2]quests!$A$1,0,0,COUNTA([2]quests!$A:$A),MATCH(C$1,[2]quests!$1:$1,0)-MATCH($B$1,[2]quests!$1:$1,0)+1),MATCH(C$1,[2]quests!$1:$1,0)-MATCH($B$1,[2]quests!$1:$1,0)+1,FALSE)</f>
        <v>牛頭馬面襲来！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台湾版降臨7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【超絶級】牛頭馬面襲来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台湾版降臨7</v>
      </c>
      <c r="H6" s="85">
        <v>4</v>
      </c>
      <c r="I6" s="90">
        <f t="shared" si="0"/>
        <v>5</v>
      </c>
      <c r="J6" s="86" t="str">
        <f t="shared" si="1"/>
        <v>4800605</v>
      </c>
      <c r="K6" s="84" t="s">
        <v>126</v>
      </c>
      <c r="L6" s="87" t="s">
        <v>197</v>
      </c>
      <c r="M6" s="144" t="s">
        <v>391</v>
      </c>
      <c r="N6" s="57" t="s">
        <v>198</v>
      </c>
    </row>
    <row r="7" spans="1:14" ht="42" x14ac:dyDescent="0.15">
      <c r="A7" s="81" t="s">
        <v>195</v>
      </c>
      <c r="B7" s="82">
        <f>floors!$C$2</f>
        <v>48006</v>
      </c>
      <c r="C7" s="83" t="str">
        <f ca="1">VLOOKUP($B7,OFFSET([2]quests!$A$1,0,0,COUNTA([2]quests!$A:$A),MATCH(C$1,[2]quests!$1:$1,0)-MATCH($B$1,[2]quests!$1:$1,0)+1),MATCH(C$1,[2]quests!$1:$1,0)-MATCH($B$1,[2]quests!$1:$1,0)+1,FALSE)</f>
        <v>牛頭馬面襲来！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台湾版降臨7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【超絶級】牛頭馬面襲来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台湾版降臨7</v>
      </c>
      <c r="H7" s="85">
        <v>4</v>
      </c>
      <c r="I7" s="90">
        <f t="shared" si="0"/>
        <v>6</v>
      </c>
      <c r="J7" s="86" t="str">
        <f t="shared" si="1"/>
        <v>4800606</v>
      </c>
      <c r="K7" s="84" t="s">
        <v>126</v>
      </c>
      <c r="L7" s="87" t="s">
        <v>197</v>
      </c>
      <c r="M7" s="144" t="s">
        <v>322</v>
      </c>
      <c r="N7" s="57" t="s">
        <v>198</v>
      </c>
    </row>
    <row r="8" spans="1:14" ht="42" x14ac:dyDescent="0.15">
      <c r="A8" s="81" t="s">
        <v>195</v>
      </c>
      <c r="B8" s="82">
        <f>floors!$C$2</f>
        <v>48006</v>
      </c>
      <c r="C8" s="83" t="str">
        <f ca="1">VLOOKUP($B8,OFFSET([2]quests!$A$1,0,0,COUNTA([2]quests!$A:$A),MATCH(C$1,[2]quests!$1:$1,0)-MATCH($B$1,[2]quests!$1:$1,0)+1),MATCH(C$1,[2]quests!$1:$1,0)-MATCH($B$1,[2]quests!$1:$1,0)+1,FALSE)</f>
        <v>牛頭馬面襲来！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台湾版降臨7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台湾版降臨7</v>
      </c>
      <c r="H8" s="85">
        <v>1</v>
      </c>
      <c r="I8" s="90">
        <f>ROW()-1</f>
        <v>7</v>
      </c>
      <c r="J8" s="86" t="str">
        <f>B8&amp;TEXT(I8,"00")</f>
        <v>4800607</v>
      </c>
      <c r="K8" s="84" t="s">
        <v>126</v>
      </c>
      <c r="L8" s="87" t="s">
        <v>197</v>
      </c>
      <c r="M8" s="144" t="s">
        <v>360</v>
      </c>
      <c r="N8" s="57" t="s">
        <v>198</v>
      </c>
    </row>
    <row r="9" spans="1:14" ht="42" x14ac:dyDescent="0.15">
      <c r="A9" s="81" t="s">
        <v>195</v>
      </c>
      <c r="B9" s="82">
        <f>floors!$C$2</f>
        <v>48006</v>
      </c>
      <c r="C9" s="83" t="str">
        <f ca="1">VLOOKUP($B9,OFFSET([2]quests!$A$1,0,0,COUNTA([2]quests!$A:$A),MATCH(C$1,[2]quests!$1:$1,0)-MATCH($B$1,[2]quests!$1:$1,0)+1),MATCH(C$1,[2]quests!$1:$1,0)-MATCH($B$1,[2]quests!$1:$1,0)+1,FALSE)</f>
        <v>牛頭馬面襲来！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台湾版降臨7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台湾版降臨7</v>
      </c>
      <c r="H9" s="85">
        <v>2</v>
      </c>
      <c r="I9" s="90">
        <f t="shared" si="0"/>
        <v>8</v>
      </c>
      <c r="J9" s="86" t="str">
        <f t="shared" ref="J9:J13" si="2">B9&amp;TEXT(I9,"00")</f>
        <v>4800608</v>
      </c>
      <c r="K9" s="84" t="s">
        <v>126</v>
      </c>
      <c r="L9" s="87" t="s">
        <v>197</v>
      </c>
      <c r="M9" s="144" t="s">
        <v>320</v>
      </c>
      <c r="N9" s="57" t="s">
        <v>198</v>
      </c>
    </row>
    <row r="10" spans="1:14" ht="28" x14ac:dyDescent="0.15">
      <c r="A10" s="81" t="s">
        <v>195</v>
      </c>
      <c r="B10" s="82">
        <f>floors!$C$2</f>
        <v>48006</v>
      </c>
      <c r="C10" s="83" t="str">
        <f ca="1">VLOOKUP($B10,OFFSET([2]quests!$A$1,0,0,COUNTA([2]quests!$A:$A),MATCH(C$1,[2]quests!$1:$1,0)-MATCH($B$1,[2]quests!$1:$1,0)+1),MATCH(C$1,[2]quests!$1:$1,0)-MATCH($B$1,[2]quests!$1:$1,0)+1,FALSE)</f>
        <v>牛頭馬面襲来！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台湾版降臨7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台湾版降臨7</v>
      </c>
      <c r="H10" s="85">
        <v>3</v>
      </c>
      <c r="I10" s="90">
        <f t="shared" si="0"/>
        <v>9</v>
      </c>
      <c r="J10" s="86" t="str">
        <f t="shared" si="2"/>
        <v>4800609</v>
      </c>
      <c r="K10" s="84" t="s">
        <v>126</v>
      </c>
      <c r="L10" s="87" t="s">
        <v>197</v>
      </c>
      <c r="M10" s="144" t="s">
        <v>321</v>
      </c>
      <c r="N10" s="57" t="s">
        <v>198</v>
      </c>
    </row>
    <row r="11" spans="1:14" ht="42" x14ac:dyDescent="0.15">
      <c r="A11" s="81" t="s">
        <v>195</v>
      </c>
      <c r="B11" s="82">
        <f>floors!$C$2</f>
        <v>48006</v>
      </c>
      <c r="C11" s="83" t="str">
        <f ca="1">VLOOKUP($B11,OFFSET([2]quests!$A$1,0,0,COUNTA([2]quests!$A:$A),MATCH(C$1,[2]quests!$1:$1,0)-MATCH($B$1,[2]quests!$1:$1,0)+1),MATCH(C$1,[2]quests!$1:$1,0)-MATCH($B$1,[2]quests!$1:$1,0)+1,FALSE)</f>
        <v>牛頭馬面襲来！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台湾版降臨7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台湾版降臨7</v>
      </c>
      <c r="H11" s="85">
        <v>3</v>
      </c>
      <c r="I11" s="90">
        <f t="shared" si="0"/>
        <v>10</v>
      </c>
      <c r="J11" s="86" t="str">
        <f t="shared" si="2"/>
        <v>4800610</v>
      </c>
      <c r="K11" s="84" t="s">
        <v>126</v>
      </c>
      <c r="L11" s="87" t="s">
        <v>197</v>
      </c>
      <c r="M11" s="144" t="s">
        <v>390</v>
      </c>
      <c r="N11" s="57" t="s">
        <v>198</v>
      </c>
    </row>
    <row r="12" spans="1:14" ht="56" x14ac:dyDescent="0.15">
      <c r="A12" s="81" t="s">
        <v>195</v>
      </c>
      <c r="B12" s="82">
        <f>floors!$C$2</f>
        <v>48006</v>
      </c>
      <c r="C12" s="83" t="str">
        <f ca="1">VLOOKUP($B12,OFFSET([2]quests!$A$1,0,0,COUNTA([2]quests!$A:$A),MATCH(C$1,[2]quests!$1:$1,0)-MATCH($B$1,[2]quests!$1:$1,0)+1),MATCH(C$1,[2]quests!$1:$1,0)-MATCH($B$1,[2]quests!$1:$1,0)+1,FALSE)</f>
        <v>牛頭馬面襲来！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台湾版降臨7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台湾版降臨7</v>
      </c>
      <c r="H12" s="85">
        <v>4</v>
      </c>
      <c r="I12" s="90">
        <f t="shared" si="0"/>
        <v>11</v>
      </c>
      <c r="J12" s="86" t="str">
        <f t="shared" si="2"/>
        <v>4800611</v>
      </c>
      <c r="K12" s="84" t="s">
        <v>126</v>
      </c>
      <c r="L12" s="87" t="s">
        <v>197</v>
      </c>
      <c r="M12" s="144" t="s">
        <v>391</v>
      </c>
      <c r="N12" s="57" t="s">
        <v>198</v>
      </c>
    </row>
    <row r="13" spans="1:14" ht="42" x14ac:dyDescent="0.15">
      <c r="A13" s="81" t="s">
        <v>195</v>
      </c>
      <c r="B13" s="82">
        <f>floors!$C$2</f>
        <v>48006</v>
      </c>
      <c r="C13" s="83" t="str">
        <f ca="1">VLOOKUP($B13,OFFSET([2]quests!$A$1,0,0,COUNTA([2]quests!$A:$A),MATCH(C$1,[2]quests!$1:$1,0)-MATCH($B$1,[2]quests!$1:$1,0)+1),MATCH(C$1,[2]quests!$1:$1,0)-MATCH($B$1,[2]quests!$1:$1,0)+1,FALSE)</f>
        <v>牛頭馬面襲来！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台湾版降臨7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台湾版降臨7</v>
      </c>
      <c r="H13" s="85">
        <v>4</v>
      </c>
      <c r="I13" s="90">
        <f t="shared" si="0"/>
        <v>12</v>
      </c>
      <c r="J13" s="86" t="str">
        <f t="shared" si="2"/>
        <v>4800612</v>
      </c>
      <c r="K13" s="84" t="s">
        <v>126</v>
      </c>
      <c r="L13" s="87" t="s">
        <v>197</v>
      </c>
      <c r="M13" s="144" t="s">
        <v>323</v>
      </c>
      <c r="N13" s="57" t="s">
        <v>198</v>
      </c>
    </row>
    <row r="14" spans="1:14" ht="56" x14ac:dyDescent="0.15">
      <c r="A14" s="178" t="s">
        <v>199</v>
      </c>
      <c r="B14" s="179">
        <f>floors!$C$2</f>
        <v>48006</v>
      </c>
      <c r="C14" s="180" t="str">
        <f ca="1">VLOOKUP($B14,OFFSET([2]quests!$A$1,0,0,COUNTA([2]quests!$A:$A),MATCH(C$1,[2]quests!$1:$1,0)-MATCH($B$1,[2]quests!$1:$1,0)+1),MATCH(C$1,[2]quests!$1:$1,0)-MATCH($B$1,[2]quests!$1:$1,0)+1,FALSE)</f>
        <v>牛頭馬面襲来！</v>
      </c>
      <c r="D14" s="180" t="str">
        <f ca="1">VLOOKUP($B14,OFFSET([2]quests!$A$1,0,0,COUNTA([2]quests!$A:$A),MATCH(D$1,[2]quests!$1:$1,0)-MATCH($B$1,[2]quests!$1:$1,0)+1),MATCH(D$1,[2]quests!$1:$1,0)-MATCH($B$1,[2]quests!$1:$1,0)+1,FALSE)</f>
        <v>台湾版降臨7</v>
      </c>
      <c r="E14" s="181">
        <v>1</v>
      </c>
      <c r="F14" s="180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【超絶級】牛頭馬面襲来</v>
      </c>
      <c r="G14" s="180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台湾版降臨7</v>
      </c>
      <c r="H14" s="180">
        <v>0</v>
      </c>
      <c r="I14" s="90">
        <f t="shared" si="0"/>
        <v>13</v>
      </c>
      <c r="J14" s="86" t="str">
        <f t="shared" ref="J14" si="3">B14&amp;TEXT(I14,"00")</f>
        <v>4800613</v>
      </c>
      <c r="K14" s="181" t="s">
        <v>126</v>
      </c>
      <c r="L14" s="182" t="s">
        <v>351</v>
      </c>
      <c r="M14" s="183" t="s">
        <v>355</v>
      </c>
      <c r="N14" s="62" t="s">
        <v>198</v>
      </c>
    </row>
    <row r="15" spans="1:14" ht="56" x14ac:dyDescent="0.15">
      <c r="A15" s="178" t="s">
        <v>199</v>
      </c>
      <c r="B15" s="179">
        <f>floors!$C$2</f>
        <v>48006</v>
      </c>
      <c r="C15" s="180" t="str">
        <f ca="1">VLOOKUP($B15,OFFSET([2]quests!$A$1,0,0,COUNTA([2]quests!$A:$A),MATCH(C$1,[2]quests!$1:$1,0)-MATCH($B$1,[2]quests!$1:$1,0)+1),MATCH(C$1,[2]quests!$1:$1,0)-MATCH($B$1,[2]quests!$1:$1,0)+1,FALSE)</f>
        <v>牛頭馬面襲来！</v>
      </c>
      <c r="D15" s="180" t="str">
        <f ca="1">VLOOKUP($B15,OFFSET([2]quests!$A$1,0,0,COUNTA([2]quests!$A:$A),MATCH(D$1,[2]quests!$1:$1,0)-MATCH($B$1,[2]quests!$1:$1,0)+1),MATCH(D$1,[2]quests!$1:$1,0)-MATCH($B$1,[2]quests!$1:$1,0)+1,FALSE)</f>
        <v>台湾版降臨7</v>
      </c>
      <c r="E15" s="181">
        <v>1</v>
      </c>
      <c r="F15" s="180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【超絶級】牛頭馬面襲来</v>
      </c>
      <c r="G15" s="180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台湾版降臨7</v>
      </c>
      <c r="H15" s="180">
        <v>0</v>
      </c>
      <c r="I15" s="90">
        <f t="shared" si="0"/>
        <v>14</v>
      </c>
      <c r="J15" s="86" t="str">
        <f t="shared" ref="J15:J18" si="4">B15&amp;TEXT(I15,"00")</f>
        <v>4800614</v>
      </c>
      <c r="K15" s="181" t="s">
        <v>126</v>
      </c>
      <c r="L15" s="182" t="s">
        <v>352</v>
      </c>
      <c r="M15" s="183" t="s">
        <v>356</v>
      </c>
      <c r="N15" s="62" t="s">
        <v>198</v>
      </c>
    </row>
    <row r="16" spans="1:14" ht="56" x14ac:dyDescent="0.15">
      <c r="A16" s="178" t="s">
        <v>199</v>
      </c>
      <c r="B16" s="179">
        <f>floors!$C$2</f>
        <v>48006</v>
      </c>
      <c r="C16" s="180" t="str">
        <f ca="1">VLOOKUP($B16,OFFSET([2]quests!$A$1,0,0,COUNTA([2]quests!$A:$A),MATCH(C$1,[2]quests!$1:$1,0)-MATCH($B$1,[2]quests!$1:$1,0)+1),MATCH(C$1,[2]quests!$1:$1,0)-MATCH($B$1,[2]quests!$1:$1,0)+1,FALSE)</f>
        <v>牛頭馬面襲来！</v>
      </c>
      <c r="D16" s="180" t="str">
        <f ca="1">VLOOKUP($B16,OFFSET([2]quests!$A$1,0,0,COUNTA([2]quests!$A:$A),MATCH(D$1,[2]quests!$1:$1,0)-MATCH($B$1,[2]quests!$1:$1,0)+1),MATCH(D$1,[2]quests!$1:$1,0)-MATCH($B$1,[2]quests!$1:$1,0)+1,FALSE)</f>
        <v>台湾版降臨7</v>
      </c>
      <c r="E16" s="181">
        <v>1</v>
      </c>
      <c r="F16" s="180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【超絶級】牛頭馬面襲来</v>
      </c>
      <c r="G16" s="180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台湾版降臨7</v>
      </c>
      <c r="H16" s="180">
        <v>0</v>
      </c>
      <c r="I16" s="90">
        <f t="shared" si="0"/>
        <v>15</v>
      </c>
      <c r="J16" s="86" t="str">
        <f t="shared" si="4"/>
        <v>4800615</v>
      </c>
      <c r="K16" s="181" t="s">
        <v>126</v>
      </c>
      <c r="L16" s="182" t="s">
        <v>353</v>
      </c>
      <c r="M16" s="183" t="s">
        <v>357</v>
      </c>
      <c r="N16" s="62" t="s">
        <v>198</v>
      </c>
    </row>
    <row r="17" spans="1:14" ht="56" x14ac:dyDescent="0.15">
      <c r="A17" s="178" t="s">
        <v>199</v>
      </c>
      <c r="B17" s="179">
        <f>floors!$C$2</f>
        <v>48006</v>
      </c>
      <c r="C17" s="180" t="str">
        <f ca="1">VLOOKUP($B17,OFFSET([2]quests!$A$1,0,0,COUNTA([2]quests!$A:$A),MATCH(C$1,[2]quests!$1:$1,0)-MATCH($B$1,[2]quests!$1:$1,0)+1),MATCH(C$1,[2]quests!$1:$1,0)-MATCH($B$1,[2]quests!$1:$1,0)+1,FALSE)</f>
        <v>牛頭馬面襲来！</v>
      </c>
      <c r="D17" s="180" t="str">
        <f ca="1">VLOOKUP($B17,OFFSET([2]quests!$A$1,0,0,COUNTA([2]quests!$A:$A),MATCH(D$1,[2]quests!$1:$1,0)-MATCH($B$1,[2]quests!$1:$1,0)+1),MATCH(D$1,[2]quests!$1:$1,0)-MATCH($B$1,[2]quests!$1:$1,0)+1,FALSE)</f>
        <v>台湾版降臨7</v>
      </c>
      <c r="E17" s="181">
        <v>1</v>
      </c>
      <c r="F17" s="180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【超絶級】牛頭馬面襲来</v>
      </c>
      <c r="G17" s="180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台湾版降臨7</v>
      </c>
      <c r="H17" s="180">
        <v>0</v>
      </c>
      <c r="I17" s="90">
        <f t="shared" si="0"/>
        <v>16</v>
      </c>
      <c r="J17" s="86" t="str">
        <f t="shared" si="4"/>
        <v>4800616</v>
      </c>
      <c r="K17" s="181" t="s">
        <v>126</v>
      </c>
      <c r="L17" s="182" t="s">
        <v>354</v>
      </c>
      <c r="M17" s="183" t="s">
        <v>358</v>
      </c>
      <c r="N17" s="62" t="s">
        <v>198</v>
      </c>
    </row>
    <row r="18" spans="1:14" ht="56" x14ac:dyDescent="0.15">
      <c r="A18" s="178" t="s">
        <v>199</v>
      </c>
      <c r="B18" s="179">
        <f>floors!$C$2</f>
        <v>48006</v>
      </c>
      <c r="C18" s="180" t="str">
        <f ca="1">VLOOKUP($B18,OFFSET([2]quests!$A$1,0,0,COUNTA([2]quests!$A:$A),MATCH(C$1,[2]quests!$1:$1,0)-MATCH($B$1,[2]quests!$1:$1,0)+1),MATCH(C$1,[2]quests!$1:$1,0)-MATCH($B$1,[2]quests!$1:$1,0)+1,FALSE)</f>
        <v>牛頭馬面襲来！</v>
      </c>
      <c r="D18" s="180" t="str">
        <f ca="1">VLOOKUP($B18,OFFSET([2]quests!$A$1,0,0,COUNTA([2]quests!$A:$A),MATCH(D$1,[2]quests!$1:$1,0)-MATCH($B$1,[2]quests!$1:$1,0)+1),MATCH(D$1,[2]quests!$1:$1,0)-MATCH($B$1,[2]quests!$1:$1,0)+1,FALSE)</f>
        <v>台湾版降臨7</v>
      </c>
      <c r="E18" s="181">
        <v>2</v>
      </c>
      <c r="F18" s="180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8" s="180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台湾版降臨7</v>
      </c>
      <c r="H18" s="180">
        <v>0</v>
      </c>
      <c r="I18" s="90">
        <f t="shared" si="0"/>
        <v>17</v>
      </c>
      <c r="J18" s="86" t="str">
        <f t="shared" si="4"/>
        <v>4800617</v>
      </c>
      <c r="K18" s="181" t="s">
        <v>126</v>
      </c>
      <c r="L18" s="182" t="s">
        <v>351</v>
      </c>
      <c r="M18" s="183" t="s">
        <v>355</v>
      </c>
      <c r="N18" s="62" t="s">
        <v>198</v>
      </c>
    </row>
    <row r="19" spans="1:14" ht="56" x14ac:dyDescent="0.15">
      <c r="A19" s="178" t="s">
        <v>199</v>
      </c>
      <c r="B19" s="179">
        <f>floors!$C$2</f>
        <v>48006</v>
      </c>
      <c r="C19" s="180" t="str">
        <f ca="1">VLOOKUP($B19,OFFSET([2]quests!$A$1,0,0,COUNTA([2]quests!$A:$A),MATCH(C$1,[2]quests!$1:$1,0)-MATCH($B$1,[2]quests!$1:$1,0)+1),MATCH(C$1,[2]quests!$1:$1,0)-MATCH($B$1,[2]quests!$1:$1,0)+1,FALSE)</f>
        <v>牛頭馬面襲来！</v>
      </c>
      <c r="D19" s="180" t="str">
        <f ca="1">VLOOKUP($B19,OFFSET([2]quests!$A$1,0,0,COUNTA([2]quests!$A:$A),MATCH(D$1,[2]quests!$1:$1,0)-MATCH($B$1,[2]quests!$1:$1,0)+1),MATCH(D$1,[2]quests!$1:$1,0)-MATCH($B$1,[2]quests!$1:$1,0)+1,FALSE)</f>
        <v>台湾版降臨7</v>
      </c>
      <c r="E19" s="181">
        <v>2</v>
      </c>
      <c r="F19" s="180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9" s="180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台湾版降臨7</v>
      </c>
      <c r="H19" s="180">
        <v>0</v>
      </c>
      <c r="I19" s="90">
        <f t="shared" si="0"/>
        <v>18</v>
      </c>
      <c r="J19" s="86" t="str">
        <f t="shared" ref="J19:J21" si="5">B19&amp;TEXT(I19,"00")</f>
        <v>4800618</v>
      </c>
      <c r="K19" s="181" t="s">
        <v>126</v>
      </c>
      <c r="L19" s="182" t="s">
        <v>352</v>
      </c>
      <c r="M19" s="183" t="s">
        <v>356</v>
      </c>
      <c r="N19" s="62" t="s">
        <v>198</v>
      </c>
    </row>
    <row r="20" spans="1:14" ht="56" x14ac:dyDescent="0.15">
      <c r="A20" s="178" t="s">
        <v>199</v>
      </c>
      <c r="B20" s="179">
        <f>floors!$C$2</f>
        <v>48006</v>
      </c>
      <c r="C20" s="180" t="str">
        <f ca="1">VLOOKUP($B20,OFFSET([2]quests!$A$1,0,0,COUNTA([2]quests!$A:$A),MATCH(C$1,[2]quests!$1:$1,0)-MATCH($B$1,[2]quests!$1:$1,0)+1),MATCH(C$1,[2]quests!$1:$1,0)-MATCH($B$1,[2]quests!$1:$1,0)+1,FALSE)</f>
        <v>牛頭馬面襲来！</v>
      </c>
      <c r="D20" s="180" t="str">
        <f ca="1">VLOOKUP($B20,OFFSET([2]quests!$A$1,0,0,COUNTA([2]quests!$A:$A),MATCH(D$1,[2]quests!$1:$1,0)-MATCH($B$1,[2]quests!$1:$1,0)+1),MATCH(D$1,[2]quests!$1:$1,0)-MATCH($B$1,[2]quests!$1:$1,0)+1,FALSE)</f>
        <v>台湾版降臨7</v>
      </c>
      <c r="E20" s="181">
        <v>2</v>
      </c>
      <c r="F20" s="180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20" s="180" t="str">
        <f ca="1">VLOOKUP($B20&amp;"_"&amp;$E20,OFFSET([2]stages!$A$1,0,0,COUNTA([2]stages!$A:$A),MATCH(G$1,[2]stages!$2:$2,0)-MATCH("temp_stage",[2]stages!$2:$2,0)+1),MATCH(G$1,[2]stages!$2:$2,0)-MATCH("temp_stage",[2]stages!$2:$2,0)+1,FALSE)</f>
        <v>台湾版降臨7</v>
      </c>
      <c r="H20" s="180">
        <v>0</v>
      </c>
      <c r="I20" s="90">
        <f t="shared" si="0"/>
        <v>19</v>
      </c>
      <c r="J20" s="86" t="str">
        <f t="shared" si="5"/>
        <v>4800619</v>
      </c>
      <c r="K20" s="181" t="s">
        <v>126</v>
      </c>
      <c r="L20" s="182" t="s">
        <v>353</v>
      </c>
      <c r="M20" s="183" t="s">
        <v>357</v>
      </c>
      <c r="N20" s="62" t="s">
        <v>198</v>
      </c>
    </row>
    <row r="21" spans="1:14" ht="56" x14ac:dyDescent="0.15">
      <c r="A21" s="178" t="s">
        <v>199</v>
      </c>
      <c r="B21" s="179">
        <f>floors!$C$2</f>
        <v>48006</v>
      </c>
      <c r="C21" s="180" t="str">
        <f ca="1">VLOOKUP($B21,OFFSET([2]quests!$A$1,0,0,COUNTA([2]quests!$A:$A),MATCH(C$1,[2]quests!$1:$1,0)-MATCH($B$1,[2]quests!$1:$1,0)+1),MATCH(C$1,[2]quests!$1:$1,0)-MATCH($B$1,[2]quests!$1:$1,0)+1,FALSE)</f>
        <v>牛頭馬面襲来！</v>
      </c>
      <c r="D21" s="180" t="str">
        <f ca="1">VLOOKUP($B21,OFFSET([2]quests!$A$1,0,0,COUNTA([2]quests!$A:$A),MATCH(D$1,[2]quests!$1:$1,0)-MATCH($B$1,[2]quests!$1:$1,0)+1),MATCH(D$1,[2]quests!$1:$1,0)-MATCH($B$1,[2]quests!$1:$1,0)+1,FALSE)</f>
        <v>台湾版降臨7</v>
      </c>
      <c r="E21" s="181">
        <v>2</v>
      </c>
      <c r="F21" s="180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21" s="180" t="str">
        <f ca="1">VLOOKUP($B21&amp;"_"&amp;$E21,OFFSET([2]stages!$A$1,0,0,COUNTA([2]stages!$A:$A),MATCH(G$1,[2]stages!$2:$2,0)-MATCH("temp_stage",[2]stages!$2:$2,0)+1),MATCH(G$1,[2]stages!$2:$2,0)-MATCH("temp_stage",[2]stages!$2:$2,0)+1,FALSE)</f>
        <v>台湾版降臨7</v>
      </c>
      <c r="H21" s="180">
        <v>0</v>
      </c>
      <c r="I21" s="90">
        <f t="shared" si="0"/>
        <v>20</v>
      </c>
      <c r="J21" s="86" t="str">
        <f t="shared" si="5"/>
        <v>4800620</v>
      </c>
      <c r="K21" s="181" t="s">
        <v>126</v>
      </c>
      <c r="L21" s="182" t="s">
        <v>354</v>
      </c>
      <c r="M21" s="183" t="s">
        <v>358</v>
      </c>
      <c r="N21" s="62" t="s">
        <v>198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I2" sqref="I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211</v>
      </c>
      <c r="B1" s="95" t="s">
        <v>212</v>
      </c>
      <c r="C1" s="77" t="s">
        <v>213</v>
      </c>
      <c r="D1" s="77" t="s">
        <v>33</v>
      </c>
      <c r="E1" s="95" t="s">
        <v>214</v>
      </c>
      <c r="F1" s="77" t="s">
        <v>215</v>
      </c>
      <c r="G1" s="77" t="s">
        <v>33</v>
      </c>
      <c r="H1" s="95" t="s">
        <v>216</v>
      </c>
      <c r="I1" s="95" t="s">
        <v>217</v>
      </c>
      <c r="J1" s="95" t="s">
        <v>218</v>
      </c>
      <c r="K1" s="73" t="s">
        <v>219</v>
      </c>
      <c r="L1" s="73" t="s">
        <v>220</v>
      </c>
      <c r="M1" s="73" t="s">
        <v>155</v>
      </c>
      <c r="N1" s="77" t="s">
        <v>16</v>
      </c>
      <c r="O1" s="73" t="s">
        <v>221</v>
      </c>
      <c r="P1" s="73" t="s">
        <v>57</v>
      </c>
      <c r="Q1" s="73" t="s">
        <v>222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223</v>
      </c>
      <c r="X1" s="73" t="s">
        <v>224</v>
      </c>
    </row>
    <row r="2" spans="1:24" x14ac:dyDescent="0.15">
      <c r="A2" s="96" t="str">
        <f>B2&amp;"_"&amp;E2&amp;"_"&amp;H2&amp;"_"&amp;I2&amp;"_"&amp;J2</f>
        <v>48006_2_everyone_no_continue_1</v>
      </c>
      <c r="B2" s="82">
        <v>48006</v>
      </c>
      <c r="C2" s="83" t="str">
        <f ca="1">VLOOKUP($B2,OFFSET([2]quests!$A$1,0,0,COUNTA([2]quests!$A:$A),MATCH(C$1,[2]quests!$1:$1,0)-MATCH($B$1,[2]quests!$1:$1,0)+1),MATCH(C$1,[2]quests!$1:$1,0)-MATCH($B$1,[2]quests!$1:$1,0)+1,FALSE)</f>
        <v>牛頭馬面襲来！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台湾版降臨7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台湾版降臨7</v>
      </c>
      <c r="H2" s="85" t="s">
        <v>225</v>
      </c>
      <c r="I2" s="84" t="s">
        <v>229</v>
      </c>
      <c r="J2" s="84">
        <v>1</v>
      </c>
      <c r="K2" s="84">
        <v>100</v>
      </c>
      <c r="L2" s="84" t="s">
        <v>226</v>
      </c>
      <c r="M2" s="20">
        <v>8033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牛頭馬面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227</v>
      </c>
      <c r="X2" s="99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2017-01-06T03:20:59Z</dcterms:modified>
</cp:coreProperties>
</file>