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280" yWindow="760" windowWidth="2770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6" r:id="rId6"/>
    <sheet name="awake_materials" sheetId="3" r:id="rId7"/>
    <sheet name="abilities" sheetId="57" r:id="rId8"/>
    <sheet name="unit_abilities" sheetId="58" r:id="rId9"/>
    <sheet name="→base値" sheetId="51" r:id="rId10"/>
    <sheet name="コスト" sheetId="13" r:id="rId11"/>
    <sheet name="レベル" sheetId="12" r:id="rId12"/>
    <sheet name="経験値" sheetId="10" r:id="rId13"/>
    <sheet name="RC6SV" sheetId="11" r:id="rId14"/>
    <sheet name="ビット" sheetId="15" r:id="rId15"/>
    <sheet name="チェックシート" sheetId="55" r:id="rId16"/>
  </sheets>
  <externalReferences>
    <externalReference r:id="rId17"/>
    <externalReference r:id="rId18"/>
    <externalReference r:id="rId19"/>
  </externalReferences>
  <definedNames>
    <definedName name="_xlnm._FilterDatabase" localSheetId="6" hidden="1">awake_materials!$B$1:$L$1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9" i="58" l="1"/>
  <c r="E9" i="58"/>
  <c r="F8" i="58"/>
  <c r="E8" i="58"/>
  <c r="I4" i="57"/>
  <c r="B9" i="58"/>
  <c r="B8" i="58"/>
  <c r="AG7" i="23"/>
  <c r="AH7" i="23"/>
  <c r="AG8" i="23"/>
  <c r="AG9" i="23"/>
  <c r="AF7" i="23"/>
  <c r="B25" i="54"/>
  <c r="E29" i="54"/>
  <c r="B29" i="54"/>
  <c r="E28" i="54"/>
  <c r="B28" i="54"/>
  <c r="E27" i="54"/>
  <c r="B27" i="54"/>
  <c r="E26" i="54"/>
  <c r="B26" i="54"/>
  <c r="E25" i="54"/>
  <c r="E24" i="54"/>
  <c r="B24" i="54"/>
  <c r="E23" i="54"/>
  <c r="B23" i="54"/>
  <c r="E22" i="54"/>
  <c r="B22" i="54"/>
  <c r="E21" i="54"/>
  <c r="B21" i="54"/>
  <c r="E20" i="54"/>
  <c r="B20" i="54"/>
  <c r="E19" i="54"/>
  <c r="B19" i="54"/>
  <c r="E18" i="54"/>
  <c r="B18" i="54"/>
  <c r="E17" i="54"/>
  <c r="B17" i="54"/>
  <c r="E16" i="54"/>
  <c r="B16" i="54"/>
  <c r="K24" i="3"/>
  <c r="K23" i="3"/>
  <c r="K22" i="3"/>
  <c r="K20" i="3"/>
  <c r="K21" i="3"/>
  <c r="I3" i="3"/>
  <c r="I4" i="3"/>
  <c r="I5" i="3"/>
  <c r="I6" i="3"/>
  <c r="I7" i="3"/>
  <c r="I8" i="3"/>
  <c r="I9" i="3"/>
  <c r="I10" i="3"/>
  <c r="I11" i="3"/>
  <c r="I12" i="3"/>
  <c r="I13" i="3"/>
  <c r="I14" i="3"/>
  <c r="I15" i="3"/>
  <c r="I16" i="3"/>
  <c r="I17" i="3"/>
  <c r="I18" i="3"/>
  <c r="I19" i="3"/>
  <c r="I20" i="3"/>
  <c r="I21" i="3"/>
  <c r="I22" i="3"/>
  <c r="I23" i="3"/>
  <c r="I24" i="3"/>
  <c r="I25" i="3"/>
  <c r="I26" i="3"/>
  <c r="I27" i="3"/>
  <c r="I28" i="3"/>
  <c r="I29" i="3"/>
  <c r="I2" i="3"/>
  <c r="K19" i="3"/>
  <c r="K29" i="3"/>
  <c r="C29" i="3"/>
  <c r="G29" i="3"/>
  <c r="F29" i="3"/>
  <c r="E29" i="3"/>
  <c r="D29" i="3"/>
  <c r="A29" i="3"/>
  <c r="K28" i="3"/>
  <c r="C28" i="3"/>
  <c r="G28" i="3"/>
  <c r="F28" i="3"/>
  <c r="E28" i="3"/>
  <c r="D28" i="3"/>
  <c r="A28" i="3"/>
  <c r="K27" i="3"/>
  <c r="C27" i="3"/>
  <c r="G27" i="3"/>
  <c r="F27" i="3"/>
  <c r="E27" i="3"/>
  <c r="D27" i="3"/>
  <c r="A27" i="3"/>
  <c r="K26" i="3"/>
  <c r="C26" i="3"/>
  <c r="G26" i="3"/>
  <c r="F26" i="3"/>
  <c r="E26" i="3"/>
  <c r="D26" i="3"/>
  <c r="A26" i="3"/>
  <c r="K25" i="3"/>
  <c r="C25" i="3"/>
  <c r="G25" i="3"/>
  <c r="F25" i="3"/>
  <c r="E25" i="3"/>
  <c r="D25" i="3"/>
  <c r="A25" i="3"/>
  <c r="C24" i="3"/>
  <c r="G24" i="3"/>
  <c r="F24" i="3"/>
  <c r="E24" i="3"/>
  <c r="D24" i="3"/>
  <c r="A24" i="3"/>
  <c r="C23" i="3"/>
  <c r="G23" i="3"/>
  <c r="F23" i="3"/>
  <c r="E23" i="3"/>
  <c r="D23" i="3"/>
  <c r="A23" i="3"/>
  <c r="C22" i="3"/>
  <c r="G22" i="3"/>
  <c r="F22" i="3"/>
  <c r="E22" i="3"/>
  <c r="D22" i="3"/>
  <c r="A22" i="3"/>
  <c r="C21" i="3"/>
  <c r="G21" i="3"/>
  <c r="F21" i="3"/>
  <c r="E21" i="3"/>
  <c r="D21" i="3"/>
  <c r="A21" i="3"/>
  <c r="C20" i="3"/>
  <c r="G20" i="3"/>
  <c r="F20" i="3"/>
  <c r="E20" i="3"/>
  <c r="D20" i="3"/>
  <c r="A20" i="3"/>
  <c r="C19" i="3"/>
  <c r="G19" i="3"/>
  <c r="F19" i="3"/>
  <c r="E19" i="3"/>
  <c r="D19" i="3"/>
  <c r="A19" i="3"/>
  <c r="K18" i="3"/>
  <c r="C18" i="3"/>
  <c r="G18" i="3"/>
  <c r="F18" i="3"/>
  <c r="E18" i="3"/>
  <c r="D18" i="3"/>
  <c r="A18" i="3"/>
  <c r="C17" i="3"/>
  <c r="D17" i="3"/>
  <c r="G10" i="56"/>
  <c r="U10" i="56"/>
  <c r="S8" i="56"/>
  <c r="S10" i="56"/>
  <c r="T10" i="56"/>
  <c r="R10" i="56"/>
  <c r="O10" i="56"/>
  <c r="N10" i="56"/>
  <c r="M10" i="56"/>
  <c r="L10" i="56"/>
  <c r="J10" i="56"/>
  <c r="K10" i="56"/>
  <c r="I10" i="56"/>
  <c r="H10" i="56"/>
  <c r="F10" i="56"/>
  <c r="E10" i="56"/>
  <c r="D10" i="56"/>
  <c r="C10" i="56"/>
  <c r="B10" i="56"/>
  <c r="G9" i="56"/>
  <c r="U9" i="56"/>
  <c r="S7" i="56"/>
  <c r="S9" i="56"/>
  <c r="T9" i="56"/>
  <c r="R9" i="56"/>
  <c r="P9" i="56"/>
  <c r="O9" i="56"/>
  <c r="N9" i="56"/>
  <c r="M9" i="56"/>
  <c r="L9" i="56"/>
  <c r="J9" i="56"/>
  <c r="K9" i="56"/>
  <c r="I9" i="56"/>
  <c r="H9" i="56"/>
  <c r="F9" i="56"/>
  <c r="E9" i="56"/>
  <c r="D9" i="56"/>
  <c r="C9" i="56"/>
  <c r="B9" i="56"/>
  <c r="G8" i="56"/>
  <c r="U8" i="56"/>
  <c r="T8" i="56"/>
  <c r="R8" i="56"/>
  <c r="P8" i="56"/>
  <c r="O8" i="56"/>
  <c r="N8" i="56"/>
  <c r="M8" i="56"/>
  <c r="L8" i="56"/>
  <c r="J8" i="56"/>
  <c r="K8" i="56"/>
  <c r="I8" i="56"/>
  <c r="H8" i="56"/>
  <c r="F8" i="56"/>
  <c r="E8" i="56"/>
  <c r="D8" i="56"/>
  <c r="C8" i="56"/>
  <c r="B8" i="56"/>
  <c r="G7" i="56"/>
  <c r="U7" i="56"/>
  <c r="T7" i="56"/>
  <c r="R7" i="56"/>
  <c r="O7" i="56"/>
  <c r="N7" i="56"/>
  <c r="M7" i="56"/>
  <c r="L7" i="56"/>
  <c r="J7" i="56"/>
  <c r="K7" i="56"/>
  <c r="I7" i="56"/>
  <c r="H7" i="56"/>
  <c r="F7" i="56"/>
  <c r="E7" i="56"/>
  <c r="D7" i="56"/>
  <c r="C7" i="56"/>
  <c r="B7" i="56"/>
  <c r="E5" i="58"/>
  <c r="F7" i="58"/>
  <c r="E7" i="58"/>
  <c r="B7" i="58"/>
  <c r="F6" i="58"/>
  <c r="E6" i="58"/>
  <c r="B6" i="58"/>
  <c r="F5" i="58"/>
  <c r="B5" i="58"/>
  <c r="I3" i="57"/>
  <c r="G9" i="53"/>
  <c r="E9" i="53"/>
  <c r="G8" i="53"/>
  <c r="E8" i="53"/>
  <c r="G7" i="53"/>
  <c r="E7" i="53"/>
  <c r="J9" i="52"/>
  <c r="H9" i="52"/>
  <c r="E9" i="52"/>
  <c r="J8" i="52"/>
  <c r="H8" i="52"/>
  <c r="E8" i="52"/>
  <c r="J7" i="52"/>
  <c r="H7" i="52"/>
  <c r="E7" i="52"/>
  <c r="H9" i="23"/>
  <c r="G9" i="23"/>
  <c r="BC9" i="23"/>
  <c r="BD9" i="23"/>
  <c r="Q9" i="23"/>
  <c r="V9" i="23"/>
  <c r="W9" i="23"/>
  <c r="AD9" i="23"/>
  <c r="I9" i="23"/>
  <c r="M9" i="23"/>
  <c r="BN9" i="23"/>
  <c r="U9" i="23"/>
  <c r="AC9" i="23"/>
  <c r="L9" i="23"/>
  <c r="BM9" i="23"/>
  <c r="T9" i="23"/>
  <c r="AB9" i="23"/>
  <c r="K9" i="23"/>
  <c r="BL9" i="23"/>
  <c r="S9" i="23"/>
  <c r="AA9" i="23"/>
  <c r="J9" i="23"/>
  <c r="BK9" i="23"/>
  <c r="H8" i="23"/>
  <c r="G8" i="23"/>
  <c r="BC8" i="23"/>
  <c r="BE9" i="23"/>
  <c r="BJ9" i="23"/>
  <c r="BI9" i="23"/>
  <c r="BH9" i="23"/>
  <c r="BG9" i="23"/>
  <c r="I8" i="23"/>
  <c r="J8" i="23"/>
  <c r="BF9" i="23"/>
  <c r="AX9" i="23"/>
  <c r="AT9" i="23"/>
  <c r="AW9" i="23"/>
  <c r="AV9" i="23"/>
  <c r="AU9" i="23"/>
  <c r="AP9" i="23"/>
  <c r="AS9" i="23"/>
  <c r="AR9" i="23"/>
  <c r="AQ9" i="23"/>
  <c r="AN9" i="23"/>
  <c r="AM9" i="23"/>
  <c r="AL9" i="23"/>
  <c r="AK9" i="23"/>
  <c r="AI9" i="23"/>
  <c r="AH9" i="23"/>
  <c r="AF9" i="23"/>
  <c r="Y9" i="23"/>
  <c r="Z9" i="23"/>
  <c r="X9" i="23"/>
  <c r="R9" i="23"/>
  <c r="P9" i="23"/>
  <c r="O9" i="23"/>
  <c r="G8" i="13"/>
  <c r="N9" i="23"/>
  <c r="F9" i="23"/>
  <c r="E9" i="23"/>
  <c r="D9" i="23"/>
  <c r="C9" i="23"/>
  <c r="B9" i="23"/>
  <c r="BD8" i="23"/>
  <c r="Q8" i="23"/>
  <c r="V8" i="23"/>
  <c r="W8" i="23"/>
  <c r="AD8" i="23"/>
  <c r="M8" i="23"/>
  <c r="BN8" i="23"/>
  <c r="U8" i="23"/>
  <c r="AC8" i="23"/>
  <c r="L8" i="23"/>
  <c r="BM8" i="23"/>
  <c r="T8" i="23"/>
  <c r="AB8" i="23"/>
  <c r="K8" i="23"/>
  <c r="BL8" i="23"/>
  <c r="S8" i="23"/>
  <c r="AA8" i="23"/>
  <c r="BK8" i="23"/>
  <c r="H7" i="23"/>
  <c r="G7" i="23"/>
  <c r="BC7" i="23"/>
  <c r="BE8" i="23"/>
  <c r="BJ8" i="23"/>
  <c r="BI8" i="23"/>
  <c r="BH8" i="23"/>
  <c r="BG8" i="23"/>
  <c r="I7" i="23"/>
  <c r="J7" i="23"/>
  <c r="BF8" i="23"/>
  <c r="AX8" i="23"/>
  <c r="AT8" i="23"/>
  <c r="AW8" i="23"/>
  <c r="AV8" i="23"/>
  <c r="AU8" i="23"/>
  <c r="AP8" i="23"/>
  <c r="AS8" i="23"/>
  <c r="AR8" i="23"/>
  <c r="AQ8" i="23"/>
  <c r="AN8" i="23"/>
  <c r="AM8" i="23"/>
  <c r="AL8" i="23"/>
  <c r="AK8" i="23"/>
  <c r="AI8" i="23"/>
  <c r="AH8" i="23"/>
  <c r="AF8" i="23"/>
  <c r="Y8" i="23"/>
  <c r="Z8" i="23"/>
  <c r="X8" i="23"/>
  <c r="R8" i="23"/>
  <c r="P8" i="23"/>
  <c r="O8" i="23"/>
  <c r="N8" i="23"/>
  <c r="F8" i="23"/>
  <c r="E8" i="23"/>
  <c r="D8" i="23"/>
  <c r="C8" i="23"/>
  <c r="B8" i="23"/>
  <c r="BD7" i="23"/>
  <c r="Q7" i="23"/>
  <c r="V7" i="23"/>
  <c r="W7" i="23"/>
  <c r="AD7" i="23"/>
  <c r="M7" i="23"/>
  <c r="BN7" i="23"/>
  <c r="U7" i="23"/>
  <c r="AC7" i="23"/>
  <c r="L7" i="23"/>
  <c r="BM7" i="23"/>
  <c r="T7" i="23"/>
  <c r="AB7" i="23"/>
  <c r="K7" i="23"/>
  <c r="BL7" i="23"/>
  <c r="S7" i="23"/>
  <c r="AA7" i="23"/>
  <c r="BK7" i="23"/>
  <c r="BE7" i="23"/>
  <c r="BJ7" i="23"/>
  <c r="BI7" i="23"/>
  <c r="BH7" i="23"/>
  <c r="BG7" i="23"/>
  <c r="BF7" i="23"/>
  <c r="AX7" i="23"/>
  <c r="AT7" i="23"/>
  <c r="AW7" i="23"/>
  <c r="AV7" i="23"/>
  <c r="AU7" i="23"/>
  <c r="AP7" i="23"/>
  <c r="AS7" i="23"/>
  <c r="AR7" i="23"/>
  <c r="AQ7" i="23"/>
  <c r="AN7" i="23"/>
  <c r="AM7" i="23"/>
  <c r="AL7" i="23"/>
  <c r="AK7" i="23"/>
  <c r="AI7" i="23"/>
  <c r="Y7" i="23"/>
  <c r="Z7" i="23"/>
  <c r="X7" i="23"/>
  <c r="R7" i="23"/>
  <c r="P7" i="23"/>
  <c r="O7" i="23"/>
  <c r="N7" i="23"/>
  <c r="F7" i="23"/>
  <c r="E7" i="23"/>
  <c r="D7" i="23"/>
  <c r="C7" i="23"/>
  <c r="B7" i="23"/>
  <c r="E2" i="58"/>
  <c r="E3" i="54"/>
  <c r="E4" i="54"/>
  <c r="E5" i="54"/>
  <c r="E6" i="54"/>
  <c r="E7" i="54"/>
  <c r="E8" i="54"/>
  <c r="E9" i="54"/>
  <c r="E10" i="54"/>
  <c r="E11" i="54"/>
  <c r="E12" i="54"/>
  <c r="E13" i="54"/>
  <c r="E14" i="54"/>
  <c r="E15" i="54"/>
  <c r="E2" i="54"/>
  <c r="K17" i="3"/>
  <c r="K16" i="3"/>
  <c r="K15" i="3"/>
  <c r="G17" i="3"/>
  <c r="F17" i="3"/>
  <c r="E17" i="3"/>
  <c r="A17" i="3"/>
  <c r="C16" i="3"/>
  <c r="G16" i="3"/>
  <c r="F16" i="3"/>
  <c r="E16" i="3"/>
  <c r="D16" i="3"/>
  <c r="A16" i="3"/>
  <c r="C15" i="3"/>
  <c r="G15" i="3"/>
  <c r="F15" i="3"/>
  <c r="E15" i="3"/>
  <c r="D15" i="3"/>
  <c r="A15" i="3"/>
  <c r="K14" i="3"/>
  <c r="C14" i="3"/>
  <c r="G14" i="3"/>
  <c r="F14" i="3"/>
  <c r="E14" i="3"/>
  <c r="D14" i="3"/>
  <c r="A14" i="3"/>
  <c r="K13" i="3"/>
  <c r="C13" i="3"/>
  <c r="G13" i="3"/>
  <c r="F13" i="3"/>
  <c r="E13" i="3"/>
  <c r="D13" i="3"/>
  <c r="A13" i="3"/>
  <c r="K12" i="3"/>
  <c r="K11" i="3"/>
  <c r="K10" i="3"/>
  <c r="C12" i="3"/>
  <c r="G12" i="3"/>
  <c r="F12" i="3"/>
  <c r="E12" i="3"/>
  <c r="D12" i="3"/>
  <c r="A12" i="3"/>
  <c r="C11" i="3"/>
  <c r="G11" i="3"/>
  <c r="F11" i="3"/>
  <c r="E11" i="3"/>
  <c r="D11" i="3"/>
  <c r="A11" i="3"/>
  <c r="C10" i="3"/>
  <c r="G10" i="3"/>
  <c r="F10" i="3"/>
  <c r="E10" i="3"/>
  <c r="D10" i="3"/>
  <c r="A10" i="3"/>
  <c r="K9" i="3"/>
  <c r="K8" i="3"/>
  <c r="K7" i="3"/>
  <c r="C9" i="3"/>
  <c r="G9" i="3"/>
  <c r="F9" i="3"/>
  <c r="E9" i="3"/>
  <c r="D9" i="3"/>
  <c r="A9" i="3"/>
  <c r="C8" i="3"/>
  <c r="G8" i="3"/>
  <c r="F8" i="3"/>
  <c r="E8" i="3"/>
  <c r="D8" i="3"/>
  <c r="A8" i="3"/>
  <c r="C7" i="3"/>
  <c r="G7" i="3"/>
  <c r="F7" i="3"/>
  <c r="E7" i="3"/>
  <c r="D7" i="3"/>
  <c r="A7" i="3"/>
  <c r="K6" i="3"/>
  <c r="C6" i="3"/>
  <c r="G6" i="3"/>
  <c r="F6" i="3"/>
  <c r="E6" i="3"/>
  <c r="D6" i="3"/>
  <c r="A6" i="3"/>
  <c r="S4" i="56"/>
  <c r="S6" i="56"/>
  <c r="P5" i="56"/>
  <c r="P4" i="56"/>
  <c r="G6" i="56"/>
  <c r="U6" i="56"/>
  <c r="T6" i="56"/>
  <c r="R6" i="56"/>
  <c r="O6" i="56"/>
  <c r="N6" i="56"/>
  <c r="M6" i="56"/>
  <c r="L6" i="56"/>
  <c r="J6" i="56"/>
  <c r="K6" i="56"/>
  <c r="I6" i="56"/>
  <c r="H6" i="56"/>
  <c r="F6" i="56"/>
  <c r="E6" i="56"/>
  <c r="D6" i="56"/>
  <c r="C6" i="56"/>
  <c r="B6" i="56"/>
  <c r="G4" i="56"/>
  <c r="U4" i="56"/>
  <c r="T4" i="56"/>
  <c r="R4" i="56"/>
  <c r="O4" i="56"/>
  <c r="N4" i="56"/>
  <c r="M4" i="56"/>
  <c r="L4" i="56"/>
  <c r="J4" i="56"/>
  <c r="K4" i="56"/>
  <c r="I4" i="56"/>
  <c r="H4" i="56"/>
  <c r="F4" i="56"/>
  <c r="E4" i="56"/>
  <c r="D4" i="56"/>
  <c r="C4" i="56"/>
  <c r="B4" i="56"/>
  <c r="G5" i="56"/>
  <c r="U5" i="56"/>
  <c r="S3" i="56"/>
  <c r="S5" i="56"/>
  <c r="T5" i="56"/>
  <c r="R5" i="56"/>
  <c r="O5" i="56"/>
  <c r="N5" i="56"/>
  <c r="M5" i="56"/>
  <c r="L5" i="56"/>
  <c r="J5" i="56"/>
  <c r="K5" i="56"/>
  <c r="I5" i="56"/>
  <c r="H5" i="56"/>
  <c r="F5" i="56"/>
  <c r="E5" i="56"/>
  <c r="D5" i="56"/>
  <c r="C5" i="56"/>
  <c r="B5" i="56"/>
  <c r="G3" i="56"/>
  <c r="U3" i="56"/>
  <c r="T3" i="56"/>
  <c r="R3" i="56"/>
  <c r="O3" i="56"/>
  <c r="N3" i="56"/>
  <c r="M3" i="56"/>
  <c r="L3" i="56"/>
  <c r="J3" i="56"/>
  <c r="K3" i="56"/>
  <c r="I3" i="56"/>
  <c r="H3" i="56"/>
  <c r="F3" i="56"/>
  <c r="E3" i="56"/>
  <c r="D3" i="56"/>
  <c r="C3" i="56"/>
  <c r="B3" i="56"/>
  <c r="B15" i="54"/>
  <c r="B14" i="54"/>
  <c r="B13" i="54"/>
  <c r="B12" i="54"/>
  <c r="B11" i="54"/>
  <c r="B10" i="54"/>
  <c r="B9" i="54"/>
  <c r="B8" i="54"/>
  <c r="B7" i="54"/>
  <c r="B6" i="54"/>
  <c r="B4" i="54"/>
  <c r="B5" i="54"/>
  <c r="B3" i="54"/>
  <c r="F3" i="58"/>
  <c r="E3" i="58"/>
  <c r="B3" i="58"/>
  <c r="F4" i="58"/>
  <c r="E4" i="58"/>
  <c r="B4" i="58"/>
  <c r="E6" i="52"/>
  <c r="E13" i="49"/>
  <c r="F2" i="58"/>
  <c r="E12" i="49"/>
  <c r="E11" i="49"/>
  <c r="E5" i="53"/>
  <c r="E6" i="53"/>
  <c r="B2" i="58"/>
  <c r="I2" i="57"/>
  <c r="AG4" i="23"/>
  <c r="AG5" i="23"/>
  <c r="AG6" i="23"/>
  <c r="AG2" i="23"/>
  <c r="AG3" i="23"/>
  <c r="G6" i="53"/>
  <c r="G5" i="53"/>
  <c r="G4" i="53"/>
  <c r="E4" i="53"/>
  <c r="H6" i="23"/>
  <c r="G6" i="23"/>
  <c r="BC6" i="23"/>
  <c r="BD6" i="23"/>
  <c r="Q6" i="23"/>
  <c r="V6" i="23"/>
  <c r="W6" i="23"/>
  <c r="AD6" i="23"/>
  <c r="I6" i="23"/>
  <c r="M6" i="23"/>
  <c r="BN6" i="23"/>
  <c r="U6" i="23"/>
  <c r="AC6" i="23"/>
  <c r="L6" i="23"/>
  <c r="BM6" i="23"/>
  <c r="T6" i="23"/>
  <c r="AB6" i="23"/>
  <c r="K6" i="23"/>
  <c r="BL6" i="23"/>
  <c r="S6" i="23"/>
  <c r="AA6" i="23"/>
  <c r="J6" i="23"/>
  <c r="BK6" i="23"/>
  <c r="H5" i="23"/>
  <c r="G5" i="23"/>
  <c r="BC5" i="23"/>
  <c r="BE6" i="23"/>
  <c r="BJ6" i="23"/>
  <c r="BI6" i="23"/>
  <c r="BH6" i="23"/>
  <c r="BG6" i="23"/>
  <c r="I5" i="23"/>
  <c r="J5" i="23"/>
  <c r="BF6" i="23"/>
  <c r="AX6" i="23"/>
  <c r="AT6" i="23"/>
  <c r="AW6" i="23"/>
  <c r="AV6" i="23"/>
  <c r="AU6" i="23"/>
  <c r="AP6" i="23"/>
  <c r="AS6" i="23"/>
  <c r="AR6" i="23"/>
  <c r="AQ6" i="23"/>
  <c r="AN6" i="23"/>
  <c r="AM6" i="23"/>
  <c r="AL6" i="23"/>
  <c r="AK6" i="23"/>
  <c r="AI6" i="23"/>
  <c r="AH6" i="23"/>
  <c r="AF6" i="23"/>
  <c r="Y6" i="23"/>
  <c r="Z6" i="23"/>
  <c r="X6" i="23"/>
  <c r="R6" i="23"/>
  <c r="P6" i="23"/>
  <c r="O6" i="23"/>
  <c r="N6" i="23"/>
  <c r="F6" i="23"/>
  <c r="E6" i="23"/>
  <c r="D6" i="23"/>
  <c r="C6" i="23"/>
  <c r="B6" i="23"/>
  <c r="BD5" i="23"/>
  <c r="Q5" i="23"/>
  <c r="V5" i="23"/>
  <c r="W5" i="23"/>
  <c r="AD5" i="23"/>
  <c r="M5" i="23"/>
  <c r="BN5" i="23"/>
  <c r="U5" i="23"/>
  <c r="AC5" i="23"/>
  <c r="L5" i="23"/>
  <c r="BM5" i="23"/>
  <c r="T5" i="23"/>
  <c r="AB5" i="23"/>
  <c r="K5" i="23"/>
  <c r="BL5" i="23"/>
  <c r="S5" i="23"/>
  <c r="AA5" i="23"/>
  <c r="BK5" i="23"/>
  <c r="H4" i="23"/>
  <c r="G4" i="23"/>
  <c r="BC4" i="23"/>
  <c r="BE5" i="23"/>
  <c r="BJ5" i="23"/>
  <c r="BI5" i="23"/>
  <c r="BH5" i="23"/>
  <c r="BG5" i="23"/>
  <c r="I4" i="23"/>
  <c r="J4" i="23"/>
  <c r="BF5" i="23"/>
  <c r="AX5" i="23"/>
  <c r="AT5" i="23"/>
  <c r="AW5" i="23"/>
  <c r="AV5" i="23"/>
  <c r="AU5" i="23"/>
  <c r="AP5" i="23"/>
  <c r="AS5" i="23"/>
  <c r="AR5" i="23"/>
  <c r="AQ5" i="23"/>
  <c r="AN5" i="23"/>
  <c r="AM5" i="23"/>
  <c r="AL5" i="23"/>
  <c r="AK5" i="23"/>
  <c r="AI5" i="23"/>
  <c r="AH5" i="23"/>
  <c r="AF5" i="23"/>
  <c r="Y5" i="23"/>
  <c r="Z5" i="23"/>
  <c r="X5" i="23"/>
  <c r="R5" i="23"/>
  <c r="P5" i="23"/>
  <c r="O5" i="23"/>
  <c r="N5" i="23"/>
  <c r="F5" i="23"/>
  <c r="E5" i="23"/>
  <c r="D5" i="23"/>
  <c r="C5" i="23"/>
  <c r="B5" i="23"/>
  <c r="BD4" i="23"/>
  <c r="Q4" i="23"/>
  <c r="V4" i="23"/>
  <c r="W4" i="23"/>
  <c r="AD4" i="23"/>
  <c r="M4" i="23"/>
  <c r="BN4" i="23"/>
  <c r="U4" i="23"/>
  <c r="AC4" i="23"/>
  <c r="L4" i="23"/>
  <c r="BM4" i="23"/>
  <c r="T4" i="23"/>
  <c r="AB4" i="23"/>
  <c r="K4" i="23"/>
  <c r="BL4" i="23"/>
  <c r="S4" i="23"/>
  <c r="AA4" i="23"/>
  <c r="BK4" i="23"/>
  <c r="BE4" i="23"/>
  <c r="BJ4" i="23"/>
  <c r="BI4" i="23"/>
  <c r="BH4" i="23"/>
  <c r="BG4" i="23"/>
  <c r="BF4" i="23"/>
  <c r="AX4" i="23"/>
  <c r="AT4" i="23"/>
  <c r="AW4" i="23"/>
  <c r="AV4" i="23"/>
  <c r="AU4" i="23"/>
  <c r="AP4" i="23"/>
  <c r="AS4" i="23"/>
  <c r="AR4" i="23"/>
  <c r="AQ4" i="23"/>
  <c r="AN4" i="23"/>
  <c r="AM4" i="23"/>
  <c r="AL4" i="23"/>
  <c r="AK4" i="23"/>
  <c r="AI4" i="23"/>
  <c r="AH4" i="23"/>
  <c r="AF4" i="23"/>
  <c r="Y4" i="23"/>
  <c r="Z4" i="23"/>
  <c r="X4" i="23"/>
  <c r="R4" i="23"/>
  <c r="P4" i="23"/>
  <c r="O4" i="23"/>
  <c r="N4" i="23"/>
  <c r="F4" i="23"/>
  <c r="E4" i="23"/>
  <c r="D4" i="23"/>
  <c r="C4" i="23"/>
  <c r="B4" i="23"/>
  <c r="J6" i="52"/>
  <c r="H6" i="52"/>
  <c r="J5" i="52"/>
  <c r="H5" i="52"/>
  <c r="E5" i="52"/>
  <c r="J4" i="52"/>
  <c r="H4" i="52"/>
  <c r="E4" i="52"/>
  <c r="E3" i="52"/>
  <c r="E2" i="52"/>
  <c r="K4" i="3"/>
  <c r="K5" i="3"/>
  <c r="K2" i="3"/>
  <c r="K3" i="3"/>
  <c r="A3" i="3"/>
  <c r="C3" i="3"/>
  <c r="D3" i="3"/>
  <c r="E3" i="3"/>
  <c r="F3" i="3"/>
  <c r="G3" i="3"/>
  <c r="A4" i="3"/>
  <c r="C4" i="3"/>
  <c r="D4" i="3"/>
  <c r="E4" i="3"/>
  <c r="F4" i="3"/>
  <c r="G4" i="3"/>
  <c r="A5" i="3"/>
  <c r="C5" i="3"/>
  <c r="D5" i="3"/>
  <c r="E5" i="3"/>
  <c r="F5" i="3"/>
  <c r="G5" i="3"/>
  <c r="J3" i="52"/>
  <c r="E5" i="49"/>
  <c r="E3" i="49"/>
  <c r="C2" i="3"/>
  <c r="G2" i="3"/>
  <c r="F2" i="3"/>
  <c r="E2" i="3"/>
  <c r="D2" i="3"/>
  <c r="A2" i="3"/>
  <c r="G2" i="56"/>
  <c r="U2" i="56"/>
  <c r="S2" i="56"/>
  <c r="T2" i="56"/>
  <c r="R2" i="56"/>
  <c r="O2" i="56"/>
  <c r="N2" i="56"/>
  <c r="M2" i="56"/>
  <c r="L2" i="56"/>
  <c r="J2" i="56"/>
  <c r="K2" i="56"/>
  <c r="I2" i="56"/>
  <c r="H2" i="56"/>
  <c r="F2" i="56"/>
  <c r="E2" i="56"/>
  <c r="D2" i="56"/>
  <c r="C2" i="56"/>
  <c r="B2" i="56"/>
  <c r="AT3" i="23"/>
  <c r="AT2" i="23"/>
  <c r="AP3" i="23"/>
  <c r="AP2" i="23"/>
  <c r="G3" i="53"/>
  <c r="E3" i="53"/>
  <c r="H3" i="52"/>
  <c r="B2" i="23"/>
  <c r="J2" i="52"/>
  <c r="G2" i="53"/>
  <c r="G3" i="23"/>
  <c r="P3" i="23"/>
  <c r="G2" i="23"/>
  <c r="P2" i="23"/>
  <c r="G10" i="13"/>
  <c r="G9" i="13"/>
  <c r="G4" i="13"/>
  <c r="G3" i="13"/>
  <c r="G2" i="13"/>
  <c r="C2" i="23"/>
  <c r="D2" i="23"/>
  <c r="E2" i="23"/>
  <c r="F2" i="23"/>
  <c r="H2" i="23"/>
  <c r="I2" i="23"/>
  <c r="J2" i="23"/>
  <c r="K2" i="23"/>
  <c r="L2" i="23"/>
  <c r="M2" i="23"/>
  <c r="N2" i="23"/>
  <c r="O2" i="23"/>
  <c r="Q2" i="23"/>
  <c r="R2" i="23"/>
  <c r="S2" i="23"/>
  <c r="T2" i="23"/>
  <c r="U2" i="23"/>
  <c r="V2" i="23"/>
  <c r="W2" i="23"/>
  <c r="X2" i="23"/>
  <c r="Y2" i="23"/>
  <c r="Z2" i="23"/>
  <c r="AA2" i="23"/>
  <c r="AB2" i="23"/>
  <c r="AC2" i="23"/>
  <c r="AD2" i="23"/>
  <c r="AF2" i="23"/>
  <c r="AH2" i="23"/>
  <c r="AI2" i="23"/>
  <c r="AK2" i="23"/>
  <c r="AL2" i="23"/>
  <c r="AM2" i="23"/>
  <c r="AN2" i="23"/>
  <c r="AQ2" i="23"/>
  <c r="AR2" i="23"/>
  <c r="AS2" i="23"/>
  <c r="AU2" i="23"/>
  <c r="AV2" i="23"/>
  <c r="AW2" i="23"/>
  <c r="AX2" i="23"/>
  <c r="BC2" i="23"/>
  <c r="BD2" i="23"/>
  <c r="BE2" i="23"/>
  <c r="BF2" i="23"/>
  <c r="BK2" i="23"/>
  <c r="BG2" i="23"/>
  <c r="BL2" i="23"/>
  <c r="BH2" i="23"/>
  <c r="BM2" i="23"/>
  <c r="BI2" i="23"/>
  <c r="BN2" i="23"/>
  <c r="BJ2" i="23"/>
  <c r="B3" i="23"/>
  <c r="C3" i="23"/>
  <c r="D3" i="23"/>
  <c r="E3" i="23"/>
  <c r="F3" i="23"/>
  <c r="H3" i="23"/>
  <c r="I3" i="23"/>
  <c r="J3" i="23"/>
  <c r="K3" i="23"/>
  <c r="L3" i="23"/>
  <c r="M3" i="23"/>
  <c r="N3" i="23"/>
  <c r="O3" i="23"/>
  <c r="Q3" i="23"/>
  <c r="R3" i="23"/>
  <c r="S3" i="23"/>
  <c r="T3" i="23"/>
  <c r="U3" i="23"/>
  <c r="V3" i="23"/>
  <c r="W3" i="23"/>
  <c r="X3" i="23"/>
  <c r="Y3" i="23"/>
  <c r="Z3" i="23"/>
  <c r="AA3" i="23"/>
  <c r="AB3" i="23"/>
  <c r="AC3" i="23"/>
  <c r="AD3" i="23"/>
  <c r="AF3" i="23"/>
  <c r="AH3" i="23"/>
  <c r="AI3" i="23"/>
  <c r="AK3" i="23"/>
  <c r="AL3" i="23"/>
  <c r="AM3" i="23"/>
  <c r="AN3" i="23"/>
  <c r="AQ3" i="23"/>
  <c r="AR3" i="23"/>
  <c r="AS3" i="23"/>
  <c r="AU3" i="23"/>
  <c r="AV3" i="23"/>
  <c r="AW3" i="23"/>
  <c r="AX3" i="23"/>
  <c r="BC3" i="23"/>
  <c r="BD3" i="23"/>
  <c r="BE3" i="23"/>
  <c r="BF3" i="23"/>
  <c r="BK3" i="23"/>
  <c r="BG3" i="23"/>
  <c r="BL3" i="23"/>
  <c r="BH3" i="23"/>
  <c r="BM3" i="23"/>
  <c r="BI3" i="23"/>
  <c r="BN3" i="23"/>
  <c r="BJ3"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2" i="54"/>
  <c r="E2" i="53"/>
  <c r="H2" i="52"/>
  <c r="E10" i="49"/>
  <c r="E9" i="49"/>
  <c r="E8" i="49"/>
  <c r="E7" i="49"/>
  <c r="E14" i="49"/>
  <c r="E15" i="49"/>
  <c r="E4" i="49"/>
  <c r="E6" i="49"/>
  <c r="E2" i="49"/>
</calcChain>
</file>

<file path=xl/sharedStrings.xml><?xml version="1.0" encoding="utf-8"?>
<sst xmlns="http://schemas.openxmlformats.org/spreadsheetml/2006/main" count="1036" uniqueCount="390">
  <si>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</si>
  <si>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</si>
  <si>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</si>
  <si>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</si>
  <si>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</si>
  <si>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</si>
  <si>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</si>
  <si>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</si>
  <si>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</si>
  <si>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</si>
  <si>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</si>
  <si>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</si>
  <si>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</si>
  <si>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</si>
  <si>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</si>
  <si>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</si>
  <si>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</si>
  <si>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</si>
  <si>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</si>
  <si>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</si>
  <si>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</si>
  <si>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</si>
  <si>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</si>
  <si>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</si>
  <si>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</si>
  <si>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</si>
  <si>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</si>
  <si>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</si>
  <si>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</si>
  <si>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</si>
  <si>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</si>
  <si>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</si>
  <si>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</si>
  <si>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</si>
  <si>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</si>
  <si>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</si>
  <si>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</si>
  <si>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</si>
  <si>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</si>
  <si>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</si>
  <si>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</si>
  <si>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</si>
  <si>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</si>
  <si>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</si>
  <si>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</si>
  <si>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</si>
  <si>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</si>
  <si>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</si>
  <si>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</si>
  <si>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</si>
  <si>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</si>
  <si>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</si>
  <si>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</si>
  <si>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</si>
  <si>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</si>
  <si>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</si>
  <si>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</si>
  <si>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</si>
  <si>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</si>
  <si>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</si>
  <si>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</si>
  <si>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</si>
  <si>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</si>
  <si>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</si>
  <si>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</si>
  <si>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</si>
  <si>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</si>
  <si>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</si>
  <si>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</si>
  <si>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</si>
  <si>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</si>
  <si>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</si>
  <si>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</si>
  <si>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</si>
  <si>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</si>
  <si>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</si>
  <si>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</si>
  <si>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</si>
  <si>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</si>
  <si>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</si>
  <si>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</si>
  <si>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</si>
  <si>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</si>
  <si>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</si>
  <si>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</si>
  <si>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</si>
  <si>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</si>
  <si>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</si>
  <si>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</si>
  <si>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</si>
  <si>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</si>
  <si>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</si>
  <si>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</si>
  <si>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</si>
  <si>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</si>
  <si>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</si>
  <si>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</si>
  <si>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</si>
  <si>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</si>
  <si>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</si>
  <si>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</si>
  <si>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</si>
  <si>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</si>
  <si>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</si>
  <si>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</si>
  <si>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</si>
  <si>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</si>
  <si>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</si>
  <si>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</si>
  <si>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</si>
  <si>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</si>
  <si>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</si>
  <si>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</si>
  <si>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</si>
  <si>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</si>
  <si>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</si>
  <si>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</si>
  <si>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</si>
  <si>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</si>
  <si>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</si>
  <si>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</si>
  <si>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</si>
  <si>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</si>
  <si>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</si>
  <si>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</si>
  <si>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</si>
  <si>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</si>
  <si>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</si>
  <si>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</si>
  <si>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</si>
  <si>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</si>
  <si>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</si>
  <si>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</si>
  <si>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</si>
  <si>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</si>
  <si>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</si>
  <si>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</si>
  <si>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</si>
  <si>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</si>
  <si>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</si>
  <si>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</si>
  <si>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</si>
  <si>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</si>
  <si>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</si>
  <si>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</si>
  <si>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</si>
  <si>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</si>
  <si>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</si>
  <si>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</si>
  <si>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</si>
  <si>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</si>
  <si>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</si>
  <si>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</si>
  <si>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</si>
  <si>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</si>
  <si>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</si>
  <si>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</si>
  <si>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</si>
  <si>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</si>
  <si>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</si>
  <si>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</si>
  <si>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</si>
  <si>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</si>
  <si>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</si>
  <si>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</si>
  <si>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</si>
  <si>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</si>
  <si>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</si>
  <si>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</si>
  <si>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</si>
  <si>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</si>
  <si>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</si>
  <si>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</si>
  <si>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</si>
  <si>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</si>
  <si>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</si>
  <si>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</si>
  <si>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</si>
  <si>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</si>
  <si>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</si>
  <si>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</si>
  <si>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</si>
  <si>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</si>
  <si>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</si>
  <si>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</si>
  <si>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</si>
  <si>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</si>
  <si>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</si>
  <si>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</si>
  <si>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</si>
  <si>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</si>
  <si>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</si>
  <si>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</si>
  <si>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</si>
  <si>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</si>
  <si>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</si>
  <si>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</si>
  <si>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</si>
  <si>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</si>
  <si>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</si>
  <si>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</si>
  <si>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</si>
  <si>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</si>
  <si>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</si>
  <si>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</si>
  <si>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</si>
  <si>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</si>
  <si>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</si>
  <si>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</si>
  <si>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</si>
  <si>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</si>
  <si>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</si>
  <si>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</si>
  <si>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</si>
  <si>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</si>
  <si>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</si>
  <si>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</si>
  <si>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</si>
  <si>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</si>
  <si>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</si>
  <si>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</si>
  <si>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</si>
  <si>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</si>
  <si>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</si>
  <si>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</si>
  <si>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</si>
  <si>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</si>
  <si>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</si>
  <si>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</si>
  <si>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</si>
  <si>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</si>
  <si>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</si>
  <si>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</si>
  <si>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</si>
  <si>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</si>
  <si>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</si>
  <si>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</si>
  <si>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</si>
  <si>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</si>
  <si>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</si>
  <si>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</si>
  <si>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</si>
  <si>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</si>
  <si>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</si>
  <si>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</si>
  <si>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</si>
  <si>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</si>
  <si>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</si>
  <si>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</si>
  <si>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</si>
  <si>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</si>
  <si>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</si>
  <si>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</si>
  <si>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rankingkill</t>
    <phoneticPr fontId="22"/>
  </si>
  <si>
    <t>old</t>
    <phoneticPr fontId="22"/>
  </si>
  <si>
    <t>old</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</si>
  <si>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</si>
  <si>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</si>
  <si>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</si>
  <si>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</si>
  <si>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</si>
  <si>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</si>
  <si>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</si>
  <si>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</si>
  <si>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</si>
  <si>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</si>
  <si>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</si>
  <si>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</si>
  <si>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</si>
  <si>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normal</t>
    <phoneticPr fontId="9"/>
  </si>
  <si>
    <t>priority</t>
    <phoneticPr fontId="9"/>
  </si>
  <si>
    <t>character_id</t>
    <phoneticPr fontId="9"/>
  </si>
  <si>
    <t>awake_character_id</t>
    <phoneticPr fontId="9"/>
  </si>
  <si>
    <t>color</t>
    <phoneticPr fontId="9"/>
  </si>
  <si>
    <t>←リトルハンプティは1000 / イベントユニットは100 / 曜日素材は10</t>
    <phoneticPr fontId="9"/>
  </si>
  <si>
    <t>fork_awake_units_</t>
    <phoneticPr fontId="22"/>
  </si>
  <si>
    <t>.tmp</t>
    <phoneticPr fontId="22"/>
  </si>
  <si>
    <t>.tmp</t>
    <phoneticPr fontId="22"/>
  </si>
  <si>
    <t>fork_awake_units</t>
    <phoneticPr fontId="22"/>
  </si>
  <si>
    <t>awake_character_id</t>
    <phoneticPr fontId="9"/>
  </si>
  <si>
    <t>awake_cost</t>
    <phoneticPr fontId="9"/>
  </si>
  <si>
    <t>awake_type</t>
    <phoneticPr fontId="9"/>
  </si>
  <si>
    <t>old</t>
    <phoneticPr fontId="22"/>
  </si>
  <si>
    <t>fork_awake_materials_</t>
    <phoneticPr fontId="22"/>
  </si>
  <si>
    <t>character_id</t>
    <phoneticPr fontId="22"/>
  </si>
  <si>
    <t>awake_character_id</t>
    <phoneticPr fontId="22"/>
  </si>
  <si>
    <t>material_bug</t>
  </si>
  <si>
    <t>priority</t>
    <phoneticPr fontId="22"/>
  </si>
  <si>
    <t>波動伝播ディフラクション</t>
  </si>
  <si>
    <t>レンズ・オブ・サンクション</t>
    <phoneticPr fontId="22"/>
  </si>
  <si>
    <t>[effect:change_panel_ratio, turn:1, block_type:yellow, val:0.6],[effect:crash_condition, target:unit_all, val:-4, turn:1, animation:crash_panel_reduce03],[effect:enhance_unit, target:myself, turn:1, status:attack, val:0.28, calc:mul, animation:enhance_unit_all_attack04]</t>
    <phoneticPr fontId="22"/>
  </si>
  <si>
    <t>1ターンの間、黄パネルの出現率を大UP+Cパネル生成短縮(特大)+自身の攻撃力超大UP</t>
    <phoneticPr fontId="22"/>
  </si>
  <si>
    <t>ability_id</t>
    <phoneticPr fontId="22"/>
  </si>
  <si>
    <t>language</t>
    <phoneticPr fontId="22"/>
  </si>
  <si>
    <t>name</t>
    <phoneticPr fontId="9"/>
  </si>
  <si>
    <t>comment</t>
    <phoneticPr fontId="9"/>
  </si>
  <si>
    <t>ver</t>
    <phoneticPr fontId="22"/>
  </si>
  <si>
    <t>conditions</t>
    <phoneticPr fontId="22"/>
  </si>
  <si>
    <t>effects</t>
    <phoneticPr fontId="22"/>
  </si>
  <si>
    <t>ability_param</t>
    <phoneticPr fontId="22"/>
  </si>
  <si>
    <t>valid_flg</t>
    <phoneticPr fontId="22"/>
  </si>
  <si>
    <t>1.7.0</t>
    <phoneticPr fontId="22"/>
  </si>
  <si>
    <t>0</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</si>
  <si>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</si>
  <si>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</si>
  <si>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</si>
  <si>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</si>
  <si>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</si>
  <si>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</si>
  <si>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</si>
  <si>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</si>
  <si>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</si>
  <si>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abilities_tmp_</t>
    <phoneticPr fontId="22"/>
  </si>
  <si>
    <t>abilities</t>
    <phoneticPr fontId="22"/>
  </si>
  <si>
    <t>valid_flg</t>
    <phoneticPr fontId="22"/>
  </si>
  <si>
    <t>abilities_i18n_</t>
    <phoneticPr fontId="22"/>
  </si>
  <si>
    <t>comment</t>
    <phoneticPr fontId="22"/>
  </si>
  <si>
    <t>unit_abilities_</t>
    <phoneticPr fontId="22"/>
  </si>
  <si>
    <t>.tmp</t>
    <phoneticPr fontId="22"/>
  </si>
  <si>
    <t>unit_abilities</t>
    <phoneticPr fontId="22"/>
  </si>
  <si>
    <t>character_id</t>
    <phoneticPr fontId="22"/>
  </si>
  <si>
    <t>unlock_type</t>
    <phoneticPr fontId="9"/>
  </si>
  <si>
    <t>1</t>
    <phoneticPr fontId="22"/>
  </si>
  <si>
    <t>トゥルー･オブ･アイズ</t>
  </si>
  <si>
    <t>ファクト･オア･フィクション</t>
    <phoneticPr fontId="22"/>
  </si>
  <si>
    <t>疑真暗鬼オペレータ</t>
  </si>
  <si>
    <t>真偽真解オペレータ</t>
  </si>
  <si>
    <t>もし…こうしたら…どうする？</t>
  </si>
  <si>
    <t>全て…本物……</t>
  </si>
  <si>
    <t>真実と……偽り……</t>
  </si>
  <si>
    <t>自分の目で…確かめる…？</t>
  </si>
  <si>
    <t>さあ…どっちだと思う…？</t>
  </si>
  <si>
    <t>ダメよ…もう私の手の中…</t>
  </si>
  <si>
    <t>答えは……もう出た…</t>
  </si>
  <si>
    <t>もう…終わり………</t>
    <phoneticPr fontId="22"/>
  </si>
  <si>
    <t>青パネルをハートパネル、赤パネルを緑パネルに変換+3ターン緑属性の回復力を超大UP</t>
  </si>
  <si>
    <t>1体に特大ダメージ+
HP大回復</t>
    <phoneticPr fontId="22"/>
  </si>
  <si>
    <t>[effect:damage, target:enemy_one, color:green, val:1.5, animation:damage_one_green04],[effect:heal_ratio, val:0.3, animation:heal_unit, animation:heal02_unit01]</t>
    <phoneticPr fontId="22"/>
  </si>
  <si>
    <t>[effect:force_change_block, new_block:block_heart, target:block_blue, ignore01:block_heart, count:0, val:0, animation:change_block],[effect:force_change_block, new_block:block_green, target:block_red, ignore01:block_green, count:0, val:0, animation:change_block],[effect:enhance_unit, target:unit_green, turn:3, status:heal, val:0.54, calc:mul, animation:enhance_unit_all_heal04]</t>
    <phoneticPr fontId="22"/>
  </si>
  <si>
    <t>[effect:force_change_block, new_block:crash, target:block_green, ignore:crash, count:0, val:6, animation:change_block],[effect:scale_bomb, count:-1, val:3, animation:change_block],[effect:enhance_unit, target:unit_green, turn:1, status:action, val:2.0, calc:mul, animation:enhance_unit_one_action02]</t>
    <phoneticPr fontId="22"/>
  </si>
  <si>
    <t>緑パネルをCパネルに変換+出現しているボムパネルを特大強化する+1ターン緑属性のタップ数を2増やす</t>
    <phoneticPr fontId="22"/>
  </si>
  <si>
    <t>[effect:force_change_block, new_block:crash, target:block_green, ignore:crash, count:0, val:6, animation:change_block],[effect:scale_bomb, count:-1, val:3, animation:change_block],[effect:enhance_unit, target:unit_green, turn:1, status:action, val:2.0, calc:mul, animation:enhance_unit_one_action02]</t>
    <phoneticPr fontId="22"/>
  </si>
  <si>
    <t>[effect:damage_up, target:myself, val:2.9, turn:1, type01:all, option:killer]</t>
    <phoneticPr fontId="22"/>
  </si>
  <si>
    <t>[effect:change_panel_ratio, turn:1, block_type:yellow, val:0.6],[effect:crash_condition, target:unit_all, val:-4, turn:1, animation:crash_panel_reduce03],[effect:enhance_unit, target:myself, turn:1, status:attack, val:0.28, calc:mul, animation:enhance_unit_all_attack04]</t>
    <phoneticPr fontId="22"/>
  </si>
  <si>
    <t>ハートパネルを青パネルに、ランダムで2つSCパネルに変換+2ターン敵の攻撃を40％軽減</t>
    <phoneticPr fontId="22"/>
  </si>
  <si>
    <t>赤パネルをCパネルに変換+3ターン青属性の攻撃力を特大UPし、Cパネル生成短縮(効果特大)</t>
    <phoneticPr fontId="22"/>
  </si>
  <si>
    <t>1体に中ダメージ</t>
    <phoneticPr fontId="22"/>
  </si>
  <si>
    <t>1体に大ダメージ</t>
    <phoneticPr fontId="22"/>
  </si>
  <si>
    <t>[effect:damage, target:enemy_one, color:blue, val:1.75, animation:damage_one_blue03]</t>
    <phoneticPr fontId="22"/>
  </si>
  <si>
    <t>[effect:damage, target:enemy_one, color:blue, val:2.0, animation:damage_one_blue04]</t>
    <phoneticPr fontId="22"/>
  </si>
  <si>
    <t>1体に超大ダメージ</t>
    <phoneticPr fontId="22"/>
  </si>
  <si>
    <t>[effect:damage, target:enemy_one, color:blue, val:2.5, animation:damage_one_blue04]</t>
    <phoneticPr fontId="22"/>
  </si>
  <si>
    <t>[effect:force_change_block, new_block:crash, target:block_red, ignore01:crash, ignore02:crack_bomb, count:0, val:8, animation:change_block],[effect:crash_condition, target:unit_blue, val:-4, turn:3, animation:crash_panel_reduce03],[effect:enhance_unit, target:unit_blue, turn:3, status:attack, val:0.21, calc:mul, animation:enhance_unit_all_attack04_unit01]</t>
    <phoneticPr fontId="22"/>
  </si>
  <si>
    <t>[effect:force_change_block, new_block:crash, target:block_red, ignore01:crash, ignore02:crack_bomb, count:0, val:8, animation:change_block],[effect:crash_condition, target:unit_blue, val:-4, turn:3, animation:crash_panel_reduce03],[effect:enhance_unit, target:unit_blue, turn:3, status:attack, val:0.21, calc:mul, animation:enhance_unit_all_attack04_unit01]</t>
    <phoneticPr fontId="22"/>
  </si>
  <si>
    <t>空檻乱射ブリュリアンゾーン</t>
  </si>
  <si>
    <t>ライト・イン・グッドラック</t>
    <phoneticPr fontId="22"/>
  </si>
  <si>
    <t>ライト・イン・ブラック</t>
    <phoneticPr fontId="22"/>
  </si>
  <si>
    <t>反射最限レイトレーシング</t>
    <phoneticPr fontId="22"/>
  </si>
  <si>
    <t>maru</t>
    <phoneticPr fontId="22"/>
  </si>
  <si>
    <r>
      <t>この光には意義がある</t>
    </r>
    <r>
      <rPr>
        <sz val="10"/>
        <color rgb="FFFF0000"/>
        <rFont val="ＭＳ Ｐゴシック"/>
        <family val="3"/>
        <charset val="128"/>
      </rPr>
      <t/>
    </r>
    <phoneticPr fontId="22"/>
  </si>
  <si>
    <t>maru</t>
    <phoneticPr fontId="22"/>
  </si>
  <si>
    <t>暗闇は苦手でな</t>
    <phoneticPr fontId="22"/>
  </si>
  <si>
    <t>友が相手をする</t>
    <phoneticPr fontId="22"/>
  </si>
  <si>
    <r>
      <t>この光には意義がある</t>
    </r>
    <r>
      <rPr>
        <sz val="10"/>
        <color rgb="FFFF0000"/>
        <rFont val="ＭＳ Ｐゴシック"/>
        <family val="3"/>
        <charset val="128"/>
      </rPr>
      <t/>
    </r>
    <phoneticPr fontId="22"/>
  </si>
  <si>
    <t>暗闇は苦手でな</t>
    <phoneticPr fontId="22"/>
  </si>
  <si>
    <t>友が相手をする</t>
    <phoneticPr fontId="22"/>
  </si>
  <si>
    <t>猫より可愛いだろう？</t>
    <phoneticPr fontId="22"/>
  </si>
  <si>
    <t>maru</t>
    <phoneticPr fontId="22"/>
  </si>
  <si>
    <t>私の眼からは逃げられない</t>
    <phoneticPr fontId="22"/>
  </si>
  <si>
    <t>これくらい造作も無いことだ</t>
    <phoneticPr fontId="22"/>
  </si>
  <si>
    <t>さぁ、一斉砲撃開始だ</t>
  </si>
  <si>
    <t>少し解釈が違うようだな</t>
  </si>
  <si>
    <t>ウィグザーツ・クリスタル</t>
  </si>
  <si>
    <t>シュレディンガーチャレンジ ダメージ究極UP</t>
    <phoneticPr fontId="22"/>
  </si>
  <si>
    <t>シュレディンガーチャレンジ内で自身の全ての攻撃の威力を究極UP</t>
    <phoneticPr fontId="22"/>
  </si>
  <si>
    <t>[effect:force_change_block, new_block:crash, target:block_all, ignore01:block_green, count:2, val:12, animation:change_block],[effect:force_change_block, new_block:block_blue, target:block_heart, ignore01:block_blue, count:0, val:0, animation:change_block],[effect:reduction, target:unit_all, turn:2, color:all, val:0.4, animation:reduction_one04]</t>
    <phoneticPr fontId="22"/>
  </si>
  <si>
    <t>[condition:enclose,[condition:quest_id,quest:60020],[condition:unit_attack_target],logic:and]</t>
    <phoneticPr fontId="22"/>
  </si>
  <si>
    <t>sell_ghosts</t>
    <phoneticPr fontId="22"/>
  </si>
  <si>
    <t>sell_ghosts</t>
    <phoneticPr fontId="10"/>
  </si>
  <si>
    <t>ユークリッドチャレンジ ダメージUP</t>
    <phoneticPr fontId="22"/>
  </si>
  <si>
    <t>ユークリッドチャレンジ内で自身の全ての攻撃の威力を究極UP</t>
    <phoneticPr fontId="22"/>
  </si>
  <si>
    <t>[condition:enclose,[condition:quest_id,quest:60017],[condition:unit_attack_target],logic:and]</t>
    <phoneticPr fontId="22"/>
  </si>
  <si>
    <t>1体に特大ダメージ</t>
    <rPh sb="1" eb="2">
      <t>タ</t>
    </rPh>
    <rPh sb="4" eb="5">
      <t>トk</t>
    </rPh>
    <phoneticPr fontId="9"/>
  </si>
  <si>
    <t>[effect:damage, target:enemy_one, color:yellow, val:2.25, animation:damage_one_yellow04]</t>
    <phoneticPr fontId="22"/>
  </si>
  <si>
    <t>[condition:enclose,[condition:quest_id,quest:60028],[condition:unit_attack_target],logic:and]</t>
    <phoneticPr fontId="22"/>
  </si>
  <si>
    <t>[effect:damage, target:enemy_one, color:green, val:2.25, animation:damage_one_green04]</t>
    <phoneticPr fontId="22"/>
  </si>
  <si>
    <t>クロネッカーチャレンジ内で自身の全ての攻撃の威力を究極UP</t>
    <rPh sb="25" eb="27">
      <t>キュウキョk</t>
    </rPh>
    <phoneticPr fontId="22"/>
  </si>
  <si>
    <t>クロネッカーチャレンジ ダメージUP</t>
    <phoneticPr fontId="22"/>
  </si>
  <si>
    <t>category</t>
    <phoneticPr fontId="22"/>
  </si>
  <si>
    <t>クエスト特攻</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</si>
</sst>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3"/>
      <color rgb="FF222222"/>
      <name val="Meiryo"/>
      <family val="3"/>
      <charset val="128"/>
    </font>
    <font>
      <sz val="11"/>
      <color rgb="FF000000"/>
      <name val="ＭＳ Ｐゴシック"/>
      <family val="3"/>
      <charset val="128"/>
      <scheme val="minor"/>
    </font>
    <font>
      <sz val="10"/>
      <color rgb="FFFF0000"/>
      <name val="ＭＳ Ｐゴシック"/>
      <family val="3"/>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79998168889431442"/>
        <bgColor indexed="59"/>
      </patternFill>
    </fill>
    <fill>
      <patternFill patternType="solid">
        <fgColor theme="9" tint="0.79998168889431442"/>
        <bgColor indexed="27"/>
      </patternFill>
    </fill>
    <fill>
      <patternFill patternType="solid">
        <fgColor theme="9" tint="0.79998168889431442"/>
        <bgColor indexed="59"/>
      </patternFill>
    </fill>
    <fill>
      <patternFill patternType="solid">
        <fgColor theme="4" tint="0.59999389629810485"/>
        <bgColor indexed="64"/>
      </patternFill>
    </fill>
    <fill>
      <patternFill patternType="solid">
        <fgColor rgb="FFCCFFCC"/>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634">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0">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4" fillId="0" borderId="4" xfId="0" applyFont="1" applyBorder="1" applyAlignment="1">
      <alignment horizontal="left" vertical="center" wrapText="1"/>
    </xf>
    <xf numFmtId="0" fontId="25" fillId="0" borderId="7" xfId="0" applyFont="1" applyFill="1" applyBorder="1" applyAlignment="1">
      <alignment vertical="center" wrapText="1"/>
    </xf>
    <xf numFmtId="0" fontId="16" fillId="0" borderId="4" xfId="0" applyFont="1" applyFill="1" applyBorder="1" applyAlignment="1">
      <alignment horizontal="right" vertical="center"/>
    </xf>
    <xf numFmtId="0" fontId="12" fillId="7" borderId="4" xfId="0" applyFont="1" applyFill="1" applyBorder="1" applyAlignment="1">
      <alignment horizontal="left" vertical="center"/>
    </xf>
    <xf numFmtId="0" fontId="15" fillId="11" borderId="4" xfId="0" applyFont="1" applyFill="1" applyBorder="1" applyAlignment="1">
      <alignment horizontal="left" vertical="center"/>
    </xf>
    <xf numFmtId="0" fontId="12" fillId="25" borderId="4" xfId="0" applyFont="1" applyFill="1" applyBorder="1" applyAlignment="1">
      <alignment horizontal="center"/>
    </xf>
    <xf numFmtId="0" fontId="13" fillId="26" borderId="4" xfId="0" applyFont="1" applyFill="1" applyBorder="1" applyAlignment="1">
      <alignment horizontal="center" vertical="center" wrapText="1"/>
    </xf>
    <xf numFmtId="0" fontId="16" fillId="26" borderId="6" xfId="0" applyFont="1" applyFill="1" applyBorder="1" applyAlignment="1">
      <alignment horizontal="center" vertical="center" wrapText="1"/>
    </xf>
    <xf numFmtId="0" fontId="12" fillId="27" borderId="4" xfId="0" applyFont="1" applyFill="1" applyBorder="1" applyAlignment="1">
      <alignment horizontal="center"/>
    </xf>
    <xf numFmtId="0" fontId="14" fillId="7" borderId="4" xfId="0" applyFont="1" applyFill="1" applyBorder="1" applyAlignment="1">
      <alignment horizontal="right" vertical="center" wrapText="1"/>
    </xf>
    <xf numFmtId="0" fontId="24" fillId="8" borderId="0" xfId="0" applyFont="1" applyFill="1" applyAlignment="1">
      <alignment horizontal="center"/>
    </xf>
    <xf numFmtId="0" fontId="29" fillId="0" borderId="0" xfId="0" applyFont="1"/>
    <xf numFmtId="0" fontId="26" fillId="0" borderId="8" xfId="0" applyFont="1" applyFill="1" applyBorder="1" applyAlignment="1">
      <alignment vertical="top" wrapText="1"/>
    </xf>
    <xf numFmtId="0" fontId="16" fillId="11" borderId="4" xfId="0" applyFont="1" applyFill="1" applyBorder="1" applyAlignment="1">
      <alignment horizontal="center" vertical="center"/>
    </xf>
    <xf numFmtId="0" fontId="16" fillId="22"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49" fontId="12" fillId="0" borderId="4" xfId="0" applyNumberFormat="1" applyFont="1" applyFill="1" applyBorder="1" applyAlignment="1">
      <alignment vertical="center"/>
    </xf>
    <xf numFmtId="0" fontId="12" fillId="22" borderId="4" xfId="0" applyNumberFormat="1" applyFont="1" applyFill="1" applyBorder="1" applyAlignment="1">
      <alignment vertical="center"/>
    </xf>
    <xf numFmtId="0" fontId="12" fillId="0" borderId="4" xfId="0" applyFont="1" applyFill="1" applyBorder="1" applyAlignment="1">
      <alignment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49" fontId="12" fillId="0" borderId="4" xfId="0" applyNumberFormat="1" applyFont="1" applyFill="1" applyBorder="1" applyAlignment="1">
      <alignment vertical="center" wrapText="1"/>
    </xf>
    <xf numFmtId="0" fontId="16" fillId="28" borderId="4" xfId="0" applyFont="1" applyFill="1" applyBorder="1" applyAlignment="1">
      <alignment horizontal="center" vertical="center"/>
    </xf>
    <xf numFmtId="0" fontId="0" fillId="28" borderId="4" xfId="0" applyFill="1" applyBorder="1"/>
    <xf numFmtId="0" fontId="13" fillId="28" borderId="15" xfId="0" applyFont="1" applyFill="1" applyBorder="1" applyAlignment="1">
      <alignment horizontal="center" vertical="center"/>
    </xf>
    <xf numFmtId="0" fontId="13" fillId="28" borderId="22" xfId="0" applyFont="1" applyFill="1" applyBorder="1" applyAlignment="1">
      <alignment horizontal="center" vertical="center"/>
    </xf>
    <xf numFmtId="0" fontId="30" fillId="0" borderId="4" xfId="0" applyFont="1" applyFill="1" applyBorder="1" applyAlignment="1">
      <alignment horizontal="left" vertical="center" wrapText="1"/>
    </xf>
    <xf numFmtId="0" fontId="12" fillId="29" borderId="4" xfId="0" applyFont="1" applyFill="1" applyBorder="1" applyAlignment="1">
      <alignment horizontal="left" vertical="center" wrapText="1"/>
    </xf>
    <xf numFmtId="0" fontId="16" fillId="14" borderId="4" xfId="0" applyFont="1" applyFill="1" applyBorder="1" applyAlignment="1">
      <alignment horizontal="left" vertical="center"/>
    </xf>
    <xf numFmtId="0" fontId="0" fillId="28" borderId="4" xfId="0" applyFill="1" applyBorder="1" applyAlignment="1">
      <alignment horizontal="center"/>
    </xf>
  </cellXfs>
  <cellStyles count="4634">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ハイパーリンク" xfId="4608" builtinId="8" hidden="1"/>
    <cellStyle name="ハイパーリンク" xfId="4610" builtinId="8" hidden="1"/>
    <cellStyle name="ハイパーリンク" xfId="4612" builtinId="8" hidden="1"/>
    <cellStyle name="ハイパーリンク" xfId="4614" builtinId="8" hidden="1"/>
    <cellStyle name="ハイパーリンク" xfId="4616" builtinId="8" hidden="1"/>
    <cellStyle name="ハイパーリンク" xfId="4618" builtinId="8" hidden="1"/>
    <cellStyle name="ハイパーリンク" xfId="4620" builtinId="8" hidden="1"/>
    <cellStyle name="ハイパーリンク" xfId="4622" builtinId="8" hidden="1"/>
    <cellStyle name="ハイパーリンク" xfId="4624" builtinId="8" hidden="1"/>
    <cellStyle name="ハイパーリンク" xfId="4626" builtinId="8" hidden="1"/>
    <cellStyle name="ハイパーリンク" xfId="4628" builtinId="8" hidden="1"/>
    <cellStyle name="ハイパーリンク" xfId="4630" builtinId="8" hidden="1"/>
    <cellStyle name="ハイパーリンク" xfId="4632"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表示済みのハイパーリンク" xfId="4609" builtinId="9" hidden="1"/>
    <cellStyle name="表示済みのハイパーリンク" xfId="4611" builtinId="9" hidden="1"/>
    <cellStyle name="表示済みのハイパーリンク" xfId="4613" builtinId="9" hidden="1"/>
    <cellStyle name="表示済みのハイパーリンク" xfId="4615" builtinId="9" hidden="1"/>
    <cellStyle name="表示済みのハイパーリンク" xfId="4617" builtinId="9" hidden="1"/>
    <cellStyle name="表示済みのハイパーリンク" xfId="4619" builtinId="9" hidden="1"/>
    <cellStyle name="表示済みのハイパーリンク" xfId="4621" builtinId="9" hidden="1"/>
    <cellStyle name="表示済みのハイパーリンク" xfId="4623" builtinId="9" hidden="1"/>
    <cellStyle name="表示済みのハイパーリンク" xfId="4625" builtinId="9" hidden="1"/>
    <cellStyle name="表示済みのハイパーリンク" xfId="4627" builtinId="9" hidden="1"/>
    <cellStyle name="表示済みのハイパーリンク" xfId="4629" builtinId="9" hidden="1"/>
    <cellStyle name="表示済みのハイパーリンク" xfId="4631" builtinId="9" hidden="1"/>
    <cellStyle name="表示済みのハイパーリンク" xfId="4633" builtinId="9" hidden="1"/>
    <cellStyle name="赤字強調" xfId="4"/>
    <cellStyle name="青字強調" xfId="3"/>
  </cellStyles>
  <dxfs count="5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externalLink" Target="externalLinks/externalLink3.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E16" sqref="E16"/>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6" t="s">
        <v>125</v>
      </c>
      <c r="B1" s="106" t="s">
        <v>116</v>
      </c>
      <c r="C1" s="106" t="s">
        <v>117</v>
      </c>
      <c r="D1" s="106" t="s">
        <v>118</v>
      </c>
      <c r="E1" s="106" t="s">
        <v>119</v>
      </c>
      <c r="F1" s="106" t="s">
        <v>120</v>
      </c>
      <c r="G1" s="106" t="s">
        <v>121</v>
      </c>
      <c r="H1" s="106"/>
      <c r="I1" s="106"/>
      <c r="J1" s="106"/>
      <c r="K1" s="106"/>
      <c r="L1" s="107"/>
      <c r="M1" s="107"/>
      <c r="N1" s="107"/>
      <c r="O1" s="107"/>
      <c r="P1" s="107"/>
      <c r="Q1" s="107"/>
      <c r="R1" s="107"/>
      <c r="S1" s="107"/>
      <c r="T1" s="107"/>
      <c r="U1" s="107"/>
      <c r="V1" s="107"/>
      <c r="W1" s="107"/>
    </row>
    <row r="2" spans="1:29" x14ac:dyDescent="0.15">
      <c r="A2" s="108" t="s">
        <v>254</v>
      </c>
      <c r="B2" s="108" t="s">
        <v>129</v>
      </c>
      <c r="C2" s="166" t="s">
        <v>253</v>
      </c>
      <c r="D2" s="108" t="s">
        <v>128</v>
      </c>
      <c r="E2" s="107" t="str">
        <f>B2&amp;C2&amp;D2</f>
        <v>units_rankingkill.tmp</v>
      </c>
      <c r="F2" s="108" t="s">
        <v>124</v>
      </c>
      <c r="G2" s="62" t="s">
        <v>17</v>
      </c>
      <c r="H2" s="63" t="s">
        <v>96</v>
      </c>
      <c r="I2" s="63" t="s">
        <v>1</v>
      </c>
      <c r="J2" s="63" t="s">
        <v>3</v>
      </c>
      <c r="K2" s="63" t="s">
        <v>2</v>
      </c>
      <c r="L2" s="63" t="s">
        <v>98</v>
      </c>
      <c r="M2" s="63" t="s">
        <v>20</v>
      </c>
      <c r="N2" s="63" t="s">
        <v>103</v>
      </c>
      <c r="O2" s="63" t="s">
        <v>101</v>
      </c>
      <c r="P2" s="63" t="s">
        <v>39</v>
      </c>
      <c r="Q2" s="63" t="s">
        <v>57</v>
      </c>
      <c r="R2" s="108" t="s">
        <v>377</v>
      </c>
      <c r="S2" s="108"/>
      <c r="T2" s="108"/>
      <c r="U2" s="108"/>
      <c r="V2" s="108"/>
      <c r="W2" s="108"/>
    </row>
    <row r="3" spans="1:29" x14ac:dyDescent="0.15">
      <c r="A3" s="108" t="s">
        <v>282</v>
      </c>
      <c r="B3" s="108" t="s">
        <v>275</v>
      </c>
      <c r="C3" s="166" t="s">
        <v>253</v>
      </c>
      <c r="D3" s="108" t="s">
        <v>277</v>
      </c>
      <c r="E3" s="107" t="str">
        <f>B3&amp;C3&amp;D3</f>
        <v>fork_awake_units_rankingkill.tmp</v>
      </c>
      <c r="F3" s="108" t="s">
        <v>278</v>
      </c>
      <c r="G3" s="62" t="s">
        <v>17</v>
      </c>
      <c r="H3" s="63" t="s">
        <v>279</v>
      </c>
      <c r="I3" s="63" t="s">
        <v>280</v>
      </c>
      <c r="J3" s="63" t="s">
        <v>281</v>
      </c>
      <c r="K3" s="111"/>
      <c r="L3" s="111"/>
      <c r="M3" s="111"/>
      <c r="N3" s="111"/>
      <c r="O3" s="111"/>
      <c r="P3" s="111"/>
      <c r="Q3" s="111"/>
      <c r="R3" s="111"/>
      <c r="S3" s="111"/>
      <c r="T3" s="111"/>
      <c r="U3" s="111"/>
      <c r="V3" s="111"/>
      <c r="W3" s="111"/>
    </row>
    <row r="4" spans="1:29" x14ac:dyDescent="0.15">
      <c r="A4" s="108" t="s">
        <v>282</v>
      </c>
      <c r="B4" s="108" t="s">
        <v>130</v>
      </c>
      <c r="C4" s="166" t="s">
        <v>253</v>
      </c>
      <c r="D4" s="108" t="s">
        <v>128</v>
      </c>
      <c r="E4" s="107" t="str">
        <f>B4&amp;C4&amp;D4</f>
        <v>awake_materials_rankingkill.tmp</v>
      </c>
      <c r="F4" s="108" t="s">
        <v>123</v>
      </c>
      <c r="G4" s="109" t="s">
        <v>38</v>
      </c>
      <c r="H4" s="110" t="s">
        <v>36</v>
      </c>
      <c r="I4" s="110" t="s">
        <v>37</v>
      </c>
      <c r="J4" s="112" t="s">
        <v>126</v>
      </c>
      <c r="K4" s="111"/>
      <c r="L4" s="111"/>
      <c r="M4" s="111"/>
      <c r="N4" s="111"/>
      <c r="O4" s="111"/>
      <c r="P4" s="111"/>
      <c r="Q4" s="111"/>
      <c r="R4" s="111"/>
      <c r="S4" s="111"/>
      <c r="T4" s="111"/>
      <c r="U4" s="111"/>
      <c r="V4" s="111"/>
      <c r="W4" s="111"/>
    </row>
    <row r="5" spans="1:29" x14ac:dyDescent="0.15">
      <c r="A5" s="108" t="s">
        <v>282</v>
      </c>
      <c r="B5" s="108" t="s">
        <v>283</v>
      </c>
      <c r="C5" s="166" t="s">
        <v>253</v>
      </c>
      <c r="D5" s="108" t="s">
        <v>276</v>
      </c>
      <c r="E5" s="107" t="str">
        <f>B5&amp;C5&amp;D5</f>
        <v>fork_awake_materials_rankingkill.tmp</v>
      </c>
      <c r="F5" s="108" t="s">
        <v>123</v>
      </c>
      <c r="G5" s="177" t="s">
        <v>284</v>
      </c>
      <c r="H5" s="177" t="s">
        <v>285</v>
      </c>
      <c r="I5" s="177" t="s">
        <v>36</v>
      </c>
      <c r="J5" s="177" t="s">
        <v>37</v>
      </c>
      <c r="K5" s="177" t="s">
        <v>286</v>
      </c>
      <c r="L5" s="177" t="s">
        <v>287</v>
      </c>
      <c r="M5" s="111"/>
      <c r="N5" s="111"/>
      <c r="O5" s="111"/>
      <c r="P5" s="111"/>
      <c r="Q5" s="111"/>
      <c r="R5" s="111"/>
      <c r="S5" s="111"/>
      <c r="T5" s="111"/>
      <c r="U5" s="111"/>
      <c r="V5" s="111"/>
      <c r="W5" s="111"/>
    </row>
    <row r="6" spans="1:29" x14ac:dyDescent="0.15">
      <c r="A6" s="108" t="s">
        <v>255</v>
      </c>
      <c r="B6" s="108" t="s">
        <v>131</v>
      </c>
      <c r="C6" s="166" t="s">
        <v>253</v>
      </c>
      <c r="D6" s="108" t="s">
        <v>132</v>
      </c>
      <c r="E6" s="107" t="str">
        <f t="shared" ref="E6" si="0">B6&amp;C6&amp;D6</f>
        <v>unit_levels_calc_rankingkill.tmp</v>
      </c>
      <c r="F6" s="108" t="s">
        <v>122</v>
      </c>
      <c r="G6" s="58" t="s">
        <v>17</v>
      </c>
      <c r="H6" s="59" t="s">
        <v>2</v>
      </c>
      <c r="I6" s="60" t="s">
        <v>79</v>
      </c>
      <c r="J6" s="60" t="s">
        <v>80</v>
      </c>
      <c r="K6" s="60" t="s">
        <v>81</v>
      </c>
      <c r="L6" s="60" t="s">
        <v>82</v>
      </c>
      <c r="M6" s="60" t="s">
        <v>87</v>
      </c>
      <c r="N6" s="60" t="s">
        <v>88</v>
      </c>
      <c r="O6" s="60" t="s">
        <v>89</v>
      </c>
      <c r="P6" s="60" t="s">
        <v>90</v>
      </c>
      <c r="Q6" s="60" t="s">
        <v>91</v>
      </c>
      <c r="R6" s="60" t="s">
        <v>94</v>
      </c>
      <c r="S6" s="60" t="s">
        <v>92</v>
      </c>
      <c r="T6" s="60" t="s">
        <v>93</v>
      </c>
      <c r="U6" s="60" t="s">
        <v>83</v>
      </c>
      <c r="V6" s="60" t="s">
        <v>84</v>
      </c>
      <c r="W6" s="60" t="s">
        <v>85</v>
      </c>
    </row>
    <row r="7" spans="1:29" x14ac:dyDescent="0.15">
      <c r="A7" s="108" t="s">
        <v>255</v>
      </c>
      <c r="B7" s="108" t="s">
        <v>143</v>
      </c>
      <c r="C7" s="166" t="s">
        <v>253</v>
      </c>
      <c r="D7" s="108" t="s">
        <v>144</v>
      </c>
      <c r="E7" s="107" t="str">
        <f>B7&amp;C7&amp;D7</f>
        <v>unit_skills_data_rankingkill.tmp</v>
      </c>
      <c r="F7" s="108" t="s">
        <v>145</v>
      </c>
      <c r="G7" s="116" t="s">
        <v>20</v>
      </c>
      <c r="H7" s="116" t="s">
        <v>146</v>
      </c>
      <c r="I7" s="116" t="s">
        <v>2</v>
      </c>
      <c r="J7" s="116" t="s">
        <v>147</v>
      </c>
      <c r="K7" s="116" t="s">
        <v>148</v>
      </c>
      <c r="L7" s="116" t="s">
        <v>4</v>
      </c>
      <c r="M7" s="60"/>
      <c r="N7" s="60"/>
      <c r="O7" s="60"/>
      <c r="P7" s="60"/>
      <c r="Q7" s="60"/>
      <c r="R7" s="60"/>
      <c r="S7" s="60"/>
      <c r="T7" s="60"/>
      <c r="U7" s="60"/>
      <c r="V7" s="60"/>
      <c r="W7" s="60"/>
    </row>
    <row r="8" spans="1:29" x14ac:dyDescent="0.15">
      <c r="A8" s="108" t="s">
        <v>255</v>
      </c>
      <c r="B8" s="108" t="s">
        <v>149</v>
      </c>
      <c r="C8" s="166" t="s">
        <v>253</v>
      </c>
      <c r="D8" s="108" t="s">
        <v>128</v>
      </c>
      <c r="E8" s="107" t="str">
        <f>B8&amp;C8&amp;D8</f>
        <v>unit_skills_i18n_rankingkill.tmp</v>
      </c>
      <c r="F8" s="108" t="s">
        <v>145</v>
      </c>
      <c r="G8" s="116" t="s">
        <v>150</v>
      </c>
      <c r="H8" s="116" t="s">
        <v>134</v>
      </c>
      <c r="I8" s="116" t="s">
        <v>151</v>
      </c>
      <c r="J8" s="116" t="s">
        <v>152</v>
      </c>
      <c r="K8" s="111"/>
      <c r="L8" s="111"/>
      <c r="M8" s="60"/>
      <c r="N8" s="60"/>
      <c r="O8" s="60"/>
      <c r="P8" s="60"/>
      <c r="Q8" s="60"/>
      <c r="R8" s="60"/>
      <c r="S8" s="60"/>
      <c r="T8" s="60"/>
      <c r="U8" s="60"/>
      <c r="V8" s="60"/>
      <c r="W8" s="60"/>
    </row>
    <row r="9" spans="1:29" x14ac:dyDescent="0.15">
      <c r="A9" s="108" t="s">
        <v>255</v>
      </c>
      <c r="B9" s="108" t="s">
        <v>153</v>
      </c>
      <c r="C9" s="166" t="s">
        <v>253</v>
      </c>
      <c r="D9" s="108" t="s">
        <v>154</v>
      </c>
      <c r="E9" s="107" t="str">
        <f>B9&amp;C9&amp;D9</f>
        <v>crash_skills_data_rankingkill.tmp</v>
      </c>
      <c r="F9" s="108" t="s">
        <v>155</v>
      </c>
      <c r="G9" s="116" t="s">
        <v>156</v>
      </c>
      <c r="H9" s="116" t="s">
        <v>148</v>
      </c>
      <c r="I9" s="116" t="s">
        <v>4</v>
      </c>
      <c r="J9" s="111"/>
      <c r="K9" s="111"/>
      <c r="L9" s="111"/>
      <c r="M9" s="60"/>
      <c r="N9" s="60"/>
      <c r="O9" s="60"/>
      <c r="P9" s="60"/>
      <c r="Q9" s="60"/>
      <c r="R9" s="60"/>
      <c r="S9" s="60"/>
      <c r="T9" s="60"/>
      <c r="U9" s="60"/>
      <c r="V9" s="60"/>
      <c r="W9" s="60"/>
    </row>
    <row r="10" spans="1:29" x14ac:dyDescent="0.15">
      <c r="A10" s="108" t="s">
        <v>255</v>
      </c>
      <c r="B10" s="108" t="s">
        <v>157</v>
      </c>
      <c r="C10" s="166" t="s">
        <v>253</v>
      </c>
      <c r="D10" s="108" t="s">
        <v>158</v>
      </c>
      <c r="E10" s="107" t="str">
        <f t="shared" ref="E10" si="1">B10&amp;C10&amp;D10</f>
        <v>crash_skills_i18n_rankingkill.tmp</v>
      </c>
      <c r="F10" s="108" t="s">
        <v>155</v>
      </c>
      <c r="G10" s="116" t="s">
        <v>159</v>
      </c>
      <c r="H10" s="116" t="s">
        <v>160</v>
      </c>
      <c r="I10" s="116" t="s">
        <v>161</v>
      </c>
      <c r="J10" s="116" t="s">
        <v>162</v>
      </c>
      <c r="K10" s="117"/>
      <c r="L10" s="117"/>
      <c r="M10" s="60"/>
      <c r="N10" s="60"/>
      <c r="O10" s="60"/>
      <c r="P10" s="60"/>
      <c r="Q10" s="60"/>
      <c r="R10" s="60"/>
      <c r="S10" s="60"/>
      <c r="T10" s="60"/>
      <c r="U10" s="60"/>
      <c r="V10" s="60"/>
      <c r="W10" s="60"/>
    </row>
    <row r="11" spans="1:29" x14ac:dyDescent="0.15">
      <c r="A11" s="108" t="s">
        <v>254</v>
      </c>
      <c r="B11" s="108" t="s">
        <v>312</v>
      </c>
      <c r="C11" s="166" t="s">
        <v>253</v>
      </c>
      <c r="D11" s="108" t="s">
        <v>128</v>
      </c>
      <c r="E11" s="107" t="str">
        <f>B11&amp;C11&amp;D11</f>
        <v>abilities_tmp_rankingkill.tmp</v>
      </c>
      <c r="F11" s="108" t="s">
        <v>313</v>
      </c>
      <c r="G11" s="192" t="s">
        <v>292</v>
      </c>
      <c r="H11" s="192" t="s">
        <v>299</v>
      </c>
      <c r="I11" s="192" t="s">
        <v>314</v>
      </c>
      <c r="J11" s="192"/>
      <c r="K11" s="193"/>
      <c r="L11" s="108"/>
      <c r="M11" s="108"/>
      <c r="N11" s="108"/>
      <c r="O11" s="108"/>
      <c r="P11" s="108"/>
      <c r="Q11" s="108"/>
      <c r="R11" s="108"/>
      <c r="S11" s="108"/>
      <c r="T11" s="108"/>
      <c r="U11" s="108"/>
      <c r="V11" s="108"/>
      <c r="W11" s="108"/>
      <c r="X11" s="108"/>
      <c r="Y11" s="108"/>
      <c r="Z11" s="108"/>
      <c r="AA11" s="108"/>
      <c r="AB11" s="108"/>
      <c r="AC11" s="108"/>
    </row>
    <row r="12" spans="1:29" x14ac:dyDescent="0.15">
      <c r="A12" s="108" t="s">
        <v>254</v>
      </c>
      <c r="B12" s="108" t="s">
        <v>315</v>
      </c>
      <c r="C12" s="166" t="s">
        <v>253</v>
      </c>
      <c r="D12" s="108" t="s">
        <v>128</v>
      </c>
      <c r="E12" s="107" t="str">
        <f>B12&amp;C12&amp;D12</f>
        <v>abilities_i18n_rankingkill.tmp</v>
      </c>
      <c r="F12" s="108" t="s">
        <v>313</v>
      </c>
      <c r="G12" s="192" t="s">
        <v>292</v>
      </c>
      <c r="H12" s="192" t="s">
        <v>134</v>
      </c>
      <c r="I12" s="192" t="s">
        <v>188</v>
      </c>
      <c r="J12" s="192" t="s">
        <v>316</v>
      </c>
      <c r="K12" s="199" t="s">
        <v>388</v>
      </c>
      <c r="L12" s="108"/>
      <c r="M12" s="108"/>
      <c r="N12" s="108"/>
      <c r="O12" s="108"/>
      <c r="P12" s="108"/>
      <c r="Q12" s="108"/>
      <c r="R12" s="108"/>
      <c r="S12" s="108"/>
      <c r="T12" s="108"/>
      <c r="U12" s="108"/>
      <c r="V12" s="108"/>
      <c r="W12" s="108"/>
      <c r="X12" s="108"/>
      <c r="Y12" s="108"/>
      <c r="Z12" s="108"/>
      <c r="AA12" s="108"/>
      <c r="AB12" s="108"/>
      <c r="AC12" s="108"/>
    </row>
    <row r="13" spans="1:29" x14ac:dyDescent="0.15">
      <c r="A13" s="108" t="s">
        <v>254</v>
      </c>
      <c r="B13" s="108" t="s">
        <v>317</v>
      </c>
      <c r="C13" s="166" t="s">
        <v>253</v>
      </c>
      <c r="D13" s="108" t="s">
        <v>318</v>
      </c>
      <c r="E13" s="107" t="str">
        <f>B13&amp;C13&amp;D13</f>
        <v>unit_abilities_rankingkill.tmp</v>
      </c>
      <c r="F13" s="108" t="s">
        <v>319</v>
      </c>
      <c r="G13" s="192" t="s">
        <v>320</v>
      </c>
      <c r="H13" s="194" t="s">
        <v>304</v>
      </c>
      <c r="I13" s="194" t="s">
        <v>305</v>
      </c>
      <c r="J13" s="195" t="s">
        <v>321</v>
      </c>
      <c r="K13" s="192" t="s">
        <v>309</v>
      </c>
      <c r="L13" s="108"/>
      <c r="M13" s="108"/>
      <c r="N13" s="108"/>
      <c r="O13" s="108"/>
      <c r="P13" s="108"/>
      <c r="Q13" s="108"/>
      <c r="R13" s="108"/>
      <c r="S13" s="108"/>
      <c r="T13" s="108"/>
      <c r="U13" s="108"/>
      <c r="V13" s="108"/>
      <c r="W13" s="108"/>
      <c r="X13" s="108"/>
      <c r="Y13" s="108"/>
      <c r="Z13" s="108"/>
      <c r="AA13" s="108"/>
      <c r="AB13" s="108"/>
      <c r="AC13" s="108"/>
    </row>
    <row r="14" spans="1:29" x14ac:dyDescent="0.15">
      <c r="A14" s="108" t="s">
        <v>254</v>
      </c>
      <c r="B14" s="111" t="s">
        <v>135</v>
      </c>
      <c r="C14" s="166" t="s">
        <v>253</v>
      </c>
      <c r="D14" s="108" t="s">
        <v>158</v>
      </c>
      <c r="E14" s="107" t="str">
        <f t="shared" ref="E14:E15" si="2">B14&amp;C14&amp;D14</f>
        <v>unit_serifs_data_rankingkill.tmp</v>
      </c>
      <c r="F14" s="111" t="s">
        <v>137</v>
      </c>
      <c r="G14" s="115" t="s">
        <v>138</v>
      </c>
      <c r="H14" s="116" t="s">
        <v>139</v>
      </c>
      <c r="I14" s="116" t="s">
        <v>133</v>
      </c>
      <c r="J14" s="114" t="s">
        <v>190</v>
      </c>
      <c r="K14" s="108"/>
      <c r="L14" s="108"/>
      <c r="M14" s="108"/>
      <c r="N14" s="108"/>
      <c r="O14" s="108"/>
      <c r="P14" s="108"/>
      <c r="Q14" s="108"/>
      <c r="R14" s="108"/>
      <c r="S14" s="108"/>
      <c r="T14" s="108"/>
      <c r="U14" s="108"/>
      <c r="V14" s="108"/>
      <c r="W14" s="108"/>
    </row>
    <row r="15" spans="1:29" x14ac:dyDescent="0.15">
      <c r="A15" s="108" t="s">
        <v>254</v>
      </c>
      <c r="B15" s="111" t="s">
        <v>136</v>
      </c>
      <c r="C15" s="166" t="s">
        <v>253</v>
      </c>
      <c r="D15" s="108" t="s">
        <v>158</v>
      </c>
      <c r="E15" s="107" t="str">
        <f t="shared" si="2"/>
        <v>unit_serifs_i18n_rankingkill.tmp</v>
      </c>
      <c r="F15" s="111" t="s">
        <v>137</v>
      </c>
      <c r="G15" s="115" t="s">
        <v>140</v>
      </c>
      <c r="H15" s="116" t="s">
        <v>141</v>
      </c>
      <c r="I15" s="116" t="s">
        <v>142</v>
      </c>
      <c r="J15" s="108"/>
      <c r="K15" s="108"/>
      <c r="L15" s="108"/>
      <c r="M15" s="108"/>
      <c r="N15" s="108"/>
      <c r="O15" s="108"/>
      <c r="P15" s="108"/>
      <c r="Q15" s="108"/>
      <c r="R15" s="108"/>
      <c r="S15" s="108"/>
      <c r="T15" s="108"/>
      <c r="U15" s="108"/>
      <c r="V15" s="108"/>
      <c r="W15" s="108"/>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9"/>
  <sheetViews>
    <sheetView showGridLines="0" workbookViewId="0">
      <pane xSplit="9" ySplit="1" topLeftCell="AY2" activePane="bottomRight" state="frozen"/>
      <selection pane="topRight" activeCell="J1" sqref="J1"/>
      <selection pane="bottomLeft" activeCell="A3" sqref="A3"/>
      <selection pane="bottomRight" activeCell="A6" sqref="A6:XFD6"/>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lapsed="1"/>
    <col min="19" max="19" width="12.33203125" style="13" hidden="1" customWidth="1" outlineLevel="1"/>
    <col min="20" max="22" width="13.6640625" style="13" hidden="1"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5" bestFit="1" customWidth="1"/>
    <col min="42" max="42" width="14.33203125" style="15" bestFit="1" customWidth="1"/>
    <col min="43" max="43" width="20.83203125" style="13" customWidth="1" collapsed="1"/>
    <col min="44" max="44" width="80.6640625" style="13" hidden="1" customWidth="1" outlineLevel="1"/>
    <col min="45" max="45" width="6.83203125" style="13" customWidth="1"/>
    <col min="46" max="46" width="15.6640625" style="12" bestFit="1" customWidth="1"/>
    <col min="47" max="47" width="43.6640625" style="13" customWidth="1" collapsed="1"/>
    <col min="48" max="48" width="43.6640625" style="13" hidden="1" customWidth="1" outlineLevel="1"/>
    <col min="49" max="49" width="6.83203125" style="13" customWidth="1"/>
    <col min="50" max="50" width="11.33203125" style="13" bestFit="1" customWidth="1"/>
    <col min="51" max="54" width="8.33203125" style="12" customWidth="1"/>
    <col min="55" max="55" width="12" style="13" bestFit="1" customWidth="1"/>
    <col min="56" max="56" width="12" style="13" bestFit="1" customWidth="1" collapsed="1"/>
    <col min="57" max="57" width="14.33203125" style="13" hidden="1" customWidth="1" outlineLevel="1"/>
    <col min="58" max="58" width="16.1640625" style="13" hidden="1"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70" width="8.83203125" style="12" bestFit="1" customWidth="1"/>
    <col min="71" max="16384" width="8.83203125" style="12"/>
  </cols>
  <sheetData>
    <row r="1" spans="1:70" ht="21" customHeight="1" x14ac:dyDescent="0.15">
      <c r="A1" s="80" t="s">
        <v>108</v>
      </c>
      <c r="B1" s="82" t="s">
        <v>44</v>
      </c>
      <c r="C1" s="85" t="s">
        <v>27</v>
      </c>
      <c r="D1" s="85" t="s">
        <v>30</v>
      </c>
      <c r="E1" s="85" t="s">
        <v>28</v>
      </c>
      <c r="F1" s="85" t="s">
        <v>29</v>
      </c>
      <c r="G1" s="80" t="s">
        <v>1</v>
      </c>
      <c r="H1" s="83" t="s">
        <v>19</v>
      </c>
      <c r="I1" s="84" t="s">
        <v>0</v>
      </c>
      <c r="J1" s="86" t="s">
        <v>49</v>
      </c>
      <c r="K1" s="86" t="s">
        <v>48</v>
      </c>
      <c r="L1" s="86" t="s">
        <v>50</v>
      </c>
      <c r="M1" s="86" t="s">
        <v>51</v>
      </c>
      <c r="N1" s="80" t="s">
        <v>3</v>
      </c>
      <c r="O1" s="87" t="s">
        <v>2</v>
      </c>
      <c r="P1" s="80" t="s">
        <v>97</v>
      </c>
      <c r="Q1" s="88" t="s">
        <v>18</v>
      </c>
      <c r="R1" s="79" t="s">
        <v>52</v>
      </c>
      <c r="S1" s="89" t="s">
        <v>23</v>
      </c>
      <c r="T1" s="89" t="s">
        <v>24</v>
      </c>
      <c r="U1" s="89" t="s">
        <v>26</v>
      </c>
      <c r="V1" s="89" t="s">
        <v>25</v>
      </c>
      <c r="W1" s="84" t="s">
        <v>32</v>
      </c>
      <c r="X1" s="85" t="s">
        <v>53</v>
      </c>
      <c r="Y1" s="84" t="s">
        <v>33</v>
      </c>
      <c r="Z1" s="85" t="s">
        <v>53</v>
      </c>
      <c r="AA1" s="86" t="s">
        <v>23</v>
      </c>
      <c r="AB1" s="86" t="s">
        <v>24</v>
      </c>
      <c r="AC1" s="86" t="s">
        <v>26</v>
      </c>
      <c r="AD1" s="86" t="s">
        <v>25</v>
      </c>
      <c r="AE1" s="90" t="s">
        <v>100</v>
      </c>
      <c r="AF1" s="79" t="s">
        <v>45</v>
      </c>
      <c r="AG1" s="91" t="s">
        <v>58</v>
      </c>
      <c r="AH1" s="79" t="s">
        <v>45</v>
      </c>
      <c r="AI1" s="91" t="s">
        <v>46</v>
      </c>
      <c r="AJ1" s="81" t="s">
        <v>67</v>
      </c>
      <c r="AK1" s="79" t="s">
        <v>21</v>
      </c>
      <c r="AL1" s="92" t="s">
        <v>68</v>
      </c>
      <c r="AM1" s="93" t="s">
        <v>66</v>
      </c>
      <c r="AN1" s="93" t="s">
        <v>69</v>
      </c>
      <c r="AO1" s="94" t="s">
        <v>31</v>
      </c>
      <c r="AP1" s="90" t="s">
        <v>20</v>
      </c>
      <c r="AQ1" s="95" t="s">
        <v>113</v>
      </c>
      <c r="AR1" s="95" t="s">
        <v>107</v>
      </c>
      <c r="AS1" s="79" t="s">
        <v>104</v>
      </c>
      <c r="AT1" s="90" t="s">
        <v>102</v>
      </c>
      <c r="AU1" s="79" t="s">
        <v>110</v>
      </c>
      <c r="AV1" s="95" t="s">
        <v>107</v>
      </c>
      <c r="AW1" s="79" t="s">
        <v>104</v>
      </c>
      <c r="AX1" s="85" t="s">
        <v>4</v>
      </c>
      <c r="AY1" s="96" t="s">
        <v>54</v>
      </c>
      <c r="AZ1" s="96" t="s">
        <v>55</v>
      </c>
      <c r="BA1" s="96" t="s">
        <v>114</v>
      </c>
      <c r="BB1" s="96" t="s">
        <v>56</v>
      </c>
      <c r="BC1" s="5" t="s">
        <v>22</v>
      </c>
      <c r="BD1" s="99" t="s">
        <v>34</v>
      </c>
      <c r="BE1" s="97" t="s">
        <v>5</v>
      </c>
      <c r="BF1" s="98" t="s">
        <v>6</v>
      </c>
      <c r="BG1" s="100" t="s">
        <v>70</v>
      </c>
      <c r="BH1" s="100" t="s">
        <v>71</v>
      </c>
      <c r="BI1" s="100" t="s">
        <v>72</v>
      </c>
      <c r="BJ1" s="100" t="s">
        <v>73</v>
      </c>
      <c r="BK1" s="101" t="s">
        <v>74</v>
      </c>
      <c r="BL1" s="101" t="s">
        <v>95</v>
      </c>
      <c r="BM1" s="101" t="s">
        <v>75</v>
      </c>
      <c r="BN1" s="101" t="s">
        <v>76</v>
      </c>
      <c r="BO1" s="102" t="s">
        <v>77</v>
      </c>
      <c r="BP1" s="103" t="s">
        <v>78</v>
      </c>
      <c r="BQ1" s="81" t="s">
        <v>86</v>
      </c>
      <c r="BR1" s="10" t="s">
        <v>378</v>
      </c>
    </row>
    <row r="2" spans="1:70" ht="26" customHeight="1" x14ac:dyDescent="0.15">
      <c r="A2" s="12">
        <v>874</v>
      </c>
      <c r="B2" s="56" t="str">
        <f ca="1">VLOOKUP($A2,OFFSET([1]characters!$A$1,0,0,COUNTA([1]characters!$A:$A),MATCH(B$1,[1]characters!$1:$1,0)-MATCH($A$1,[1]characters!$1:$1,0)+1),MATCH(B$1,[1]characters!$1:$1,0)-MATCH($A$1,[1]characters!$1:$1,0)+1,FALSE)</f>
        <v>フレネル</v>
      </c>
      <c r="C2" s="56" t="str">
        <f ca="1">VLOOKUP($A2,OFFSET([1]characters!$A$1,0,0,COUNTA([1]characters!$A:$A),MATCH(C$1,[1]characters!$1:$1,0)-MATCH($A$1,[1]characters!$1:$1,0)+1),MATCH(C$1,[1]characters!$1:$1,0)-MATCH($A$1,[1]characters!$1:$1,0)+1,FALSE)</f>
        <v>各属性相性良3・黄・R482</v>
      </c>
      <c r="D2" s="56" t="str">
        <f ca="1">VLOOKUP($A2,OFFSET([1]characters!$A$1,0,0,COUNTA([1]characters!$A:$A),MATCH(D$1,[1]characters!$1:$1,0)-MATCH($A$1,[1]characters!$1:$1,0)+1),MATCH(D$1,[1]characters!$1:$1,0)-MATCH($A$1,[1]characters!$1:$1,0)+1,FALSE)</f>
        <v>執行者</v>
      </c>
      <c r="E2" s="56" t="str">
        <f ca="1">VLOOKUP($A2,OFFSET([1]characters!$A$1,0,0,COUNTA([1]characters!$A:$A),MATCH(E$1,[1]characters!$1:$1,0)-MATCH($A$1,[1]characters!$1:$1,0)+1),MATCH(E$1,[1]characters!$1:$1,0)-MATCH($A$1,[1]characters!$1:$1,0)+1,FALSE)</f>
        <v>格好いい</v>
      </c>
      <c r="F2" s="56" t="str">
        <f ca="1">VLOOKUP($A2,OFFSET([1]characters!$A$1,0,0,COUNTA([1]characters!$A:$A),MATCH(F$1,[1]characters!$1:$1,0)-MATCH($A$1,[1]characters!$1:$1,0)+1),MATCH(F$1,[1]characters!$1:$1,0)-MATCH($A$1,[1]characters!$1:$1,0)+1,FALSE)</f>
        <v>男性</v>
      </c>
      <c r="G2" s="56">
        <f ca="1">VLOOKUP($A2,OFFSET([1]characters!$A$1,0,0,COUNTA([1]characters!$A:$A),MATCH(G$1,[1]characters!$1:$1,0)-MATCH($A$1,[1]characters!$1:$1,0)+1),MATCH(G$1,[1]characters!$1:$1,0)-MATCH($A$1,[1]characters!$1:$1,0)+1,FALSE)</f>
        <v>5</v>
      </c>
      <c r="H2" s="56" t="str">
        <f ca="1">VLOOKUP($A2,OFFSET([1]characters!$A$1,0,0,COUNTA([1]characters!$A:$A),MATCH(H$1,[1]characters!$1:$1,0)-MATCH($A$1,[1]characters!$1:$1,0)+1),MATCH(H$1,[1]characters!$1:$1,0)-MATCH($A$1,[1]characters!$1:$1,0)+1,FALSE)</f>
        <v>PremiumSSS</v>
      </c>
      <c r="I2" s="56" t="str">
        <f ca="1">VLOOKUP($A2,OFFSET([1]characters!$A$1,0,0,COUNTA([1]characters!$A:$A),MATCH(I$1,[1]characters!$1:$1,0)-MATCH($A$1,[1]characters!$1:$1,0)+1),MATCH(I$1,[1]characters!$1:$1,0)-MATCH($A$1,[1]characters!$1:$1,0)+1,FALSE)</f>
        <v>yellow</v>
      </c>
      <c r="J2" s="11">
        <f ca="1">VLOOKUP(I2,[1]属性!$A:$E,2,FALSE)</f>
        <v>0.98</v>
      </c>
      <c r="K2" s="11">
        <f ca="1">VLOOKUP(I2,[1]属性!$A:$E,3,FALSE)</f>
        <v>1.01</v>
      </c>
      <c r="L2" s="11">
        <f ca="1">VLOOKUP(I2,[1]属性!$A:$E,4,FALSE)</f>
        <v>1</v>
      </c>
      <c r="M2" s="11">
        <f ca="1">VLOOKUP(I2,[1]属性!$A:$E,5,FALSE)</f>
        <v>1.01</v>
      </c>
      <c r="N2" s="11">
        <f ca="1">INDEX(コスト!$A$1:$I$20,MATCH(H2,コスト!$A$1:$A$20,FALSE),MATCH(G2,コスト!$A$1:$I$1,FALSE))</f>
        <v>40</v>
      </c>
      <c r="O2" s="11">
        <f ca="1">INDEX(レベル!$A$1:$I$21,MATCH(H2,レベル!$A$1:$A$21,FALSE),MATCH(G2,レベル!$A$1:$I$1,FALSE))</f>
        <v>80</v>
      </c>
      <c r="P2" s="47">
        <f ca="1">IF(G2 &gt;= 6, 99,G2*15)</f>
        <v>75</v>
      </c>
      <c r="Q2" s="56" t="str">
        <f ca="1">VLOOKUP($A2,OFFSET([1]characters!$A$1,0,0,COUNTA([1]characters!$A:$A),MATCH(Q$1,[1]characters!$1:$1,0)-MATCH($A$1,[1]characters!$1:$1,0)+1),MATCH(Q$1,[1]characters!$1:$1,0)-MATCH($A$1,[1]characters!$1:$1,0)+1,FALSE)</f>
        <v>attack</v>
      </c>
      <c r="R2" s="5" t="str">
        <f ca="1">VLOOKUP(Q2,[1]character_type_i18n!$A:$H,3,FALSE)</f>
        <v>攻撃タイプ</v>
      </c>
      <c r="S2" s="11">
        <f ca="1">VLOOKUP(Q2,[1]character_type_i18n!$A:$H,4,FALSE)</f>
        <v>1</v>
      </c>
      <c r="T2" s="11">
        <f ca="1">VLOOKUP(Q2,[1]character_type_i18n!$A:$H,5,FALSE)</f>
        <v>1.33</v>
      </c>
      <c r="U2" s="11">
        <f ca="1">VLOOKUP(Q2,[1]character_type_i18n!$A:$H,6,FALSE)</f>
        <v>1</v>
      </c>
      <c r="V2" s="11">
        <f ca="1">VLOOKUP(Q2,[1]character_type_i18n!$A:$H,7,FALSE)</f>
        <v>0.67</v>
      </c>
      <c r="W2" s="56" t="str">
        <f ca="1">VLOOKUP($A2,OFFSET([1]characters!$A$1,0,0,COUNTA([1]characters!$A:$A),MATCH(W$1,[1]characters!$1:$1,0)-MATCH($A$1,[1]characters!$1:$1,0)+1),MATCH(W$1,[1]characters!$1:$1,0)-MATCH($A$1,[1]characters!$1:$1,0)+1,FALSE)</f>
        <v>academia</v>
      </c>
      <c r="X2" s="5" t="str">
        <f ca="1">VLOOKUP(W2,[1]character_tribe_i18n!$A:$H,3,FALSE)</f>
        <v>アカデミア</v>
      </c>
      <c r="Y2" s="56" t="str">
        <f ca="1">VLOOKUP($A2,OFFSET([1]characters!$A$1,0,0,COUNTA([1]characters!$A:$A),MATCH(Y$1,[1]characters!$1:$1,0)-MATCH($A$1,[1]characters!$1:$1,0)+1),MATCH(Y$1,[1]characters!$1:$1,0)-MATCH($A$1,[1]characters!$1:$1,0)+1,FALSE)</f>
        <v>machine</v>
      </c>
      <c r="Z2" s="5" t="str">
        <f ca="1">VLOOKUP(Y2,[1]character_tribe_i18n!$A:$H,3,FALSE)</f>
        <v>マシン</v>
      </c>
      <c r="AA2" s="11">
        <f ca="1">VLOOKUP(W2,[1]character_tribe_i18n!$A:$H,4,FALSE)</f>
        <v>1</v>
      </c>
      <c r="AB2" s="11">
        <f ca="1">VLOOKUP(W2,[1]character_tribe_i18n!$A:$H,5,FALSE)</f>
        <v>1</v>
      </c>
      <c r="AC2" s="11">
        <f ca="1">VLOOKUP(W2,[1]character_tribe_i18n!$A:$H,6,FALSE)</f>
        <v>1</v>
      </c>
      <c r="AD2" s="11">
        <f ca="1">VLOOKUP(W2,[1]character_tribe_i18n!$A:$H,7,FALSE)</f>
        <v>1</v>
      </c>
      <c r="AE2" s="9">
        <v>875</v>
      </c>
      <c r="AF2" s="61" t="str">
        <f ca="1">IF(AE2="NULL","",VLOOKUP($AE2,OFFSET([1]characters!$A$1,0,0,COUNTA([1]characters!$A:$A),MATCH(AF$1,[1]characters!$1:$1,0)-MATCH($A$1,[1]characters!$1:$1,0)+1),MATCH(AF$1,[1]characters!$1:$1,0)-MATCH($A$1,[1]characters!$1:$1,0)+1,FALSE))</f>
        <v>覇導の光跡 フレネル</v>
      </c>
      <c r="AG2" s="5">
        <f t="shared" ref="AG2:AG7" ca="1" si="0">IF(ISNA(MATCH(A2,AE:AE,0)),A2,INDIRECT(ADDRESS(MATCH(A2,AE:AE,0),COLUMN())))</f>
        <v>874</v>
      </c>
      <c r="AH2" s="61" t="str">
        <f ca="1">VLOOKUP($AG2,OFFSET([1]characters!$A$1,0,0,COUNTA([1]characters!$A:$A),MATCH(AH$1,[1]characters!$1:$1,0)-MATCH($A$1,[1]characters!$1:$1,0)+1),MATCH(AH$1,[1]characters!$1:$1,0)-MATCH($A$1,[1]characters!$1:$1,0)+1,FALSE)</f>
        <v>フレネル</v>
      </c>
      <c r="AI2" s="11">
        <f ca="1">IF(AE2="NULL","NULL",VLOOKUP(G2,ビット!$A$2:$B$7,2))</f>
        <v>200000</v>
      </c>
      <c r="AJ2" s="6">
        <v>2</v>
      </c>
      <c r="AK2" s="7" t="str">
        <f t="shared" ref="AK2:AK3" si="1">IF(AJ2=1,"早熟",IF(AJ2=2,"普通",IF(AJ2=3,"晩成","")))</f>
        <v>普通</v>
      </c>
      <c r="AL2" s="11" t="str">
        <f ca="1">INDEX(経験値!$A$1:$I$20,MATCH(H2,経験値!$A$1:$A$20,FALSE),MATCH(G2,経験値!$A$1:$I$1,FALSE))</f>
        <v>required_exp_250</v>
      </c>
      <c r="AM2" s="8">
        <f ca="1">VLOOKUP(G2,経験値!$A$27:$B$31,2)</f>
        <v>6400</v>
      </c>
      <c r="AN2" s="17">
        <f ca="1">VLOOKUP(G2,ビット!$G$2:$H$7,2)</f>
        <v>900</v>
      </c>
      <c r="AO2" s="44"/>
      <c r="AP2" s="66">
        <f t="shared" ref="AP2:AP9" si="2">A2</f>
        <v>874</v>
      </c>
      <c r="AQ2" s="56" t="str">
        <f ca="1">VLOOKUP($AP2,OFFSET(unit_skills!$A$1,0,0,COUNTA(unit_skills!$A:$A),MATCH(AQ$1,unit_skills!$1:$1,0)-MATCH($AP$1,unit_skills!$1:$1,0)+1),MATCH(AQ$1,unit_skills!$1:$1,0)-MATCH($AP$1,unit_skills!$1:$1,0)+1,FALSE)</f>
        <v>波動伝播ディフラクション</v>
      </c>
      <c r="AR2" s="56" t="str">
        <f ca="1">VLOOKUP($AP2,OFFSET(unit_skills!$A$1,0,0,COUNTA(unit_skills!$A:$A),MATCH(AR$1,unit_skills!$1:$1,0)-MATCH($AP$1,unit_skills!$1:$1,0)+1),MATCH(AR$1,unit_skills!$1:$1,0)-MATCH($AP$1,unit_skills!$1:$1,0)+1,FALSE)</f>
        <v>1ターンの間、黄パネルの出現率を大UP+Cパネル生成短縮(特大)+自身の攻撃力超大UP</v>
      </c>
      <c r="AS2" s="56">
        <f ca="1">VLOOKUP($AP2,OFFSET(unit_skills!$A$1,0,0,COUNTA(unit_skills!$A:$A),MATCH(AS$1,unit_skills!$1:$1,0)-MATCH($AP$1,unit_skills!$1:$1,0)+1),MATCH(AS$1,unit_skills!$1:$1,0)-MATCH($AP$1,unit_skills!$1:$1,0)+1,FALSE)</f>
        <v>0</v>
      </c>
      <c r="AT2" s="40">
        <f t="shared" ref="AT2:AT9" si="3">A2</f>
        <v>874</v>
      </c>
      <c r="AU2" s="56" t="str">
        <f ca="1">VLOOKUP($AT2,OFFSET(crash_skills!$A$1,0,0,COUNTA(crash_skills!$A:$A),MATCH(AU$1,crash_skills!$1:$1,0)-MATCH($AT$1,crash_skills!$1:$1,0)+1),MATCH(AU$1,crash_skills!$1:$1,0)-MATCH($AT$1,crash_skills!$1:$1,0)+1,FALSE)</f>
        <v>レンズ・オブ・サンクション</v>
      </c>
      <c r="AV2" s="56" t="str">
        <f ca="1">VLOOKUP($AT2,OFFSET(crash_skills!$A$1,0,0,COUNTA(crash_skills!$A:$A),MATCH(AV$1,crash_skills!$1:$1,0)-MATCH($AT$1,crash_skills!$1:$1,0)+1),MATCH(AV$1,crash_skills!$1:$1,0)-MATCH($AT$1,crash_skills!$1:$1,0)+1,FALSE)</f>
        <v>1体に特大ダメージ</v>
      </c>
      <c r="AW2" s="56">
        <f ca="1">VLOOKUP($AT2,OFFSET(crash_skills!$A$1,0,0,COUNTA(crash_skills!$A:$A),MATCH(AW$1,crash_skills!$1:$1,0)-MATCH($AT$1,crash_skills!$1:$1,0)+1),MATCH(AW$1,crash_skills!$1:$1,0)-MATCH($AT$1,crash_skills!$1:$1,0)+1,FALSE)</f>
        <v>0</v>
      </c>
      <c r="AX2" s="57">
        <f ca="1">VLOOKUP($A2,OFFSET([1]characters!$A$1,0,0,COUNTA([1]characters!$A:$A),MATCH(AX$1,[1]characters!$1:$1,0)-MATCH($A$1,[1]characters!$1:$1,0)+1),MATCH(AX$1,[1]characters!$1:$1,0)-MATCH($A$1,[1]characters!$1:$1,0)+1,FALSE)</f>
        <v>3</v>
      </c>
      <c r="AY2" s="67">
        <v>0.95</v>
      </c>
      <c r="AZ2" s="67">
        <v>0.96</v>
      </c>
      <c r="BA2" s="67">
        <v>0</v>
      </c>
      <c r="BB2" s="67">
        <v>0.95</v>
      </c>
      <c r="BC2" s="11">
        <f ca="1">INDEX('RC6SV'!$A$1:$G$20,MATCH(H2,'RC6SV'!$A$1:$A$20,FALSE),MATCH(G2,'RC6SV'!$A$1:$G$1,FALSE))</f>
        <v>10000</v>
      </c>
      <c r="BD2" s="47">
        <f t="shared" ref="BD2:BD3" ca="1" si="4">ROUND(BC2*IF(AJ2=1,0.95,IF(AJ2=2,1,IF(AJ2,1.05,0))),0)</f>
        <v>10000</v>
      </c>
      <c r="BE2" s="11">
        <f t="shared" ref="BE2:BE9" ca="1" si="5">ROUND(IFERROR(INDIRECT(ADDRESS(MATCH($A2,$AE:$AE,0),MATCH($BC$1,$1:$1,0))),0),0)</f>
        <v>0</v>
      </c>
      <c r="BF2" s="11">
        <f t="shared" ref="BF2:BF9" ca="1" si="6">ROUND(IFERROR(INDIRECT(ADDRESS(MATCH($A2,$AE:$AE,0),10)),INDIRECT(ADDRESS(MATCH($A2,$A:$A,0),10))),0)</f>
        <v>1</v>
      </c>
      <c r="BG2" s="16">
        <f ca="1">IF($BE2&lt;=0,ROUND(BK2*0.5,0), ROUND($BE2*S2*AA2*J2*AY2*0.8*[1]ステータス!$B$2,0))</f>
        <v>2328</v>
      </c>
      <c r="BH2" s="16">
        <f ca="1">IF($BE2&lt;=0,ROUND(BL2*0.5,0), ROUND($BE2*T2*AB2*K2*AZ2*0.8*[1]ステータス!$C$2,0))</f>
        <v>1935</v>
      </c>
      <c r="BI2" s="16">
        <f ca="1">IF($BE2&lt;=0,ROUND(BM2*0.5,0), ROUND($BE2*U2*AC2*L2*BA2*0.8*[1]ステータス!$D$2,0))</f>
        <v>0</v>
      </c>
      <c r="BJ2" s="16">
        <f ca="1">IF($BE2&lt;=0,ROUND(BN2*0.5,0), ROUND($BE2*V2*AD2*M2*BB2*0.8*[1]ステータス!$E$2,0))</f>
        <v>804</v>
      </c>
      <c r="BK2" s="11">
        <f ca="1">ROUND(BD2*S2*AA2*J2*AY2*[1]ステータス!$B$2,0)</f>
        <v>4655</v>
      </c>
      <c r="BL2" s="11">
        <f ca="1">ROUND(BD2*T2*AB2*K2*AZ2*[1]ステータス!$C$2,0)</f>
        <v>3869</v>
      </c>
      <c r="BM2" s="11">
        <f ca="1">ROUND(BD2*U2*AC2*L2*BA2*[1]ステータス!$D$2,0)</f>
        <v>0</v>
      </c>
      <c r="BN2" s="11">
        <f ca="1">ROUND(BD2*V2*AD2*M2*BB2*[1]ステータス!$E$2,0)</f>
        <v>1607</v>
      </c>
      <c r="BO2" s="10">
        <v>0</v>
      </c>
      <c r="BP2" s="10">
        <v>1</v>
      </c>
      <c r="BQ2" s="10" t="s">
        <v>47</v>
      </c>
      <c r="BR2" s="198">
        <v>5500</v>
      </c>
    </row>
    <row r="3" spans="1:70" ht="26" customHeight="1" x14ac:dyDescent="0.15">
      <c r="A3" s="12">
        <v>875</v>
      </c>
      <c r="B3" s="56" t="str">
        <f ca="1">VLOOKUP($A3,OFFSET([1]characters!$A$1,0,0,COUNTA([1]characters!$A:$A),MATCH(B$1,[1]characters!$1:$1,0)-MATCH($A$1,[1]characters!$1:$1,0)+1),MATCH(B$1,[1]characters!$1:$1,0)-MATCH($A$1,[1]characters!$1:$1,0)+1,FALSE)</f>
        <v>覇導の光跡 フレネル</v>
      </c>
      <c r="C3" s="56" t="str">
        <f ca="1">VLOOKUP($A3,OFFSET([1]characters!$A$1,0,0,COUNTA([1]characters!$A:$A),MATCH(C$1,[1]characters!$1:$1,0)-MATCH($A$1,[1]characters!$1:$1,0)+1),MATCH(C$1,[1]characters!$1:$1,0)-MATCH($A$1,[1]characters!$1:$1,0)+1,FALSE)</f>
        <v>各属性相性良3・黄・R483</v>
      </c>
      <c r="D3" s="56" t="str">
        <f ca="1">VLOOKUP($A3,OFFSET([1]characters!$A$1,0,0,COUNTA([1]characters!$A:$A),MATCH(D$1,[1]characters!$1:$1,0)-MATCH($A$1,[1]characters!$1:$1,0)+1),MATCH(D$1,[1]characters!$1:$1,0)-MATCH($A$1,[1]characters!$1:$1,0)+1,FALSE)</f>
        <v>執行者</v>
      </c>
      <c r="E3" s="56" t="str">
        <f ca="1">VLOOKUP($A3,OFFSET([1]characters!$A$1,0,0,COUNTA([1]characters!$A:$A),MATCH(E$1,[1]characters!$1:$1,0)-MATCH($A$1,[1]characters!$1:$1,0)+1),MATCH(E$1,[1]characters!$1:$1,0)-MATCH($A$1,[1]characters!$1:$1,0)+1,FALSE)</f>
        <v>格好いい</v>
      </c>
      <c r="F3" s="56" t="str">
        <f ca="1">VLOOKUP($A3,OFFSET([1]characters!$A$1,0,0,COUNTA([1]characters!$A:$A),MATCH(F$1,[1]characters!$1:$1,0)-MATCH($A$1,[1]characters!$1:$1,0)+1),MATCH(F$1,[1]characters!$1:$1,0)-MATCH($A$1,[1]characters!$1:$1,0)+1,FALSE)</f>
        <v>男性</v>
      </c>
      <c r="G3" s="56">
        <f ca="1">VLOOKUP($A3,OFFSET([1]characters!$A$1,0,0,COUNTA([1]characters!$A:$A),MATCH(G$1,[1]characters!$1:$1,0)-MATCH($A$1,[1]characters!$1:$1,0)+1),MATCH(G$1,[1]characters!$1:$1,0)-MATCH($A$1,[1]characters!$1:$1,0)+1,FALSE)</f>
        <v>6</v>
      </c>
      <c r="H3" s="56" t="str">
        <f ca="1">VLOOKUP($A3,OFFSET([1]characters!$A$1,0,0,COUNTA([1]characters!$A:$A),MATCH(H$1,[1]characters!$1:$1,0)-MATCH($A$1,[1]characters!$1:$1,0)+1),MATCH(H$1,[1]characters!$1:$1,0)-MATCH($A$1,[1]characters!$1:$1,0)+1,FALSE)</f>
        <v>PremiumSSS</v>
      </c>
      <c r="I3" s="56" t="str">
        <f ca="1">VLOOKUP($A3,OFFSET([1]characters!$A$1,0,0,COUNTA([1]characters!$A:$A),MATCH(I$1,[1]characters!$1:$1,0)-MATCH($A$1,[1]characters!$1:$1,0)+1),MATCH(I$1,[1]characters!$1:$1,0)-MATCH($A$1,[1]characters!$1:$1,0)+1,FALSE)</f>
        <v>yellow</v>
      </c>
      <c r="J3" s="11">
        <f ca="1">VLOOKUP(I3,[1]属性!$A:$E,2,FALSE)</f>
        <v>0.98</v>
      </c>
      <c r="K3" s="11">
        <f ca="1">VLOOKUP(I3,[1]属性!$A:$E,3,FALSE)</f>
        <v>1.01</v>
      </c>
      <c r="L3" s="11">
        <f ca="1">VLOOKUP(I3,[1]属性!$A:$E,4,FALSE)</f>
        <v>1</v>
      </c>
      <c r="M3" s="11">
        <f ca="1">VLOOKUP(I3,[1]属性!$A:$E,5,FALSE)</f>
        <v>1.01</v>
      </c>
      <c r="N3" s="11">
        <f ca="1">INDEX(コスト!$A$1:$I$20,MATCH(H3,コスト!$A$1:$A$20,FALSE),MATCH(G3,コスト!$A$1:$I$1,FALSE))</f>
        <v>55</v>
      </c>
      <c r="O3" s="11">
        <f ca="1">INDEX(レベル!$A$1:$I$21,MATCH(H3,レベル!$A$1:$A$21,FALSE),MATCH(G3,レベル!$A$1:$I$1,FALSE))</f>
        <v>99</v>
      </c>
      <c r="P3" s="47">
        <f t="shared" ref="P3" ca="1" si="7">IF(G3 &gt;= 6, 99,G3*15)</f>
        <v>99</v>
      </c>
      <c r="Q3" s="56" t="str">
        <f ca="1">VLOOKUP($A3,OFFSET([1]characters!$A$1,0,0,COUNTA([1]characters!$A:$A),MATCH(Q$1,[1]characters!$1:$1,0)-MATCH($A$1,[1]characters!$1:$1,0)+1),MATCH(Q$1,[1]characters!$1:$1,0)-MATCH($A$1,[1]characters!$1:$1,0)+1,FALSE)</f>
        <v>attack</v>
      </c>
      <c r="R3" s="5" t="str">
        <f ca="1">VLOOKUP(Q3,[1]character_type_i18n!$A:$H,3,FALSE)</f>
        <v>攻撃タイプ</v>
      </c>
      <c r="S3" s="11">
        <f ca="1">VLOOKUP(Q3,[1]character_type_i18n!$A:$H,4,FALSE)</f>
        <v>1</v>
      </c>
      <c r="T3" s="11">
        <f ca="1">VLOOKUP(Q3,[1]character_type_i18n!$A:$H,5,FALSE)</f>
        <v>1.33</v>
      </c>
      <c r="U3" s="11">
        <f ca="1">VLOOKUP(Q3,[1]character_type_i18n!$A:$H,6,FALSE)</f>
        <v>1</v>
      </c>
      <c r="V3" s="11">
        <f ca="1">VLOOKUP(Q3,[1]character_type_i18n!$A:$H,7,FALSE)</f>
        <v>0.67</v>
      </c>
      <c r="W3" s="56" t="str">
        <f ca="1">VLOOKUP($A3,OFFSET([1]characters!$A$1,0,0,COUNTA([1]characters!$A:$A),MATCH(W$1,[1]characters!$1:$1,0)-MATCH($A$1,[1]characters!$1:$1,0)+1),MATCH(W$1,[1]characters!$1:$1,0)-MATCH($A$1,[1]characters!$1:$1,0)+1,FALSE)</f>
        <v>academia</v>
      </c>
      <c r="X3" s="5" t="str">
        <f ca="1">VLOOKUP(W3,[1]character_tribe_i18n!$A:$H,3,FALSE)</f>
        <v>アカデミア</v>
      </c>
      <c r="Y3" s="56" t="str">
        <f ca="1">VLOOKUP($A3,OFFSET([1]characters!$A$1,0,0,COUNTA([1]characters!$A:$A),MATCH(Y$1,[1]characters!$1:$1,0)-MATCH($A$1,[1]characters!$1:$1,0)+1),MATCH(Y$1,[1]characters!$1:$1,0)-MATCH($A$1,[1]characters!$1:$1,0)+1,FALSE)</f>
        <v>machine</v>
      </c>
      <c r="Z3" s="5" t="str">
        <f ca="1">VLOOKUP(Y3,[1]character_tribe_i18n!$A:$H,3,FALSE)</f>
        <v>マシン</v>
      </c>
      <c r="AA3" s="11">
        <f ca="1">VLOOKUP(W3,[1]character_tribe_i18n!$A:$H,4,FALSE)</f>
        <v>1</v>
      </c>
      <c r="AB3" s="11">
        <f ca="1">VLOOKUP(W3,[1]character_tribe_i18n!$A:$H,5,FALSE)</f>
        <v>1</v>
      </c>
      <c r="AC3" s="11">
        <f ca="1">VLOOKUP(W3,[1]character_tribe_i18n!$A:$H,6,FALSE)</f>
        <v>1</v>
      </c>
      <c r="AD3" s="11">
        <f ca="1">VLOOKUP(W3,[1]character_tribe_i18n!$A:$H,7,FALSE)</f>
        <v>1</v>
      </c>
      <c r="AE3" s="9" t="s">
        <v>183</v>
      </c>
      <c r="AF3" s="61" t="str">
        <f ca="1">IF(AE3="NULL","",VLOOKUP($AE3,OFFSET([1]characters!$A$1,0,0,COUNTA([1]characters!$A:$A),MATCH(AF$1,[1]characters!$1:$1,0)-MATCH($A$1,[1]characters!$1:$1,0)+1),MATCH(AF$1,[1]characters!$1:$1,0)-MATCH($A$1,[1]characters!$1:$1,0)+1,FALSE))</f>
        <v/>
      </c>
      <c r="AG3" s="5">
        <f t="shared" ca="1" si="0"/>
        <v>874</v>
      </c>
      <c r="AH3" s="61" t="str">
        <f ca="1">VLOOKUP($AG3,OFFSET([1]characters!$A$1,0,0,COUNTA([1]characters!$A:$A),MATCH(AH$1,[1]characters!$1:$1,0)-MATCH($A$1,[1]characters!$1:$1,0)+1),MATCH(AH$1,[1]characters!$1:$1,0)-MATCH($A$1,[1]characters!$1:$1,0)+1,FALSE)</f>
        <v>フレネル</v>
      </c>
      <c r="AI3" s="11" t="str">
        <f>IF(AE3="NULL","NULL",VLOOKUP(G3,ビット!$A$2:$B$7,2))</f>
        <v>NULL</v>
      </c>
      <c r="AJ3" s="6">
        <v>2</v>
      </c>
      <c r="AK3" s="7" t="str">
        <f t="shared" si="1"/>
        <v>普通</v>
      </c>
      <c r="AL3" s="11" t="str">
        <f ca="1">INDEX(経験値!$A$1:$I$20,MATCH(H3,経験値!$A$1:$A$20,FALSE),MATCH(G3,経験値!$A$1:$I$1,FALSE))</f>
        <v>required_exp_300</v>
      </c>
      <c r="AM3" s="8">
        <f ca="1">VLOOKUP(G3,経験値!$A$27:$B$31,2)</f>
        <v>6400</v>
      </c>
      <c r="AN3" s="17">
        <f ca="1">VLOOKUP(G3,ビット!$G$2:$H$7,2)</f>
        <v>900</v>
      </c>
      <c r="AO3" s="44"/>
      <c r="AP3" s="66">
        <f t="shared" si="2"/>
        <v>875</v>
      </c>
      <c r="AQ3" s="56" t="str">
        <f ca="1">VLOOKUP($AP3,OFFSET(unit_skills!$A$1,0,0,COUNTA(unit_skills!$A:$A),MATCH(AQ$1,unit_skills!$1:$1,0)-MATCH($AP$1,unit_skills!$1:$1,0)+1),MATCH(AQ$1,unit_skills!$1:$1,0)-MATCH($AP$1,unit_skills!$1:$1,0)+1,FALSE)</f>
        <v>波動伝播ディフラクション</v>
      </c>
      <c r="AR3" s="56" t="str">
        <f ca="1">VLOOKUP($AP3,OFFSET(unit_skills!$A$1,0,0,COUNTA(unit_skills!$A:$A),MATCH(AR$1,unit_skills!$1:$1,0)-MATCH($AP$1,unit_skills!$1:$1,0)+1),MATCH(AR$1,unit_skills!$1:$1,0)-MATCH($AP$1,unit_skills!$1:$1,0)+1,FALSE)</f>
        <v>1ターンの間、黄パネルの出現率を大UP+Cパネル生成短縮(特大)+自身の攻撃力超大UP</v>
      </c>
      <c r="AS3" s="56">
        <f ca="1">VLOOKUP($AP3,OFFSET(unit_skills!$A$1,0,0,COUNTA(unit_skills!$A:$A),MATCH(AS$1,unit_skills!$1:$1,0)-MATCH($AP$1,unit_skills!$1:$1,0)+1),MATCH(AS$1,unit_skills!$1:$1,0)-MATCH($AP$1,unit_skills!$1:$1,0)+1,FALSE)</f>
        <v>0</v>
      </c>
      <c r="AT3" s="40">
        <f t="shared" si="3"/>
        <v>875</v>
      </c>
      <c r="AU3" s="56" t="str">
        <f ca="1">VLOOKUP($AT3,OFFSET(crash_skills!$A$1,0,0,COUNTA(crash_skills!$A:$A),MATCH(AU$1,crash_skills!$1:$1,0)-MATCH($AT$1,crash_skills!$1:$1,0)+1),MATCH(AU$1,crash_skills!$1:$1,0)-MATCH($AT$1,crash_skills!$1:$1,0)+1,FALSE)</f>
        <v>レンズ・オブ・サンクション</v>
      </c>
      <c r="AV3" s="56" t="str">
        <f ca="1">VLOOKUP($AT3,OFFSET(crash_skills!$A$1,0,0,COUNTA(crash_skills!$A:$A),MATCH(AV$1,crash_skills!$1:$1,0)-MATCH($AT$1,crash_skills!$1:$1,0)+1),MATCH(AV$1,crash_skills!$1:$1,0)-MATCH($AT$1,crash_skills!$1:$1,0)+1,FALSE)</f>
        <v>1体に特大ダメージ</v>
      </c>
      <c r="AW3" s="56">
        <f ca="1">VLOOKUP($AT3,OFFSET(crash_skills!$A$1,0,0,COUNTA(crash_skills!$A:$A),MATCH(AW$1,crash_skills!$1:$1,0)-MATCH($AT$1,crash_skills!$1:$1,0)+1),MATCH(AW$1,crash_skills!$1:$1,0)-MATCH($AT$1,crash_skills!$1:$1,0)+1,FALSE)</f>
        <v>0</v>
      </c>
      <c r="AX3" s="57">
        <f ca="1">VLOOKUP($A3,OFFSET([1]characters!$A$1,0,0,COUNTA([1]characters!$A:$A),MATCH(AX$1,[1]characters!$1:$1,0)-MATCH($A$1,[1]characters!$1:$1,0)+1),MATCH(AX$1,[1]characters!$1:$1,0)-MATCH($A$1,[1]characters!$1:$1,0)+1,FALSE)</f>
        <v>3</v>
      </c>
      <c r="AY3" s="67">
        <v>0.95</v>
      </c>
      <c r="AZ3" s="67">
        <v>0.96</v>
      </c>
      <c r="BA3" s="67">
        <v>0</v>
      </c>
      <c r="BB3" s="67">
        <v>0.95</v>
      </c>
      <c r="BC3" s="11">
        <f ca="1">INDEX('RC6SV'!$A$1:$G$20,MATCH(H3,'RC6SV'!$A$1:$A$20,FALSE),MATCH(G3,'RC6SV'!$A$1:$G$1,FALSE))</f>
        <v>14000</v>
      </c>
      <c r="BD3" s="47">
        <f t="shared" ca="1" si="4"/>
        <v>14000</v>
      </c>
      <c r="BE3" s="11">
        <f t="shared" ca="1" si="5"/>
        <v>10000</v>
      </c>
      <c r="BF3" s="11">
        <f t="shared" ca="1" si="6"/>
        <v>1</v>
      </c>
      <c r="BG3" s="16">
        <f ca="1">IF($BE3&lt;=0,ROUND(BK3*0.5,0), ROUND($BE3*S3*AA3*J3*AY3*0.8*[1]ステータス!$B$2,0))</f>
        <v>3724</v>
      </c>
      <c r="BH3" s="16">
        <f ca="1">IF($BE3&lt;=0,ROUND(BL3*0.5,0), ROUND($BE3*T3*AB3*K3*AZ3*0.8*[1]ステータス!$C$2,0))</f>
        <v>3095</v>
      </c>
      <c r="BI3" s="16">
        <f ca="1">IF($BE3&lt;=0,ROUND(BM3*0.5,0), ROUND($BE3*U3*AC3*L3*BA3*0.8*[1]ステータス!$D$2,0))</f>
        <v>0</v>
      </c>
      <c r="BJ3" s="16">
        <f ca="1">IF($BE3&lt;=0,ROUND(BN3*0.5,0), ROUND($BE3*V3*AD3*M3*BB3*0.8*[1]ステータス!$E$2,0))</f>
        <v>1286</v>
      </c>
      <c r="BK3" s="11">
        <f ca="1">ROUND(BD3*S3*AA3*J3*AY3*[1]ステータス!$B$2,0)</f>
        <v>6517</v>
      </c>
      <c r="BL3" s="11">
        <f ca="1">ROUND(BD3*T3*AB3*K3*AZ3*[1]ステータス!$C$2,0)</f>
        <v>5416</v>
      </c>
      <c r="BM3" s="11">
        <f ca="1">ROUND(BD3*U3*AC3*L3*BA3*[1]ステータス!$D$2,0)</f>
        <v>0</v>
      </c>
      <c r="BN3" s="11">
        <f ca="1">ROUND(BD3*V3*AD3*M3*BB3*[1]ステータス!$E$2,0)</f>
        <v>2250</v>
      </c>
      <c r="BO3" s="10">
        <v>0</v>
      </c>
      <c r="BP3" s="10">
        <v>1</v>
      </c>
      <c r="BQ3" s="10" t="s">
        <v>47</v>
      </c>
      <c r="BR3" s="198">
        <v>5500</v>
      </c>
    </row>
    <row r="4" spans="1:70" ht="26" customHeight="1" x14ac:dyDescent="0.15">
      <c r="A4" s="12">
        <v>958</v>
      </c>
      <c r="B4" s="56" t="str">
        <f ca="1">VLOOKUP($A4,OFFSET([1]characters!$A$1,0,0,COUNTA([1]characters!$A:$A),MATCH(B$1,[1]characters!$1:$1,0)-MATCH($A$1,[1]characters!$1:$1,0)+1),MATCH(B$1,[1]characters!$1:$1,0)-MATCH($A$1,[1]characters!$1:$1,0)+1,FALSE)</f>
        <v>ド・モルガン</v>
      </c>
      <c r="C4" s="56" t="str">
        <f ca="1">VLOOKUP($A4,OFFSET([1]characters!$A$1,0,0,COUNTA([1]characters!$A:$A),MATCH(C$1,[1]characters!$1:$1,0)-MATCH($A$1,[1]characters!$1:$1,0)+1),MATCH(C$1,[1]characters!$1:$1,0)-MATCH($A$1,[1]characters!$1:$1,0)+1,FALSE)</f>
        <v>各属性相性良3・黄・R562</v>
      </c>
      <c r="D4" s="56" t="str">
        <f ca="1">VLOOKUP($A4,OFFSET([1]characters!$A$1,0,0,COUNTA([1]characters!$A:$A),MATCH(D$1,[1]characters!$1:$1,0)-MATCH($A$1,[1]characters!$1:$1,0)+1),MATCH(D$1,[1]characters!$1:$1,0)-MATCH($A$1,[1]characters!$1:$1,0)+1,FALSE)</f>
        <v>執行者</v>
      </c>
      <c r="E4" s="56" t="str">
        <f ca="1">VLOOKUP($A4,OFFSET([1]characters!$A$1,0,0,COUNTA([1]characters!$A:$A),MATCH(E$1,[1]characters!$1:$1,0)-MATCH($A$1,[1]characters!$1:$1,0)+1),MATCH(E$1,[1]characters!$1:$1,0)-MATCH($A$1,[1]characters!$1:$1,0)+1,FALSE)</f>
        <v>格好いい</v>
      </c>
      <c r="F4" s="56" t="str">
        <f ca="1">VLOOKUP($A4,OFFSET([1]characters!$A$1,0,0,COUNTA([1]characters!$A:$A),MATCH(F$1,[1]characters!$1:$1,0)-MATCH($A$1,[1]characters!$1:$1,0)+1),MATCH(F$1,[1]characters!$1:$1,0)-MATCH($A$1,[1]characters!$1:$1,0)+1,FALSE)</f>
        <v>男性</v>
      </c>
      <c r="G4" s="56">
        <f ca="1">VLOOKUP($A4,OFFSET([1]characters!$A$1,0,0,COUNTA([1]characters!$A:$A),MATCH(G$1,[1]characters!$1:$1,0)-MATCH($A$1,[1]characters!$1:$1,0)+1),MATCH(G$1,[1]characters!$1:$1,0)-MATCH($A$1,[1]characters!$1:$1,0)+1,FALSE)</f>
        <v>5</v>
      </c>
      <c r="H4" s="56" t="str">
        <f ca="1">VLOOKUP($A4,OFFSET([1]characters!$A$1,0,0,COUNTA([1]characters!$A:$A),MATCH(H$1,[1]characters!$1:$1,0)-MATCH($A$1,[1]characters!$1:$1,0)+1),MATCH(H$1,[1]characters!$1:$1,0)-MATCH($A$1,[1]characters!$1:$1,0)+1,FALSE)</f>
        <v>PremiumSSS</v>
      </c>
      <c r="I4" s="56" t="str">
        <f ca="1">VLOOKUP($A4,OFFSET([1]characters!$A$1,0,0,COUNTA([1]characters!$A:$A),MATCH(I$1,[1]characters!$1:$1,0)-MATCH($A$1,[1]characters!$1:$1,0)+1),MATCH(I$1,[1]characters!$1:$1,0)-MATCH($A$1,[1]characters!$1:$1,0)+1,FALSE)</f>
        <v>green</v>
      </c>
      <c r="J4" s="11">
        <f ca="1">VLOOKUP(I4,[1]属性!$A:$E,2,FALSE)</f>
        <v>1.02</v>
      </c>
      <c r="K4" s="11">
        <f ca="1">VLOOKUP(I4,[1]属性!$A:$E,3,FALSE)</f>
        <v>0.98</v>
      </c>
      <c r="L4" s="11">
        <f ca="1">VLOOKUP(I4,[1]属性!$A:$E,4,FALSE)</f>
        <v>1</v>
      </c>
      <c r="M4" s="11">
        <f ca="1">VLOOKUP(I4,[1]属性!$A:$E,5,FALSE)</f>
        <v>1</v>
      </c>
      <c r="N4" s="11">
        <f ca="1">INDEX(コスト!$A$1:$I$20,MATCH(H4,コスト!$A$1:$A$20,FALSE),MATCH(G4,コスト!$A$1:$I$1,FALSE))</f>
        <v>40</v>
      </c>
      <c r="O4" s="11">
        <f ca="1">INDEX(レベル!$A$1:$I$21,MATCH(H4,レベル!$A$1:$A$21,FALSE),MATCH(G4,レベル!$A$1:$I$1,FALSE))</f>
        <v>80</v>
      </c>
      <c r="P4" s="47">
        <f ca="1">IF(G4 &gt;= 6, 99,G4*15)</f>
        <v>75</v>
      </c>
      <c r="Q4" s="56" t="str">
        <f ca="1">VLOOKUP($A4,OFFSET([1]characters!$A$1,0,0,COUNTA([1]characters!$A:$A),MATCH(Q$1,[1]characters!$1:$1,0)-MATCH($A$1,[1]characters!$1:$1,0)+1),MATCH(Q$1,[1]characters!$1:$1,0)-MATCH($A$1,[1]characters!$1:$1,0)+1,FALSE)</f>
        <v>balance</v>
      </c>
      <c r="R4" s="5" t="str">
        <f ca="1">VLOOKUP(Q4,[1]character_type_i18n!$A:$H,3,FALSE)</f>
        <v>バランスタイプ</v>
      </c>
      <c r="S4" s="11">
        <f ca="1">VLOOKUP(Q4,[1]character_type_i18n!$A:$H,4,FALSE)</f>
        <v>1</v>
      </c>
      <c r="T4" s="11">
        <f ca="1">VLOOKUP(Q4,[1]character_type_i18n!$A:$H,5,FALSE)</f>
        <v>1</v>
      </c>
      <c r="U4" s="11">
        <f ca="1">VLOOKUP(Q4,[1]character_type_i18n!$A:$H,6,FALSE)</f>
        <v>1</v>
      </c>
      <c r="V4" s="11">
        <f ca="1">VLOOKUP(Q4,[1]character_type_i18n!$A:$H,7,FALSE)</f>
        <v>1</v>
      </c>
      <c r="W4" s="56" t="str">
        <f ca="1">VLOOKUP($A4,OFFSET([1]characters!$A$1,0,0,COUNTA([1]characters!$A:$A),MATCH(W$1,[1]characters!$1:$1,0)-MATCH($A$1,[1]characters!$1:$1,0)+1),MATCH(W$1,[1]characters!$1:$1,0)-MATCH($A$1,[1]characters!$1:$1,0)+1,FALSE)</f>
        <v>academia</v>
      </c>
      <c r="X4" s="5" t="str">
        <f ca="1">VLOOKUP(W4,[1]character_tribe_i18n!$A:$H,3,FALSE)</f>
        <v>アカデミア</v>
      </c>
      <c r="Y4" s="56" t="str">
        <f ca="1">VLOOKUP($A4,OFFSET([1]characters!$A$1,0,0,COUNTA([1]characters!$A:$A),MATCH(Y$1,[1]characters!$1:$1,0)-MATCH($A$1,[1]characters!$1:$1,0)+1),MATCH(Y$1,[1]characters!$1:$1,0)-MATCH($A$1,[1]characters!$1:$1,0)+1,FALSE)</f>
        <v>animal</v>
      </c>
      <c r="Z4" s="5" t="str">
        <f ca="1">VLOOKUP(Y4,[1]character_tribe_i18n!$A:$H,3,FALSE)</f>
        <v>アニマル</v>
      </c>
      <c r="AA4" s="11">
        <f ca="1">VLOOKUP(W4,[1]character_tribe_i18n!$A:$H,4,FALSE)</f>
        <v>1</v>
      </c>
      <c r="AB4" s="11">
        <f ca="1">VLOOKUP(W4,[1]character_tribe_i18n!$A:$H,5,FALSE)</f>
        <v>1</v>
      </c>
      <c r="AC4" s="11">
        <f ca="1">VLOOKUP(W4,[1]character_tribe_i18n!$A:$H,6,FALSE)</f>
        <v>1</v>
      </c>
      <c r="AD4" s="11">
        <f ca="1">VLOOKUP(W4,[1]character_tribe_i18n!$A:$H,7,FALSE)</f>
        <v>1</v>
      </c>
      <c r="AE4" s="9">
        <v>959</v>
      </c>
      <c r="AF4" s="61" t="str">
        <f ca="1">IF(AE4="NULL","",VLOOKUP($AE4,OFFSET([1]characters!$A$1,0,0,COUNTA([1]characters!$A:$A),MATCH(AF$1,[1]characters!$1:$1,0)-MATCH($A$1,[1]characters!$1:$1,0)+1),MATCH(AF$1,[1]characters!$1:$1,0)-MATCH($A$1,[1]characters!$1:$1,0)+1,FALSE))</f>
        <v>双世の論和 ド・モルガン</v>
      </c>
      <c r="AG4" s="5">
        <f t="shared" ca="1" si="0"/>
        <v>958</v>
      </c>
      <c r="AH4" s="61" t="str">
        <f ca="1">VLOOKUP($AG4,OFFSET([1]characters!$A$1,0,0,COUNTA([1]characters!$A:$A),MATCH(AH$1,[1]characters!$1:$1,0)-MATCH($A$1,[1]characters!$1:$1,0)+1),MATCH(AH$1,[1]characters!$1:$1,0)-MATCH($A$1,[1]characters!$1:$1,0)+1,FALSE)</f>
        <v>ド・モルガン</v>
      </c>
      <c r="AI4" s="11">
        <f ca="1">IF(AE4="NULL","NULL",VLOOKUP(G4,ビット!$A$2:$B$7,2))</f>
        <v>200000</v>
      </c>
      <c r="AJ4" s="6">
        <v>2</v>
      </c>
      <c r="AK4" s="7" t="str">
        <f t="shared" ref="AK4:AK5" si="8">IF(AJ4=1,"早熟",IF(AJ4=2,"普通",IF(AJ4=3,"晩成","")))</f>
        <v>普通</v>
      </c>
      <c r="AL4" s="11" t="str">
        <f ca="1">INDEX(経験値!$A$1:$I$20,MATCH(H4,経験値!$A$1:$A$20,FALSE),MATCH(G4,経験値!$A$1:$I$1,FALSE))</f>
        <v>required_exp_250</v>
      </c>
      <c r="AM4" s="8">
        <f ca="1">VLOOKUP(G4,経験値!$A$27:$B$31,2)</f>
        <v>6400</v>
      </c>
      <c r="AN4" s="17">
        <f ca="1">VLOOKUP(G4,ビット!$G$2:$H$7,2)</f>
        <v>900</v>
      </c>
      <c r="AO4" s="44"/>
      <c r="AP4" s="66">
        <f t="shared" si="2"/>
        <v>958</v>
      </c>
      <c r="AQ4" s="56" t="str">
        <f ca="1">VLOOKUP($AP4,OFFSET(unit_skills!$A$1,0,0,COUNTA(unit_skills!$A:$A),MATCH(AQ$1,unit_skills!$1:$1,0)-MATCH($AP$1,unit_skills!$1:$1,0)+1),MATCH(AQ$1,unit_skills!$1:$1,0)-MATCH($AP$1,unit_skills!$1:$1,0)+1,FALSE)</f>
        <v>トゥルー･オブ･アイズ</v>
      </c>
      <c r="AR4" s="56" t="str">
        <f ca="1">VLOOKUP($AP4,OFFSET(unit_skills!$A$1,0,0,COUNTA(unit_skills!$A:$A),MATCH(AR$1,unit_skills!$1:$1,0)-MATCH($AP$1,unit_skills!$1:$1,0)+1),MATCH(AR$1,unit_skills!$1:$1,0)-MATCH($AP$1,unit_skills!$1:$1,0)+1,FALSE)</f>
        <v>緑パネルをCパネルに変換+出現しているボムパネルを特大強化する+1ターン緑属性のタップ数を2増やす</v>
      </c>
      <c r="AS4" s="56">
        <f ca="1">VLOOKUP($AP4,OFFSET(unit_skills!$A$1,0,0,COUNTA(unit_skills!$A:$A),MATCH(AS$1,unit_skills!$1:$1,0)-MATCH($AP$1,unit_skills!$1:$1,0)+1),MATCH(AS$1,unit_skills!$1:$1,0)-MATCH($AP$1,unit_skills!$1:$1,0)+1,FALSE)</f>
        <v>0</v>
      </c>
      <c r="AT4" s="40">
        <f t="shared" si="3"/>
        <v>958</v>
      </c>
      <c r="AU4" s="56" t="str">
        <f ca="1">VLOOKUP($AT4,OFFSET(crash_skills!$A$1,0,0,COUNTA(crash_skills!$A:$A),MATCH(AU$1,crash_skills!$1:$1,0)-MATCH($AT$1,crash_skills!$1:$1,0)+1),MATCH(AU$1,crash_skills!$1:$1,0)-MATCH($AT$1,crash_skills!$1:$1,0)+1,FALSE)</f>
        <v>疑真暗鬼オペレータ</v>
      </c>
      <c r="AV4" s="56" t="str">
        <f ca="1">VLOOKUP($AT4,OFFSET(crash_skills!$A$1,0,0,COUNTA(crash_skills!$A:$A),MATCH(AV$1,crash_skills!$1:$1,0)-MATCH($AT$1,crash_skills!$1:$1,0)+1),MATCH(AV$1,crash_skills!$1:$1,0)-MATCH($AT$1,crash_skills!$1:$1,0)+1,FALSE)</f>
        <v>1体に特大ダメージ</v>
      </c>
      <c r="AW4" s="56">
        <f ca="1">VLOOKUP($AT4,OFFSET(crash_skills!$A$1,0,0,COUNTA(crash_skills!$A:$A),MATCH(AW$1,crash_skills!$1:$1,0)-MATCH($AT$1,crash_skills!$1:$1,0)+1),MATCH(AW$1,crash_skills!$1:$1,0)-MATCH($AT$1,crash_skills!$1:$1,0)+1,FALSE)</f>
        <v>0</v>
      </c>
      <c r="AX4" s="57">
        <f ca="1">VLOOKUP($A4,OFFSET([1]characters!$A$1,0,0,COUNTA([1]characters!$A:$A),MATCH(AX$1,[1]characters!$1:$1,0)-MATCH($A$1,[1]characters!$1:$1,0)+1),MATCH(AX$1,[1]characters!$1:$1,0)-MATCH($A$1,[1]characters!$1:$1,0)+1,FALSE)</f>
        <v>3</v>
      </c>
      <c r="AY4" s="67">
        <v>0.98</v>
      </c>
      <c r="AZ4" s="67">
        <v>0.98</v>
      </c>
      <c r="BA4" s="67">
        <v>0</v>
      </c>
      <c r="BB4" s="67">
        <v>0.98</v>
      </c>
      <c r="BC4" s="11">
        <f ca="1">INDEX('RC6SV'!$A$1:$G$20,MATCH(H4,'RC6SV'!$A$1:$A$20,FALSE),MATCH(G4,'RC6SV'!$A$1:$G$1,FALSE))</f>
        <v>10000</v>
      </c>
      <c r="BD4" s="47">
        <f t="shared" ref="BD4:BD5" ca="1" si="9">ROUND(BC4*IF(AJ4=1,0.95,IF(AJ4=2,1,IF(AJ4,1.05,0))),0)</f>
        <v>10000</v>
      </c>
      <c r="BE4" s="11">
        <f t="shared" ca="1" si="5"/>
        <v>0</v>
      </c>
      <c r="BF4" s="11">
        <f t="shared" ca="1" si="6"/>
        <v>1</v>
      </c>
      <c r="BG4" s="16">
        <f ca="1">IF($BE4&lt;=0,ROUND(BK4*0.5,0), ROUND($BE4*S4*AA4*J4*AY4*0.8*[1]ステータス!$B$2,0))</f>
        <v>2499</v>
      </c>
      <c r="BH4" s="16">
        <f ca="1">IF($BE4&lt;=0,ROUND(BL4*0.5,0), ROUND($BE4*T4*AB4*K4*AZ4*0.8*[1]ステータス!$C$2,0))</f>
        <v>1441</v>
      </c>
      <c r="BI4" s="16">
        <f ca="1">IF($BE4&lt;=0,ROUND(BM4*0.5,0), ROUND($BE4*U4*AC4*L4*BA4*0.8*[1]ステータス!$D$2,0))</f>
        <v>0</v>
      </c>
      <c r="BJ4" s="16">
        <f ca="1">IF($BE4&lt;=0,ROUND(BN4*0.5,0), ROUND($BE4*V4*AD4*M4*BB4*0.8*[1]ステータス!$E$2,0))</f>
        <v>1225</v>
      </c>
      <c r="BK4" s="11">
        <f ca="1">ROUND(BD4*S4*AA4*J4*AY4*[1]ステータス!$B$2,0)</f>
        <v>4998</v>
      </c>
      <c r="BL4" s="11">
        <f ca="1">ROUND(BD4*T4*AB4*K4*AZ4*[1]ステータス!$C$2,0)</f>
        <v>2881</v>
      </c>
      <c r="BM4" s="11">
        <f ca="1">ROUND(BD4*U4*AC4*L4*BA4*[1]ステータス!$D$2,0)</f>
        <v>0</v>
      </c>
      <c r="BN4" s="11">
        <f ca="1">ROUND(BD4*V4*AD4*M4*BB4*[1]ステータス!$E$2,0)</f>
        <v>2450</v>
      </c>
      <c r="BO4" s="10">
        <v>0</v>
      </c>
      <c r="BP4" s="10">
        <v>1</v>
      </c>
      <c r="BQ4" s="10" t="s">
        <v>47</v>
      </c>
      <c r="BR4" s="198">
        <v>5500</v>
      </c>
    </row>
    <row r="5" spans="1:70" ht="26" customHeight="1" x14ac:dyDescent="0.15">
      <c r="A5" s="12">
        <v>959</v>
      </c>
      <c r="B5" s="56" t="str">
        <f ca="1">VLOOKUP($A5,OFFSET([1]characters!$A$1,0,0,COUNTA([1]characters!$A:$A),MATCH(B$1,[1]characters!$1:$1,0)-MATCH($A$1,[1]characters!$1:$1,0)+1),MATCH(B$1,[1]characters!$1:$1,0)-MATCH($A$1,[1]characters!$1:$1,0)+1,FALSE)</f>
        <v>双世の論和 ド・モルガン</v>
      </c>
      <c r="C5" s="56" t="str">
        <f ca="1">VLOOKUP($A5,OFFSET([1]characters!$A$1,0,0,COUNTA([1]characters!$A:$A),MATCH(C$1,[1]characters!$1:$1,0)-MATCH($A$1,[1]characters!$1:$1,0)+1),MATCH(C$1,[1]characters!$1:$1,0)-MATCH($A$1,[1]characters!$1:$1,0)+1,FALSE)</f>
        <v>各属性相性良3・黄・R563</v>
      </c>
      <c r="D5" s="56" t="str">
        <f ca="1">VLOOKUP($A5,OFFSET([1]characters!$A$1,0,0,COUNTA([1]characters!$A:$A),MATCH(D$1,[1]characters!$1:$1,0)-MATCH($A$1,[1]characters!$1:$1,0)+1),MATCH(D$1,[1]characters!$1:$1,0)-MATCH($A$1,[1]characters!$1:$1,0)+1,FALSE)</f>
        <v>執行者</v>
      </c>
      <c r="E5" s="56" t="str">
        <f ca="1">VLOOKUP($A5,OFFSET([1]characters!$A$1,0,0,COUNTA([1]characters!$A:$A),MATCH(E$1,[1]characters!$1:$1,0)-MATCH($A$1,[1]characters!$1:$1,0)+1),MATCH(E$1,[1]characters!$1:$1,0)-MATCH($A$1,[1]characters!$1:$1,0)+1,FALSE)</f>
        <v>格好いい</v>
      </c>
      <c r="F5" s="56" t="str">
        <f ca="1">VLOOKUP($A5,OFFSET([1]characters!$A$1,0,0,COUNTA([1]characters!$A:$A),MATCH(F$1,[1]characters!$1:$1,0)-MATCH($A$1,[1]characters!$1:$1,0)+1),MATCH(F$1,[1]characters!$1:$1,0)-MATCH($A$1,[1]characters!$1:$1,0)+1,FALSE)</f>
        <v>男性</v>
      </c>
      <c r="G5" s="56">
        <f ca="1">VLOOKUP($A5,OFFSET([1]characters!$A$1,0,0,COUNTA([1]characters!$A:$A),MATCH(G$1,[1]characters!$1:$1,0)-MATCH($A$1,[1]characters!$1:$1,0)+1),MATCH(G$1,[1]characters!$1:$1,0)-MATCH($A$1,[1]characters!$1:$1,0)+1,FALSE)</f>
        <v>6</v>
      </c>
      <c r="H5" s="56" t="str">
        <f ca="1">VLOOKUP($A5,OFFSET([1]characters!$A$1,0,0,COUNTA([1]characters!$A:$A),MATCH(H$1,[1]characters!$1:$1,0)-MATCH($A$1,[1]characters!$1:$1,0)+1),MATCH(H$1,[1]characters!$1:$1,0)-MATCH($A$1,[1]characters!$1:$1,0)+1,FALSE)</f>
        <v>PremiumSSS</v>
      </c>
      <c r="I5" s="56" t="str">
        <f ca="1">VLOOKUP($A5,OFFSET([1]characters!$A$1,0,0,COUNTA([1]characters!$A:$A),MATCH(I$1,[1]characters!$1:$1,0)-MATCH($A$1,[1]characters!$1:$1,0)+1),MATCH(I$1,[1]characters!$1:$1,0)-MATCH($A$1,[1]characters!$1:$1,0)+1,FALSE)</f>
        <v>green</v>
      </c>
      <c r="J5" s="11">
        <f ca="1">VLOOKUP(I5,[1]属性!$A:$E,2,FALSE)</f>
        <v>1.02</v>
      </c>
      <c r="K5" s="11">
        <f ca="1">VLOOKUP(I5,[1]属性!$A:$E,3,FALSE)</f>
        <v>0.98</v>
      </c>
      <c r="L5" s="11">
        <f ca="1">VLOOKUP(I5,[1]属性!$A:$E,4,FALSE)</f>
        <v>1</v>
      </c>
      <c r="M5" s="11">
        <f ca="1">VLOOKUP(I5,[1]属性!$A:$E,5,FALSE)</f>
        <v>1</v>
      </c>
      <c r="N5" s="11">
        <f ca="1">INDEX(コスト!$A$1:$I$20,MATCH(H5,コスト!$A$1:$A$20,FALSE),MATCH(G5,コスト!$A$1:$I$1,FALSE))</f>
        <v>55</v>
      </c>
      <c r="O5" s="11">
        <f ca="1">INDEX(レベル!$A$1:$I$21,MATCH(H5,レベル!$A$1:$A$21,FALSE),MATCH(G5,レベル!$A$1:$I$1,FALSE))</f>
        <v>99</v>
      </c>
      <c r="P5" s="47">
        <f t="shared" ref="P5" ca="1" si="10">IF(G5 &gt;= 6, 99,G5*15)</f>
        <v>99</v>
      </c>
      <c r="Q5" s="56" t="str">
        <f ca="1">VLOOKUP($A5,OFFSET([1]characters!$A$1,0,0,COUNTA([1]characters!$A:$A),MATCH(Q$1,[1]characters!$1:$1,0)-MATCH($A$1,[1]characters!$1:$1,0)+1),MATCH(Q$1,[1]characters!$1:$1,0)-MATCH($A$1,[1]characters!$1:$1,0)+1,FALSE)</f>
        <v>balance</v>
      </c>
      <c r="R5" s="5" t="str">
        <f ca="1">VLOOKUP(Q5,[1]character_type_i18n!$A:$H,3,FALSE)</f>
        <v>バランスタイプ</v>
      </c>
      <c r="S5" s="11">
        <f ca="1">VLOOKUP(Q5,[1]character_type_i18n!$A:$H,4,FALSE)</f>
        <v>1</v>
      </c>
      <c r="T5" s="11">
        <f ca="1">VLOOKUP(Q5,[1]character_type_i18n!$A:$H,5,FALSE)</f>
        <v>1</v>
      </c>
      <c r="U5" s="11">
        <f ca="1">VLOOKUP(Q5,[1]character_type_i18n!$A:$H,6,FALSE)</f>
        <v>1</v>
      </c>
      <c r="V5" s="11">
        <f ca="1">VLOOKUP(Q5,[1]character_type_i18n!$A:$H,7,FALSE)</f>
        <v>1</v>
      </c>
      <c r="W5" s="56" t="str">
        <f ca="1">VLOOKUP($A5,OFFSET([1]characters!$A$1,0,0,COUNTA([1]characters!$A:$A),MATCH(W$1,[1]characters!$1:$1,0)-MATCH($A$1,[1]characters!$1:$1,0)+1),MATCH(W$1,[1]characters!$1:$1,0)-MATCH($A$1,[1]characters!$1:$1,0)+1,FALSE)</f>
        <v>academia</v>
      </c>
      <c r="X5" s="5" t="str">
        <f ca="1">VLOOKUP(W5,[1]character_tribe_i18n!$A:$H,3,FALSE)</f>
        <v>アカデミア</v>
      </c>
      <c r="Y5" s="56" t="str">
        <f ca="1">VLOOKUP($A5,OFFSET([1]characters!$A$1,0,0,COUNTA([1]characters!$A:$A),MATCH(Y$1,[1]characters!$1:$1,0)-MATCH($A$1,[1]characters!$1:$1,0)+1),MATCH(Y$1,[1]characters!$1:$1,0)-MATCH($A$1,[1]characters!$1:$1,0)+1,FALSE)</f>
        <v>animal</v>
      </c>
      <c r="Z5" s="5" t="str">
        <f ca="1">VLOOKUP(Y5,[1]character_tribe_i18n!$A:$H,3,FALSE)</f>
        <v>アニマル</v>
      </c>
      <c r="AA5" s="11">
        <f ca="1">VLOOKUP(W5,[1]character_tribe_i18n!$A:$H,4,FALSE)</f>
        <v>1</v>
      </c>
      <c r="AB5" s="11">
        <f ca="1">VLOOKUP(W5,[1]character_tribe_i18n!$A:$H,5,FALSE)</f>
        <v>1</v>
      </c>
      <c r="AC5" s="11">
        <f ca="1">VLOOKUP(W5,[1]character_tribe_i18n!$A:$H,6,FALSE)</f>
        <v>1</v>
      </c>
      <c r="AD5" s="11">
        <f ca="1">VLOOKUP(W5,[1]character_tribe_i18n!$A:$H,7,FALSE)</f>
        <v>1</v>
      </c>
      <c r="AE5" s="9">
        <v>960</v>
      </c>
      <c r="AF5" s="61" t="str">
        <f ca="1">IF(AE5="NULL","",VLOOKUP($AE5,OFFSET([1]characters!$A$1,0,0,COUNTA([1]characters!$A:$A),MATCH(AF$1,[1]characters!$1:$1,0)-MATCH($A$1,[1]characters!$1:$1,0)+1),MATCH(AF$1,[1]characters!$1:$1,0)-MATCH($A$1,[1]characters!$1:$1,0)+1,FALSE))</f>
        <v>双対する真偽者 ド・モルガン</v>
      </c>
      <c r="AG5" s="5">
        <f t="shared" ca="1" si="0"/>
        <v>958</v>
      </c>
      <c r="AH5" s="61" t="str">
        <f ca="1">VLOOKUP($AG5,OFFSET([1]characters!$A$1,0,0,COUNTA([1]characters!$A:$A),MATCH(AH$1,[1]characters!$1:$1,0)-MATCH($A$1,[1]characters!$1:$1,0)+1),MATCH(AH$1,[1]characters!$1:$1,0)-MATCH($A$1,[1]characters!$1:$1,0)+1,FALSE)</f>
        <v>ド・モルガン</v>
      </c>
      <c r="AI5" s="11">
        <f ca="1">IF(AE5="NULL","NULL",VLOOKUP(G5,ビット!$A$2:$B$7,2))</f>
        <v>200000</v>
      </c>
      <c r="AJ5" s="6">
        <v>2</v>
      </c>
      <c r="AK5" s="7" t="str">
        <f t="shared" si="8"/>
        <v>普通</v>
      </c>
      <c r="AL5" s="11" t="str">
        <f ca="1">INDEX(経験値!$A$1:$I$20,MATCH(H5,経験値!$A$1:$A$20,FALSE),MATCH(G5,経験値!$A$1:$I$1,FALSE))</f>
        <v>required_exp_300</v>
      </c>
      <c r="AM5" s="8">
        <f ca="1">VLOOKUP(G5,経験値!$A$27:$B$31,2)</f>
        <v>6400</v>
      </c>
      <c r="AN5" s="17">
        <f ca="1">VLOOKUP(G5,ビット!$G$2:$H$7,2)</f>
        <v>900</v>
      </c>
      <c r="AO5" s="44"/>
      <c r="AP5" s="66">
        <f t="shared" si="2"/>
        <v>959</v>
      </c>
      <c r="AQ5" s="56" t="str">
        <f ca="1">VLOOKUP($AP5,OFFSET(unit_skills!$A$1,0,0,COUNTA(unit_skills!$A:$A),MATCH(AQ$1,unit_skills!$1:$1,0)-MATCH($AP$1,unit_skills!$1:$1,0)+1),MATCH(AQ$1,unit_skills!$1:$1,0)-MATCH($AP$1,unit_skills!$1:$1,0)+1,FALSE)</f>
        <v>トゥルー･オブ･アイズ</v>
      </c>
      <c r="AR5" s="56" t="str">
        <f ca="1">VLOOKUP($AP5,OFFSET(unit_skills!$A$1,0,0,COUNTA(unit_skills!$A:$A),MATCH(AR$1,unit_skills!$1:$1,0)-MATCH($AP$1,unit_skills!$1:$1,0)+1),MATCH(AR$1,unit_skills!$1:$1,0)-MATCH($AP$1,unit_skills!$1:$1,0)+1,FALSE)</f>
        <v>緑パネルをCパネルに変換+出現しているボムパネルを特大強化する+1ターン緑属性のタップ数を2増やす</v>
      </c>
      <c r="AS5" s="56">
        <f ca="1">VLOOKUP($AP5,OFFSET(unit_skills!$A$1,0,0,COUNTA(unit_skills!$A:$A),MATCH(AS$1,unit_skills!$1:$1,0)-MATCH($AP$1,unit_skills!$1:$1,0)+1),MATCH(AS$1,unit_skills!$1:$1,0)-MATCH($AP$1,unit_skills!$1:$1,0)+1,FALSE)</f>
        <v>0</v>
      </c>
      <c r="AT5" s="40">
        <f t="shared" si="3"/>
        <v>959</v>
      </c>
      <c r="AU5" s="56" t="str">
        <f ca="1">VLOOKUP($AT5,OFFSET(crash_skills!$A$1,0,0,COUNTA(crash_skills!$A:$A),MATCH(AU$1,crash_skills!$1:$1,0)-MATCH($AT$1,crash_skills!$1:$1,0)+1),MATCH(AU$1,crash_skills!$1:$1,0)-MATCH($AT$1,crash_skills!$1:$1,0)+1,FALSE)</f>
        <v>疑真暗鬼オペレータ</v>
      </c>
      <c r="AV5" s="56" t="str">
        <f ca="1">VLOOKUP($AT5,OFFSET(crash_skills!$A$1,0,0,COUNTA(crash_skills!$A:$A),MATCH(AV$1,crash_skills!$1:$1,0)-MATCH($AT$1,crash_skills!$1:$1,0)+1),MATCH(AV$1,crash_skills!$1:$1,0)-MATCH($AT$1,crash_skills!$1:$1,0)+1,FALSE)</f>
        <v>1体に特大ダメージ</v>
      </c>
      <c r="AW5" s="56">
        <f ca="1">VLOOKUP($AT5,OFFSET(crash_skills!$A$1,0,0,COUNTA(crash_skills!$A:$A),MATCH(AW$1,crash_skills!$1:$1,0)-MATCH($AT$1,crash_skills!$1:$1,0)+1),MATCH(AW$1,crash_skills!$1:$1,0)-MATCH($AT$1,crash_skills!$1:$1,0)+1,FALSE)</f>
        <v>0</v>
      </c>
      <c r="AX5" s="57">
        <f ca="1">VLOOKUP($A5,OFFSET([1]characters!$A$1,0,0,COUNTA([1]characters!$A:$A),MATCH(AX$1,[1]characters!$1:$1,0)-MATCH($A$1,[1]characters!$1:$1,0)+1),MATCH(AX$1,[1]characters!$1:$1,0)-MATCH($A$1,[1]characters!$1:$1,0)+1,FALSE)</f>
        <v>3</v>
      </c>
      <c r="AY5" s="67">
        <v>0.98</v>
      </c>
      <c r="AZ5" s="67">
        <v>1.0289999999999999</v>
      </c>
      <c r="BA5" s="67">
        <v>0</v>
      </c>
      <c r="BB5" s="67">
        <v>0.98</v>
      </c>
      <c r="BC5" s="11">
        <f ca="1">INDEX('RC6SV'!$A$1:$G$20,MATCH(H5,'RC6SV'!$A$1:$A$20,FALSE),MATCH(G5,'RC6SV'!$A$1:$G$1,FALSE))</f>
        <v>14000</v>
      </c>
      <c r="BD5" s="47">
        <f t="shared" ca="1" si="9"/>
        <v>14000</v>
      </c>
      <c r="BE5" s="11">
        <f t="shared" ca="1" si="5"/>
        <v>10000</v>
      </c>
      <c r="BF5" s="11">
        <f t="shared" ca="1" si="6"/>
        <v>1</v>
      </c>
      <c r="BG5" s="16">
        <f ca="1">IF($BE5&lt;=0,ROUND(BK5*0.5,0), ROUND($BE5*S5*AA5*J5*AY5*0.8*[1]ステータス!$B$2,0))</f>
        <v>3998</v>
      </c>
      <c r="BH5" s="16">
        <f ca="1">IF($BE5&lt;=0,ROUND(BL5*0.5,0), ROUND($BE5*T5*AB5*K5*AZ5*0.8*[1]ステータス!$C$2,0))</f>
        <v>2420</v>
      </c>
      <c r="BI5" s="16">
        <f ca="1">IF($BE5&lt;=0,ROUND(BM5*0.5,0), ROUND($BE5*U5*AC5*L5*BA5*0.8*[1]ステータス!$D$2,0))</f>
        <v>0</v>
      </c>
      <c r="BJ5" s="16">
        <f ca="1">IF($BE5&lt;=0,ROUND(BN5*0.5,0), ROUND($BE5*V5*AD5*M5*BB5*0.8*[1]ステータス!$E$2,0))</f>
        <v>1960</v>
      </c>
      <c r="BK5" s="11">
        <f ca="1">ROUND(BD5*S5*AA5*J5*AY5*[1]ステータス!$B$2,0)</f>
        <v>6997</v>
      </c>
      <c r="BL5" s="11">
        <f ca="1">ROUND(BD5*T5*AB5*K5*AZ5*[1]ステータス!$C$2,0)</f>
        <v>4235</v>
      </c>
      <c r="BM5" s="11">
        <f ca="1">ROUND(BD5*U5*AC5*L5*BA5*[1]ステータス!$D$2,0)</f>
        <v>0</v>
      </c>
      <c r="BN5" s="11">
        <f ca="1">ROUND(BD5*V5*AD5*M5*BB5*[1]ステータス!$E$2,0)</f>
        <v>3430</v>
      </c>
      <c r="BO5" s="10">
        <v>0</v>
      </c>
      <c r="BP5" s="10">
        <v>1</v>
      </c>
      <c r="BQ5" s="10" t="s">
        <v>47</v>
      </c>
      <c r="BR5" s="198">
        <v>5500</v>
      </c>
    </row>
    <row r="6" spans="1:70" ht="26" customHeight="1" x14ac:dyDescent="0.15">
      <c r="A6" s="12">
        <v>960</v>
      </c>
      <c r="B6" s="56" t="str">
        <f ca="1">VLOOKUP($A6,OFFSET([1]characters!$A$1,0,0,COUNTA([1]characters!$A:$A),MATCH(B$1,[1]characters!$1:$1,0)-MATCH($A$1,[1]characters!$1:$1,0)+1),MATCH(B$1,[1]characters!$1:$1,0)-MATCH($A$1,[1]characters!$1:$1,0)+1,FALSE)</f>
        <v>双対する真偽者 ド・モルガン</v>
      </c>
      <c r="C6" s="56" t="str">
        <f ca="1">VLOOKUP($A6,OFFSET([1]characters!$A$1,0,0,COUNTA([1]characters!$A:$A),MATCH(C$1,[1]characters!$1:$1,0)-MATCH($A$1,[1]characters!$1:$1,0)+1),MATCH(C$1,[1]characters!$1:$1,0)-MATCH($A$1,[1]characters!$1:$1,0)+1,FALSE)</f>
        <v>各属性相性良3・黄・R564</v>
      </c>
      <c r="D6" s="56" t="str">
        <f ca="1">VLOOKUP($A6,OFFSET([1]characters!$A$1,0,0,COUNTA([1]characters!$A:$A),MATCH(D$1,[1]characters!$1:$1,0)-MATCH($A$1,[1]characters!$1:$1,0)+1),MATCH(D$1,[1]characters!$1:$1,0)-MATCH($A$1,[1]characters!$1:$1,0)+1,FALSE)</f>
        <v>執行者</v>
      </c>
      <c r="E6" s="56" t="str">
        <f ca="1">VLOOKUP($A6,OFFSET([1]characters!$A$1,0,0,COUNTA([1]characters!$A:$A),MATCH(E$1,[1]characters!$1:$1,0)-MATCH($A$1,[1]characters!$1:$1,0)+1),MATCH(E$1,[1]characters!$1:$1,0)-MATCH($A$1,[1]characters!$1:$1,0)+1,FALSE)</f>
        <v>格好いい</v>
      </c>
      <c r="F6" s="56" t="str">
        <f ca="1">VLOOKUP($A6,OFFSET([1]characters!$A$1,0,0,COUNTA([1]characters!$A:$A),MATCH(F$1,[1]characters!$1:$1,0)-MATCH($A$1,[1]characters!$1:$1,0)+1),MATCH(F$1,[1]characters!$1:$1,0)-MATCH($A$1,[1]characters!$1:$1,0)+1,FALSE)</f>
        <v>男性</v>
      </c>
      <c r="G6" s="56">
        <f ca="1">VLOOKUP($A6,OFFSET([1]characters!$A$1,0,0,COUNTA([1]characters!$A:$A),MATCH(G$1,[1]characters!$1:$1,0)-MATCH($A$1,[1]characters!$1:$1,0)+1),MATCH(G$1,[1]characters!$1:$1,0)-MATCH($A$1,[1]characters!$1:$1,0)+1,FALSE)</f>
        <v>6</v>
      </c>
      <c r="H6" s="56" t="str">
        <f ca="1">VLOOKUP($A6,OFFSET([1]characters!$A$1,0,0,COUNTA([1]characters!$A:$A),MATCH(H$1,[1]characters!$1:$1,0)-MATCH($A$1,[1]characters!$1:$1,0)+1),MATCH(H$1,[1]characters!$1:$1,0)-MATCH($A$1,[1]characters!$1:$1,0)+1,FALSE)</f>
        <v>PremiumSSS</v>
      </c>
      <c r="I6" s="56" t="str">
        <f ca="1">VLOOKUP($A6,OFFSET([1]characters!$A$1,0,0,COUNTA([1]characters!$A:$A),MATCH(I$1,[1]characters!$1:$1,0)-MATCH($A$1,[1]characters!$1:$1,0)+1),MATCH(I$1,[1]characters!$1:$1,0)-MATCH($A$1,[1]characters!$1:$1,0)+1,FALSE)</f>
        <v>green</v>
      </c>
      <c r="J6" s="11">
        <f ca="1">VLOOKUP(I6,[1]属性!$A:$E,2,FALSE)</f>
        <v>1.02</v>
      </c>
      <c r="K6" s="11">
        <f ca="1">VLOOKUP(I6,[1]属性!$A:$E,3,FALSE)</f>
        <v>0.98</v>
      </c>
      <c r="L6" s="11">
        <f ca="1">VLOOKUP(I6,[1]属性!$A:$E,4,FALSE)</f>
        <v>1</v>
      </c>
      <c r="M6" s="11">
        <f ca="1">VLOOKUP(I6,[1]属性!$A:$E,5,FALSE)</f>
        <v>1</v>
      </c>
      <c r="N6" s="11">
        <f ca="1">INDEX(コスト!$A$1:$I$20,MATCH(H6,コスト!$A$1:$A$20,FALSE),MATCH(G6,コスト!$A$1:$I$1,FALSE))</f>
        <v>55</v>
      </c>
      <c r="O6" s="11">
        <f ca="1">INDEX(レベル!$A$1:$I$21,MATCH(H6,レベル!$A$1:$A$21,FALSE),MATCH(G6,レベル!$A$1:$I$1,FALSE))</f>
        <v>99</v>
      </c>
      <c r="P6" s="47">
        <f t="shared" ref="P6" ca="1" si="11">IF(G6 &gt;= 6, 99,G6*15)</f>
        <v>99</v>
      </c>
      <c r="Q6" s="56" t="str">
        <f ca="1">VLOOKUP($A6,OFFSET([1]characters!$A$1,0,0,COUNTA([1]characters!$A:$A),MATCH(Q$1,[1]characters!$1:$1,0)-MATCH($A$1,[1]characters!$1:$1,0)+1),MATCH(Q$1,[1]characters!$1:$1,0)-MATCH($A$1,[1]characters!$1:$1,0)+1,FALSE)</f>
        <v>heal</v>
      </c>
      <c r="R6" s="5" t="str">
        <f ca="1">VLOOKUP(Q6,[1]character_type_i18n!$A:$H,3,FALSE)</f>
        <v>回復タイプ</v>
      </c>
      <c r="S6" s="11">
        <f ca="1">VLOOKUP(Q6,[1]character_type_i18n!$A:$H,4,FALSE)</f>
        <v>0.8</v>
      </c>
      <c r="T6" s="11">
        <f ca="1">VLOOKUP(Q6,[1]character_type_i18n!$A:$H,5,FALSE)</f>
        <v>0.78</v>
      </c>
      <c r="U6" s="11">
        <f ca="1">VLOOKUP(Q6,[1]character_type_i18n!$A:$H,6,FALSE)</f>
        <v>1</v>
      </c>
      <c r="V6" s="11">
        <f ca="1">VLOOKUP(Q6,[1]character_type_i18n!$A:$H,7,FALSE)</f>
        <v>1.42</v>
      </c>
      <c r="W6" s="56" t="str">
        <f ca="1">VLOOKUP($A6,OFFSET([1]characters!$A$1,0,0,COUNTA([1]characters!$A:$A),MATCH(W$1,[1]characters!$1:$1,0)-MATCH($A$1,[1]characters!$1:$1,0)+1),MATCH(W$1,[1]characters!$1:$1,0)-MATCH($A$1,[1]characters!$1:$1,0)+1,FALSE)</f>
        <v>academia</v>
      </c>
      <c r="X6" s="5" t="str">
        <f ca="1">VLOOKUP(W6,[1]character_tribe_i18n!$A:$H,3,FALSE)</f>
        <v>アカデミア</v>
      </c>
      <c r="Y6" s="56" t="str">
        <f ca="1">VLOOKUP($A6,OFFSET([1]characters!$A$1,0,0,COUNTA([1]characters!$A:$A),MATCH(Y$1,[1]characters!$1:$1,0)-MATCH($A$1,[1]characters!$1:$1,0)+1),MATCH(Y$1,[1]characters!$1:$1,0)-MATCH($A$1,[1]characters!$1:$1,0)+1,FALSE)</f>
        <v>animal</v>
      </c>
      <c r="Z6" s="5" t="str">
        <f ca="1">VLOOKUP(Y6,[1]character_tribe_i18n!$A:$H,3,FALSE)</f>
        <v>アニマル</v>
      </c>
      <c r="AA6" s="11">
        <f ca="1">VLOOKUP(W6,[1]character_tribe_i18n!$A:$H,4,FALSE)</f>
        <v>1</v>
      </c>
      <c r="AB6" s="11">
        <f ca="1">VLOOKUP(W6,[1]character_tribe_i18n!$A:$H,5,FALSE)</f>
        <v>1</v>
      </c>
      <c r="AC6" s="11">
        <f ca="1">VLOOKUP(W6,[1]character_tribe_i18n!$A:$H,6,FALSE)</f>
        <v>1</v>
      </c>
      <c r="AD6" s="11">
        <f ca="1">VLOOKUP(W6,[1]character_tribe_i18n!$A:$H,7,FALSE)</f>
        <v>1</v>
      </c>
      <c r="AE6" s="9">
        <v>959</v>
      </c>
      <c r="AF6" s="61" t="str">
        <f ca="1">IF(AE6="NULL","",VLOOKUP($AE6,OFFSET([1]characters!$A$1,0,0,COUNTA([1]characters!$A:$A),MATCH(AF$1,[1]characters!$1:$1,0)-MATCH($A$1,[1]characters!$1:$1,0)+1),MATCH(AF$1,[1]characters!$1:$1,0)-MATCH($A$1,[1]characters!$1:$1,0)+1,FALSE))</f>
        <v>双世の論和 ド・モルガン</v>
      </c>
      <c r="AG6" s="5">
        <f t="shared" ca="1" si="0"/>
        <v>958</v>
      </c>
      <c r="AH6" s="61" t="str">
        <f ca="1">VLOOKUP($AG6,OFFSET([1]characters!$A$1,0,0,COUNTA([1]characters!$A:$A),MATCH(AH$1,[1]characters!$1:$1,0)-MATCH($A$1,[1]characters!$1:$1,0)+1),MATCH(AH$1,[1]characters!$1:$1,0)-MATCH($A$1,[1]characters!$1:$1,0)+1,FALSE)</f>
        <v>ド・モルガン</v>
      </c>
      <c r="AI6" s="11">
        <f ca="1">IF(AE6="NULL","NULL",VLOOKUP(G6,ビット!$A$2:$B$7,2))</f>
        <v>200000</v>
      </c>
      <c r="AJ6" s="6">
        <v>2</v>
      </c>
      <c r="AK6" s="7" t="str">
        <f t="shared" ref="AK6:AK8" si="12">IF(AJ6=1,"早熟",IF(AJ6=2,"普通",IF(AJ6=3,"晩成","")))</f>
        <v>普通</v>
      </c>
      <c r="AL6" s="11" t="str">
        <f ca="1">INDEX(経験値!$A$1:$I$20,MATCH(H6,経験値!$A$1:$A$20,FALSE),MATCH(G6,経験値!$A$1:$I$1,FALSE))</f>
        <v>required_exp_300</v>
      </c>
      <c r="AM6" s="8">
        <f ca="1">VLOOKUP(G6,経験値!$A$27:$B$31,2)</f>
        <v>6400</v>
      </c>
      <c r="AN6" s="17">
        <f ca="1">VLOOKUP(G6,ビット!$G$2:$H$7,2)</f>
        <v>900</v>
      </c>
      <c r="AO6" s="44"/>
      <c r="AP6" s="66">
        <f t="shared" si="2"/>
        <v>960</v>
      </c>
      <c r="AQ6" s="56" t="str">
        <f ca="1">VLOOKUP($AP6,OFFSET(unit_skills!$A$1,0,0,COUNTA(unit_skills!$A:$A),MATCH(AQ$1,unit_skills!$1:$1,0)-MATCH($AP$1,unit_skills!$1:$1,0)+1),MATCH(AQ$1,unit_skills!$1:$1,0)-MATCH($AP$1,unit_skills!$1:$1,0)+1,FALSE)</f>
        <v>ファクト･オア･フィクション</v>
      </c>
      <c r="AR6" s="56" t="str">
        <f ca="1">VLOOKUP($AP6,OFFSET(unit_skills!$A$1,0,0,COUNTA(unit_skills!$A:$A),MATCH(AR$1,unit_skills!$1:$1,0)-MATCH($AP$1,unit_skills!$1:$1,0)+1),MATCH(AR$1,unit_skills!$1:$1,0)-MATCH($AP$1,unit_skills!$1:$1,0)+1,FALSE)</f>
        <v>青パネルをハートパネル、赤パネルを緑パネルに変換+3ターン緑属性の回復力を超大UP</v>
      </c>
      <c r="AS6" s="56">
        <f ca="1">VLOOKUP($AP6,OFFSET(unit_skills!$A$1,0,0,COUNTA(unit_skills!$A:$A),MATCH(AS$1,unit_skills!$1:$1,0)-MATCH($AP$1,unit_skills!$1:$1,0)+1),MATCH(AS$1,unit_skills!$1:$1,0)-MATCH($AP$1,unit_skills!$1:$1,0)+1,FALSE)</f>
        <v>0</v>
      </c>
      <c r="AT6" s="40">
        <f t="shared" si="3"/>
        <v>960</v>
      </c>
      <c r="AU6" s="56" t="str">
        <f ca="1">VLOOKUP($AT6,OFFSET(crash_skills!$A$1,0,0,COUNTA(crash_skills!$A:$A),MATCH(AU$1,crash_skills!$1:$1,0)-MATCH($AT$1,crash_skills!$1:$1,0)+1),MATCH(AU$1,crash_skills!$1:$1,0)-MATCH($AT$1,crash_skills!$1:$1,0)+1,FALSE)</f>
        <v>真偽真解オペレータ</v>
      </c>
      <c r="AV6" s="56" t="str">
        <f ca="1">VLOOKUP($AT6,OFFSET(crash_skills!$A$1,0,0,COUNTA(crash_skills!$A:$A),MATCH(AV$1,crash_skills!$1:$1,0)-MATCH($AT$1,crash_skills!$1:$1,0)+1),MATCH(AV$1,crash_skills!$1:$1,0)-MATCH($AT$1,crash_skills!$1:$1,0)+1,FALSE)</f>
        <v>1体に特大ダメージ+_x000D_HP大回復</v>
      </c>
      <c r="AW6" s="56">
        <f ca="1">VLOOKUP($AT6,OFFSET(crash_skills!$A$1,0,0,COUNTA(crash_skills!$A:$A),MATCH(AW$1,crash_skills!$1:$1,0)-MATCH($AT$1,crash_skills!$1:$1,0)+1),MATCH(AW$1,crash_skills!$1:$1,0)-MATCH($AT$1,crash_skills!$1:$1,0)+1,FALSE)</f>
        <v>0</v>
      </c>
      <c r="AX6" s="57">
        <f ca="1">VLOOKUP($A6,OFFSET([1]characters!$A$1,0,0,COUNTA([1]characters!$A:$A),MATCH(AX$1,[1]characters!$1:$1,0)-MATCH($A$1,[1]characters!$1:$1,0)+1),MATCH(AX$1,[1]characters!$1:$1,0)-MATCH($A$1,[1]characters!$1:$1,0)+1,FALSE)</f>
        <v>3</v>
      </c>
      <c r="AY6" s="67">
        <v>0.92</v>
      </c>
      <c r="AZ6" s="67">
        <v>0.92</v>
      </c>
      <c r="BA6" s="67">
        <v>0</v>
      </c>
      <c r="BB6" s="67">
        <v>0.92</v>
      </c>
      <c r="BC6" s="11">
        <f ca="1">INDEX('RC6SV'!$A$1:$G$20,MATCH(H6,'RC6SV'!$A$1:$A$20,FALSE),MATCH(G6,'RC6SV'!$A$1:$G$1,FALSE))</f>
        <v>14000</v>
      </c>
      <c r="BD6" s="47">
        <f t="shared" ref="BD6:BD8" ca="1" si="13">ROUND(BC6*IF(AJ6=1,0.95,IF(AJ6=2,1,IF(AJ6,1.05,0))),0)</f>
        <v>14000</v>
      </c>
      <c r="BE6" s="11">
        <f t="shared" ca="1" si="5"/>
        <v>14000</v>
      </c>
      <c r="BF6" s="11">
        <f t="shared" ca="1" si="6"/>
        <v>1</v>
      </c>
      <c r="BG6" s="16">
        <f ca="1">IF($BE6&lt;=0,ROUND(BK6*0.5,0), ROUND($BE6*S6*AA6*J6*AY6*0.8*[1]ステータス!$B$2,0))</f>
        <v>4204</v>
      </c>
      <c r="BH6" s="16">
        <f ca="1">IF($BE6&lt;=0,ROUND(BL6*0.5,0), ROUND($BE6*T6*AB6*K6*AZ6*0.8*[1]ステータス!$C$2,0))</f>
        <v>2363</v>
      </c>
      <c r="BI6" s="16">
        <f ca="1">IF($BE6&lt;=0,ROUND(BM6*0.5,0), ROUND($BE6*U6*AC6*L6*BA6*0.8*[1]ステータス!$D$2,0))</f>
        <v>0</v>
      </c>
      <c r="BJ6" s="16">
        <f ca="1">IF($BE6&lt;=0,ROUND(BN6*0.5,0), ROUND($BE6*V6*AD6*M6*BB6*0.8*[1]ステータス!$E$2,0))</f>
        <v>3658</v>
      </c>
      <c r="BK6" s="11">
        <f ca="1">ROUND(BD6*S6*AA6*J6*AY6*[1]ステータス!$B$2,0)</f>
        <v>5255</v>
      </c>
      <c r="BL6" s="11">
        <f ca="1">ROUND(BD6*T6*AB6*K6*AZ6*[1]ステータス!$C$2,0)</f>
        <v>2954</v>
      </c>
      <c r="BM6" s="11">
        <f ca="1">ROUND(BD6*U6*AC6*L6*BA6*[1]ステータス!$D$2,0)</f>
        <v>0</v>
      </c>
      <c r="BN6" s="11">
        <f ca="1">ROUND(BD6*V6*AD6*M6*BB6*[1]ステータス!$E$2,0)</f>
        <v>4572</v>
      </c>
      <c r="BO6" s="10">
        <v>0</v>
      </c>
      <c r="BP6" s="10">
        <v>1</v>
      </c>
      <c r="BQ6" s="10" t="s">
        <v>47</v>
      </c>
      <c r="BR6" s="198">
        <v>5500</v>
      </c>
    </row>
    <row r="7" spans="1:70" ht="26" customHeight="1" x14ac:dyDescent="0.15">
      <c r="A7" s="12">
        <v>1111</v>
      </c>
      <c r="B7" s="56" t="str">
        <f ca="1">VLOOKUP($A7,OFFSET([1]characters!$A$1,0,0,COUNTA([1]characters!$A:$A),MATCH(B$1,[1]characters!$1:$1,0)-MATCH($A$1,[1]characters!$1:$1,0)+1),MATCH(B$1,[1]characters!$1:$1,0)-MATCH($A$1,[1]characters!$1:$1,0)+1,FALSE)</f>
        <v>ウィグナー</v>
      </c>
      <c r="C7" s="56" t="str">
        <f ca="1">VLOOKUP($A7,OFFSET([1]characters!$A$1,0,0,COUNTA([1]characters!$A:$A),MATCH(C$1,[1]characters!$1:$1,0)-MATCH($A$1,[1]characters!$1:$1,0)+1),MATCH(C$1,[1]characters!$1:$1,0)-MATCH($A$1,[1]characters!$1:$1,0)+1,FALSE)</f>
        <v>未定</v>
      </c>
      <c r="D7" s="56" t="str">
        <f ca="1">VLOOKUP($A7,OFFSET([1]characters!$A$1,0,0,COUNTA([1]characters!$A:$A),MATCH(D$1,[1]characters!$1:$1,0)-MATCH($A$1,[1]characters!$1:$1,0)+1),MATCH(D$1,[1]characters!$1:$1,0)-MATCH($A$1,[1]characters!$1:$1,0)+1,FALSE)</f>
        <v>アリス</v>
      </c>
      <c r="E7" s="56" t="str">
        <f ca="1">VLOOKUP($A7,OFFSET([1]characters!$A$1,0,0,COUNTA([1]characters!$A:$A),MATCH(E$1,[1]characters!$1:$1,0)-MATCH($A$1,[1]characters!$1:$1,0)+1),MATCH(E$1,[1]characters!$1:$1,0)-MATCH($A$1,[1]characters!$1:$1,0)+1,FALSE)</f>
        <v>世界観</v>
      </c>
      <c r="F7" s="56" t="str">
        <f ca="1">VLOOKUP($A7,OFFSET([1]characters!$A$1,0,0,COUNTA([1]characters!$A:$A),MATCH(F$1,[1]characters!$1:$1,0)-MATCH($A$1,[1]characters!$1:$1,0)+1),MATCH(F$1,[1]characters!$1:$1,0)-MATCH($A$1,[1]characters!$1:$1,0)+1,FALSE)</f>
        <v>不明</v>
      </c>
      <c r="G7" s="56">
        <f ca="1">VLOOKUP($A7,OFFSET([1]characters!$A$1,0,0,COUNTA([1]characters!$A:$A),MATCH(G$1,[1]characters!$1:$1,0)-MATCH($A$1,[1]characters!$1:$1,0)+1),MATCH(G$1,[1]characters!$1:$1,0)-MATCH($A$1,[1]characters!$1:$1,0)+1,FALSE)</f>
        <v>5</v>
      </c>
      <c r="H7" s="56" t="str">
        <f ca="1">VLOOKUP($A7,OFFSET([1]characters!$A$1,0,0,COUNTA([1]characters!$A:$A),MATCH(H$1,[1]characters!$1:$1,0)-MATCH($A$1,[1]characters!$1:$1,0)+1),MATCH(H$1,[1]characters!$1:$1,0)-MATCH($A$1,[1]characters!$1:$1,0)+1,FALSE)</f>
        <v>PremiumSSS</v>
      </c>
      <c r="I7" s="56" t="str">
        <f ca="1">VLOOKUP($A7,OFFSET([1]characters!$A$1,0,0,COUNTA([1]characters!$A:$A),MATCH(I$1,[1]characters!$1:$1,0)-MATCH($A$1,[1]characters!$1:$1,0)+1),MATCH(I$1,[1]characters!$1:$1,0)-MATCH($A$1,[1]characters!$1:$1,0)+1,FALSE)</f>
        <v>blue</v>
      </c>
      <c r="J7" s="11">
        <f ca="1">VLOOKUP(I7,[1]属性!$A:$E,2,FALSE)</f>
        <v>1</v>
      </c>
      <c r="K7" s="11">
        <f ca="1">VLOOKUP(I7,[1]属性!$A:$E,3,FALSE)</f>
        <v>0.98</v>
      </c>
      <c r="L7" s="11">
        <f ca="1">VLOOKUP(I7,[1]属性!$A:$E,4,FALSE)</f>
        <v>1</v>
      </c>
      <c r="M7" s="11">
        <f ca="1">VLOOKUP(I7,[1]属性!$A:$E,5,FALSE)</f>
        <v>1.02</v>
      </c>
      <c r="N7" s="11">
        <f ca="1">INDEX(コスト!$A$1:$I$20,MATCH(H7,コスト!$A$1:$A$20,FALSE),MATCH(G7,コスト!$A$1:$I$1,FALSE))</f>
        <v>40</v>
      </c>
      <c r="O7" s="11">
        <f ca="1">INDEX(レベル!$A$1:$I$21,MATCH(H7,レベル!$A$1:$A$21,FALSE),MATCH(G7,レベル!$A$1:$I$1,FALSE))</f>
        <v>80</v>
      </c>
      <c r="P7" s="47">
        <f ca="1">IF(G7 &gt;= 6, 99,G7*15)</f>
        <v>75</v>
      </c>
      <c r="Q7" s="56" t="str">
        <f ca="1">VLOOKUP($A7,OFFSET([1]characters!$A$1,0,0,COUNTA([1]characters!$A:$A),MATCH(Q$1,[1]characters!$1:$1,0)-MATCH($A$1,[1]characters!$1:$1,0)+1),MATCH(Q$1,[1]characters!$1:$1,0)-MATCH($A$1,[1]characters!$1:$1,0)+1,FALSE)</f>
        <v>attack</v>
      </c>
      <c r="R7" s="5" t="str">
        <f ca="1">VLOOKUP(Q7,[1]character_type_i18n!$A:$H,3,FALSE)</f>
        <v>攻撃タイプ</v>
      </c>
      <c r="S7" s="11">
        <f ca="1">VLOOKUP(Q7,[1]character_type_i18n!$A:$H,4,FALSE)</f>
        <v>1</v>
      </c>
      <c r="T7" s="11">
        <f ca="1">VLOOKUP(Q7,[1]character_type_i18n!$A:$H,5,FALSE)</f>
        <v>1.33</v>
      </c>
      <c r="U7" s="11">
        <f ca="1">VLOOKUP(Q7,[1]character_type_i18n!$A:$H,6,FALSE)</f>
        <v>1</v>
      </c>
      <c r="V7" s="11">
        <f ca="1">VLOOKUP(Q7,[1]character_type_i18n!$A:$H,7,FALSE)</f>
        <v>0.67</v>
      </c>
      <c r="W7" s="56" t="str">
        <f ca="1">VLOOKUP($A7,OFFSET([1]characters!$A$1,0,0,COUNTA([1]characters!$A:$A),MATCH(W$1,[1]characters!$1:$1,0)-MATCH($A$1,[1]characters!$1:$1,0)+1),MATCH(W$1,[1]characters!$1:$1,0)-MATCH($A$1,[1]characters!$1:$1,0)+1,FALSE)</f>
        <v>academia</v>
      </c>
      <c r="X7" s="5" t="str">
        <f ca="1">VLOOKUP(W7,[1]character_tribe_i18n!$A:$H,3,FALSE)</f>
        <v>アカデミア</v>
      </c>
      <c r="Y7" s="56" t="str">
        <f ca="1">VLOOKUP($A7,OFFSET([1]characters!$A$1,0,0,COUNTA([1]characters!$A:$A),MATCH(Y$1,[1]characters!$1:$1,0)-MATCH($A$1,[1]characters!$1:$1,0)+1),MATCH(Y$1,[1]characters!$1:$1,0)-MATCH($A$1,[1]characters!$1:$1,0)+1,FALSE)</f>
        <v>animal</v>
      </c>
      <c r="Z7" s="5" t="str">
        <f ca="1">VLOOKUP(Y7,[1]character_tribe_i18n!$A:$H,3,FALSE)</f>
        <v>アニマル</v>
      </c>
      <c r="AA7" s="11">
        <f ca="1">VLOOKUP(W7,[1]character_tribe_i18n!$A:$H,4,FALSE)</f>
        <v>1</v>
      </c>
      <c r="AB7" s="11">
        <f ca="1">VLOOKUP(W7,[1]character_tribe_i18n!$A:$H,5,FALSE)</f>
        <v>1</v>
      </c>
      <c r="AC7" s="11">
        <f ca="1">VLOOKUP(W7,[1]character_tribe_i18n!$A:$H,6,FALSE)</f>
        <v>1</v>
      </c>
      <c r="AD7" s="11">
        <f ca="1">VLOOKUP(W7,[1]character_tribe_i18n!$A:$H,7,FALSE)</f>
        <v>1</v>
      </c>
      <c r="AE7" s="9">
        <v>1112</v>
      </c>
      <c r="AF7" s="61" t="str">
        <f ca="1">IF(AE7="NULL","",VLOOKUP($AE7,OFFSET([1]characters!$A$1,0,0,COUNTA([1]characters!$A:$A),MATCH(AF$1,[1]characters!$1:$1,0)-MATCH($A$1,[1]characters!$1:$1,0)+1),MATCH(AF$1,[1]characters!$1:$1,0)-MATCH($A$1,[1]characters!$1:$1,0)+1,FALSE))</f>
        <v>正統なる傑晶 ウィグナー</v>
      </c>
      <c r="AG7" s="5">
        <f t="shared" ca="1" si="0"/>
        <v>1111</v>
      </c>
      <c r="AH7" s="61" t="str">
        <f ca="1">VLOOKUP($AG7,OFFSET([1]characters!$A$1,0,0,COUNTA([1]characters!$A:$A),MATCH(AH$1,[1]characters!$1:$1,0)-MATCH($A$1,[1]characters!$1:$1,0)+1),MATCH(AH$1,[1]characters!$1:$1,0)-MATCH($A$1,[1]characters!$1:$1,0)+1,FALSE)</f>
        <v>ウィグナー</v>
      </c>
      <c r="AI7" s="11">
        <f ca="1">IF(AE7="NULL","NULL",VLOOKUP(G7,ビット!$A$2:$B$7,2))</f>
        <v>200000</v>
      </c>
      <c r="AJ7" s="6">
        <v>2</v>
      </c>
      <c r="AK7" s="7" t="str">
        <f t="shared" si="12"/>
        <v>普通</v>
      </c>
      <c r="AL7" s="11" t="str">
        <f ca="1">INDEX(経験値!$A$1:$I$20,MATCH(H7,経験値!$A$1:$A$20,FALSE),MATCH(G7,経験値!$A$1:$I$1,FALSE))</f>
        <v>required_exp_250</v>
      </c>
      <c r="AM7" s="8">
        <f ca="1">VLOOKUP(G7,経験値!$A$27:$B$31,2)</f>
        <v>6400</v>
      </c>
      <c r="AN7" s="17">
        <f ca="1">VLOOKUP(G7,ビット!$G$2:$H$7,2)</f>
        <v>900</v>
      </c>
      <c r="AO7" s="44"/>
      <c r="AP7" s="66">
        <f t="shared" si="2"/>
        <v>1111</v>
      </c>
      <c r="AQ7" s="56" t="str">
        <f ca="1">VLOOKUP($AP7,OFFSET(unit_skills!$A$1,0,0,COUNTA(unit_skills!$A:$A),MATCH(AQ$1,unit_skills!$1:$1,0)-MATCH($AP$1,unit_skills!$1:$1,0)+1),MATCH(AQ$1,unit_skills!$1:$1,0)-MATCH($AP$1,unit_skills!$1:$1,0)+1,FALSE)</f>
        <v>反射最限レイトレーシング</v>
      </c>
      <c r="AR7" s="56" t="str">
        <f ca="1">VLOOKUP($AP7,OFFSET(unit_skills!$A$1,0,0,COUNTA(unit_skills!$A:$A),MATCH(AR$1,unit_skills!$1:$1,0)-MATCH($AP$1,unit_skills!$1:$1,0)+1),MATCH(AR$1,unit_skills!$1:$1,0)-MATCH($AP$1,unit_skills!$1:$1,0)+1,FALSE)</f>
        <v>赤パネルをCパネルに変換+3ターン青属性の攻撃力を特大UPし、Cパネル生成短縮(効果特大)</v>
      </c>
      <c r="AS7" s="56">
        <f ca="1">VLOOKUP($AP7,OFFSET(unit_skills!$A$1,0,0,COUNTA(unit_skills!$A:$A),MATCH(AS$1,unit_skills!$1:$1,0)-MATCH($AP$1,unit_skills!$1:$1,0)+1),MATCH(AS$1,unit_skills!$1:$1,0)-MATCH($AP$1,unit_skills!$1:$1,0)+1,FALSE)</f>
        <v>0</v>
      </c>
      <c r="AT7" s="40">
        <f t="shared" si="3"/>
        <v>1111</v>
      </c>
      <c r="AU7" s="56" t="str">
        <f ca="1">VLOOKUP($AT7,OFFSET(crash_skills!$A$1,0,0,COUNTA(crash_skills!$A:$A),MATCH(AU$1,crash_skills!$1:$1,0)-MATCH($AT$1,crash_skills!$1:$1,0)+1),MATCH(AU$1,crash_skills!$1:$1,0)-MATCH($AT$1,crash_skills!$1:$1,0)+1,FALSE)</f>
        <v>ライト・イン・ブラック</v>
      </c>
      <c r="AV7" s="56" t="str">
        <f ca="1">VLOOKUP($AT7,OFFSET(crash_skills!$A$1,0,0,COUNTA(crash_skills!$A:$A),MATCH(AV$1,crash_skills!$1:$1,0)-MATCH($AT$1,crash_skills!$1:$1,0)+1),MATCH(AV$1,crash_skills!$1:$1,0)-MATCH($AT$1,crash_skills!$1:$1,0)+1,FALSE)</f>
        <v>1体に中ダメージ</v>
      </c>
      <c r="AW7" s="56">
        <f ca="1">VLOOKUP($AT7,OFFSET(crash_skills!$A$1,0,0,COUNTA(crash_skills!$A:$A),MATCH(AW$1,crash_skills!$1:$1,0)-MATCH($AT$1,crash_skills!$1:$1,0)+1),MATCH(AW$1,crash_skills!$1:$1,0)-MATCH($AT$1,crash_skills!$1:$1,0)+1,FALSE)</f>
        <v>0</v>
      </c>
      <c r="AX7" s="57">
        <f ca="1">VLOOKUP($A7,OFFSET([1]characters!$A$1,0,0,COUNTA([1]characters!$A:$A),MATCH(AX$1,[1]characters!$1:$1,0)-MATCH($A$1,[1]characters!$1:$1,0)+1),MATCH(AX$1,[1]characters!$1:$1,0)-MATCH($A$1,[1]characters!$1:$1,0)+1,FALSE)</f>
        <v>3</v>
      </c>
      <c r="AY7" s="67">
        <v>0.97</v>
      </c>
      <c r="AZ7" s="67">
        <v>1</v>
      </c>
      <c r="BA7" s="67">
        <v>0</v>
      </c>
      <c r="BB7" s="67">
        <v>1</v>
      </c>
      <c r="BC7" s="11">
        <f ca="1">INDEX('RC6SV'!$A$1:$G$20,MATCH(H7,'RC6SV'!$A$1:$A$20,FALSE),MATCH(G7,'RC6SV'!$A$1:$G$1,FALSE))</f>
        <v>10000</v>
      </c>
      <c r="BD7" s="47">
        <f t="shared" ca="1" si="13"/>
        <v>10000</v>
      </c>
      <c r="BE7" s="11">
        <f t="shared" ca="1" si="5"/>
        <v>0</v>
      </c>
      <c r="BF7" s="11">
        <f t="shared" ca="1" si="6"/>
        <v>1</v>
      </c>
      <c r="BG7" s="16">
        <f ca="1">IF($BE7&lt;=0,ROUND(BK7*0.5,0), ROUND($BE7*S7*AA7*J7*AY7*0.8*[1]ステータス!$B$2,0))</f>
        <v>2425</v>
      </c>
      <c r="BH7" s="16">
        <f ca="1">IF($BE7&lt;=0,ROUND(BL7*0.5,0), ROUND($BE7*T7*AB7*K7*AZ7*0.8*[1]ステータス!$C$2,0))</f>
        <v>1955</v>
      </c>
      <c r="BI7" s="16">
        <f ca="1">IF($BE7&lt;=0,ROUND(BM7*0.5,0), ROUND($BE7*U7*AC7*L7*BA7*0.8*[1]ステータス!$D$2,0))</f>
        <v>0</v>
      </c>
      <c r="BJ7" s="16">
        <f ca="1">IF($BE7&lt;=0,ROUND(BN7*0.5,0), ROUND($BE7*V7*AD7*M7*BB7*0.8*[1]ステータス!$E$2,0))</f>
        <v>855</v>
      </c>
      <c r="BK7" s="11">
        <f ca="1">ROUND(BD7*S7*AA7*J7*AY7*[1]ステータス!$B$2,0)</f>
        <v>4850</v>
      </c>
      <c r="BL7" s="11">
        <f ca="1">ROUND(BD7*T7*AB7*K7*AZ7*[1]ステータス!$C$2,0)</f>
        <v>3910</v>
      </c>
      <c r="BM7" s="11">
        <f ca="1">ROUND(BD7*U7*AC7*L7*BA7*[1]ステータス!$D$2,0)</f>
        <v>0</v>
      </c>
      <c r="BN7" s="11">
        <f ca="1">ROUND(BD7*V7*AD7*M7*BB7*[1]ステータス!$E$2,0)</f>
        <v>1709</v>
      </c>
      <c r="BO7" s="10">
        <v>0</v>
      </c>
      <c r="BP7" s="10">
        <v>1</v>
      </c>
      <c r="BQ7" s="10" t="s">
        <v>47</v>
      </c>
      <c r="BR7" s="198">
        <v>5500</v>
      </c>
    </row>
    <row r="8" spans="1:70" ht="26" customHeight="1" x14ac:dyDescent="0.15">
      <c r="A8" s="12">
        <v>1112</v>
      </c>
      <c r="B8" s="56" t="str">
        <f ca="1">VLOOKUP($A8,OFFSET([1]characters!$A$1,0,0,COUNTA([1]characters!$A:$A),MATCH(B$1,[1]characters!$1:$1,0)-MATCH($A$1,[1]characters!$1:$1,0)+1),MATCH(B$1,[1]characters!$1:$1,0)-MATCH($A$1,[1]characters!$1:$1,0)+1,FALSE)</f>
        <v>正統なる傑晶 ウィグナー</v>
      </c>
      <c r="C8" s="56" t="str">
        <f ca="1">VLOOKUP($A8,OFFSET([1]characters!$A$1,0,0,COUNTA([1]characters!$A:$A),MATCH(C$1,[1]characters!$1:$1,0)-MATCH($A$1,[1]characters!$1:$1,0)+1),MATCH(C$1,[1]characters!$1:$1,0)-MATCH($A$1,[1]characters!$1:$1,0)+1,FALSE)</f>
        <v>未定</v>
      </c>
      <c r="D8" s="56" t="str">
        <f ca="1">VLOOKUP($A8,OFFSET([1]characters!$A$1,0,0,COUNTA([1]characters!$A:$A),MATCH(D$1,[1]characters!$1:$1,0)-MATCH($A$1,[1]characters!$1:$1,0)+1),MATCH(D$1,[1]characters!$1:$1,0)-MATCH($A$1,[1]characters!$1:$1,0)+1,FALSE)</f>
        <v>アリス</v>
      </c>
      <c r="E8" s="56" t="str">
        <f ca="1">VLOOKUP($A8,OFFSET([1]characters!$A$1,0,0,COUNTA([1]characters!$A:$A),MATCH(E$1,[1]characters!$1:$1,0)-MATCH($A$1,[1]characters!$1:$1,0)+1),MATCH(E$1,[1]characters!$1:$1,0)-MATCH($A$1,[1]characters!$1:$1,0)+1,FALSE)</f>
        <v>世界観</v>
      </c>
      <c r="F8" s="56" t="str">
        <f ca="1">VLOOKUP($A8,OFFSET([1]characters!$A$1,0,0,COUNTA([1]characters!$A:$A),MATCH(F$1,[1]characters!$1:$1,0)-MATCH($A$1,[1]characters!$1:$1,0)+1),MATCH(F$1,[1]characters!$1:$1,0)-MATCH($A$1,[1]characters!$1:$1,0)+1,FALSE)</f>
        <v>不明</v>
      </c>
      <c r="G8" s="56">
        <f ca="1">VLOOKUP($A8,OFFSET([1]characters!$A$1,0,0,COUNTA([1]characters!$A:$A),MATCH(G$1,[1]characters!$1:$1,0)-MATCH($A$1,[1]characters!$1:$1,0)+1),MATCH(G$1,[1]characters!$1:$1,0)-MATCH($A$1,[1]characters!$1:$1,0)+1,FALSE)</f>
        <v>6</v>
      </c>
      <c r="H8" s="56" t="str">
        <f ca="1">VLOOKUP($A8,OFFSET([1]characters!$A$1,0,0,COUNTA([1]characters!$A:$A),MATCH(H$1,[1]characters!$1:$1,0)-MATCH($A$1,[1]characters!$1:$1,0)+1),MATCH(H$1,[1]characters!$1:$1,0)-MATCH($A$1,[1]characters!$1:$1,0)+1,FALSE)</f>
        <v>PremiumSSS</v>
      </c>
      <c r="I8" s="56" t="str">
        <f ca="1">VLOOKUP($A8,OFFSET([1]characters!$A$1,0,0,COUNTA([1]characters!$A:$A),MATCH(I$1,[1]characters!$1:$1,0)-MATCH($A$1,[1]characters!$1:$1,0)+1),MATCH(I$1,[1]characters!$1:$1,0)-MATCH($A$1,[1]characters!$1:$1,0)+1,FALSE)</f>
        <v>blue</v>
      </c>
      <c r="J8" s="11">
        <f ca="1">VLOOKUP(I8,[1]属性!$A:$E,2,FALSE)</f>
        <v>1</v>
      </c>
      <c r="K8" s="11">
        <f ca="1">VLOOKUP(I8,[1]属性!$A:$E,3,FALSE)</f>
        <v>0.98</v>
      </c>
      <c r="L8" s="11">
        <f ca="1">VLOOKUP(I8,[1]属性!$A:$E,4,FALSE)</f>
        <v>1</v>
      </c>
      <c r="M8" s="11">
        <f ca="1">VLOOKUP(I8,[1]属性!$A:$E,5,FALSE)</f>
        <v>1.02</v>
      </c>
      <c r="N8" s="11">
        <f ca="1">INDEX(コスト!$A$1:$I$20,MATCH(H8,コスト!$A$1:$A$20,FALSE),MATCH(G8,コスト!$A$1:$I$1,FALSE))</f>
        <v>55</v>
      </c>
      <c r="O8" s="11">
        <f ca="1">INDEX(レベル!$A$1:$I$21,MATCH(H8,レベル!$A$1:$A$21,FALSE),MATCH(G8,レベル!$A$1:$I$1,FALSE))</f>
        <v>99</v>
      </c>
      <c r="P8" s="47">
        <f t="shared" ref="P8" ca="1" si="14">IF(G8 &gt;= 6, 99,G8*15)</f>
        <v>99</v>
      </c>
      <c r="Q8" s="56" t="str">
        <f ca="1">VLOOKUP($A8,OFFSET([1]characters!$A$1,0,0,COUNTA([1]characters!$A:$A),MATCH(Q$1,[1]characters!$1:$1,0)-MATCH($A$1,[1]characters!$1:$1,0)+1),MATCH(Q$1,[1]characters!$1:$1,0)-MATCH($A$1,[1]characters!$1:$1,0)+1,FALSE)</f>
        <v>attack</v>
      </c>
      <c r="R8" s="5" t="str">
        <f ca="1">VLOOKUP(Q8,[1]character_type_i18n!$A:$H,3,FALSE)</f>
        <v>攻撃タイプ</v>
      </c>
      <c r="S8" s="11">
        <f ca="1">VLOOKUP(Q8,[1]character_type_i18n!$A:$H,4,FALSE)</f>
        <v>1</v>
      </c>
      <c r="T8" s="11">
        <f ca="1">VLOOKUP(Q8,[1]character_type_i18n!$A:$H,5,FALSE)</f>
        <v>1.33</v>
      </c>
      <c r="U8" s="11">
        <f ca="1">VLOOKUP(Q8,[1]character_type_i18n!$A:$H,6,FALSE)</f>
        <v>1</v>
      </c>
      <c r="V8" s="11">
        <f ca="1">VLOOKUP(Q8,[1]character_type_i18n!$A:$H,7,FALSE)</f>
        <v>0.67</v>
      </c>
      <c r="W8" s="56" t="str">
        <f ca="1">VLOOKUP($A8,OFFSET([1]characters!$A$1,0,0,COUNTA([1]characters!$A:$A),MATCH(W$1,[1]characters!$1:$1,0)-MATCH($A$1,[1]characters!$1:$1,0)+1),MATCH(W$1,[1]characters!$1:$1,0)-MATCH($A$1,[1]characters!$1:$1,0)+1,FALSE)</f>
        <v>academia</v>
      </c>
      <c r="X8" s="5" t="str">
        <f ca="1">VLOOKUP(W8,[1]character_tribe_i18n!$A:$H,3,FALSE)</f>
        <v>アカデミア</v>
      </c>
      <c r="Y8" s="56" t="str">
        <f ca="1">VLOOKUP($A8,OFFSET([1]characters!$A$1,0,0,COUNTA([1]characters!$A:$A),MATCH(Y$1,[1]characters!$1:$1,0)-MATCH($A$1,[1]characters!$1:$1,0)+1),MATCH(Y$1,[1]characters!$1:$1,0)-MATCH($A$1,[1]characters!$1:$1,0)+1,FALSE)</f>
        <v>animal</v>
      </c>
      <c r="Z8" s="5" t="str">
        <f ca="1">VLOOKUP(Y8,[1]character_tribe_i18n!$A:$H,3,FALSE)</f>
        <v>アニマル</v>
      </c>
      <c r="AA8" s="11">
        <f ca="1">VLOOKUP(W8,[1]character_tribe_i18n!$A:$H,4,FALSE)</f>
        <v>1</v>
      </c>
      <c r="AB8" s="11">
        <f ca="1">VLOOKUP(W8,[1]character_tribe_i18n!$A:$H,5,FALSE)</f>
        <v>1</v>
      </c>
      <c r="AC8" s="11">
        <f ca="1">VLOOKUP(W8,[1]character_tribe_i18n!$A:$H,6,FALSE)</f>
        <v>1</v>
      </c>
      <c r="AD8" s="11">
        <f ca="1">VLOOKUP(W8,[1]character_tribe_i18n!$A:$H,7,FALSE)</f>
        <v>1</v>
      </c>
      <c r="AE8" s="9">
        <v>1113</v>
      </c>
      <c r="AF8" s="61" t="str">
        <f ca="1">IF(AE8="NULL","",VLOOKUP($AE8,OFFSET([1]characters!$A$1,0,0,COUNTA([1]characters!$A:$A),MATCH(AF$1,[1]characters!$1:$1,0)-MATCH($A$1,[1]characters!$1:$1,0)+1),MATCH(AF$1,[1]characters!$1:$1,0)-MATCH($A$1,[1]characters!$1:$1,0)+1,FALSE))</f>
        <v>聖結たる輝晶獣 ウィグナー</v>
      </c>
      <c r="AG8" s="5">
        <f ca="1">IF(ISNA(MATCH(A8,AE:AE,0)),A8,INDIRECT(ADDRESS(MATCH(A8,AE:AE,0),COLUMN())))</f>
        <v>1111</v>
      </c>
      <c r="AH8" s="61" t="str">
        <f ca="1">VLOOKUP($AG8,OFFSET([1]characters!$A$1,0,0,COUNTA([1]characters!$A:$A),MATCH(AH$1,[1]characters!$1:$1,0)-MATCH($A$1,[1]characters!$1:$1,0)+1),MATCH(AH$1,[1]characters!$1:$1,0)-MATCH($A$1,[1]characters!$1:$1,0)+1,FALSE)</f>
        <v>ウィグナー</v>
      </c>
      <c r="AI8" s="11">
        <f ca="1">IF(AE8="NULL","NULL",VLOOKUP(G8,ビット!$A$2:$B$7,2))</f>
        <v>200000</v>
      </c>
      <c r="AJ8" s="6">
        <v>2</v>
      </c>
      <c r="AK8" s="7" t="str">
        <f t="shared" si="12"/>
        <v>普通</v>
      </c>
      <c r="AL8" s="11" t="str">
        <f ca="1">INDEX(経験値!$A$1:$I$20,MATCH(H8,経験値!$A$1:$A$20,FALSE),MATCH(G8,経験値!$A$1:$I$1,FALSE))</f>
        <v>required_exp_300</v>
      </c>
      <c r="AM8" s="8">
        <f ca="1">VLOOKUP(G8,経験値!$A$27:$B$31,2)</f>
        <v>6400</v>
      </c>
      <c r="AN8" s="17">
        <f ca="1">VLOOKUP(G8,ビット!$G$2:$H$7,2)</f>
        <v>900</v>
      </c>
      <c r="AO8" s="44"/>
      <c r="AP8" s="66">
        <f t="shared" si="2"/>
        <v>1112</v>
      </c>
      <c r="AQ8" s="56" t="str">
        <f ca="1">VLOOKUP($AP8,OFFSET(unit_skills!$A$1,0,0,COUNTA(unit_skills!$A:$A),MATCH(AQ$1,unit_skills!$1:$1,0)-MATCH($AP$1,unit_skills!$1:$1,0)+1),MATCH(AQ$1,unit_skills!$1:$1,0)-MATCH($AP$1,unit_skills!$1:$1,0)+1,FALSE)</f>
        <v>反射最限レイトレーシング</v>
      </c>
      <c r="AR8" s="56" t="str">
        <f ca="1">VLOOKUP($AP8,OFFSET(unit_skills!$A$1,0,0,COUNTA(unit_skills!$A:$A),MATCH(AR$1,unit_skills!$1:$1,0)-MATCH($AP$1,unit_skills!$1:$1,0)+1),MATCH(AR$1,unit_skills!$1:$1,0)-MATCH($AP$1,unit_skills!$1:$1,0)+1,FALSE)</f>
        <v>赤パネルをCパネルに変換+3ターン青属性の攻撃力を特大UPし、Cパネル生成短縮(効果特大)</v>
      </c>
      <c r="AS8" s="56">
        <f ca="1">VLOOKUP($AP8,OFFSET(unit_skills!$A$1,0,0,COUNTA(unit_skills!$A:$A),MATCH(AS$1,unit_skills!$1:$1,0)-MATCH($AP$1,unit_skills!$1:$1,0)+1),MATCH(AS$1,unit_skills!$1:$1,0)-MATCH($AP$1,unit_skills!$1:$1,0)+1,FALSE)</f>
        <v>0</v>
      </c>
      <c r="AT8" s="40">
        <f t="shared" si="3"/>
        <v>1112</v>
      </c>
      <c r="AU8" s="56" t="str">
        <f ca="1">VLOOKUP($AT8,OFFSET(crash_skills!$A$1,0,0,COUNTA(crash_skills!$A:$A),MATCH(AU$1,crash_skills!$1:$1,0)-MATCH($AT$1,crash_skills!$1:$1,0)+1),MATCH(AU$1,crash_skills!$1:$1,0)-MATCH($AT$1,crash_skills!$1:$1,0)+1,FALSE)</f>
        <v>ライト・イン・グッドラック</v>
      </c>
      <c r="AV8" s="56" t="str">
        <f ca="1">VLOOKUP($AT8,OFFSET(crash_skills!$A$1,0,0,COUNTA(crash_skills!$A:$A),MATCH(AV$1,crash_skills!$1:$1,0)-MATCH($AT$1,crash_skills!$1:$1,0)+1),MATCH(AV$1,crash_skills!$1:$1,0)-MATCH($AT$1,crash_skills!$1:$1,0)+1,FALSE)</f>
        <v>1体に大ダメージ</v>
      </c>
      <c r="AW8" s="56">
        <f ca="1">VLOOKUP($AT8,OFFSET(crash_skills!$A$1,0,0,COUNTA(crash_skills!$A:$A),MATCH(AW$1,crash_skills!$1:$1,0)-MATCH($AT$1,crash_skills!$1:$1,0)+1),MATCH(AW$1,crash_skills!$1:$1,0)-MATCH($AT$1,crash_skills!$1:$1,0)+1,FALSE)</f>
        <v>0</v>
      </c>
      <c r="AX8" s="57">
        <f ca="1">VLOOKUP($A8,OFFSET([1]characters!$A$1,0,0,COUNTA([1]characters!$A:$A),MATCH(AX$1,[1]characters!$1:$1,0)-MATCH($A$1,[1]characters!$1:$1,0)+1),MATCH(AX$1,[1]characters!$1:$1,0)-MATCH($A$1,[1]characters!$1:$1,0)+1,FALSE)</f>
        <v>3</v>
      </c>
      <c r="AY8" s="67">
        <v>0.97</v>
      </c>
      <c r="AZ8" s="67">
        <v>1</v>
      </c>
      <c r="BA8" s="67">
        <v>0</v>
      </c>
      <c r="BB8" s="67">
        <v>1</v>
      </c>
      <c r="BC8" s="11">
        <f ca="1">INDEX('RC6SV'!$A$1:$G$20,MATCH(H8,'RC6SV'!$A$1:$A$20,FALSE),MATCH(G8,'RC6SV'!$A$1:$G$1,FALSE))</f>
        <v>14000</v>
      </c>
      <c r="BD8" s="47">
        <f t="shared" ca="1" si="13"/>
        <v>14000</v>
      </c>
      <c r="BE8" s="11">
        <f t="shared" ca="1" si="5"/>
        <v>10000</v>
      </c>
      <c r="BF8" s="11">
        <f t="shared" ca="1" si="6"/>
        <v>1</v>
      </c>
      <c r="BG8" s="16">
        <f ca="1">IF($BE8&lt;=0,ROUND(BK8*0.5,0), ROUND($BE8*S8*AA8*J8*AY8*0.8*[1]ステータス!$B$2,0))</f>
        <v>3880</v>
      </c>
      <c r="BH8" s="16">
        <f ca="1">IF($BE8&lt;=0,ROUND(BL8*0.5,0), ROUND($BE8*T8*AB8*K8*AZ8*0.8*[1]ステータス!$C$2,0))</f>
        <v>3128</v>
      </c>
      <c r="BI8" s="16">
        <f ca="1">IF($BE8&lt;=0,ROUND(BM8*0.5,0), ROUND($BE8*U8*AC8*L8*BA8*0.8*[1]ステータス!$D$2,0))</f>
        <v>0</v>
      </c>
      <c r="BJ8" s="16">
        <f ca="1">IF($BE8&lt;=0,ROUND(BN8*0.5,0), ROUND($BE8*V8*AD8*M8*BB8*0.8*[1]ステータス!$E$2,0))</f>
        <v>1367</v>
      </c>
      <c r="BK8" s="11">
        <f ca="1">ROUND(BD8*S8*AA8*J8*AY8*[1]ステータス!$B$2,0)</f>
        <v>6790</v>
      </c>
      <c r="BL8" s="11">
        <f ca="1">ROUND(BD8*T8*AB8*K8*AZ8*[1]ステータス!$C$2,0)</f>
        <v>5474</v>
      </c>
      <c r="BM8" s="11">
        <f ca="1">ROUND(BD8*U8*AC8*L8*BA8*[1]ステータス!$D$2,0)</f>
        <v>0</v>
      </c>
      <c r="BN8" s="11">
        <f ca="1">ROUND(BD8*V8*AD8*M8*BB8*[1]ステータス!$E$2,0)</f>
        <v>2392</v>
      </c>
      <c r="BO8" s="10">
        <v>0</v>
      </c>
      <c r="BP8" s="10">
        <v>1</v>
      </c>
      <c r="BQ8" s="10" t="s">
        <v>47</v>
      </c>
      <c r="BR8" s="198">
        <v>5500</v>
      </c>
    </row>
    <row r="9" spans="1:70" ht="26" customHeight="1" x14ac:dyDescent="0.15">
      <c r="A9" s="12">
        <v>1113</v>
      </c>
      <c r="B9" s="56" t="str">
        <f ca="1">VLOOKUP($A9,OFFSET([1]characters!$A$1,0,0,COUNTA([1]characters!$A:$A),MATCH(B$1,[1]characters!$1:$1,0)-MATCH($A$1,[1]characters!$1:$1,0)+1),MATCH(B$1,[1]characters!$1:$1,0)-MATCH($A$1,[1]characters!$1:$1,0)+1,FALSE)</f>
        <v>聖結たる輝晶獣 ウィグナー</v>
      </c>
      <c r="C9" s="56" t="str">
        <f ca="1">VLOOKUP($A9,OFFSET([1]characters!$A$1,0,0,COUNTA([1]characters!$A:$A),MATCH(C$1,[1]characters!$1:$1,0)-MATCH($A$1,[1]characters!$1:$1,0)+1),MATCH(C$1,[1]characters!$1:$1,0)-MATCH($A$1,[1]characters!$1:$1,0)+1,FALSE)</f>
        <v>未定</v>
      </c>
      <c r="D9" s="56" t="str">
        <f ca="1">VLOOKUP($A9,OFFSET([1]characters!$A$1,0,0,COUNTA([1]characters!$A:$A),MATCH(D$1,[1]characters!$1:$1,0)-MATCH($A$1,[1]characters!$1:$1,0)+1),MATCH(D$1,[1]characters!$1:$1,0)-MATCH($A$1,[1]characters!$1:$1,0)+1,FALSE)</f>
        <v>アリス</v>
      </c>
      <c r="E9" s="56" t="str">
        <f ca="1">VLOOKUP($A9,OFFSET([1]characters!$A$1,0,0,COUNTA([1]characters!$A:$A),MATCH(E$1,[1]characters!$1:$1,0)-MATCH($A$1,[1]characters!$1:$1,0)+1),MATCH(E$1,[1]characters!$1:$1,0)-MATCH($A$1,[1]characters!$1:$1,0)+1,FALSE)</f>
        <v>世界観</v>
      </c>
      <c r="F9" s="56" t="str">
        <f ca="1">VLOOKUP($A9,OFFSET([1]characters!$A$1,0,0,COUNTA([1]characters!$A:$A),MATCH(F$1,[1]characters!$1:$1,0)-MATCH($A$1,[1]characters!$1:$1,0)+1),MATCH(F$1,[1]characters!$1:$1,0)-MATCH($A$1,[1]characters!$1:$1,0)+1,FALSE)</f>
        <v>不明</v>
      </c>
      <c r="G9" s="56">
        <f ca="1">VLOOKUP($A9,OFFSET([1]characters!$A$1,0,0,COUNTA([1]characters!$A:$A),MATCH(G$1,[1]characters!$1:$1,0)-MATCH($A$1,[1]characters!$1:$1,0)+1),MATCH(G$1,[1]characters!$1:$1,0)-MATCH($A$1,[1]characters!$1:$1,0)+1,FALSE)</f>
        <v>6</v>
      </c>
      <c r="H9" s="56" t="str">
        <f ca="1">VLOOKUP($A9,OFFSET([1]characters!$A$1,0,0,COUNTA([1]characters!$A:$A),MATCH(H$1,[1]characters!$1:$1,0)-MATCH($A$1,[1]characters!$1:$1,0)+1),MATCH(H$1,[1]characters!$1:$1,0)-MATCH($A$1,[1]characters!$1:$1,0)+1,FALSE)</f>
        <v>PremiumSSS</v>
      </c>
      <c r="I9" s="56" t="str">
        <f ca="1">VLOOKUP($A9,OFFSET([1]characters!$A$1,0,0,COUNTA([1]characters!$A:$A),MATCH(I$1,[1]characters!$1:$1,0)-MATCH($A$1,[1]characters!$1:$1,0)+1),MATCH(I$1,[1]characters!$1:$1,0)-MATCH($A$1,[1]characters!$1:$1,0)+1,FALSE)</f>
        <v>blue</v>
      </c>
      <c r="J9" s="11">
        <f ca="1">VLOOKUP(I9,[1]属性!$A:$E,2,FALSE)</f>
        <v>1</v>
      </c>
      <c r="K9" s="11">
        <f ca="1">VLOOKUP(I9,[1]属性!$A:$E,3,FALSE)</f>
        <v>0.98</v>
      </c>
      <c r="L9" s="11">
        <f ca="1">VLOOKUP(I9,[1]属性!$A:$E,4,FALSE)</f>
        <v>1</v>
      </c>
      <c r="M9" s="11">
        <f ca="1">VLOOKUP(I9,[1]属性!$A:$E,5,FALSE)</f>
        <v>1.02</v>
      </c>
      <c r="N9" s="11">
        <f ca="1">INDEX(コスト!$A$1:$I$20,MATCH(H9,コスト!$A$1:$A$20,FALSE),MATCH(G9,コスト!$A$1:$I$1,FALSE))</f>
        <v>55</v>
      </c>
      <c r="O9" s="11">
        <f ca="1">INDEX(レベル!$A$1:$I$21,MATCH(H9,レベル!$A$1:$A$21,FALSE),MATCH(G9,レベル!$A$1:$I$1,FALSE))</f>
        <v>99</v>
      </c>
      <c r="P9" s="47">
        <f t="shared" ref="P9" ca="1" si="15">IF(G9 &gt;= 6, 99,G9*15)</f>
        <v>99</v>
      </c>
      <c r="Q9" s="56" t="str">
        <f ca="1">VLOOKUP($A9,OFFSET([1]characters!$A$1,0,0,COUNTA([1]characters!$A:$A),MATCH(Q$1,[1]characters!$1:$1,0)-MATCH($A$1,[1]characters!$1:$1,0)+1),MATCH(Q$1,[1]characters!$1:$1,0)-MATCH($A$1,[1]characters!$1:$1,0)+1,FALSE)</f>
        <v>balance</v>
      </c>
      <c r="R9" s="5" t="str">
        <f ca="1">VLOOKUP(Q9,[1]character_type_i18n!$A:$H,3,FALSE)</f>
        <v>バランスタイプ</v>
      </c>
      <c r="S9" s="11">
        <f ca="1">VLOOKUP(Q9,[1]character_type_i18n!$A:$H,4,FALSE)</f>
        <v>1</v>
      </c>
      <c r="T9" s="11">
        <f ca="1">VLOOKUP(Q9,[1]character_type_i18n!$A:$H,5,FALSE)</f>
        <v>1</v>
      </c>
      <c r="U9" s="11">
        <f ca="1">VLOOKUP(Q9,[1]character_type_i18n!$A:$H,6,FALSE)</f>
        <v>1</v>
      </c>
      <c r="V9" s="11">
        <f ca="1">VLOOKUP(Q9,[1]character_type_i18n!$A:$H,7,FALSE)</f>
        <v>1</v>
      </c>
      <c r="W9" s="56" t="str">
        <f ca="1">VLOOKUP($A9,OFFSET([1]characters!$A$1,0,0,COUNTA([1]characters!$A:$A),MATCH(W$1,[1]characters!$1:$1,0)-MATCH($A$1,[1]characters!$1:$1,0)+1),MATCH(W$1,[1]characters!$1:$1,0)-MATCH($A$1,[1]characters!$1:$1,0)+1,FALSE)</f>
        <v>academia</v>
      </c>
      <c r="X9" s="5" t="str">
        <f ca="1">VLOOKUP(W9,[1]character_tribe_i18n!$A:$H,3,FALSE)</f>
        <v>アカデミア</v>
      </c>
      <c r="Y9" s="56" t="str">
        <f ca="1">VLOOKUP($A9,OFFSET([1]characters!$A$1,0,0,COUNTA([1]characters!$A:$A),MATCH(Y$1,[1]characters!$1:$1,0)-MATCH($A$1,[1]characters!$1:$1,0)+1),MATCH(Y$1,[1]characters!$1:$1,0)-MATCH($A$1,[1]characters!$1:$1,0)+1,FALSE)</f>
        <v>animal</v>
      </c>
      <c r="Z9" s="5" t="str">
        <f ca="1">VLOOKUP(Y9,[1]character_tribe_i18n!$A:$H,3,FALSE)</f>
        <v>アニマル</v>
      </c>
      <c r="AA9" s="11">
        <f ca="1">VLOOKUP(W9,[1]character_tribe_i18n!$A:$H,4,FALSE)</f>
        <v>1</v>
      </c>
      <c r="AB9" s="11">
        <f ca="1">VLOOKUP(W9,[1]character_tribe_i18n!$A:$H,5,FALSE)</f>
        <v>1</v>
      </c>
      <c r="AC9" s="11">
        <f ca="1">VLOOKUP(W9,[1]character_tribe_i18n!$A:$H,6,FALSE)</f>
        <v>1</v>
      </c>
      <c r="AD9" s="11">
        <f ca="1">VLOOKUP(W9,[1]character_tribe_i18n!$A:$H,7,FALSE)</f>
        <v>1</v>
      </c>
      <c r="AE9" s="9">
        <v>1112</v>
      </c>
      <c r="AF9" s="61" t="str">
        <f ca="1">IF(AE9="NULL","",VLOOKUP($AE9,OFFSET([1]characters!$A$1,0,0,COUNTA([1]characters!$A:$A),MATCH(AF$1,[1]characters!$1:$1,0)-MATCH($A$1,[1]characters!$1:$1,0)+1),MATCH(AF$1,[1]characters!$1:$1,0)-MATCH($A$1,[1]characters!$1:$1,0)+1,FALSE))</f>
        <v>正統なる傑晶 ウィグナー</v>
      </c>
      <c r="AG9" s="5">
        <f ca="1">IF(ISNA(MATCH(A9,AE:AE,0)),A9,INDIRECT(ADDRESS(MATCH(A9,AE:AE,0),COLUMN())))</f>
        <v>1111</v>
      </c>
      <c r="AH9" s="61" t="str">
        <f ca="1">VLOOKUP($AG9,OFFSET([1]characters!$A$1,0,0,COUNTA([1]characters!$A:$A),MATCH(AH$1,[1]characters!$1:$1,0)-MATCH($A$1,[1]characters!$1:$1,0)+1),MATCH(AH$1,[1]characters!$1:$1,0)-MATCH($A$1,[1]characters!$1:$1,0)+1,FALSE)</f>
        <v>ウィグナー</v>
      </c>
      <c r="AI9" s="11">
        <f ca="1">IF(AE9="NULL","NULL",VLOOKUP(G9,ビット!$A$2:$B$7,2))</f>
        <v>200000</v>
      </c>
      <c r="AJ9" s="6">
        <v>2</v>
      </c>
      <c r="AK9" s="7" t="str">
        <f t="shared" ref="AK9" si="16">IF(AJ9=1,"早熟",IF(AJ9=2,"普通",IF(AJ9=3,"晩成","")))</f>
        <v>普通</v>
      </c>
      <c r="AL9" s="11" t="str">
        <f ca="1">INDEX(経験値!$A$1:$I$20,MATCH(H9,経験値!$A$1:$A$20,FALSE),MATCH(G9,経験値!$A$1:$I$1,FALSE))</f>
        <v>required_exp_300</v>
      </c>
      <c r="AM9" s="8">
        <f ca="1">VLOOKUP(G9,経験値!$A$27:$B$31,2)</f>
        <v>6400</v>
      </c>
      <c r="AN9" s="17">
        <f ca="1">VLOOKUP(G9,ビット!$G$2:$H$7,2)</f>
        <v>900</v>
      </c>
      <c r="AO9" s="44"/>
      <c r="AP9" s="66">
        <f t="shared" si="2"/>
        <v>1113</v>
      </c>
      <c r="AQ9" s="56" t="str">
        <f ca="1">VLOOKUP($AP9,OFFSET(unit_skills!$A$1,0,0,COUNTA(unit_skills!$A:$A),MATCH(AQ$1,unit_skills!$1:$1,0)-MATCH($AP$1,unit_skills!$1:$1,0)+1),MATCH(AQ$1,unit_skills!$1:$1,0)-MATCH($AP$1,unit_skills!$1:$1,0)+1,FALSE)</f>
        <v>空檻乱射ブリュリアンゾーン</v>
      </c>
      <c r="AR9" s="56" t="str">
        <f ca="1">VLOOKUP($AP9,OFFSET(unit_skills!$A$1,0,0,COUNTA(unit_skills!$A:$A),MATCH(AR$1,unit_skills!$1:$1,0)-MATCH($AP$1,unit_skills!$1:$1,0)+1),MATCH(AR$1,unit_skills!$1:$1,0)-MATCH($AP$1,unit_skills!$1:$1,0)+1,FALSE)</f>
        <v>ハートパネルを青パネルに、ランダムで2つSCパネルに変換+2ターン敵の攻撃を40％軽減</v>
      </c>
      <c r="AS9" s="56">
        <f ca="1">VLOOKUP($AP9,OFFSET(unit_skills!$A$1,0,0,COUNTA(unit_skills!$A:$A),MATCH(AS$1,unit_skills!$1:$1,0)-MATCH($AP$1,unit_skills!$1:$1,0)+1),MATCH(AS$1,unit_skills!$1:$1,0)-MATCH($AP$1,unit_skills!$1:$1,0)+1,FALSE)</f>
        <v>0</v>
      </c>
      <c r="AT9" s="40">
        <f t="shared" si="3"/>
        <v>1113</v>
      </c>
      <c r="AU9" s="56" t="str">
        <f ca="1">VLOOKUP($AT9,OFFSET(crash_skills!$A$1,0,0,COUNTA(crash_skills!$A:$A),MATCH(AU$1,crash_skills!$1:$1,0)-MATCH($AT$1,crash_skills!$1:$1,0)+1),MATCH(AU$1,crash_skills!$1:$1,0)-MATCH($AT$1,crash_skills!$1:$1,0)+1,FALSE)</f>
        <v>ウィグザーツ・クリスタル</v>
      </c>
      <c r="AV9" s="56" t="str">
        <f ca="1">VLOOKUP($AT9,OFFSET(crash_skills!$A$1,0,0,COUNTA(crash_skills!$A:$A),MATCH(AV$1,crash_skills!$1:$1,0)-MATCH($AT$1,crash_skills!$1:$1,0)+1),MATCH(AV$1,crash_skills!$1:$1,0)-MATCH($AT$1,crash_skills!$1:$1,0)+1,FALSE)</f>
        <v>1体に超大ダメージ</v>
      </c>
      <c r="AW9" s="56">
        <f ca="1">VLOOKUP($AT9,OFFSET(crash_skills!$A$1,0,0,COUNTA(crash_skills!$A:$A),MATCH(AW$1,crash_skills!$1:$1,0)-MATCH($AT$1,crash_skills!$1:$1,0)+1),MATCH(AW$1,crash_skills!$1:$1,0)-MATCH($AT$1,crash_skills!$1:$1,0)+1,FALSE)</f>
        <v>0</v>
      </c>
      <c r="AX9" s="57">
        <f ca="1">VLOOKUP($A9,OFFSET([1]characters!$A$1,0,0,COUNTA([1]characters!$A:$A),MATCH(AX$1,[1]characters!$1:$1,0)-MATCH($A$1,[1]characters!$1:$1,0)+1),MATCH(AX$1,[1]characters!$1:$1,0)-MATCH($A$1,[1]characters!$1:$1,0)+1,FALSE)</f>
        <v>3</v>
      </c>
      <c r="AY9" s="67">
        <v>0.98</v>
      </c>
      <c r="AZ9" s="67">
        <v>1</v>
      </c>
      <c r="BA9" s="67">
        <v>0</v>
      </c>
      <c r="BB9" s="67">
        <v>0.95</v>
      </c>
      <c r="BC9" s="11">
        <f ca="1">INDEX('RC6SV'!$A$1:$G$20,MATCH(H9,'RC6SV'!$A$1:$A$20,FALSE),MATCH(G9,'RC6SV'!$A$1:$G$1,FALSE))</f>
        <v>14000</v>
      </c>
      <c r="BD9" s="47">
        <f t="shared" ref="BD9" ca="1" si="17">ROUND(BC9*IF(AJ9=1,0.95,IF(AJ9=2,1,IF(AJ9,1.05,0))),0)</f>
        <v>14000</v>
      </c>
      <c r="BE9" s="11">
        <f t="shared" ca="1" si="5"/>
        <v>14000</v>
      </c>
      <c r="BF9" s="11">
        <f t="shared" ca="1" si="6"/>
        <v>1</v>
      </c>
      <c r="BG9" s="16">
        <f ca="1">IF($BE9&lt;=0,ROUND(BK9*0.5,0), ROUND($BE9*S9*AA9*J9*AY9*0.8*[1]ステータス!$B$2,0))</f>
        <v>5488</v>
      </c>
      <c r="BH9" s="16">
        <f ca="1">IF($BE9&lt;=0,ROUND(BL9*0.5,0), ROUND($BE9*T9*AB9*K9*AZ9*0.8*[1]ステータス!$C$2,0))</f>
        <v>3293</v>
      </c>
      <c r="BI9" s="16">
        <f ca="1">IF($BE9&lt;=0,ROUND(BM9*0.5,0), ROUND($BE9*U9*AC9*L9*BA9*0.8*[1]ステータス!$D$2,0))</f>
        <v>0</v>
      </c>
      <c r="BJ9" s="16">
        <f ca="1">IF($BE9&lt;=0,ROUND(BN9*0.5,0), ROUND($BE9*V9*AD9*M9*BB9*0.8*[1]ステータス!$E$2,0))</f>
        <v>2713</v>
      </c>
      <c r="BK9" s="11">
        <f ca="1">ROUND(BD9*S9*AA9*J9*AY9*[1]ステータス!$B$2,0)</f>
        <v>6860</v>
      </c>
      <c r="BL9" s="11">
        <f ca="1">ROUND(BD9*T9*AB9*K9*AZ9*[1]ステータス!$C$2,0)</f>
        <v>4116</v>
      </c>
      <c r="BM9" s="11">
        <f ca="1">ROUND(BD9*U9*AC9*L9*BA9*[1]ステータス!$D$2,0)</f>
        <v>0</v>
      </c>
      <c r="BN9" s="11">
        <f ca="1">ROUND(BD9*V9*AD9*M9*BB9*[1]ステータス!$E$2,0)</f>
        <v>3392</v>
      </c>
      <c r="BO9" s="10">
        <v>0</v>
      </c>
      <c r="BP9" s="10">
        <v>1</v>
      </c>
      <c r="BQ9" s="10" t="s">
        <v>47</v>
      </c>
      <c r="BR9" s="198">
        <v>5500</v>
      </c>
    </row>
  </sheetData>
  <autoFilter ref="A1:BQ1"/>
  <phoneticPr fontId="10"/>
  <conditionalFormatting sqref="BO1">
    <cfRule type="cellIs" dxfId="50" priority="120" stopIfTrue="1" operator="equal">
      <formula>1</formula>
    </cfRule>
  </conditionalFormatting>
  <conditionalFormatting sqref="BQ1">
    <cfRule type="cellIs" dxfId="4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9"/>
  <sheetViews>
    <sheetView showGridLines="0" workbookViewId="0">
      <pane xSplit="4" ySplit="1" topLeftCell="F2" activePane="bottomRight" state="frozen"/>
      <selection pane="topRight" activeCell="D1" sqref="D1"/>
      <selection pane="bottomLeft" activeCell="A2" sqref="A2"/>
      <selection pane="bottomRight" activeCell="I11" sqref="I11"/>
    </sheetView>
  </sheetViews>
  <sheetFormatPr baseColWidth="12" defaultColWidth="13" defaultRowHeight="21" customHeight="1" outlineLevelCol="1" x14ac:dyDescent="0.15"/>
  <cols>
    <col min="1" max="1" width="16.1640625" style="130" bestFit="1" customWidth="1"/>
    <col min="2" max="2" width="13" style="130" bestFit="1" customWidth="1"/>
    <col min="3" max="3" width="21.83203125" style="130" customWidth="1"/>
    <col min="4" max="4" width="41.83203125" style="130" customWidth="1"/>
    <col min="5" max="5" width="9" style="130" customWidth="1"/>
    <col min="6" max="6" width="7.83203125" style="130" bestFit="1" customWidth="1"/>
    <col min="7" max="7" width="8.1640625" style="130" bestFit="1" customWidth="1"/>
    <col min="8" max="8" width="13.6640625" style="130" bestFit="1" customWidth="1"/>
    <col min="9" max="10" width="51.6640625" style="130" customWidth="1"/>
    <col min="11" max="11" width="10.83203125" style="130" customWidth="1" outlineLevel="1"/>
    <col min="12" max="17" width="9.5" style="129" customWidth="1" outlineLevel="1"/>
    <col min="18" max="18" width="20.33203125" style="130" customWidth="1" outlineLevel="1"/>
    <col min="19" max="19" width="10.33203125" style="130" bestFit="1" customWidth="1"/>
    <col min="20" max="16384" width="13" style="130"/>
  </cols>
  <sheetData>
    <row r="1" spans="1:19" s="129" customFormat="1" ht="21" customHeight="1" x14ac:dyDescent="0.15">
      <c r="A1" s="118" t="s">
        <v>20</v>
      </c>
      <c r="B1" s="119" t="s">
        <v>134</v>
      </c>
      <c r="C1" s="120" t="s">
        <v>40</v>
      </c>
      <c r="D1" s="121" t="s">
        <v>163</v>
      </c>
      <c r="E1" s="121" t="s">
        <v>164</v>
      </c>
      <c r="F1" s="118" t="s">
        <v>146</v>
      </c>
      <c r="G1" s="122" t="s">
        <v>2</v>
      </c>
      <c r="H1" s="122" t="s">
        <v>165</v>
      </c>
      <c r="I1" s="122" t="s">
        <v>166</v>
      </c>
      <c r="J1" s="123" t="s">
        <v>184</v>
      </c>
      <c r="K1" s="122" t="s">
        <v>4</v>
      </c>
      <c r="L1" s="124" t="s">
        <v>167</v>
      </c>
      <c r="M1" s="125" t="s">
        <v>168</v>
      </c>
      <c r="N1" s="125" t="s">
        <v>169</v>
      </c>
      <c r="O1" s="125" t="s">
        <v>170</v>
      </c>
      <c r="P1" s="125" t="s">
        <v>171</v>
      </c>
      <c r="Q1" s="126" t="s">
        <v>172</v>
      </c>
      <c r="R1" s="127" t="s">
        <v>173</v>
      </c>
      <c r="S1" s="128" t="s">
        <v>174</v>
      </c>
    </row>
    <row r="2" spans="1:19" ht="21" customHeight="1" x14ac:dyDescent="0.4">
      <c r="A2" s="12">
        <v>874</v>
      </c>
      <c r="B2" s="133" t="s">
        <v>185</v>
      </c>
      <c r="C2" s="178" t="s">
        <v>288</v>
      </c>
      <c r="D2" s="134" t="s">
        <v>291</v>
      </c>
      <c r="E2" s="135">
        <f t="shared" ref="E2:E9" si="0">LEN(D2)</f>
        <v>43</v>
      </c>
      <c r="F2" s="117">
        <v>13</v>
      </c>
      <c r="G2" s="117">
        <v>7</v>
      </c>
      <c r="H2" s="136">
        <f>2001</f>
        <v>2001</v>
      </c>
      <c r="I2" s="136" t="s">
        <v>343</v>
      </c>
      <c r="J2" s="56" t="str">
        <f ca="1">VLOOKUP($A2,OFFSET([1]characters!$A$1,0,0,COUNTA([1]characters!$A:$A),MATCH("name",[1]characters!$1:$1,0)-MATCH("character_id",[1]characters!$1:$1,0)+1),MATCH("name",[1]characters!$1:$1,0)-MATCH("character_id",[1]characters!$1:$1,0)+1,FALSE)</f>
        <v>フレネル</v>
      </c>
      <c r="K2" s="137">
        <v>3</v>
      </c>
      <c r="L2" s="138"/>
      <c r="M2" s="139"/>
      <c r="N2" s="139"/>
      <c r="O2" s="139"/>
      <c r="P2" s="139"/>
      <c r="Q2" s="139"/>
      <c r="R2" s="134"/>
      <c r="S2" s="140"/>
    </row>
    <row r="3" spans="1:19" ht="21" customHeight="1" x14ac:dyDescent="0.4">
      <c r="A3" s="12">
        <v>875</v>
      </c>
      <c r="B3" s="133" t="s">
        <v>185</v>
      </c>
      <c r="C3" s="178" t="s">
        <v>288</v>
      </c>
      <c r="D3" s="134" t="s">
        <v>291</v>
      </c>
      <c r="E3" s="135">
        <f t="shared" si="0"/>
        <v>43</v>
      </c>
      <c r="F3" s="117">
        <v>13</v>
      </c>
      <c r="G3" s="117">
        <v>7</v>
      </c>
      <c r="H3" s="136">
        <f>2001</f>
        <v>2001</v>
      </c>
      <c r="I3" s="136" t="s">
        <v>290</v>
      </c>
      <c r="J3" s="56" t="str">
        <f ca="1">VLOOKUP($A3,OFFSET([1]characters!$A$1,0,0,COUNTA([1]characters!$A:$A),MATCH("name",[1]characters!$1:$1,0)-MATCH("character_id",[1]characters!$1:$1,0)+1),MATCH("name",[1]characters!$1:$1,0)-MATCH("character_id",[1]characters!$1:$1,0)+1,FALSE)</f>
        <v>覇導の光跡 フレネル</v>
      </c>
      <c r="K3" s="137">
        <v>3</v>
      </c>
      <c r="L3" s="138"/>
      <c r="M3" s="139"/>
      <c r="N3" s="139"/>
      <c r="O3" s="139"/>
      <c r="P3" s="139"/>
      <c r="Q3" s="139"/>
      <c r="R3" s="134"/>
      <c r="S3" s="140"/>
    </row>
    <row r="4" spans="1:19" ht="21" customHeight="1" x14ac:dyDescent="0.4">
      <c r="A4" s="12">
        <v>958</v>
      </c>
      <c r="B4" s="133" t="s">
        <v>185</v>
      </c>
      <c r="C4" s="178" t="s">
        <v>323</v>
      </c>
      <c r="D4" s="134" t="s">
        <v>340</v>
      </c>
      <c r="E4" s="135">
        <f t="shared" si="0"/>
        <v>49</v>
      </c>
      <c r="F4" s="117">
        <v>13</v>
      </c>
      <c r="G4" s="117">
        <v>7</v>
      </c>
      <c r="H4" s="136">
        <f>2001</f>
        <v>2001</v>
      </c>
      <c r="I4" s="179" t="s">
        <v>339</v>
      </c>
      <c r="J4" s="56" t="str">
        <f ca="1">VLOOKUP($A4,OFFSET([1]characters!$A$1,0,0,COUNTA([1]characters!$A:$A),MATCH("name",[1]characters!$1:$1,0)-MATCH("character_id",[1]characters!$1:$1,0)+1),MATCH("name",[1]characters!$1:$1,0)-MATCH("character_id",[1]characters!$1:$1,0)+1,FALSE)</f>
        <v>ド・モルガン</v>
      </c>
      <c r="K4" s="137">
        <v>3</v>
      </c>
      <c r="L4" s="138"/>
      <c r="M4" s="139"/>
      <c r="N4" s="139"/>
      <c r="O4" s="139"/>
      <c r="P4" s="139"/>
      <c r="Q4" s="139"/>
      <c r="R4" s="134"/>
      <c r="S4" s="140"/>
    </row>
    <row r="5" spans="1:19" ht="21" customHeight="1" x14ac:dyDescent="0.4">
      <c r="A5" s="12">
        <v>959</v>
      </c>
      <c r="B5" s="133" t="s">
        <v>185</v>
      </c>
      <c r="C5" s="178" t="s">
        <v>323</v>
      </c>
      <c r="D5" s="134" t="s">
        <v>340</v>
      </c>
      <c r="E5" s="135">
        <f t="shared" si="0"/>
        <v>49</v>
      </c>
      <c r="F5" s="117">
        <v>13</v>
      </c>
      <c r="G5" s="117">
        <v>7</v>
      </c>
      <c r="H5" s="136">
        <f>2001</f>
        <v>2001</v>
      </c>
      <c r="I5" s="179" t="s">
        <v>341</v>
      </c>
      <c r="J5" s="56" t="str">
        <f ca="1">VLOOKUP($A5,OFFSET([1]characters!$A$1,0,0,COUNTA([1]characters!$A:$A),MATCH("name",[1]characters!$1:$1,0)-MATCH("character_id",[1]characters!$1:$1,0)+1),MATCH("name",[1]characters!$1:$1,0)-MATCH("character_id",[1]characters!$1:$1,0)+1,FALSE)</f>
        <v>双世の論和 ド・モルガン</v>
      </c>
      <c r="K5" s="137">
        <v>3</v>
      </c>
      <c r="L5" s="138"/>
      <c r="M5" s="139"/>
      <c r="N5" s="139"/>
      <c r="O5" s="139"/>
      <c r="P5" s="139"/>
      <c r="Q5" s="139"/>
      <c r="R5" s="134"/>
      <c r="S5" s="140"/>
    </row>
    <row r="6" spans="1:19" ht="21" customHeight="1" x14ac:dyDescent="0.4">
      <c r="A6" s="12">
        <v>960</v>
      </c>
      <c r="B6" s="133" t="s">
        <v>185</v>
      </c>
      <c r="C6" s="178" t="s">
        <v>324</v>
      </c>
      <c r="D6" s="134" t="s">
        <v>335</v>
      </c>
      <c r="E6" s="135">
        <f t="shared" si="0"/>
        <v>41</v>
      </c>
      <c r="F6" s="117">
        <v>13</v>
      </c>
      <c r="G6" s="117">
        <v>7</v>
      </c>
      <c r="H6" s="136">
        <f>2001</f>
        <v>2001</v>
      </c>
      <c r="I6" s="179" t="s">
        <v>338</v>
      </c>
      <c r="J6" s="56" t="str">
        <f ca="1">VLOOKUP($A6,OFFSET([1]characters!$A$1,0,0,COUNTA([1]characters!$A:$A),MATCH("name",[1]characters!$1:$1,0)-MATCH("character_id",[1]characters!$1:$1,0)+1),MATCH("name",[1]characters!$1:$1,0)-MATCH("character_id",[1]characters!$1:$1,0)+1,FALSE)</f>
        <v>双対する真偽者 ド・モルガン</v>
      </c>
      <c r="K6" s="137">
        <v>3</v>
      </c>
      <c r="L6" s="138"/>
      <c r="M6" s="139"/>
      <c r="N6" s="139"/>
      <c r="O6" s="139"/>
      <c r="P6" s="139"/>
      <c r="Q6" s="139"/>
      <c r="R6" s="134"/>
      <c r="S6" s="140"/>
    </row>
    <row r="7" spans="1:19" ht="21" customHeight="1" x14ac:dyDescent="0.15">
      <c r="A7" s="12">
        <v>1111</v>
      </c>
      <c r="B7" s="133" t="s">
        <v>185</v>
      </c>
      <c r="C7" s="197" t="s">
        <v>357</v>
      </c>
      <c r="D7" s="196" t="s">
        <v>345</v>
      </c>
      <c r="E7" s="135">
        <f t="shared" si="0"/>
        <v>45</v>
      </c>
      <c r="F7" s="117">
        <v>13</v>
      </c>
      <c r="G7" s="117">
        <v>7</v>
      </c>
      <c r="H7" s="136">
        <f>2001</f>
        <v>2001</v>
      </c>
      <c r="I7" s="179" t="s">
        <v>352</v>
      </c>
      <c r="J7" s="56" t="str">
        <f ca="1">VLOOKUP($A7,OFFSET([1]characters!$A$1,0,0,COUNTA([1]characters!$A:$A),MATCH("name",[1]characters!$1:$1,0)-MATCH("character_id",[1]characters!$1:$1,0)+1),MATCH("name",[1]characters!$1:$1,0)-MATCH("character_id",[1]characters!$1:$1,0)+1,FALSE)</f>
        <v>ウィグナー</v>
      </c>
      <c r="K7" s="137">
        <v>3</v>
      </c>
      <c r="L7" s="138"/>
      <c r="M7" s="139"/>
      <c r="N7" s="139"/>
      <c r="O7" s="139"/>
      <c r="P7" s="139"/>
      <c r="Q7" s="139"/>
      <c r="R7" s="134"/>
      <c r="S7" s="140"/>
    </row>
    <row r="8" spans="1:19" ht="21" customHeight="1" x14ac:dyDescent="0.15">
      <c r="A8" s="12">
        <v>1112</v>
      </c>
      <c r="B8" s="133" t="s">
        <v>185</v>
      </c>
      <c r="C8" s="197" t="s">
        <v>357</v>
      </c>
      <c r="D8" s="196" t="s">
        <v>345</v>
      </c>
      <c r="E8" s="135">
        <f t="shared" si="0"/>
        <v>45</v>
      </c>
      <c r="F8" s="117">
        <v>13</v>
      </c>
      <c r="G8" s="117">
        <v>7</v>
      </c>
      <c r="H8" s="136">
        <f>2001</f>
        <v>2001</v>
      </c>
      <c r="I8" s="179" t="s">
        <v>353</v>
      </c>
      <c r="J8" s="56" t="str">
        <f ca="1">VLOOKUP($A8,OFFSET([1]characters!$A$1,0,0,COUNTA([1]characters!$A:$A),MATCH("name",[1]characters!$1:$1,0)-MATCH("character_id",[1]characters!$1:$1,0)+1),MATCH("name",[1]characters!$1:$1,0)-MATCH("character_id",[1]characters!$1:$1,0)+1,FALSE)</f>
        <v>正統なる傑晶 ウィグナー</v>
      </c>
      <c r="K8" s="137">
        <v>3</v>
      </c>
      <c r="L8" s="138"/>
      <c r="M8" s="139"/>
      <c r="N8" s="139"/>
      <c r="O8" s="139"/>
      <c r="P8" s="139"/>
      <c r="Q8" s="139"/>
      <c r="R8" s="134"/>
      <c r="S8" s="140"/>
    </row>
    <row r="9" spans="1:19" ht="21" customHeight="1" x14ac:dyDescent="0.15">
      <c r="A9" s="12">
        <v>1113</v>
      </c>
      <c r="B9" s="133" t="s">
        <v>185</v>
      </c>
      <c r="C9" s="134" t="s">
        <v>354</v>
      </c>
      <c r="D9" s="134" t="s">
        <v>344</v>
      </c>
      <c r="E9" s="135">
        <f t="shared" si="0"/>
        <v>43</v>
      </c>
      <c r="F9" s="117">
        <v>13</v>
      </c>
      <c r="G9" s="117">
        <v>7</v>
      </c>
      <c r="H9" s="136">
        <f>2001</f>
        <v>2001</v>
      </c>
      <c r="I9" s="179" t="s">
        <v>375</v>
      </c>
      <c r="J9" s="56" t="str">
        <f ca="1">VLOOKUP($A9,OFFSET([1]characters!$A$1,0,0,COUNTA([1]characters!$A:$A),MATCH("name",[1]characters!$1:$1,0)-MATCH("character_id",[1]characters!$1:$1,0)+1),MATCH("name",[1]characters!$1:$1,0)-MATCH("character_id",[1]characters!$1:$1,0)+1,FALSE)</f>
        <v>聖結たる輝晶獣 ウィグナー</v>
      </c>
      <c r="K9" s="137">
        <v>3</v>
      </c>
      <c r="L9" s="138"/>
      <c r="M9" s="139"/>
      <c r="N9" s="139"/>
      <c r="O9" s="139"/>
      <c r="P9" s="139"/>
      <c r="Q9" s="139"/>
      <c r="R9" s="134"/>
      <c r="S9" s="140"/>
    </row>
  </sheetData>
  <sheetProtection selectLockedCells="1" selectUnlockedCells="1"/>
  <autoFilter ref="A1:S1">
    <sortState ref="A2:T432">
      <sortCondition ref="A1:A432"/>
    </sortState>
  </autoFilter>
  <phoneticPr fontId="22"/>
  <conditionalFormatting sqref="E1 E10:E1048576">
    <cfRule type="cellIs" dxfId="48" priority="14" operator="greaterThan">
      <formula>41</formula>
    </cfRule>
  </conditionalFormatting>
  <conditionalFormatting sqref="E2">
    <cfRule type="cellIs" dxfId="47" priority="8" operator="greaterThan">
      <formula>41</formula>
    </cfRule>
  </conditionalFormatting>
  <conditionalFormatting sqref="E3">
    <cfRule type="cellIs" dxfId="46" priority="7" operator="greaterThan">
      <formula>41</formula>
    </cfRule>
  </conditionalFormatting>
  <conditionalFormatting sqref="E4">
    <cfRule type="cellIs" dxfId="45" priority="6" operator="greaterThan">
      <formula>41</formula>
    </cfRule>
  </conditionalFormatting>
  <conditionalFormatting sqref="E5">
    <cfRule type="cellIs" dxfId="44" priority="5" operator="greaterThan">
      <formula>41</formula>
    </cfRule>
  </conditionalFormatting>
  <conditionalFormatting sqref="E6">
    <cfRule type="cellIs" dxfId="43" priority="4" operator="greaterThan">
      <formula>41</formula>
    </cfRule>
  </conditionalFormatting>
  <conditionalFormatting sqref="E7">
    <cfRule type="cellIs" dxfId="42" priority="3" operator="greaterThan">
      <formula>41</formula>
    </cfRule>
  </conditionalFormatting>
  <conditionalFormatting sqref="E8">
    <cfRule type="cellIs" dxfId="41" priority="2" operator="greaterThan">
      <formula>41</formula>
    </cfRule>
  </conditionalFormatting>
  <conditionalFormatting sqref="E9">
    <cfRule type="cellIs" dxfId="40"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9"/>
  <sheetViews>
    <sheetView showGridLines="0" workbookViewId="0">
      <pane xSplit="4" ySplit="1" topLeftCell="E2" activePane="bottomRight" state="frozen"/>
      <selection pane="topRight" activeCell="D1" sqref="D1"/>
      <selection pane="bottomLeft" activeCell="A3" sqref="A3"/>
      <selection pane="bottomRight" activeCell="C3" sqref="C3"/>
    </sheetView>
  </sheetViews>
  <sheetFormatPr baseColWidth="12" defaultColWidth="13" defaultRowHeight="21" customHeight="1" x14ac:dyDescent="0.15"/>
  <cols>
    <col min="1" max="2" width="12.1640625" style="130" customWidth="1"/>
    <col min="3" max="3" width="48.83203125" style="131" customWidth="1"/>
    <col min="4" max="4" width="58.5" style="131" customWidth="1"/>
    <col min="5" max="5" width="10.5" style="131" customWidth="1"/>
    <col min="6" max="7" width="59.1640625" style="131" customWidth="1"/>
    <col min="8" max="8" width="6.83203125" style="130" bestFit="1" customWidth="1"/>
    <col min="9" max="9" width="20.33203125" style="130" customWidth="1"/>
    <col min="10" max="10" width="5" style="130" bestFit="1" customWidth="1"/>
    <col min="11" max="16384" width="13" style="130"/>
  </cols>
  <sheetData>
    <row r="1" spans="1:19" ht="21" customHeight="1" x14ac:dyDescent="0.15">
      <c r="A1" s="118" t="s">
        <v>182</v>
      </c>
      <c r="B1" s="119" t="s">
        <v>181</v>
      </c>
      <c r="C1" s="120" t="s">
        <v>180</v>
      </c>
      <c r="D1" s="121" t="s">
        <v>179</v>
      </c>
      <c r="E1" s="121" t="s">
        <v>178</v>
      </c>
      <c r="F1" s="122" t="s">
        <v>177</v>
      </c>
      <c r="G1" s="123" t="s">
        <v>184</v>
      </c>
      <c r="H1" s="122" t="s">
        <v>176</v>
      </c>
      <c r="I1" s="123" t="s">
        <v>175</v>
      </c>
      <c r="J1" s="127" t="s">
        <v>174</v>
      </c>
    </row>
    <row r="2" spans="1:19" ht="21" customHeight="1" x14ac:dyDescent="0.15">
      <c r="A2" s="12">
        <v>874</v>
      </c>
      <c r="B2" s="133" t="s">
        <v>186</v>
      </c>
      <c r="C2" s="134" t="s">
        <v>289</v>
      </c>
      <c r="D2" s="167" t="s">
        <v>382</v>
      </c>
      <c r="E2" s="135">
        <f t="shared" ref="E2" si="0">LEN(D2)</f>
        <v>9</v>
      </c>
      <c r="F2" s="168" t="s">
        <v>383</v>
      </c>
      <c r="G2" s="56" t="str">
        <f ca="1">VLOOKUP($A2,OFFSET([1]characters!$A$1,0,0,COUNTA([1]characters!$A:$A),MATCH("name",[1]characters!$1:$1,0)-MATCH("character_id",[1]characters!$1:$1,0)+1),MATCH("name",[1]characters!$1:$1,0)-MATCH("character_id",[1]characters!$1:$1,0)+1,FALSE)</f>
        <v>フレネル</v>
      </c>
      <c r="H2" s="136">
        <v>3</v>
      </c>
      <c r="I2" s="136"/>
      <c r="J2" s="141"/>
      <c r="K2" s="137">
        <v>1</v>
      </c>
      <c r="L2" s="138"/>
      <c r="M2" s="139"/>
      <c r="N2" s="139"/>
      <c r="O2" s="139"/>
      <c r="P2" s="139"/>
      <c r="Q2" s="139"/>
      <c r="R2" s="134"/>
      <c r="S2" s="140"/>
    </row>
    <row r="3" spans="1:19" ht="21" customHeight="1" x14ac:dyDescent="0.15">
      <c r="A3" s="12">
        <v>875</v>
      </c>
      <c r="B3" s="133" t="s">
        <v>186</v>
      </c>
      <c r="C3" s="134" t="s">
        <v>289</v>
      </c>
      <c r="D3" s="167" t="s">
        <v>382</v>
      </c>
      <c r="E3" s="135">
        <f t="shared" ref="E3:E5" si="1">LEN(D3)</f>
        <v>9</v>
      </c>
      <c r="F3" s="168" t="s">
        <v>383</v>
      </c>
      <c r="G3" s="56" t="str">
        <f ca="1">VLOOKUP($A3,OFFSET([1]characters!$A$1,0,0,COUNTA([1]characters!$A:$A),MATCH("name",[1]characters!$1:$1,0)-MATCH("character_id",[1]characters!$1:$1,0)+1),MATCH("name",[1]characters!$1:$1,0)-MATCH("character_id",[1]characters!$1:$1,0)+1,FALSE)</f>
        <v>覇導の光跡 フレネル</v>
      </c>
      <c r="H3" s="136">
        <v>3</v>
      </c>
      <c r="I3" s="136"/>
      <c r="J3" s="141"/>
      <c r="K3" s="137">
        <v>1</v>
      </c>
      <c r="L3" s="138"/>
      <c r="M3" s="139"/>
      <c r="N3" s="139"/>
      <c r="O3" s="139"/>
      <c r="P3" s="139"/>
      <c r="Q3" s="139"/>
      <c r="R3" s="134"/>
      <c r="S3" s="140"/>
    </row>
    <row r="4" spans="1:19" ht="21" customHeight="1" x14ac:dyDescent="0.15">
      <c r="A4" s="12">
        <v>958</v>
      </c>
      <c r="B4" s="133" t="s">
        <v>186</v>
      </c>
      <c r="C4" s="134" t="s">
        <v>325</v>
      </c>
      <c r="D4" s="167" t="s">
        <v>382</v>
      </c>
      <c r="E4" s="135">
        <f t="shared" si="1"/>
        <v>9</v>
      </c>
      <c r="F4" s="117" t="s">
        <v>385</v>
      </c>
      <c r="G4" s="56" t="str">
        <f ca="1">VLOOKUP($A4,OFFSET([1]characters!$A$1,0,0,COUNTA([1]characters!$A:$A),MATCH("name",[1]characters!$1:$1,0)-MATCH("character_id",[1]characters!$1:$1,0)+1),MATCH("name",[1]characters!$1:$1,0)-MATCH("character_id",[1]characters!$1:$1,0)+1,FALSE)</f>
        <v>ド・モルガン</v>
      </c>
      <c r="H4" s="136">
        <v>3</v>
      </c>
      <c r="I4" s="136"/>
      <c r="J4" s="141"/>
      <c r="K4" s="137">
        <v>1</v>
      </c>
      <c r="L4" s="138"/>
      <c r="M4" s="139"/>
      <c r="N4" s="139"/>
      <c r="O4" s="139"/>
      <c r="P4" s="139"/>
      <c r="Q4" s="139"/>
      <c r="R4" s="134"/>
      <c r="S4" s="140"/>
    </row>
    <row r="5" spans="1:19" ht="21" customHeight="1" x14ac:dyDescent="0.15">
      <c r="A5" s="12">
        <v>959</v>
      </c>
      <c r="B5" s="133" t="s">
        <v>186</v>
      </c>
      <c r="C5" s="134" t="s">
        <v>325</v>
      </c>
      <c r="D5" s="167" t="s">
        <v>382</v>
      </c>
      <c r="E5" s="135">
        <f t="shared" si="1"/>
        <v>9</v>
      </c>
      <c r="F5" s="117" t="s">
        <v>385</v>
      </c>
      <c r="G5" s="56" t="str">
        <f ca="1">VLOOKUP($A5,OFFSET([1]characters!$A$1,0,0,COUNTA([1]characters!$A:$A),MATCH("name",[1]characters!$1:$1,0)-MATCH("character_id",[1]characters!$1:$1,0)+1),MATCH("name",[1]characters!$1:$1,0)-MATCH("character_id",[1]characters!$1:$1,0)+1,FALSE)</f>
        <v>双世の論和 ド・モルガン</v>
      </c>
      <c r="H5" s="136">
        <v>3</v>
      </c>
      <c r="I5" s="136"/>
      <c r="J5" s="141"/>
      <c r="K5" s="137">
        <v>1</v>
      </c>
      <c r="L5" s="138"/>
      <c r="M5" s="139"/>
      <c r="N5" s="139"/>
      <c r="O5" s="139"/>
      <c r="P5" s="139"/>
      <c r="Q5" s="139"/>
      <c r="R5" s="134"/>
      <c r="S5" s="140"/>
    </row>
    <row r="6" spans="1:19" ht="21" customHeight="1" x14ac:dyDescent="0.15">
      <c r="A6" s="12">
        <v>960</v>
      </c>
      <c r="B6" s="133" t="s">
        <v>186</v>
      </c>
      <c r="C6" s="134" t="s">
        <v>326</v>
      </c>
      <c r="D6" s="134" t="s">
        <v>336</v>
      </c>
      <c r="E6" s="135">
        <f t="shared" ref="E6:E8" si="2">LEN(D6)</f>
        <v>16</v>
      </c>
      <c r="F6" s="117" t="s">
        <v>337</v>
      </c>
      <c r="G6" s="56" t="str">
        <f ca="1">VLOOKUP($A6,OFFSET([1]characters!$A$1,0,0,COUNTA([1]characters!$A:$A),MATCH("name",[1]characters!$1:$1,0)-MATCH("character_id",[1]characters!$1:$1,0)+1),MATCH("name",[1]characters!$1:$1,0)-MATCH("character_id",[1]characters!$1:$1,0)+1,FALSE)</f>
        <v>双対する真偽者 ド・モルガン</v>
      </c>
      <c r="H6" s="136">
        <v>3</v>
      </c>
      <c r="I6" s="136"/>
      <c r="J6" s="141"/>
      <c r="K6" s="137">
        <v>1</v>
      </c>
      <c r="L6" s="138"/>
      <c r="M6" s="139"/>
      <c r="N6" s="139"/>
      <c r="O6" s="139"/>
      <c r="P6" s="139"/>
      <c r="Q6" s="139"/>
      <c r="R6" s="134"/>
      <c r="S6" s="140"/>
    </row>
    <row r="7" spans="1:19" ht="21" customHeight="1" x14ac:dyDescent="0.15">
      <c r="A7" s="12">
        <v>1111</v>
      </c>
      <c r="B7" s="133" t="s">
        <v>185</v>
      </c>
      <c r="C7" s="197" t="s">
        <v>356</v>
      </c>
      <c r="D7" s="134" t="s">
        <v>346</v>
      </c>
      <c r="E7" s="135">
        <f t="shared" si="2"/>
        <v>8</v>
      </c>
      <c r="F7" s="168" t="s">
        <v>348</v>
      </c>
      <c r="G7" s="56" t="str">
        <f ca="1">VLOOKUP($A7,OFFSET([1]characters!$A$1,0,0,COUNTA([1]characters!$A:$A),MATCH("name",[1]characters!$1:$1,0)-MATCH("character_id",[1]characters!$1:$1,0)+1),MATCH("name",[1]characters!$1:$1,0)-MATCH("character_id",[1]characters!$1:$1,0)+1,FALSE)</f>
        <v>ウィグナー</v>
      </c>
      <c r="H7" s="136">
        <v>3</v>
      </c>
      <c r="I7" s="136"/>
      <c r="J7" s="141"/>
      <c r="K7" s="137">
        <v>1</v>
      </c>
      <c r="L7" s="138"/>
      <c r="M7" s="139"/>
      <c r="N7" s="139"/>
      <c r="O7" s="139"/>
      <c r="P7" s="139"/>
      <c r="Q7" s="139"/>
      <c r="R7" s="134"/>
      <c r="S7" s="140"/>
    </row>
    <row r="8" spans="1:19" ht="21" customHeight="1" x14ac:dyDescent="0.15">
      <c r="A8" s="12">
        <v>1112</v>
      </c>
      <c r="B8" s="133" t="s">
        <v>185</v>
      </c>
      <c r="C8" s="197" t="s">
        <v>355</v>
      </c>
      <c r="D8" s="134" t="s">
        <v>347</v>
      </c>
      <c r="E8" s="135">
        <f t="shared" si="2"/>
        <v>8</v>
      </c>
      <c r="F8" s="168" t="s">
        <v>349</v>
      </c>
      <c r="G8" s="56" t="str">
        <f ca="1">VLOOKUP($A8,OFFSET([1]characters!$A$1,0,0,COUNTA([1]characters!$A:$A),MATCH("name",[1]characters!$1:$1,0)-MATCH("character_id",[1]characters!$1:$1,0)+1),MATCH("name",[1]characters!$1:$1,0)-MATCH("character_id",[1]characters!$1:$1,0)+1,FALSE)</f>
        <v>正統なる傑晶 ウィグナー</v>
      </c>
      <c r="H8" s="136">
        <v>3</v>
      </c>
      <c r="I8" s="136"/>
      <c r="J8" s="141"/>
      <c r="K8" s="137">
        <v>1</v>
      </c>
      <c r="L8" s="138"/>
      <c r="M8" s="139"/>
      <c r="N8" s="139"/>
      <c r="O8" s="139"/>
      <c r="P8" s="139"/>
      <c r="Q8" s="139"/>
      <c r="R8" s="134"/>
      <c r="S8" s="140"/>
    </row>
    <row r="9" spans="1:19" ht="21" customHeight="1" x14ac:dyDescent="0.15">
      <c r="A9" s="12">
        <v>1113</v>
      </c>
      <c r="B9" s="133" t="s">
        <v>185</v>
      </c>
      <c r="C9" s="134" t="s">
        <v>372</v>
      </c>
      <c r="D9" s="134" t="s">
        <v>350</v>
      </c>
      <c r="E9" s="135">
        <f t="shared" ref="E9" si="3">LEN(D9)</f>
        <v>9</v>
      </c>
      <c r="F9" s="117" t="s">
        <v>351</v>
      </c>
      <c r="G9" s="56" t="str">
        <f ca="1">VLOOKUP($A9,OFFSET([1]characters!$A$1,0,0,COUNTA([1]characters!$A:$A),MATCH("name",[1]characters!$1:$1,0)-MATCH("character_id",[1]characters!$1:$1,0)+1),MATCH("name",[1]characters!$1:$1,0)-MATCH("character_id",[1]characters!$1:$1,0)+1,FALSE)</f>
        <v>聖結たる輝晶獣 ウィグナー</v>
      </c>
      <c r="H9" s="136">
        <v>3</v>
      </c>
      <c r="I9" s="136"/>
      <c r="J9" s="141"/>
      <c r="K9" s="137">
        <v>1</v>
      </c>
      <c r="L9" s="138"/>
      <c r="M9" s="139"/>
      <c r="N9" s="139"/>
      <c r="O9" s="139"/>
      <c r="P9" s="139"/>
      <c r="Q9" s="139"/>
      <c r="R9" s="134"/>
      <c r="S9" s="140"/>
    </row>
  </sheetData>
  <sheetProtection selectLockedCells="1" selectUnlockedCells="1"/>
  <autoFilter ref="A1:J1"/>
  <phoneticPr fontId="22"/>
  <conditionalFormatting sqref="E2">
    <cfRule type="cellIs" dxfId="39" priority="11" operator="greaterThan">
      <formula>41</formula>
    </cfRule>
  </conditionalFormatting>
  <conditionalFormatting sqref="E3">
    <cfRule type="cellIs" dxfId="38" priority="10" operator="greaterThan">
      <formula>41</formula>
    </cfRule>
  </conditionalFormatting>
  <conditionalFormatting sqref="E4">
    <cfRule type="cellIs" dxfId="37" priority="9" operator="greaterThan">
      <formula>41</formula>
    </cfRule>
  </conditionalFormatting>
  <conditionalFormatting sqref="E6">
    <cfRule type="cellIs" dxfId="36" priority="6" operator="greaterThan">
      <formula>41</formula>
    </cfRule>
  </conditionalFormatting>
  <conditionalFormatting sqref="E5">
    <cfRule type="cellIs" dxfId="35" priority="4" operator="greaterThan">
      <formula>41</formula>
    </cfRule>
  </conditionalFormatting>
  <conditionalFormatting sqref="E7">
    <cfRule type="cellIs" dxfId="34" priority="3" operator="greaterThan">
      <formula>41</formula>
    </cfRule>
  </conditionalFormatting>
  <conditionalFormatting sqref="E9">
    <cfRule type="cellIs" dxfId="33" priority="2" operator="greaterThan">
      <formula>41</formula>
    </cfRule>
  </conditionalFormatting>
  <conditionalFormatting sqref="E8">
    <cfRule type="cellIs" dxfId="32"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9"/>
  <sheetViews>
    <sheetView workbookViewId="0">
      <selection activeCell="H29" sqref="H29"/>
    </sheetView>
  </sheetViews>
  <sheetFormatPr baseColWidth="12" defaultRowHeight="15" outlineLevelCol="1" x14ac:dyDescent="0.15"/>
  <cols>
    <col min="2" max="2" width="12.83203125" style="143"/>
    <col min="4" max="4" width="12.83203125" style="143" customWidth="1" outlineLevel="1"/>
    <col min="5" max="5" width="12.83203125" style="143"/>
  </cols>
  <sheetData>
    <row r="1" spans="1:8" x14ac:dyDescent="0.15">
      <c r="A1" s="114" t="s">
        <v>187</v>
      </c>
      <c r="B1" s="142" t="s">
        <v>188</v>
      </c>
      <c r="C1" s="114" t="s">
        <v>189</v>
      </c>
      <c r="D1" s="142" t="s">
        <v>191</v>
      </c>
      <c r="E1" s="142" t="s">
        <v>192</v>
      </c>
      <c r="F1" s="112" t="s">
        <v>193</v>
      </c>
      <c r="G1" s="114" t="s">
        <v>190</v>
      </c>
      <c r="H1" s="112" t="s">
        <v>194</v>
      </c>
    </row>
    <row r="2" spans="1:8" x14ac:dyDescent="0.15">
      <c r="A2" s="108">
        <v>958</v>
      </c>
      <c r="B2" s="142" t="str">
        <f>VLOOKUP(A2,[1]characters!$A:$C,3,FALSE)</f>
        <v>ド・モルガン</v>
      </c>
      <c r="C2" s="108" t="s">
        <v>195</v>
      </c>
      <c r="D2" s="142"/>
      <c r="E2" s="142" t="str">
        <f>A2&amp;+(COUNTIF(A2:A$2,A2)-1)</f>
        <v>9580</v>
      </c>
      <c r="F2" s="108" t="s">
        <v>197</v>
      </c>
      <c r="G2" s="108" t="s">
        <v>196</v>
      </c>
      <c r="H2" s="108" t="s">
        <v>327</v>
      </c>
    </row>
    <row r="3" spans="1:8" x14ac:dyDescent="0.15">
      <c r="A3" s="108">
        <v>958</v>
      </c>
      <c r="B3" s="142" t="str">
        <f>VLOOKUP(A3,[1]characters!$A:$C,3,FALSE)</f>
        <v>ド・モルガン</v>
      </c>
      <c r="C3" s="108" t="s">
        <v>198</v>
      </c>
      <c r="D3" s="142"/>
      <c r="E3" s="142" t="str">
        <f>A3&amp;+(COUNTIF(A$2:A3,A3)-1)</f>
        <v>9581</v>
      </c>
      <c r="F3" s="108" t="s">
        <v>197</v>
      </c>
      <c r="G3" s="108" t="s">
        <v>196</v>
      </c>
      <c r="H3" s="108" t="s">
        <v>328</v>
      </c>
    </row>
    <row r="4" spans="1:8" x14ac:dyDescent="0.15">
      <c r="A4" s="108">
        <v>958</v>
      </c>
      <c r="B4" s="142" t="str">
        <f>VLOOKUP(A4,[1]characters!$A:$C,3,FALSE)</f>
        <v>ド・モルガン</v>
      </c>
      <c r="C4" s="108" t="s">
        <v>198</v>
      </c>
      <c r="D4" s="142"/>
      <c r="E4" s="142" t="str">
        <f>A4&amp;+(COUNTIF(A$2:A4,A4)-1)</f>
        <v>9582</v>
      </c>
      <c r="F4" s="108" t="s">
        <v>197</v>
      </c>
      <c r="G4" s="108" t="s">
        <v>196</v>
      </c>
      <c r="H4" s="108" t="s">
        <v>329</v>
      </c>
    </row>
    <row r="5" spans="1:8" x14ac:dyDescent="0.15">
      <c r="A5" s="108">
        <v>958</v>
      </c>
      <c r="B5" s="142" t="str">
        <f>VLOOKUP(A5,[1]characters!$A:$C,3,FALSE)</f>
        <v>ド・モルガン</v>
      </c>
      <c r="C5" s="108" t="s">
        <v>198</v>
      </c>
      <c r="D5" s="142"/>
      <c r="E5" s="142" t="str">
        <f>A5&amp;+(COUNTIF(A$2:A5,A5)-1)</f>
        <v>9583</v>
      </c>
      <c r="F5" s="108" t="s">
        <v>197</v>
      </c>
      <c r="G5" s="108" t="s">
        <v>196</v>
      </c>
      <c r="H5" s="108" t="s">
        <v>330</v>
      </c>
    </row>
    <row r="6" spans="1:8" x14ac:dyDescent="0.15">
      <c r="A6" s="108">
        <v>959</v>
      </c>
      <c r="B6" s="142" t="str">
        <f>VLOOKUP(A6,[1]characters!$A:$C,3,FALSE)</f>
        <v>双世の論和 ド・モルガン</v>
      </c>
      <c r="C6" s="108" t="s">
        <v>195</v>
      </c>
      <c r="D6" s="142"/>
      <c r="E6" s="142" t="str">
        <f>A6&amp;+(COUNTIF(A$2:A6,A6)-1)</f>
        <v>9590</v>
      </c>
      <c r="F6" s="108" t="s">
        <v>197</v>
      </c>
      <c r="G6" s="108" t="s">
        <v>196</v>
      </c>
      <c r="H6" s="108" t="s">
        <v>332</v>
      </c>
    </row>
    <row r="7" spans="1:8" x14ac:dyDescent="0.15">
      <c r="A7" s="108">
        <v>959</v>
      </c>
      <c r="B7" s="142" t="str">
        <f>VLOOKUP(A7,[1]characters!$A:$C,3,FALSE)</f>
        <v>双世の論和 ド・モルガン</v>
      </c>
      <c r="C7" s="108" t="s">
        <v>198</v>
      </c>
      <c r="D7" s="142"/>
      <c r="E7" s="142" t="str">
        <f>A7&amp;+(COUNTIF(A$2:A7,A7)-1)</f>
        <v>9591</v>
      </c>
      <c r="F7" s="108" t="s">
        <v>197</v>
      </c>
      <c r="G7" s="108" t="s">
        <v>196</v>
      </c>
      <c r="H7" s="108" t="s">
        <v>328</v>
      </c>
    </row>
    <row r="8" spans="1:8" x14ac:dyDescent="0.15">
      <c r="A8" s="108">
        <v>959</v>
      </c>
      <c r="B8" s="142" t="str">
        <f>VLOOKUP(A8,[1]characters!$A:$C,3,FALSE)</f>
        <v>双世の論和 ド・モルガン</v>
      </c>
      <c r="C8" s="108" t="s">
        <v>198</v>
      </c>
      <c r="D8" s="142"/>
      <c r="E8" s="142" t="str">
        <f>A8&amp;+(COUNTIF(A$2:A8,A8)-1)</f>
        <v>9592</v>
      </c>
      <c r="F8" s="108" t="s">
        <v>197</v>
      </c>
      <c r="G8" s="108" t="s">
        <v>196</v>
      </c>
      <c r="H8" s="108" t="s">
        <v>329</v>
      </c>
    </row>
    <row r="9" spans="1:8" x14ac:dyDescent="0.15">
      <c r="A9" s="108">
        <v>959</v>
      </c>
      <c r="B9" s="142" t="str">
        <f>VLOOKUP(A9,[1]characters!$A:$C,3,FALSE)</f>
        <v>双世の論和 ド・モルガン</v>
      </c>
      <c r="C9" s="108" t="s">
        <v>198</v>
      </c>
      <c r="D9" s="142"/>
      <c r="E9" s="142" t="str">
        <f>A9&amp;+(COUNTIF(A$2:A9,A9)-1)</f>
        <v>9593</v>
      </c>
      <c r="F9" s="108" t="s">
        <v>197</v>
      </c>
      <c r="G9" s="108" t="s">
        <v>196</v>
      </c>
      <c r="H9" s="108" t="s">
        <v>330</v>
      </c>
    </row>
    <row r="10" spans="1:8" x14ac:dyDescent="0.15">
      <c r="A10" s="108">
        <v>959</v>
      </c>
      <c r="B10" s="142" t="str">
        <f>VLOOKUP(A10,[1]characters!$A:$C,3,FALSE)</f>
        <v>双世の論和 ド・モルガン</v>
      </c>
      <c r="C10" s="108" t="s">
        <v>198</v>
      </c>
      <c r="D10" s="142"/>
      <c r="E10" s="142" t="str">
        <f>A10&amp;+(COUNTIF(A$2:A10,A10)-1)</f>
        <v>9594</v>
      </c>
      <c r="F10" s="108" t="s">
        <v>197</v>
      </c>
      <c r="G10" s="108" t="s">
        <v>196</v>
      </c>
      <c r="H10" s="108" t="s">
        <v>331</v>
      </c>
    </row>
    <row r="11" spans="1:8" x14ac:dyDescent="0.15">
      <c r="A11" s="108">
        <v>960</v>
      </c>
      <c r="B11" s="142" t="str">
        <f>VLOOKUP(A11,[1]characters!$A:$C,3,FALSE)</f>
        <v>双対する真偽者 ド・モルガン</v>
      </c>
      <c r="C11" s="108" t="s">
        <v>195</v>
      </c>
      <c r="D11" s="142"/>
      <c r="E11" s="142" t="str">
        <f>A11&amp;+(COUNTIF(A$2:A11,A11)-1)</f>
        <v>9600</v>
      </c>
      <c r="F11" s="108" t="s">
        <v>197</v>
      </c>
      <c r="G11" s="108" t="s">
        <v>196</v>
      </c>
      <c r="H11" s="108" t="s">
        <v>333</v>
      </c>
    </row>
    <row r="12" spans="1:8" x14ac:dyDescent="0.15">
      <c r="A12" s="108">
        <v>960</v>
      </c>
      <c r="B12" s="142" t="str">
        <f>VLOOKUP(A12,[1]characters!$A:$C,3,FALSE)</f>
        <v>双対する真偽者 ド・モルガン</v>
      </c>
      <c r="C12" s="108" t="s">
        <v>198</v>
      </c>
      <c r="D12" s="142"/>
      <c r="E12" s="142" t="str">
        <f>A12&amp;+(COUNTIF(A$2:A12,A12)-1)</f>
        <v>9601</v>
      </c>
      <c r="F12" s="108" t="s">
        <v>197</v>
      </c>
      <c r="G12" s="108" t="s">
        <v>196</v>
      </c>
      <c r="H12" s="108" t="s">
        <v>328</v>
      </c>
    </row>
    <row r="13" spans="1:8" x14ac:dyDescent="0.15">
      <c r="A13" s="108">
        <v>960</v>
      </c>
      <c r="B13" s="142" t="str">
        <f>VLOOKUP(A13,[1]characters!$A:$C,3,FALSE)</f>
        <v>双対する真偽者 ド・モルガン</v>
      </c>
      <c r="C13" s="108" t="s">
        <v>198</v>
      </c>
      <c r="D13" s="142"/>
      <c r="E13" s="142" t="str">
        <f>A13&amp;+(COUNTIF(A$2:A13,A13)-1)</f>
        <v>9602</v>
      </c>
      <c r="F13" s="108" t="s">
        <v>197</v>
      </c>
      <c r="G13" s="108" t="s">
        <v>196</v>
      </c>
      <c r="H13" s="108" t="s">
        <v>329</v>
      </c>
    </row>
    <row r="14" spans="1:8" x14ac:dyDescent="0.15">
      <c r="A14" s="108">
        <v>960</v>
      </c>
      <c r="B14" s="142" t="str">
        <f>VLOOKUP(A14,[1]characters!$A:$C,3,FALSE)</f>
        <v>双対する真偽者 ド・モルガン</v>
      </c>
      <c r="C14" s="108" t="s">
        <v>198</v>
      </c>
      <c r="D14" s="142"/>
      <c r="E14" s="142" t="str">
        <f>A14&amp;+(COUNTIF(A$2:A14,A14)-1)</f>
        <v>9603</v>
      </c>
      <c r="F14" s="108" t="s">
        <v>197</v>
      </c>
      <c r="G14" s="108" t="s">
        <v>196</v>
      </c>
      <c r="H14" s="108" t="s">
        <v>330</v>
      </c>
    </row>
    <row r="15" spans="1:8" x14ac:dyDescent="0.15">
      <c r="A15" s="108">
        <v>960</v>
      </c>
      <c r="B15" s="142" t="str">
        <f>VLOOKUP(A15,[1]characters!$A:$C,3,FALSE)</f>
        <v>双対する真偽者 ド・モルガン</v>
      </c>
      <c r="C15" s="108" t="s">
        <v>198</v>
      </c>
      <c r="D15" s="142"/>
      <c r="E15" s="142" t="str">
        <f>A15&amp;+(COUNTIF(A$2:A15,A15)-1)</f>
        <v>9604</v>
      </c>
      <c r="F15" s="108" t="s">
        <v>197</v>
      </c>
      <c r="G15" s="108" t="s">
        <v>196</v>
      </c>
      <c r="H15" s="108" t="s">
        <v>334</v>
      </c>
    </row>
    <row r="16" spans="1:8" ht="28" x14ac:dyDescent="0.15">
      <c r="A16" s="108">
        <v>1111</v>
      </c>
      <c r="B16" s="142" t="str">
        <f>VLOOKUP(A16,[1]characters!$A:$C,3,FALSE)</f>
        <v>ウィグナー</v>
      </c>
      <c r="C16" s="108" t="s">
        <v>195</v>
      </c>
      <c r="D16" s="142"/>
      <c r="E16" s="142" t="str">
        <f>A16&amp;+(COUNTIF(A$2:A16,A16)-1)</f>
        <v>11110</v>
      </c>
      <c r="F16" s="108" t="s">
        <v>197</v>
      </c>
      <c r="G16" s="197" t="s">
        <v>367</v>
      </c>
      <c r="H16" s="197" t="s">
        <v>368</v>
      </c>
    </row>
    <row r="17" spans="1:8" ht="28" x14ac:dyDescent="0.15">
      <c r="A17" s="108">
        <v>1111</v>
      </c>
      <c r="B17" s="142" t="str">
        <f>VLOOKUP(A17,[1]characters!$A:$C,3,FALSE)</f>
        <v>ウィグナー</v>
      </c>
      <c r="C17" s="108" t="s">
        <v>198</v>
      </c>
      <c r="D17" s="142"/>
      <c r="E17" s="142" t="str">
        <f>A17&amp;+(COUNTIF(A$2:A17,A17)-1)</f>
        <v>11111</v>
      </c>
      <c r="F17" s="108" t="s">
        <v>197</v>
      </c>
      <c r="G17" s="197" t="s">
        <v>358</v>
      </c>
      <c r="H17" s="197" t="s">
        <v>359</v>
      </c>
    </row>
    <row r="18" spans="1:8" x14ac:dyDescent="0.15">
      <c r="A18" s="108">
        <v>1111</v>
      </c>
      <c r="B18" s="142" t="str">
        <f>VLOOKUP(A18,[1]characters!$A:$C,3,FALSE)</f>
        <v>ウィグナー</v>
      </c>
      <c r="C18" s="108" t="s">
        <v>198</v>
      </c>
      <c r="D18" s="142"/>
      <c r="E18" s="142" t="str">
        <f>A18&amp;+(COUNTIF(A$2:A18,A18)-1)</f>
        <v>11112</v>
      </c>
      <c r="F18" s="108" t="s">
        <v>197</v>
      </c>
      <c r="G18" s="197" t="s">
        <v>360</v>
      </c>
      <c r="H18" s="197" t="s">
        <v>361</v>
      </c>
    </row>
    <row r="19" spans="1:8" x14ac:dyDescent="0.15">
      <c r="A19" s="108">
        <v>1111</v>
      </c>
      <c r="B19" s="142" t="str">
        <f>VLOOKUP(A19,[1]characters!$A:$C,3,FALSE)</f>
        <v>ウィグナー</v>
      </c>
      <c r="C19" s="108" t="s">
        <v>198</v>
      </c>
      <c r="D19" s="142"/>
      <c r="E19" s="142" t="str">
        <f>A19&amp;+(COUNTIF(A$2:A19,A19)-1)</f>
        <v>11113</v>
      </c>
      <c r="F19" s="108" t="s">
        <v>197</v>
      </c>
      <c r="G19" s="197" t="s">
        <v>360</v>
      </c>
      <c r="H19" s="197" t="s">
        <v>362</v>
      </c>
    </row>
    <row r="20" spans="1:8" ht="28" x14ac:dyDescent="0.15">
      <c r="A20" s="108">
        <v>1112</v>
      </c>
      <c r="B20" s="142" t="str">
        <f>VLOOKUP(A20,[1]characters!$A:$C,3,FALSE)</f>
        <v>正統なる傑晶 ウィグナー</v>
      </c>
      <c r="C20" s="108" t="s">
        <v>195</v>
      </c>
      <c r="D20" s="142"/>
      <c r="E20" s="142" t="str">
        <f>A20&amp;+(COUNTIF(A$2:A20,A20)-1)</f>
        <v>11120</v>
      </c>
      <c r="F20" s="108" t="s">
        <v>197</v>
      </c>
      <c r="G20" s="197" t="s">
        <v>358</v>
      </c>
      <c r="H20" s="197" t="s">
        <v>369</v>
      </c>
    </row>
    <row r="21" spans="1:8" ht="28" x14ac:dyDescent="0.15">
      <c r="A21" s="108">
        <v>1112</v>
      </c>
      <c r="B21" s="142" t="str">
        <f>VLOOKUP(A21,[1]characters!$A:$C,3,FALSE)</f>
        <v>正統なる傑晶 ウィグナー</v>
      </c>
      <c r="C21" s="108" t="s">
        <v>198</v>
      </c>
      <c r="D21" s="142"/>
      <c r="E21" s="142" t="str">
        <f>A21&amp;+(COUNTIF(A$2:A21,A21)-1)</f>
        <v>11121</v>
      </c>
      <c r="F21" s="108" t="s">
        <v>197</v>
      </c>
      <c r="G21" s="197" t="s">
        <v>358</v>
      </c>
      <c r="H21" s="197" t="s">
        <v>363</v>
      </c>
    </row>
    <row r="22" spans="1:8" x14ac:dyDescent="0.15">
      <c r="A22" s="108">
        <v>1112</v>
      </c>
      <c r="B22" s="142" t="str">
        <f>VLOOKUP(A22,[1]characters!$A:$C,3,FALSE)</f>
        <v>正統なる傑晶 ウィグナー</v>
      </c>
      <c r="C22" s="108" t="s">
        <v>198</v>
      </c>
      <c r="D22" s="142"/>
      <c r="E22" s="142" t="str">
        <f>A22&amp;+(COUNTIF(A$2:A22,A22)-1)</f>
        <v>11122</v>
      </c>
      <c r="F22" s="108" t="s">
        <v>197</v>
      </c>
      <c r="G22" s="197" t="s">
        <v>358</v>
      </c>
      <c r="H22" s="197" t="s">
        <v>364</v>
      </c>
    </row>
    <row r="23" spans="1:8" x14ac:dyDescent="0.15">
      <c r="A23" s="108">
        <v>1112</v>
      </c>
      <c r="B23" s="142" t="str">
        <f>VLOOKUP(A23,[1]characters!$A:$C,3,FALSE)</f>
        <v>正統なる傑晶 ウィグナー</v>
      </c>
      <c r="C23" s="108" t="s">
        <v>198</v>
      </c>
      <c r="D23" s="142"/>
      <c r="E23" s="142" t="str">
        <f>A23&amp;+(COUNTIF(A$2:A23,A23)-1)</f>
        <v>11123</v>
      </c>
      <c r="F23" s="108" t="s">
        <v>197</v>
      </c>
      <c r="G23" s="197" t="s">
        <v>358</v>
      </c>
      <c r="H23" s="197" t="s">
        <v>365</v>
      </c>
    </row>
    <row r="24" spans="1:8" ht="28" x14ac:dyDescent="0.15">
      <c r="A24" s="108">
        <v>1112</v>
      </c>
      <c r="B24" s="142" t="str">
        <f>VLOOKUP(A24,[1]characters!$A:$C,3,FALSE)</f>
        <v>正統なる傑晶 ウィグナー</v>
      </c>
      <c r="C24" s="108" t="s">
        <v>198</v>
      </c>
      <c r="D24" s="142"/>
      <c r="E24" s="142" t="str">
        <f>A24&amp;+(COUNTIF(A$2:A24,A24)-1)</f>
        <v>11124</v>
      </c>
      <c r="F24" s="108" t="s">
        <v>197</v>
      </c>
      <c r="G24" s="197" t="s">
        <v>358</v>
      </c>
      <c r="H24" s="197" t="s">
        <v>366</v>
      </c>
    </row>
    <row r="25" spans="1:8" x14ac:dyDescent="0.15">
      <c r="A25" s="108">
        <v>1113</v>
      </c>
      <c r="B25" s="142" t="str">
        <f>VLOOKUP(A25,[1]characters!$A:$C,3,FALSE)</f>
        <v>聖結たる輝晶獣 ウィグナー</v>
      </c>
      <c r="C25" s="108" t="s">
        <v>195</v>
      </c>
      <c r="D25" s="142"/>
      <c r="E25" s="142" t="str">
        <f>A25&amp;+(COUNTIF(A$2:A25,A25)-1)</f>
        <v>11130</v>
      </c>
      <c r="F25" s="108" t="s">
        <v>197</v>
      </c>
      <c r="G25" s="108" t="s">
        <v>196</v>
      </c>
      <c r="H25" s="108" t="s">
        <v>370</v>
      </c>
    </row>
    <row r="26" spans="1:8" ht="28" x14ac:dyDescent="0.15">
      <c r="A26" s="108">
        <v>1113</v>
      </c>
      <c r="B26" s="142" t="str">
        <f>VLOOKUP(A26,[1]characters!$A:$C,3,FALSE)</f>
        <v>聖結たる輝晶獣 ウィグナー</v>
      </c>
      <c r="C26" s="108" t="s">
        <v>198</v>
      </c>
      <c r="D26" s="142"/>
      <c r="E26" s="142" t="str">
        <f>A26&amp;+(COUNTIF(A$2:A26,A26)-1)</f>
        <v>11131</v>
      </c>
      <c r="F26" s="108" t="s">
        <v>197</v>
      </c>
      <c r="G26" s="197" t="s">
        <v>358</v>
      </c>
      <c r="H26" s="197" t="s">
        <v>363</v>
      </c>
    </row>
    <row r="27" spans="1:8" x14ac:dyDescent="0.15">
      <c r="A27" s="108">
        <v>1113</v>
      </c>
      <c r="B27" s="142" t="str">
        <f>VLOOKUP(A27,[1]characters!$A:$C,3,FALSE)</f>
        <v>聖結たる輝晶獣 ウィグナー</v>
      </c>
      <c r="C27" s="108" t="s">
        <v>198</v>
      </c>
      <c r="D27" s="142"/>
      <c r="E27" s="142" t="str">
        <f>A27&amp;+(COUNTIF(A$2:A27,A27)-1)</f>
        <v>11132</v>
      </c>
      <c r="F27" s="108" t="s">
        <v>197</v>
      </c>
      <c r="G27" s="197" t="s">
        <v>358</v>
      </c>
      <c r="H27" s="197" t="s">
        <v>364</v>
      </c>
    </row>
    <row r="28" spans="1:8" x14ac:dyDescent="0.15">
      <c r="A28" s="108">
        <v>1113</v>
      </c>
      <c r="B28" s="142" t="str">
        <f>VLOOKUP(A28,[1]characters!$A:$C,3,FALSE)</f>
        <v>聖結たる輝晶獣 ウィグナー</v>
      </c>
      <c r="C28" s="108" t="s">
        <v>198</v>
      </c>
      <c r="D28" s="142"/>
      <c r="E28" s="142" t="str">
        <f>A28&amp;+(COUNTIF(A$2:A28,A28)-1)</f>
        <v>11133</v>
      </c>
      <c r="F28" s="108" t="s">
        <v>197</v>
      </c>
      <c r="G28" s="197" t="s">
        <v>358</v>
      </c>
      <c r="H28" s="197" t="s">
        <v>365</v>
      </c>
    </row>
    <row r="29" spans="1:8" x14ac:dyDescent="0.15">
      <c r="A29" s="108">
        <v>1113</v>
      </c>
      <c r="B29" s="142" t="str">
        <f>VLOOKUP(A29,[1]characters!$A:$C,3,FALSE)</f>
        <v>聖結たる輝晶獣 ウィグナー</v>
      </c>
      <c r="C29" s="108" t="s">
        <v>198</v>
      </c>
      <c r="D29" s="142"/>
      <c r="E29" s="142" t="str">
        <f>A29&amp;+(COUNTIF(A$2:A29,A29)-1)</f>
        <v>11134</v>
      </c>
      <c r="F29" s="108" t="s">
        <v>197</v>
      </c>
      <c r="G29" s="108" t="s">
        <v>196</v>
      </c>
      <c r="H29" s="108" t="s">
        <v>371</v>
      </c>
    </row>
  </sheetData>
  <phoneticPr fontId="22"/>
  <dataValidations count="2">
    <dataValidation type="list" allowBlank="1" showInputMessage="1" showErrorMessage="1" sqref="G2:G29">
      <formula1>"maru,giza,kumo"</formula1>
    </dataValidation>
    <dataValidation type="list" allowBlank="1" showInputMessage="1" showErrorMessage="1" sqref="C2:C29">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V10"/>
  <sheetViews>
    <sheetView showGridLines="0" workbookViewId="0">
      <pane xSplit="9" ySplit="1" topLeftCell="P2" activePane="bottomRight" state="frozen"/>
      <selection pane="topRight" activeCell="J1" sqref="J1"/>
      <selection pane="bottomLeft" activeCell="A3" sqref="A3"/>
      <selection pane="bottomRight" activeCell="Q15" sqref="Q15"/>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2" ht="21" customHeight="1" x14ac:dyDescent="0.15">
      <c r="A1" s="90" t="s">
        <v>256</v>
      </c>
      <c r="B1" s="79" t="s">
        <v>257</v>
      </c>
      <c r="C1" s="79" t="s">
        <v>258</v>
      </c>
      <c r="D1" s="79" t="s">
        <v>259</v>
      </c>
      <c r="E1" s="79" t="s">
        <v>260</v>
      </c>
      <c r="F1" s="79" t="s">
        <v>261</v>
      </c>
      <c r="G1" s="79" t="s">
        <v>1</v>
      </c>
      <c r="H1" s="170" t="s">
        <v>19</v>
      </c>
      <c r="I1" s="79" t="s">
        <v>0</v>
      </c>
      <c r="J1" s="171" t="s">
        <v>262</v>
      </c>
      <c r="K1" s="79" t="s">
        <v>257</v>
      </c>
      <c r="L1" s="99" t="s">
        <v>49</v>
      </c>
      <c r="M1" s="99" t="s">
        <v>48</v>
      </c>
      <c r="N1" s="99" t="s">
        <v>263</v>
      </c>
      <c r="O1" s="99" t="s">
        <v>264</v>
      </c>
      <c r="P1" s="90" t="s">
        <v>265</v>
      </c>
      <c r="Q1" s="90" t="s">
        <v>266</v>
      </c>
      <c r="R1" s="79" t="s">
        <v>257</v>
      </c>
      <c r="S1" s="90" t="s">
        <v>267</v>
      </c>
      <c r="T1" s="79" t="s">
        <v>257</v>
      </c>
      <c r="U1" s="90" t="s">
        <v>268</v>
      </c>
    </row>
    <row r="2" spans="1:22" ht="21" customHeight="1" x14ac:dyDescent="0.15">
      <c r="A2" s="111">
        <v>874</v>
      </c>
      <c r="B2" s="5" t="str">
        <f ca="1">VLOOKUP($A2,OFFSET([1]characters!$A$1,0,0,COUNTA([1]characters!$A:$A),MATCH(B$1,[1]characters!$1:$1,0)-MATCH($A$1,[1]characters!$1:$1,0)+1),MATCH(B$1,[1]characters!$1:$1,0)-MATCH($A$1,[1]characters!$1:$1,0)+1,FALSE)</f>
        <v>フレネル</v>
      </c>
      <c r="C2" s="5" t="str">
        <f ca="1">VLOOKUP($A2,OFFSET([1]characters!$A$1,0,0,COUNTA([1]characters!$A:$A),MATCH(C$1,[1]characters!$1:$1,0)-MATCH($A$1,[1]characters!$1:$1,0)+1),MATCH(C$1,[1]characters!$1:$1,0)-MATCH($A$1,[1]characters!$1:$1,0)+1,FALSE)</f>
        <v>各属性相性良3・黄・R482</v>
      </c>
      <c r="D2" s="5" t="str">
        <f ca="1">VLOOKUP($A2,OFFSET([1]characters!$A$1,0,0,COUNTA([1]characters!$A:$A),MATCH(D$1,[1]characters!$1:$1,0)-MATCH($A$1,[1]characters!$1:$1,0)+1),MATCH(D$1,[1]characters!$1:$1,0)-MATCH($A$1,[1]characters!$1:$1,0)+1,FALSE)</f>
        <v>執行者</v>
      </c>
      <c r="E2" s="5" t="str">
        <f ca="1">VLOOKUP($A2,OFFSET([1]characters!$A$1,0,0,COUNTA([1]characters!$A:$A),MATCH(E$1,[1]characters!$1:$1,0)-MATCH($A$1,[1]characters!$1:$1,0)+1),MATCH(E$1,[1]characters!$1:$1,0)-MATCH($A$1,[1]characters!$1:$1,0)+1,FALSE)</f>
        <v>格好いい</v>
      </c>
      <c r="F2" s="5" t="str">
        <f ca="1">VLOOKUP($A2,OFFSET([1]characters!$A$1,0,0,COUNTA([1]characters!$A:$A),MATCH(F$1,[1]characters!$1:$1,0)-MATCH($A$1,[1]characters!$1:$1,0)+1),MATCH(F$1,[1]characters!$1:$1,0)-MATCH($A$1,[1]characters!$1:$1,0)+1,FALSE)</f>
        <v>男性</v>
      </c>
      <c r="G2" s="5">
        <f ca="1">VLOOKUP($A2,OFFSET([1]characters!$A$1,0,0,COUNTA([1]characters!$A:$A),MATCH(G$1,[1]characters!$1:$1,0)-MATCH($A$1,[1]characters!$1:$1,0)+1),MATCH(G$1,[1]characters!$1:$1,0)-MATCH($A$1,[1]characters!$1:$1,0)+1,FALSE)</f>
        <v>5</v>
      </c>
      <c r="H2" s="5" t="str">
        <f ca="1">VLOOKUP($A2,OFFSET([1]characters!$A$1,0,0,COUNTA([1]characters!$A:$A),MATCH(H$1,[1]characters!$1:$1,0)-MATCH($A$1,[1]characters!$1:$1,0)+1),MATCH(H$1,[1]characters!$1:$1,0)-MATCH($A$1,[1]characters!$1:$1,0)+1,FALSE)</f>
        <v>PremiumSSS</v>
      </c>
      <c r="I2" s="5" t="str">
        <f ca="1">VLOOKUP($A2,OFFSET([1]characters!$A$1,0,0,COUNTA([1]characters!$A:$A),MATCH(I$1,[1]characters!$1:$1,0)-MATCH($A$1,[1]characters!$1:$1,0)+1),MATCH(I$1,[1]characters!$1:$1,0)-MATCH($A$1,[1]characters!$1:$1,0)+1,FALSE)</f>
        <v>yellow</v>
      </c>
      <c r="J2" s="5" t="str">
        <f ca="1">VLOOKUP($A2,OFFSET([1]characters!$A$1,0,0,COUNTA([1]characters!$A:$A),MATCH(J$1,[1]characters!$1:$1,0)-MATCH($A$1,[1]characters!$1:$1,0)+1),MATCH(J$1,[1]characters!$1:$1,0)-MATCH($A$1,[1]characters!$1:$1,0)+1,FALSE)</f>
        <v>machine</v>
      </c>
      <c r="K2" s="5" t="str">
        <f ca="1">VLOOKUP(J2,[1]character_tribe_i18n!$A:$H,3,FALSE)</f>
        <v>マシン</v>
      </c>
      <c r="L2" s="11" t="e">
        <f>VLOOKUP(#REF!,[1]character_tribe_i18n!$A:$H,4,FALSE)</f>
        <v>#REF!</v>
      </c>
      <c r="M2" s="11" t="e">
        <f>VLOOKUP(#REF!,[1]character_tribe_i18n!$A:$H,5,FALSE)</f>
        <v>#REF!</v>
      </c>
      <c r="N2" s="11" t="e">
        <f>VLOOKUP(#REF!,[1]character_tribe_i18n!$A:$H,6,FALSE)</f>
        <v>#REF!</v>
      </c>
      <c r="O2" s="11" t="e">
        <f>VLOOKUP(#REF!,[1]character_tribe_i18n!$A:$H,7,FALSE)</f>
        <v>#REF!</v>
      </c>
      <c r="P2" s="169" t="s">
        <v>269</v>
      </c>
      <c r="Q2" s="108">
        <v>875</v>
      </c>
      <c r="R2" s="5" t="str">
        <f ca="1">IF(Q2="NULL","",VLOOKUP($Q2,OFFSET([1]characters!$A$1,0,0,COUNTA([1]characters!$A:$A),MATCH(R$1,[1]characters!$1:$1,0)-MATCH($A$1,[1]characters!$1:$1,0)+1),MATCH(R$1,[1]characters!$1:$1,0)-MATCH($A$1,[1]characters!$1:$1,0)+1,FALSE))</f>
        <v>覇導の光跡 フレネル</v>
      </c>
      <c r="S2" s="5">
        <f t="shared" ref="S2:S10" ca="1" si="0">IF(ISNA(MATCH(A2,Q:Q,0)),A2,INDIRECT(ADDRESS(MATCH(A2,Q:Q,0),COLUMN())))</f>
        <v>874</v>
      </c>
      <c r="T2" s="5" t="str">
        <f ca="1">VLOOKUP($S2,OFFSET([1]characters!$A$1,0,0,COUNTA([1]characters!$A:$A),MATCH(T$1,[1]characters!$1:$1,0)-MATCH($A$1,[1]characters!$1:$1,0)+1),MATCH(T$1,[1]characters!$1:$1,0)-MATCH($A$1,[1]characters!$1:$1,0)+1,FALSE)</f>
        <v>フレネル</v>
      </c>
      <c r="U2" s="11">
        <f ca="1">IF(Q2="NULL","NULL",VLOOKUP(G2,[2]ビット!$A$2:$B$7,2))</f>
        <v>200000</v>
      </c>
      <c r="V2"/>
    </row>
    <row r="3" spans="1:22" ht="21" customHeight="1" x14ac:dyDescent="0.15">
      <c r="A3" s="111">
        <v>958</v>
      </c>
      <c r="B3" s="5" t="str">
        <f ca="1">VLOOKUP($A3,OFFSET([1]characters!$A$1,0,0,COUNTA([1]characters!$A:$A),MATCH(B$1,[1]characters!$1:$1,0)-MATCH($A$1,[1]characters!$1:$1,0)+1),MATCH(B$1,[1]characters!$1:$1,0)-MATCH($A$1,[1]characters!$1:$1,0)+1,FALSE)</f>
        <v>ド・モルガン</v>
      </c>
      <c r="C3" s="5" t="str">
        <f ca="1">VLOOKUP($A3,OFFSET([1]characters!$A$1,0,0,COUNTA([1]characters!$A:$A),MATCH(C$1,[1]characters!$1:$1,0)-MATCH($A$1,[1]characters!$1:$1,0)+1),MATCH(C$1,[1]characters!$1:$1,0)-MATCH($A$1,[1]characters!$1:$1,0)+1,FALSE)</f>
        <v>各属性相性良3・黄・R562</v>
      </c>
      <c r="D3" s="5" t="str">
        <f ca="1">VLOOKUP($A3,OFFSET([1]characters!$A$1,0,0,COUNTA([1]characters!$A:$A),MATCH(D$1,[1]characters!$1:$1,0)-MATCH($A$1,[1]characters!$1:$1,0)+1),MATCH(D$1,[1]characters!$1:$1,0)-MATCH($A$1,[1]characters!$1:$1,0)+1,FALSE)</f>
        <v>執行者</v>
      </c>
      <c r="E3" s="5" t="str">
        <f ca="1">VLOOKUP($A3,OFFSET([1]characters!$A$1,0,0,COUNTA([1]characters!$A:$A),MATCH(E$1,[1]characters!$1:$1,0)-MATCH($A$1,[1]characters!$1:$1,0)+1),MATCH(E$1,[1]characters!$1:$1,0)-MATCH($A$1,[1]characters!$1:$1,0)+1,FALSE)</f>
        <v>格好いい</v>
      </c>
      <c r="F3" s="5" t="str">
        <f ca="1">VLOOKUP($A3,OFFSET([1]characters!$A$1,0,0,COUNTA([1]characters!$A:$A),MATCH(F$1,[1]characters!$1:$1,0)-MATCH($A$1,[1]characters!$1:$1,0)+1),MATCH(F$1,[1]characters!$1:$1,0)-MATCH($A$1,[1]characters!$1:$1,0)+1,FALSE)</f>
        <v>男性</v>
      </c>
      <c r="G3" s="5">
        <f ca="1">VLOOKUP($A3,OFFSET([1]characters!$A$1,0,0,COUNTA([1]characters!$A:$A),MATCH(G$1,[1]characters!$1:$1,0)-MATCH($A$1,[1]characters!$1:$1,0)+1),MATCH(G$1,[1]characters!$1:$1,0)-MATCH($A$1,[1]characters!$1:$1,0)+1,FALSE)</f>
        <v>5</v>
      </c>
      <c r="H3" s="5" t="str">
        <f ca="1">VLOOKUP($A3,OFFSET([1]characters!$A$1,0,0,COUNTA([1]characters!$A:$A),MATCH(H$1,[1]characters!$1:$1,0)-MATCH($A$1,[1]characters!$1:$1,0)+1),MATCH(H$1,[1]characters!$1:$1,0)-MATCH($A$1,[1]characters!$1:$1,0)+1,FALSE)</f>
        <v>PremiumSSS</v>
      </c>
      <c r="I3" s="5" t="str">
        <f ca="1">VLOOKUP($A3,OFFSET([1]characters!$A$1,0,0,COUNTA([1]characters!$A:$A),MATCH(I$1,[1]characters!$1:$1,0)-MATCH($A$1,[1]characters!$1:$1,0)+1),MATCH(I$1,[1]characters!$1:$1,0)-MATCH($A$1,[1]characters!$1:$1,0)+1,FALSE)</f>
        <v>green</v>
      </c>
      <c r="J3" s="5" t="str">
        <f ca="1">VLOOKUP($A3,OFFSET([1]characters!$A$1,0,0,COUNTA([1]characters!$A:$A),MATCH(J$1,[1]characters!$1:$1,0)-MATCH($A$1,[1]characters!$1:$1,0)+1),MATCH(J$1,[1]characters!$1:$1,0)-MATCH($A$1,[1]characters!$1:$1,0)+1,FALSE)</f>
        <v>animal</v>
      </c>
      <c r="K3" s="5" t="str">
        <f ca="1">VLOOKUP(J3,[1]character_tribe_i18n!$A:$H,3,FALSE)</f>
        <v>アニマル</v>
      </c>
      <c r="L3" s="11" t="e">
        <f>VLOOKUP(#REF!,[1]character_tribe_i18n!$A:$H,4,FALSE)</f>
        <v>#REF!</v>
      </c>
      <c r="M3" s="11" t="e">
        <f>VLOOKUP(#REF!,[1]character_tribe_i18n!$A:$H,5,FALSE)</f>
        <v>#REF!</v>
      </c>
      <c r="N3" s="11" t="e">
        <f>VLOOKUP(#REF!,[1]character_tribe_i18n!$A:$H,6,FALSE)</f>
        <v>#REF!</v>
      </c>
      <c r="O3" s="11" t="e">
        <f>VLOOKUP(#REF!,[1]character_tribe_i18n!$A:$H,7,FALSE)</f>
        <v>#REF!</v>
      </c>
      <c r="P3" s="169" t="s">
        <v>269</v>
      </c>
      <c r="Q3" s="108">
        <v>959</v>
      </c>
      <c r="R3" s="5" t="str">
        <f ca="1">IF(Q3="NULL","",VLOOKUP($Q3,OFFSET([1]characters!$A$1,0,0,COUNTA([1]characters!$A:$A),MATCH(R$1,[1]characters!$1:$1,0)-MATCH($A$1,[1]characters!$1:$1,0)+1),MATCH(R$1,[1]characters!$1:$1,0)-MATCH($A$1,[1]characters!$1:$1,0)+1,FALSE))</f>
        <v>双世の論和 ド・モルガン</v>
      </c>
      <c r="S3" s="5">
        <f t="shared" ca="1" si="0"/>
        <v>958</v>
      </c>
      <c r="T3" s="5" t="str">
        <f ca="1">VLOOKUP($S3,OFFSET([1]characters!$A$1,0,0,COUNTA([1]characters!$A:$A),MATCH(T$1,[1]characters!$1:$1,0)-MATCH($A$1,[1]characters!$1:$1,0)+1),MATCH(T$1,[1]characters!$1:$1,0)-MATCH($A$1,[1]characters!$1:$1,0)+1,FALSE)</f>
        <v>ド・モルガン</v>
      </c>
      <c r="U3" s="11">
        <f ca="1">IF(Q3="NULL","NULL",VLOOKUP(G3,[2]ビット!$A$2:$B$7,2))</f>
        <v>200000</v>
      </c>
      <c r="V3"/>
    </row>
    <row r="4" spans="1:22" ht="21" customHeight="1" x14ac:dyDescent="0.15">
      <c r="A4" s="111">
        <v>958</v>
      </c>
      <c r="B4" s="5" t="str">
        <f ca="1">VLOOKUP($A4,OFFSET([1]characters!$A$1,0,0,COUNTA([1]characters!$A:$A),MATCH(B$1,[1]characters!$1:$1,0)-MATCH($A$1,[1]characters!$1:$1,0)+1),MATCH(B$1,[1]characters!$1:$1,0)-MATCH($A$1,[1]characters!$1:$1,0)+1,FALSE)</f>
        <v>ド・モルガン</v>
      </c>
      <c r="C4" s="5" t="str">
        <f ca="1">VLOOKUP($A4,OFFSET([1]characters!$A$1,0,0,COUNTA([1]characters!$A:$A),MATCH(C$1,[1]characters!$1:$1,0)-MATCH($A$1,[1]characters!$1:$1,0)+1),MATCH(C$1,[1]characters!$1:$1,0)-MATCH($A$1,[1]characters!$1:$1,0)+1,FALSE)</f>
        <v>各属性相性良3・黄・R562</v>
      </c>
      <c r="D4" s="5" t="str">
        <f ca="1">VLOOKUP($A4,OFFSET([1]characters!$A$1,0,0,COUNTA([1]characters!$A:$A),MATCH(D$1,[1]characters!$1:$1,0)-MATCH($A$1,[1]characters!$1:$1,0)+1),MATCH(D$1,[1]characters!$1:$1,0)-MATCH($A$1,[1]characters!$1:$1,0)+1,FALSE)</f>
        <v>執行者</v>
      </c>
      <c r="E4" s="5" t="str">
        <f ca="1">VLOOKUP($A4,OFFSET([1]characters!$A$1,0,0,COUNTA([1]characters!$A:$A),MATCH(E$1,[1]characters!$1:$1,0)-MATCH($A$1,[1]characters!$1:$1,0)+1),MATCH(E$1,[1]characters!$1:$1,0)-MATCH($A$1,[1]characters!$1:$1,0)+1,FALSE)</f>
        <v>格好いい</v>
      </c>
      <c r="F4" s="5" t="str">
        <f ca="1">VLOOKUP($A4,OFFSET([1]characters!$A$1,0,0,COUNTA([1]characters!$A:$A),MATCH(F$1,[1]characters!$1:$1,0)-MATCH($A$1,[1]characters!$1:$1,0)+1),MATCH(F$1,[1]characters!$1:$1,0)-MATCH($A$1,[1]characters!$1:$1,0)+1,FALSE)</f>
        <v>男性</v>
      </c>
      <c r="G4" s="5">
        <f ca="1">VLOOKUP($A4,OFFSET([1]characters!$A$1,0,0,COUNTA([1]characters!$A:$A),MATCH(G$1,[1]characters!$1:$1,0)-MATCH($A$1,[1]characters!$1:$1,0)+1),MATCH(G$1,[1]characters!$1:$1,0)-MATCH($A$1,[1]characters!$1:$1,0)+1,FALSE)</f>
        <v>5</v>
      </c>
      <c r="H4" s="5" t="str">
        <f ca="1">VLOOKUP($A4,OFFSET([1]characters!$A$1,0,0,COUNTA([1]characters!$A:$A),MATCH(H$1,[1]characters!$1:$1,0)-MATCH($A$1,[1]characters!$1:$1,0)+1),MATCH(H$1,[1]characters!$1:$1,0)-MATCH($A$1,[1]characters!$1:$1,0)+1,FALSE)</f>
        <v>PremiumSSS</v>
      </c>
      <c r="I4" s="5" t="str">
        <f ca="1">VLOOKUP($A4,OFFSET([1]characters!$A$1,0,0,COUNTA([1]characters!$A:$A),MATCH(I$1,[1]characters!$1:$1,0)-MATCH($A$1,[1]characters!$1:$1,0)+1),MATCH(I$1,[1]characters!$1:$1,0)-MATCH($A$1,[1]characters!$1:$1,0)+1,FALSE)</f>
        <v>green</v>
      </c>
      <c r="J4" s="5" t="str">
        <f ca="1">VLOOKUP($A4,OFFSET([1]characters!$A$1,0,0,COUNTA([1]characters!$A:$A),MATCH(J$1,[1]characters!$1:$1,0)-MATCH($A$1,[1]characters!$1:$1,0)+1),MATCH(J$1,[1]characters!$1:$1,0)-MATCH($A$1,[1]characters!$1:$1,0)+1,FALSE)</f>
        <v>animal</v>
      </c>
      <c r="K4" s="5" t="str">
        <f ca="1">VLOOKUP(J4,[1]character_tribe_i18n!$A:$H,3,FALSE)</f>
        <v>アニマル</v>
      </c>
      <c r="L4" s="11" t="e">
        <f>VLOOKUP(#REF!,[1]character_tribe_i18n!$A:$H,4,FALSE)</f>
        <v>#REF!</v>
      </c>
      <c r="M4" s="11" t="e">
        <f>VLOOKUP(#REF!,[1]character_tribe_i18n!$A:$H,5,FALSE)</f>
        <v>#REF!</v>
      </c>
      <c r="N4" s="11" t="e">
        <f>VLOOKUP(#REF!,[1]character_tribe_i18n!$A:$H,6,FALSE)</f>
        <v>#REF!</v>
      </c>
      <c r="O4" s="11" t="e">
        <f>VLOOKUP(#REF!,[1]character_tribe_i18n!$A:$H,7,FALSE)</f>
        <v>#REF!</v>
      </c>
      <c r="P4" s="169" t="str">
        <f>VLOOKUP(Q4,[1]characters!$A:$T,20)</f>
        <v>super</v>
      </c>
      <c r="Q4" s="108">
        <v>960</v>
      </c>
      <c r="R4" s="5" t="str">
        <f ca="1">IF(Q4="NULL","",VLOOKUP($Q4,OFFSET([1]characters!$A$1,0,0,COUNTA([1]characters!$A:$A),MATCH(R$1,[1]characters!$1:$1,0)-MATCH($A$1,[1]characters!$1:$1,0)+1),MATCH(R$1,[1]characters!$1:$1,0)-MATCH($A$1,[1]characters!$1:$1,0)+1,FALSE))</f>
        <v>双対する真偽者 ド・モルガン</v>
      </c>
      <c r="S4" s="5">
        <f t="shared" ca="1" si="0"/>
        <v>958</v>
      </c>
      <c r="T4" s="5" t="str">
        <f ca="1">VLOOKUP($S4,OFFSET([1]characters!$A$1,0,0,COUNTA([1]characters!$A:$A),MATCH(T$1,[1]characters!$1:$1,0)-MATCH($A$1,[1]characters!$1:$1,0)+1),MATCH(T$1,[1]characters!$1:$1,0)-MATCH($A$1,[1]characters!$1:$1,0)+1,FALSE)</f>
        <v>ド・モルガン</v>
      </c>
      <c r="U4" s="11">
        <f ca="1">IF(Q4="NULL","NULL",VLOOKUP(G4,[2]ビット!$A$2:$B$7,2))</f>
        <v>200000</v>
      </c>
      <c r="V4"/>
    </row>
    <row r="5" spans="1:22" ht="21" customHeight="1" x14ac:dyDescent="0.15">
      <c r="A5" s="111">
        <v>959</v>
      </c>
      <c r="B5" s="5" t="str">
        <f ca="1">VLOOKUP($A5,OFFSET([1]characters!$A$1,0,0,COUNTA([1]characters!$A:$A),MATCH(B$1,[1]characters!$1:$1,0)-MATCH($A$1,[1]characters!$1:$1,0)+1),MATCH(B$1,[1]characters!$1:$1,0)-MATCH($A$1,[1]characters!$1:$1,0)+1,FALSE)</f>
        <v>双世の論和 ド・モルガン</v>
      </c>
      <c r="C5" s="5" t="str">
        <f ca="1">VLOOKUP($A5,OFFSET([1]characters!$A$1,0,0,COUNTA([1]characters!$A:$A),MATCH(C$1,[1]characters!$1:$1,0)-MATCH($A$1,[1]characters!$1:$1,0)+1),MATCH(C$1,[1]characters!$1:$1,0)-MATCH($A$1,[1]characters!$1:$1,0)+1,FALSE)</f>
        <v>各属性相性良3・黄・R563</v>
      </c>
      <c r="D5" s="5" t="str">
        <f ca="1">VLOOKUP($A5,OFFSET([1]characters!$A$1,0,0,COUNTA([1]characters!$A:$A),MATCH(D$1,[1]characters!$1:$1,0)-MATCH($A$1,[1]characters!$1:$1,0)+1),MATCH(D$1,[1]characters!$1:$1,0)-MATCH($A$1,[1]characters!$1:$1,0)+1,FALSE)</f>
        <v>執行者</v>
      </c>
      <c r="E5" s="5" t="str">
        <f ca="1">VLOOKUP($A5,OFFSET([1]characters!$A$1,0,0,COUNTA([1]characters!$A:$A),MATCH(E$1,[1]characters!$1:$1,0)-MATCH($A$1,[1]characters!$1:$1,0)+1),MATCH(E$1,[1]characters!$1:$1,0)-MATCH($A$1,[1]characters!$1:$1,0)+1,FALSE)</f>
        <v>格好いい</v>
      </c>
      <c r="F5" s="5" t="str">
        <f ca="1">VLOOKUP($A5,OFFSET([1]characters!$A$1,0,0,COUNTA([1]characters!$A:$A),MATCH(F$1,[1]characters!$1:$1,0)-MATCH($A$1,[1]characters!$1:$1,0)+1),MATCH(F$1,[1]characters!$1:$1,0)-MATCH($A$1,[1]characters!$1:$1,0)+1,FALSE)</f>
        <v>男性</v>
      </c>
      <c r="G5" s="5">
        <f ca="1">VLOOKUP($A5,OFFSET([1]characters!$A$1,0,0,COUNTA([1]characters!$A:$A),MATCH(G$1,[1]characters!$1:$1,0)-MATCH($A$1,[1]characters!$1:$1,0)+1),MATCH(G$1,[1]characters!$1:$1,0)-MATCH($A$1,[1]characters!$1:$1,0)+1,FALSE)</f>
        <v>6</v>
      </c>
      <c r="H5" s="5" t="str">
        <f ca="1">VLOOKUP($A5,OFFSET([1]characters!$A$1,0,0,COUNTA([1]characters!$A:$A),MATCH(H$1,[1]characters!$1:$1,0)-MATCH($A$1,[1]characters!$1:$1,0)+1),MATCH(H$1,[1]characters!$1:$1,0)-MATCH($A$1,[1]characters!$1:$1,0)+1,FALSE)</f>
        <v>PremiumSSS</v>
      </c>
      <c r="I5" s="5" t="str">
        <f ca="1">VLOOKUP($A5,OFFSET([1]characters!$A$1,0,0,COUNTA([1]characters!$A:$A),MATCH(I$1,[1]characters!$1:$1,0)-MATCH($A$1,[1]characters!$1:$1,0)+1),MATCH(I$1,[1]characters!$1:$1,0)-MATCH($A$1,[1]characters!$1:$1,0)+1,FALSE)</f>
        <v>green</v>
      </c>
      <c r="J5" s="5" t="str">
        <f ca="1">VLOOKUP($A5,OFFSET([1]characters!$A$1,0,0,COUNTA([1]characters!$A:$A),MATCH(J$1,[1]characters!$1:$1,0)-MATCH($A$1,[1]characters!$1:$1,0)+1),MATCH(J$1,[1]characters!$1:$1,0)-MATCH($A$1,[1]characters!$1:$1,0)+1,FALSE)</f>
        <v>animal</v>
      </c>
      <c r="K5" s="5" t="str">
        <f ca="1">VLOOKUP(J5,[1]character_tribe_i18n!$A:$H,3,FALSE)</f>
        <v>アニマル</v>
      </c>
      <c r="L5" s="11" t="e">
        <f>VLOOKUP(#REF!,[1]character_tribe_i18n!$A:$H,4,FALSE)</f>
        <v>#REF!</v>
      </c>
      <c r="M5" s="11" t="e">
        <f>VLOOKUP(#REF!,[1]character_tribe_i18n!$A:$H,5,FALSE)</f>
        <v>#REF!</v>
      </c>
      <c r="N5" s="11" t="e">
        <f>VLOOKUP(#REF!,[1]character_tribe_i18n!$A:$H,6,FALSE)</f>
        <v>#REF!</v>
      </c>
      <c r="O5" s="11" t="e">
        <f>VLOOKUP(#REF!,[1]character_tribe_i18n!$A:$H,7,FALSE)</f>
        <v>#REF!</v>
      </c>
      <c r="P5" s="169" t="str">
        <f>VLOOKUP(Q5,[1]characters!$A:$T,20)</f>
        <v>super</v>
      </c>
      <c r="Q5" s="108">
        <v>960</v>
      </c>
      <c r="R5" s="5" t="str">
        <f ca="1">IF(Q5="NULL","",VLOOKUP($Q5,OFFSET([1]characters!$A$1,0,0,COUNTA([1]characters!$A:$A),MATCH(R$1,[1]characters!$1:$1,0)-MATCH($A$1,[1]characters!$1:$1,0)+1),MATCH(R$1,[1]characters!$1:$1,0)-MATCH($A$1,[1]characters!$1:$1,0)+1,FALSE))</f>
        <v>双対する真偽者 ド・モルガン</v>
      </c>
      <c r="S5" s="5">
        <f t="shared" ca="1" si="0"/>
        <v>958</v>
      </c>
      <c r="T5" s="5" t="str">
        <f ca="1">VLOOKUP($S5,OFFSET([1]characters!$A$1,0,0,COUNTA([1]characters!$A:$A),MATCH(T$1,[1]characters!$1:$1,0)-MATCH($A$1,[1]characters!$1:$1,0)+1),MATCH(T$1,[1]characters!$1:$1,0)-MATCH($A$1,[1]characters!$1:$1,0)+1,FALSE)</f>
        <v>ド・モルガン</v>
      </c>
      <c r="U5" s="11">
        <f ca="1">IF(Q5="NULL","NULL",VLOOKUP(G5,[2]ビット!$A$2:$B$7,2))</f>
        <v>200000</v>
      </c>
      <c r="V5"/>
    </row>
    <row r="6" spans="1:22" ht="21" customHeight="1" x14ac:dyDescent="0.15">
      <c r="A6" s="111">
        <v>960</v>
      </c>
      <c r="B6" s="5" t="str">
        <f ca="1">VLOOKUP($A6,OFFSET([1]characters!$A$1,0,0,COUNTA([1]characters!$A:$A),MATCH(B$1,[1]characters!$1:$1,0)-MATCH($A$1,[1]characters!$1:$1,0)+1),MATCH(B$1,[1]characters!$1:$1,0)-MATCH($A$1,[1]characters!$1:$1,0)+1,FALSE)</f>
        <v>双対する真偽者 ド・モルガン</v>
      </c>
      <c r="C6" s="5" t="str">
        <f ca="1">VLOOKUP($A6,OFFSET([1]characters!$A$1,0,0,COUNTA([1]characters!$A:$A),MATCH(C$1,[1]characters!$1:$1,0)-MATCH($A$1,[1]characters!$1:$1,0)+1),MATCH(C$1,[1]characters!$1:$1,0)-MATCH($A$1,[1]characters!$1:$1,0)+1,FALSE)</f>
        <v>各属性相性良3・黄・R564</v>
      </c>
      <c r="D6" s="5" t="str">
        <f ca="1">VLOOKUP($A6,OFFSET([1]characters!$A$1,0,0,COUNTA([1]characters!$A:$A),MATCH(D$1,[1]characters!$1:$1,0)-MATCH($A$1,[1]characters!$1:$1,0)+1),MATCH(D$1,[1]characters!$1:$1,0)-MATCH($A$1,[1]characters!$1:$1,0)+1,FALSE)</f>
        <v>執行者</v>
      </c>
      <c r="E6" s="5" t="str">
        <f ca="1">VLOOKUP($A6,OFFSET([1]characters!$A$1,0,0,COUNTA([1]characters!$A:$A),MATCH(E$1,[1]characters!$1:$1,0)-MATCH($A$1,[1]characters!$1:$1,0)+1),MATCH(E$1,[1]characters!$1:$1,0)-MATCH($A$1,[1]characters!$1:$1,0)+1,FALSE)</f>
        <v>格好いい</v>
      </c>
      <c r="F6" s="5" t="str">
        <f ca="1">VLOOKUP($A6,OFFSET([1]characters!$A$1,0,0,COUNTA([1]characters!$A:$A),MATCH(F$1,[1]characters!$1:$1,0)-MATCH($A$1,[1]characters!$1:$1,0)+1),MATCH(F$1,[1]characters!$1:$1,0)-MATCH($A$1,[1]characters!$1:$1,0)+1,FALSE)</f>
        <v>男性</v>
      </c>
      <c r="G6" s="5">
        <f ca="1">VLOOKUP($A6,OFFSET([1]characters!$A$1,0,0,COUNTA([1]characters!$A:$A),MATCH(G$1,[1]characters!$1:$1,0)-MATCH($A$1,[1]characters!$1:$1,0)+1),MATCH(G$1,[1]characters!$1:$1,0)-MATCH($A$1,[1]characters!$1:$1,0)+1,FALSE)</f>
        <v>6</v>
      </c>
      <c r="H6" s="5" t="str">
        <f ca="1">VLOOKUP($A6,OFFSET([1]characters!$A$1,0,0,COUNTA([1]characters!$A:$A),MATCH(H$1,[1]characters!$1:$1,0)-MATCH($A$1,[1]characters!$1:$1,0)+1),MATCH(H$1,[1]characters!$1:$1,0)-MATCH($A$1,[1]characters!$1:$1,0)+1,FALSE)</f>
        <v>PremiumSSS</v>
      </c>
      <c r="I6" s="5" t="str">
        <f ca="1">VLOOKUP($A6,OFFSET([1]characters!$A$1,0,0,COUNTA([1]characters!$A:$A),MATCH(I$1,[1]characters!$1:$1,0)-MATCH($A$1,[1]characters!$1:$1,0)+1),MATCH(I$1,[1]characters!$1:$1,0)-MATCH($A$1,[1]characters!$1:$1,0)+1,FALSE)</f>
        <v>green</v>
      </c>
      <c r="J6" s="5" t="str">
        <f ca="1">VLOOKUP($A6,OFFSET([1]characters!$A$1,0,0,COUNTA([1]characters!$A:$A),MATCH(J$1,[1]characters!$1:$1,0)-MATCH($A$1,[1]characters!$1:$1,0)+1),MATCH(J$1,[1]characters!$1:$1,0)-MATCH($A$1,[1]characters!$1:$1,0)+1,FALSE)</f>
        <v>animal</v>
      </c>
      <c r="K6" s="5" t="str">
        <f ca="1">VLOOKUP(J6,[1]character_tribe_i18n!$A:$H,3,FALSE)</f>
        <v>アニマル</v>
      </c>
      <c r="L6" s="11" t="e">
        <f>VLOOKUP(#REF!,[1]character_tribe_i18n!$A:$H,4,FALSE)</f>
        <v>#REF!</v>
      </c>
      <c r="M6" s="11" t="e">
        <f>VLOOKUP(#REF!,[1]character_tribe_i18n!$A:$H,5,FALSE)</f>
        <v>#REF!</v>
      </c>
      <c r="N6" s="11" t="e">
        <f>VLOOKUP(#REF!,[1]character_tribe_i18n!$A:$H,6,FALSE)</f>
        <v>#REF!</v>
      </c>
      <c r="O6" s="11" t="e">
        <f>VLOOKUP(#REF!,[1]character_tribe_i18n!$A:$H,7,FALSE)</f>
        <v>#REF!</v>
      </c>
      <c r="P6" s="169" t="s">
        <v>269</v>
      </c>
      <c r="Q6" s="108">
        <v>959</v>
      </c>
      <c r="R6" s="5" t="str">
        <f ca="1">IF(Q6="NULL","",VLOOKUP($Q6,OFFSET([1]characters!$A$1,0,0,COUNTA([1]characters!$A:$A),MATCH(R$1,[1]characters!$1:$1,0)-MATCH($A$1,[1]characters!$1:$1,0)+1),MATCH(R$1,[1]characters!$1:$1,0)-MATCH($A$1,[1]characters!$1:$1,0)+1,FALSE))</f>
        <v>双世の論和 ド・モルガン</v>
      </c>
      <c r="S6" s="5">
        <f t="shared" ca="1" si="0"/>
        <v>958</v>
      </c>
      <c r="T6" s="5" t="str">
        <f ca="1">VLOOKUP($S6,OFFSET([1]characters!$A$1,0,0,COUNTA([1]characters!$A:$A),MATCH(T$1,[1]characters!$1:$1,0)-MATCH($A$1,[1]characters!$1:$1,0)+1),MATCH(T$1,[1]characters!$1:$1,0)-MATCH($A$1,[1]characters!$1:$1,0)+1,FALSE)</f>
        <v>ド・モルガン</v>
      </c>
      <c r="U6" s="11">
        <f ca="1">IF(Q6="NULL","NULL",VLOOKUP(G6,[2]ビット!$A$2:$B$7,2))</f>
        <v>200000</v>
      </c>
      <c r="V6"/>
    </row>
    <row r="7" spans="1:22" ht="21" customHeight="1" x14ac:dyDescent="0.15">
      <c r="A7" s="111">
        <v>1111</v>
      </c>
      <c r="B7" s="5" t="str">
        <f ca="1">VLOOKUP($A7,OFFSET([1]characters!$A$1,0,0,COUNTA([1]characters!$A:$A),MATCH(B$1,[1]characters!$1:$1,0)-MATCH($A$1,[1]characters!$1:$1,0)+1),MATCH(B$1,[1]characters!$1:$1,0)-MATCH($A$1,[1]characters!$1:$1,0)+1,FALSE)</f>
        <v>ウィグナー</v>
      </c>
      <c r="C7" s="5" t="str">
        <f ca="1">VLOOKUP($A7,OFFSET([1]characters!$A$1,0,0,COUNTA([1]characters!$A:$A),MATCH(C$1,[1]characters!$1:$1,0)-MATCH($A$1,[1]characters!$1:$1,0)+1),MATCH(C$1,[1]characters!$1:$1,0)-MATCH($A$1,[1]characters!$1:$1,0)+1,FALSE)</f>
        <v>未定</v>
      </c>
      <c r="D7" s="5" t="str">
        <f ca="1">VLOOKUP($A7,OFFSET([1]characters!$A$1,0,0,COUNTA([1]characters!$A:$A),MATCH(D$1,[1]characters!$1:$1,0)-MATCH($A$1,[1]characters!$1:$1,0)+1),MATCH(D$1,[1]characters!$1:$1,0)-MATCH($A$1,[1]characters!$1:$1,0)+1,FALSE)</f>
        <v>アリス</v>
      </c>
      <c r="E7" s="5" t="str">
        <f ca="1">VLOOKUP($A7,OFFSET([1]characters!$A$1,0,0,COUNTA([1]characters!$A:$A),MATCH(E$1,[1]characters!$1:$1,0)-MATCH($A$1,[1]characters!$1:$1,0)+1),MATCH(E$1,[1]characters!$1:$1,0)-MATCH($A$1,[1]characters!$1:$1,0)+1,FALSE)</f>
        <v>世界観</v>
      </c>
      <c r="F7" s="5" t="str">
        <f ca="1">VLOOKUP($A7,OFFSET([1]characters!$A$1,0,0,COUNTA([1]characters!$A:$A),MATCH(F$1,[1]characters!$1:$1,0)-MATCH($A$1,[1]characters!$1:$1,0)+1),MATCH(F$1,[1]characters!$1:$1,0)-MATCH($A$1,[1]characters!$1:$1,0)+1,FALSE)</f>
        <v>不明</v>
      </c>
      <c r="G7" s="5">
        <f ca="1">VLOOKUP($A7,OFFSET([1]characters!$A$1,0,0,COUNTA([1]characters!$A:$A),MATCH(G$1,[1]characters!$1:$1,0)-MATCH($A$1,[1]characters!$1:$1,0)+1),MATCH(G$1,[1]characters!$1:$1,0)-MATCH($A$1,[1]characters!$1:$1,0)+1,FALSE)</f>
        <v>5</v>
      </c>
      <c r="H7" s="5" t="str">
        <f ca="1">VLOOKUP($A7,OFFSET([1]characters!$A$1,0,0,COUNTA([1]characters!$A:$A),MATCH(H$1,[1]characters!$1:$1,0)-MATCH($A$1,[1]characters!$1:$1,0)+1),MATCH(H$1,[1]characters!$1:$1,0)-MATCH($A$1,[1]characters!$1:$1,0)+1,FALSE)</f>
        <v>PremiumSSS</v>
      </c>
      <c r="I7" s="5" t="str">
        <f ca="1">VLOOKUP($A7,OFFSET([1]characters!$A$1,0,0,COUNTA([1]characters!$A:$A),MATCH(I$1,[1]characters!$1:$1,0)-MATCH($A$1,[1]characters!$1:$1,0)+1),MATCH(I$1,[1]characters!$1:$1,0)-MATCH($A$1,[1]characters!$1:$1,0)+1,FALSE)</f>
        <v>blue</v>
      </c>
      <c r="J7" s="5" t="str">
        <f ca="1">VLOOKUP($A7,OFFSET([1]characters!$A$1,0,0,COUNTA([1]characters!$A:$A),MATCH(J$1,[1]characters!$1:$1,0)-MATCH($A$1,[1]characters!$1:$1,0)+1),MATCH(J$1,[1]characters!$1:$1,0)-MATCH($A$1,[1]characters!$1:$1,0)+1,FALSE)</f>
        <v>animal</v>
      </c>
      <c r="K7" s="5" t="str">
        <f ca="1">VLOOKUP(J7,[1]character_tribe_i18n!$A:$H,3,FALSE)</f>
        <v>アニマル</v>
      </c>
      <c r="L7" s="11" t="e">
        <f>VLOOKUP(#REF!,[1]character_tribe_i18n!$A:$H,4,FALSE)</f>
        <v>#REF!</v>
      </c>
      <c r="M7" s="11" t="e">
        <f>VLOOKUP(#REF!,[1]character_tribe_i18n!$A:$H,5,FALSE)</f>
        <v>#REF!</v>
      </c>
      <c r="N7" s="11" t="e">
        <f>VLOOKUP(#REF!,[1]character_tribe_i18n!$A:$H,6,FALSE)</f>
        <v>#REF!</v>
      </c>
      <c r="O7" s="11" t="e">
        <f>VLOOKUP(#REF!,[1]character_tribe_i18n!$A:$H,7,FALSE)</f>
        <v>#REF!</v>
      </c>
      <c r="P7" s="169" t="s">
        <v>269</v>
      </c>
      <c r="Q7" s="108">
        <v>1112</v>
      </c>
      <c r="R7" s="5" t="str">
        <f ca="1">IF(Q7="NULL","",VLOOKUP($Q7,OFFSET([1]characters!$A$1,0,0,COUNTA([1]characters!$A:$A),MATCH(R$1,[1]characters!$1:$1,0)-MATCH($A$1,[1]characters!$1:$1,0)+1),MATCH(R$1,[1]characters!$1:$1,0)-MATCH($A$1,[1]characters!$1:$1,0)+1,FALSE))</f>
        <v>正統なる傑晶 ウィグナー</v>
      </c>
      <c r="S7" s="5">
        <f t="shared" ca="1" si="0"/>
        <v>1111</v>
      </c>
      <c r="T7" s="5" t="str">
        <f ca="1">VLOOKUP($S7,OFFSET([1]characters!$A$1,0,0,COUNTA([1]characters!$A:$A),MATCH(T$1,[1]characters!$1:$1,0)-MATCH($A$1,[1]characters!$1:$1,0)+1),MATCH(T$1,[1]characters!$1:$1,0)-MATCH($A$1,[1]characters!$1:$1,0)+1,FALSE)</f>
        <v>ウィグナー</v>
      </c>
      <c r="U7" s="11">
        <f ca="1">IF(Q7="NULL","NULL",VLOOKUP(G7,[2]ビット!$A$2:$B$7,2))</f>
        <v>200000</v>
      </c>
      <c r="V7"/>
    </row>
    <row r="8" spans="1:22" ht="21" customHeight="1" x14ac:dyDescent="0.15">
      <c r="A8" s="111">
        <v>1111</v>
      </c>
      <c r="B8" s="5" t="str">
        <f ca="1">VLOOKUP($A8,OFFSET([1]characters!$A$1,0,0,COUNTA([1]characters!$A:$A),MATCH(B$1,[1]characters!$1:$1,0)-MATCH($A$1,[1]characters!$1:$1,0)+1),MATCH(B$1,[1]characters!$1:$1,0)-MATCH($A$1,[1]characters!$1:$1,0)+1,FALSE)</f>
        <v>ウィグナー</v>
      </c>
      <c r="C8" s="5" t="str">
        <f ca="1">VLOOKUP($A8,OFFSET([1]characters!$A$1,0,0,COUNTA([1]characters!$A:$A),MATCH(C$1,[1]characters!$1:$1,0)-MATCH($A$1,[1]characters!$1:$1,0)+1),MATCH(C$1,[1]characters!$1:$1,0)-MATCH($A$1,[1]characters!$1:$1,0)+1,FALSE)</f>
        <v>未定</v>
      </c>
      <c r="D8" s="5" t="str">
        <f ca="1">VLOOKUP($A8,OFFSET([1]characters!$A$1,0,0,COUNTA([1]characters!$A:$A),MATCH(D$1,[1]characters!$1:$1,0)-MATCH($A$1,[1]characters!$1:$1,0)+1),MATCH(D$1,[1]characters!$1:$1,0)-MATCH($A$1,[1]characters!$1:$1,0)+1,FALSE)</f>
        <v>アリス</v>
      </c>
      <c r="E8" s="5" t="str">
        <f ca="1">VLOOKUP($A8,OFFSET([1]characters!$A$1,0,0,COUNTA([1]characters!$A:$A),MATCH(E$1,[1]characters!$1:$1,0)-MATCH($A$1,[1]characters!$1:$1,0)+1),MATCH(E$1,[1]characters!$1:$1,0)-MATCH($A$1,[1]characters!$1:$1,0)+1,FALSE)</f>
        <v>世界観</v>
      </c>
      <c r="F8" s="5" t="str">
        <f ca="1">VLOOKUP($A8,OFFSET([1]characters!$A$1,0,0,COUNTA([1]characters!$A:$A),MATCH(F$1,[1]characters!$1:$1,0)-MATCH($A$1,[1]characters!$1:$1,0)+1),MATCH(F$1,[1]characters!$1:$1,0)-MATCH($A$1,[1]characters!$1:$1,0)+1,FALSE)</f>
        <v>不明</v>
      </c>
      <c r="G8" s="5">
        <f ca="1">VLOOKUP($A8,OFFSET([1]characters!$A$1,0,0,COUNTA([1]characters!$A:$A),MATCH(G$1,[1]characters!$1:$1,0)-MATCH($A$1,[1]characters!$1:$1,0)+1),MATCH(G$1,[1]characters!$1:$1,0)-MATCH($A$1,[1]characters!$1:$1,0)+1,FALSE)</f>
        <v>5</v>
      </c>
      <c r="H8" s="5" t="str">
        <f ca="1">VLOOKUP($A8,OFFSET([1]characters!$A$1,0,0,COUNTA([1]characters!$A:$A),MATCH(H$1,[1]characters!$1:$1,0)-MATCH($A$1,[1]characters!$1:$1,0)+1),MATCH(H$1,[1]characters!$1:$1,0)-MATCH($A$1,[1]characters!$1:$1,0)+1,FALSE)</f>
        <v>PremiumSSS</v>
      </c>
      <c r="I8" s="5" t="str">
        <f ca="1">VLOOKUP($A8,OFFSET([1]characters!$A$1,0,0,COUNTA([1]characters!$A:$A),MATCH(I$1,[1]characters!$1:$1,0)-MATCH($A$1,[1]characters!$1:$1,0)+1),MATCH(I$1,[1]characters!$1:$1,0)-MATCH($A$1,[1]characters!$1:$1,0)+1,FALSE)</f>
        <v>blue</v>
      </c>
      <c r="J8" s="5" t="str">
        <f ca="1">VLOOKUP($A8,OFFSET([1]characters!$A$1,0,0,COUNTA([1]characters!$A:$A),MATCH(J$1,[1]characters!$1:$1,0)-MATCH($A$1,[1]characters!$1:$1,0)+1),MATCH(J$1,[1]characters!$1:$1,0)-MATCH($A$1,[1]characters!$1:$1,0)+1,FALSE)</f>
        <v>animal</v>
      </c>
      <c r="K8" s="5" t="str">
        <f ca="1">VLOOKUP(J8,[1]character_tribe_i18n!$A:$H,3,FALSE)</f>
        <v>アニマル</v>
      </c>
      <c r="L8" s="11" t="e">
        <f>VLOOKUP(#REF!,[1]character_tribe_i18n!$A:$H,4,FALSE)</f>
        <v>#REF!</v>
      </c>
      <c r="M8" s="11" t="e">
        <f>VLOOKUP(#REF!,[1]character_tribe_i18n!$A:$H,5,FALSE)</f>
        <v>#REF!</v>
      </c>
      <c r="N8" s="11" t="e">
        <f>VLOOKUP(#REF!,[1]character_tribe_i18n!$A:$H,6,FALSE)</f>
        <v>#REF!</v>
      </c>
      <c r="O8" s="11" t="e">
        <f>VLOOKUP(#REF!,[1]character_tribe_i18n!$A:$H,7,FALSE)</f>
        <v>#REF!</v>
      </c>
      <c r="P8" s="169" t="str">
        <f>VLOOKUP(Q8,[1]characters!$A:$T,20)</f>
        <v>super</v>
      </c>
      <c r="Q8" s="108">
        <v>1113</v>
      </c>
      <c r="R8" s="5" t="str">
        <f ca="1">IF(Q8="NULL","",VLOOKUP($Q8,OFFSET([1]characters!$A$1,0,0,COUNTA([1]characters!$A:$A),MATCH(R$1,[1]characters!$1:$1,0)-MATCH($A$1,[1]characters!$1:$1,0)+1),MATCH(R$1,[1]characters!$1:$1,0)-MATCH($A$1,[1]characters!$1:$1,0)+1,FALSE))</f>
        <v>聖結たる輝晶獣 ウィグナー</v>
      </c>
      <c r="S8" s="5">
        <f t="shared" ca="1" si="0"/>
        <v>1111</v>
      </c>
      <c r="T8" s="5" t="str">
        <f ca="1">VLOOKUP($S8,OFFSET([1]characters!$A$1,0,0,COUNTA([1]characters!$A:$A),MATCH(T$1,[1]characters!$1:$1,0)-MATCH($A$1,[1]characters!$1:$1,0)+1),MATCH(T$1,[1]characters!$1:$1,0)-MATCH($A$1,[1]characters!$1:$1,0)+1,FALSE)</f>
        <v>ウィグナー</v>
      </c>
      <c r="U8" s="11">
        <f ca="1">IF(Q8="NULL","NULL",VLOOKUP(G8,[2]ビット!$A$2:$B$7,2))</f>
        <v>200000</v>
      </c>
      <c r="V8"/>
    </row>
    <row r="9" spans="1:22" ht="21" customHeight="1" x14ac:dyDescent="0.15">
      <c r="A9" s="111">
        <v>1112</v>
      </c>
      <c r="B9" s="5" t="str">
        <f ca="1">VLOOKUP($A9,OFFSET([1]characters!$A$1,0,0,COUNTA([1]characters!$A:$A),MATCH(B$1,[1]characters!$1:$1,0)-MATCH($A$1,[1]characters!$1:$1,0)+1),MATCH(B$1,[1]characters!$1:$1,0)-MATCH($A$1,[1]characters!$1:$1,0)+1,FALSE)</f>
        <v>正統なる傑晶 ウィグナー</v>
      </c>
      <c r="C9" s="5" t="str">
        <f ca="1">VLOOKUP($A9,OFFSET([1]characters!$A$1,0,0,COUNTA([1]characters!$A:$A),MATCH(C$1,[1]characters!$1:$1,0)-MATCH($A$1,[1]characters!$1:$1,0)+1),MATCH(C$1,[1]characters!$1:$1,0)-MATCH($A$1,[1]characters!$1:$1,0)+1,FALSE)</f>
        <v>未定</v>
      </c>
      <c r="D9" s="5" t="str">
        <f ca="1">VLOOKUP($A9,OFFSET([1]characters!$A$1,0,0,COUNTA([1]characters!$A:$A),MATCH(D$1,[1]characters!$1:$1,0)-MATCH($A$1,[1]characters!$1:$1,0)+1),MATCH(D$1,[1]characters!$1:$1,0)-MATCH($A$1,[1]characters!$1:$1,0)+1,FALSE)</f>
        <v>アリス</v>
      </c>
      <c r="E9" s="5" t="str">
        <f ca="1">VLOOKUP($A9,OFFSET([1]characters!$A$1,0,0,COUNTA([1]characters!$A:$A),MATCH(E$1,[1]characters!$1:$1,0)-MATCH($A$1,[1]characters!$1:$1,0)+1),MATCH(E$1,[1]characters!$1:$1,0)-MATCH($A$1,[1]characters!$1:$1,0)+1,FALSE)</f>
        <v>世界観</v>
      </c>
      <c r="F9" s="5" t="str">
        <f ca="1">VLOOKUP($A9,OFFSET([1]characters!$A$1,0,0,COUNTA([1]characters!$A:$A),MATCH(F$1,[1]characters!$1:$1,0)-MATCH($A$1,[1]characters!$1:$1,0)+1),MATCH(F$1,[1]characters!$1:$1,0)-MATCH($A$1,[1]characters!$1:$1,0)+1,FALSE)</f>
        <v>不明</v>
      </c>
      <c r="G9" s="5">
        <f ca="1">VLOOKUP($A9,OFFSET([1]characters!$A$1,0,0,COUNTA([1]characters!$A:$A),MATCH(G$1,[1]characters!$1:$1,0)-MATCH($A$1,[1]characters!$1:$1,0)+1),MATCH(G$1,[1]characters!$1:$1,0)-MATCH($A$1,[1]characters!$1:$1,0)+1,FALSE)</f>
        <v>6</v>
      </c>
      <c r="H9" s="5" t="str">
        <f ca="1">VLOOKUP($A9,OFFSET([1]characters!$A$1,0,0,COUNTA([1]characters!$A:$A),MATCH(H$1,[1]characters!$1:$1,0)-MATCH($A$1,[1]characters!$1:$1,0)+1),MATCH(H$1,[1]characters!$1:$1,0)-MATCH($A$1,[1]characters!$1:$1,0)+1,FALSE)</f>
        <v>PremiumSSS</v>
      </c>
      <c r="I9" s="5" t="str">
        <f ca="1">VLOOKUP($A9,OFFSET([1]characters!$A$1,0,0,COUNTA([1]characters!$A:$A),MATCH(I$1,[1]characters!$1:$1,0)-MATCH($A$1,[1]characters!$1:$1,0)+1),MATCH(I$1,[1]characters!$1:$1,0)-MATCH($A$1,[1]characters!$1:$1,0)+1,FALSE)</f>
        <v>blue</v>
      </c>
      <c r="J9" s="5" t="str">
        <f ca="1">VLOOKUP($A9,OFFSET([1]characters!$A$1,0,0,COUNTA([1]characters!$A:$A),MATCH(J$1,[1]characters!$1:$1,0)-MATCH($A$1,[1]characters!$1:$1,0)+1),MATCH(J$1,[1]characters!$1:$1,0)-MATCH($A$1,[1]characters!$1:$1,0)+1,FALSE)</f>
        <v>animal</v>
      </c>
      <c r="K9" s="5" t="str">
        <f ca="1">VLOOKUP(J9,[1]character_tribe_i18n!$A:$H,3,FALSE)</f>
        <v>アニマル</v>
      </c>
      <c r="L9" s="11" t="e">
        <f>VLOOKUP(#REF!,[1]character_tribe_i18n!$A:$H,4,FALSE)</f>
        <v>#REF!</v>
      </c>
      <c r="M9" s="11" t="e">
        <f>VLOOKUP(#REF!,[1]character_tribe_i18n!$A:$H,5,FALSE)</f>
        <v>#REF!</v>
      </c>
      <c r="N9" s="11" t="e">
        <f>VLOOKUP(#REF!,[1]character_tribe_i18n!$A:$H,6,FALSE)</f>
        <v>#REF!</v>
      </c>
      <c r="O9" s="11" t="e">
        <f>VLOOKUP(#REF!,[1]character_tribe_i18n!$A:$H,7,FALSE)</f>
        <v>#REF!</v>
      </c>
      <c r="P9" s="169" t="str">
        <f>VLOOKUP(Q9,[1]characters!$A:$T,20)</f>
        <v>super</v>
      </c>
      <c r="Q9" s="108">
        <v>1113</v>
      </c>
      <c r="R9" s="5" t="str">
        <f ca="1">IF(Q9="NULL","",VLOOKUP($Q9,OFFSET([1]characters!$A$1,0,0,COUNTA([1]characters!$A:$A),MATCH(R$1,[1]characters!$1:$1,0)-MATCH($A$1,[1]characters!$1:$1,0)+1),MATCH(R$1,[1]characters!$1:$1,0)-MATCH($A$1,[1]characters!$1:$1,0)+1,FALSE))</f>
        <v>聖結たる輝晶獣 ウィグナー</v>
      </c>
      <c r="S9" s="5">
        <f t="shared" ca="1" si="0"/>
        <v>1111</v>
      </c>
      <c r="T9" s="5" t="str">
        <f ca="1">VLOOKUP($S9,OFFSET([1]characters!$A$1,0,0,COUNTA([1]characters!$A:$A),MATCH(T$1,[1]characters!$1:$1,0)-MATCH($A$1,[1]characters!$1:$1,0)+1),MATCH(T$1,[1]characters!$1:$1,0)-MATCH($A$1,[1]characters!$1:$1,0)+1,FALSE)</f>
        <v>ウィグナー</v>
      </c>
      <c r="U9" s="11">
        <f ca="1">IF(Q9="NULL","NULL",VLOOKUP(G9,[2]ビット!$A$2:$B$7,2))</f>
        <v>200000</v>
      </c>
      <c r="V9"/>
    </row>
    <row r="10" spans="1:22" ht="21" customHeight="1" x14ac:dyDescent="0.15">
      <c r="A10" s="111">
        <v>1113</v>
      </c>
      <c r="B10" s="5" t="str">
        <f ca="1">VLOOKUP($A10,OFFSET([1]characters!$A$1,0,0,COUNTA([1]characters!$A:$A),MATCH(B$1,[1]characters!$1:$1,0)-MATCH($A$1,[1]characters!$1:$1,0)+1),MATCH(B$1,[1]characters!$1:$1,0)-MATCH($A$1,[1]characters!$1:$1,0)+1,FALSE)</f>
        <v>聖結たる輝晶獣 ウィグナー</v>
      </c>
      <c r="C10" s="5" t="str">
        <f ca="1">VLOOKUP($A10,OFFSET([1]characters!$A$1,0,0,COUNTA([1]characters!$A:$A),MATCH(C$1,[1]characters!$1:$1,0)-MATCH($A$1,[1]characters!$1:$1,0)+1),MATCH(C$1,[1]characters!$1:$1,0)-MATCH($A$1,[1]characters!$1:$1,0)+1,FALSE)</f>
        <v>未定</v>
      </c>
      <c r="D10" s="5" t="str">
        <f ca="1">VLOOKUP($A10,OFFSET([1]characters!$A$1,0,0,COUNTA([1]characters!$A:$A),MATCH(D$1,[1]characters!$1:$1,0)-MATCH($A$1,[1]characters!$1:$1,0)+1),MATCH(D$1,[1]characters!$1:$1,0)-MATCH($A$1,[1]characters!$1:$1,0)+1,FALSE)</f>
        <v>アリス</v>
      </c>
      <c r="E10" s="5" t="str">
        <f ca="1">VLOOKUP($A10,OFFSET([1]characters!$A$1,0,0,COUNTA([1]characters!$A:$A),MATCH(E$1,[1]characters!$1:$1,0)-MATCH($A$1,[1]characters!$1:$1,0)+1),MATCH(E$1,[1]characters!$1:$1,0)-MATCH($A$1,[1]characters!$1:$1,0)+1,FALSE)</f>
        <v>世界観</v>
      </c>
      <c r="F10" s="5" t="str">
        <f ca="1">VLOOKUP($A10,OFFSET([1]characters!$A$1,0,0,COUNTA([1]characters!$A:$A),MATCH(F$1,[1]characters!$1:$1,0)-MATCH($A$1,[1]characters!$1:$1,0)+1),MATCH(F$1,[1]characters!$1:$1,0)-MATCH($A$1,[1]characters!$1:$1,0)+1,FALSE)</f>
        <v>不明</v>
      </c>
      <c r="G10" s="5">
        <f ca="1">VLOOKUP($A10,OFFSET([1]characters!$A$1,0,0,COUNTA([1]characters!$A:$A),MATCH(G$1,[1]characters!$1:$1,0)-MATCH($A$1,[1]characters!$1:$1,0)+1),MATCH(G$1,[1]characters!$1:$1,0)-MATCH($A$1,[1]characters!$1:$1,0)+1,FALSE)</f>
        <v>6</v>
      </c>
      <c r="H10" s="5" t="str">
        <f ca="1">VLOOKUP($A10,OFFSET([1]characters!$A$1,0,0,COUNTA([1]characters!$A:$A),MATCH(H$1,[1]characters!$1:$1,0)-MATCH($A$1,[1]characters!$1:$1,0)+1),MATCH(H$1,[1]characters!$1:$1,0)-MATCH($A$1,[1]characters!$1:$1,0)+1,FALSE)</f>
        <v>PremiumSSS</v>
      </c>
      <c r="I10" s="5" t="str">
        <f ca="1">VLOOKUP($A10,OFFSET([1]characters!$A$1,0,0,COUNTA([1]characters!$A:$A),MATCH(I$1,[1]characters!$1:$1,0)-MATCH($A$1,[1]characters!$1:$1,0)+1),MATCH(I$1,[1]characters!$1:$1,0)-MATCH($A$1,[1]characters!$1:$1,0)+1,FALSE)</f>
        <v>blue</v>
      </c>
      <c r="J10" s="5" t="str">
        <f ca="1">VLOOKUP($A10,OFFSET([1]characters!$A$1,0,0,COUNTA([1]characters!$A:$A),MATCH(J$1,[1]characters!$1:$1,0)-MATCH($A$1,[1]characters!$1:$1,0)+1),MATCH(J$1,[1]characters!$1:$1,0)-MATCH($A$1,[1]characters!$1:$1,0)+1,FALSE)</f>
        <v>animal</v>
      </c>
      <c r="K10" s="5" t="str">
        <f ca="1">VLOOKUP(J10,[1]character_tribe_i18n!$A:$H,3,FALSE)</f>
        <v>アニマル</v>
      </c>
      <c r="L10" s="11" t="e">
        <f>VLOOKUP(#REF!,[1]character_tribe_i18n!$A:$H,4,FALSE)</f>
        <v>#REF!</v>
      </c>
      <c r="M10" s="11" t="e">
        <f>VLOOKUP(#REF!,[1]character_tribe_i18n!$A:$H,5,FALSE)</f>
        <v>#REF!</v>
      </c>
      <c r="N10" s="11" t="e">
        <f>VLOOKUP(#REF!,[1]character_tribe_i18n!$A:$H,6,FALSE)</f>
        <v>#REF!</v>
      </c>
      <c r="O10" s="11" t="e">
        <f>VLOOKUP(#REF!,[1]character_tribe_i18n!$A:$H,7,FALSE)</f>
        <v>#REF!</v>
      </c>
      <c r="P10" s="169" t="s">
        <v>269</v>
      </c>
      <c r="Q10" s="108">
        <v>1112</v>
      </c>
      <c r="R10" s="5" t="str">
        <f ca="1">IF(Q10="NULL","",VLOOKUP($Q10,OFFSET([1]characters!$A$1,0,0,COUNTA([1]characters!$A:$A),MATCH(R$1,[1]characters!$1:$1,0)-MATCH($A$1,[1]characters!$1:$1,0)+1),MATCH(R$1,[1]characters!$1:$1,0)-MATCH($A$1,[1]characters!$1:$1,0)+1,FALSE))</f>
        <v>正統なる傑晶 ウィグナー</v>
      </c>
      <c r="S10" s="5">
        <f t="shared" ca="1" si="0"/>
        <v>1111</v>
      </c>
      <c r="T10" s="5" t="str">
        <f ca="1">VLOOKUP($S10,OFFSET([1]characters!$A$1,0,0,COUNTA([1]characters!$A:$A),MATCH(T$1,[1]characters!$1:$1,0)-MATCH($A$1,[1]characters!$1:$1,0)+1),MATCH(T$1,[1]characters!$1:$1,0)-MATCH($A$1,[1]characters!$1:$1,0)+1,FALSE)</f>
        <v>ウィグナー</v>
      </c>
      <c r="U10" s="11">
        <f ca="1">IF(Q10="NULL","NULL",VLOOKUP(G10,[2]ビット!$A$2:$B$7,2))</f>
        <v>200000</v>
      </c>
      <c r="V10"/>
    </row>
  </sheetData>
  <autoFilter ref="A1:U2"/>
  <phoneticPr fontId="22"/>
  <conditionalFormatting sqref="W1:W2 W11:W1048576">
    <cfRule type="cellIs" dxfId="31" priority="9" operator="equal">
      <formula>"FALSE"</formula>
    </cfRule>
  </conditionalFormatting>
  <conditionalFormatting sqref="W3">
    <cfRule type="cellIs" dxfId="30" priority="8" operator="equal">
      <formula>"FALSE"</formula>
    </cfRule>
  </conditionalFormatting>
  <conditionalFormatting sqref="W5">
    <cfRule type="cellIs" dxfId="29" priority="7" operator="equal">
      <formula>"FALSE"</formula>
    </cfRule>
  </conditionalFormatting>
  <conditionalFormatting sqref="W4">
    <cfRule type="cellIs" dxfId="28" priority="6" operator="equal">
      <formula>"FALSE"</formula>
    </cfRule>
  </conditionalFormatting>
  <conditionalFormatting sqref="W6">
    <cfRule type="cellIs" dxfId="27" priority="5" operator="equal">
      <formula>"FALSE"</formula>
    </cfRule>
  </conditionalFormatting>
  <conditionalFormatting sqref="W7">
    <cfRule type="cellIs" dxfId="26" priority="4" operator="equal">
      <formula>"FALSE"</formula>
    </cfRule>
  </conditionalFormatting>
  <conditionalFormatting sqref="W9">
    <cfRule type="cellIs" dxfId="25" priority="3" operator="equal">
      <formula>"FALSE"</formula>
    </cfRule>
  </conditionalFormatting>
  <conditionalFormatting sqref="W8">
    <cfRule type="cellIs" dxfId="24" priority="2" operator="equal">
      <formula>"FALSE"</formula>
    </cfRule>
  </conditionalFormatting>
  <conditionalFormatting sqref="W10">
    <cfRule type="cellIs" dxfId="23"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O29"/>
  <sheetViews>
    <sheetView showGridLines="0" workbookViewId="0">
      <pane ySplit="1" topLeftCell="A2" activePane="bottomLeft" state="frozen"/>
      <selection pane="bottomLeft" activeCell="J36" sqref="J36"/>
    </sheetView>
  </sheetViews>
  <sheetFormatPr baseColWidth="12" defaultColWidth="13" defaultRowHeight="15" x14ac:dyDescent="0.15"/>
  <cols>
    <col min="1" max="1" width="11.5" style="64" bestFit="1" customWidth="1"/>
    <col min="2" max="3" width="19.1640625" style="3" bestFit="1" customWidth="1"/>
    <col min="4" max="4" width="22.83203125" style="2" bestFit="1" customWidth="1"/>
    <col min="5" max="5" width="9.6640625" style="2" bestFit="1" customWidth="1"/>
    <col min="6" max="7" width="13.6640625" style="2" bestFit="1" customWidth="1"/>
    <col min="8" max="8" width="21.33203125" style="2" bestFit="1" customWidth="1"/>
    <col min="9" max="9" width="13.5" style="2" bestFit="1" customWidth="1"/>
    <col min="10" max="10" width="21.33203125" style="2" bestFit="1" customWidth="1"/>
    <col min="11" max="11" width="13.5" style="2" bestFit="1" customWidth="1"/>
    <col min="12" max="12" width="17" style="1" bestFit="1" customWidth="1"/>
    <col min="13" max="16384" width="13" style="2"/>
  </cols>
  <sheetData>
    <row r="1" spans="1:15" ht="21" customHeight="1" x14ac:dyDescent="0.15">
      <c r="A1" s="64" t="s">
        <v>99</v>
      </c>
      <c r="B1" s="41" t="s">
        <v>38</v>
      </c>
      <c r="C1" s="173" t="s">
        <v>271</v>
      </c>
      <c r="D1" s="20" t="s">
        <v>40</v>
      </c>
      <c r="E1" s="20" t="s">
        <v>42</v>
      </c>
      <c r="F1" s="20" t="s">
        <v>43</v>
      </c>
      <c r="G1" s="20" t="s">
        <v>273</v>
      </c>
      <c r="H1" s="174" t="s">
        <v>272</v>
      </c>
      <c r="I1" s="20" t="s">
        <v>40</v>
      </c>
      <c r="J1" s="42" t="s">
        <v>36</v>
      </c>
      <c r="K1" s="20" t="s">
        <v>41</v>
      </c>
      <c r="L1" s="19" t="s">
        <v>37</v>
      </c>
      <c r="M1" s="172" t="s">
        <v>127</v>
      </c>
      <c r="N1" s="175" t="s">
        <v>270</v>
      </c>
    </row>
    <row r="2" spans="1:15" ht="21" customHeight="1" x14ac:dyDescent="0.15">
      <c r="A2" s="64" t="str">
        <f>B2&amp;"_"&amp;J2</f>
        <v>874_837</v>
      </c>
      <c r="B2" s="43">
        <v>874</v>
      </c>
      <c r="C2" s="176">
        <f>B2</f>
        <v>874</v>
      </c>
      <c r="D2" s="56" t="str">
        <f ca="1">VLOOKUP($C2,OFFSET([1]characters!$A$1,0,0,COUNTA([1]characters!$A:$A),MATCH(D$1,[1]characters!$1:$1,0)-MATCH($C$1,[1]characters!$1:$1,0)+1),MATCH(D$1,[1]characters!$1:$1,0)-MATCH($C$1,[1]characters!$1:$1,0)+1,FALSE)</f>
        <v>フレネル</v>
      </c>
      <c r="E2" s="56">
        <f ca="1">VLOOKUP($C2,OFFSET([1]characters!$A$1,0,0,COUNTA([1]characters!$A:$A),MATCH(E$1,[1]characters!$1:$1,0)-MATCH($C$1,[1]characters!$1:$1,0)+1),MATCH(E$1,[1]characters!$1:$1,0)-MATCH($C$1,[1]characters!$1:$1,0)+1,FALSE)</f>
        <v>5</v>
      </c>
      <c r="F2" s="56" t="str">
        <f ca="1">VLOOKUP($C2,OFFSET([1]characters!$A$1,0,0,COUNTA([1]characters!$A:$A),MATCH(F$1,[1]characters!$1:$1,0)-MATCH($C$1,[1]characters!$1:$1,0)+1),MATCH(F$1,[1]characters!$1:$1,0)-MATCH($C$1,[1]characters!$1:$1,0)+1,FALSE)</f>
        <v>PremiumSSS</v>
      </c>
      <c r="G2" s="56" t="str">
        <f ca="1">VLOOKUP($C2,OFFSET([1]characters!$A$1,0,0,COUNTA([1]characters!$A:$A),MATCH(G$1,[1]characters!$1:$1,0)-MATCH($C$1,[1]characters!$1:$1,0)+1),MATCH(G$1,[1]characters!$1:$1,0)-MATCH($C$1,[1]characters!$1:$1,0)+1,FALSE)</f>
        <v>yellow</v>
      </c>
      <c r="H2" s="43">
        <v>875</v>
      </c>
      <c r="I2" s="56" t="str">
        <f ca="1">VLOOKUP($H2,OFFSET([1]characters!$A$1,0,0,COUNTA([1]characters!$A:$A),MATCH(I$1,[1]characters!$1:$1,0)-MATCH($C$1,[1]characters!$1:$1,0)+1),MATCH(I$1,[1]characters!$1:$1,0)-MATCH($C$1,[1]characters!$1:$1,0)+1,FALSE)</f>
        <v>覇導の光跡 フレネル</v>
      </c>
      <c r="J2" s="43">
        <v>837</v>
      </c>
      <c r="K2" s="56" t="str">
        <f ca="1">VLOOKUP($J2,OFFSET([1]characters!$A$1,0,0,COUNTA([1]characters!$A:$A),MATCH(K$1,[1]characters!$1:$1,0)-MATCH($C$1,[1]characters!$1:$1,0)+1),MATCH(K$1,[1]characters!$1:$1,0)-MATCH($C$1,[1]characters!$1:$1,0)+1,FALSE)</f>
        <v>リトルハンプティ</v>
      </c>
      <c r="L2" s="18">
        <v>1</v>
      </c>
      <c r="M2" s="113">
        <v>1</v>
      </c>
      <c r="N2" s="113">
        <v>100</v>
      </c>
      <c r="O2" s="2" t="s">
        <v>274</v>
      </c>
    </row>
    <row r="3" spans="1:15" ht="21" customHeight="1" x14ac:dyDescent="0.15">
      <c r="A3" s="64" t="str">
        <f t="shared" ref="A3:A5" si="0">B3&amp;"_"&amp;J3</f>
        <v>874_359</v>
      </c>
      <c r="B3" s="43">
        <v>874</v>
      </c>
      <c r="C3" s="176">
        <f t="shared" ref="C3:C5" si="1">B3</f>
        <v>874</v>
      </c>
      <c r="D3" s="56" t="str">
        <f ca="1">VLOOKUP($C3,OFFSET([1]characters!$A$1,0,0,COUNTA([1]characters!$A:$A),MATCH(D$1,[1]characters!$1:$1,0)-MATCH($C$1,[1]characters!$1:$1,0)+1),MATCH(D$1,[1]characters!$1:$1,0)-MATCH($C$1,[1]characters!$1:$1,0)+1,FALSE)</f>
        <v>フレネル</v>
      </c>
      <c r="E3" s="56">
        <f ca="1">VLOOKUP($C3,OFFSET([1]characters!$A$1,0,0,COUNTA([1]characters!$A:$A),MATCH(E$1,[1]characters!$1:$1,0)-MATCH($C$1,[1]characters!$1:$1,0)+1),MATCH(E$1,[1]characters!$1:$1,0)-MATCH($C$1,[1]characters!$1:$1,0)+1,FALSE)</f>
        <v>5</v>
      </c>
      <c r="F3" s="56" t="str">
        <f ca="1">VLOOKUP($C3,OFFSET([1]characters!$A$1,0,0,COUNTA([1]characters!$A:$A),MATCH(F$1,[1]characters!$1:$1,0)-MATCH($C$1,[1]characters!$1:$1,0)+1),MATCH(F$1,[1]characters!$1:$1,0)-MATCH($C$1,[1]characters!$1:$1,0)+1,FALSE)</f>
        <v>PremiumSSS</v>
      </c>
      <c r="G3" s="56" t="str">
        <f ca="1">VLOOKUP($C3,OFFSET([1]characters!$A$1,0,0,COUNTA([1]characters!$A:$A),MATCH(G$1,[1]characters!$1:$1,0)-MATCH($C$1,[1]characters!$1:$1,0)+1),MATCH(G$1,[1]characters!$1:$1,0)-MATCH($C$1,[1]characters!$1:$1,0)+1,FALSE)</f>
        <v>yellow</v>
      </c>
      <c r="H3" s="43">
        <v>875</v>
      </c>
      <c r="I3" s="56" t="str">
        <f ca="1">VLOOKUP($H3,OFFSET([1]characters!$A$1,0,0,COUNTA([1]characters!$A:$A),MATCH(I$1,[1]characters!$1:$1,0)-MATCH($C$1,[1]characters!$1:$1,0)+1),MATCH(I$1,[1]characters!$1:$1,0)-MATCH($C$1,[1]characters!$1:$1,0)+1,FALSE)</f>
        <v>覇導の光跡 フレネル</v>
      </c>
      <c r="J3" s="43">
        <v>359</v>
      </c>
      <c r="K3" s="56" t="str">
        <f ca="1">VLOOKUP($J3,OFFSET([1]characters!$A$1,0,0,COUNTA([1]characters!$A:$A),MATCH(K$1,[1]characters!$1:$1,0)-MATCH($C$1,[1]characters!$1:$1,0)+1),MATCH(K$1,[1]characters!$1:$1,0)-MATCH($C$1,[1]characters!$1:$1,0)+1,FALSE)</f>
        <v>醒電の眠りネズミ</v>
      </c>
      <c r="L3" s="18">
        <v>1</v>
      </c>
      <c r="M3" s="113">
        <v>1</v>
      </c>
      <c r="N3" s="113">
        <v>10</v>
      </c>
      <c r="O3" s="2" t="s">
        <v>274</v>
      </c>
    </row>
    <row r="4" spans="1:15" ht="21" customHeight="1" x14ac:dyDescent="0.15">
      <c r="A4" s="64" t="str">
        <f t="shared" si="0"/>
        <v>874_115</v>
      </c>
      <c r="B4" s="43">
        <v>874</v>
      </c>
      <c r="C4" s="176">
        <f t="shared" si="1"/>
        <v>874</v>
      </c>
      <c r="D4" s="56" t="str">
        <f ca="1">VLOOKUP($C4,OFFSET([1]characters!$A$1,0,0,COUNTA([1]characters!$A:$A),MATCH(D$1,[1]characters!$1:$1,0)-MATCH($C$1,[1]characters!$1:$1,0)+1),MATCH(D$1,[1]characters!$1:$1,0)-MATCH($C$1,[1]characters!$1:$1,0)+1,FALSE)</f>
        <v>フレネル</v>
      </c>
      <c r="E4" s="56">
        <f ca="1">VLOOKUP($C4,OFFSET([1]characters!$A$1,0,0,COUNTA([1]characters!$A:$A),MATCH(E$1,[1]characters!$1:$1,0)-MATCH($C$1,[1]characters!$1:$1,0)+1),MATCH(E$1,[1]characters!$1:$1,0)-MATCH($C$1,[1]characters!$1:$1,0)+1,FALSE)</f>
        <v>5</v>
      </c>
      <c r="F4" s="56" t="str">
        <f ca="1">VLOOKUP($C4,OFFSET([1]characters!$A$1,0,0,COUNTA([1]characters!$A:$A),MATCH(F$1,[1]characters!$1:$1,0)-MATCH($C$1,[1]characters!$1:$1,0)+1),MATCH(F$1,[1]characters!$1:$1,0)-MATCH($C$1,[1]characters!$1:$1,0)+1,FALSE)</f>
        <v>PremiumSSS</v>
      </c>
      <c r="G4" s="56" t="str">
        <f ca="1">VLOOKUP($C4,OFFSET([1]characters!$A$1,0,0,COUNTA([1]characters!$A:$A),MATCH(G$1,[1]characters!$1:$1,0)-MATCH($C$1,[1]characters!$1:$1,0)+1),MATCH(G$1,[1]characters!$1:$1,0)-MATCH($C$1,[1]characters!$1:$1,0)+1,FALSE)</f>
        <v>yellow</v>
      </c>
      <c r="H4" s="43">
        <v>875</v>
      </c>
      <c r="I4" s="56" t="str">
        <f ca="1">VLOOKUP($H4,OFFSET([1]characters!$A$1,0,0,COUNTA([1]characters!$A:$A),MATCH(I$1,[1]characters!$1:$1,0)-MATCH($C$1,[1]characters!$1:$1,0)+1),MATCH(I$1,[1]characters!$1:$1,0)-MATCH($C$1,[1]characters!$1:$1,0)+1,FALSE)</f>
        <v>覇導の光跡 フレネル</v>
      </c>
      <c r="J4" s="43">
        <v>115</v>
      </c>
      <c r="K4" s="56" t="str">
        <f ca="1">VLOOKUP($J4,OFFSET([1]characters!$A$1,0,0,COUNTA([1]characters!$A:$A),MATCH(K$1,[1]characters!$1:$1,0)-MATCH($C$1,[1]characters!$1:$1,0)+1),MATCH(K$1,[1]characters!$1:$1,0)-MATCH($C$1,[1]characters!$1:$1,0)+1,FALSE)</f>
        <v>イエローキャタップ</v>
      </c>
      <c r="L4" s="18">
        <v>1</v>
      </c>
      <c r="M4" s="113">
        <v>1</v>
      </c>
      <c r="N4" s="113">
        <v>10</v>
      </c>
      <c r="O4" s="2" t="s">
        <v>274</v>
      </c>
    </row>
    <row r="5" spans="1:15" ht="21" customHeight="1" x14ac:dyDescent="0.15">
      <c r="A5" s="64" t="str">
        <f t="shared" si="0"/>
        <v>874_114</v>
      </c>
      <c r="B5" s="43">
        <v>874</v>
      </c>
      <c r="C5" s="176">
        <f t="shared" si="1"/>
        <v>874</v>
      </c>
      <c r="D5" s="56" t="str">
        <f ca="1">VLOOKUP($C5,OFFSET([1]characters!$A$1,0,0,COUNTA([1]characters!$A:$A),MATCH(D$1,[1]characters!$1:$1,0)-MATCH($C$1,[1]characters!$1:$1,0)+1),MATCH(D$1,[1]characters!$1:$1,0)-MATCH($C$1,[1]characters!$1:$1,0)+1,FALSE)</f>
        <v>フレネル</v>
      </c>
      <c r="E5" s="56">
        <f ca="1">VLOOKUP($C5,OFFSET([1]characters!$A$1,0,0,COUNTA([1]characters!$A:$A),MATCH(E$1,[1]characters!$1:$1,0)-MATCH($C$1,[1]characters!$1:$1,0)+1),MATCH(E$1,[1]characters!$1:$1,0)-MATCH($C$1,[1]characters!$1:$1,0)+1,FALSE)</f>
        <v>5</v>
      </c>
      <c r="F5" s="56" t="str">
        <f ca="1">VLOOKUP($C5,OFFSET([1]characters!$A$1,0,0,COUNTA([1]characters!$A:$A),MATCH(F$1,[1]characters!$1:$1,0)-MATCH($C$1,[1]characters!$1:$1,0)+1),MATCH(F$1,[1]characters!$1:$1,0)-MATCH($C$1,[1]characters!$1:$1,0)+1,FALSE)</f>
        <v>PremiumSSS</v>
      </c>
      <c r="G5" s="56" t="str">
        <f ca="1">VLOOKUP($C5,OFFSET([1]characters!$A$1,0,0,COUNTA([1]characters!$A:$A),MATCH(G$1,[1]characters!$1:$1,0)-MATCH($C$1,[1]characters!$1:$1,0)+1),MATCH(G$1,[1]characters!$1:$1,0)-MATCH($C$1,[1]characters!$1:$1,0)+1,FALSE)</f>
        <v>yellow</v>
      </c>
      <c r="H5" s="43">
        <v>875</v>
      </c>
      <c r="I5" s="56" t="str">
        <f ca="1">VLOOKUP($H5,OFFSET([1]characters!$A$1,0,0,COUNTA([1]characters!$A:$A),MATCH(I$1,[1]characters!$1:$1,0)-MATCH($C$1,[1]characters!$1:$1,0)+1),MATCH(I$1,[1]characters!$1:$1,0)-MATCH($C$1,[1]characters!$1:$1,0)+1,FALSE)</f>
        <v>覇導の光跡 フレネル</v>
      </c>
      <c r="J5" s="43">
        <v>114</v>
      </c>
      <c r="K5" s="56" t="str">
        <f ca="1">VLOOKUP($J5,OFFSET([1]characters!$A$1,0,0,COUNTA([1]characters!$A:$A),MATCH(K$1,[1]characters!$1:$1,0)-MATCH($C$1,[1]characters!$1:$1,0)+1),MATCH(K$1,[1]characters!$1:$1,0)-MATCH($C$1,[1]characters!$1:$1,0)+1,FALSE)</f>
        <v>イエローラビット</v>
      </c>
      <c r="L5" s="18">
        <v>1</v>
      </c>
      <c r="M5" s="113">
        <v>1</v>
      </c>
      <c r="N5" s="113">
        <v>10</v>
      </c>
      <c r="O5" s="2" t="s">
        <v>274</v>
      </c>
    </row>
    <row r="6" spans="1:15" ht="21" customHeight="1" x14ac:dyDescent="0.15">
      <c r="A6" s="64" t="str">
        <f>B6&amp;"_"&amp;J6</f>
        <v>958_837</v>
      </c>
      <c r="B6" s="43">
        <v>958</v>
      </c>
      <c r="C6" s="176">
        <f>B6</f>
        <v>958</v>
      </c>
      <c r="D6" s="56" t="str">
        <f ca="1">VLOOKUP($C6,OFFSET([1]characters!$A$1,0,0,COUNTA([1]characters!$A:$A),MATCH(D$1,[1]characters!$1:$1,0)-MATCH($C$1,[1]characters!$1:$1,0)+1),MATCH(D$1,[1]characters!$1:$1,0)-MATCH($C$1,[1]characters!$1:$1,0)+1,FALSE)</f>
        <v>ド・モルガン</v>
      </c>
      <c r="E6" s="56">
        <f ca="1">VLOOKUP($C6,OFFSET([1]characters!$A$1,0,0,COUNTA([1]characters!$A:$A),MATCH(E$1,[1]characters!$1:$1,0)-MATCH($C$1,[1]characters!$1:$1,0)+1),MATCH(E$1,[1]characters!$1:$1,0)-MATCH($C$1,[1]characters!$1:$1,0)+1,FALSE)</f>
        <v>5</v>
      </c>
      <c r="F6" s="56" t="str">
        <f ca="1">VLOOKUP($C6,OFFSET([1]characters!$A$1,0,0,COUNTA([1]characters!$A:$A),MATCH(F$1,[1]characters!$1:$1,0)-MATCH($C$1,[1]characters!$1:$1,0)+1),MATCH(F$1,[1]characters!$1:$1,0)-MATCH($C$1,[1]characters!$1:$1,0)+1,FALSE)</f>
        <v>PremiumSSS</v>
      </c>
      <c r="G6" s="56" t="str">
        <f ca="1">VLOOKUP($C6,OFFSET([1]characters!$A$1,0,0,COUNTA([1]characters!$A:$A),MATCH(G$1,[1]characters!$1:$1,0)-MATCH($C$1,[1]characters!$1:$1,0)+1),MATCH(G$1,[1]characters!$1:$1,0)-MATCH($C$1,[1]characters!$1:$1,0)+1,FALSE)</f>
        <v>green</v>
      </c>
      <c r="H6" s="43">
        <v>959</v>
      </c>
      <c r="I6" s="56" t="str">
        <f ca="1">VLOOKUP($H6,OFFSET([1]characters!$A$1,0,0,COUNTA([1]characters!$A:$A),MATCH(I$1,[1]characters!$1:$1,0)-MATCH($C$1,[1]characters!$1:$1,0)+1),MATCH(I$1,[1]characters!$1:$1,0)-MATCH($C$1,[1]characters!$1:$1,0)+1,FALSE)</f>
        <v>双世の論和 ド・モルガン</v>
      </c>
      <c r="J6" s="43">
        <v>837</v>
      </c>
      <c r="K6" s="56" t="str">
        <f ca="1">VLOOKUP($J6,OFFSET([1]characters!$A$1,0,0,COUNTA([1]characters!$A:$A),MATCH(K$1,[1]characters!$1:$1,0)-MATCH($C$1,[1]characters!$1:$1,0)+1),MATCH(K$1,[1]characters!$1:$1,0)-MATCH($C$1,[1]characters!$1:$1,0)+1,FALSE)</f>
        <v>リトルハンプティ</v>
      </c>
      <c r="L6" s="18">
        <v>1</v>
      </c>
      <c r="M6" s="113">
        <v>1</v>
      </c>
      <c r="N6" s="113">
        <v>100</v>
      </c>
      <c r="O6" s="2" t="s">
        <v>274</v>
      </c>
    </row>
    <row r="7" spans="1:15" ht="21" customHeight="1" x14ac:dyDescent="0.15">
      <c r="A7" s="64" t="str">
        <f t="shared" ref="A7:A9" si="2">B7&amp;"_"&amp;J7</f>
        <v>958_357</v>
      </c>
      <c r="B7" s="43">
        <v>958</v>
      </c>
      <c r="C7" s="176">
        <f t="shared" ref="C7:C9" si="3">B7</f>
        <v>958</v>
      </c>
      <c r="D7" s="56" t="str">
        <f ca="1">VLOOKUP($C7,OFFSET([1]characters!$A$1,0,0,COUNTA([1]characters!$A:$A),MATCH(D$1,[1]characters!$1:$1,0)-MATCH($C$1,[1]characters!$1:$1,0)+1),MATCH(D$1,[1]characters!$1:$1,0)-MATCH($C$1,[1]characters!$1:$1,0)+1,FALSE)</f>
        <v>ド・モルガン</v>
      </c>
      <c r="E7" s="56">
        <f ca="1">VLOOKUP($C7,OFFSET([1]characters!$A$1,0,0,COUNTA([1]characters!$A:$A),MATCH(E$1,[1]characters!$1:$1,0)-MATCH($C$1,[1]characters!$1:$1,0)+1),MATCH(E$1,[1]characters!$1:$1,0)-MATCH($C$1,[1]characters!$1:$1,0)+1,FALSE)</f>
        <v>5</v>
      </c>
      <c r="F7" s="56" t="str">
        <f ca="1">VLOOKUP($C7,OFFSET([1]characters!$A$1,0,0,COUNTA([1]characters!$A:$A),MATCH(F$1,[1]characters!$1:$1,0)-MATCH($C$1,[1]characters!$1:$1,0)+1),MATCH(F$1,[1]characters!$1:$1,0)-MATCH($C$1,[1]characters!$1:$1,0)+1,FALSE)</f>
        <v>PremiumSSS</v>
      </c>
      <c r="G7" s="56" t="str">
        <f ca="1">VLOOKUP($C7,OFFSET([1]characters!$A$1,0,0,COUNTA([1]characters!$A:$A),MATCH(G$1,[1]characters!$1:$1,0)-MATCH($C$1,[1]characters!$1:$1,0)+1),MATCH(G$1,[1]characters!$1:$1,0)-MATCH($C$1,[1]characters!$1:$1,0)+1,FALSE)</f>
        <v>green</v>
      </c>
      <c r="H7" s="43">
        <v>959</v>
      </c>
      <c r="I7" s="56" t="str">
        <f ca="1">VLOOKUP($H7,OFFSET([1]characters!$A$1,0,0,COUNTA([1]characters!$A:$A),MATCH(I$1,[1]characters!$1:$1,0)-MATCH($C$1,[1]characters!$1:$1,0)+1),MATCH(I$1,[1]characters!$1:$1,0)-MATCH($C$1,[1]characters!$1:$1,0)+1,FALSE)</f>
        <v>双世の論和 ド・モルガン</v>
      </c>
      <c r="J7" s="43">
        <v>357</v>
      </c>
      <c r="K7" s="56" t="str">
        <f ca="1">VLOOKUP($J7,OFFSET([1]characters!$A$1,0,0,COUNTA([1]characters!$A:$A),MATCH(K$1,[1]characters!$1:$1,0)-MATCH($C$1,[1]characters!$1:$1,0)+1),MATCH(K$1,[1]characters!$1:$1,0)-MATCH($C$1,[1]characters!$1:$1,0)+1,FALSE)</f>
        <v>千風のグリフォン</v>
      </c>
      <c r="L7" s="18">
        <v>1</v>
      </c>
      <c r="M7" s="113">
        <v>1</v>
      </c>
      <c r="N7" s="113">
        <v>10</v>
      </c>
      <c r="O7" s="2" t="s">
        <v>274</v>
      </c>
    </row>
    <row r="8" spans="1:15" ht="21" customHeight="1" x14ac:dyDescent="0.15">
      <c r="A8" s="64" t="str">
        <f t="shared" si="2"/>
        <v>958_107</v>
      </c>
      <c r="B8" s="43">
        <v>958</v>
      </c>
      <c r="C8" s="176">
        <f t="shared" si="3"/>
        <v>958</v>
      </c>
      <c r="D8" s="56" t="str">
        <f ca="1">VLOOKUP($C8,OFFSET([1]characters!$A$1,0,0,COUNTA([1]characters!$A:$A),MATCH(D$1,[1]characters!$1:$1,0)-MATCH($C$1,[1]characters!$1:$1,0)+1),MATCH(D$1,[1]characters!$1:$1,0)-MATCH($C$1,[1]characters!$1:$1,0)+1,FALSE)</f>
        <v>ド・モルガン</v>
      </c>
      <c r="E8" s="56">
        <f ca="1">VLOOKUP($C8,OFFSET([1]characters!$A$1,0,0,COUNTA([1]characters!$A:$A),MATCH(E$1,[1]characters!$1:$1,0)-MATCH($C$1,[1]characters!$1:$1,0)+1),MATCH(E$1,[1]characters!$1:$1,0)-MATCH($C$1,[1]characters!$1:$1,0)+1,FALSE)</f>
        <v>5</v>
      </c>
      <c r="F8" s="56" t="str">
        <f ca="1">VLOOKUP($C8,OFFSET([1]characters!$A$1,0,0,COUNTA([1]characters!$A:$A),MATCH(F$1,[1]characters!$1:$1,0)-MATCH($C$1,[1]characters!$1:$1,0)+1),MATCH(F$1,[1]characters!$1:$1,0)-MATCH($C$1,[1]characters!$1:$1,0)+1,FALSE)</f>
        <v>PremiumSSS</v>
      </c>
      <c r="G8" s="56" t="str">
        <f ca="1">VLOOKUP($C8,OFFSET([1]characters!$A$1,0,0,COUNTA([1]characters!$A:$A),MATCH(G$1,[1]characters!$1:$1,0)-MATCH($C$1,[1]characters!$1:$1,0)+1),MATCH(G$1,[1]characters!$1:$1,0)-MATCH($C$1,[1]characters!$1:$1,0)+1,FALSE)</f>
        <v>green</v>
      </c>
      <c r="H8" s="43">
        <v>959</v>
      </c>
      <c r="I8" s="56" t="str">
        <f ca="1">VLOOKUP($H8,OFFSET([1]characters!$A$1,0,0,COUNTA([1]characters!$A:$A),MATCH(I$1,[1]characters!$1:$1,0)-MATCH($C$1,[1]characters!$1:$1,0)+1),MATCH(I$1,[1]characters!$1:$1,0)-MATCH($C$1,[1]characters!$1:$1,0)+1,FALSE)</f>
        <v>双世の論和 ド・モルガン</v>
      </c>
      <c r="J8" s="43">
        <v>107</v>
      </c>
      <c r="K8" s="56" t="str">
        <f ca="1">VLOOKUP($J8,OFFSET([1]characters!$A$1,0,0,COUNTA([1]characters!$A:$A),MATCH(K$1,[1]characters!$1:$1,0)-MATCH($C$1,[1]characters!$1:$1,0)+1),MATCH(K$1,[1]characters!$1:$1,0)-MATCH($C$1,[1]characters!$1:$1,0)+1,FALSE)</f>
        <v>グリーンキャタップ</v>
      </c>
      <c r="L8" s="18">
        <v>1</v>
      </c>
      <c r="M8" s="113">
        <v>1</v>
      </c>
      <c r="N8" s="113">
        <v>10</v>
      </c>
      <c r="O8" s="2" t="s">
        <v>274</v>
      </c>
    </row>
    <row r="9" spans="1:15" ht="21" customHeight="1" x14ac:dyDescent="0.15">
      <c r="A9" s="64" t="str">
        <f t="shared" si="2"/>
        <v>958_106</v>
      </c>
      <c r="B9" s="43">
        <v>958</v>
      </c>
      <c r="C9" s="176">
        <f t="shared" si="3"/>
        <v>958</v>
      </c>
      <c r="D9" s="56" t="str">
        <f ca="1">VLOOKUP($C9,OFFSET([1]characters!$A$1,0,0,COUNTA([1]characters!$A:$A),MATCH(D$1,[1]characters!$1:$1,0)-MATCH($C$1,[1]characters!$1:$1,0)+1),MATCH(D$1,[1]characters!$1:$1,0)-MATCH($C$1,[1]characters!$1:$1,0)+1,FALSE)</f>
        <v>ド・モルガン</v>
      </c>
      <c r="E9" s="56">
        <f ca="1">VLOOKUP($C9,OFFSET([1]characters!$A$1,0,0,COUNTA([1]characters!$A:$A),MATCH(E$1,[1]characters!$1:$1,0)-MATCH($C$1,[1]characters!$1:$1,0)+1),MATCH(E$1,[1]characters!$1:$1,0)-MATCH($C$1,[1]characters!$1:$1,0)+1,FALSE)</f>
        <v>5</v>
      </c>
      <c r="F9" s="56" t="str">
        <f ca="1">VLOOKUP($C9,OFFSET([1]characters!$A$1,0,0,COUNTA([1]characters!$A:$A),MATCH(F$1,[1]characters!$1:$1,0)-MATCH($C$1,[1]characters!$1:$1,0)+1),MATCH(F$1,[1]characters!$1:$1,0)-MATCH($C$1,[1]characters!$1:$1,0)+1,FALSE)</f>
        <v>PremiumSSS</v>
      </c>
      <c r="G9" s="56" t="str">
        <f ca="1">VLOOKUP($C9,OFFSET([1]characters!$A$1,0,0,COUNTA([1]characters!$A:$A),MATCH(G$1,[1]characters!$1:$1,0)-MATCH($C$1,[1]characters!$1:$1,0)+1),MATCH(G$1,[1]characters!$1:$1,0)-MATCH($C$1,[1]characters!$1:$1,0)+1,FALSE)</f>
        <v>green</v>
      </c>
      <c r="H9" s="43">
        <v>959</v>
      </c>
      <c r="I9" s="56" t="str">
        <f ca="1">VLOOKUP($H9,OFFSET([1]characters!$A$1,0,0,COUNTA([1]characters!$A:$A),MATCH(I$1,[1]characters!$1:$1,0)-MATCH($C$1,[1]characters!$1:$1,0)+1),MATCH(I$1,[1]characters!$1:$1,0)-MATCH($C$1,[1]characters!$1:$1,0)+1,FALSE)</f>
        <v>双世の論和 ド・モルガン</v>
      </c>
      <c r="J9" s="43">
        <v>106</v>
      </c>
      <c r="K9" s="56" t="str">
        <f ca="1">VLOOKUP($J9,OFFSET([1]characters!$A$1,0,0,COUNTA([1]characters!$A:$A),MATCH(K$1,[1]characters!$1:$1,0)-MATCH($C$1,[1]characters!$1:$1,0)+1),MATCH(K$1,[1]characters!$1:$1,0)-MATCH($C$1,[1]characters!$1:$1,0)+1,FALSE)</f>
        <v>グリーンラビット</v>
      </c>
      <c r="L9" s="18">
        <v>1</v>
      </c>
      <c r="M9" s="113">
        <v>1</v>
      </c>
      <c r="N9" s="113">
        <v>10</v>
      </c>
      <c r="O9" s="2" t="s">
        <v>274</v>
      </c>
    </row>
    <row r="10" spans="1:15" ht="21" customHeight="1" x14ac:dyDescent="0.15">
      <c r="A10" s="64" t="str">
        <f>B10&amp;"_"&amp;J10</f>
        <v>958_460</v>
      </c>
      <c r="B10" s="43">
        <v>958</v>
      </c>
      <c r="C10" s="176">
        <f>B10</f>
        <v>958</v>
      </c>
      <c r="D10" s="56" t="str">
        <f ca="1">VLOOKUP($C10,OFFSET([1]characters!$A$1,0,0,COUNTA([1]characters!$A:$A),MATCH(D$1,[1]characters!$1:$1,0)-MATCH($C$1,[1]characters!$1:$1,0)+1),MATCH(D$1,[1]characters!$1:$1,0)-MATCH($C$1,[1]characters!$1:$1,0)+1,FALSE)</f>
        <v>ド・モルガン</v>
      </c>
      <c r="E10" s="56">
        <f ca="1">VLOOKUP($C10,OFFSET([1]characters!$A$1,0,0,COUNTA([1]characters!$A:$A),MATCH(E$1,[1]characters!$1:$1,0)-MATCH($C$1,[1]characters!$1:$1,0)+1),MATCH(E$1,[1]characters!$1:$1,0)-MATCH($C$1,[1]characters!$1:$1,0)+1,FALSE)</f>
        <v>5</v>
      </c>
      <c r="F10" s="56" t="str">
        <f ca="1">VLOOKUP($C10,OFFSET([1]characters!$A$1,0,0,COUNTA([1]characters!$A:$A),MATCH(F$1,[1]characters!$1:$1,0)-MATCH($C$1,[1]characters!$1:$1,0)+1),MATCH(F$1,[1]characters!$1:$1,0)-MATCH($C$1,[1]characters!$1:$1,0)+1,FALSE)</f>
        <v>PremiumSSS</v>
      </c>
      <c r="G10" s="56" t="str">
        <f ca="1">VLOOKUP($C10,OFFSET([1]characters!$A$1,0,0,COUNTA([1]characters!$A:$A),MATCH(G$1,[1]characters!$1:$1,0)-MATCH($C$1,[1]characters!$1:$1,0)+1),MATCH(G$1,[1]characters!$1:$1,0)-MATCH($C$1,[1]characters!$1:$1,0)+1,FALSE)</f>
        <v>green</v>
      </c>
      <c r="H10" s="43">
        <v>960</v>
      </c>
      <c r="I10" s="56" t="str">
        <f ca="1">VLOOKUP($H10,OFFSET([1]characters!$A$1,0,0,COUNTA([1]characters!$A:$A),MATCH(I$1,[1]characters!$1:$1,0)-MATCH($C$1,[1]characters!$1:$1,0)+1),MATCH(I$1,[1]characters!$1:$1,0)-MATCH($C$1,[1]characters!$1:$1,0)+1,FALSE)</f>
        <v>双対する真偽者 ド・モルガン</v>
      </c>
      <c r="J10" s="43">
        <v>460</v>
      </c>
      <c r="K10" s="56" t="str">
        <f ca="1">VLOOKUP($J10,OFFSET([1]characters!$A$1,0,0,COUNTA([1]characters!$A:$A),MATCH(K$1,[1]characters!$1:$1,0)-MATCH($C$1,[1]characters!$1:$1,0)+1),MATCH(K$1,[1]characters!$1:$1,0)-MATCH($C$1,[1]characters!$1:$1,0)+1,FALSE)</f>
        <v>オズ</v>
      </c>
      <c r="L10" s="18">
        <v>1</v>
      </c>
      <c r="M10" s="113">
        <v>1</v>
      </c>
      <c r="N10" s="113">
        <v>100</v>
      </c>
      <c r="O10" s="2" t="s">
        <v>274</v>
      </c>
    </row>
    <row r="11" spans="1:15" ht="21" customHeight="1" x14ac:dyDescent="0.15">
      <c r="A11" s="64" t="str">
        <f t="shared" ref="A11:A12" si="4">B11&amp;"_"&amp;J11</f>
        <v>958_490</v>
      </c>
      <c r="B11" s="43">
        <v>958</v>
      </c>
      <c r="C11" s="176">
        <f t="shared" ref="C11:C12" si="5">B11</f>
        <v>958</v>
      </c>
      <c r="D11" s="56" t="str">
        <f ca="1">VLOOKUP($C11,OFFSET([1]characters!$A$1,0,0,COUNTA([1]characters!$A:$A),MATCH(D$1,[1]characters!$1:$1,0)-MATCH($C$1,[1]characters!$1:$1,0)+1),MATCH(D$1,[1]characters!$1:$1,0)-MATCH($C$1,[1]characters!$1:$1,0)+1,FALSE)</f>
        <v>ド・モルガン</v>
      </c>
      <c r="E11" s="56">
        <f ca="1">VLOOKUP($C11,OFFSET([1]characters!$A$1,0,0,COUNTA([1]characters!$A:$A),MATCH(E$1,[1]characters!$1:$1,0)-MATCH($C$1,[1]characters!$1:$1,0)+1),MATCH(E$1,[1]characters!$1:$1,0)-MATCH($C$1,[1]characters!$1:$1,0)+1,FALSE)</f>
        <v>5</v>
      </c>
      <c r="F11" s="56" t="str">
        <f ca="1">VLOOKUP($C11,OFFSET([1]characters!$A$1,0,0,COUNTA([1]characters!$A:$A),MATCH(F$1,[1]characters!$1:$1,0)-MATCH($C$1,[1]characters!$1:$1,0)+1),MATCH(F$1,[1]characters!$1:$1,0)-MATCH($C$1,[1]characters!$1:$1,0)+1,FALSE)</f>
        <v>PremiumSSS</v>
      </c>
      <c r="G11" s="56" t="str">
        <f ca="1">VLOOKUP($C11,OFFSET([1]characters!$A$1,0,0,COUNTA([1]characters!$A:$A),MATCH(G$1,[1]characters!$1:$1,0)-MATCH($C$1,[1]characters!$1:$1,0)+1),MATCH(G$1,[1]characters!$1:$1,0)-MATCH($C$1,[1]characters!$1:$1,0)+1,FALSE)</f>
        <v>green</v>
      </c>
      <c r="H11" s="43">
        <v>960</v>
      </c>
      <c r="I11" s="56" t="str">
        <f ca="1">VLOOKUP($H11,OFFSET([1]characters!$A$1,0,0,COUNTA([1]characters!$A:$A),MATCH(I$1,[1]characters!$1:$1,0)-MATCH($C$1,[1]characters!$1:$1,0)+1),MATCH(I$1,[1]characters!$1:$1,0)-MATCH($C$1,[1]characters!$1:$1,0)+1,FALSE)</f>
        <v>双対する真偽者 ド・モルガン</v>
      </c>
      <c r="J11" s="43">
        <v>490</v>
      </c>
      <c r="K11" s="56" t="str">
        <f ca="1">VLOOKUP($J11,OFFSET([1]characters!$A$1,0,0,COUNTA([1]characters!$A:$A),MATCH(K$1,[1]characters!$1:$1,0)-MATCH($C$1,[1]characters!$1:$1,0)+1),MATCH(K$1,[1]characters!$1:$1,0)-MATCH($C$1,[1]characters!$1:$1,0)+1,FALSE)</f>
        <v>グリム</v>
      </c>
      <c r="L11" s="18">
        <v>1</v>
      </c>
      <c r="M11" s="113">
        <v>3</v>
      </c>
      <c r="N11" s="113">
        <v>100</v>
      </c>
      <c r="O11" s="2" t="s">
        <v>274</v>
      </c>
    </row>
    <row r="12" spans="1:15" ht="21" customHeight="1" x14ac:dyDescent="0.15">
      <c r="A12" s="64" t="str">
        <f t="shared" si="4"/>
        <v>958_308</v>
      </c>
      <c r="B12" s="43">
        <v>958</v>
      </c>
      <c r="C12" s="176">
        <f t="shared" si="5"/>
        <v>958</v>
      </c>
      <c r="D12" s="56" t="str">
        <f ca="1">VLOOKUP($C12,OFFSET([1]characters!$A$1,0,0,COUNTA([1]characters!$A:$A),MATCH(D$1,[1]characters!$1:$1,0)-MATCH($C$1,[1]characters!$1:$1,0)+1),MATCH(D$1,[1]characters!$1:$1,0)-MATCH($C$1,[1]characters!$1:$1,0)+1,FALSE)</f>
        <v>ド・モルガン</v>
      </c>
      <c r="E12" s="56">
        <f ca="1">VLOOKUP($C12,OFFSET([1]characters!$A$1,0,0,COUNTA([1]characters!$A:$A),MATCH(E$1,[1]characters!$1:$1,0)-MATCH($C$1,[1]characters!$1:$1,0)+1),MATCH(E$1,[1]characters!$1:$1,0)-MATCH($C$1,[1]characters!$1:$1,0)+1,FALSE)</f>
        <v>5</v>
      </c>
      <c r="F12" s="56" t="str">
        <f ca="1">VLOOKUP($C12,OFFSET([1]characters!$A$1,0,0,COUNTA([1]characters!$A:$A),MATCH(F$1,[1]characters!$1:$1,0)-MATCH($C$1,[1]characters!$1:$1,0)+1),MATCH(F$1,[1]characters!$1:$1,0)-MATCH($C$1,[1]characters!$1:$1,0)+1,FALSE)</f>
        <v>PremiumSSS</v>
      </c>
      <c r="G12" s="56" t="str">
        <f ca="1">VLOOKUP($C12,OFFSET([1]characters!$A$1,0,0,COUNTA([1]characters!$A:$A),MATCH(G$1,[1]characters!$1:$1,0)-MATCH($C$1,[1]characters!$1:$1,0)+1),MATCH(G$1,[1]characters!$1:$1,0)-MATCH($C$1,[1]characters!$1:$1,0)+1,FALSE)</f>
        <v>green</v>
      </c>
      <c r="H12" s="43">
        <v>960</v>
      </c>
      <c r="I12" s="56" t="str">
        <f ca="1">VLOOKUP($H12,OFFSET([1]characters!$A$1,0,0,COUNTA([1]characters!$A:$A),MATCH(I$1,[1]characters!$1:$1,0)-MATCH($C$1,[1]characters!$1:$1,0)+1),MATCH(I$1,[1]characters!$1:$1,0)-MATCH($C$1,[1]characters!$1:$1,0)+1,FALSE)</f>
        <v>双対する真偽者 ド・モルガン</v>
      </c>
      <c r="J12" s="43">
        <v>308</v>
      </c>
      <c r="K12" s="56" t="str">
        <f ca="1">VLOOKUP($J12,OFFSET([1]characters!$A$1,0,0,COUNTA([1]characters!$A:$A),MATCH(K$1,[1]characters!$1:$1,0)-MATCH($C$1,[1]characters!$1:$1,0)+1),MATCH(K$1,[1]characters!$1:$1,0)-MATCH($C$1,[1]characters!$1:$1,0)+1,FALSE)</f>
        <v>アーケロン</v>
      </c>
      <c r="L12" s="18">
        <v>1</v>
      </c>
      <c r="M12" s="113">
        <v>3</v>
      </c>
      <c r="N12" s="113">
        <v>100</v>
      </c>
      <c r="O12" s="2" t="s">
        <v>274</v>
      </c>
    </row>
    <row r="13" spans="1:15" ht="21" customHeight="1" x14ac:dyDescent="0.15">
      <c r="A13" s="64" t="str">
        <f>B13&amp;"_"&amp;J13</f>
        <v>959_490</v>
      </c>
      <c r="B13" s="43">
        <v>959</v>
      </c>
      <c r="C13" s="176">
        <f>B13</f>
        <v>959</v>
      </c>
      <c r="D13" s="56" t="str">
        <f ca="1">VLOOKUP($C13,OFFSET([1]characters!$A$1,0,0,COUNTA([1]characters!$A:$A),MATCH(D$1,[1]characters!$1:$1,0)-MATCH($C$1,[1]characters!$1:$1,0)+1),MATCH(D$1,[1]characters!$1:$1,0)-MATCH($C$1,[1]characters!$1:$1,0)+1,FALSE)</f>
        <v>双世の論和 ド・モルガン</v>
      </c>
      <c r="E13" s="56">
        <f ca="1">VLOOKUP($C13,OFFSET([1]characters!$A$1,0,0,COUNTA([1]characters!$A:$A),MATCH(E$1,[1]characters!$1:$1,0)-MATCH($C$1,[1]characters!$1:$1,0)+1),MATCH(E$1,[1]characters!$1:$1,0)-MATCH($C$1,[1]characters!$1:$1,0)+1,FALSE)</f>
        <v>6</v>
      </c>
      <c r="F13" s="56" t="str">
        <f ca="1">VLOOKUP($C13,OFFSET([1]characters!$A$1,0,0,COUNTA([1]characters!$A:$A),MATCH(F$1,[1]characters!$1:$1,0)-MATCH($C$1,[1]characters!$1:$1,0)+1),MATCH(F$1,[1]characters!$1:$1,0)-MATCH($C$1,[1]characters!$1:$1,0)+1,FALSE)</f>
        <v>PremiumSSS</v>
      </c>
      <c r="G13" s="56" t="str">
        <f ca="1">VLOOKUP($C13,OFFSET([1]characters!$A$1,0,0,COUNTA([1]characters!$A:$A),MATCH(G$1,[1]characters!$1:$1,0)-MATCH($C$1,[1]characters!$1:$1,0)+1),MATCH(G$1,[1]characters!$1:$1,0)-MATCH($C$1,[1]characters!$1:$1,0)+1,FALSE)</f>
        <v>green</v>
      </c>
      <c r="H13" s="43">
        <v>960</v>
      </c>
      <c r="I13" s="56" t="str">
        <f ca="1">VLOOKUP($H13,OFFSET([1]characters!$A$1,0,0,COUNTA([1]characters!$A:$A),MATCH(I$1,[1]characters!$1:$1,0)-MATCH($C$1,[1]characters!$1:$1,0)+1),MATCH(I$1,[1]characters!$1:$1,0)-MATCH($C$1,[1]characters!$1:$1,0)+1,FALSE)</f>
        <v>双対する真偽者 ド・モルガン</v>
      </c>
      <c r="J13" s="43">
        <v>490</v>
      </c>
      <c r="K13" s="56" t="str">
        <f ca="1">VLOOKUP($J13,OFFSET([1]characters!$A$1,0,0,COUNTA([1]characters!$A:$A),MATCH(K$1,[1]characters!$1:$1,0)-MATCH($C$1,[1]characters!$1:$1,0)+1),MATCH(K$1,[1]characters!$1:$1,0)-MATCH($C$1,[1]characters!$1:$1,0)+1,FALSE)</f>
        <v>グリム</v>
      </c>
      <c r="L13" s="18">
        <v>1</v>
      </c>
      <c r="M13" s="113">
        <v>2</v>
      </c>
      <c r="N13" s="113">
        <v>100</v>
      </c>
      <c r="O13" s="2" t="s">
        <v>274</v>
      </c>
    </row>
    <row r="14" spans="1:15" ht="21" customHeight="1" x14ac:dyDescent="0.15">
      <c r="A14" s="64" t="str">
        <f t="shared" ref="A14" si="6">B14&amp;"_"&amp;J14</f>
        <v>959_308</v>
      </c>
      <c r="B14" s="43">
        <v>959</v>
      </c>
      <c r="C14" s="176">
        <f t="shared" ref="C14" si="7">B14</f>
        <v>959</v>
      </c>
      <c r="D14" s="56" t="str">
        <f ca="1">VLOOKUP($C14,OFFSET([1]characters!$A$1,0,0,COUNTA([1]characters!$A:$A),MATCH(D$1,[1]characters!$1:$1,0)-MATCH($C$1,[1]characters!$1:$1,0)+1),MATCH(D$1,[1]characters!$1:$1,0)-MATCH($C$1,[1]characters!$1:$1,0)+1,FALSE)</f>
        <v>双世の論和 ド・モルガン</v>
      </c>
      <c r="E14" s="56">
        <f ca="1">VLOOKUP($C14,OFFSET([1]characters!$A$1,0,0,COUNTA([1]characters!$A:$A),MATCH(E$1,[1]characters!$1:$1,0)-MATCH($C$1,[1]characters!$1:$1,0)+1),MATCH(E$1,[1]characters!$1:$1,0)-MATCH($C$1,[1]characters!$1:$1,0)+1,FALSE)</f>
        <v>6</v>
      </c>
      <c r="F14" s="56" t="str">
        <f ca="1">VLOOKUP($C14,OFFSET([1]characters!$A$1,0,0,COUNTA([1]characters!$A:$A),MATCH(F$1,[1]characters!$1:$1,0)-MATCH($C$1,[1]characters!$1:$1,0)+1),MATCH(F$1,[1]characters!$1:$1,0)-MATCH($C$1,[1]characters!$1:$1,0)+1,FALSE)</f>
        <v>PremiumSSS</v>
      </c>
      <c r="G14" s="56" t="str">
        <f ca="1">VLOOKUP($C14,OFFSET([1]characters!$A$1,0,0,COUNTA([1]characters!$A:$A),MATCH(G$1,[1]characters!$1:$1,0)-MATCH($C$1,[1]characters!$1:$1,0)+1),MATCH(G$1,[1]characters!$1:$1,0)-MATCH($C$1,[1]characters!$1:$1,0)+1,FALSE)</f>
        <v>green</v>
      </c>
      <c r="H14" s="43">
        <v>960</v>
      </c>
      <c r="I14" s="56" t="str">
        <f ca="1">VLOOKUP($H14,OFFSET([1]characters!$A$1,0,0,COUNTA([1]characters!$A:$A),MATCH(I$1,[1]characters!$1:$1,0)-MATCH($C$1,[1]characters!$1:$1,0)+1),MATCH(I$1,[1]characters!$1:$1,0)-MATCH($C$1,[1]characters!$1:$1,0)+1,FALSE)</f>
        <v>双対する真偽者 ド・モルガン</v>
      </c>
      <c r="J14" s="43">
        <v>308</v>
      </c>
      <c r="K14" s="56" t="str">
        <f ca="1">VLOOKUP($J14,OFFSET([1]characters!$A$1,0,0,COUNTA([1]characters!$A:$A),MATCH(K$1,[1]characters!$1:$1,0)-MATCH($C$1,[1]characters!$1:$1,0)+1),MATCH(K$1,[1]characters!$1:$1,0)-MATCH($C$1,[1]characters!$1:$1,0)+1,FALSE)</f>
        <v>アーケロン</v>
      </c>
      <c r="L14" s="18">
        <v>1</v>
      </c>
      <c r="M14" s="113">
        <v>2</v>
      </c>
      <c r="N14" s="113">
        <v>100</v>
      </c>
      <c r="O14" s="2" t="s">
        <v>274</v>
      </c>
    </row>
    <row r="15" spans="1:15" ht="21" customHeight="1" x14ac:dyDescent="0.15">
      <c r="A15" s="64" t="str">
        <f>B15&amp;"_"&amp;J15</f>
        <v>960_357</v>
      </c>
      <c r="B15" s="43">
        <v>960</v>
      </c>
      <c r="C15" s="176">
        <f>B15</f>
        <v>960</v>
      </c>
      <c r="D15" s="56" t="str">
        <f ca="1">VLOOKUP($C15,OFFSET([1]characters!$A$1,0,0,COUNTA([1]characters!$A:$A),MATCH(D$1,[1]characters!$1:$1,0)-MATCH($C$1,[1]characters!$1:$1,0)+1),MATCH(D$1,[1]characters!$1:$1,0)-MATCH($C$1,[1]characters!$1:$1,0)+1,FALSE)</f>
        <v>双対する真偽者 ド・モルガン</v>
      </c>
      <c r="E15" s="56">
        <f ca="1">VLOOKUP($C15,OFFSET([1]characters!$A$1,0,0,COUNTA([1]characters!$A:$A),MATCH(E$1,[1]characters!$1:$1,0)-MATCH($C$1,[1]characters!$1:$1,0)+1),MATCH(E$1,[1]characters!$1:$1,0)-MATCH($C$1,[1]characters!$1:$1,0)+1,FALSE)</f>
        <v>6</v>
      </c>
      <c r="F15" s="56" t="str">
        <f ca="1">VLOOKUP($C15,OFFSET([1]characters!$A$1,0,0,COUNTA([1]characters!$A:$A),MATCH(F$1,[1]characters!$1:$1,0)-MATCH($C$1,[1]characters!$1:$1,0)+1),MATCH(F$1,[1]characters!$1:$1,0)-MATCH($C$1,[1]characters!$1:$1,0)+1,FALSE)</f>
        <v>PremiumSSS</v>
      </c>
      <c r="G15" s="56" t="str">
        <f ca="1">VLOOKUP($C15,OFFSET([1]characters!$A$1,0,0,COUNTA([1]characters!$A:$A),MATCH(G$1,[1]characters!$1:$1,0)-MATCH($C$1,[1]characters!$1:$1,0)+1),MATCH(G$1,[1]characters!$1:$1,0)-MATCH($C$1,[1]characters!$1:$1,0)+1,FALSE)</f>
        <v>green</v>
      </c>
      <c r="H15" s="43">
        <v>959</v>
      </c>
      <c r="I15" s="56" t="str">
        <f ca="1">VLOOKUP($H15,OFFSET([1]characters!$A$1,0,0,COUNTA([1]characters!$A:$A),MATCH(I$1,[1]characters!$1:$1,0)-MATCH($C$1,[1]characters!$1:$1,0)+1),MATCH(I$1,[1]characters!$1:$1,0)-MATCH($C$1,[1]characters!$1:$1,0)+1,FALSE)</f>
        <v>双世の論和 ド・モルガン</v>
      </c>
      <c r="J15" s="43">
        <v>357</v>
      </c>
      <c r="K15" s="56" t="str">
        <f ca="1">VLOOKUP($J15,OFFSET([1]characters!$A$1,0,0,COUNTA([1]characters!$A:$A),MATCH(K$1,[1]characters!$1:$1,0)-MATCH($C$1,[1]characters!$1:$1,0)+1),MATCH(K$1,[1]characters!$1:$1,0)-MATCH($C$1,[1]characters!$1:$1,0)+1,FALSE)</f>
        <v>千風のグリフォン</v>
      </c>
      <c r="L15" s="18">
        <v>1</v>
      </c>
      <c r="M15" s="113">
        <v>1</v>
      </c>
      <c r="N15" s="113">
        <v>100</v>
      </c>
      <c r="O15" s="2" t="s">
        <v>274</v>
      </c>
    </row>
    <row r="16" spans="1:15" ht="21" customHeight="1" x14ac:dyDescent="0.15">
      <c r="A16" s="64" t="str">
        <f t="shared" ref="A16" si="8">B16&amp;"_"&amp;J16</f>
        <v>960_107</v>
      </c>
      <c r="B16" s="43">
        <v>960</v>
      </c>
      <c r="C16" s="176">
        <f t="shared" ref="C16" si="9">B16</f>
        <v>960</v>
      </c>
      <c r="D16" s="56" t="str">
        <f ca="1">VLOOKUP($C16,OFFSET([1]characters!$A$1,0,0,COUNTA([1]characters!$A:$A),MATCH(D$1,[1]characters!$1:$1,0)-MATCH($C$1,[1]characters!$1:$1,0)+1),MATCH(D$1,[1]characters!$1:$1,0)-MATCH($C$1,[1]characters!$1:$1,0)+1,FALSE)</f>
        <v>双対する真偽者 ド・モルガン</v>
      </c>
      <c r="E16" s="56">
        <f ca="1">VLOOKUP($C16,OFFSET([1]characters!$A$1,0,0,COUNTA([1]characters!$A:$A),MATCH(E$1,[1]characters!$1:$1,0)-MATCH($C$1,[1]characters!$1:$1,0)+1),MATCH(E$1,[1]characters!$1:$1,0)-MATCH($C$1,[1]characters!$1:$1,0)+1,FALSE)</f>
        <v>6</v>
      </c>
      <c r="F16" s="56" t="str">
        <f ca="1">VLOOKUP($C16,OFFSET([1]characters!$A$1,0,0,COUNTA([1]characters!$A:$A),MATCH(F$1,[1]characters!$1:$1,0)-MATCH($C$1,[1]characters!$1:$1,0)+1),MATCH(F$1,[1]characters!$1:$1,0)-MATCH($C$1,[1]characters!$1:$1,0)+1,FALSE)</f>
        <v>PremiumSSS</v>
      </c>
      <c r="G16" s="56" t="str">
        <f ca="1">VLOOKUP($C16,OFFSET([1]characters!$A$1,0,0,COUNTA([1]characters!$A:$A),MATCH(G$1,[1]characters!$1:$1,0)-MATCH($C$1,[1]characters!$1:$1,0)+1),MATCH(G$1,[1]characters!$1:$1,0)-MATCH($C$1,[1]characters!$1:$1,0)+1,FALSE)</f>
        <v>green</v>
      </c>
      <c r="H16" s="43">
        <v>959</v>
      </c>
      <c r="I16" s="56" t="str">
        <f ca="1">VLOOKUP($H16,OFFSET([1]characters!$A$1,0,0,COUNTA([1]characters!$A:$A),MATCH(I$1,[1]characters!$1:$1,0)-MATCH($C$1,[1]characters!$1:$1,0)+1),MATCH(I$1,[1]characters!$1:$1,0)-MATCH($C$1,[1]characters!$1:$1,0)+1,FALSE)</f>
        <v>双世の論和 ド・モルガン</v>
      </c>
      <c r="J16" s="43">
        <v>107</v>
      </c>
      <c r="K16" s="56" t="str">
        <f ca="1">VLOOKUP($J16,OFFSET([1]characters!$A$1,0,0,COUNTA([1]characters!$A:$A),MATCH(K$1,[1]characters!$1:$1,0)-MATCH($C$1,[1]characters!$1:$1,0)+1),MATCH(K$1,[1]characters!$1:$1,0)-MATCH($C$1,[1]characters!$1:$1,0)+1,FALSE)</f>
        <v>グリーンキャタップ</v>
      </c>
      <c r="L16" s="18">
        <v>1</v>
      </c>
      <c r="M16" s="113">
        <v>1</v>
      </c>
      <c r="N16" s="113">
        <v>100</v>
      </c>
      <c r="O16" s="2" t="s">
        <v>274</v>
      </c>
    </row>
    <row r="17" spans="1:15" ht="21" customHeight="1" x14ac:dyDescent="0.15">
      <c r="A17" s="64" t="str">
        <f t="shared" ref="A17" si="10">B17&amp;"_"&amp;J17</f>
        <v>960_106</v>
      </c>
      <c r="B17" s="43">
        <v>960</v>
      </c>
      <c r="C17" s="176">
        <f t="shared" ref="C17" si="11">B17</f>
        <v>960</v>
      </c>
      <c r="D17" s="56" t="str">
        <f ca="1">VLOOKUP($C17,OFFSET([1]characters!$A$1,0,0,COUNTA([1]characters!$A:$A),MATCH(D$1,[1]characters!$1:$1,0)-MATCH($C$1,[1]characters!$1:$1,0)+1),MATCH(D$1,[1]characters!$1:$1,0)-MATCH($C$1,[1]characters!$1:$1,0)+1,FALSE)</f>
        <v>双対する真偽者 ド・モルガン</v>
      </c>
      <c r="E17" s="56">
        <f ca="1">VLOOKUP($C17,OFFSET([1]characters!$A$1,0,0,COUNTA([1]characters!$A:$A),MATCH(E$1,[1]characters!$1:$1,0)-MATCH($C$1,[1]characters!$1:$1,0)+1),MATCH(E$1,[1]characters!$1:$1,0)-MATCH($C$1,[1]characters!$1:$1,0)+1,FALSE)</f>
        <v>6</v>
      </c>
      <c r="F17" s="56" t="str">
        <f ca="1">VLOOKUP($C17,OFFSET([1]characters!$A$1,0,0,COUNTA([1]characters!$A:$A),MATCH(F$1,[1]characters!$1:$1,0)-MATCH($C$1,[1]characters!$1:$1,0)+1),MATCH(F$1,[1]characters!$1:$1,0)-MATCH($C$1,[1]characters!$1:$1,0)+1,FALSE)</f>
        <v>PremiumSSS</v>
      </c>
      <c r="G17" s="56" t="str">
        <f ca="1">VLOOKUP($C17,OFFSET([1]characters!$A$1,0,0,COUNTA([1]characters!$A:$A),MATCH(G$1,[1]characters!$1:$1,0)-MATCH($C$1,[1]characters!$1:$1,0)+1),MATCH(G$1,[1]characters!$1:$1,0)-MATCH($C$1,[1]characters!$1:$1,0)+1,FALSE)</f>
        <v>green</v>
      </c>
      <c r="H17" s="43">
        <v>959</v>
      </c>
      <c r="I17" s="56" t="str">
        <f ca="1">VLOOKUP($H17,OFFSET([1]characters!$A$1,0,0,COUNTA([1]characters!$A:$A),MATCH(I$1,[1]characters!$1:$1,0)-MATCH($C$1,[1]characters!$1:$1,0)+1),MATCH(I$1,[1]characters!$1:$1,0)-MATCH($C$1,[1]characters!$1:$1,0)+1,FALSE)</f>
        <v>双世の論和 ド・モルガン</v>
      </c>
      <c r="J17" s="43">
        <v>106</v>
      </c>
      <c r="K17" s="56" t="str">
        <f ca="1">VLOOKUP($J17,OFFSET([1]characters!$A$1,0,0,COUNTA([1]characters!$A:$A),MATCH(K$1,[1]characters!$1:$1,0)-MATCH($C$1,[1]characters!$1:$1,0)+1),MATCH(K$1,[1]characters!$1:$1,0)-MATCH($C$1,[1]characters!$1:$1,0)+1,FALSE)</f>
        <v>グリーンラビット</v>
      </c>
      <c r="L17" s="18">
        <v>1</v>
      </c>
      <c r="M17" s="113">
        <v>1</v>
      </c>
      <c r="N17" s="113">
        <v>100</v>
      </c>
      <c r="O17" s="2" t="s">
        <v>274</v>
      </c>
    </row>
    <row r="18" spans="1:15" ht="21" customHeight="1" x14ac:dyDescent="0.15">
      <c r="A18" s="64" t="str">
        <f>B18&amp;"_"&amp;J18</f>
        <v>1111_837</v>
      </c>
      <c r="B18" s="43">
        <v>1111</v>
      </c>
      <c r="C18" s="176">
        <f>B18</f>
        <v>1111</v>
      </c>
      <c r="D18" s="56" t="str">
        <f ca="1">VLOOKUP($C18,OFFSET([1]characters!$A$1,0,0,COUNTA([1]characters!$A:$A),MATCH(D$1,[1]characters!$1:$1,0)-MATCH($C$1,[1]characters!$1:$1,0)+1),MATCH(D$1,[1]characters!$1:$1,0)-MATCH($C$1,[1]characters!$1:$1,0)+1,FALSE)</f>
        <v>ウィグナー</v>
      </c>
      <c r="E18" s="56">
        <f ca="1">VLOOKUP($C18,OFFSET([1]characters!$A$1,0,0,COUNTA([1]characters!$A:$A),MATCH(E$1,[1]characters!$1:$1,0)-MATCH($C$1,[1]characters!$1:$1,0)+1),MATCH(E$1,[1]characters!$1:$1,0)-MATCH($C$1,[1]characters!$1:$1,0)+1,FALSE)</f>
        <v>5</v>
      </c>
      <c r="F18" s="56" t="str">
        <f ca="1">VLOOKUP($C18,OFFSET([1]characters!$A$1,0,0,COUNTA([1]characters!$A:$A),MATCH(F$1,[1]characters!$1:$1,0)-MATCH($C$1,[1]characters!$1:$1,0)+1),MATCH(F$1,[1]characters!$1:$1,0)-MATCH($C$1,[1]characters!$1:$1,0)+1,FALSE)</f>
        <v>PremiumSSS</v>
      </c>
      <c r="G18" s="56" t="str">
        <f ca="1">VLOOKUP($C18,OFFSET([1]characters!$A$1,0,0,COUNTA([1]characters!$A:$A),MATCH(G$1,[1]characters!$1:$1,0)-MATCH($C$1,[1]characters!$1:$1,0)+1),MATCH(G$1,[1]characters!$1:$1,0)-MATCH($C$1,[1]characters!$1:$1,0)+1,FALSE)</f>
        <v>blue</v>
      </c>
      <c r="H18" s="43">
        <v>1112</v>
      </c>
      <c r="I18" s="56" t="str">
        <f ca="1">VLOOKUP($H18,OFFSET([1]characters!$A$1,0,0,COUNTA([1]characters!$A:$A),MATCH(I$1,[1]characters!$1:$1,0)-MATCH($C$1,[1]characters!$1:$1,0)+1),MATCH(I$1,[1]characters!$1:$1,0)-MATCH($C$1,[1]characters!$1:$1,0)+1,FALSE)</f>
        <v>正統なる傑晶 ウィグナー</v>
      </c>
      <c r="J18" s="43">
        <v>837</v>
      </c>
      <c r="K18" s="56" t="str">
        <f ca="1">VLOOKUP($J18,OFFSET([1]characters!$A$1,0,0,COUNTA([1]characters!$A:$A),MATCH(K$1,[1]characters!$1:$1,0)-MATCH($C$1,[1]characters!$1:$1,0)+1),MATCH(K$1,[1]characters!$1:$1,0)-MATCH($C$1,[1]characters!$1:$1,0)+1,FALSE)</f>
        <v>リトルハンプティ</v>
      </c>
      <c r="L18" s="18">
        <v>1</v>
      </c>
      <c r="M18" s="113">
        <v>1</v>
      </c>
      <c r="N18" s="113">
        <v>100</v>
      </c>
      <c r="O18" s="2" t="s">
        <v>274</v>
      </c>
    </row>
    <row r="19" spans="1:15" ht="21" customHeight="1" x14ac:dyDescent="0.15">
      <c r="A19" s="64" t="str">
        <f t="shared" ref="A19:A21" si="12">B19&amp;"_"&amp;J19</f>
        <v>1111_358</v>
      </c>
      <c r="B19" s="43">
        <v>1111</v>
      </c>
      <c r="C19" s="176">
        <f t="shared" ref="C19:C21" si="13">B19</f>
        <v>1111</v>
      </c>
      <c r="D19" s="56" t="str">
        <f ca="1">VLOOKUP($C19,OFFSET([1]characters!$A$1,0,0,COUNTA([1]characters!$A:$A),MATCH(D$1,[1]characters!$1:$1,0)-MATCH($C$1,[1]characters!$1:$1,0)+1),MATCH(D$1,[1]characters!$1:$1,0)-MATCH($C$1,[1]characters!$1:$1,0)+1,FALSE)</f>
        <v>ウィグナー</v>
      </c>
      <c r="E19" s="56">
        <f ca="1">VLOOKUP($C19,OFFSET([1]characters!$A$1,0,0,COUNTA([1]characters!$A:$A),MATCH(E$1,[1]characters!$1:$1,0)-MATCH($C$1,[1]characters!$1:$1,0)+1),MATCH(E$1,[1]characters!$1:$1,0)-MATCH($C$1,[1]characters!$1:$1,0)+1,FALSE)</f>
        <v>5</v>
      </c>
      <c r="F19" s="56" t="str">
        <f ca="1">VLOOKUP($C19,OFFSET([1]characters!$A$1,0,0,COUNTA([1]characters!$A:$A),MATCH(F$1,[1]characters!$1:$1,0)-MATCH($C$1,[1]characters!$1:$1,0)+1),MATCH(F$1,[1]characters!$1:$1,0)-MATCH($C$1,[1]characters!$1:$1,0)+1,FALSE)</f>
        <v>PremiumSSS</v>
      </c>
      <c r="G19" s="56" t="str">
        <f ca="1">VLOOKUP($C19,OFFSET([1]characters!$A$1,0,0,COUNTA([1]characters!$A:$A),MATCH(G$1,[1]characters!$1:$1,0)-MATCH($C$1,[1]characters!$1:$1,0)+1),MATCH(G$1,[1]characters!$1:$1,0)-MATCH($C$1,[1]characters!$1:$1,0)+1,FALSE)</f>
        <v>blue</v>
      </c>
      <c r="H19" s="43">
        <v>1112</v>
      </c>
      <c r="I19" s="56" t="str">
        <f ca="1">VLOOKUP($H19,OFFSET([1]characters!$A$1,0,0,COUNTA([1]characters!$A:$A),MATCH(I$1,[1]characters!$1:$1,0)-MATCH($C$1,[1]characters!$1:$1,0)+1),MATCH(I$1,[1]characters!$1:$1,0)-MATCH($C$1,[1]characters!$1:$1,0)+1,FALSE)</f>
        <v>正統なる傑晶 ウィグナー</v>
      </c>
      <c r="J19" s="43">
        <v>358</v>
      </c>
      <c r="K19" s="56" t="str">
        <f ca="1">VLOOKUP($J19,OFFSET([1]characters!$A$1,0,0,COUNTA([1]characters!$A:$A),MATCH(K$1,[1]characters!$1:$1,0)-MATCH($C$1,[1]characters!$1:$1,0)+1),MATCH(K$1,[1]characters!$1:$1,0)-MATCH($C$1,[1]characters!$1:$1,0)+1,FALSE)</f>
        <v>深淵の代用ウミガメ</v>
      </c>
      <c r="L19" s="18">
        <v>1</v>
      </c>
      <c r="M19" s="113">
        <v>1</v>
      </c>
      <c r="N19" s="113">
        <v>10</v>
      </c>
      <c r="O19" s="2" t="s">
        <v>274</v>
      </c>
    </row>
    <row r="20" spans="1:15" ht="21" customHeight="1" x14ac:dyDescent="0.15">
      <c r="A20" s="64" t="str">
        <f t="shared" si="12"/>
        <v>1111_111</v>
      </c>
      <c r="B20" s="43">
        <v>1111</v>
      </c>
      <c r="C20" s="176">
        <f t="shared" si="13"/>
        <v>1111</v>
      </c>
      <c r="D20" s="56" t="str">
        <f ca="1">VLOOKUP($C20,OFFSET([1]characters!$A$1,0,0,COUNTA([1]characters!$A:$A),MATCH(D$1,[1]characters!$1:$1,0)-MATCH($C$1,[1]characters!$1:$1,0)+1),MATCH(D$1,[1]characters!$1:$1,0)-MATCH($C$1,[1]characters!$1:$1,0)+1,FALSE)</f>
        <v>ウィグナー</v>
      </c>
      <c r="E20" s="56">
        <f ca="1">VLOOKUP($C20,OFFSET([1]characters!$A$1,0,0,COUNTA([1]characters!$A:$A),MATCH(E$1,[1]characters!$1:$1,0)-MATCH($C$1,[1]characters!$1:$1,0)+1),MATCH(E$1,[1]characters!$1:$1,0)-MATCH($C$1,[1]characters!$1:$1,0)+1,FALSE)</f>
        <v>5</v>
      </c>
      <c r="F20" s="56" t="str">
        <f ca="1">VLOOKUP($C20,OFFSET([1]characters!$A$1,0,0,COUNTA([1]characters!$A:$A),MATCH(F$1,[1]characters!$1:$1,0)-MATCH($C$1,[1]characters!$1:$1,0)+1),MATCH(F$1,[1]characters!$1:$1,0)-MATCH($C$1,[1]characters!$1:$1,0)+1,FALSE)</f>
        <v>PremiumSSS</v>
      </c>
      <c r="G20" s="56" t="str">
        <f ca="1">VLOOKUP($C20,OFFSET([1]characters!$A$1,0,0,COUNTA([1]characters!$A:$A),MATCH(G$1,[1]characters!$1:$1,0)-MATCH($C$1,[1]characters!$1:$1,0)+1),MATCH(G$1,[1]characters!$1:$1,0)-MATCH($C$1,[1]characters!$1:$1,0)+1,FALSE)</f>
        <v>blue</v>
      </c>
      <c r="H20" s="43">
        <v>1112</v>
      </c>
      <c r="I20" s="56" t="str">
        <f ca="1">VLOOKUP($H20,OFFSET([1]characters!$A$1,0,0,COUNTA([1]characters!$A:$A),MATCH(I$1,[1]characters!$1:$1,0)-MATCH($C$1,[1]characters!$1:$1,0)+1),MATCH(I$1,[1]characters!$1:$1,0)-MATCH($C$1,[1]characters!$1:$1,0)+1,FALSE)</f>
        <v>正統なる傑晶 ウィグナー</v>
      </c>
      <c r="J20" s="43">
        <v>111</v>
      </c>
      <c r="K20" s="56" t="str">
        <f ca="1">VLOOKUP($J20,OFFSET([1]characters!$A$1,0,0,COUNTA([1]characters!$A:$A),MATCH(K$1,[1]characters!$1:$1,0)-MATCH($C$1,[1]characters!$1:$1,0)+1),MATCH(K$1,[1]characters!$1:$1,0)-MATCH($C$1,[1]characters!$1:$1,0)+1,FALSE)</f>
        <v>ブルーキャタップ</v>
      </c>
      <c r="L20" s="18">
        <v>1</v>
      </c>
      <c r="M20" s="113">
        <v>1</v>
      </c>
      <c r="N20" s="113">
        <v>10</v>
      </c>
      <c r="O20" s="2" t="s">
        <v>274</v>
      </c>
    </row>
    <row r="21" spans="1:15" ht="21" customHeight="1" x14ac:dyDescent="0.15">
      <c r="A21" s="64" t="str">
        <f t="shared" si="12"/>
        <v>1111_110</v>
      </c>
      <c r="B21" s="43">
        <v>1111</v>
      </c>
      <c r="C21" s="176">
        <f t="shared" si="13"/>
        <v>1111</v>
      </c>
      <c r="D21" s="56" t="str">
        <f ca="1">VLOOKUP($C21,OFFSET([1]characters!$A$1,0,0,COUNTA([1]characters!$A:$A),MATCH(D$1,[1]characters!$1:$1,0)-MATCH($C$1,[1]characters!$1:$1,0)+1),MATCH(D$1,[1]characters!$1:$1,0)-MATCH($C$1,[1]characters!$1:$1,0)+1,FALSE)</f>
        <v>ウィグナー</v>
      </c>
      <c r="E21" s="56">
        <f ca="1">VLOOKUP($C21,OFFSET([1]characters!$A$1,0,0,COUNTA([1]characters!$A:$A),MATCH(E$1,[1]characters!$1:$1,0)-MATCH($C$1,[1]characters!$1:$1,0)+1),MATCH(E$1,[1]characters!$1:$1,0)-MATCH($C$1,[1]characters!$1:$1,0)+1,FALSE)</f>
        <v>5</v>
      </c>
      <c r="F21" s="56" t="str">
        <f ca="1">VLOOKUP($C21,OFFSET([1]characters!$A$1,0,0,COUNTA([1]characters!$A:$A),MATCH(F$1,[1]characters!$1:$1,0)-MATCH($C$1,[1]characters!$1:$1,0)+1),MATCH(F$1,[1]characters!$1:$1,0)-MATCH($C$1,[1]characters!$1:$1,0)+1,FALSE)</f>
        <v>PremiumSSS</v>
      </c>
      <c r="G21" s="56" t="str">
        <f ca="1">VLOOKUP($C21,OFFSET([1]characters!$A$1,0,0,COUNTA([1]characters!$A:$A),MATCH(G$1,[1]characters!$1:$1,0)-MATCH($C$1,[1]characters!$1:$1,0)+1),MATCH(G$1,[1]characters!$1:$1,0)-MATCH($C$1,[1]characters!$1:$1,0)+1,FALSE)</f>
        <v>blue</v>
      </c>
      <c r="H21" s="43">
        <v>1112</v>
      </c>
      <c r="I21" s="56" t="str">
        <f ca="1">VLOOKUP($H21,OFFSET([1]characters!$A$1,0,0,COUNTA([1]characters!$A:$A),MATCH(I$1,[1]characters!$1:$1,0)-MATCH($C$1,[1]characters!$1:$1,0)+1),MATCH(I$1,[1]characters!$1:$1,0)-MATCH($C$1,[1]characters!$1:$1,0)+1,FALSE)</f>
        <v>正統なる傑晶 ウィグナー</v>
      </c>
      <c r="J21" s="43">
        <v>110</v>
      </c>
      <c r="K21" s="56" t="str">
        <f ca="1">VLOOKUP($J21,OFFSET([1]characters!$A$1,0,0,COUNTA([1]characters!$A:$A),MATCH(K$1,[1]characters!$1:$1,0)-MATCH($C$1,[1]characters!$1:$1,0)+1),MATCH(K$1,[1]characters!$1:$1,0)-MATCH($C$1,[1]characters!$1:$1,0)+1,FALSE)</f>
        <v>ブルーラビット</v>
      </c>
      <c r="L21" s="18">
        <v>1</v>
      </c>
      <c r="M21" s="113">
        <v>1</v>
      </c>
      <c r="N21" s="113">
        <v>10</v>
      </c>
      <c r="O21" s="2" t="s">
        <v>274</v>
      </c>
    </row>
    <row r="22" spans="1:15" ht="21" customHeight="1" x14ac:dyDescent="0.15">
      <c r="A22" s="64" t="str">
        <f>B22&amp;"_"&amp;J22</f>
        <v>1111_581</v>
      </c>
      <c r="B22" s="43">
        <v>1111</v>
      </c>
      <c r="C22" s="176">
        <f>B22</f>
        <v>1111</v>
      </c>
      <c r="D22" s="56" t="str">
        <f ca="1">VLOOKUP($C22,OFFSET([1]characters!$A$1,0,0,COUNTA([1]characters!$A:$A),MATCH(D$1,[1]characters!$1:$1,0)-MATCH($C$1,[1]characters!$1:$1,0)+1),MATCH(D$1,[1]characters!$1:$1,0)-MATCH($C$1,[1]characters!$1:$1,0)+1,FALSE)</f>
        <v>ウィグナー</v>
      </c>
      <c r="E22" s="56">
        <f ca="1">VLOOKUP($C22,OFFSET([1]characters!$A$1,0,0,COUNTA([1]characters!$A:$A),MATCH(E$1,[1]characters!$1:$1,0)-MATCH($C$1,[1]characters!$1:$1,0)+1),MATCH(E$1,[1]characters!$1:$1,0)-MATCH($C$1,[1]characters!$1:$1,0)+1,FALSE)</f>
        <v>5</v>
      </c>
      <c r="F22" s="56" t="str">
        <f ca="1">VLOOKUP($C22,OFFSET([1]characters!$A$1,0,0,COUNTA([1]characters!$A:$A),MATCH(F$1,[1]characters!$1:$1,0)-MATCH($C$1,[1]characters!$1:$1,0)+1),MATCH(F$1,[1]characters!$1:$1,0)-MATCH($C$1,[1]characters!$1:$1,0)+1,FALSE)</f>
        <v>PremiumSSS</v>
      </c>
      <c r="G22" s="56" t="str">
        <f ca="1">VLOOKUP($C22,OFFSET([1]characters!$A$1,0,0,COUNTA([1]characters!$A:$A),MATCH(G$1,[1]characters!$1:$1,0)-MATCH($C$1,[1]characters!$1:$1,0)+1),MATCH(G$1,[1]characters!$1:$1,0)-MATCH($C$1,[1]characters!$1:$1,0)+1,FALSE)</f>
        <v>blue</v>
      </c>
      <c r="H22" s="43">
        <v>1113</v>
      </c>
      <c r="I22" s="56" t="str">
        <f ca="1">VLOOKUP($H22,OFFSET([1]characters!$A$1,0,0,COUNTA([1]characters!$A:$A),MATCH(I$1,[1]characters!$1:$1,0)-MATCH($C$1,[1]characters!$1:$1,0)+1),MATCH(I$1,[1]characters!$1:$1,0)-MATCH($C$1,[1]characters!$1:$1,0)+1,FALSE)</f>
        <v>聖結たる輝晶獣 ウィグナー</v>
      </c>
      <c r="J22" s="43">
        <v>581</v>
      </c>
      <c r="K22" s="56" t="str">
        <f ca="1">VLOOKUP($J22,OFFSET([1]characters!$A$1,0,0,COUNTA([1]characters!$A:$A),MATCH(K$1,[1]characters!$1:$1,0)-MATCH($C$1,[1]characters!$1:$1,0)+1),MATCH(K$1,[1]characters!$1:$1,0)-MATCH($C$1,[1]characters!$1:$1,0)+1,FALSE)</f>
        <v>フギンとムニン</v>
      </c>
      <c r="L22" s="18">
        <v>1</v>
      </c>
      <c r="M22" s="113">
        <v>1</v>
      </c>
      <c r="N22" s="113">
        <v>100</v>
      </c>
      <c r="O22" s="2" t="s">
        <v>274</v>
      </c>
    </row>
    <row r="23" spans="1:15" ht="21" customHeight="1" x14ac:dyDescent="0.15">
      <c r="A23" s="64" t="str">
        <f t="shared" ref="A23:A24" si="14">B23&amp;"_"&amp;J23</f>
        <v>1111_1063</v>
      </c>
      <c r="B23" s="43">
        <v>1111</v>
      </c>
      <c r="C23" s="176">
        <f t="shared" ref="C23:C24" si="15">B23</f>
        <v>1111</v>
      </c>
      <c r="D23" s="56" t="str">
        <f ca="1">VLOOKUP($C23,OFFSET([1]characters!$A$1,0,0,COUNTA([1]characters!$A:$A),MATCH(D$1,[1]characters!$1:$1,0)-MATCH($C$1,[1]characters!$1:$1,0)+1),MATCH(D$1,[1]characters!$1:$1,0)-MATCH($C$1,[1]characters!$1:$1,0)+1,FALSE)</f>
        <v>ウィグナー</v>
      </c>
      <c r="E23" s="56">
        <f ca="1">VLOOKUP($C23,OFFSET([1]characters!$A$1,0,0,COUNTA([1]characters!$A:$A),MATCH(E$1,[1]characters!$1:$1,0)-MATCH($C$1,[1]characters!$1:$1,0)+1),MATCH(E$1,[1]characters!$1:$1,0)-MATCH($C$1,[1]characters!$1:$1,0)+1,FALSE)</f>
        <v>5</v>
      </c>
      <c r="F23" s="56" t="str">
        <f ca="1">VLOOKUP($C23,OFFSET([1]characters!$A$1,0,0,COUNTA([1]characters!$A:$A),MATCH(F$1,[1]characters!$1:$1,0)-MATCH($C$1,[1]characters!$1:$1,0)+1),MATCH(F$1,[1]characters!$1:$1,0)-MATCH($C$1,[1]characters!$1:$1,0)+1,FALSE)</f>
        <v>PremiumSSS</v>
      </c>
      <c r="G23" s="56" t="str">
        <f ca="1">VLOOKUP($C23,OFFSET([1]characters!$A$1,0,0,COUNTA([1]characters!$A:$A),MATCH(G$1,[1]characters!$1:$1,0)-MATCH($C$1,[1]characters!$1:$1,0)+1),MATCH(G$1,[1]characters!$1:$1,0)-MATCH($C$1,[1]characters!$1:$1,0)+1,FALSE)</f>
        <v>blue</v>
      </c>
      <c r="H23" s="43">
        <v>1113</v>
      </c>
      <c r="I23" s="56" t="str">
        <f ca="1">VLOOKUP($H23,OFFSET([1]characters!$A$1,0,0,COUNTA([1]characters!$A:$A),MATCH(I$1,[1]characters!$1:$1,0)-MATCH($C$1,[1]characters!$1:$1,0)+1),MATCH(I$1,[1]characters!$1:$1,0)-MATCH($C$1,[1]characters!$1:$1,0)+1,FALSE)</f>
        <v>聖結たる輝晶獣 ウィグナー</v>
      </c>
      <c r="J23" s="43">
        <v>1063</v>
      </c>
      <c r="K23" s="56" t="str">
        <f ca="1">VLOOKUP($J23,OFFSET([1]characters!$A$1,0,0,COUNTA([1]characters!$A:$A),MATCH(K$1,[1]characters!$1:$1,0)-MATCH($C$1,[1]characters!$1:$1,0)+1),MATCH(K$1,[1]characters!$1:$1,0)-MATCH($C$1,[1]characters!$1:$1,0)+1,FALSE)</f>
        <v>ティアマト</v>
      </c>
      <c r="L23" s="18">
        <v>1</v>
      </c>
      <c r="M23" s="113">
        <v>3</v>
      </c>
      <c r="N23" s="113">
        <v>100</v>
      </c>
      <c r="O23" s="2" t="s">
        <v>274</v>
      </c>
    </row>
    <row r="24" spans="1:15" ht="21" customHeight="1" x14ac:dyDescent="0.15">
      <c r="A24" s="64" t="str">
        <f t="shared" si="14"/>
        <v>1111_1004</v>
      </c>
      <c r="B24" s="43">
        <v>1111</v>
      </c>
      <c r="C24" s="176">
        <f t="shared" si="15"/>
        <v>1111</v>
      </c>
      <c r="D24" s="56" t="str">
        <f ca="1">VLOOKUP($C24,OFFSET([1]characters!$A$1,0,0,COUNTA([1]characters!$A:$A),MATCH(D$1,[1]characters!$1:$1,0)-MATCH($C$1,[1]characters!$1:$1,0)+1),MATCH(D$1,[1]characters!$1:$1,0)-MATCH($C$1,[1]characters!$1:$1,0)+1,FALSE)</f>
        <v>ウィグナー</v>
      </c>
      <c r="E24" s="56">
        <f ca="1">VLOOKUP($C24,OFFSET([1]characters!$A$1,0,0,COUNTA([1]characters!$A:$A),MATCH(E$1,[1]characters!$1:$1,0)-MATCH($C$1,[1]characters!$1:$1,0)+1),MATCH(E$1,[1]characters!$1:$1,0)-MATCH($C$1,[1]characters!$1:$1,0)+1,FALSE)</f>
        <v>5</v>
      </c>
      <c r="F24" s="56" t="str">
        <f ca="1">VLOOKUP($C24,OFFSET([1]characters!$A$1,0,0,COUNTA([1]characters!$A:$A),MATCH(F$1,[1]characters!$1:$1,0)-MATCH($C$1,[1]characters!$1:$1,0)+1),MATCH(F$1,[1]characters!$1:$1,0)-MATCH($C$1,[1]characters!$1:$1,0)+1,FALSE)</f>
        <v>PremiumSSS</v>
      </c>
      <c r="G24" s="56" t="str">
        <f ca="1">VLOOKUP($C24,OFFSET([1]characters!$A$1,0,0,COUNTA([1]characters!$A:$A),MATCH(G$1,[1]characters!$1:$1,0)-MATCH($C$1,[1]characters!$1:$1,0)+1),MATCH(G$1,[1]characters!$1:$1,0)-MATCH($C$1,[1]characters!$1:$1,0)+1,FALSE)</f>
        <v>blue</v>
      </c>
      <c r="H24" s="43">
        <v>1113</v>
      </c>
      <c r="I24" s="56" t="str">
        <f ca="1">VLOOKUP($H24,OFFSET([1]characters!$A$1,0,0,COUNTA([1]characters!$A:$A),MATCH(I$1,[1]characters!$1:$1,0)-MATCH($C$1,[1]characters!$1:$1,0)+1),MATCH(I$1,[1]characters!$1:$1,0)-MATCH($C$1,[1]characters!$1:$1,0)+1,FALSE)</f>
        <v>聖結たる輝晶獣 ウィグナー</v>
      </c>
      <c r="J24" s="43">
        <v>1004</v>
      </c>
      <c r="K24" s="56" t="str">
        <f ca="1">VLOOKUP($J24,OFFSET([1]characters!$A$1,0,0,COUNTA([1]characters!$A:$A),MATCH(K$1,[1]characters!$1:$1,0)-MATCH($C$1,[1]characters!$1:$1,0)+1),MATCH(K$1,[1]characters!$1:$1,0)-MATCH($C$1,[1]characters!$1:$1,0)+1,FALSE)</f>
        <v>アメミット</v>
      </c>
      <c r="L24" s="18">
        <v>1</v>
      </c>
      <c r="M24" s="113">
        <v>3</v>
      </c>
      <c r="N24" s="113">
        <v>100</v>
      </c>
      <c r="O24" s="2" t="s">
        <v>274</v>
      </c>
    </row>
    <row r="25" spans="1:15" ht="21" customHeight="1" x14ac:dyDescent="0.15">
      <c r="A25" s="64" t="str">
        <f>B25&amp;"_"&amp;J25</f>
        <v>1112_1063</v>
      </c>
      <c r="B25" s="43">
        <v>1112</v>
      </c>
      <c r="C25" s="176">
        <f>B25</f>
        <v>1112</v>
      </c>
      <c r="D25" s="56" t="str">
        <f ca="1">VLOOKUP($C25,OFFSET([1]characters!$A$1,0,0,COUNTA([1]characters!$A:$A),MATCH(D$1,[1]characters!$1:$1,0)-MATCH($C$1,[1]characters!$1:$1,0)+1),MATCH(D$1,[1]characters!$1:$1,0)-MATCH($C$1,[1]characters!$1:$1,0)+1,FALSE)</f>
        <v>正統なる傑晶 ウィグナー</v>
      </c>
      <c r="E25" s="56">
        <f ca="1">VLOOKUP($C25,OFFSET([1]characters!$A$1,0,0,COUNTA([1]characters!$A:$A),MATCH(E$1,[1]characters!$1:$1,0)-MATCH($C$1,[1]characters!$1:$1,0)+1),MATCH(E$1,[1]characters!$1:$1,0)-MATCH($C$1,[1]characters!$1:$1,0)+1,FALSE)</f>
        <v>6</v>
      </c>
      <c r="F25" s="56" t="str">
        <f ca="1">VLOOKUP($C25,OFFSET([1]characters!$A$1,0,0,COUNTA([1]characters!$A:$A),MATCH(F$1,[1]characters!$1:$1,0)-MATCH($C$1,[1]characters!$1:$1,0)+1),MATCH(F$1,[1]characters!$1:$1,0)-MATCH($C$1,[1]characters!$1:$1,0)+1,FALSE)</f>
        <v>PremiumSSS</v>
      </c>
      <c r="G25" s="56" t="str">
        <f ca="1">VLOOKUP($C25,OFFSET([1]characters!$A$1,0,0,COUNTA([1]characters!$A:$A),MATCH(G$1,[1]characters!$1:$1,0)-MATCH($C$1,[1]characters!$1:$1,0)+1),MATCH(G$1,[1]characters!$1:$1,0)-MATCH($C$1,[1]characters!$1:$1,0)+1,FALSE)</f>
        <v>blue</v>
      </c>
      <c r="H25" s="43">
        <v>1113</v>
      </c>
      <c r="I25" s="56" t="str">
        <f ca="1">VLOOKUP($H25,OFFSET([1]characters!$A$1,0,0,COUNTA([1]characters!$A:$A),MATCH(I$1,[1]characters!$1:$1,0)-MATCH($C$1,[1]characters!$1:$1,0)+1),MATCH(I$1,[1]characters!$1:$1,0)-MATCH($C$1,[1]characters!$1:$1,0)+1,FALSE)</f>
        <v>聖結たる輝晶獣 ウィグナー</v>
      </c>
      <c r="J25" s="43">
        <v>1063</v>
      </c>
      <c r="K25" s="56" t="str">
        <f ca="1">VLOOKUP($J25,OFFSET([1]characters!$A$1,0,0,COUNTA([1]characters!$A:$A),MATCH(K$1,[1]characters!$1:$1,0)-MATCH($C$1,[1]characters!$1:$1,0)+1),MATCH(K$1,[1]characters!$1:$1,0)-MATCH($C$1,[1]characters!$1:$1,0)+1,FALSE)</f>
        <v>ティアマト</v>
      </c>
      <c r="L25" s="18">
        <v>1</v>
      </c>
      <c r="M25" s="113">
        <v>2</v>
      </c>
      <c r="N25" s="113">
        <v>100</v>
      </c>
      <c r="O25" s="2" t="s">
        <v>274</v>
      </c>
    </row>
    <row r="26" spans="1:15" ht="21" customHeight="1" x14ac:dyDescent="0.15">
      <c r="A26" s="64" t="str">
        <f t="shared" ref="A26" si="16">B26&amp;"_"&amp;J26</f>
        <v>1112_1004</v>
      </c>
      <c r="B26" s="43">
        <v>1112</v>
      </c>
      <c r="C26" s="176">
        <f t="shared" ref="C26" si="17">B26</f>
        <v>1112</v>
      </c>
      <c r="D26" s="56" t="str">
        <f ca="1">VLOOKUP($C26,OFFSET([1]characters!$A$1,0,0,COUNTA([1]characters!$A:$A),MATCH(D$1,[1]characters!$1:$1,0)-MATCH($C$1,[1]characters!$1:$1,0)+1),MATCH(D$1,[1]characters!$1:$1,0)-MATCH($C$1,[1]characters!$1:$1,0)+1,FALSE)</f>
        <v>正統なる傑晶 ウィグナー</v>
      </c>
      <c r="E26" s="56">
        <f ca="1">VLOOKUP($C26,OFFSET([1]characters!$A$1,0,0,COUNTA([1]characters!$A:$A),MATCH(E$1,[1]characters!$1:$1,0)-MATCH($C$1,[1]characters!$1:$1,0)+1),MATCH(E$1,[1]characters!$1:$1,0)-MATCH($C$1,[1]characters!$1:$1,0)+1,FALSE)</f>
        <v>6</v>
      </c>
      <c r="F26" s="56" t="str">
        <f ca="1">VLOOKUP($C26,OFFSET([1]characters!$A$1,0,0,COUNTA([1]characters!$A:$A),MATCH(F$1,[1]characters!$1:$1,0)-MATCH($C$1,[1]characters!$1:$1,0)+1),MATCH(F$1,[1]characters!$1:$1,0)-MATCH($C$1,[1]characters!$1:$1,0)+1,FALSE)</f>
        <v>PremiumSSS</v>
      </c>
      <c r="G26" s="56" t="str">
        <f ca="1">VLOOKUP($C26,OFFSET([1]characters!$A$1,0,0,COUNTA([1]characters!$A:$A),MATCH(G$1,[1]characters!$1:$1,0)-MATCH($C$1,[1]characters!$1:$1,0)+1),MATCH(G$1,[1]characters!$1:$1,0)-MATCH($C$1,[1]characters!$1:$1,0)+1,FALSE)</f>
        <v>blue</v>
      </c>
      <c r="H26" s="43">
        <v>1113</v>
      </c>
      <c r="I26" s="56" t="str">
        <f ca="1">VLOOKUP($H26,OFFSET([1]characters!$A$1,0,0,COUNTA([1]characters!$A:$A),MATCH(I$1,[1]characters!$1:$1,0)-MATCH($C$1,[1]characters!$1:$1,0)+1),MATCH(I$1,[1]characters!$1:$1,0)-MATCH($C$1,[1]characters!$1:$1,0)+1,FALSE)</f>
        <v>聖結たる輝晶獣 ウィグナー</v>
      </c>
      <c r="J26" s="43">
        <v>1004</v>
      </c>
      <c r="K26" s="56" t="str">
        <f ca="1">VLOOKUP($J26,OFFSET([1]characters!$A$1,0,0,COUNTA([1]characters!$A:$A),MATCH(K$1,[1]characters!$1:$1,0)-MATCH($C$1,[1]characters!$1:$1,0)+1),MATCH(K$1,[1]characters!$1:$1,0)-MATCH($C$1,[1]characters!$1:$1,0)+1,FALSE)</f>
        <v>アメミット</v>
      </c>
      <c r="L26" s="18">
        <v>1</v>
      </c>
      <c r="M26" s="113">
        <v>2</v>
      </c>
      <c r="N26" s="113">
        <v>100</v>
      </c>
      <c r="O26" s="2" t="s">
        <v>274</v>
      </c>
    </row>
    <row r="27" spans="1:15" ht="21" customHeight="1" x14ac:dyDescent="0.15">
      <c r="A27" s="64" t="str">
        <f>B27&amp;"_"&amp;J27</f>
        <v>1113_358</v>
      </c>
      <c r="B27" s="43">
        <v>1113</v>
      </c>
      <c r="C27" s="176">
        <f>B27</f>
        <v>1113</v>
      </c>
      <c r="D27" s="56" t="str">
        <f ca="1">VLOOKUP($C27,OFFSET([1]characters!$A$1,0,0,COUNTA([1]characters!$A:$A),MATCH(D$1,[1]characters!$1:$1,0)-MATCH($C$1,[1]characters!$1:$1,0)+1),MATCH(D$1,[1]characters!$1:$1,0)-MATCH($C$1,[1]characters!$1:$1,0)+1,FALSE)</f>
        <v>聖結たる輝晶獣 ウィグナー</v>
      </c>
      <c r="E27" s="56">
        <f ca="1">VLOOKUP($C27,OFFSET([1]characters!$A$1,0,0,COUNTA([1]characters!$A:$A),MATCH(E$1,[1]characters!$1:$1,0)-MATCH($C$1,[1]characters!$1:$1,0)+1),MATCH(E$1,[1]characters!$1:$1,0)-MATCH($C$1,[1]characters!$1:$1,0)+1,FALSE)</f>
        <v>6</v>
      </c>
      <c r="F27" s="56" t="str">
        <f ca="1">VLOOKUP($C27,OFFSET([1]characters!$A$1,0,0,COUNTA([1]characters!$A:$A),MATCH(F$1,[1]characters!$1:$1,0)-MATCH($C$1,[1]characters!$1:$1,0)+1),MATCH(F$1,[1]characters!$1:$1,0)-MATCH($C$1,[1]characters!$1:$1,0)+1,FALSE)</f>
        <v>PremiumSSS</v>
      </c>
      <c r="G27" s="56" t="str">
        <f ca="1">VLOOKUP($C27,OFFSET([1]characters!$A$1,0,0,COUNTA([1]characters!$A:$A),MATCH(G$1,[1]characters!$1:$1,0)-MATCH($C$1,[1]characters!$1:$1,0)+1),MATCH(G$1,[1]characters!$1:$1,0)-MATCH($C$1,[1]characters!$1:$1,0)+1,FALSE)</f>
        <v>blue</v>
      </c>
      <c r="H27" s="43">
        <v>1112</v>
      </c>
      <c r="I27" s="56" t="str">
        <f ca="1">VLOOKUP($H27,OFFSET([1]characters!$A$1,0,0,COUNTA([1]characters!$A:$A),MATCH(I$1,[1]characters!$1:$1,0)-MATCH($C$1,[1]characters!$1:$1,0)+1),MATCH(I$1,[1]characters!$1:$1,0)-MATCH($C$1,[1]characters!$1:$1,0)+1,FALSE)</f>
        <v>正統なる傑晶 ウィグナー</v>
      </c>
      <c r="J27" s="43">
        <v>358</v>
      </c>
      <c r="K27" s="56" t="str">
        <f ca="1">VLOOKUP($J27,OFFSET([1]characters!$A$1,0,0,COUNTA([1]characters!$A:$A),MATCH(K$1,[1]characters!$1:$1,0)-MATCH($C$1,[1]characters!$1:$1,0)+1),MATCH(K$1,[1]characters!$1:$1,0)-MATCH($C$1,[1]characters!$1:$1,0)+1,FALSE)</f>
        <v>深淵の代用ウミガメ</v>
      </c>
      <c r="L27" s="18">
        <v>1</v>
      </c>
      <c r="M27" s="113">
        <v>1</v>
      </c>
      <c r="N27" s="113">
        <v>100</v>
      </c>
      <c r="O27" s="2" t="s">
        <v>274</v>
      </c>
    </row>
    <row r="28" spans="1:15" ht="21" customHeight="1" x14ac:dyDescent="0.15">
      <c r="A28" s="64" t="str">
        <f t="shared" ref="A28:A29" si="18">B28&amp;"_"&amp;J28</f>
        <v>1113_111</v>
      </c>
      <c r="B28" s="43">
        <v>1113</v>
      </c>
      <c r="C28" s="176">
        <f t="shared" ref="C28:C29" si="19">B28</f>
        <v>1113</v>
      </c>
      <c r="D28" s="56" t="str">
        <f ca="1">VLOOKUP($C28,OFFSET([1]characters!$A$1,0,0,COUNTA([1]characters!$A:$A),MATCH(D$1,[1]characters!$1:$1,0)-MATCH($C$1,[1]characters!$1:$1,0)+1),MATCH(D$1,[1]characters!$1:$1,0)-MATCH($C$1,[1]characters!$1:$1,0)+1,FALSE)</f>
        <v>聖結たる輝晶獣 ウィグナー</v>
      </c>
      <c r="E28" s="56">
        <f ca="1">VLOOKUP($C28,OFFSET([1]characters!$A$1,0,0,COUNTA([1]characters!$A:$A),MATCH(E$1,[1]characters!$1:$1,0)-MATCH($C$1,[1]characters!$1:$1,0)+1),MATCH(E$1,[1]characters!$1:$1,0)-MATCH($C$1,[1]characters!$1:$1,0)+1,FALSE)</f>
        <v>6</v>
      </c>
      <c r="F28" s="56" t="str">
        <f ca="1">VLOOKUP($C28,OFFSET([1]characters!$A$1,0,0,COUNTA([1]characters!$A:$A),MATCH(F$1,[1]characters!$1:$1,0)-MATCH($C$1,[1]characters!$1:$1,0)+1),MATCH(F$1,[1]characters!$1:$1,0)-MATCH($C$1,[1]characters!$1:$1,0)+1,FALSE)</f>
        <v>PremiumSSS</v>
      </c>
      <c r="G28" s="56" t="str">
        <f ca="1">VLOOKUP($C28,OFFSET([1]characters!$A$1,0,0,COUNTA([1]characters!$A:$A),MATCH(G$1,[1]characters!$1:$1,0)-MATCH($C$1,[1]characters!$1:$1,0)+1),MATCH(G$1,[1]characters!$1:$1,0)-MATCH($C$1,[1]characters!$1:$1,0)+1,FALSE)</f>
        <v>blue</v>
      </c>
      <c r="H28" s="43">
        <v>1112</v>
      </c>
      <c r="I28" s="56" t="str">
        <f ca="1">VLOOKUP($H28,OFFSET([1]characters!$A$1,0,0,COUNTA([1]characters!$A:$A),MATCH(I$1,[1]characters!$1:$1,0)-MATCH($C$1,[1]characters!$1:$1,0)+1),MATCH(I$1,[1]characters!$1:$1,0)-MATCH($C$1,[1]characters!$1:$1,0)+1,FALSE)</f>
        <v>正統なる傑晶 ウィグナー</v>
      </c>
      <c r="J28" s="43">
        <v>111</v>
      </c>
      <c r="K28" s="56" t="str">
        <f ca="1">VLOOKUP($J28,OFFSET([1]characters!$A$1,0,0,COUNTA([1]characters!$A:$A),MATCH(K$1,[1]characters!$1:$1,0)-MATCH($C$1,[1]characters!$1:$1,0)+1),MATCH(K$1,[1]characters!$1:$1,0)-MATCH($C$1,[1]characters!$1:$1,0)+1,FALSE)</f>
        <v>ブルーキャタップ</v>
      </c>
      <c r="L28" s="18">
        <v>1</v>
      </c>
      <c r="M28" s="113">
        <v>1</v>
      </c>
      <c r="N28" s="113">
        <v>100</v>
      </c>
      <c r="O28" s="2" t="s">
        <v>274</v>
      </c>
    </row>
    <row r="29" spans="1:15" ht="21" customHeight="1" x14ac:dyDescent="0.15">
      <c r="A29" s="64" t="str">
        <f t="shared" si="18"/>
        <v>1113_110</v>
      </c>
      <c r="B29" s="43">
        <v>1113</v>
      </c>
      <c r="C29" s="176">
        <f t="shared" si="19"/>
        <v>1113</v>
      </c>
      <c r="D29" s="56" t="str">
        <f ca="1">VLOOKUP($C29,OFFSET([1]characters!$A$1,0,0,COUNTA([1]characters!$A:$A),MATCH(D$1,[1]characters!$1:$1,0)-MATCH($C$1,[1]characters!$1:$1,0)+1),MATCH(D$1,[1]characters!$1:$1,0)-MATCH($C$1,[1]characters!$1:$1,0)+1,FALSE)</f>
        <v>聖結たる輝晶獣 ウィグナー</v>
      </c>
      <c r="E29" s="56">
        <f ca="1">VLOOKUP($C29,OFFSET([1]characters!$A$1,0,0,COUNTA([1]characters!$A:$A),MATCH(E$1,[1]characters!$1:$1,0)-MATCH($C$1,[1]characters!$1:$1,0)+1),MATCH(E$1,[1]characters!$1:$1,0)-MATCH($C$1,[1]characters!$1:$1,0)+1,FALSE)</f>
        <v>6</v>
      </c>
      <c r="F29" s="56" t="str">
        <f ca="1">VLOOKUP($C29,OFFSET([1]characters!$A$1,0,0,COUNTA([1]characters!$A:$A),MATCH(F$1,[1]characters!$1:$1,0)-MATCH($C$1,[1]characters!$1:$1,0)+1),MATCH(F$1,[1]characters!$1:$1,0)-MATCH($C$1,[1]characters!$1:$1,0)+1,FALSE)</f>
        <v>PremiumSSS</v>
      </c>
      <c r="G29" s="56" t="str">
        <f ca="1">VLOOKUP($C29,OFFSET([1]characters!$A$1,0,0,COUNTA([1]characters!$A:$A),MATCH(G$1,[1]characters!$1:$1,0)-MATCH($C$1,[1]characters!$1:$1,0)+1),MATCH(G$1,[1]characters!$1:$1,0)-MATCH($C$1,[1]characters!$1:$1,0)+1,FALSE)</f>
        <v>blue</v>
      </c>
      <c r="H29" s="43">
        <v>1112</v>
      </c>
      <c r="I29" s="56" t="str">
        <f ca="1">VLOOKUP($H29,OFFSET([1]characters!$A$1,0,0,COUNTA([1]characters!$A:$A),MATCH(I$1,[1]characters!$1:$1,0)-MATCH($C$1,[1]characters!$1:$1,0)+1),MATCH(I$1,[1]characters!$1:$1,0)-MATCH($C$1,[1]characters!$1:$1,0)+1,FALSE)</f>
        <v>正統なる傑晶 ウィグナー</v>
      </c>
      <c r="J29" s="43">
        <v>110</v>
      </c>
      <c r="K29" s="56" t="str">
        <f ca="1">VLOOKUP($J29,OFFSET([1]characters!$A$1,0,0,COUNTA([1]characters!$A:$A),MATCH(K$1,[1]characters!$1:$1,0)-MATCH($C$1,[1]characters!$1:$1,0)+1),MATCH(K$1,[1]characters!$1:$1,0)-MATCH($C$1,[1]characters!$1:$1,0)+1,FALSE)</f>
        <v>ブルーラビット</v>
      </c>
      <c r="L29" s="18">
        <v>1</v>
      </c>
      <c r="M29" s="113">
        <v>1</v>
      </c>
      <c r="N29" s="113">
        <v>100</v>
      </c>
      <c r="O29" s="2" t="s">
        <v>274</v>
      </c>
    </row>
  </sheetData>
  <sheetProtection selectLockedCells="1" selectUnlockedCells="1"/>
  <autoFilter ref="B1:L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K4"/>
  <sheetViews>
    <sheetView topLeftCell="F1" zoomScale="113" workbookViewId="0">
      <selection activeCell="J4" sqref="J4"/>
    </sheetView>
  </sheetViews>
  <sheetFormatPr baseColWidth="12" defaultRowHeight="15" x14ac:dyDescent="0.15"/>
  <cols>
    <col min="3" max="3" width="16.5" customWidth="1"/>
    <col min="4" max="4" width="43.6640625" customWidth="1"/>
    <col min="5" max="5" width="10.1640625" customWidth="1"/>
    <col min="6" max="6" width="36.33203125" customWidth="1"/>
    <col min="7" max="7" width="66.5" customWidth="1"/>
    <col min="8" max="8" width="11.6640625" customWidth="1"/>
    <col min="9" max="10" width="13" customWidth="1"/>
  </cols>
  <sheetData>
    <row r="1" spans="1:11" s="23" customFormat="1" ht="21" customHeight="1" x14ac:dyDescent="0.15">
      <c r="A1" s="180" t="s">
        <v>292</v>
      </c>
      <c r="B1" s="119" t="s">
        <v>293</v>
      </c>
      <c r="C1" s="120" t="s">
        <v>294</v>
      </c>
      <c r="D1" s="121" t="s">
        <v>295</v>
      </c>
      <c r="E1" s="121" t="s">
        <v>296</v>
      </c>
      <c r="F1" s="121" t="s">
        <v>297</v>
      </c>
      <c r="G1" s="121" t="s">
        <v>298</v>
      </c>
      <c r="H1" s="121" t="s">
        <v>287</v>
      </c>
      <c r="I1" s="181" t="s">
        <v>299</v>
      </c>
      <c r="J1" s="181" t="s">
        <v>388</v>
      </c>
      <c r="K1" s="182" t="s">
        <v>300</v>
      </c>
    </row>
    <row r="2" spans="1:11" s="23" customFormat="1" ht="47" customHeight="1" x14ac:dyDescent="0.15">
      <c r="A2" s="65">
        <v>95901</v>
      </c>
      <c r="B2" s="183" t="s">
        <v>186</v>
      </c>
      <c r="C2" s="184" t="s">
        <v>387</v>
      </c>
      <c r="D2" s="184" t="s">
        <v>386</v>
      </c>
      <c r="E2" s="184" t="s">
        <v>301</v>
      </c>
      <c r="F2" s="191" t="s">
        <v>384</v>
      </c>
      <c r="G2" s="168" t="s">
        <v>342</v>
      </c>
      <c r="H2" s="184" t="s">
        <v>302</v>
      </c>
      <c r="I2" s="185" t="str">
        <f>"{"&amp;""""&amp;$E$1&amp;""""&amp;":"&amp;""""&amp;E2&amp;""""&amp;","&amp;""""&amp;"type"&amp;""""&amp;":"&amp;""""&amp;"ability"&amp;""""&amp;","&amp;""""&amp;$G$1&amp;""""&amp;":"&amp;""""&amp;G2&amp;""""&amp;","&amp;""""&amp;$F$1&amp;""""&amp;":"&amp;""""&amp;F2&amp;""""&amp;","&amp;""""&amp;$H$1&amp;""""&amp;":"&amp;H2&amp;"}"</f>
        <v>{"ver":"1.7.0","type":"ability","effects":"[effect:damage_up, target:myself, val:2.9, turn:1, type01:all, option:killer]","conditions":"[condition:enclose,[condition:quest_id,quest:60028],[condition:unit_attack_target],logic:and]","priority":0}</v>
      </c>
      <c r="J2" s="185" t="s">
        <v>389</v>
      </c>
      <c r="K2" s="186">
        <v>3</v>
      </c>
    </row>
    <row r="3" spans="1:11" s="23" customFormat="1" ht="47" customHeight="1" x14ac:dyDescent="0.15">
      <c r="A3" s="65">
        <v>111201</v>
      </c>
      <c r="B3" s="183" t="s">
        <v>185</v>
      </c>
      <c r="C3" s="184" t="s">
        <v>373</v>
      </c>
      <c r="D3" s="184" t="s">
        <v>374</v>
      </c>
      <c r="E3" s="184" t="s">
        <v>301</v>
      </c>
      <c r="F3" s="191" t="s">
        <v>376</v>
      </c>
      <c r="G3" s="168" t="s">
        <v>342</v>
      </c>
      <c r="H3" s="184" t="s">
        <v>302</v>
      </c>
      <c r="I3" s="185" t="str">
        <f>"{"&amp;""""&amp;$E$1&amp;""""&amp;":"&amp;""""&amp;E3&amp;""""&amp;","&amp;""""&amp;"type"&amp;""""&amp;":"&amp;""""&amp;"ability"&amp;""""&amp;","&amp;""""&amp;$G$1&amp;""""&amp;":"&amp;""""&amp;G3&amp;""""&amp;","&amp;""""&amp;$F$1&amp;""""&amp;":"&amp;""""&amp;F3&amp;""""&amp;","&amp;""""&amp;$H$1&amp;""""&amp;":"&amp;H3&amp;"}"</f>
        <v>{"ver":"1.7.0","type":"ability","effects":"[effect:damage_up, target:myself, val:2.9, turn:1, type01:all, option:killer]","conditions":"[condition:enclose,[condition:quest_id,quest:60020],[condition:unit_attack_target],logic:and]","priority":0}</v>
      </c>
      <c r="J3" s="185" t="s">
        <v>389</v>
      </c>
      <c r="K3" s="186">
        <v>3</v>
      </c>
    </row>
    <row r="4" spans="1:11" s="23" customFormat="1" ht="47" customHeight="1" x14ac:dyDescent="0.15">
      <c r="A4" s="65">
        <v>87501</v>
      </c>
      <c r="B4" s="183" t="s">
        <v>185</v>
      </c>
      <c r="C4" s="184" t="s">
        <v>379</v>
      </c>
      <c r="D4" s="184" t="s">
        <v>380</v>
      </c>
      <c r="E4" s="184" t="s">
        <v>301</v>
      </c>
      <c r="F4" s="191" t="s">
        <v>381</v>
      </c>
      <c r="G4" s="168" t="s">
        <v>342</v>
      </c>
      <c r="H4" s="184" t="s">
        <v>302</v>
      </c>
      <c r="I4" s="185" t="str">
        <f>"{"&amp;""""&amp;$E$1&amp;""""&amp;":"&amp;""""&amp;E4&amp;""""&amp;","&amp;""""&amp;"type"&amp;""""&amp;":"&amp;""""&amp;"ability"&amp;""""&amp;","&amp;""""&amp;$G$1&amp;""""&amp;":"&amp;""""&amp;G4&amp;""""&amp;","&amp;""""&amp;$F$1&amp;""""&amp;":"&amp;""""&amp;F4&amp;""""&amp;","&amp;""""&amp;$H$1&amp;""""&amp;":"&amp;H4&amp;"}"</f>
        <v>{"ver":"1.7.0","type":"ability","effects":"[effect:damage_up, target:myself, val:2.9, turn:1, type01:all, option:killer]","conditions":"[condition:enclose,[condition:quest_id,quest:60017],[condition:unit_attack_target],logic:and]","priority":0}</v>
      </c>
      <c r="J4" s="185" t="s">
        <v>389</v>
      </c>
      <c r="K4" s="186">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H9"/>
  <sheetViews>
    <sheetView workbookViewId="0">
      <selection activeCell="F10" sqref="F10"/>
    </sheetView>
  </sheetViews>
  <sheetFormatPr baseColWidth="12" defaultRowHeight="15" x14ac:dyDescent="0.15"/>
  <cols>
    <col min="2" max="2" width="21.5" bestFit="1" customWidth="1"/>
    <col min="5" max="5" width="36.1640625" customWidth="1"/>
    <col min="6" max="6" width="49.1640625" customWidth="1"/>
  </cols>
  <sheetData>
    <row r="1" spans="1:8" s="23" customFormat="1" ht="21" customHeight="1" x14ac:dyDescent="0.15">
      <c r="A1" s="180" t="s">
        <v>138</v>
      </c>
      <c r="B1" s="187" t="s">
        <v>303</v>
      </c>
      <c r="C1" s="119" t="s">
        <v>304</v>
      </c>
      <c r="D1" s="119" t="s">
        <v>305</v>
      </c>
      <c r="E1" s="188" t="s">
        <v>306</v>
      </c>
      <c r="F1" s="188" t="s">
        <v>307</v>
      </c>
      <c r="G1" s="122" t="s">
        <v>308</v>
      </c>
      <c r="H1" s="180" t="s">
        <v>309</v>
      </c>
    </row>
    <row r="2" spans="1:8" s="4" customFormat="1" ht="21" customHeight="1" x14ac:dyDescent="0.15">
      <c r="A2" s="65">
        <v>959</v>
      </c>
      <c r="B2" s="189" t="str">
        <f>VLOOKUP(A2,[1]characters!$A:$C,3)</f>
        <v>双世の論和 ド・モルガン</v>
      </c>
      <c r="C2" s="183">
        <v>1</v>
      </c>
      <c r="D2" s="65">
        <v>95901</v>
      </c>
      <c r="E2" s="181" t="str">
        <f>IF(ISERROR(VLOOKUP(D2,abilities!A:D,3,FALSE))=FALSE,VLOOKUP(D2,abilities!A:D,3),IF(ISERROR(VLOOKUP(D2,abilities!A:D,3,FALSE))=FALSE,VLOOKUP(D2,abilities!A:D,3),"なし"))</f>
        <v>ユークリッドチャレンジ ダメージUP</v>
      </c>
      <c r="F2" s="181" t="str">
        <f>IF(ISERROR(VLOOKUP(D2,abilities!A:D,4,FALSE))=FALSE,VLOOKUP(D2,abilities!A:D,4),IF(ISERROR(VLOOKUP(D2,abilities!A:D,4,FALSE))=FALSE,VLOOKUP(D2,abilities!A:D,4),"なし"))</f>
        <v>ユークリッドチャレンジ内で自身の全ての攻撃の威力を究極UP</v>
      </c>
      <c r="G2" s="190" t="s">
        <v>310</v>
      </c>
      <c r="H2" s="190" t="s">
        <v>311</v>
      </c>
    </row>
    <row r="3" spans="1:8" s="4" customFormat="1" ht="21" customHeight="1" x14ac:dyDescent="0.15">
      <c r="A3" s="65">
        <v>959</v>
      </c>
      <c r="B3" s="189" t="str">
        <f>VLOOKUP(A3,[1]characters!$A:$C,3)</f>
        <v>双世の論和 ド・モルガン</v>
      </c>
      <c r="C3" s="183">
        <v>2</v>
      </c>
      <c r="D3" s="65">
        <v>203</v>
      </c>
      <c r="E3" s="181" t="str">
        <f>IF(ISERROR(VLOOKUP(D3,[3]abilities!A:D,3,FALSE))=FALSE,VLOOKUP(D3,[3]abilities!A:D,3),IF(ISERROR(VLOOKUP(D3,[3]abilities!A:D,3,FALSE))=FALSE,VLOOKUP(D3,[3]abilities!A:D,3),"なし"))</f>
        <v>爆風軽減無効</v>
      </c>
      <c r="F3" s="181" t="str">
        <f>IF(ISERROR(VLOOKUP(D3,[3]abilities!A:D,4,FALSE))=FALSE,VLOOKUP(D3,[3]abilities!A:D,4),IF(ISERROR(VLOOKUP(D3,[3]abilities!A:D,4,FALSE))=FALSE,VLOOKUP(D3,[3]abilities!A:D,4),"なし"))</f>
        <v>自身が先頭の時、爆風軽減を無効化する</v>
      </c>
      <c r="G3" s="190" t="s">
        <v>310</v>
      </c>
      <c r="H3" s="190" t="s">
        <v>322</v>
      </c>
    </row>
    <row r="4" spans="1:8" s="4" customFormat="1" ht="21" customHeight="1" x14ac:dyDescent="0.15">
      <c r="A4" s="65">
        <v>960</v>
      </c>
      <c r="B4" s="189" t="str">
        <f>VLOOKUP(A4,[1]characters!$A:$C,3)</f>
        <v>双対する真偽者 ド・モルガン</v>
      </c>
      <c r="C4" s="183">
        <v>1</v>
      </c>
      <c r="D4" s="65">
        <v>102</v>
      </c>
      <c r="E4" s="181" t="str">
        <f>IF(ISERROR(VLOOKUP(D4,[3]abilities!A:D,3,FALSE))=FALSE,VLOOKUP(D4,[3]abilities!A:D,3),IF(ISERROR(VLOOKUP(D4,[3]abilities!A:D,3,FALSE))=FALSE,VLOOKUP(D4,[3]abilities!A:D,3),"なし"))</f>
        <v>プロテクトブレイク</v>
      </c>
      <c r="F4" s="181" t="str">
        <f>IF(ISERROR(VLOOKUP(D4,[3]abilities!A:D,4,FALSE))=FALSE,VLOOKUP(D4,[3]abilities!A:D,4),IF(ISERROR(VLOOKUP(D4,[3]abilities!A:D,4,FALSE))=FALSE,VLOOKUP(D4,[3]abilities!A:D,4),"なし"))</f>
        <v>自身が先頭の時、プロテクトを無視してパネル破壊できる</v>
      </c>
      <c r="G4" s="190" t="s">
        <v>310</v>
      </c>
      <c r="H4" s="190" t="s">
        <v>311</v>
      </c>
    </row>
    <row r="5" spans="1:8" s="4" customFormat="1" ht="21" customHeight="1" x14ac:dyDescent="0.15">
      <c r="A5" s="65">
        <v>1112</v>
      </c>
      <c r="B5" s="189" t="str">
        <f>VLOOKUP(A5,[1]characters!$A:$C,3)</f>
        <v>正統なる傑晶 ウィグナー</v>
      </c>
      <c r="C5" s="183">
        <v>1</v>
      </c>
      <c r="D5" s="65">
        <v>111201</v>
      </c>
      <c r="E5" s="181" t="str">
        <f>IF(ISERROR(VLOOKUP(D5,abilities!A:D,3,FALSE))=FALSE,VLOOKUP(D5,abilities!A:D,3),IF(ISERROR(VLOOKUP(D5,abilities!A:D,3,FALSE))=FALSE,VLOOKUP(D5,abilities!A:D,3),"なし"))</f>
        <v>ユークリッドチャレンジ ダメージUP</v>
      </c>
      <c r="F5" s="181" t="str">
        <f>IF(ISERROR(VLOOKUP(D5,abilities!A:D,4,FALSE))=FALSE,VLOOKUP(D5,abilities!A:D,4),IF(ISERROR(VLOOKUP(D5,abilities!A:D,4,FALSE))=FALSE,VLOOKUP(D5,abilities!A:D,4),"なし"))</f>
        <v>ユークリッドチャレンジ内で自身の全ての攻撃の威力を究極UP</v>
      </c>
      <c r="G5" s="190" t="s">
        <v>310</v>
      </c>
      <c r="H5" s="190" t="s">
        <v>311</v>
      </c>
    </row>
    <row r="6" spans="1:8" s="4" customFormat="1" ht="21" customHeight="1" x14ac:dyDescent="0.15">
      <c r="A6" s="65">
        <v>1112</v>
      </c>
      <c r="B6" s="189" t="str">
        <f>VLOOKUP(A6,[1]characters!$A:$C,3)</f>
        <v>正統なる傑晶 ウィグナー</v>
      </c>
      <c r="C6" s="183">
        <v>2</v>
      </c>
      <c r="D6" s="65">
        <v>200</v>
      </c>
      <c r="E6" s="181" t="str">
        <f>IF(ISERROR(VLOOKUP(D6,[3]abilities!A:D,3,FALSE))=FALSE,VLOOKUP(D6,[3]abilities!A:D,3),IF(ISERROR(VLOOKUP(D6,[3]abilities!A:D,3,FALSE))=FALSE,VLOOKUP(D6,[3]abilities!A:D,3),"なし"))</f>
        <v>ウィルス無効</v>
      </c>
      <c r="F6" s="181" t="str">
        <f>IF(ISERROR(VLOOKUP(D6,[3]abilities!A:D,4,FALSE))=FALSE,VLOOKUP(D6,[3]abilities!A:D,4),IF(ISERROR(VLOOKUP(D6,[3]abilities!A:D,4,FALSE))=FALSE,VLOOKUP(D6,[3]abilities!A:D,4),"なし"))</f>
        <v>自身にかかるウィルスを無効化する</v>
      </c>
      <c r="G6" s="190" t="s">
        <v>310</v>
      </c>
      <c r="H6" s="190" t="s">
        <v>311</v>
      </c>
    </row>
    <row r="7" spans="1:8" s="4" customFormat="1" ht="21" customHeight="1" x14ac:dyDescent="0.15">
      <c r="A7" s="65">
        <v>1113</v>
      </c>
      <c r="B7" s="189" t="str">
        <f>VLOOKUP(A7,[1]characters!$A:$C,3)</f>
        <v>聖結たる輝晶獣 ウィグナー</v>
      </c>
      <c r="C7" s="183">
        <v>1</v>
      </c>
      <c r="D7" s="65">
        <v>102</v>
      </c>
      <c r="E7" s="181" t="str">
        <f>IF(ISERROR(VLOOKUP(D7,[3]abilities!A:D,3,FALSE))=FALSE,VLOOKUP(D7,[3]abilities!A:D,3),IF(ISERROR(VLOOKUP(D7,[3]abilities!A:D,3,FALSE))=FALSE,VLOOKUP(D7,[3]abilities!A:D,3),"なし"))</f>
        <v>プロテクトブレイク</v>
      </c>
      <c r="F7" s="181" t="str">
        <f>IF(ISERROR(VLOOKUP(D7,[3]abilities!A:D,4,FALSE))=FALSE,VLOOKUP(D7,[3]abilities!A:D,4),IF(ISERROR(VLOOKUP(D7,[3]abilities!A:D,4,FALSE))=FALSE,VLOOKUP(D7,[3]abilities!A:D,4),"なし"))</f>
        <v>自身が先頭の時、プロテクトを無視してパネル破壊できる</v>
      </c>
      <c r="G7" s="190" t="s">
        <v>310</v>
      </c>
      <c r="H7" s="190" t="s">
        <v>311</v>
      </c>
    </row>
    <row r="8" spans="1:8" s="4" customFormat="1" ht="21" customHeight="1" x14ac:dyDescent="0.15">
      <c r="A8" s="65">
        <v>875</v>
      </c>
      <c r="B8" s="189" t="str">
        <f>VLOOKUP(A8,[1]characters!$A:$C,3)</f>
        <v>覇導の光跡 フレネル</v>
      </c>
      <c r="C8" s="183">
        <v>1</v>
      </c>
      <c r="D8" s="65">
        <v>87501</v>
      </c>
      <c r="E8" s="181" t="str">
        <f>IF(ISERROR(VLOOKUP(D8,abilities!A:D,3,FALSE))=FALSE,VLOOKUP(D8,abilities!A:D,3),IF(ISERROR(VLOOKUP(D8,abilities!A:D,3,FALSE))=FALSE,VLOOKUP(D8,abilities!A:D,3),"なし"))</f>
        <v>ユークリッドチャレンジ ダメージUP</v>
      </c>
      <c r="F8" s="181" t="str">
        <f>IF(ISERROR(VLOOKUP(D8,abilities!A:D,4,FALSE))=FALSE,VLOOKUP(D8,abilities!A:D,4),IF(ISERROR(VLOOKUP(D8,abilities!A:D,4,FALSE))=FALSE,VLOOKUP(D8,abilities!A:D,4),"なし"))</f>
        <v>ユークリッドチャレンジ内で自身の全ての攻撃の威力を究極UP</v>
      </c>
      <c r="G8" s="190" t="s">
        <v>310</v>
      </c>
      <c r="H8" s="190" t="s">
        <v>311</v>
      </c>
    </row>
    <row r="9" spans="1:8" s="4" customFormat="1" ht="21" customHeight="1" x14ac:dyDescent="0.15">
      <c r="A9" s="65">
        <v>875</v>
      </c>
      <c r="B9" s="189" t="str">
        <f>VLOOKUP(A9,[1]characters!$A:$C,3)</f>
        <v>覇導の光跡 フレネル</v>
      </c>
      <c r="C9" s="183">
        <v>2</v>
      </c>
      <c r="D9" s="65">
        <v>907</v>
      </c>
      <c r="E9" s="181" t="str">
        <f>IF(ISERROR(VLOOKUP(D9,[3]abilities!A:D,3,FALSE))=FALSE,VLOOKUP(D9,[3]abilities!A:D,3),IF(ISERROR(VLOOKUP(D9,[3]abilities!A:D,3,FALSE))=FALSE,VLOOKUP(D9,[3]abilities!A:D,3),"なし"))</f>
        <v>チェイン14 攻撃力UP</v>
      </c>
      <c r="F9" s="181" t="str">
        <f>IF(ISERROR(VLOOKUP(D9,[3]abilities!A:D,4,FALSE))=FALSE,VLOOKUP(D9,[3]abilities!A:D,4),IF(ISERROR(VLOOKUP(D9,[3]abilities!A:D,4,FALSE))=FALSE,VLOOKUP(D9,[3]abilities!A:D,4),"なし"))</f>
        <v>自身が先頭の時、1タップで14個以上パネルを繋げた場合に攻撃力UP(1ターンに1度だけ発動)</v>
      </c>
      <c r="G9" s="190" t="s">
        <v>310</v>
      </c>
      <c r="H9" s="190" t="s">
        <v>311</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0"/>
  <sheetViews>
    <sheetView showGridLines="0" tabSelected="1" workbookViewId="0">
      <selection activeCell="I20" sqref="I20"/>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234</v>
      </c>
      <c r="B1" s="32">
        <v>1</v>
      </c>
      <c r="C1" s="32">
        <v>2</v>
      </c>
      <c r="D1" s="32">
        <v>3</v>
      </c>
      <c r="E1" s="32">
        <v>4</v>
      </c>
      <c r="F1" s="32">
        <v>5</v>
      </c>
      <c r="G1" s="32">
        <v>6</v>
      </c>
      <c r="H1" s="32">
        <v>7</v>
      </c>
      <c r="I1" s="32">
        <v>8</v>
      </c>
    </row>
    <row r="2" spans="1:9" s="4" customFormat="1" ht="21" customHeight="1" x14ac:dyDescent="0.15">
      <c r="A2" s="145" t="s">
        <v>235</v>
      </c>
      <c r="B2" s="146"/>
      <c r="C2" s="147"/>
      <c r="D2" s="148" t="s">
        <v>236</v>
      </c>
      <c r="E2" s="148">
        <v>30</v>
      </c>
      <c r="F2" s="148">
        <v>40</v>
      </c>
      <c r="G2" s="148">
        <f>15+F2</f>
        <v>55</v>
      </c>
      <c r="H2" s="147"/>
      <c r="I2" s="147"/>
    </row>
    <row r="3" spans="1:9" s="4" customFormat="1" ht="21" customHeight="1" x14ac:dyDescent="0.15">
      <c r="A3" s="145" t="s">
        <v>237</v>
      </c>
      <c r="B3" s="149"/>
      <c r="C3" s="150"/>
      <c r="D3" s="151" t="s">
        <v>236</v>
      </c>
      <c r="E3" s="151">
        <v>25</v>
      </c>
      <c r="F3" s="151">
        <v>35</v>
      </c>
      <c r="G3" s="148">
        <f t="shared" ref="G3:G4" si="0">15+F3</f>
        <v>50</v>
      </c>
      <c r="H3" s="150"/>
      <c r="I3" s="150"/>
    </row>
    <row r="4" spans="1:9" s="4" customFormat="1" ht="21" customHeight="1" x14ac:dyDescent="0.15">
      <c r="A4" s="145" t="s">
        <v>238</v>
      </c>
      <c r="B4" s="152"/>
      <c r="C4" s="153"/>
      <c r="D4" s="154">
        <v>10</v>
      </c>
      <c r="E4" s="154">
        <v>20</v>
      </c>
      <c r="F4" s="154">
        <v>30</v>
      </c>
      <c r="G4" s="154">
        <f t="shared" si="0"/>
        <v>45</v>
      </c>
      <c r="H4" s="153"/>
      <c r="I4" s="153"/>
    </row>
    <row r="5" spans="1:9" s="4" customFormat="1" ht="21" customHeight="1" x14ac:dyDescent="0.15">
      <c r="A5" s="164" t="s">
        <v>239</v>
      </c>
      <c r="B5" s="159"/>
      <c r="C5" s="160"/>
      <c r="D5" s="28">
        <v>9</v>
      </c>
      <c r="E5" s="28">
        <v>18</v>
      </c>
      <c r="F5" s="28">
        <v>28</v>
      </c>
      <c r="G5" s="38">
        <v>38</v>
      </c>
      <c r="H5" s="160"/>
      <c r="I5" s="160"/>
    </row>
    <row r="6" spans="1:9" s="4" customFormat="1" ht="21" customHeight="1" x14ac:dyDescent="0.15">
      <c r="A6" s="164" t="s">
        <v>240</v>
      </c>
      <c r="B6" s="159"/>
      <c r="C6" s="160"/>
      <c r="D6" s="28">
        <v>7</v>
      </c>
      <c r="E6" s="28">
        <v>16</v>
      </c>
      <c r="F6" s="68" t="s">
        <v>11</v>
      </c>
      <c r="G6" s="68" t="s">
        <v>11</v>
      </c>
      <c r="H6" s="160"/>
      <c r="I6" s="160"/>
    </row>
    <row r="7" spans="1:9" ht="21" customHeight="1" x14ac:dyDescent="0.15">
      <c r="A7" s="73" t="s">
        <v>241</v>
      </c>
      <c r="B7" s="46" t="s">
        <v>11</v>
      </c>
      <c r="C7" s="46" t="s">
        <v>11</v>
      </c>
      <c r="D7" s="38" t="s">
        <v>236</v>
      </c>
      <c r="E7" s="38" t="s">
        <v>236</v>
      </c>
      <c r="F7" s="38" t="s">
        <v>236</v>
      </c>
      <c r="G7" s="38" t="s">
        <v>236</v>
      </c>
      <c r="H7" s="38" t="s">
        <v>236</v>
      </c>
      <c r="I7" s="38" t="s">
        <v>236</v>
      </c>
    </row>
    <row r="8" spans="1:9" ht="21" customHeight="1" x14ac:dyDescent="0.15">
      <c r="A8" s="74" t="s">
        <v>242</v>
      </c>
      <c r="B8" s="46" t="s">
        <v>11</v>
      </c>
      <c r="C8" s="46" t="s">
        <v>11</v>
      </c>
      <c r="D8" s="38" t="s">
        <v>236</v>
      </c>
      <c r="E8" s="38">
        <v>30</v>
      </c>
      <c r="F8" s="38">
        <v>40</v>
      </c>
      <c r="G8" s="38">
        <f>15+F8</f>
        <v>55</v>
      </c>
      <c r="H8" s="38" t="s">
        <v>236</v>
      </c>
      <c r="I8" s="38" t="s">
        <v>236</v>
      </c>
    </row>
    <row r="9" spans="1:9" s="45" customFormat="1" ht="21" customHeight="1" x14ac:dyDescent="0.15">
      <c r="A9" s="75" t="s">
        <v>243</v>
      </c>
      <c r="B9" s="28" t="s">
        <v>11</v>
      </c>
      <c r="C9" s="28" t="s">
        <v>11</v>
      </c>
      <c r="D9" s="105" t="s">
        <v>236</v>
      </c>
      <c r="E9" s="105">
        <v>25</v>
      </c>
      <c r="F9" s="105">
        <v>35</v>
      </c>
      <c r="G9" s="38">
        <f t="shared" ref="G9:G10" si="1">15+F9</f>
        <v>50</v>
      </c>
      <c r="H9" s="105" t="s">
        <v>236</v>
      </c>
      <c r="I9" s="105" t="s">
        <v>236</v>
      </c>
    </row>
    <row r="10" spans="1:9" ht="21" customHeight="1" x14ac:dyDescent="0.15">
      <c r="A10" s="75" t="s">
        <v>9</v>
      </c>
      <c r="B10" s="68" t="s">
        <v>11</v>
      </c>
      <c r="C10" s="68" t="s">
        <v>11</v>
      </c>
      <c r="D10" s="28">
        <v>10</v>
      </c>
      <c r="E10" s="28">
        <v>20</v>
      </c>
      <c r="F10" s="28">
        <v>30</v>
      </c>
      <c r="G10" s="38">
        <f t="shared" si="1"/>
        <v>45</v>
      </c>
      <c r="H10" s="68" t="s">
        <v>11</v>
      </c>
      <c r="I10" s="68" t="s">
        <v>11</v>
      </c>
    </row>
    <row r="11" spans="1:9" ht="21" customHeight="1" x14ac:dyDescent="0.15">
      <c r="A11" s="75" t="s">
        <v>244</v>
      </c>
      <c r="B11" s="68" t="s">
        <v>11</v>
      </c>
      <c r="C11" s="68" t="s">
        <v>11</v>
      </c>
      <c r="D11" s="28">
        <v>9</v>
      </c>
      <c r="E11" s="28">
        <v>18</v>
      </c>
      <c r="F11" s="28">
        <v>28</v>
      </c>
      <c r="G11" s="38">
        <v>38</v>
      </c>
      <c r="H11" s="68" t="s">
        <v>11</v>
      </c>
      <c r="I11" s="68" t="s">
        <v>11</v>
      </c>
    </row>
    <row r="12" spans="1:9" ht="21" customHeight="1" x14ac:dyDescent="0.15">
      <c r="A12" s="75" t="s">
        <v>245</v>
      </c>
      <c r="B12" s="68" t="s">
        <v>11</v>
      </c>
      <c r="C12" s="68" t="s">
        <v>11</v>
      </c>
      <c r="D12" s="28">
        <v>7</v>
      </c>
      <c r="E12" s="28">
        <v>16</v>
      </c>
      <c r="F12" s="68" t="s">
        <v>11</v>
      </c>
      <c r="G12" s="68" t="s">
        <v>11</v>
      </c>
      <c r="H12" s="68" t="s">
        <v>11</v>
      </c>
      <c r="I12" s="68" t="s">
        <v>11</v>
      </c>
    </row>
    <row r="13" spans="1:9" ht="21" customHeight="1" x14ac:dyDescent="0.15">
      <c r="A13" s="104" t="s">
        <v>246</v>
      </c>
      <c r="B13" s="68" t="s">
        <v>11</v>
      </c>
      <c r="C13" s="68" t="s">
        <v>11</v>
      </c>
      <c r="D13" s="28">
        <v>8</v>
      </c>
      <c r="E13" s="28">
        <v>17</v>
      </c>
      <c r="F13" s="28">
        <v>26</v>
      </c>
      <c r="G13" s="68" t="s">
        <v>11</v>
      </c>
      <c r="H13" s="68" t="s">
        <v>11</v>
      </c>
      <c r="I13" s="68" t="s">
        <v>11</v>
      </c>
    </row>
    <row r="14" spans="1:9" ht="21" customHeight="1" x14ac:dyDescent="0.15">
      <c r="A14" s="75" t="s">
        <v>247</v>
      </c>
      <c r="B14" s="68" t="s">
        <v>11</v>
      </c>
      <c r="C14" s="68" t="s">
        <v>11</v>
      </c>
      <c r="D14" s="28">
        <v>8</v>
      </c>
      <c r="E14" s="28">
        <v>17</v>
      </c>
      <c r="F14" s="28">
        <v>26</v>
      </c>
      <c r="G14" s="68" t="s">
        <v>11</v>
      </c>
      <c r="H14" s="68" t="s">
        <v>11</v>
      </c>
      <c r="I14" s="68" t="s">
        <v>11</v>
      </c>
    </row>
    <row r="15" spans="1:9" ht="21" customHeight="1" x14ac:dyDescent="0.15">
      <c r="A15" s="75" t="s">
        <v>248</v>
      </c>
      <c r="B15" s="68" t="s">
        <v>11</v>
      </c>
      <c r="C15" s="68" t="s">
        <v>11</v>
      </c>
      <c r="D15" s="28">
        <v>6</v>
      </c>
      <c r="E15" s="28">
        <v>14</v>
      </c>
      <c r="F15" s="68" t="s">
        <v>11</v>
      </c>
      <c r="G15" s="68" t="s">
        <v>11</v>
      </c>
      <c r="H15" s="68" t="s">
        <v>11</v>
      </c>
      <c r="I15" s="68" t="s">
        <v>11</v>
      </c>
    </row>
    <row r="16" spans="1:9" ht="21" customHeight="1" x14ac:dyDescent="0.15">
      <c r="A16" s="75" t="s">
        <v>249</v>
      </c>
      <c r="B16" s="68" t="s">
        <v>11</v>
      </c>
      <c r="C16" s="28">
        <v>4</v>
      </c>
      <c r="D16" s="28">
        <v>6</v>
      </c>
      <c r="E16" s="28">
        <v>14</v>
      </c>
      <c r="F16" s="68" t="s">
        <v>11</v>
      </c>
      <c r="G16" s="68" t="s">
        <v>11</v>
      </c>
      <c r="H16" s="68" t="s">
        <v>11</v>
      </c>
      <c r="I16" s="68" t="s">
        <v>11</v>
      </c>
    </row>
    <row r="17" spans="1:9" ht="21" customHeight="1" x14ac:dyDescent="0.15">
      <c r="A17" s="75" t="s">
        <v>8</v>
      </c>
      <c r="B17" s="28">
        <v>2</v>
      </c>
      <c r="C17" s="28">
        <v>4</v>
      </c>
      <c r="D17" s="28">
        <v>6</v>
      </c>
      <c r="E17" s="68" t="s">
        <v>11</v>
      </c>
      <c r="F17" s="68" t="s">
        <v>11</v>
      </c>
      <c r="G17" s="68" t="s">
        <v>11</v>
      </c>
      <c r="H17" s="68" t="s">
        <v>11</v>
      </c>
      <c r="I17" s="68" t="s">
        <v>11</v>
      </c>
    </row>
    <row r="18" spans="1:9" ht="21" customHeight="1" x14ac:dyDescent="0.15">
      <c r="A18" s="76" t="s">
        <v>7</v>
      </c>
      <c r="B18" s="31">
        <v>1</v>
      </c>
      <c r="C18" s="31">
        <v>2</v>
      </c>
      <c r="D18" s="69" t="s">
        <v>11</v>
      </c>
      <c r="E18" s="69" t="s">
        <v>11</v>
      </c>
      <c r="F18" s="69" t="s">
        <v>11</v>
      </c>
      <c r="G18" s="69" t="s">
        <v>11</v>
      </c>
      <c r="H18" s="69" t="s">
        <v>11</v>
      </c>
      <c r="I18" s="69" t="s">
        <v>11</v>
      </c>
    </row>
    <row r="19" spans="1:9" ht="21" customHeight="1" x14ac:dyDescent="0.15">
      <c r="A19" s="77" t="s">
        <v>250</v>
      </c>
      <c r="B19" s="26">
        <v>1</v>
      </c>
      <c r="C19" s="26">
        <v>1</v>
      </c>
      <c r="D19" s="69" t="s">
        <v>11</v>
      </c>
      <c r="E19" s="69" t="s">
        <v>11</v>
      </c>
      <c r="F19" s="69" t="s">
        <v>11</v>
      </c>
      <c r="G19" s="69" t="s">
        <v>11</v>
      </c>
      <c r="H19" s="69" t="s">
        <v>11</v>
      </c>
      <c r="I19" s="69" t="s">
        <v>11</v>
      </c>
    </row>
    <row r="20" spans="1:9" ht="21" customHeight="1" x14ac:dyDescent="0.15">
      <c r="A20" s="37" t="s">
        <v>251</v>
      </c>
      <c r="B20" s="36">
        <v>99</v>
      </c>
      <c r="C20" s="36">
        <v>99</v>
      </c>
      <c r="D20" s="36">
        <v>99</v>
      </c>
      <c r="E20" s="36">
        <v>99</v>
      </c>
      <c r="F20" s="36">
        <v>99</v>
      </c>
      <c r="G20" s="36">
        <v>99</v>
      </c>
      <c r="H20" s="36">
        <v>99</v>
      </c>
      <c r="I20"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0"/>
  <sheetViews>
    <sheetView showGridLines="0" workbookViewId="0">
      <selection activeCell="I24" sqref="I24"/>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5" t="s">
        <v>235</v>
      </c>
      <c r="B2" s="161"/>
      <c r="C2" s="147"/>
      <c r="D2" s="155" t="s">
        <v>109</v>
      </c>
      <c r="E2" s="155">
        <v>60</v>
      </c>
      <c r="F2" s="155">
        <v>80</v>
      </c>
      <c r="G2" s="155">
        <v>99</v>
      </c>
      <c r="H2" s="147"/>
      <c r="I2" s="147"/>
    </row>
    <row r="3" spans="1:9" s="4" customFormat="1" ht="21" customHeight="1" x14ac:dyDescent="0.15">
      <c r="A3" s="145" t="s">
        <v>237</v>
      </c>
      <c r="B3" s="162"/>
      <c r="C3" s="150"/>
      <c r="D3" s="155" t="s">
        <v>109</v>
      </c>
      <c r="E3" s="155">
        <v>60</v>
      </c>
      <c r="F3" s="155">
        <v>80</v>
      </c>
      <c r="G3" s="155">
        <v>99</v>
      </c>
      <c r="H3" s="150"/>
      <c r="I3" s="150"/>
    </row>
    <row r="4" spans="1:9" s="4" customFormat="1" ht="21" customHeight="1" x14ac:dyDescent="0.15">
      <c r="A4" s="145" t="s">
        <v>231</v>
      </c>
      <c r="B4" s="163"/>
      <c r="C4" s="153"/>
      <c r="D4" s="155">
        <v>40</v>
      </c>
      <c r="E4" s="155">
        <v>60</v>
      </c>
      <c r="F4" s="155">
        <v>80</v>
      </c>
      <c r="G4" s="155">
        <v>99</v>
      </c>
      <c r="H4" s="153"/>
      <c r="I4" s="153"/>
    </row>
    <row r="5" spans="1:9" s="4" customFormat="1" ht="21" customHeight="1" x14ac:dyDescent="0.15">
      <c r="A5" s="164" t="s">
        <v>239</v>
      </c>
      <c r="B5" s="159"/>
      <c r="C5" s="160"/>
      <c r="D5" s="155">
        <v>40</v>
      </c>
      <c r="E5" s="155">
        <v>60</v>
      </c>
      <c r="F5" s="155">
        <v>80</v>
      </c>
      <c r="G5" s="155">
        <v>99</v>
      </c>
      <c r="H5" s="160"/>
      <c r="I5" s="160"/>
    </row>
    <row r="6" spans="1:9" s="4" customFormat="1" ht="21" customHeight="1" x14ac:dyDescent="0.15">
      <c r="A6" s="164" t="s">
        <v>240</v>
      </c>
      <c r="B6" s="159"/>
      <c r="C6" s="160"/>
      <c r="D6" s="155">
        <v>40</v>
      </c>
      <c r="E6" s="155">
        <v>60</v>
      </c>
      <c r="F6" s="155" t="s">
        <v>109</v>
      </c>
      <c r="G6" s="155" t="s">
        <v>109</v>
      </c>
      <c r="H6" s="160"/>
      <c r="I6" s="160"/>
    </row>
    <row r="7" spans="1:9" ht="21" customHeight="1" x14ac:dyDescent="0.15">
      <c r="A7" s="73" t="s">
        <v>207</v>
      </c>
      <c r="B7" s="39" t="s">
        <v>109</v>
      </c>
      <c r="C7" s="39" t="s">
        <v>109</v>
      </c>
      <c r="D7" s="39" t="s">
        <v>109</v>
      </c>
      <c r="E7" s="39" t="s">
        <v>109</v>
      </c>
      <c r="F7" s="39" t="s">
        <v>109</v>
      </c>
      <c r="G7" s="39" t="s">
        <v>109</v>
      </c>
      <c r="H7" s="39" t="s">
        <v>109</v>
      </c>
      <c r="I7" s="39" t="s">
        <v>109</v>
      </c>
    </row>
    <row r="8" spans="1:9" ht="21" customHeight="1" x14ac:dyDescent="0.15">
      <c r="A8" s="74" t="s">
        <v>242</v>
      </c>
      <c r="B8" s="39" t="s">
        <v>109</v>
      </c>
      <c r="C8" s="39" t="s">
        <v>109</v>
      </c>
      <c r="D8" s="39" t="s">
        <v>109</v>
      </c>
      <c r="E8" s="39">
        <v>60</v>
      </c>
      <c r="F8" s="39">
        <v>80</v>
      </c>
      <c r="G8" s="39">
        <v>99</v>
      </c>
      <c r="H8" s="39" t="s">
        <v>109</v>
      </c>
      <c r="I8" s="39" t="s">
        <v>109</v>
      </c>
    </row>
    <row r="9" spans="1:9" s="45" customFormat="1" ht="21" customHeight="1" x14ac:dyDescent="0.15">
      <c r="A9" s="75" t="s">
        <v>243</v>
      </c>
      <c r="B9" s="65" t="s">
        <v>109</v>
      </c>
      <c r="C9" s="65" t="s">
        <v>109</v>
      </c>
      <c r="D9" s="65" t="s">
        <v>109</v>
      </c>
      <c r="E9" s="65">
        <v>60</v>
      </c>
      <c r="F9" s="65">
        <v>80</v>
      </c>
      <c r="G9" s="65">
        <v>99</v>
      </c>
      <c r="H9" s="65" t="s">
        <v>109</v>
      </c>
      <c r="I9" s="65" t="s">
        <v>109</v>
      </c>
    </row>
    <row r="10" spans="1:9" ht="21" customHeight="1" x14ac:dyDescent="0.15">
      <c r="A10" s="75" t="s">
        <v>9</v>
      </c>
      <c r="B10" s="70" t="s">
        <v>109</v>
      </c>
      <c r="C10" s="70" t="s">
        <v>109</v>
      </c>
      <c r="D10" s="36">
        <v>40</v>
      </c>
      <c r="E10" s="36">
        <v>60</v>
      </c>
      <c r="F10" s="36">
        <v>80</v>
      </c>
      <c r="G10" s="39">
        <v>99</v>
      </c>
      <c r="H10" s="70" t="s">
        <v>109</v>
      </c>
      <c r="I10" s="70" t="s">
        <v>109</v>
      </c>
    </row>
    <row r="11" spans="1:9" ht="21" customHeight="1" x14ac:dyDescent="0.15">
      <c r="A11" s="75" t="s">
        <v>210</v>
      </c>
      <c r="B11" s="70" t="s">
        <v>109</v>
      </c>
      <c r="C11" s="70" t="s">
        <v>109</v>
      </c>
      <c r="D11" s="36">
        <v>40</v>
      </c>
      <c r="E11" s="36">
        <v>60</v>
      </c>
      <c r="F11" s="36">
        <v>80</v>
      </c>
      <c r="G11" s="65">
        <v>99</v>
      </c>
      <c r="H11" s="70" t="s">
        <v>109</v>
      </c>
      <c r="I11" s="70" t="s">
        <v>109</v>
      </c>
    </row>
    <row r="12" spans="1:9" ht="21" customHeight="1" x14ac:dyDescent="0.15">
      <c r="A12" s="75" t="s">
        <v>206</v>
      </c>
      <c r="B12" s="70" t="s">
        <v>109</v>
      </c>
      <c r="C12" s="70" t="s">
        <v>109</v>
      </c>
      <c r="D12" s="36">
        <v>40</v>
      </c>
      <c r="E12" s="36">
        <v>60</v>
      </c>
      <c r="F12" s="70" t="s">
        <v>109</v>
      </c>
      <c r="G12" s="70" t="s">
        <v>109</v>
      </c>
      <c r="H12" s="70" t="s">
        <v>109</v>
      </c>
      <c r="I12" s="70" t="s">
        <v>109</v>
      </c>
    </row>
    <row r="13" spans="1:9" ht="21" customHeight="1" x14ac:dyDescent="0.15">
      <c r="A13" s="104" t="s">
        <v>246</v>
      </c>
      <c r="B13" s="70" t="s">
        <v>109</v>
      </c>
      <c r="C13" s="70" t="s">
        <v>109</v>
      </c>
      <c r="D13" s="36">
        <v>40</v>
      </c>
      <c r="E13" s="36">
        <v>60</v>
      </c>
      <c r="F13" s="36">
        <v>80</v>
      </c>
      <c r="G13" s="70" t="s">
        <v>109</v>
      </c>
      <c r="H13" s="70" t="s">
        <v>109</v>
      </c>
      <c r="I13" s="70" t="s">
        <v>109</v>
      </c>
    </row>
    <row r="14" spans="1:9" ht="21" customHeight="1" x14ac:dyDescent="0.15">
      <c r="A14" s="75" t="s">
        <v>247</v>
      </c>
      <c r="B14" s="70" t="s">
        <v>109</v>
      </c>
      <c r="C14" s="70" t="s">
        <v>109</v>
      </c>
      <c r="D14" s="36">
        <v>40</v>
      </c>
      <c r="E14" s="36">
        <v>60</v>
      </c>
      <c r="F14" s="36">
        <v>80</v>
      </c>
      <c r="G14" s="70" t="s">
        <v>109</v>
      </c>
      <c r="H14" s="70" t="s">
        <v>109</v>
      </c>
      <c r="I14" s="70" t="s">
        <v>109</v>
      </c>
    </row>
    <row r="15" spans="1:9" ht="21" customHeight="1" x14ac:dyDescent="0.15">
      <c r="A15" s="75" t="s">
        <v>105</v>
      </c>
      <c r="B15" s="70" t="s">
        <v>109</v>
      </c>
      <c r="C15" s="36">
        <v>30</v>
      </c>
      <c r="D15" s="36">
        <v>40</v>
      </c>
      <c r="E15" s="36">
        <v>60</v>
      </c>
      <c r="F15" s="70" t="s">
        <v>109</v>
      </c>
      <c r="G15" s="70" t="s">
        <v>109</v>
      </c>
      <c r="H15" s="70" t="s">
        <v>109</v>
      </c>
      <c r="I15" s="70" t="s">
        <v>109</v>
      </c>
    </row>
    <row r="16" spans="1:9" ht="21" customHeight="1" x14ac:dyDescent="0.15">
      <c r="A16" s="75" t="s">
        <v>249</v>
      </c>
      <c r="B16" s="70" t="s">
        <v>109</v>
      </c>
      <c r="C16" s="36">
        <v>30</v>
      </c>
      <c r="D16" s="36">
        <v>40</v>
      </c>
      <c r="E16" s="36">
        <v>60</v>
      </c>
      <c r="F16" s="70" t="s">
        <v>109</v>
      </c>
      <c r="G16" s="70" t="s">
        <v>109</v>
      </c>
      <c r="H16" s="70" t="s">
        <v>109</v>
      </c>
      <c r="I16" s="70" t="s">
        <v>109</v>
      </c>
    </row>
    <row r="17" spans="1:9" ht="21" customHeight="1" x14ac:dyDescent="0.15">
      <c r="A17" s="75" t="s">
        <v>8</v>
      </c>
      <c r="B17" s="36">
        <v>15</v>
      </c>
      <c r="C17" s="36">
        <v>30</v>
      </c>
      <c r="D17" s="36">
        <v>40</v>
      </c>
      <c r="E17" s="70" t="s">
        <v>109</v>
      </c>
      <c r="F17" s="70" t="s">
        <v>109</v>
      </c>
      <c r="G17" s="70" t="s">
        <v>109</v>
      </c>
      <c r="H17" s="70" t="s">
        <v>109</v>
      </c>
      <c r="I17" s="70" t="s">
        <v>109</v>
      </c>
    </row>
    <row r="18" spans="1:9" ht="21" customHeight="1" x14ac:dyDescent="0.15">
      <c r="A18" s="76" t="s">
        <v>7</v>
      </c>
      <c r="B18" s="36">
        <v>15</v>
      </c>
      <c r="C18" s="36">
        <v>30</v>
      </c>
      <c r="D18" s="36">
        <v>40</v>
      </c>
      <c r="E18" s="70" t="s">
        <v>216</v>
      </c>
      <c r="F18" s="70" t="s">
        <v>216</v>
      </c>
      <c r="G18" s="70" t="s">
        <v>216</v>
      </c>
      <c r="H18" s="70" t="s">
        <v>216</v>
      </c>
      <c r="I18" s="70" t="s">
        <v>216</v>
      </c>
    </row>
    <row r="19" spans="1:9" ht="21" customHeight="1" x14ac:dyDescent="0.15">
      <c r="A19" s="77" t="s">
        <v>250</v>
      </c>
      <c r="B19" s="36">
        <v>10</v>
      </c>
      <c r="C19" s="36">
        <v>20</v>
      </c>
      <c r="D19" s="70" t="s">
        <v>216</v>
      </c>
      <c r="E19" s="70" t="s">
        <v>216</v>
      </c>
      <c r="F19" s="70" t="s">
        <v>216</v>
      </c>
      <c r="G19" s="70" t="s">
        <v>216</v>
      </c>
      <c r="H19" s="70" t="s">
        <v>216</v>
      </c>
      <c r="I19" s="70" t="s">
        <v>216</v>
      </c>
    </row>
    <row r="20" spans="1:9" ht="21" customHeight="1" x14ac:dyDescent="0.15">
      <c r="A20" s="37" t="s">
        <v>251</v>
      </c>
      <c r="B20" s="36">
        <v>1</v>
      </c>
      <c r="C20" s="36">
        <v>1</v>
      </c>
      <c r="D20" s="36">
        <v>1</v>
      </c>
      <c r="E20" s="36">
        <v>1</v>
      </c>
      <c r="F20" s="36">
        <v>1</v>
      </c>
      <c r="G20" s="36">
        <v>1</v>
      </c>
      <c r="H20" s="36">
        <v>1</v>
      </c>
      <c r="I20"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1"/>
  <sheetViews>
    <sheetView showGridLines="0" workbookViewId="0">
      <selection activeCell="H23" sqref="H23"/>
    </sheetView>
  </sheetViews>
  <sheetFormatPr baseColWidth="12" defaultColWidth="13" defaultRowHeight="21" customHeight="1" x14ac:dyDescent="0.15"/>
  <cols>
    <col min="1" max="16384" width="13" style="23"/>
  </cols>
  <sheetData>
    <row r="1" spans="1:11" ht="21" customHeight="1" x14ac:dyDescent="0.15">
      <c r="A1" s="48" t="s">
        <v>10</v>
      </c>
      <c r="B1" s="49">
        <v>1</v>
      </c>
      <c r="C1" s="49">
        <v>2</v>
      </c>
      <c r="D1" s="49">
        <v>3</v>
      </c>
      <c r="E1" s="49">
        <v>4</v>
      </c>
      <c r="F1" s="49">
        <v>5</v>
      </c>
      <c r="G1" s="49">
        <v>6</v>
      </c>
      <c r="H1" s="49">
        <v>7</v>
      </c>
      <c r="I1" s="49">
        <v>8</v>
      </c>
    </row>
    <row r="2" spans="1:11" s="4" customFormat="1" ht="21" customHeight="1" x14ac:dyDescent="0.15">
      <c r="A2" s="145" t="s">
        <v>235</v>
      </c>
      <c r="B2" s="146"/>
      <c r="C2" s="147"/>
      <c r="D2" s="155" t="s">
        <v>109</v>
      </c>
      <c r="E2" s="156" t="s">
        <v>59</v>
      </c>
      <c r="F2" s="156" t="s">
        <v>59</v>
      </c>
      <c r="G2" s="156" t="s">
        <v>252</v>
      </c>
      <c r="H2" s="147"/>
      <c r="I2" s="147"/>
    </row>
    <row r="3" spans="1:11" s="4" customFormat="1" ht="21" customHeight="1" x14ac:dyDescent="0.15">
      <c r="A3" s="145" t="s">
        <v>237</v>
      </c>
      <c r="B3" s="149"/>
      <c r="C3" s="150"/>
      <c r="D3" s="156" t="s">
        <v>59</v>
      </c>
      <c r="E3" s="156" t="s">
        <v>59</v>
      </c>
      <c r="F3" s="156" t="s">
        <v>59</v>
      </c>
      <c r="G3" s="156" t="s">
        <v>230</v>
      </c>
      <c r="H3" s="150"/>
      <c r="I3" s="150"/>
    </row>
    <row r="4" spans="1:11" s="4" customFormat="1" ht="21" customHeight="1" x14ac:dyDescent="0.15">
      <c r="A4" s="145" t="s">
        <v>231</v>
      </c>
      <c r="B4" s="152"/>
      <c r="C4" s="153"/>
      <c r="D4" s="157" t="s">
        <v>59</v>
      </c>
      <c r="E4" s="157" t="s">
        <v>59</v>
      </c>
      <c r="F4" s="157" t="s">
        <v>59</v>
      </c>
      <c r="G4" s="156" t="s">
        <v>230</v>
      </c>
      <c r="H4" s="153"/>
      <c r="I4" s="153"/>
    </row>
    <row r="5" spans="1:11" s="4" customFormat="1" ht="21" customHeight="1" x14ac:dyDescent="0.15">
      <c r="A5" s="164" t="s">
        <v>239</v>
      </c>
      <c r="B5" s="159"/>
      <c r="C5" s="160"/>
      <c r="D5" s="157" t="s">
        <v>59</v>
      </c>
      <c r="E5" s="157" t="s">
        <v>59</v>
      </c>
      <c r="F5" s="157" t="s">
        <v>59</v>
      </c>
      <c r="G5" s="156" t="s">
        <v>220</v>
      </c>
      <c r="H5" s="160"/>
      <c r="I5" s="160"/>
    </row>
    <row r="6" spans="1:11" s="4" customFormat="1" ht="21" customHeight="1" x14ac:dyDescent="0.15">
      <c r="A6" s="164" t="s">
        <v>240</v>
      </c>
      <c r="B6" s="159"/>
      <c r="C6" s="160"/>
      <c r="D6" s="165" t="s">
        <v>60</v>
      </c>
      <c r="E6" s="165" t="s">
        <v>60</v>
      </c>
      <c r="F6" s="155" t="s">
        <v>109</v>
      </c>
      <c r="G6" s="155" t="s">
        <v>109</v>
      </c>
      <c r="H6" s="160"/>
      <c r="I6" s="160"/>
    </row>
    <row r="7" spans="1:11" ht="21" customHeight="1" x14ac:dyDescent="0.15">
      <c r="A7" s="73" t="s">
        <v>207</v>
      </c>
      <c r="B7" s="39" t="s">
        <v>109</v>
      </c>
      <c r="C7" s="39" t="s">
        <v>109</v>
      </c>
      <c r="D7" s="39" t="s">
        <v>109</v>
      </c>
      <c r="E7" s="39" t="s">
        <v>109</v>
      </c>
      <c r="F7" s="39" t="s">
        <v>109</v>
      </c>
      <c r="G7" s="39" t="s">
        <v>109</v>
      </c>
      <c r="H7" s="39" t="s">
        <v>109</v>
      </c>
      <c r="I7" s="39" t="s">
        <v>109</v>
      </c>
    </row>
    <row r="8" spans="1:11" ht="21" customHeight="1" x14ac:dyDescent="0.15">
      <c r="A8" s="74" t="s">
        <v>242</v>
      </c>
      <c r="B8" s="39" t="s">
        <v>109</v>
      </c>
      <c r="C8" s="39" t="s">
        <v>109</v>
      </c>
      <c r="D8" s="39" t="s">
        <v>217</v>
      </c>
      <c r="E8" s="51" t="s">
        <v>115</v>
      </c>
      <c r="F8" s="51" t="s">
        <v>115</v>
      </c>
      <c r="G8" s="51" t="s">
        <v>218</v>
      </c>
      <c r="H8" s="39" t="s">
        <v>217</v>
      </c>
      <c r="I8" s="39" t="s">
        <v>109</v>
      </c>
    </row>
    <row r="9" spans="1:11" s="45" customFormat="1" ht="21" customHeight="1" x14ac:dyDescent="0.15">
      <c r="A9" s="75" t="s">
        <v>243</v>
      </c>
      <c r="B9" s="65" t="s">
        <v>109</v>
      </c>
      <c r="C9" s="65" t="s">
        <v>109</v>
      </c>
      <c r="D9" s="65" t="s">
        <v>109</v>
      </c>
      <c r="E9" s="51" t="s">
        <v>59</v>
      </c>
      <c r="F9" s="51" t="s">
        <v>59</v>
      </c>
      <c r="G9" s="51" t="s">
        <v>115</v>
      </c>
      <c r="H9" s="65" t="s">
        <v>219</v>
      </c>
      <c r="I9" s="65" t="s">
        <v>219</v>
      </c>
    </row>
    <row r="10" spans="1:11" ht="21" customHeight="1" x14ac:dyDescent="0.15">
      <c r="A10" s="75" t="s">
        <v>9</v>
      </c>
      <c r="B10" s="70" t="s">
        <v>109</v>
      </c>
      <c r="C10" s="70" t="s">
        <v>109</v>
      </c>
      <c r="D10" s="51" t="s">
        <v>59</v>
      </c>
      <c r="E10" s="51" t="s">
        <v>59</v>
      </c>
      <c r="F10" s="51" t="s">
        <v>59</v>
      </c>
      <c r="G10" s="51" t="s">
        <v>220</v>
      </c>
      <c r="H10" s="70" t="s">
        <v>219</v>
      </c>
      <c r="I10" s="70" t="s">
        <v>219</v>
      </c>
      <c r="K10" s="27" t="s">
        <v>12</v>
      </c>
    </row>
    <row r="11" spans="1:11" ht="21" customHeight="1" x14ac:dyDescent="0.15">
      <c r="A11" s="75" t="s">
        <v>210</v>
      </c>
      <c r="B11" s="70" t="s">
        <v>109</v>
      </c>
      <c r="C11" s="70" t="s">
        <v>109</v>
      </c>
      <c r="D11" s="52" t="s">
        <v>59</v>
      </c>
      <c r="E11" s="52" t="s">
        <v>59</v>
      </c>
      <c r="F11" s="52" t="s">
        <v>59</v>
      </c>
      <c r="G11" s="51" t="s">
        <v>220</v>
      </c>
      <c r="H11" s="70" t="s">
        <v>219</v>
      </c>
      <c r="I11" s="70" t="s">
        <v>219</v>
      </c>
      <c r="K11" s="29" t="s">
        <v>13</v>
      </c>
    </row>
    <row r="12" spans="1:11" ht="21" customHeight="1" x14ac:dyDescent="0.15">
      <c r="A12" s="75" t="s">
        <v>206</v>
      </c>
      <c r="B12" s="70" t="s">
        <v>109</v>
      </c>
      <c r="C12" s="70" t="s">
        <v>109</v>
      </c>
      <c r="D12" s="53" t="s">
        <v>60</v>
      </c>
      <c r="E12" s="53" t="s">
        <v>60</v>
      </c>
      <c r="F12" s="70" t="s">
        <v>109</v>
      </c>
      <c r="G12" s="70" t="s">
        <v>109</v>
      </c>
      <c r="H12" s="70" t="s">
        <v>109</v>
      </c>
      <c r="I12" s="70" t="s">
        <v>109</v>
      </c>
      <c r="K12" s="71" t="s">
        <v>35</v>
      </c>
    </row>
    <row r="13" spans="1:11" ht="21" customHeight="1" x14ac:dyDescent="0.15">
      <c r="A13" s="104" t="s">
        <v>246</v>
      </c>
      <c r="B13" s="70" t="s">
        <v>109</v>
      </c>
      <c r="C13" s="70" t="s">
        <v>109</v>
      </c>
      <c r="D13" s="54" t="s">
        <v>59</v>
      </c>
      <c r="E13" s="54" t="s">
        <v>59</v>
      </c>
      <c r="F13" s="54" t="s">
        <v>59</v>
      </c>
      <c r="G13" s="70" t="s">
        <v>109</v>
      </c>
      <c r="H13" s="70" t="s">
        <v>109</v>
      </c>
      <c r="I13" s="70" t="s">
        <v>109</v>
      </c>
      <c r="K13" s="72"/>
    </row>
    <row r="14" spans="1:11" ht="21" customHeight="1" x14ac:dyDescent="0.15">
      <c r="A14" s="75" t="s">
        <v>247</v>
      </c>
      <c r="B14" s="70" t="s">
        <v>109</v>
      </c>
      <c r="C14" s="70" t="s">
        <v>109</v>
      </c>
      <c r="D14" s="54" t="s">
        <v>59</v>
      </c>
      <c r="E14" s="54" t="s">
        <v>59</v>
      </c>
      <c r="F14" s="54" t="s">
        <v>59</v>
      </c>
      <c r="G14" s="70" t="s">
        <v>109</v>
      </c>
      <c r="H14" s="70" t="s">
        <v>109</v>
      </c>
      <c r="I14" s="70" t="s">
        <v>109</v>
      </c>
    </row>
    <row r="15" spans="1:11" ht="21" customHeight="1" x14ac:dyDescent="0.15">
      <c r="A15" s="75" t="s">
        <v>105</v>
      </c>
      <c r="B15" s="70" t="s">
        <v>109</v>
      </c>
      <c r="C15" s="70" t="s">
        <v>109</v>
      </c>
      <c r="D15" s="54" t="s">
        <v>60</v>
      </c>
      <c r="E15" s="54" t="s">
        <v>60</v>
      </c>
      <c r="F15" s="70" t="s">
        <v>109</v>
      </c>
      <c r="G15" s="70" t="s">
        <v>109</v>
      </c>
      <c r="H15" s="70" t="s">
        <v>109</v>
      </c>
      <c r="I15" s="70" t="s">
        <v>109</v>
      </c>
    </row>
    <row r="16" spans="1:11" ht="21" customHeight="1" x14ac:dyDescent="0.15">
      <c r="A16" s="75" t="s">
        <v>249</v>
      </c>
      <c r="B16" s="70" t="s">
        <v>109</v>
      </c>
      <c r="C16" s="54" t="s">
        <v>60</v>
      </c>
      <c r="D16" s="54" t="s">
        <v>60</v>
      </c>
      <c r="E16" s="54" t="s">
        <v>60</v>
      </c>
      <c r="F16" s="70" t="s">
        <v>109</v>
      </c>
      <c r="G16" s="70" t="s">
        <v>109</v>
      </c>
      <c r="H16" s="70" t="s">
        <v>109</v>
      </c>
      <c r="I16" s="70" t="s">
        <v>109</v>
      </c>
    </row>
    <row r="17" spans="1:9" ht="21" customHeight="1" x14ac:dyDescent="0.15">
      <c r="A17" s="75" t="s">
        <v>8</v>
      </c>
      <c r="B17" s="55" t="s">
        <v>61</v>
      </c>
      <c r="C17" s="55" t="s">
        <v>61</v>
      </c>
      <c r="D17" s="55" t="s">
        <v>61</v>
      </c>
      <c r="E17" s="70" t="s">
        <v>109</v>
      </c>
      <c r="F17" s="70" t="s">
        <v>109</v>
      </c>
      <c r="G17" s="70" t="s">
        <v>109</v>
      </c>
      <c r="H17" s="70" t="s">
        <v>109</v>
      </c>
      <c r="I17" s="70" t="s">
        <v>109</v>
      </c>
    </row>
    <row r="18" spans="1:9" ht="21" customHeight="1" x14ac:dyDescent="0.15">
      <c r="A18" s="76" t="s">
        <v>7</v>
      </c>
      <c r="B18" s="50" t="s">
        <v>62</v>
      </c>
      <c r="C18" s="50" t="s">
        <v>62</v>
      </c>
      <c r="D18" s="70" t="s">
        <v>109</v>
      </c>
      <c r="E18" s="70" t="s">
        <v>109</v>
      </c>
      <c r="F18" s="70" t="s">
        <v>109</v>
      </c>
      <c r="G18" s="70" t="s">
        <v>109</v>
      </c>
      <c r="H18" s="70" t="s">
        <v>109</v>
      </c>
      <c r="I18" s="70" t="s">
        <v>109</v>
      </c>
    </row>
    <row r="19" spans="1:9" ht="21" customHeight="1" x14ac:dyDescent="0.15">
      <c r="A19" s="77" t="s">
        <v>250</v>
      </c>
      <c r="B19" s="52" t="s">
        <v>63</v>
      </c>
      <c r="C19" s="52" t="s">
        <v>63</v>
      </c>
      <c r="D19" s="70" t="s">
        <v>109</v>
      </c>
      <c r="E19" s="70" t="s">
        <v>109</v>
      </c>
      <c r="F19" s="70" t="s">
        <v>109</v>
      </c>
      <c r="G19" s="70" t="s">
        <v>109</v>
      </c>
      <c r="H19" s="70" t="s">
        <v>109</v>
      </c>
      <c r="I19" s="70" t="s">
        <v>109</v>
      </c>
    </row>
    <row r="20" spans="1:9" ht="21" customHeight="1" x14ac:dyDescent="0.15">
      <c r="A20" s="37" t="s">
        <v>251</v>
      </c>
      <c r="B20" s="78" t="s">
        <v>47</v>
      </c>
      <c r="C20" s="78" t="s">
        <v>47</v>
      </c>
      <c r="D20" s="78" t="s">
        <v>47</v>
      </c>
      <c r="E20" s="78" t="s">
        <v>47</v>
      </c>
      <c r="F20" s="78" t="s">
        <v>47</v>
      </c>
      <c r="G20" s="78" t="s">
        <v>47</v>
      </c>
      <c r="H20" s="78" t="s">
        <v>47</v>
      </c>
      <c r="I20" s="78" t="s">
        <v>47</v>
      </c>
    </row>
    <row r="25" spans="1:9" ht="21" customHeight="1" x14ac:dyDescent="0.15">
      <c r="A25" s="23" t="s">
        <v>14</v>
      </c>
    </row>
    <row r="26" spans="1:9" ht="21" customHeight="1" x14ac:dyDescent="0.15">
      <c r="A26" s="21" t="s">
        <v>64</v>
      </c>
      <c r="B26" s="21" t="s">
        <v>65</v>
      </c>
    </row>
    <row r="27" spans="1:9" ht="21" customHeight="1" x14ac:dyDescent="0.15">
      <c r="A27" s="24">
        <v>1</v>
      </c>
      <c r="B27" s="24">
        <v>200</v>
      </c>
    </row>
    <row r="28" spans="1:9" ht="21" customHeight="1" x14ac:dyDescent="0.15">
      <c r="A28" s="24">
        <v>2</v>
      </c>
      <c r="B28" s="24">
        <v>600</v>
      </c>
    </row>
    <row r="29" spans="1:9" ht="21" customHeight="1" x14ac:dyDescent="0.15">
      <c r="A29" s="24">
        <v>3</v>
      </c>
      <c r="B29" s="24">
        <v>1500</v>
      </c>
    </row>
    <row r="30" spans="1:9" ht="21" customHeight="1" x14ac:dyDescent="0.15">
      <c r="A30" s="24">
        <v>4</v>
      </c>
      <c r="B30" s="24">
        <v>3400</v>
      </c>
    </row>
    <row r="31" spans="1:9" ht="21" customHeight="1" x14ac:dyDescent="0.15">
      <c r="A31" s="24">
        <v>5</v>
      </c>
      <c r="B31" s="24">
        <v>6400</v>
      </c>
    </row>
  </sheetData>
  <sheetProtection selectLockedCells="1" selectUnlockedCells="1"/>
  <phoneticPr fontId="9"/>
  <conditionalFormatting sqref="A34:I65540 J1:IV1 J10:J13 L10:IV13 J14:IV65540 J7:IV7">
    <cfRule type="cellIs" dxfId="22" priority="27" stopIfTrue="1" operator="equal">
      <formula>1</formula>
    </cfRule>
  </conditionalFormatting>
  <conditionalFormatting sqref="A24:B25 A32:B33 C24:I33">
    <cfRule type="cellIs" dxfId="21" priority="26" stopIfTrue="1" operator="equal">
      <formula>1</formula>
    </cfRule>
  </conditionalFormatting>
  <conditionalFormatting sqref="K10:K13">
    <cfRule type="cellIs" dxfId="20" priority="22" stopIfTrue="1" operator="equal">
      <formula>1</formula>
    </cfRule>
  </conditionalFormatting>
  <conditionalFormatting sqref="J8:IV8">
    <cfRule type="cellIs" dxfId="19" priority="21" stopIfTrue="1" operator="equal">
      <formula>1</formula>
    </cfRule>
  </conditionalFormatting>
  <conditionalFormatting sqref="J9:IV9">
    <cfRule type="cellIs" dxfId="18" priority="20" stopIfTrue="1" operator="equal">
      <formula>1</formula>
    </cfRule>
  </conditionalFormatting>
  <conditionalFormatting sqref="G19:I19">
    <cfRule type="cellIs" dxfId="17" priority="12" stopIfTrue="1" operator="equal">
      <formula>1</formula>
    </cfRule>
  </conditionalFormatting>
  <conditionalFormatting sqref="D18:G18 F15:G17 H15:I18">
    <cfRule type="cellIs" dxfId="16" priority="11" stopIfTrue="1" operator="equal">
      <formula>1</formula>
    </cfRule>
  </conditionalFormatting>
  <conditionalFormatting sqref="F17:G17">
    <cfRule type="cellIs" dxfId="15" priority="10" stopIfTrue="1" operator="equal">
      <formula>1</formula>
    </cfRule>
  </conditionalFormatting>
  <conditionalFormatting sqref="A20">
    <cfRule type="cellIs" dxfId="14" priority="9" stopIfTrue="1" operator="equal">
      <formula>1</formula>
    </cfRule>
  </conditionalFormatting>
  <conditionalFormatting sqref="G12:I14 H10:I11">
    <cfRule type="cellIs" dxfId="13" priority="8" stopIfTrue="1" operator="equal">
      <formula>1</formula>
    </cfRule>
  </conditionalFormatting>
  <conditionalFormatting sqref="B10:C15">
    <cfRule type="cellIs" dxfId="12" priority="7" stopIfTrue="1" operator="equal">
      <formula>1</formula>
    </cfRule>
  </conditionalFormatting>
  <conditionalFormatting sqref="B16">
    <cfRule type="cellIs" dxfId="11" priority="6" stopIfTrue="1" operator="equal">
      <formula>1</formula>
    </cfRule>
  </conditionalFormatting>
  <conditionalFormatting sqref="E17">
    <cfRule type="cellIs" dxfId="10" priority="5" stopIfTrue="1" operator="equal">
      <formula>1</formula>
    </cfRule>
  </conditionalFormatting>
  <conditionalFormatting sqref="F12">
    <cfRule type="cellIs" dxfId="9" priority="4" stopIfTrue="1" operator="equal">
      <formula>1</formula>
    </cfRule>
  </conditionalFormatting>
  <conditionalFormatting sqref="J2:IV6">
    <cfRule type="cellIs" dxfId="8" priority="3" stopIfTrue="1" operator="equal">
      <formula>1</formula>
    </cfRule>
  </conditionalFormatting>
  <conditionalFormatting sqref="G6">
    <cfRule type="cellIs" dxfId="7" priority="2" stopIfTrue="1" operator="equal">
      <formula>1</formula>
    </cfRule>
  </conditionalFormatting>
  <conditionalFormatting sqref="F6">
    <cfRule type="cellIs" dxfId="6"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0"/>
  <sheetViews>
    <sheetView showGridLines="0" workbookViewId="0">
      <selection activeCell="D20" sqref="D20"/>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5" t="s">
        <v>228</v>
      </c>
      <c r="B2" s="146"/>
      <c r="C2" s="147"/>
      <c r="D2" s="158" t="s">
        <v>11</v>
      </c>
      <c r="E2" s="158">
        <v>8000</v>
      </c>
      <c r="F2" s="158">
        <v>10000</v>
      </c>
      <c r="G2" s="158">
        <v>14000</v>
      </c>
      <c r="H2" s="147"/>
      <c r="I2" s="147"/>
    </row>
    <row r="3" spans="1:9" s="4" customFormat="1" ht="21" customHeight="1" x14ac:dyDescent="0.15">
      <c r="A3" s="145" t="s">
        <v>229</v>
      </c>
      <c r="B3" s="149"/>
      <c r="C3" s="150"/>
      <c r="D3" s="158" t="s">
        <v>11</v>
      </c>
      <c r="E3" s="158">
        <v>7500</v>
      </c>
      <c r="F3" s="158">
        <v>9500</v>
      </c>
      <c r="G3" s="158">
        <v>13000</v>
      </c>
      <c r="H3" s="150"/>
      <c r="I3" s="150"/>
    </row>
    <row r="4" spans="1:9" s="4" customFormat="1" ht="21" customHeight="1" x14ac:dyDescent="0.15">
      <c r="A4" s="145" t="s">
        <v>231</v>
      </c>
      <c r="B4" s="152"/>
      <c r="C4" s="153"/>
      <c r="D4" s="158">
        <v>5000</v>
      </c>
      <c r="E4" s="158">
        <v>7000</v>
      </c>
      <c r="F4" s="158">
        <v>9000</v>
      </c>
      <c r="G4" s="158">
        <v>12000</v>
      </c>
      <c r="H4" s="153"/>
      <c r="I4" s="153"/>
    </row>
    <row r="5" spans="1:9" s="4" customFormat="1" ht="21" customHeight="1" x14ac:dyDescent="0.15">
      <c r="A5" s="164" t="s">
        <v>232</v>
      </c>
      <c r="B5" s="159"/>
      <c r="C5" s="160"/>
      <c r="D5" s="158">
        <v>4900</v>
      </c>
      <c r="E5" s="158">
        <v>6700</v>
      </c>
      <c r="F5" s="158">
        <v>8500</v>
      </c>
      <c r="G5" s="158">
        <v>11000</v>
      </c>
      <c r="H5" s="160"/>
      <c r="I5" s="160"/>
    </row>
    <row r="6" spans="1:9" s="4" customFormat="1" ht="21" customHeight="1" x14ac:dyDescent="0.15">
      <c r="A6" s="164" t="s">
        <v>233</v>
      </c>
      <c r="B6" s="159"/>
      <c r="C6" s="160"/>
      <c r="D6" s="158">
        <v>4800</v>
      </c>
      <c r="E6" s="158">
        <v>6600</v>
      </c>
      <c r="F6" s="158" t="s">
        <v>11</v>
      </c>
      <c r="G6" s="158" t="s">
        <v>11</v>
      </c>
      <c r="H6" s="160"/>
      <c r="I6" s="160"/>
    </row>
    <row r="7" spans="1:9" ht="21" customHeight="1" x14ac:dyDescent="0.15">
      <c r="A7" s="73" t="s">
        <v>207</v>
      </c>
      <c r="B7" s="46" t="s">
        <v>11</v>
      </c>
      <c r="C7" s="46" t="s">
        <v>11</v>
      </c>
      <c r="D7" s="46" t="s">
        <v>11</v>
      </c>
      <c r="E7" s="46" t="s">
        <v>11</v>
      </c>
      <c r="F7" s="46" t="s">
        <v>11</v>
      </c>
      <c r="G7" s="46" t="s">
        <v>11</v>
      </c>
      <c r="H7" s="46" t="s">
        <v>11</v>
      </c>
      <c r="I7" s="46" t="s">
        <v>11</v>
      </c>
    </row>
    <row r="8" spans="1:9" ht="21" customHeight="1" x14ac:dyDescent="0.15">
      <c r="A8" s="74" t="s">
        <v>208</v>
      </c>
      <c r="B8" s="46" t="s">
        <v>11</v>
      </c>
      <c r="C8" s="46" t="s">
        <v>11</v>
      </c>
      <c r="D8" s="46" t="s">
        <v>11</v>
      </c>
      <c r="E8" s="46">
        <v>8000</v>
      </c>
      <c r="F8" s="28">
        <v>10000</v>
      </c>
      <c r="G8" s="46">
        <v>14000</v>
      </c>
      <c r="H8" s="46" t="s">
        <v>11</v>
      </c>
      <c r="I8" s="46" t="s">
        <v>11</v>
      </c>
    </row>
    <row r="9" spans="1:9" s="45" customFormat="1" ht="21" customHeight="1" x14ac:dyDescent="0.15">
      <c r="A9" s="75" t="s">
        <v>209</v>
      </c>
      <c r="B9" s="28" t="s">
        <v>11</v>
      </c>
      <c r="C9" s="28" t="s">
        <v>11</v>
      </c>
      <c r="D9" s="28" t="s">
        <v>11</v>
      </c>
      <c r="E9" s="28">
        <v>7500</v>
      </c>
      <c r="F9" s="28">
        <v>9500</v>
      </c>
      <c r="G9" s="46">
        <v>13000</v>
      </c>
      <c r="H9" s="28" t="s">
        <v>11</v>
      </c>
      <c r="I9" s="28" t="s">
        <v>11</v>
      </c>
    </row>
    <row r="10" spans="1:9" ht="21" customHeight="1" x14ac:dyDescent="0.15">
      <c r="A10" s="75" t="s">
        <v>9</v>
      </c>
      <c r="B10" s="68" t="s">
        <v>11</v>
      </c>
      <c r="C10" s="68" t="s">
        <v>11</v>
      </c>
      <c r="D10" s="28">
        <v>5000</v>
      </c>
      <c r="E10" s="28">
        <v>7000</v>
      </c>
      <c r="F10" s="28">
        <v>9000</v>
      </c>
      <c r="G10" s="46">
        <v>12000</v>
      </c>
      <c r="H10" s="68" t="s">
        <v>11</v>
      </c>
      <c r="I10" s="68" t="s">
        <v>11</v>
      </c>
    </row>
    <row r="11" spans="1:9" ht="21" customHeight="1" x14ac:dyDescent="0.15">
      <c r="A11" s="75" t="s">
        <v>210</v>
      </c>
      <c r="B11" s="68" t="s">
        <v>11</v>
      </c>
      <c r="C11" s="68" t="s">
        <v>11</v>
      </c>
      <c r="D11" s="28">
        <v>4900</v>
      </c>
      <c r="E11" s="28">
        <v>6700</v>
      </c>
      <c r="F11" s="28">
        <v>8500</v>
      </c>
      <c r="G11" s="46">
        <v>11000</v>
      </c>
      <c r="H11" s="68" t="s">
        <v>11</v>
      </c>
      <c r="I11" s="68" t="s">
        <v>11</v>
      </c>
    </row>
    <row r="12" spans="1:9" ht="21" customHeight="1" x14ac:dyDescent="0.15">
      <c r="A12" s="75" t="s">
        <v>106</v>
      </c>
      <c r="B12" s="68" t="s">
        <v>11</v>
      </c>
      <c r="C12" s="68" t="s">
        <v>11</v>
      </c>
      <c r="D12" s="28">
        <v>4800</v>
      </c>
      <c r="E12" s="28">
        <v>6600</v>
      </c>
      <c r="F12" s="68" t="s">
        <v>11</v>
      </c>
      <c r="G12" s="68" t="s">
        <v>11</v>
      </c>
      <c r="H12" s="68" t="s">
        <v>11</v>
      </c>
      <c r="I12" s="68" t="s">
        <v>11</v>
      </c>
    </row>
    <row r="13" spans="1:9" ht="21" customHeight="1" x14ac:dyDescent="0.15">
      <c r="A13" s="75" t="s">
        <v>211</v>
      </c>
      <c r="B13" s="68" t="s">
        <v>11</v>
      </c>
      <c r="C13" s="68" t="s">
        <v>11</v>
      </c>
      <c r="D13" s="68" t="s">
        <v>11</v>
      </c>
      <c r="E13" s="28">
        <v>6300</v>
      </c>
      <c r="F13" s="68" t="s">
        <v>11</v>
      </c>
      <c r="G13" s="68" t="s">
        <v>11</v>
      </c>
      <c r="H13" s="68" t="s">
        <v>11</v>
      </c>
      <c r="I13" s="68" t="s">
        <v>11</v>
      </c>
    </row>
    <row r="14" spans="1:9" ht="21" customHeight="1" x14ac:dyDescent="0.15">
      <c r="A14" s="75" t="s">
        <v>212</v>
      </c>
      <c r="B14" s="68" t="s">
        <v>11</v>
      </c>
      <c r="C14" s="68" t="s">
        <v>11</v>
      </c>
      <c r="D14" s="28">
        <v>4600</v>
      </c>
      <c r="E14" s="28">
        <v>5800</v>
      </c>
      <c r="F14" s="28">
        <v>7600</v>
      </c>
      <c r="G14" s="68" t="s">
        <v>11</v>
      </c>
      <c r="H14" s="68" t="s">
        <v>11</v>
      </c>
      <c r="I14" s="68" t="s">
        <v>11</v>
      </c>
    </row>
    <row r="15" spans="1:9" ht="21" customHeight="1" x14ac:dyDescent="0.15">
      <c r="A15" s="75" t="s">
        <v>105</v>
      </c>
      <c r="B15" s="68" t="s">
        <v>11</v>
      </c>
      <c r="C15" s="68" t="s">
        <v>11</v>
      </c>
      <c r="D15" s="28">
        <v>4400</v>
      </c>
      <c r="E15" s="28">
        <v>5600</v>
      </c>
      <c r="F15" s="68" t="s">
        <v>11</v>
      </c>
      <c r="G15" s="68" t="s">
        <v>11</v>
      </c>
      <c r="H15" s="68" t="s">
        <v>11</v>
      </c>
      <c r="I15" s="68" t="s">
        <v>11</v>
      </c>
    </row>
    <row r="16" spans="1:9" ht="21" customHeight="1" x14ac:dyDescent="0.15">
      <c r="A16" s="75" t="s">
        <v>213</v>
      </c>
      <c r="B16" s="68" t="s">
        <v>11</v>
      </c>
      <c r="C16" s="28">
        <v>3000</v>
      </c>
      <c r="D16" s="28">
        <v>4200</v>
      </c>
      <c r="E16" s="28">
        <v>5400</v>
      </c>
      <c r="F16" s="68" t="s">
        <v>11</v>
      </c>
      <c r="G16" s="68" t="s">
        <v>11</v>
      </c>
      <c r="H16" s="68" t="s">
        <v>11</v>
      </c>
      <c r="I16" s="68" t="s">
        <v>11</v>
      </c>
    </row>
    <row r="17" spans="1:9" ht="21" customHeight="1" x14ac:dyDescent="0.15">
      <c r="A17" s="75" t="s">
        <v>8</v>
      </c>
      <c r="B17" s="28">
        <v>2000</v>
      </c>
      <c r="C17" s="28">
        <v>2800</v>
      </c>
      <c r="D17" s="28">
        <v>4000</v>
      </c>
      <c r="E17" s="68" t="s">
        <v>11</v>
      </c>
      <c r="F17" s="68" t="s">
        <v>11</v>
      </c>
      <c r="G17" s="68" t="s">
        <v>11</v>
      </c>
      <c r="H17" s="68" t="s">
        <v>11</v>
      </c>
      <c r="I17" s="68" t="s">
        <v>11</v>
      </c>
    </row>
    <row r="18" spans="1:9" ht="21" customHeight="1" x14ac:dyDescent="0.15">
      <c r="A18" s="76" t="s">
        <v>7</v>
      </c>
      <c r="B18" s="28">
        <v>1750</v>
      </c>
      <c r="C18" s="28">
        <v>2550</v>
      </c>
      <c r="D18" s="68" t="s">
        <v>11</v>
      </c>
      <c r="E18" s="68" t="s">
        <v>11</v>
      </c>
      <c r="F18" s="68" t="s">
        <v>11</v>
      </c>
      <c r="G18" s="68" t="s">
        <v>11</v>
      </c>
      <c r="H18" s="68" t="s">
        <v>11</v>
      </c>
      <c r="I18" s="68" t="s">
        <v>11</v>
      </c>
    </row>
    <row r="19" spans="1:9" ht="21" customHeight="1" x14ac:dyDescent="0.15">
      <c r="A19" s="76" t="s">
        <v>214</v>
      </c>
      <c r="B19" s="28">
        <v>1500</v>
      </c>
      <c r="C19" s="28">
        <v>2300</v>
      </c>
      <c r="D19" s="68" t="s">
        <v>11</v>
      </c>
      <c r="E19" s="68" t="s">
        <v>11</v>
      </c>
      <c r="F19" s="68" t="s">
        <v>11</v>
      </c>
      <c r="G19" s="68" t="s">
        <v>11</v>
      </c>
      <c r="H19" s="68" t="s">
        <v>11</v>
      </c>
      <c r="I19" s="68" t="s">
        <v>11</v>
      </c>
    </row>
    <row r="20" spans="1:9" ht="21" customHeight="1" x14ac:dyDescent="0.15">
      <c r="A20" s="37" t="s">
        <v>215</v>
      </c>
      <c r="B20" s="36">
        <v>1000</v>
      </c>
      <c r="C20" s="36">
        <v>1000</v>
      </c>
      <c r="D20" s="36">
        <v>1000</v>
      </c>
      <c r="E20" s="36">
        <v>1000</v>
      </c>
      <c r="F20" s="36">
        <v>1000</v>
      </c>
      <c r="G20" s="36">
        <v>1000</v>
      </c>
      <c r="H20" s="36">
        <v>1000</v>
      </c>
      <c r="I20" s="36">
        <v>1000</v>
      </c>
    </row>
  </sheetData>
  <sheetProtection selectLockedCells="1" selectUnlockedCells="1"/>
  <phoneticPr fontId="9"/>
  <conditionalFormatting sqref="L22:R65541 J1:IU1 L7:R19 S7:IU1048576 J7:K1048576">
    <cfRule type="cellIs" dxfId="5" priority="7" stopIfTrue="1" operator="equal">
      <formula>1</formula>
    </cfRule>
  </conditionalFormatting>
  <conditionalFormatting sqref="A21:I65541">
    <cfRule type="cellIs" dxfId="4" priority="8" stopIfTrue="1" operator="equal">
      <formula>1</formula>
    </cfRule>
  </conditionalFormatting>
  <conditionalFormatting sqref="A20:I20">
    <cfRule type="cellIs" dxfId="3" priority="5" stopIfTrue="1" operator="equal">
      <formula>1</formula>
    </cfRule>
  </conditionalFormatting>
  <conditionalFormatting sqref="J2:IV4">
    <cfRule type="cellIs" dxfId="2" priority="4" stopIfTrue="1" operator="equal">
      <formula>1</formula>
    </cfRule>
  </conditionalFormatting>
  <conditionalFormatting sqref="J5:IV6">
    <cfRule type="cellIs" dxfId="1" priority="3"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2">
        <v>591</v>
      </c>
    </row>
    <row r="3" spans="1:4" x14ac:dyDescent="0.15">
      <c r="A3" t="s">
        <v>200</v>
      </c>
      <c r="B3" s="132">
        <v>592</v>
      </c>
    </row>
    <row r="4" spans="1:4" x14ac:dyDescent="0.15">
      <c r="A4" t="s">
        <v>201</v>
      </c>
      <c r="B4" s="132">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IFERROR(VLOOKUP($B$3,awake_materials!A:M,2),"なし")</f>
        <v>なし</v>
      </c>
    </row>
    <row r="50" spans="1:1" x14ac:dyDescent="0.15">
      <c r="A50" t="str">
        <f>IFERROR(VLOOKUP($B$3,awake_materials!A:M,2),"なし")</f>
        <v>なし</v>
      </c>
    </row>
    <row r="51" spans="1:1" x14ac:dyDescent="0.15">
      <c r="A51" t="str">
        <f>IFERROR(VLOOKUP($B$3,awake_materials!A:M,2),"なし")</f>
        <v>なし</v>
      </c>
    </row>
    <row r="52" spans="1:1" x14ac:dyDescent="0.15">
      <c r="A52" t="str">
        <f>IFERROR(VLOOKUP($B$3,awake_materials!A:M,2),"なし")</f>
        <v>なし</v>
      </c>
    </row>
    <row r="53" spans="1:1" x14ac:dyDescent="0.15">
      <c r="A53" t="str">
        <f>IFERROR(VLOOKUP($B$3,awake_materials!A:M,2),"なし")</f>
        <v>なし</v>
      </c>
    </row>
    <row r="55" spans="1:1" x14ac:dyDescent="0.15">
      <c r="A55" s="144"/>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16</vt:i4>
      </vt:variant>
    </vt:vector>
  </HeadingPairs>
  <TitlesOfParts>
    <vt:vector size="16"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2017-06-06T09:50:04Z</dcterms:modified>
</cp:coreProperties>
</file>