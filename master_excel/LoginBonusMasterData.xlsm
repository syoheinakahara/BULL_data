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605" activeTab="2"/>
  </bookViews>
  <sheets>
    <sheet name="output" sheetId="5" r:id="rId1"/>
    <sheet name="daily_login_bonuses" sheetId="1" r:id="rId2"/>
    <sheet name="daily_login_limited_bonuses" sheetId="6" r:id="rId3"/>
  </sheet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5" i="6" l="1"/>
  <c r="J14" i="6"/>
  <c r="J13" i="6"/>
  <c r="J7" i="6"/>
  <c r="J6" i="6"/>
  <c r="J5" i="6"/>
  <c r="J9" i="6"/>
  <c r="J8" i="6"/>
  <c r="J30" i="6"/>
  <c r="J29" i="6"/>
  <c r="J35" i="6"/>
  <c r="J28" i="6"/>
  <c r="J34" i="6"/>
  <c r="J27" i="6"/>
  <c r="J33" i="6"/>
  <c r="J32" i="6"/>
  <c r="J25" i="6"/>
  <c r="J24" i="6"/>
  <c r="J23" i="6"/>
  <c r="J22" i="6"/>
  <c r="J20" i="6"/>
  <c r="J19" i="6"/>
  <c r="J18" i="6"/>
  <c r="J17" i="6"/>
  <c r="J12" i="6"/>
  <c r="J11" i="6"/>
  <c r="J10" i="6"/>
  <c r="J4" i="6"/>
  <c r="J3" i="6"/>
  <c r="E5" i="5"/>
  <c r="E4" i="5"/>
  <c r="J2" i="6"/>
  <c r="G9" i="1"/>
  <c r="G2" i="1"/>
  <c r="I9" i="1"/>
  <c r="G5" i="1"/>
  <c r="I5" i="1"/>
  <c r="G3" i="1"/>
  <c r="G4" i="1"/>
  <c r="I3" i="1"/>
  <c r="I2" i="1"/>
  <c r="G8" i="1"/>
  <c r="I8" i="1"/>
  <c r="G7" i="1"/>
  <c r="I7" i="1"/>
  <c r="I4" i="1"/>
  <c r="I6" i="1"/>
  <c r="E3" i="5"/>
  <c r="E2" i="5"/>
</calcChain>
</file>

<file path=xl/comments1.xml><?xml version="1.0" encoding="utf-8"?>
<comments xmlns="http://schemas.openxmlformats.org/spreadsheetml/2006/main">
  <authors>
    <author>椿秀典</author>
  </authors>
  <commentList>
    <comment ref="H3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'unit','polygon','bit','link'</t>
        </r>
      </text>
    </comment>
    <comment ref="I3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'en','ja','kr','zhHant'</t>
        </r>
      </text>
    </comment>
    <comment ref="J3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タイトル</t>
        </r>
      </text>
    </comment>
    <comment ref="K3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ギフト詳細</t>
        </r>
      </text>
    </comment>
    <comment ref="L3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ダイアログ中の文字列</t>
        </r>
      </text>
    </comment>
    <comment ref="M3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ダイアログ中の文字列</t>
        </r>
      </text>
    </comment>
    <comment ref="H5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'en','ja','kr','zhHant'</t>
        </r>
      </text>
    </comment>
    <comment ref="I5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タイトル</t>
        </r>
      </text>
    </comment>
    <comment ref="J5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ギフト詳細</t>
        </r>
      </text>
    </comment>
    <comment ref="K5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ダイアログ中の文字列</t>
        </r>
      </text>
    </comment>
    <comment ref="L5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ダイアログ中の文字列</t>
        </r>
      </text>
    </comment>
    <comment ref="M5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ダイアログ中の文字列</t>
        </r>
      </text>
    </comment>
  </commentList>
</comments>
</file>

<file path=xl/comments2.xml><?xml version="1.0" encoding="utf-8"?>
<comments xmlns="http://schemas.openxmlformats.org/spreadsheetml/2006/main">
  <authors>
    <author>椿秀典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
設定値</t>
        </r>
        <r>
          <rPr>
            <sz val="9"/>
            <color indexed="81"/>
            <rFont val="ＭＳ Ｐゴシック"/>
            <family val="3"/>
            <charset val="128"/>
          </rPr>
          <t xml:space="preserve">
'unit','polygon','bit','link'</t>
        </r>
      </text>
    </comment>
    <comment ref="C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配布する量(もしくはユニットID)</t>
        </r>
      </text>
    </comment>
    <comment ref="E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配布するユニットの数</t>
        </r>
      </text>
    </comment>
    <comment ref="F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タイトル</t>
        </r>
      </text>
    </comment>
    <comment ref="G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タイトル</t>
        </r>
      </text>
    </comment>
    <comment ref="H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ギフト詳細</t>
        </r>
      </text>
    </comment>
    <comment ref="I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ダイアログ中の文字列</t>
        </r>
      </text>
    </comment>
  </commentList>
</comments>
</file>

<file path=xl/comments3.xml><?xml version="1.0" encoding="utf-8"?>
<comments xmlns="http://schemas.openxmlformats.org/spreadsheetml/2006/main">
  <authors>
    <author>椿秀典</author>
  </authors>
  <commentList>
    <comment ref="C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
設定値</t>
        </r>
        <r>
          <rPr>
            <sz val="9"/>
            <color indexed="81"/>
            <rFont val="ＭＳ Ｐゴシック"/>
            <family val="3"/>
            <charset val="128"/>
          </rPr>
          <t xml:space="preserve">
'unit','polygon','bit','link'</t>
        </r>
      </text>
    </comment>
    <comment ref="D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配布する量(もしくはユニットID)</t>
        </r>
      </text>
    </comment>
    <comment ref="H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配布するユニットの数</t>
        </r>
      </text>
    </comment>
    <comment ref="I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タイトル</t>
        </r>
      </text>
    </comment>
    <comment ref="J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タイトル</t>
        </r>
      </text>
    </comment>
    <comment ref="K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ギフト詳細</t>
        </r>
      </text>
    </comment>
    <comment ref="L1" authorId="0">
      <text>
        <r>
          <rPr>
            <b/>
            <sz val="9"/>
            <color indexed="81"/>
            <rFont val="ＭＳ Ｐゴシック"/>
            <family val="3"/>
            <charset val="128"/>
          </rPr>
          <t>椿秀典:</t>
        </r>
        <r>
          <rPr>
            <sz val="9"/>
            <color indexed="81"/>
            <rFont val="ＭＳ Ｐゴシック"/>
            <family val="3"/>
            <charset val="128"/>
          </rPr>
          <t xml:space="preserve">
ダイアログ中の文字列</t>
        </r>
      </text>
    </comment>
  </commentList>
</comments>
</file>

<file path=xl/sharedStrings.xml><?xml version="1.0" encoding="utf-8"?>
<sst xmlns="http://schemas.openxmlformats.org/spreadsheetml/2006/main" count="349" uniqueCount="111">
  <si>
    <t>polygon</t>
    <phoneticPr fontId="3"/>
  </si>
  <si>
    <t>unit</t>
  </si>
  <si>
    <t>bonus_count</t>
    <phoneticPr fontId="3"/>
  </si>
  <si>
    <t>bonus_value</t>
    <phoneticPr fontId="3"/>
  </si>
  <si>
    <t>bonus_type</t>
    <phoneticPr fontId="3"/>
  </si>
  <si>
    <t>day</t>
    <phoneticPr fontId="3"/>
  </si>
  <si>
    <t>message</t>
    <phoneticPr fontId="3"/>
  </si>
  <si>
    <t>detail</t>
    <phoneticPr fontId="3"/>
  </si>
  <si>
    <t>title</t>
    <phoneticPr fontId="3"/>
  </si>
  <si>
    <t>language</t>
    <phoneticPr fontId="3"/>
  </si>
  <si>
    <t>bonus_type</t>
    <phoneticPr fontId="3"/>
  </si>
  <si>
    <t>day</t>
    <phoneticPr fontId="3"/>
  </si>
  <si>
    <t>NULL</t>
    <phoneticPr fontId="3"/>
  </si>
  <si>
    <t>ログインボーナス報酬</t>
    <rPh sb="8" eb="10">
      <t>ホウシュウ</t>
    </rPh>
    <phoneticPr fontId="3"/>
  </si>
  <si>
    <t>name</t>
    <phoneticPr fontId="3"/>
  </si>
  <si>
    <t>bit</t>
    <phoneticPr fontId="3"/>
  </si>
  <si>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</si>
  <si>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</si>
  <si>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</si>
  <si>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</si>
  <si>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</si>
  <si>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</si>
  <si>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</si>
  <si>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.csv</t>
    <phoneticPr fontId="3"/>
  </si>
  <si>
    <t>daily_login_bonuses</t>
  </si>
  <si>
    <t>daily_login_bonuses_i18n</t>
    <phoneticPr fontId="3"/>
  </si>
  <si>
    <t>language</t>
    <phoneticPr fontId="3"/>
  </si>
  <si>
    <t>ja</t>
    <phoneticPr fontId="3"/>
  </si>
  <si>
    <t>old</t>
    <phoneticPr fontId="3"/>
  </si>
  <si>
    <t>old</t>
    <phoneticPr fontId="3"/>
  </si>
  <si>
    <t>unit</t>
    <phoneticPr fontId="3"/>
  </si>
  <si>
    <t>秘術の果実</t>
    <rPh sb="0" eb="2">
      <t>ヒジュツ</t>
    </rPh>
    <rPh sb="3" eb="5">
      <t>カジツ</t>
    </rPh>
    <phoneticPr fontId="3"/>
  </si>
  <si>
    <t>unit</t>
    <phoneticPr fontId="3"/>
  </si>
  <si>
    <t>メガ癒しの果実</t>
    <rPh sb="2" eb="3">
      <t>イヤシ</t>
    </rPh>
    <rPh sb="5" eb="7">
      <t>カジツ</t>
    </rPh>
    <phoneticPr fontId="3"/>
  </si>
  <si>
    <t>メガ生命の果実</t>
    <rPh sb="5" eb="7">
      <t>カジツ</t>
    </rPh>
    <phoneticPr fontId="3"/>
  </si>
  <si>
    <t>item</t>
    <phoneticPr fontId="3"/>
  </si>
  <si>
    <t>マスターキー</t>
    <phoneticPr fontId="3"/>
  </si>
  <si>
    <t>unit</t>
    <phoneticPr fontId="3"/>
  </si>
  <si>
    <t>メガ攻めの果実</t>
    <rPh sb="2" eb="3">
      <t>セメ</t>
    </rPh>
    <rPh sb="5" eb="7">
      <t>カジツ</t>
    </rPh>
    <phoneticPr fontId="3"/>
  </si>
  <si>
    <t>リトルハンプティ</t>
    <phoneticPr fontId="3"/>
  </si>
  <si>
    <t>ビット</t>
    <phoneticPr fontId="3"/>
  </si>
  <si>
    <t>ポリゴン</t>
    <phoneticPr fontId="3"/>
  </si>
  <si>
    <t>マスターキー × 1</t>
    <phoneticPr fontId="3"/>
  </si>
  <si>
    <t>bonus_type</t>
    <phoneticPr fontId="3"/>
  </si>
  <si>
    <t>daily_login_limited_bonuses</t>
    <phoneticPr fontId="3"/>
  </si>
  <si>
    <t>daily_login_limited_bonuses_i18n</t>
    <phoneticPr fontId="3"/>
  </si>
  <si>
    <t>link</t>
    <phoneticPr fontId="3"/>
  </si>
  <si>
    <t>リンク</t>
    <phoneticPr fontId="3"/>
  </si>
  <si>
    <t>ポリゴン</t>
    <phoneticPr fontId="3"/>
  </si>
  <si>
    <t>bit</t>
  </si>
  <si>
    <t>ビット</t>
  </si>
  <si>
    <t>30日間スペシャルボーナス報酬</t>
    <phoneticPr fontId="3"/>
  </si>
  <si>
    <t>ギガ秘術の果実</t>
    <rPh sb="2" eb="4">
      <t>ヒジュツ</t>
    </rPh>
    <rPh sb="5" eb="7">
      <t>カジツ</t>
    </rPh>
    <phoneticPr fontId="3"/>
  </si>
  <si>
    <t>経験値キー</t>
    <rPh sb="0" eb="2">
      <t>ケイケン</t>
    </rPh>
    <rPh sb="2" eb="3">
      <t>アタイ</t>
    </rPh>
    <phoneticPr fontId="3"/>
  </si>
  <si>
    <t>限界突破キー</t>
    <rPh sb="0" eb="4">
      <t>ゲンカイトッパ</t>
    </rPh>
    <phoneticPr fontId="3"/>
  </si>
  <si>
    <t>限界突破キー × 2</t>
    <rPh sb="0" eb="4">
      <t>ゲンカイトッパ</t>
    </rPh>
    <phoneticPr fontId="3"/>
  </si>
  <si>
    <t>経験値キー × 2</t>
    <rPh sb="0" eb="2">
      <t>ケイケｎ</t>
    </rPh>
    <rPh sb="2" eb="3">
      <t>アタイ</t>
    </rPh>
    <phoneticPr fontId="3"/>
  </si>
  <si>
    <t>マスターキー × 5</t>
    <phoneticPr fontId="3"/>
  </si>
  <si>
    <t>マスターキー × 3</t>
    <phoneticPr fontId="3"/>
  </si>
  <si>
    <t>small_goal</t>
    <phoneticPr fontId="3"/>
  </si>
  <si>
    <t>finish</t>
    <phoneticPr fontId="3"/>
  </si>
  <si>
    <t>daily_login_limited_bonus_id</t>
    <phoneticPr fontId="3"/>
  </si>
  <si>
    <t>30日達成スペシャルチケット</t>
    <rPh sb="2" eb="3">
      <t>ニチ</t>
    </rPh>
    <rPh sb="3" eb="5">
      <t>タッセイ</t>
    </rPh>
    <phoneticPr fontId="3"/>
  </si>
  <si>
    <t>30日達成スペシャルチケット</t>
    <phoneticPr fontId="3"/>
  </si>
  <si>
    <t>30日間スペシャルボーナス報酬で【30日達成スペシャルチケット】をプレゼント！</t>
    <phoneticPr fontId="3"/>
  </si>
  <si>
    <t>30日間スペシャルボーナス報酬で【1000リンク】をプレゼント！　明日もプレイして【メタルジェントルセット】をゲットしよう！</t>
    <rPh sb="33" eb="35">
      <t>アシタモプレイシテ</t>
    </rPh>
    <phoneticPr fontId="3"/>
  </si>
  <si>
    <t>30日間スペシャルボーナス報酬で【炎のメタルジェントル】をプレゼント！　明日もプレイして【リトルハンプティ】をゲットしよう！</t>
    <rPh sb="17" eb="18">
      <t>ホノオノ</t>
    </rPh>
    <rPh sb="36" eb="38">
      <t>アシタモプレイシテ</t>
    </rPh>
    <phoneticPr fontId="3"/>
  </si>
  <si>
    <t>30日間スペシャルボーナス報酬で【森のメタルジェントル】をプレゼント！　明日もプレイして【リトルハンプティ】をゲットしよう！</t>
    <rPh sb="17" eb="18">
      <t>モリ</t>
    </rPh>
    <rPh sb="36" eb="38">
      <t>アシタモプレイシテ</t>
    </rPh>
    <phoneticPr fontId="3"/>
  </si>
  <si>
    <t>30日間スペシャルボーナス報酬で【水のメタルジェントル】をプレゼント！　明日もプレイして【リトルハンプティ】をゲットしよう！</t>
    <rPh sb="17" eb="18">
      <t>ミズ</t>
    </rPh>
    <rPh sb="36" eb="38">
      <t>アシタモプレイシテ</t>
    </rPh>
    <phoneticPr fontId="3"/>
  </si>
  <si>
    <t>30日間スペシャルボーナス報酬で【雷のメタルジェントル】をプレゼント！　明日もプレイして【リトルハンプティ】をゲットしよう！</t>
    <rPh sb="17" eb="18">
      <t>カミナリ</t>
    </rPh>
    <rPh sb="36" eb="38">
      <t>アシタモプレイシテ</t>
    </rPh>
    <phoneticPr fontId="3"/>
  </si>
  <si>
    <t>30日間スペシャルボーナス報酬で【ギガ秘術の果実 × 2】をプレゼント！　明日もプレイして【メタルジェントルセット × 2】をゲットしよう！</t>
    <rPh sb="19" eb="21">
      <t>ヒジュツノ</t>
    </rPh>
    <rPh sb="22" eb="24">
      <t>カジツ</t>
    </rPh>
    <rPh sb="37" eb="39">
      <t>アシタモプレイシテ</t>
    </rPh>
    <phoneticPr fontId="3"/>
  </si>
  <si>
    <t>30日間スペシャルボーナス報酬で【炎のメタルジェントル × 2】をプレゼント！　明日もプレイして【経験値キー × 2】をゲットしよう！</t>
    <rPh sb="17" eb="18">
      <t>ホノオノ</t>
    </rPh>
    <rPh sb="40" eb="42">
      <t>アシタモプレイシテ</t>
    </rPh>
    <rPh sb="49" eb="51">
      <t>ケイケｎ</t>
    </rPh>
    <rPh sb="51" eb="52">
      <t>アタイ</t>
    </rPh>
    <phoneticPr fontId="3"/>
  </si>
  <si>
    <t>30日間スペシャルボーナス報酬で【森のメタルジェントル × 2】をプレゼント！　明日もプレイして【経験値キー × 2】をゲットしよう！</t>
    <rPh sb="17" eb="18">
      <t>モリ</t>
    </rPh>
    <rPh sb="40" eb="42">
      <t>アシタモプレイシテ</t>
    </rPh>
    <phoneticPr fontId="3"/>
  </si>
  <si>
    <t>30日間スペシャルボーナス報酬で【水のメタルジェントル × 2】をプレゼント！　明日もプレイして【経験値キー × 2】をゲットしよう！</t>
    <rPh sb="17" eb="18">
      <t>ミズ</t>
    </rPh>
    <rPh sb="40" eb="42">
      <t>アシタモプレイシテ</t>
    </rPh>
    <phoneticPr fontId="3"/>
  </si>
  <si>
    <t>30日間スペシャルボーナス報酬で【雷のメタルジェントル × 2】をプレゼント！　明日もプレイして【経験値キー × 2】をゲットしよう！</t>
    <rPh sb="17" eb="18">
      <t>カミナリ</t>
    </rPh>
    <rPh sb="40" eb="42">
      <t>アシタモプレイシテ</t>
    </rPh>
    <phoneticPr fontId="3"/>
  </si>
  <si>
    <t>30日間スペシャルボーナス報酬で【300000ビット】をプレゼント！　明日もプレイして【1000リンク】をゲットしよう！</t>
    <rPh sb="35" eb="37">
      <t>アシタモプレイシテ</t>
    </rPh>
    <phoneticPr fontId="3"/>
  </si>
  <si>
    <t>30日間スペシャルボーナス報酬で【リトルハンプティ × 1】をプレゼント！　明日もプレイして【ポリゴン × 5】をゲットしよう！</t>
    <rPh sb="38" eb="40">
      <t>アシタモプレイシテ</t>
    </rPh>
    <phoneticPr fontId="3"/>
  </si>
  <si>
    <t>30日間スペシャルボーナス報酬で【ポリゴン × 5】をプレゼント！　明日もプレイして【500000ビット】をゲットしよう！</t>
    <rPh sb="34" eb="36">
      <t>アシタモプレイシテ</t>
    </rPh>
    <phoneticPr fontId="3"/>
  </si>
  <si>
    <t>30日間スペシャルボーナス報酬で【500000ビット】をプレゼント！　明日もプレイして【ギガ秘術の果実 × 2】をゲットしよう！</t>
    <rPh sb="35" eb="37">
      <t>アシタモプレイシテ</t>
    </rPh>
    <rPh sb="46" eb="48">
      <t>ヒジュツノカジツ</t>
    </rPh>
    <phoneticPr fontId="3"/>
  </si>
  <si>
    <t>30日間スペシャルボーナス報酬で【経験値キー × 2】をプレゼント！　明日もプレイして【ポリゴン × 7】をゲットしよう！</t>
    <rPh sb="17" eb="19">
      <t>ケイケン</t>
    </rPh>
    <rPh sb="19" eb="20">
      <t>アタイ</t>
    </rPh>
    <rPh sb="35" eb="37">
      <t>アシタモプレイシテ</t>
    </rPh>
    <phoneticPr fontId="3"/>
  </si>
  <si>
    <t>30日間スペシャルボーナス報酬で【ポリゴン × 7】をプレゼント！　明日もプレイして【700000ビット】をゲットしよう！</t>
    <rPh sb="34" eb="36">
      <t>アシタモプレイシテ</t>
    </rPh>
    <phoneticPr fontId="3"/>
  </si>
  <si>
    <t>30日間スペシャルボーナス報酬で【700000ビット】をプレゼント！　明日もプレイして【2000リンク】をゲットしよう！</t>
    <rPh sb="35" eb="37">
      <t>アシタモプレイシテ</t>
    </rPh>
    <phoneticPr fontId="3"/>
  </si>
  <si>
    <t>30日間スペシャルボーナス報酬で【2000リンク】をプレゼント！　明日もプレイして【ギガ秘術の果実 × 2】をゲットしよう！</t>
    <rPh sb="33" eb="35">
      <t>アシタモプレイシテ</t>
    </rPh>
    <rPh sb="44" eb="46">
      <t>ヒジュツノカジツ</t>
    </rPh>
    <phoneticPr fontId="3"/>
  </si>
  <si>
    <t>30日間スペシャルボーナス報酬で【ギガ秘術の果実 × 2】をプレゼント！　明日もプレイして【限界突破キー × 2】をゲットしよう！</t>
    <rPh sb="37" eb="39">
      <t>アシタモプレイシテ</t>
    </rPh>
    <rPh sb="46" eb="50">
      <t>ゲンカイトッパ</t>
    </rPh>
    <phoneticPr fontId="3"/>
  </si>
  <si>
    <t>30日間スペシャルボーナス報酬で【限界突破キー × 2】をプレゼント！　明日もプレイして【ポリゴン × 10】をゲットしよう！</t>
    <rPh sb="17" eb="21">
      <t>ゲンカイトッパキー</t>
    </rPh>
    <rPh sb="36" eb="38">
      <t>アシタモプレイシテ</t>
    </rPh>
    <phoneticPr fontId="3"/>
  </si>
  <si>
    <t>30日間スペシャルボーナス報酬で【 ポリゴン× 10】をプレゼント！　明日もプレイして【1000000ビット】をゲットしよう！</t>
    <rPh sb="35" eb="37">
      <t>アシタモプレイシテ</t>
    </rPh>
    <phoneticPr fontId="3"/>
  </si>
  <si>
    <t>30日間スペシャルボーナス報酬で【1000000ビット】をプレゼント！　明日もプレイして【2500リンク】をゲットしよう！</t>
    <rPh sb="36" eb="38">
      <t>アシタモプレイシテ</t>
    </rPh>
    <phoneticPr fontId="3"/>
  </si>
  <si>
    <t>30日間スペシャルボーナス報酬で【2500リンク】をプレゼント！　明日もプレイして【ギガ秘術の果実 × 2】をゲットしよう！</t>
    <rPh sb="33" eb="35">
      <t>アシタモプレイシテ</t>
    </rPh>
    <phoneticPr fontId="3"/>
  </si>
  <si>
    <t>30日間スペシャルボーナス報酬で【ギガ秘術の果実 × 2】をプレゼント！　明日もプレイして【マスターキー × 1】をゲットしよう！</t>
    <rPh sb="37" eb="39">
      <t>アシタモプレイシテ</t>
    </rPh>
    <phoneticPr fontId="3"/>
  </si>
  <si>
    <t>30日間スペシャルボーナス報酬で【マスターキー × 1】をプレゼント！　明日もプレイして【ポリゴン × 15】をゲットしよう！</t>
    <rPh sb="36" eb="38">
      <t>アシタモプレイシテ</t>
    </rPh>
    <phoneticPr fontId="3"/>
  </si>
  <si>
    <t>30日間スペシャルボーナス報酬で【ポリゴン × 15】をプレゼント！　明日もプレイして【1500000ビット】をゲットしよう！</t>
    <rPh sb="35" eb="37">
      <t>アシタモプレイシテ</t>
    </rPh>
    <phoneticPr fontId="3"/>
  </si>
  <si>
    <t>30日間スペシャルボーナス報酬で【1500000ビット】をプレゼント！　明日もプレイして【3000リンク】をゲットしよう！</t>
    <rPh sb="36" eb="38">
      <t>アシタモプレイシテ</t>
    </rPh>
    <phoneticPr fontId="3"/>
  </si>
  <si>
    <t>30日間スペシャルボーナス報酬で【3000リンク】をプレゼント！　明日もプレイして【ギガ秘術の果実 × 2】をゲットしよう！</t>
    <rPh sb="33" eb="35">
      <t>アシタモプレイシテ</t>
    </rPh>
    <rPh sb="47" eb="49">
      <t>カジツ</t>
    </rPh>
    <phoneticPr fontId="3"/>
  </si>
  <si>
    <t>30日間スペシャルボーナス報酬で【ギガ秘術の果実 × 2】をプレゼント！　明日もプレイして【マスターキー × 3】をゲットしよう！</t>
    <rPh sb="22" eb="24">
      <t>カジツ</t>
    </rPh>
    <rPh sb="37" eb="39">
      <t>アシタモプレイシテ</t>
    </rPh>
    <phoneticPr fontId="3"/>
  </si>
  <si>
    <t>30日間スペシャルボーナス報酬で【マスターキー × 3】をプレゼント！　明日もプレイして【ポリゴン × 20】をゲットしよう！</t>
    <rPh sb="36" eb="38">
      <t>アシタモプレイシテ</t>
    </rPh>
    <phoneticPr fontId="3"/>
  </si>
  <si>
    <t>30日間スペシャルボーナス報酬で【ポリゴン × 20】をプレゼント！　明日もプレイして【2000000ビット】 をゲットしよう！</t>
    <rPh sb="35" eb="37">
      <t>アシタモプレイシテ</t>
    </rPh>
    <phoneticPr fontId="3"/>
  </si>
  <si>
    <t>30日間スペシャルボーナス報酬で【2000000ビット】をプレゼント！　明日もプレイして【5000リンク】をゲットしよう！</t>
    <rPh sb="36" eb="38">
      <t>アシタモプレイシテ</t>
    </rPh>
    <phoneticPr fontId="3"/>
  </si>
  <si>
    <t>30日間スペシャルボーナス報酬で【5000リンク】をプレゼント！　明日もプレイして【ギガ秘術の果実 × 2】をゲットしよう！</t>
    <rPh sb="33" eb="35">
      <t>アシタモプレイシテ</t>
    </rPh>
    <phoneticPr fontId="3"/>
  </si>
  <si>
    <t>30日間スペシャルボーナス報酬で【ギガ秘術の果実 × 2】をプレゼント！　明日もプレイして【マスターキー × 5】をゲットしよう！</t>
    <rPh sb="37" eb="39">
      <t>アシタモプレイシテ</t>
    </rPh>
    <phoneticPr fontId="3"/>
  </si>
  <si>
    <t>30日間スペシャルボーナス報酬で【マスターキー × 5】をプレゼント！　明日もプレイして【30日達成スペシャルチケット】をゲットしよう！</t>
    <rPh sb="36" eb="38">
      <t>アシタモプレイシテ</t>
    </rPh>
    <rPh sb="48" eb="50">
      <t>タッセイスペシャルチケット</t>
    </rPh>
    <phoneticPr fontId="3"/>
  </si>
  <si>
    <t>image_filename</t>
    <phoneticPr fontId="3"/>
  </si>
  <si>
    <t>30day_ico_duck.png</t>
    <phoneticPr fontId="3"/>
  </si>
  <si>
    <t>30day_ico_expkey.png</t>
    <phoneticPr fontId="3"/>
  </si>
  <si>
    <t>30day_ico_gh.png</t>
    <phoneticPr fontId="3"/>
  </si>
  <si>
    <t>30day_ico_little.png</t>
    <phoneticPr fontId="3"/>
  </si>
  <si>
    <t>30day_ico_masterkey.png</t>
  </si>
  <si>
    <t>30day_ico_ringokey.png</t>
    <phoneticPr fontId="3"/>
  </si>
  <si>
    <t>30day_ico_ticket.png</t>
    <phoneticPr fontId="3"/>
  </si>
  <si>
    <t>メタルジェントル</t>
    <phoneticPr fontId="3"/>
  </si>
  <si>
    <t>ポリゴン × 5</t>
    <phoneticPr fontId="3"/>
  </si>
  <si>
    <t>30日間スペシャルボーナス報酬で【ポリゴン × 5】をプレゼント！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</si>
</sst>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78">
    <xf numFmtId="0" fontId="0" fillId="0" borderId="0"/>
    <xf numFmtId="38" fontId="2" fillId="0" borderId="0" applyFont="0" applyFill="0" applyBorder="0" applyAlignment="0" applyProtection="0">
      <alignment vertical="center"/>
    </xf>
    <xf numFmtId="0" fontId="2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10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0" borderId="0">
      <alignment vertical="center"/>
    </xf>
    <xf numFmtId="0" fontId="13" fillId="0" borderId="0">
      <alignment vertical="center"/>
    </xf>
    <xf numFmtId="0" fontId="1" fillId="0" borderId="0"/>
    <xf numFmtId="0" fontId="14" fillId="8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8" fillId="5" borderId="1" xfId="0" applyFont="1" applyFill="1" applyBorder="1"/>
    <xf numFmtId="0" fontId="0" fillId="5" borderId="1" xfId="0" applyFill="1" applyBorder="1"/>
    <xf numFmtId="0" fontId="0" fillId="2" borderId="1" xfId="0" applyFont="1" applyFill="1" applyBorder="1"/>
    <xf numFmtId="0" fontId="0" fillId="9" borderId="1" xfId="0" applyFill="1" applyBorder="1"/>
    <xf numFmtId="0" fontId="15" fillId="0" borderId="1" xfId="0" applyFont="1" applyBorder="1"/>
    <xf numFmtId="0" fontId="15" fillId="0" borderId="2" xfId="0" applyFont="1" applyBorder="1"/>
    <xf numFmtId="0" fontId="15" fillId="10" borderId="2" xfId="0" applyFont="1" applyFill="1" applyBorder="1"/>
  </cellXfs>
  <cellStyles count="178">
    <cellStyle name="Excel Built-in Normal" xfId="16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桁区切り 2" xfId="1"/>
    <cellStyle name="標準" xfId="0" builtinId="0"/>
    <cellStyle name="標準 2" xfId="2"/>
    <cellStyle name="標準 2 2" xfId="164"/>
    <cellStyle name="標準 3" xfId="165"/>
    <cellStyle name="標準 4" xfId="166"/>
    <cellStyle name="無題1" xfId="167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赤字強調" xfId="163"/>
    <cellStyle name="青字強調" xfId="162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M5"/>
  <sheetViews>
    <sheetView topLeftCell="C1" workbookViewId="0">
      <selection activeCell="K6" sqref="K6"/>
    </sheetView>
  </sheetViews>
  <sheetFormatPr baseColWidth="12" defaultRowHeight="15" x14ac:dyDescent="0.15"/>
  <cols>
    <col min="2" max="2" width="31.1640625" customWidth="1"/>
    <col min="5" max="5" width="32.5" customWidth="1"/>
    <col min="6" max="6" width="23.1640625" customWidth="1"/>
    <col min="7" max="7" width="23.1640625" bestFit="1" customWidth="1"/>
  </cols>
  <sheetData>
    <row r="1" spans="1:13" x14ac:dyDescent="0.15">
      <c r="A1" s="5" t="s">
        <v>16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  <c r="G1" s="5" t="s">
        <v>22</v>
      </c>
      <c r="H1" s="5"/>
      <c r="I1" s="5"/>
      <c r="J1" s="5"/>
      <c r="K1" s="5"/>
      <c r="L1" s="5"/>
      <c r="M1" s="5"/>
    </row>
    <row r="2" spans="1:13" x14ac:dyDescent="0.15">
      <c r="A2" s="1" t="s">
        <v>28</v>
      </c>
      <c r="B2" s="1" t="s">
        <v>24</v>
      </c>
      <c r="C2" s="1"/>
      <c r="D2" s="1" t="s">
        <v>23</v>
      </c>
      <c r="E2" s="6" t="str">
        <f>B2&amp;C2&amp;D2</f>
        <v>daily_login_bonuses.csv</v>
      </c>
      <c r="F2" s="1" t="s">
        <v>24</v>
      </c>
      <c r="G2" s="7" t="s">
        <v>5</v>
      </c>
      <c r="H2" s="7" t="s">
        <v>4</v>
      </c>
      <c r="I2" s="7" t="s">
        <v>3</v>
      </c>
      <c r="J2" s="7" t="s">
        <v>2</v>
      </c>
      <c r="K2" s="2"/>
      <c r="L2" s="2"/>
      <c r="M2" s="2"/>
    </row>
    <row r="3" spans="1:13" x14ac:dyDescent="0.15">
      <c r="A3" s="1" t="s">
        <v>29</v>
      </c>
      <c r="B3" s="1" t="s">
        <v>25</v>
      </c>
      <c r="C3" s="1"/>
      <c r="D3" s="1" t="s">
        <v>23</v>
      </c>
      <c r="E3" s="6" t="str">
        <f>B3&amp;C3&amp;D3</f>
        <v>daily_login_bonuses_i18n.csv</v>
      </c>
      <c r="F3" s="1" t="s">
        <v>24</v>
      </c>
      <c r="G3" s="7" t="s">
        <v>11</v>
      </c>
      <c r="H3" s="7" t="s">
        <v>10</v>
      </c>
      <c r="I3" s="7" t="s">
        <v>9</v>
      </c>
      <c r="J3" s="7" t="s">
        <v>8</v>
      </c>
      <c r="K3" s="7" t="s">
        <v>7</v>
      </c>
      <c r="L3" s="7" t="s">
        <v>6</v>
      </c>
      <c r="M3" s="7"/>
    </row>
    <row r="4" spans="1:13" x14ac:dyDescent="0.15">
      <c r="A4" s="1" t="s">
        <v>28</v>
      </c>
      <c r="B4" s="1" t="s">
        <v>44</v>
      </c>
      <c r="C4" s="1"/>
      <c r="D4" s="1" t="s">
        <v>23</v>
      </c>
      <c r="E4" s="6" t="str">
        <f>B4&amp;C4&amp;D4</f>
        <v>daily_login_limited_bonuses.csv</v>
      </c>
      <c r="F4" s="1" t="s">
        <v>44</v>
      </c>
      <c r="G4" s="7" t="s">
        <v>61</v>
      </c>
      <c r="H4" s="7" t="s">
        <v>4</v>
      </c>
      <c r="I4" s="7" t="s">
        <v>3</v>
      </c>
      <c r="J4" s="7" t="s">
        <v>2</v>
      </c>
      <c r="K4" s="2" t="s">
        <v>59</v>
      </c>
      <c r="L4" s="2" t="s">
        <v>60</v>
      </c>
      <c r="M4" s="2" t="s">
        <v>5</v>
      </c>
    </row>
    <row r="5" spans="1:13" x14ac:dyDescent="0.15">
      <c r="A5" s="1" t="s">
        <v>28</v>
      </c>
      <c r="B5" s="1" t="s">
        <v>45</v>
      </c>
      <c r="C5" s="1"/>
      <c r="D5" s="1" t="s">
        <v>23</v>
      </c>
      <c r="E5" s="6" t="str">
        <f>B5&amp;C5&amp;D5</f>
        <v>daily_login_limited_bonuses_i18n.csv</v>
      </c>
      <c r="F5" s="1" t="s">
        <v>44</v>
      </c>
      <c r="G5" s="7" t="s">
        <v>61</v>
      </c>
      <c r="H5" s="7" t="s">
        <v>9</v>
      </c>
      <c r="I5" s="7" t="s">
        <v>8</v>
      </c>
      <c r="J5" s="7" t="s">
        <v>7</v>
      </c>
      <c r="K5" s="7" t="s">
        <v>6</v>
      </c>
      <c r="L5" s="7" t="s">
        <v>100</v>
      </c>
      <c r="M5" s="7"/>
    </row>
  </sheetData>
  <phoneticPr fontId="3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3366FF"/>
    <outlinePr summaryBelow="0" summaryRight="0"/>
  </sheetPr>
  <dimension ref="A1:I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4" sqref="I4"/>
    </sheetView>
  </sheetViews>
  <sheetFormatPr baseColWidth="12" defaultColWidth="8.83203125" defaultRowHeight="15" outlineLevelCol="1" x14ac:dyDescent="0.15"/>
  <cols>
    <col min="2" max="2" width="10.83203125" bestFit="1" customWidth="1"/>
    <col min="3" max="3" width="11.5" bestFit="1" customWidth="1"/>
    <col min="4" max="4" width="15" bestFit="1" customWidth="1" outlineLevel="1"/>
    <col min="5" max="5" width="11.83203125" bestFit="1" customWidth="1"/>
    <col min="6" max="6" width="12.1640625" customWidth="1"/>
    <col min="7" max="7" width="19" bestFit="1" customWidth="1"/>
    <col min="8" max="8" width="20.1640625" bestFit="1" customWidth="1"/>
    <col min="9" max="9" width="113" bestFit="1" customWidth="1"/>
  </cols>
  <sheetData>
    <row r="1" spans="1:9" x14ac:dyDescent="0.15">
      <c r="A1" s="2" t="s">
        <v>5</v>
      </c>
      <c r="B1" s="2" t="s">
        <v>43</v>
      </c>
      <c r="C1" s="2" t="s">
        <v>3</v>
      </c>
      <c r="D1" s="2" t="s">
        <v>14</v>
      </c>
      <c r="E1" s="2" t="s">
        <v>2</v>
      </c>
      <c r="F1" s="3" t="s">
        <v>26</v>
      </c>
      <c r="G1" s="3" t="s">
        <v>8</v>
      </c>
      <c r="H1" s="3" t="s">
        <v>7</v>
      </c>
      <c r="I1" s="3" t="s">
        <v>6</v>
      </c>
    </row>
    <row r="2" spans="1:9" x14ac:dyDescent="0.15">
      <c r="A2" s="1">
        <v>1</v>
      </c>
      <c r="B2" s="1" t="s">
        <v>15</v>
      </c>
      <c r="C2" s="1">
        <v>200000</v>
      </c>
      <c r="D2" s="8" t="s">
        <v>40</v>
      </c>
      <c r="E2" s="1" t="s">
        <v>12</v>
      </c>
      <c r="F2" s="1" t="s">
        <v>27</v>
      </c>
      <c r="G2" s="4" t="str">
        <f t="shared" ref="G2:G9" si="0">IF(B2="link",C2&amp;" リンク",IF(B2="bit",C2&amp;" ビット",IF(B2="polygon","ポリゴン × "&amp;C2,IF(B2="unit",D2&amp;" × "&amp;E2))))</f>
        <v>200000 ビット</v>
      </c>
      <c r="H2" s="1" t="s">
        <v>13</v>
      </c>
      <c r="I2" s="4" t="str">
        <f t="shared" ref="I2:I8" si="1">H2&amp;"で
【"&amp;G2&amp;"】をプレゼント！
明日もプレイして
【"&amp;G3&amp;"】をゲットしよう！"</f>
        <v>ログインボーナス報酬で_x000D_【200000 ビット】をプレゼント！_x000D__x000D_明日もプレイして_x000D_【メガ生命の果実 × 2】をゲットしよう！</v>
      </c>
    </row>
    <row r="3" spans="1:9" x14ac:dyDescent="0.15">
      <c r="A3" s="1">
        <v>2</v>
      </c>
      <c r="B3" s="1" t="s">
        <v>30</v>
      </c>
      <c r="C3" s="1">
        <v>608</v>
      </c>
      <c r="D3" s="8" t="s">
        <v>34</v>
      </c>
      <c r="E3" s="1">
        <v>2</v>
      </c>
      <c r="F3" s="1" t="s">
        <v>27</v>
      </c>
      <c r="G3" s="4" t="str">
        <f t="shared" si="0"/>
        <v>メガ生命の果実 × 2</v>
      </c>
      <c r="H3" s="1" t="s">
        <v>13</v>
      </c>
      <c r="I3" s="4" t="str">
        <f t="shared" si="1"/>
        <v>ログインボーナス報酬で_x000D_【メガ生命の果実 × 2】をプレゼント！_x000D__x000D_明日もプレイして_x000D_【秘術の果実 × 2】をゲットしよう！</v>
      </c>
    </row>
    <row r="4" spans="1:9" x14ac:dyDescent="0.15">
      <c r="A4" s="1">
        <v>3</v>
      </c>
      <c r="B4" s="1" t="s">
        <v>1</v>
      </c>
      <c r="C4" s="1">
        <v>125</v>
      </c>
      <c r="D4" s="8" t="s">
        <v>31</v>
      </c>
      <c r="E4" s="1">
        <v>2</v>
      </c>
      <c r="F4" s="1" t="s">
        <v>27</v>
      </c>
      <c r="G4" s="4" t="str">
        <f t="shared" si="0"/>
        <v>秘術の果実 × 2</v>
      </c>
      <c r="H4" s="1" t="s">
        <v>13</v>
      </c>
      <c r="I4" s="4" t="str">
        <f t="shared" si="1"/>
        <v>ログインボーナス報酬で_x000D_【秘術の果実 × 2】をプレゼント！_x000D__x000D_明日もプレイして_x000D_【メガ癒しの果実 × 2】をゲットしよう！</v>
      </c>
    </row>
    <row r="5" spans="1:9" x14ac:dyDescent="0.15">
      <c r="A5" s="1">
        <v>4</v>
      </c>
      <c r="B5" s="1" t="s">
        <v>32</v>
      </c>
      <c r="C5" s="1">
        <v>609</v>
      </c>
      <c r="D5" s="8" t="s">
        <v>33</v>
      </c>
      <c r="E5" s="1">
        <v>2</v>
      </c>
      <c r="F5" s="1" t="s">
        <v>27</v>
      </c>
      <c r="G5" s="4" t="str">
        <f t="shared" si="0"/>
        <v>メガ癒しの果実 × 2</v>
      </c>
      <c r="H5" s="1" t="s">
        <v>13</v>
      </c>
      <c r="I5" s="4" t="str">
        <f t="shared" si="1"/>
        <v>ログインボーナス報酬で_x000D_【メガ癒しの果実 × 2】をプレゼント！_x000D__x000D_明日もプレイして_x000D_【マスターキー × 1】をゲットしよう！</v>
      </c>
    </row>
    <row r="6" spans="1:9" x14ac:dyDescent="0.15">
      <c r="A6" s="1">
        <v>5</v>
      </c>
      <c r="B6" s="1" t="s">
        <v>35</v>
      </c>
      <c r="C6" s="1">
        <v>1</v>
      </c>
      <c r="D6" s="8" t="s">
        <v>36</v>
      </c>
      <c r="E6" s="1">
        <v>1</v>
      </c>
      <c r="F6" s="1" t="s">
        <v>27</v>
      </c>
      <c r="G6" s="4" t="s">
        <v>42</v>
      </c>
      <c r="H6" s="1" t="s">
        <v>13</v>
      </c>
      <c r="I6" s="4" t="str">
        <f t="shared" si="1"/>
        <v>ログインボーナス報酬で_x000D_【マスターキー × 1】をプレゼント！_x000D__x000D_明日もプレイして_x000D_【メガ攻めの果実 × 2】をゲットしよう！</v>
      </c>
    </row>
    <row r="7" spans="1:9" x14ac:dyDescent="0.15">
      <c r="A7" s="1">
        <v>6</v>
      </c>
      <c r="B7" s="1" t="s">
        <v>37</v>
      </c>
      <c r="C7" s="1">
        <v>607</v>
      </c>
      <c r="D7" s="8" t="s">
        <v>38</v>
      </c>
      <c r="E7" s="1">
        <v>2</v>
      </c>
      <c r="F7" s="1" t="s">
        <v>27</v>
      </c>
      <c r="G7" s="4" t="str">
        <f t="shared" si="0"/>
        <v>メガ攻めの果実 × 2</v>
      </c>
      <c r="H7" s="1" t="s">
        <v>13</v>
      </c>
      <c r="I7" s="4" t="str">
        <f t="shared" si="1"/>
        <v>ログインボーナス報酬で_x000D_【メガ攻めの果実 × 2】をプレゼント！_x000D__x000D_明日もプレイして_x000D_【リトルハンプティ × 1】をゲットしよう！</v>
      </c>
    </row>
    <row r="8" spans="1:9" x14ac:dyDescent="0.15">
      <c r="A8" s="1">
        <v>7</v>
      </c>
      <c r="B8" s="1" t="s">
        <v>1</v>
      </c>
      <c r="C8" s="1">
        <v>837</v>
      </c>
      <c r="D8" s="8" t="s">
        <v>39</v>
      </c>
      <c r="E8" s="1">
        <v>1</v>
      </c>
      <c r="F8" s="1" t="s">
        <v>27</v>
      </c>
      <c r="G8" s="4" t="str">
        <f t="shared" si="0"/>
        <v>リトルハンプティ × 1</v>
      </c>
      <c r="H8" s="1" t="s">
        <v>13</v>
      </c>
      <c r="I8" s="4" t="str">
        <f t="shared" si="1"/>
        <v>ログインボーナス報酬で_x000D_【リトルハンプティ × 1】をプレゼント！_x000D__x000D_明日もプレイして_x000D_【ポリゴン × 2】をゲットしよう！</v>
      </c>
    </row>
    <row r="9" spans="1:9" x14ac:dyDescent="0.15">
      <c r="A9" s="1">
        <v>8</v>
      </c>
      <c r="B9" s="1" t="s">
        <v>0</v>
      </c>
      <c r="C9" s="1">
        <v>2</v>
      </c>
      <c r="D9" s="8" t="s">
        <v>41</v>
      </c>
      <c r="E9" s="1" t="s">
        <v>12</v>
      </c>
      <c r="F9" s="1" t="s">
        <v>27</v>
      </c>
      <c r="G9" s="4" t="str">
        <f t="shared" si="0"/>
        <v>ポリゴン × 2</v>
      </c>
      <c r="H9" s="1" t="s">
        <v>13</v>
      </c>
      <c r="I9" s="4" t="str">
        <f>H9&amp;"で
【"&amp;G9&amp;"】をプレゼント！
明日もプレイして
【"&amp;G2&amp;"】をゲットしよう！"</f>
        <v>ログインボーナス報酬で_x000D_【ポリゴン × 2】をプレゼント！_x000D__x000D_明日もプレイして_x000D_【200000 ビット】をゲットしよう！</v>
      </c>
    </row>
  </sheetData>
  <phoneticPr fontId="3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3366FF"/>
    <outlinePr summaryBelow="0" summaryRight="0"/>
  </sheetPr>
  <dimension ref="A1:M38"/>
  <sheetViews>
    <sheetView tabSelected="1" workbookViewId="0">
      <pane xSplit="2" ySplit="1" topLeftCell="C9" activePane="bottomRight" state="frozen"/>
      <selection pane="topRight" activeCell="B1" sqref="B1"/>
      <selection pane="bottomLeft" activeCell="A2" sqref="A2"/>
      <selection pane="bottomRight" activeCell="A37" sqref="A37"/>
    </sheetView>
  </sheetViews>
  <sheetFormatPr baseColWidth="12" defaultColWidth="8.83203125" defaultRowHeight="15" outlineLevelCol="1" x14ac:dyDescent="0.15"/>
  <cols>
    <col min="1" max="1" width="23.1640625" bestFit="1" customWidth="1"/>
    <col min="3" max="3" width="10.83203125" bestFit="1" customWidth="1"/>
    <col min="4" max="4" width="11.5" bestFit="1" customWidth="1"/>
    <col min="5" max="6" width="11.5" customWidth="1"/>
    <col min="7" max="7" width="23" customWidth="1" outlineLevel="1"/>
    <col min="8" max="8" width="11.83203125" bestFit="1" customWidth="1"/>
    <col min="9" max="9" width="12.1640625" customWidth="1"/>
    <col min="10" max="10" width="23.33203125" customWidth="1"/>
    <col min="11" max="11" width="28" bestFit="1" customWidth="1"/>
    <col min="12" max="12" width="113" bestFit="1" customWidth="1"/>
    <col min="13" max="13" width="17.83203125" customWidth="1"/>
  </cols>
  <sheetData>
    <row r="1" spans="1:13" x14ac:dyDescent="0.15">
      <c r="A1" s="2" t="s">
        <v>61</v>
      </c>
      <c r="B1" s="2" t="s">
        <v>5</v>
      </c>
      <c r="C1" s="2" t="s">
        <v>43</v>
      </c>
      <c r="D1" s="2" t="s">
        <v>3</v>
      </c>
      <c r="E1" s="2" t="s">
        <v>59</v>
      </c>
      <c r="F1" s="2" t="s">
        <v>60</v>
      </c>
      <c r="G1" s="2" t="s">
        <v>14</v>
      </c>
      <c r="H1" s="2" t="s">
        <v>2</v>
      </c>
      <c r="I1" s="3" t="s">
        <v>26</v>
      </c>
      <c r="J1" s="3" t="s">
        <v>8</v>
      </c>
      <c r="K1" s="3" t="s">
        <v>7</v>
      </c>
      <c r="L1" s="3" t="s">
        <v>6</v>
      </c>
      <c r="M1" s="2" t="s">
        <v>100</v>
      </c>
    </row>
    <row r="2" spans="1:13" x14ac:dyDescent="0.15">
      <c r="A2" s="1">
        <v>1</v>
      </c>
      <c r="B2" s="1">
        <v>1</v>
      </c>
      <c r="C2" s="1" t="s">
        <v>15</v>
      </c>
      <c r="D2" s="1">
        <v>300000</v>
      </c>
      <c r="E2" s="1">
        <v>0</v>
      </c>
      <c r="F2" s="1">
        <v>0</v>
      </c>
      <c r="G2" s="8" t="s">
        <v>40</v>
      </c>
      <c r="H2" s="1" t="s">
        <v>12</v>
      </c>
      <c r="I2" s="1" t="s">
        <v>27</v>
      </c>
      <c r="J2" s="4" t="str">
        <f t="shared" ref="J2:J12" si="0">IF(C2="link",D2&amp;" リンク",IF(C2="bit",D2&amp;" ビット",IF(C2="polygon","ポリゴン × "&amp;D2,IF(C2="unit",G2&amp;" × "&amp;H2))))</f>
        <v>300000 ビット</v>
      </c>
      <c r="K2" s="1" t="s">
        <v>51</v>
      </c>
      <c r="L2" s="4" t="s">
        <v>75</v>
      </c>
      <c r="M2" s="1" t="s">
        <v>12</v>
      </c>
    </row>
    <row r="3" spans="1:13" x14ac:dyDescent="0.15">
      <c r="A3" s="1">
        <v>2</v>
      </c>
      <c r="B3" s="1">
        <v>2</v>
      </c>
      <c r="C3" s="1" t="s">
        <v>46</v>
      </c>
      <c r="D3" s="1">
        <v>1000</v>
      </c>
      <c r="E3" s="1">
        <v>0</v>
      </c>
      <c r="F3" s="1">
        <v>0</v>
      </c>
      <c r="G3" s="8" t="s">
        <v>47</v>
      </c>
      <c r="H3" s="1" t="s">
        <v>12</v>
      </c>
      <c r="I3" s="1" t="s">
        <v>27</v>
      </c>
      <c r="J3" s="4" t="str">
        <f t="shared" si="0"/>
        <v>1000 リンク</v>
      </c>
      <c r="K3" s="1" t="s">
        <v>51</v>
      </c>
      <c r="L3" s="4" t="s">
        <v>65</v>
      </c>
      <c r="M3" s="1" t="s">
        <v>12</v>
      </c>
    </row>
    <row r="4" spans="1:13" x14ac:dyDescent="0.15">
      <c r="A4" s="1">
        <v>3</v>
      </c>
      <c r="B4" s="1">
        <v>3</v>
      </c>
      <c r="C4" s="1" t="s">
        <v>1</v>
      </c>
      <c r="D4" s="1">
        <v>335</v>
      </c>
      <c r="E4" s="1">
        <v>0</v>
      </c>
      <c r="F4" s="1">
        <v>0</v>
      </c>
      <c r="G4" s="8" t="s">
        <v>108</v>
      </c>
      <c r="H4" s="1">
        <v>1</v>
      </c>
      <c r="I4" s="1" t="s">
        <v>27</v>
      </c>
      <c r="J4" s="4" t="str">
        <f t="shared" si="0"/>
        <v>メタルジェントル × 1</v>
      </c>
      <c r="K4" s="1" t="s">
        <v>51</v>
      </c>
      <c r="L4" s="4" t="s">
        <v>66</v>
      </c>
      <c r="M4" s="1" t="s">
        <v>101</v>
      </c>
    </row>
    <row r="5" spans="1:13" x14ac:dyDescent="0.15">
      <c r="A5" s="1">
        <v>4</v>
      </c>
      <c r="B5" s="1">
        <v>3</v>
      </c>
      <c r="C5" s="1" t="s">
        <v>1</v>
      </c>
      <c r="D5" s="1">
        <v>339</v>
      </c>
      <c r="E5" s="1">
        <v>0</v>
      </c>
      <c r="F5" s="1">
        <v>0</v>
      </c>
      <c r="G5" s="8" t="s">
        <v>108</v>
      </c>
      <c r="H5" s="1">
        <v>1</v>
      </c>
      <c r="I5" s="1" t="s">
        <v>27</v>
      </c>
      <c r="J5" s="4" t="str">
        <f t="shared" ref="J5:J7" si="1">IF(C5="link",D5&amp;" リンク",IF(C5="bit",D5&amp;" ビット",IF(C5="polygon","ポリゴン × "&amp;D5,IF(C5="unit",G5&amp;" × "&amp;H5))))</f>
        <v>メタルジェントル × 1</v>
      </c>
      <c r="K5" s="1" t="s">
        <v>51</v>
      </c>
      <c r="L5" s="4" t="s">
        <v>67</v>
      </c>
      <c r="M5" s="1" t="s">
        <v>101</v>
      </c>
    </row>
    <row r="6" spans="1:13" x14ac:dyDescent="0.15">
      <c r="A6" s="1">
        <v>5</v>
      </c>
      <c r="B6" s="1">
        <v>3</v>
      </c>
      <c r="C6" s="1" t="s">
        <v>1</v>
      </c>
      <c r="D6" s="1">
        <v>343</v>
      </c>
      <c r="E6" s="1">
        <v>0</v>
      </c>
      <c r="F6" s="1">
        <v>0</v>
      </c>
      <c r="G6" s="8" t="s">
        <v>108</v>
      </c>
      <c r="H6" s="1">
        <v>1</v>
      </c>
      <c r="I6" s="1" t="s">
        <v>27</v>
      </c>
      <c r="J6" s="4" t="str">
        <f t="shared" si="1"/>
        <v>メタルジェントル × 1</v>
      </c>
      <c r="K6" s="1" t="s">
        <v>51</v>
      </c>
      <c r="L6" s="4" t="s">
        <v>68</v>
      </c>
      <c r="M6" s="1" t="s">
        <v>101</v>
      </c>
    </row>
    <row r="7" spans="1:13" x14ac:dyDescent="0.15">
      <c r="A7" s="1">
        <v>6</v>
      </c>
      <c r="B7" s="1">
        <v>3</v>
      </c>
      <c r="C7" s="1" t="s">
        <v>1</v>
      </c>
      <c r="D7" s="1">
        <v>347</v>
      </c>
      <c r="E7" s="1">
        <v>0</v>
      </c>
      <c r="F7" s="1">
        <v>0</v>
      </c>
      <c r="G7" s="8" t="s">
        <v>108</v>
      </c>
      <c r="H7" s="1">
        <v>1</v>
      </c>
      <c r="I7" s="1" t="s">
        <v>27</v>
      </c>
      <c r="J7" s="4" t="str">
        <f t="shared" si="1"/>
        <v>メタルジェントル × 1</v>
      </c>
      <c r="K7" s="1" t="s">
        <v>51</v>
      </c>
      <c r="L7" s="4" t="s">
        <v>69</v>
      </c>
      <c r="M7" s="1" t="s">
        <v>101</v>
      </c>
    </row>
    <row r="8" spans="1:13" x14ac:dyDescent="0.15">
      <c r="A8" s="1">
        <v>7</v>
      </c>
      <c r="B8" s="1">
        <v>4</v>
      </c>
      <c r="C8" s="1" t="s">
        <v>1</v>
      </c>
      <c r="D8" s="1">
        <v>837</v>
      </c>
      <c r="E8" s="1">
        <v>0</v>
      </c>
      <c r="F8" s="1">
        <v>0</v>
      </c>
      <c r="G8" s="8" t="s">
        <v>39</v>
      </c>
      <c r="H8" s="1">
        <v>1</v>
      </c>
      <c r="I8" s="1" t="s">
        <v>27</v>
      </c>
      <c r="J8" s="4" t="str">
        <f t="shared" ref="J8:J9" si="2">IF(C8="link",D8&amp;" リンク",IF(C8="bit",D8&amp;" ビット",IF(C8="polygon","ポリゴン × "&amp;D8,IF(C8="unit",G8&amp;" × "&amp;H8))))</f>
        <v>リトルハンプティ × 1</v>
      </c>
      <c r="K8" s="1" t="s">
        <v>51</v>
      </c>
      <c r="L8" s="4" t="s">
        <v>76</v>
      </c>
      <c r="M8" s="1" t="s">
        <v>104</v>
      </c>
    </row>
    <row r="9" spans="1:13" x14ac:dyDescent="0.15">
      <c r="A9" s="1">
        <v>8</v>
      </c>
      <c r="B9" s="1">
        <v>5</v>
      </c>
      <c r="C9" s="1" t="s">
        <v>0</v>
      </c>
      <c r="D9" s="1">
        <v>5</v>
      </c>
      <c r="E9" s="1">
        <v>1</v>
      </c>
      <c r="F9" s="1">
        <v>0</v>
      </c>
      <c r="G9" s="8" t="s">
        <v>48</v>
      </c>
      <c r="H9" s="1" t="s">
        <v>12</v>
      </c>
      <c r="I9" s="1" t="s">
        <v>27</v>
      </c>
      <c r="J9" s="4" t="str">
        <f t="shared" si="2"/>
        <v>ポリゴン × 5</v>
      </c>
      <c r="K9" s="1" t="s">
        <v>51</v>
      </c>
      <c r="L9" s="4" t="s">
        <v>77</v>
      </c>
      <c r="M9" s="1" t="s">
        <v>12</v>
      </c>
    </row>
    <row r="10" spans="1:13" x14ac:dyDescent="0.15">
      <c r="A10" s="1">
        <v>9</v>
      </c>
      <c r="B10" s="1">
        <v>6</v>
      </c>
      <c r="C10" s="1" t="s">
        <v>15</v>
      </c>
      <c r="D10" s="1">
        <v>500000</v>
      </c>
      <c r="E10" s="1">
        <v>0</v>
      </c>
      <c r="F10" s="1">
        <v>0</v>
      </c>
      <c r="G10" s="8" t="s">
        <v>40</v>
      </c>
      <c r="H10" s="1" t="s">
        <v>12</v>
      </c>
      <c r="I10" s="1" t="s">
        <v>27</v>
      </c>
      <c r="J10" s="4" t="str">
        <f t="shared" si="0"/>
        <v>500000 ビット</v>
      </c>
      <c r="K10" s="1" t="s">
        <v>51</v>
      </c>
      <c r="L10" s="4" t="s">
        <v>78</v>
      </c>
      <c r="M10" s="1" t="s">
        <v>12</v>
      </c>
    </row>
    <row r="11" spans="1:13" x14ac:dyDescent="0.15">
      <c r="A11" s="1">
        <v>10</v>
      </c>
      <c r="B11" s="1">
        <v>7</v>
      </c>
      <c r="C11" s="1" t="s">
        <v>1</v>
      </c>
      <c r="D11" s="1">
        <v>614</v>
      </c>
      <c r="E11" s="1">
        <v>0</v>
      </c>
      <c r="F11" s="1">
        <v>0</v>
      </c>
      <c r="G11" s="8" t="s">
        <v>52</v>
      </c>
      <c r="H11" s="1">
        <v>2</v>
      </c>
      <c r="I11" s="1" t="s">
        <v>27</v>
      </c>
      <c r="J11" s="4" t="str">
        <f t="shared" si="0"/>
        <v>ギガ秘術の果実 × 2</v>
      </c>
      <c r="K11" s="1" t="s">
        <v>51</v>
      </c>
      <c r="L11" s="4" t="s">
        <v>70</v>
      </c>
      <c r="M11" s="1" t="s">
        <v>103</v>
      </c>
    </row>
    <row r="12" spans="1:13" x14ac:dyDescent="0.15">
      <c r="A12" s="1">
        <v>11</v>
      </c>
      <c r="B12" s="1">
        <v>8</v>
      </c>
      <c r="C12" s="1" t="s">
        <v>1</v>
      </c>
      <c r="D12" s="1">
        <v>335</v>
      </c>
      <c r="E12" s="1">
        <v>0</v>
      </c>
      <c r="F12" s="1">
        <v>0</v>
      </c>
      <c r="G12" s="8" t="s">
        <v>108</v>
      </c>
      <c r="H12" s="1">
        <v>2</v>
      </c>
      <c r="I12" s="1" t="s">
        <v>27</v>
      </c>
      <c r="J12" s="4" t="str">
        <f t="shared" si="0"/>
        <v>メタルジェントル × 2</v>
      </c>
      <c r="K12" s="1" t="s">
        <v>51</v>
      </c>
      <c r="L12" s="4" t="s">
        <v>71</v>
      </c>
      <c r="M12" s="1" t="s">
        <v>101</v>
      </c>
    </row>
    <row r="13" spans="1:13" x14ac:dyDescent="0.15">
      <c r="A13" s="1">
        <v>12</v>
      </c>
      <c r="B13" s="1">
        <v>8</v>
      </c>
      <c r="C13" s="1" t="s">
        <v>1</v>
      </c>
      <c r="D13" s="1">
        <v>339</v>
      </c>
      <c r="E13" s="1">
        <v>0</v>
      </c>
      <c r="F13" s="1">
        <v>0</v>
      </c>
      <c r="G13" s="8" t="s">
        <v>108</v>
      </c>
      <c r="H13" s="1">
        <v>2</v>
      </c>
      <c r="I13" s="1" t="s">
        <v>27</v>
      </c>
      <c r="J13" s="4" t="str">
        <f t="shared" ref="J13:J15" si="3">IF(C13="link",D13&amp;" リンク",IF(C13="bit",D13&amp;" ビット",IF(C13="polygon","ポリゴン × "&amp;D13,IF(C13="unit",G13&amp;" × "&amp;H13))))</f>
        <v>メタルジェントル × 2</v>
      </c>
      <c r="K13" s="1" t="s">
        <v>51</v>
      </c>
      <c r="L13" s="4" t="s">
        <v>72</v>
      </c>
      <c r="M13" s="1" t="s">
        <v>101</v>
      </c>
    </row>
    <row r="14" spans="1:13" x14ac:dyDescent="0.15">
      <c r="A14" s="1">
        <v>13</v>
      </c>
      <c r="B14" s="1">
        <v>8</v>
      </c>
      <c r="C14" s="1" t="s">
        <v>1</v>
      </c>
      <c r="D14" s="1">
        <v>343</v>
      </c>
      <c r="E14" s="1">
        <v>0</v>
      </c>
      <c r="F14" s="1">
        <v>0</v>
      </c>
      <c r="G14" s="8" t="s">
        <v>108</v>
      </c>
      <c r="H14" s="1">
        <v>2</v>
      </c>
      <c r="I14" s="1" t="s">
        <v>27</v>
      </c>
      <c r="J14" s="4" t="str">
        <f t="shared" si="3"/>
        <v>メタルジェントル × 2</v>
      </c>
      <c r="K14" s="1" t="s">
        <v>51</v>
      </c>
      <c r="L14" s="4" t="s">
        <v>73</v>
      </c>
      <c r="M14" s="1" t="s">
        <v>101</v>
      </c>
    </row>
    <row r="15" spans="1:13" x14ac:dyDescent="0.15">
      <c r="A15" s="1">
        <v>14</v>
      </c>
      <c r="B15" s="1">
        <v>8</v>
      </c>
      <c r="C15" s="1" t="s">
        <v>1</v>
      </c>
      <c r="D15" s="1">
        <v>347</v>
      </c>
      <c r="E15" s="1">
        <v>0</v>
      </c>
      <c r="F15" s="1">
        <v>0</v>
      </c>
      <c r="G15" s="8" t="s">
        <v>108</v>
      </c>
      <c r="H15" s="1">
        <v>2</v>
      </c>
      <c r="I15" s="1" t="s">
        <v>27</v>
      </c>
      <c r="J15" s="4" t="str">
        <f t="shared" si="3"/>
        <v>メタルジェントル × 2</v>
      </c>
      <c r="K15" s="1" t="s">
        <v>51</v>
      </c>
      <c r="L15" s="4" t="s">
        <v>74</v>
      </c>
      <c r="M15" s="1" t="s">
        <v>101</v>
      </c>
    </row>
    <row r="16" spans="1:13" x14ac:dyDescent="0.15">
      <c r="A16" s="1">
        <v>15</v>
      </c>
      <c r="B16" s="1">
        <v>9</v>
      </c>
      <c r="C16" s="1" t="s">
        <v>35</v>
      </c>
      <c r="D16" s="1">
        <v>2</v>
      </c>
      <c r="E16" s="1">
        <v>0</v>
      </c>
      <c r="F16" s="1">
        <v>0</v>
      </c>
      <c r="G16" s="8" t="s">
        <v>53</v>
      </c>
      <c r="H16" s="1">
        <v>2</v>
      </c>
      <c r="I16" s="1" t="s">
        <v>27</v>
      </c>
      <c r="J16" s="4" t="s">
        <v>56</v>
      </c>
      <c r="K16" s="1" t="s">
        <v>51</v>
      </c>
      <c r="L16" s="4" t="s">
        <v>79</v>
      </c>
      <c r="M16" s="1" t="s">
        <v>102</v>
      </c>
    </row>
    <row r="17" spans="1:13" x14ac:dyDescent="0.15">
      <c r="A17" s="1">
        <v>16</v>
      </c>
      <c r="B17" s="1">
        <v>10</v>
      </c>
      <c r="C17" s="1" t="s">
        <v>0</v>
      </c>
      <c r="D17" s="1">
        <v>7</v>
      </c>
      <c r="E17" s="1">
        <v>1</v>
      </c>
      <c r="F17" s="1">
        <v>0</v>
      </c>
      <c r="G17" s="8" t="s">
        <v>48</v>
      </c>
      <c r="H17" s="1" t="s">
        <v>12</v>
      </c>
      <c r="I17" s="1" t="s">
        <v>27</v>
      </c>
      <c r="J17" s="4" t="str">
        <f t="shared" ref="J17:J35" si="4">IF(C17="link",D17&amp;" リンク",IF(C17="bit",D17&amp;" ビット",IF(C17="polygon","ポリゴン × "&amp;D17,IF(C17="unit",G17&amp;" × "&amp;H17))))</f>
        <v>ポリゴン × 7</v>
      </c>
      <c r="K17" s="1" t="s">
        <v>51</v>
      </c>
      <c r="L17" s="4" t="s">
        <v>80</v>
      </c>
      <c r="M17" s="1" t="s">
        <v>12</v>
      </c>
    </row>
    <row r="18" spans="1:13" x14ac:dyDescent="0.15">
      <c r="A18" s="1">
        <v>17</v>
      </c>
      <c r="B18" s="1">
        <v>11</v>
      </c>
      <c r="C18" s="9" t="s">
        <v>49</v>
      </c>
      <c r="D18" s="10">
        <v>700000</v>
      </c>
      <c r="E18" s="1">
        <v>0</v>
      </c>
      <c r="F18" s="1">
        <v>0</v>
      </c>
      <c r="G18" s="11" t="s">
        <v>50</v>
      </c>
      <c r="H18" s="1" t="s">
        <v>12</v>
      </c>
      <c r="I18" s="1" t="s">
        <v>27</v>
      </c>
      <c r="J18" s="4" t="str">
        <f t="shared" si="4"/>
        <v>700000 ビット</v>
      </c>
      <c r="K18" s="1" t="s">
        <v>51</v>
      </c>
      <c r="L18" s="4" t="s">
        <v>81</v>
      </c>
      <c r="M18" s="1" t="s">
        <v>12</v>
      </c>
    </row>
    <row r="19" spans="1:13" x14ac:dyDescent="0.15">
      <c r="A19" s="1">
        <v>18</v>
      </c>
      <c r="B19" s="1">
        <v>12</v>
      </c>
      <c r="C19" s="1" t="s">
        <v>46</v>
      </c>
      <c r="D19" s="1">
        <v>2000</v>
      </c>
      <c r="E19" s="1">
        <v>0</v>
      </c>
      <c r="F19" s="1">
        <v>0</v>
      </c>
      <c r="G19" s="8" t="s">
        <v>47</v>
      </c>
      <c r="H19" s="1" t="s">
        <v>12</v>
      </c>
      <c r="I19" s="1" t="s">
        <v>27</v>
      </c>
      <c r="J19" s="4" t="str">
        <f t="shared" si="4"/>
        <v>2000 リンク</v>
      </c>
      <c r="K19" s="1" t="s">
        <v>51</v>
      </c>
      <c r="L19" s="4" t="s">
        <v>82</v>
      </c>
      <c r="M19" s="1" t="s">
        <v>12</v>
      </c>
    </row>
    <row r="20" spans="1:13" x14ac:dyDescent="0.15">
      <c r="A20" s="1">
        <v>19</v>
      </c>
      <c r="B20" s="1">
        <v>13</v>
      </c>
      <c r="C20" s="1" t="s">
        <v>1</v>
      </c>
      <c r="D20" s="1">
        <v>614</v>
      </c>
      <c r="E20" s="1">
        <v>0</v>
      </c>
      <c r="F20" s="1">
        <v>0</v>
      </c>
      <c r="G20" s="8" t="s">
        <v>52</v>
      </c>
      <c r="H20" s="1">
        <v>2</v>
      </c>
      <c r="I20" s="1" t="s">
        <v>27</v>
      </c>
      <c r="J20" s="4" t="str">
        <f t="shared" si="4"/>
        <v>ギガ秘術の果実 × 2</v>
      </c>
      <c r="K20" s="1" t="s">
        <v>51</v>
      </c>
      <c r="L20" s="4" t="s">
        <v>83</v>
      </c>
      <c r="M20" s="1" t="s">
        <v>103</v>
      </c>
    </row>
    <row r="21" spans="1:13" x14ac:dyDescent="0.15">
      <c r="A21" s="1">
        <v>20</v>
      </c>
      <c r="B21" s="1">
        <v>14</v>
      </c>
      <c r="C21" s="1" t="s">
        <v>35</v>
      </c>
      <c r="D21" s="1">
        <v>4</v>
      </c>
      <c r="E21" s="1">
        <v>0</v>
      </c>
      <c r="F21" s="1">
        <v>0</v>
      </c>
      <c r="G21" s="8" t="s">
        <v>54</v>
      </c>
      <c r="H21" s="1">
        <v>2</v>
      </c>
      <c r="I21" s="1" t="s">
        <v>27</v>
      </c>
      <c r="J21" s="4" t="s">
        <v>55</v>
      </c>
      <c r="K21" s="1" t="s">
        <v>51</v>
      </c>
      <c r="L21" s="4" t="s">
        <v>84</v>
      </c>
      <c r="M21" s="1" t="s">
        <v>106</v>
      </c>
    </row>
    <row r="22" spans="1:13" x14ac:dyDescent="0.15">
      <c r="A22" s="1">
        <v>21</v>
      </c>
      <c r="B22" s="1">
        <v>15</v>
      </c>
      <c r="C22" s="1" t="s">
        <v>0</v>
      </c>
      <c r="D22" s="1">
        <v>10</v>
      </c>
      <c r="E22" s="1">
        <v>1</v>
      </c>
      <c r="F22" s="1">
        <v>0</v>
      </c>
      <c r="G22" s="8" t="s">
        <v>48</v>
      </c>
      <c r="H22" s="1" t="s">
        <v>12</v>
      </c>
      <c r="I22" s="1" t="s">
        <v>27</v>
      </c>
      <c r="J22" s="4" t="str">
        <f t="shared" si="4"/>
        <v>ポリゴン × 10</v>
      </c>
      <c r="K22" s="1" t="s">
        <v>51</v>
      </c>
      <c r="L22" s="4" t="s">
        <v>85</v>
      </c>
      <c r="M22" s="1" t="s">
        <v>12</v>
      </c>
    </row>
    <row r="23" spans="1:13" x14ac:dyDescent="0.15">
      <c r="A23" s="1">
        <v>22</v>
      </c>
      <c r="B23" s="1">
        <v>16</v>
      </c>
      <c r="C23" s="9" t="s">
        <v>49</v>
      </c>
      <c r="D23" s="10">
        <v>1000000</v>
      </c>
      <c r="E23" s="1">
        <v>0</v>
      </c>
      <c r="F23" s="1">
        <v>0</v>
      </c>
      <c r="G23" s="11" t="s">
        <v>50</v>
      </c>
      <c r="H23" s="1" t="s">
        <v>12</v>
      </c>
      <c r="I23" s="1" t="s">
        <v>27</v>
      </c>
      <c r="J23" s="4" t="str">
        <f t="shared" si="4"/>
        <v>1000000 ビット</v>
      </c>
      <c r="K23" s="1" t="s">
        <v>51</v>
      </c>
      <c r="L23" s="4" t="s">
        <v>86</v>
      </c>
      <c r="M23" s="1" t="s">
        <v>12</v>
      </c>
    </row>
    <row r="24" spans="1:13" x14ac:dyDescent="0.15">
      <c r="A24" s="1">
        <v>23</v>
      </c>
      <c r="B24" s="1">
        <v>17</v>
      </c>
      <c r="C24" s="1" t="s">
        <v>46</v>
      </c>
      <c r="D24" s="1">
        <v>2500</v>
      </c>
      <c r="E24" s="1">
        <v>0</v>
      </c>
      <c r="F24" s="1">
        <v>0</v>
      </c>
      <c r="G24" s="8" t="s">
        <v>47</v>
      </c>
      <c r="H24" s="1" t="s">
        <v>12</v>
      </c>
      <c r="I24" s="1" t="s">
        <v>27</v>
      </c>
      <c r="J24" s="4" t="str">
        <f t="shared" si="4"/>
        <v>2500 リンク</v>
      </c>
      <c r="K24" s="1" t="s">
        <v>51</v>
      </c>
      <c r="L24" s="4" t="s">
        <v>87</v>
      </c>
      <c r="M24" s="1" t="s">
        <v>12</v>
      </c>
    </row>
    <row r="25" spans="1:13" x14ac:dyDescent="0.15">
      <c r="A25" s="1">
        <v>24</v>
      </c>
      <c r="B25" s="1">
        <v>18</v>
      </c>
      <c r="C25" s="1" t="s">
        <v>1</v>
      </c>
      <c r="D25" s="1">
        <v>614</v>
      </c>
      <c r="E25" s="1">
        <v>0</v>
      </c>
      <c r="F25" s="1">
        <v>0</v>
      </c>
      <c r="G25" s="8" t="s">
        <v>52</v>
      </c>
      <c r="H25" s="1">
        <v>2</v>
      </c>
      <c r="I25" s="1" t="s">
        <v>27</v>
      </c>
      <c r="J25" s="4" t="str">
        <f t="shared" si="4"/>
        <v>ギガ秘術の果実 × 2</v>
      </c>
      <c r="K25" s="1" t="s">
        <v>51</v>
      </c>
      <c r="L25" s="4" t="s">
        <v>88</v>
      </c>
      <c r="M25" s="1" t="s">
        <v>103</v>
      </c>
    </row>
    <row r="26" spans="1:13" x14ac:dyDescent="0.15">
      <c r="A26" s="1">
        <v>25</v>
      </c>
      <c r="B26" s="1">
        <v>19</v>
      </c>
      <c r="C26" s="1" t="s">
        <v>35</v>
      </c>
      <c r="D26" s="1">
        <v>1</v>
      </c>
      <c r="E26" s="1">
        <v>0</v>
      </c>
      <c r="F26" s="1">
        <v>0</v>
      </c>
      <c r="G26" s="8" t="s">
        <v>36</v>
      </c>
      <c r="H26" s="1">
        <v>1</v>
      </c>
      <c r="I26" s="1" t="s">
        <v>27</v>
      </c>
      <c r="J26" s="4" t="s">
        <v>42</v>
      </c>
      <c r="K26" s="1" t="s">
        <v>51</v>
      </c>
      <c r="L26" s="4" t="s">
        <v>89</v>
      </c>
      <c r="M26" s="1" t="s">
        <v>105</v>
      </c>
    </row>
    <row r="27" spans="1:13" x14ac:dyDescent="0.15">
      <c r="A27" s="1">
        <v>26</v>
      </c>
      <c r="B27" s="1">
        <v>20</v>
      </c>
      <c r="C27" s="1" t="s">
        <v>0</v>
      </c>
      <c r="D27" s="1">
        <v>15</v>
      </c>
      <c r="E27" s="1">
        <v>1</v>
      </c>
      <c r="F27" s="1">
        <v>0</v>
      </c>
      <c r="G27" s="8" t="s">
        <v>48</v>
      </c>
      <c r="H27" s="1" t="s">
        <v>12</v>
      </c>
      <c r="I27" s="1" t="s">
        <v>27</v>
      </c>
      <c r="J27" s="4" t="str">
        <f t="shared" si="4"/>
        <v>ポリゴン × 15</v>
      </c>
      <c r="K27" s="1" t="s">
        <v>51</v>
      </c>
      <c r="L27" s="4" t="s">
        <v>90</v>
      </c>
      <c r="M27" s="1" t="s">
        <v>12</v>
      </c>
    </row>
    <row r="28" spans="1:13" x14ac:dyDescent="0.15">
      <c r="A28" s="1">
        <v>27</v>
      </c>
      <c r="B28" s="1">
        <v>21</v>
      </c>
      <c r="C28" s="9" t="s">
        <v>49</v>
      </c>
      <c r="D28" s="10">
        <v>1500000</v>
      </c>
      <c r="E28" s="1">
        <v>0</v>
      </c>
      <c r="F28" s="1">
        <v>0</v>
      </c>
      <c r="G28" s="11" t="s">
        <v>50</v>
      </c>
      <c r="H28" s="1" t="s">
        <v>12</v>
      </c>
      <c r="I28" s="1" t="s">
        <v>27</v>
      </c>
      <c r="J28" s="4" t="str">
        <f t="shared" si="4"/>
        <v>1500000 ビット</v>
      </c>
      <c r="K28" s="1" t="s">
        <v>51</v>
      </c>
      <c r="L28" s="4" t="s">
        <v>91</v>
      </c>
      <c r="M28" s="1" t="s">
        <v>12</v>
      </c>
    </row>
    <row r="29" spans="1:13" x14ac:dyDescent="0.15">
      <c r="A29" s="1">
        <v>28</v>
      </c>
      <c r="B29" s="1">
        <v>22</v>
      </c>
      <c r="C29" s="1" t="s">
        <v>46</v>
      </c>
      <c r="D29" s="1">
        <v>3000</v>
      </c>
      <c r="E29" s="1">
        <v>0</v>
      </c>
      <c r="F29" s="1">
        <v>0</v>
      </c>
      <c r="G29" s="8" t="s">
        <v>47</v>
      </c>
      <c r="H29" s="1" t="s">
        <v>12</v>
      </c>
      <c r="I29" s="1" t="s">
        <v>27</v>
      </c>
      <c r="J29" s="4" t="str">
        <f t="shared" si="4"/>
        <v>3000 リンク</v>
      </c>
      <c r="K29" s="1" t="s">
        <v>51</v>
      </c>
      <c r="L29" s="4" t="s">
        <v>92</v>
      </c>
      <c r="M29" s="1" t="s">
        <v>12</v>
      </c>
    </row>
    <row r="30" spans="1:13" x14ac:dyDescent="0.15">
      <c r="A30" s="1">
        <v>29</v>
      </c>
      <c r="B30" s="1">
        <v>23</v>
      </c>
      <c r="C30" s="1" t="s">
        <v>1</v>
      </c>
      <c r="D30" s="1">
        <v>614</v>
      </c>
      <c r="E30" s="1">
        <v>0</v>
      </c>
      <c r="F30" s="1">
        <v>0</v>
      </c>
      <c r="G30" s="8" t="s">
        <v>52</v>
      </c>
      <c r="H30" s="1">
        <v>2</v>
      </c>
      <c r="I30" s="1" t="s">
        <v>27</v>
      </c>
      <c r="J30" s="4" t="str">
        <f t="shared" si="4"/>
        <v>ギガ秘術の果実 × 2</v>
      </c>
      <c r="K30" s="1" t="s">
        <v>51</v>
      </c>
      <c r="L30" s="4" t="s">
        <v>93</v>
      </c>
      <c r="M30" s="1" t="s">
        <v>103</v>
      </c>
    </row>
    <row r="31" spans="1:13" x14ac:dyDescent="0.15">
      <c r="A31" s="1">
        <v>30</v>
      </c>
      <c r="B31" s="1">
        <v>24</v>
      </c>
      <c r="C31" s="1" t="s">
        <v>35</v>
      </c>
      <c r="D31" s="1">
        <v>1</v>
      </c>
      <c r="E31" s="1">
        <v>0</v>
      </c>
      <c r="F31" s="1">
        <v>0</v>
      </c>
      <c r="G31" s="8" t="s">
        <v>36</v>
      </c>
      <c r="H31" s="1">
        <v>3</v>
      </c>
      <c r="I31" s="1" t="s">
        <v>27</v>
      </c>
      <c r="J31" s="4" t="s">
        <v>58</v>
      </c>
      <c r="K31" s="1" t="s">
        <v>51</v>
      </c>
      <c r="L31" s="4" t="s">
        <v>94</v>
      </c>
      <c r="M31" s="1" t="s">
        <v>105</v>
      </c>
    </row>
    <row r="32" spans="1:13" x14ac:dyDescent="0.15">
      <c r="A32" s="1">
        <v>31</v>
      </c>
      <c r="B32" s="1">
        <v>25</v>
      </c>
      <c r="C32" s="1" t="s">
        <v>0</v>
      </c>
      <c r="D32" s="1">
        <v>20</v>
      </c>
      <c r="E32" s="1">
        <v>1</v>
      </c>
      <c r="F32" s="1">
        <v>0</v>
      </c>
      <c r="G32" s="8" t="s">
        <v>48</v>
      </c>
      <c r="H32" s="1" t="s">
        <v>12</v>
      </c>
      <c r="I32" s="1" t="s">
        <v>27</v>
      </c>
      <c r="J32" s="4" t="str">
        <f t="shared" si="4"/>
        <v>ポリゴン × 20</v>
      </c>
      <c r="K32" s="1" t="s">
        <v>51</v>
      </c>
      <c r="L32" s="4" t="s">
        <v>95</v>
      </c>
      <c r="M32" s="1" t="s">
        <v>12</v>
      </c>
    </row>
    <row r="33" spans="1:13" x14ac:dyDescent="0.15">
      <c r="A33" s="1">
        <v>32</v>
      </c>
      <c r="B33" s="1">
        <v>26</v>
      </c>
      <c r="C33" s="9" t="s">
        <v>49</v>
      </c>
      <c r="D33" s="10">
        <v>2000000</v>
      </c>
      <c r="E33" s="1">
        <v>0</v>
      </c>
      <c r="F33" s="1">
        <v>0</v>
      </c>
      <c r="G33" s="11" t="s">
        <v>50</v>
      </c>
      <c r="H33" s="1" t="s">
        <v>12</v>
      </c>
      <c r="I33" s="1" t="s">
        <v>27</v>
      </c>
      <c r="J33" s="4" t="str">
        <f t="shared" si="4"/>
        <v>2000000 ビット</v>
      </c>
      <c r="K33" s="1" t="s">
        <v>51</v>
      </c>
      <c r="L33" s="4" t="s">
        <v>96</v>
      </c>
      <c r="M33" s="1" t="s">
        <v>12</v>
      </c>
    </row>
    <row r="34" spans="1:13" x14ac:dyDescent="0.15">
      <c r="A34" s="1">
        <v>33</v>
      </c>
      <c r="B34" s="1">
        <v>27</v>
      </c>
      <c r="C34" s="1" t="s">
        <v>46</v>
      </c>
      <c r="D34" s="1">
        <v>5000</v>
      </c>
      <c r="E34" s="1">
        <v>0</v>
      </c>
      <c r="F34" s="1">
        <v>0</v>
      </c>
      <c r="G34" s="8" t="s">
        <v>47</v>
      </c>
      <c r="H34" s="1" t="s">
        <v>12</v>
      </c>
      <c r="I34" s="1" t="s">
        <v>27</v>
      </c>
      <c r="J34" s="4" t="str">
        <f t="shared" si="4"/>
        <v>5000 リンク</v>
      </c>
      <c r="K34" s="1" t="s">
        <v>51</v>
      </c>
      <c r="L34" s="4" t="s">
        <v>97</v>
      </c>
      <c r="M34" s="1" t="s">
        <v>12</v>
      </c>
    </row>
    <row r="35" spans="1:13" x14ac:dyDescent="0.15">
      <c r="A35" s="1">
        <v>34</v>
      </c>
      <c r="B35" s="1">
        <v>28</v>
      </c>
      <c r="C35" s="1" t="s">
        <v>1</v>
      </c>
      <c r="D35" s="1">
        <v>614</v>
      </c>
      <c r="E35" s="1">
        <v>0</v>
      </c>
      <c r="F35" s="1">
        <v>0</v>
      </c>
      <c r="G35" s="8" t="s">
        <v>52</v>
      </c>
      <c r="H35" s="1">
        <v>2</v>
      </c>
      <c r="I35" s="1" t="s">
        <v>27</v>
      </c>
      <c r="J35" s="4" t="str">
        <f t="shared" si="4"/>
        <v>ギガ秘術の果実 × 2</v>
      </c>
      <c r="K35" s="1" t="s">
        <v>51</v>
      </c>
      <c r="L35" s="4" t="s">
        <v>98</v>
      </c>
      <c r="M35" s="1" t="s">
        <v>103</v>
      </c>
    </row>
    <row r="36" spans="1:13" x14ac:dyDescent="0.15">
      <c r="A36" s="1">
        <v>35</v>
      </c>
      <c r="B36" s="1">
        <v>29</v>
      </c>
      <c r="C36" s="1" t="s">
        <v>35</v>
      </c>
      <c r="D36" s="1">
        <v>1</v>
      </c>
      <c r="E36" s="1">
        <v>0</v>
      </c>
      <c r="F36" s="1">
        <v>0</v>
      </c>
      <c r="G36" s="8" t="s">
        <v>36</v>
      </c>
      <c r="H36" s="1">
        <v>5</v>
      </c>
      <c r="I36" s="1" t="s">
        <v>27</v>
      </c>
      <c r="J36" s="4" t="s">
        <v>57</v>
      </c>
      <c r="K36" s="1" t="s">
        <v>51</v>
      </c>
      <c r="L36" s="4" t="s">
        <v>99</v>
      </c>
      <c r="M36" s="1" t="s">
        <v>105</v>
      </c>
    </row>
    <row r="37" spans="1:13" x14ac:dyDescent="0.15">
      <c r="A37" s="1">
        <v>36</v>
      </c>
      <c r="B37" s="1">
        <v>30</v>
      </c>
      <c r="C37" s="1" t="s">
        <v>35</v>
      </c>
      <c r="D37" s="1">
        <v>908</v>
      </c>
      <c r="E37" s="1">
        <v>0</v>
      </c>
      <c r="F37" s="1">
        <v>0</v>
      </c>
      <c r="G37" s="8" t="s">
        <v>62</v>
      </c>
      <c r="H37" s="1">
        <v>1</v>
      </c>
      <c r="I37" s="1" t="s">
        <v>27</v>
      </c>
      <c r="J37" s="4" t="s">
        <v>63</v>
      </c>
      <c r="K37" s="1" t="s">
        <v>51</v>
      </c>
      <c r="L37" s="4" t="s">
        <v>64</v>
      </c>
      <c r="M37" s="1" t="s">
        <v>107</v>
      </c>
    </row>
    <row r="38" spans="1:13" x14ac:dyDescent="0.15">
      <c r="A38" s="1">
        <v>37</v>
      </c>
      <c r="B38" s="1">
        <v>30</v>
      </c>
      <c r="C38" s="1" t="s">
        <v>0</v>
      </c>
      <c r="D38" s="1">
        <v>5</v>
      </c>
      <c r="E38" s="1">
        <v>0</v>
      </c>
      <c r="F38" s="1">
        <v>1</v>
      </c>
      <c r="G38" s="8" t="s">
        <v>41</v>
      </c>
      <c r="H38" s="1" t="s">
        <v>12</v>
      </c>
      <c r="I38" s="1" t="s">
        <v>27</v>
      </c>
      <c r="J38" s="4" t="s">
        <v>109</v>
      </c>
      <c r="K38" s="1" t="s">
        <v>51</v>
      </c>
      <c r="L38" s="4" t="s">
        <v>110</v>
      </c>
      <c r="M38" s="1" t="s">
        <v>12</v>
      </c>
    </row>
  </sheetData>
  <phoneticPr fontId="3"/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daily_login_bonuses</vt:lpstr>
      <vt:lpstr>daily_login_limited_bonuses</vt:lpstr>
    </vt:vector>
  </TitlesOfParts>
  <Company>ワンダープラネット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吉澤 曜祐</dc:creator>
  <cp:lastModifiedBy>Microsoft Office ユーザー</cp:lastModifiedBy>
  <dcterms:created xsi:type="dcterms:W3CDTF">2015-03-09T03:08:33Z</dcterms:created>
  <dcterms:modified xsi:type="dcterms:W3CDTF">2017-02-23T11:10:59Z</dcterms:modified>
</cp:coreProperties>
</file>