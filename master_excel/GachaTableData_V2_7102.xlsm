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860" windowWidth="25100" windowHeight="14640" tabRatio="943" activeTab="6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102100" sheetId="130" r:id="rId6"/>
    <sheet name="tables_settle_7102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  <externalReference r:id="rId12"/>
    <externalReference r:id="rId13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tables_settle_7102100!$A$1:$V$271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131" l="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P9" i="131"/>
  <c r="N9" i="131"/>
  <c r="M9" i="131"/>
  <c r="L9" i="131"/>
  <c r="K9" i="131"/>
  <c r="J9" i="131"/>
  <c r="I9" i="131"/>
  <c r="H9" i="131"/>
  <c r="F9" i="131"/>
  <c r="E9" i="131"/>
  <c r="D9" i="131"/>
  <c r="C9" i="131"/>
  <c r="P8" i="131"/>
  <c r="N8" i="131"/>
  <c r="M8" i="131"/>
  <c r="L8" i="131"/>
  <c r="K8" i="131"/>
  <c r="J8" i="131"/>
  <c r="I8" i="131"/>
  <c r="H8" i="131"/>
  <c r="F8" i="131"/>
  <c r="E8" i="131"/>
  <c r="D8" i="131"/>
  <c r="C8" i="131"/>
  <c r="P7" i="131"/>
  <c r="N7" i="131"/>
  <c r="M7" i="131"/>
  <c r="L7" i="131"/>
  <c r="K7" i="131"/>
  <c r="J7" i="131"/>
  <c r="I7" i="131"/>
  <c r="H7" i="131"/>
  <c r="F7" i="131"/>
  <c r="E7" i="131"/>
  <c r="D7" i="131"/>
  <c r="C7" i="131"/>
  <c r="P6" i="131"/>
  <c r="N6" i="131"/>
  <c r="M6" i="131"/>
  <c r="L6" i="131"/>
  <c r="K6" i="131"/>
  <c r="J6" i="131"/>
  <c r="I6" i="131"/>
  <c r="H6" i="131"/>
  <c r="F6" i="131"/>
  <c r="E6" i="131"/>
  <c r="D6" i="131"/>
  <c r="C6" i="131"/>
  <c r="P5" i="131"/>
  <c r="N5" i="131"/>
  <c r="M5" i="131"/>
  <c r="L5" i="131"/>
  <c r="K5" i="131"/>
  <c r="J5" i="131"/>
  <c r="I5" i="131"/>
  <c r="H5" i="131"/>
  <c r="F5" i="131"/>
  <c r="E5" i="131"/>
  <c r="D5" i="131"/>
  <c r="C5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P3" i="131"/>
  <c r="N3" i="131"/>
  <c r="M3" i="131"/>
  <c r="L3" i="131"/>
  <c r="K3" i="131"/>
  <c r="J3" i="131"/>
  <c r="I3" i="131"/>
  <c r="H3" i="131"/>
  <c r="F3" i="131"/>
  <c r="E3" i="131"/>
  <c r="D3" i="131"/>
  <c r="C3" i="131"/>
  <c r="P2" i="131"/>
  <c r="N2" i="131"/>
  <c r="M2" i="131"/>
  <c r="L2" i="131"/>
  <c r="K2" i="131"/>
  <c r="J2" i="131"/>
  <c r="I2" i="131"/>
  <c r="H2" i="131"/>
  <c r="F2" i="131"/>
  <c r="E2" i="131"/>
  <c r="D2" i="131"/>
  <c r="C2" i="131"/>
  <c r="A2" i="130"/>
  <c r="F5" i="130"/>
  <c r="F6" i="130"/>
  <c r="A36" i="130"/>
  <c r="E5" i="130"/>
  <c r="B26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B29" i="130"/>
  <c r="G29" i="130"/>
  <c r="E29" i="130"/>
  <c r="H29" i="130"/>
  <c r="B28" i="130"/>
  <c r="G28" i="130"/>
  <c r="E28" i="130"/>
  <c r="H28" i="130"/>
  <c r="C3" i="103"/>
  <c r="G17" i="130"/>
  <c r="E17" i="130"/>
  <c r="H17" i="130"/>
  <c r="G18" i="130"/>
  <c r="E18" i="130"/>
  <c r="H18" i="130"/>
  <c r="B5" i="130"/>
  <c r="B24" i="130"/>
  <c r="G24" i="130"/>
  <c r="E24" i="130"/>
  <c r="H24" i="130"/>
  <c r="B25" i="130"/>
  <c r="G25" i="130"/>
  <c r="E25" i="130"/>
  <c r="H25" i="130"/>
  <c r="G19" i="130"/>
  <c r="E19" i="130"/>
  <c r="H19" i="130"/>
  <c r="G20" i="130"/>
  <c r="E20" i="130"/>
  <c r="H20" i="130"/>
  <c r="E6" i="130"/>
  <c r="B21" i="130"/>
  <c r="G21" i="130"/>
  <c r="E21" i="130"/>
  <c r="H21" i="130"/>
  <c r="B27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<sst xmlns="http://schemas.openxmlformats.org/spreadsheetml/2006/main" count="440" uniqueCount="245">
  <si>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</si>
  <si>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</si>
  <si>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</si>
  <si>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</si>
  <si>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</si>
  <si>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</si>
  <si>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</si>
  <si>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</si>
  <si>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</si>
  <si>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</si>
  <si>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</si>
  <si>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</si>
  <si>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</si>
  <si>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</si>
  <si>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</si>
  <si>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</si>
  <si>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</si>
  <si>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</si>
  <si>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</si>
  <si>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</si>
  <si>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</si>
  <si>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</si>
  <si>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</si>
  <si>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</si>
  <si>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</si>
  <si>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</si>
  <si>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</si>
  <si>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</si>
  <si>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</si>
  <si>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</si>
  <si>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</si>
  <si>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</si>
  <si>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</si>
  <si>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</si>
  <si>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</si>
  <si>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</si>
  <si>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</si>
  <si>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</si>
  <si>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</si>
  <si>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</si>
  <si>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</si>
  <si>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</si>
  <si>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</si>
  <si>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</si>
  <si>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</si>
  <si>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</si>
  <si>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</si>
  <si>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</si>
  <si>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</si>
  <si>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</si>
  <si>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</si>
  <si>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</si>
  <si>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</si>
  <si>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</si>
  <si>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</si>
  <si>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</si>
  <si>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</si>
  <si>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</si>
  <si>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</si>
  <si>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</si>
  <si>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</si>
  <si>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</si>
  <si>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</si>
  <si>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</si>
  <si>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</si>
  <si>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</si>
  <si>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</si>
  <si>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</si>
  <si>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</si>
  <si>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</si>
  <si>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</si>
  <si>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</si>
  <si>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</si>
  <si>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</si>
  <si>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</si>
  <si>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</si>
  <si>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</si>
  <si>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</si>
  <si>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</si>
  <si>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</si>
  <si>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</si>
  <si>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</si>
  <si>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</si>
  <si>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</si>
  <si>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</si>
  <si>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</si>
  <si>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</si>
  <si>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</si>
  <si>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</si>
  <si>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</si>
  <si>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</si>
  <si>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</si>
  <si>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</si>
  <si>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</si>
  <si>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</si>
  <si>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</si>
  <si>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</si>
  <si>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</si>
  <si>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</si>
  <si>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</si>
  <si>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</si>
  <si>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</si>
  <si>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</si>
  <si>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</si>
  <si>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</si>
  <si>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</si>
  <si>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</si>
  <si>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</si>
  <si>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</si>
  <si>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</si>
  <si>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</si>
  <si>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</si>
  <si>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</si>
  <si>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</si>
  <si>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</si>
  <si>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</si>
  <si>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</si>
  <si>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</si>
  <si>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</si>
  <si>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</si>
  <si>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</si>
  <si>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</si>
  <si>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</si>
  <si>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</si>
  <si>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</si>
  <si>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</si>
  <si>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</si>
  <si>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</si>
  <si>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</si>
  <si>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</si>
  <si>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</si>
  <si>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</si>
  <si>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</si>
  <si>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</si>
  <si>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</si>
  <si>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</si>
  <si>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</si>
  <si>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</si>
  <si>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</si>
  <si>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</si>
  <si>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</si>
  <si>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</si>
  <si>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</si>
  <si>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</si>
  <si>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</si>
  <si>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</si>
  <si>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</si>
  <si>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</si>
  <si>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</si>
  <si>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</si>
  <si>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</si>
  <si>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</si>
  <si>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</si>
  <si>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</si>
  <si>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</si>
  <si>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</si>
  <si>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</si>
  <si>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</si>
  <si>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</si>
  <si>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</si>
  <si>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</si>
  <si>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</si>
  <si>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</si>
  <si>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</si>
  <si>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</si>
  <si>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</si>
  <si>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</si>
  <si>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</si>
  <si>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</si>
  <si>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</si>
  <si>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</si>
  <si>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</si>
  <si>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</si>
  <si>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</si>
  <si>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</si>
  <si>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</si>
  <si>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</si>
  <si>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</si>
  <si>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</si>
  <si>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</si>
  <si>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</si>
  <si>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</si>
  <si>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</si>
  <si>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</si>
  <si>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</si>
  <si>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</si>
  <si>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</si>
  <si>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</si>
  <si>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</si>
  <si>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</si>
  <si>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</si>
  <si>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</si>
  <si>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</si>
  <si>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</si>
  <si>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</si>
  <si>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</si>
  <si>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</si>
  <si>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</si>
  <si>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</si>
  <si>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</si>
  <si>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</si>
  <si>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</si>
  <si>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</si>
  <si>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</si>
  <si>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</si>
  <si>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</si>
  <si>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</si>
  <si>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</si>
  <si>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</si>
  <si>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</si>
  <si>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</si>
  <si>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</si>
  <si>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</si>
  <si>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</si>
  <si>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</si>
  <si>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</si>
  <si>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</si>
  <si>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</si>
  <si>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</si>
  <si>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</si>
  <si>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</si>
  <si>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</si>
  <si>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</si>
  <si>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</si>
  <si>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</si>
  <si>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old</t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</si>
  <si>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</si>
  <si>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</si>
  <si>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</si>
  <si>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</si>
  <si>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tables_337010</t>
    <phoneticPr fontId="17"/>
  </si>
  <si>
    <t>skip</t>
    <phoneticPr fontId="17"/>
  </si>
  <si>
    <t>gacha_settle_tables_</t>
    <phoneticPr fontId="17"/>
  </si>
  <si>
    <t>table_no</t>
    <phoneticPr fontId="17"/>
  </si>
  <si>
    <t>drop_label2</t>
    <phoneticPr fontId="17"/>
  </si>
  <si>
    <t>color2</t>
    <phoneticPr fontId="17"/>
  </si>
  <si>
    <t>name</t>
    <phoneticPr fontId="17"/>
  </si>
  <si>
    <t>drop_label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</si>
  <si>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</si>
  <si>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</si>
  <si>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</si>
  <si>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</si>
  <si>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weight</t>
    <phoneticPr fontId="17"/>
  </si>
  <si>
    <t>unit_level</t>
    <phoneticPr fontId="17"/>
  </si>
  <si>
    <t>tables_settle_7102100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</si>
</sst>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</cellStyleXfs>
  <cellXfs count="93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3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0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unknown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unknown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unknown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unknown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000100"/>
      <sheetName val="tables_7000100"/>
      <sheetName val="input_settle_7000100"/>
      <sheetName val="tables_settle_7000100"/>
      <sheetName val="gacha_bonus_tables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>
        <row r="21">
          <cell r="A21" t="str">
            <v>Premium5</v>
          </cell>
        </row>
        <row r="24">
          <cell r="A24" t="str">
            <v>Premium3R6release</v>
          </cell>
        </row>
        <row r="25">
          <cell r="A25" t="str">
            <v>Premium4R6release</v>
          </cell>
        </row>
        <row r="26">
          <cell r="A26" t="str">
            <v>Premium5R6release</v>
          </cell>
        </row>
        <row r="27">
          <cell r="A27" t="str">
            <v>PremiumSS4</v>
          </cell>
        </row>
        <row r="28">
          <cell r="A28" t="str">
            <v>PremiumSS5</v>
          </cell>
        </row>
        <row r="29">
          <cell r="A29" t="str">
            <v>PremiumSS5R5only</v>
          </cell>
        </row>
      </sheetData>
      <sheetData sheetId="6">
        <row r="1">
          <cell r="C1" t="str">
            <v>備考</v>
          </cell>
        </row>
        <row r="2">
          <cell r="C2" t="str">
            <v>PremiumW3</v>
          </cell>
        </row>
        <row r="3">
          <cell r="C3" t="str">
            <v>PremiumW4</v>
          </cell>
        </row>
        <row r="4">
          <cell r="C4" t="str">
            <v>PremiumW3</v>
          </cell>
        </row>
        <row r="5">
          <cell r="C5" t="str">
            <v>PremiumW4</v>
          </cell>
        </row>
        <row r="6">
          <cell r="C6" t="str">
            <v>PremiumW3</v>
          </cell>
        </row>
        <row r="7">
          <cell r="C7" t="str">
            <v>PremiumW4</v>
          </cell>
        </row>
        <row r="8">
          <cell r="C8" t="str">
            <v>PremiumW3</v>
          </cell>
        </row>
        <row r="9">
          <cell r="C9" t="str">
            <v>PremiumW4</v>
          </cell>
        </row>
        <row r="10">
          <cell r="C10" t="str">
            <v>PremiumW3</v>
          </cell>
        </row>
        <row r="11">
          <cell r="C11" t="str">
            <v>PremiumW4</v>
          </cell>
        </row>
        <row r="12">
          <cell r="C12" t="str">
            <v>PremiumW3</v>
          </cell>
        </row>
        <row r="13">
          <cell r="C13" t="str">
            <v>PremiumW4</v>
          </cell>
        </row>
        <row r="14">
          <cell r="C14" t="str">
            <v>PremiumW3</v>
          </cell>
        </row>
        <row r="15">
          <cell r="C15" t="str">
            <v>PremiumW4</v>
          </cell>
        </row>
        <row r="16">
          <cell r="C16" t="str">
            <v>PremiumW3</v>
          </cell>
        </row>
        <row r="17">
          <cell r="C17" t="str">
            <v>PremiumW4</v>
          </cell>
        </row>
        <row r="18">
          <cell r="C18" t="str">
            <v>PremiumW3</v>
          </cell>
        </row>
        <row r="19">
          <cell r="C19" t="str">
            <v>PremiumW4</v>
          </cell>
        </row>
        <row r="20">
          <cell r="C20" t="str">
            <v>PremiumW3</v>
          </cell>
        </row>
        <row r="21">
          <cell r="C21" t="str">
            <v>PremiumW4</v>
          </cell>
        </row>
        <row r="22">
          <cell r="C22" t="str">
            <v>PremiumW3</v>
          </cell>
        </row>
        <row r="23">
          <cell r="C23" t="str">
            <v>PremiumW4</v>
          </cell>
        </row>
        <row r="24">
          <cell r="C24" t="str">
            <v>PremiumW3</v>
          </cell>
        </row>
        <row r="25">
          <cell r="C25" t="str">
            <v>PremiumW4</v>
          </cell>
        </row>
        <row r="26">
          <cell r="C26" t="str">
            <v>PremiumW3</v>
          </cell>
        </row>
        <row r="27">
          <cell r="C27" t="str">
            <v>PremiumW4</v>
          </cell>
        </row>
        <row r="28">
          <cell r="C28" t="str">
            <v>PremiumW3</v>
          </cell>
        </row>
        <row r="29">
          <cell r="C29" t="str">
            <v>PremiumW4</v>
          </cell>
        </row>
        <row r="30">
          <cell r="C30" t="str">
            <v>PremiumW3</v>
          </cell>
        </row>
        <row r="31">
          <cell r="C31" t="str">
            <v>PremiumW4</v>
          </cell>
        </row>
        <row r="32">
          <cell r="C32" t="str">
            <v>PremiumW3</v>
          </cell>
        </row>
        <row r="33">
          <cell r="C33" t="str">
            <v>PremiumW4</v>
          </cell>
        </row>
        <row r="34">
          <cell r="C34" t="str">
            <v>PremiumW3</v>
          </cell>
        </row>
        <row r="35">
          <cell r="C35" t="str">
            <v>PremiumW4</v>
          </cell>
        </row>
        <row r="36">
          <cell r="C36" t="str">
            <v>PremiumW3</v>
          </cell>
        </row>
        <row r="37">
          <cell r="C37" t="str">
            <v>PremiumW4</v>
          </cell>
        </row>
        <row r="38">
          <cell r="C38" t="str">
            <v>PremiumW3</v>
          </cell>
        </row>
        <row r="39">
          <cell r="C39" t="str">
            <v>PremiumW4</v>
          </cell>
        </row>
        <row r="40">
          <cell r="C40" t="str">
            <v>PremiumW3</v>
          </cell>
        </row>
        <row r="41">
          <cell r="C41" t="str">
            <v>PremiumW4</v>
          </cell>
        </row>
        <row r="42">
          <cell r="C42" t="str">
            <v>Premium3R6release</v>
          </cell>
        </row>
        <row r="43">
          <cell r="C43" t="str">
            <v>Premium4R6release</v>
          </cell>
        </row>
        <row r="44">
          <cell r="C44" t="str">
            <v>Premium5R6release</v>
          </cell>
        </row>
        <row r="45">
          <cell r="C45" t="str">
            <v>Premium3R6release</v>
          </cell>
        </row>
        <row r="46">
          <cell r="C46" t="str">
            <v>Premium4R6release</v>
          </cell>
        </row>
        <row r="47">
          <cell r="C47" t="str">
            <v>Premium5R6release</v>
          </cell>
        </row>
        <row r="48">
          <cell r="C48" t="str">
            <v>Premium3R6release</v>
          </cell>
        </row>
        <row r="49">
          <cell r="C49" t="str">
            <v>Premium4R6release</v>
          </cell>
        </row>
        <row r="50">
          <cell r="C50" t="str">
            <v>Premium5R6release</v>
          </cell>
        </row>
        <row r="51">
          <cell r="C51" t="str">
            <v>Premium3</v>
          </cell>
        </row>
        <row r="52">
          <cell r="C52" t="str">
            <v>Premium4</v>
          </cell>
        </row>
        <row r="53">
          <cell r="C53" t="str">
            <v>Premium5</v>
          </cell>
        </row>
        <row r="54">
          <cell r="C54" t="str">
            <v>Premium3</v>
          </cell>
        </row>
        <row r="55">
          <cell r="C55" t="str">
            <v>Premium4</v>
          </cell>
        </row>
        <row r="56">
          <cell r="C56" t="str">
            <v>Premium5</v>
          </cell>
        </row>
        <row r="57">
          <cell r="C57" t="str">
            <v>Premium3</v>
          </cell>
        </row>
        <row r="58">
          <cell r="C58" t="str">
            <v>Premium4</v>
          </cell>
        </row>
        <row r="59">
          <cell r="C59" t="str">
            <v>Premium5</v>
          </cell>
        </row>
        <row r="60">
          <cell r="C60" t="str">
            <v>Premium3</v>
          </cell>
        </row>
        <row r="61">
          <cell r="C61" t="str">
            <v>Premium4</v>
          </cell>
        </row>
        <row r="62">
          <cell r="C62" t="str">
            <v>Premium5</v>
          </cell>
        </row>
        <row r="63">
          <cell r="C63" t="str">
            <v>Premium3</v>
          </cell>
        </row>
        <row r="64">
          <cell r="C64" t="str">
            <v>Premium4</v>
          </cell>
        </row>
        <row r="65">
          <cell r="C65" t="str">
            <v>Premium5</v>
          </cell>
        </row>
        <row r="66">
          <cell r="C66" t="str">
            <v>Premium3</v>
          </cell>
        </row>
        <row r="67">
          <cell r="C67" t="str">
            <v>Premium4</v>
          </cell>
        </row>
        <row r="68">
          <cell r="C68" t="str">
            <v>Premium5</v>
          </cell>
        </row>
        <row r="69">
          <cell r="C69" t="str">
            <v>Premium3</v>
          </cell>
        </row>
        <row r="70">
          <cell r="C70" t="str">
            <v>Premium4</v>
          </cell>
        </row>
        <row r="71">
          <cell r="C71" t="str">
            <v>Premium5</v>
          </cell>
        </row>
        <row r="72">
          <cell r="C72" t="str">
            <v>Premium3</v>
          </cell>
        </row>
        <row r="73">
          <cell r="C73" t="str">
            <v>Premium4</v>
          </cell>
        </row>
        <row r="74">
          <cell r="C74" t="str">
            <v>Premium5</v>
          </cell>
        </row>
        <row r="75">
          <cell r="C75" t="str">
            <v>Premium3</v>
          </cell>
        </row>
        <row r="76">
          <cell r="C76" t="str">
            <v>Premium4</v>
          </cell>
        </row>
        <row r="77">
          <cell r="C77" t="str">
            <v>Premium5</v>
          </cell>
        </row>
        <row r="78">
          <cell r="C78" t="str">
            <v>Premium3</v>
          </cell>
        </row>
        <row r="79">
          <cell r="C79" t="str">
            <v>Premium4</v>
          </cell>
        </row>
        <row r="80">
          <cell r="C80" t="str">
            <v>Premium5</v>
          </cell>
        </row>
        <row r="81">
          <cell r="C81" t="str">
            <v>Premium3</v>
          </cell>
        </row>
        <row r="82">
          <cell r="C82" t="str">
            <v>Premium4</v>
          </cell>
        </row>
        <row r="83">
          <cell r="C83" t="str">
            <v>Premium5</v>
          </cell>
        </row>
        <row r="84">
          <cell r="C84" t="str">
            <v>Premium3</v>
          </cell>
        </row>
        <row r="85">
          <cell r="C85" t="str">
            <v>Premium4</v>
          </cell>
        </row>
        <row r="86">
          <cell r="C86" t="str">
            <v>Premium5</v>
          </cell>
        </row>
        <row r="87">
          <cell r="C87" t="str">
            <v>Premium3</v>
          </cell>
        </row>
        <row r="88">
          <cell r="C88" t="str">
            <v>Premium4</v>
          </cell>
        </row>
        <row r="89">
          <cell r="C89" t="str">
            <v>Premium5</v>
          </cell>
        </row>
        <row r="90">
          <cell r="C90" t="str">
            <v>Premium3</v>
          </cell>
        </row>
        <row r="91">
          <cell r="C91" t="str">
            <v>Premium4</v>
          </cell>
        </row>
        <row r="92">
          <cell r="C92" t="str">
            <v>Premium5</v>
          </cell>
        </row>
        <row r="93">
          <cell r="C93" t="str">
            <v>Premium3</v>
          </cell>
        </row>
        <row r="94">
          <cell r="C94" t="str">
            <v>Premium4</v>
          </cell>
        </row>
        <row r="95">
          <cell r="C95" t="str">
            <v>Premium5</v>
          </cell>
        </row>
        <row r="96">
          <cell r="C96" t="str">
            <v>Premium3</v>
          </cell>
        </row>
        <row r="97">
          <cell r="C97" t="str">
            <v>Premium4</v>
          </cell>
        </row>
        <row r="98">
          <cell r="C98" t="str">
            <v>Premium5</v>
          </cell>
        </row>
        <row r="99">
          <cell r="C99" t="str">
            <v>Premium3</v>
          </cell>
        </row>
        <row r="100">
          <cell r="C100" t="str">
            <v>Premium4</v>
          </cell>
        </row>
        <row r="101">
          <cell r="C101" t="str">
            <v>Premium5</v>
          </cell>
        </row>
        <row r="102">
          <cell r="C102" t="str">
            <v>Premium3</v>
          </cell>
        </row>
        <row r="103">
          <cell r="C103" t="str">
            <v>Premium4</v>
          </cell>
        </row>
        <row r="104">
          <cell r="C104" t="str">
            <v>Premium5</v>
          </cell>
        </row>
        <row r="105">
          <cell r="C105" t="str">
            <v>Premium3</v>
          </cell>
        </row>
        <row r="106">
          <cell r="C106" t="str">
            <v>Premium4</v>
          </cell>
        </row>
        <row r="107">
          <cell r="C107" t="str">
            <v>Premium5</v>
          </cell>
        </row>
        <row r="108">
          <cell r="C108" t="str">
            <v>Premium3</v>
          </cell>
        </row>
        <row r="109">
          <cell r="C109" t="str">
            <v>Premium4</v>
          </cell>
        </row>
        <row r="110">
          <cell r="C110" t="str">
            <v>Premium5</v>
          </cell>
        </row>
        <row r="111">
          <cell r="C111" t="str">
            <v>Premium3R6release</v>
          </cell>
        </row>
        <row r="112">
          <cell r="C112" t="str">
            <v>Premium4R6release</v>
          </cell>
        </row>
        <row r="113">
          <cell r="C113" t="str">
            <v>Premium5R6release</v>
          </cell>
        </row>
        <row r="114">
          <cell r="C114" t="str">
            <v>Premium3</v>
          </cell>
        </row>
        <row r="115">
          <cell r="C115" t="str">
            <v>Premium4</v>
          </cell>
        </row>
        <row r="116">
          <cell r="C116" t="str">
            <v>Premium5</v>
          </cell>
        </row>
        <row r="117">
          <cell r="C117" t="str">
            <v>Premium3</v>
          </cell>
        </row>
        <row r="118">
          <cell r="C118" t="str">
            <v>Premium4</v>
          </cell>
        </row>
        <row r="119">
          <cell r="C119" t="str">
            <v>Premium5</v>
          </cell>
        </row>
        <row r="120">
          <cell r="C120" t="str">
            <v>Premium3</v>
          </cell>
        </row>
        <row r="121">
          <cell r="C121" t="str">
            <v>Premium4</v>
          </cell>
        </row>
        <row r="122">
          <cell r="C122" t="str">
            <v>Premium5</v>
          </cell>
        </row>
        <row r="123">
          <cell r="C123" t="str">
            <v>Premium3</v>
          </cell>
        </row>
        <row r="124">
          <cell r="C124" t="str">
            <v>Premium4</v>
          </cell>
        </row>
        <row r="125">
          <cell r="C125" t="str">
            <v>Premium5</v>
          </cell>
        </row>
        <row r="126">
          <cell r="C126" t="str">
            <v>Premium3</v>
          </cell>
        </row>
        <row r="127">
          <cell r="C127" t="str">
            <v>Premium4</v>
          </cell>
        </row>
        <row r="128">
          <cell r="C128" t="str">
            <v>Premium5</v>
          </cell>
        </row>
        <row r="129">
          <cell r="C129" t="str">
            <v>Premium3</v>
          </cell>
        </row>
        <row r="130">
          <cell r="C130" t="str">
            <v>Premium4</v>
          </cell>
        </row>
        <row r="131">
          <cell r="C131" t="str">
            <v>Premium5</v>
          </cell>
        </row>
        <row r="132">
          <cell r="C132" t="str">
            <v>Premium3</v>
          </cell>
        </row>
        <row r="133">
          <cell r="C133" t="str">
            <v>Premium4</v>
          </cell>
        </row>
        <row r="134">
          <cell r="C134" t="str">
            <v>Premium5</v>
          </cell>
        </row>
        <row r="135">
          <cell r="C135" t="str">
            <v>Premium3</v>
          </cell>
        </row>
        <row r="136">
          <cell r="C136" t="str">
            <v>Premium4</v>
          </cell>
        </row>
        <row r="137">
          <cell r="C137" t="str">
            <v>Premium5</v>
          </cell>
        </row>
        <row r="138">
          <cell r="C138" t="str">
            <v>PremiumSS4</v>
          </cell>
        </row>
        <row r="139">
          <cell r="C139" t="str">
            <v>PremiumSS5</v>
          </cell>
        </row>
        <row r="140">
          <cell r="C140" t="str">
            <v>PremiumSS4</v>
          </cell>
        </row>
        <row r="141">
          <cell r="C141" t="str">
            <v>PremiumSS5</v>
          </cell>
        </row>
        <row r="142">
          <cell r="C142" t="str">
            <v>PremiumSS4</v>
          </cell>
        </row>
        <row r="143">
          <cell r="C143" t="str">
            <v>PremiumSS5</v>
          </cell>
        </row>
        <row r="144">
          <cell r="C144" t="str">
            <v>PremiumSS4</v>
          </cell>
        </row>
        <row r="145">
          <cell r="C145" t="str">
            <v>PremiumSS5</v>
          </cell>
        </row>
        <row r="146">
          <cell r="C146" t="str">
            <v>Premium3</v>
          </cell>
        </row>
        <row r="147">
          <cell r="C147" t="str">
            <v>Premium4</v>
          </cell>
        </row>
        <row r="148">
          <cell r="C148" t="str">
            <v>Premium5</v>
          </cell>
        </row>
        <row r="149">
          <cell r="C149" t="str">
            <v>PremiumSS4</v>
          </cell>
        </row>
        <row r="150">
          <cell r="C150" t="str">
            <v>PremiumSS5</v>
          </cell>
        </row>
        <row r="151">
          <cell r="C151" t="str">
            <v>PremiumSS4</v>
          </cell>
        </row>
        <row r="152">
          <cell r="C152" t="str">
            <v>PremiumSS5</v>
          </cell>
        </row>
        <row r="153">
          <cell r="C153" t="str">
            <v>Premium3</v>
          </cell>
        </row>
        <row r="154">
          <cell r="C154" t="str">
            <v>Premium4</v>
          </cell>
        </row>
        <row r="155">
          <cell r="C155" t="str">
            <v>Premium5</v>
          </cell>
        </row>
        <row r="156">
          <cell r="C156" t="str">
            <v>PremiumSS4</v>
          </cell>
        </row>
        <row r="157">
          <cell r="C157" t="str">
            <v>PremiumSS5</v>
          </cell>
        </row>
        <row r="158">
          <cell r="C158" t="str">
            <v>Premium3</v>
          </cell>
        </row>
        <row r="159">
          <cell r="C159" t="str">
            <v>Premium4</v>
          </cell>
        </row>
        <row r="160">
          <cell r="C160" t="str">
            <v>Premium5</v>
          </cell>
        </row>
        <row r="161">
          <cell r="C161" t="str">
            <v>Premium3</v>
          </cell>
        </row>
        <row r="162">
          <cell r="C162" t="str">
            <v>Premium4</v>
          </cell>
        </row>
        <row r="163">
          <cell r="C163" t="str">
            <v>Premium5</v>
          </cell>
        </row>
        <row r="164">
          <cell r="C164" t="str">
            <v>PremiumSS4</v>
          </cell>
        </row>
        <row r="165">
          <cell r="C165" t="str">
            <v>PremiumSS5</v>
          </cell>
        </row>
        <row r="166">
          <cell r="C166" t="str">
            <v>Premium3</v>
          </cell>
        </row>
        <row r="167">
          <cell r="C167" t="str">
            <v>Premium4</v>
          </cell>
        </row>
        <row r="168">
          <cell r="C168" t="str">
            <v>Premium5</v>
          </cell>
        </row>
        <row r="169">
          <cell r="C169" t="str">
            <v>PremiumSS4</v>
          </cell>
        </row>
        <row r="170">
          <cell r="C170" t="str">
            <v>PremiumSS5</v>
          </cell>
        </row>
        <row r="171">
          <cell r="C171" t="str">
            <v>Premium3</v>
          </cell>
        </row>
        <row r="172">
          <cell r="C172" t="str">
            <v>Premium4</v>
          </cell>
        </row>
        <row r="173">
          <cell r="C173" t="str">
            <v>Premium5</v>
          </cell>
        </row>
        <row r="174">
          <cell r="C174" t="str">
            <v>PremiumSS4</v>
          </cell>
        </row>
        <row r="175">
          <cell r="C175" t="str">
            <v>PremiumSS5</v>
          </cell>
        </row>
        <row r="176">
          <cell r="C176" t="str">
            <v>PremiumSS4</v>
          </cell>
        </row>
        <row r="177">
          <cell r="C177" t="str">
            <v>PremiumSS5</v>
          </cell>
        </row>
        <row r="178">
          <cell r="C178" t="str">
            <v>Premium3</v>
          </cell>
        </row>
        <row r="179">
          <cell r="C179" t="str">
            <v>Premium4</v>
          </cell>
        </row>
        <row r="180">
          <cell r="C180" t="str">
            <v>Premium5</v>
          </cell>
        </row>
        <row r="181">
          <cell r="C181" t="str">
            <v>Premium3</v>
          </cell>
        </row>
        <row r="182">
          <cell r="C182" t="str">
            <v>Premium4</v>
          </cell>
        </row>
        <row r="183">
          <cell r="C183" t="str">
            <v>Premium5</v>
          </cell>
        </row>
        <row r="184">
          <cell r="C184" t="str">
            <v>PremiumSS4</v>
          </cell>
        </row>
        <row r="185">
          <cell r="C185" t="str">
            <v>PremiumSS5</v>
          </cell>
        </row>
        <row r="186">
          <cell r="C186" t="str">
            <v>Premium3</v>
          </cell>
        </row>
        <row r="187">
          <cell r="C187" t="str">
            <v>Premium4</v>
          </cell>
        </row>
        <row r="188">
          <cell r="C188" t="str">
            <v>Premium5</v>
          </cell>
        </row>
        <row r="189">
          <cell r="C189" t="str">
            <v>PremiumSS4</v>
          </cell>
        </row>
        <row r="190">
          <cell r="C190" t="str">
            <v>PremiumSS5</v>
          </cell>
        </row>
        <row r="191">
          <cell r="C191" t="str">
            <v>PremiumSS4</v>
          </cell>
        </row>
        <row r="192">
          <cell r="C192" t="str">
            <v>PremiumSS5</v>
          </cell>
        </row>
        <row r="193">
          <cell r="C193" t="str">
            <v>Premium3</v>
          </cell>
        </row>
        <row r="194">
          <cell r="C194" t="str">
            <v>Premium4</v>
          </cell>
        </row>
        <row r="195">
          <cell r="C195" t="str">
            <v>Premium5</v>
          </cell>
        </row>
        <row r="196">
          <cell r="C196" t="str">
            <v>PremiumSS4</v>
          </cell>
        </row>
        <row r="197">
          <cell r="C197" t="str">
            <v>PremiumSS5</v>
          </cell>
        </row>
        <row r="198">
          <cell r="C198" t="str">
            <v>Premium3</v>
          </cell>
        </row>
        <row r="199">
          <cell r="C199" t="str">
            <v>Premium4</v>
          </cell>
        </row>
        <row r="200">
          <cell r="C200" t="str">
            <v>Premium5</v>
          </cell>
        </row>
        <row r="201">
          <cell r="C201" t="str">
            <v>PremiumSS4</v>
          </cell>
        </row>
        <row r="202">
          <cell r="C202" t="str">
            <v>PremiumSS5</v>
          </cell>
        </row>
        <row r="203">
          <cell r="C203" t="str">
            <v>Premium3</v>
          </cell>
        </row>
        <row r="204">
          <cell r="C204" t="str">
            <v>Premium4</v>
          </cell>
        </row>
        <row r="205">
          <cell r="C205" t="str">
            <v>Premium5</v>
          </cell>
        </row>
        <row r="206">
          <cell r="C206" t="str">
            <v>PremiumSS4</v>
          </cell>
        </row>
        <row r="207">
          <cell r="C207" t="str">
            <v>PremiumSS5</v>
          </cell>
        </row>
        <row r="208">
          <cell r="C208" t="str">
            <v>PremiumSS4</v>
          </cell>
        </row>
        <row r="209">
          <cell r="C209" t="str">
            <v>PremiumSS5</v>
          </cell>
        </row>
        <row r="210">
          <cell r="C210" t="str">
            <v>Premium3</v>
          </cell>
        </row>
        <row r="211">
          <cell r="C211" t="str">
            <v>Premium4</v>
          </cell>
        </row>
        <row r="212">
          <cell r="C212" t="str">
            <v>Premium5</v>
          </cell>
        </row>
        <row r="213">
          <cell r="C213" t="str">
            <v>PremiumSS4</v>
          </cell>
        </row>
        <row r="214">
          <cell r="C214" t="str">
            <v>PremiumSS5</v>
          </cell>
        </row>
        <row r="215">
          <cell r="C215" t="str">
            <v>PremiumSS4</v>
          </cell>
        </row>
        <row r="216">
          <cell r="C216" t="str">
            <v>PremiumSS5</v>
          </cell>
        </row>
        <row r="217">
          <cell r="C217" t="str">
            <v>Premium3</v>
          </cell>
        </row>
        <row r="218">
          <cell r="C218" t="str">
            <v>Premium4</v>
          </cell>
        </row>
        <row r="219">
          <cell r="C219" t="str">
            <v>Premium5</v>
          </cell>
        </row>
        <row r="220">
          <cell r="C220" t="str">
            <v>Premium3</v>
          </cell>
        </row>
        <row r="221">
          <cell r="C221" t="str">
            <v>Premium4</v>
          </cell>
        </row>
        <row r="222">
          <cell r="C222" t="str">
            <v>Premium5</v>
          </cell>
        </row>
        <row r="223">
          <cell r="C223" t="str">
            <v>PremiumSS4</v>
          </cell>
        </row>
        <row r="224">
          <cell r="C224" t="str">
            <v>PremiumSS5</v>
          </cell>
        </row>
        <row r="225">
          <cell r="C225" t="str">
            <v>Premium3</v>
          </cell>
        </row>
        <row r="226">
          <cell r="C226" t="str">
            <v>Premium4</v>
          </cell>
        </row>
        <row r="227">
          <cell r="C227" t="str">
            <v>Premium5</v>
          </cell>
        </row>
        <row r="228">
          <cell r="C228" t="str">
            <v>Premium3</v>
          </cell>
        </row>
        <row r="229">
          <cell r="C229" t="str">
            <v>Premium4</v>
          </cell>
        </row>
        <row r="230">
          <cell r="C230" t="str">
            <v>Premium5</v>
          </cell>
        </row>
        <row r="231">
          <cell r="C231" t="str">
            <v>PremiumSS4</v>
          </cell>
        </row>
        <row r="232">
          <cell r="C232" t="str">
            <v>PremiumSS5</v>
          </cell>
        </row>
        <row r="233">
          <cell r="C233" t="str">
            <v>Premium3</v>
          </cell>
        </row>
        <row r="234">
          <cell r="C234" t="str">
            <v>Premium4</v>
          </cell>
        </row>
        <row r="235">
          <cell r="C235" t="str">
            <v>Premium5</v>
          </cell>
        </row>
        <row r="236">
          <cell r="C236" t="str">
            <v>PremiumSS4</v>
          </cell>
        </row>
        <row r="237">
          <cell r="C237" t="str">
            <v>PremiumSS5</v>
          </cell>
        </row>
        <row r="238">
          <cell r="C238" t="str">
            <v>PremiumSS4</v>
          </cell>
        </row>
        <row r="239">
          <cell r="C239" t="str">
            <v>PremiumSS5</v>
          </cell>
        </row>
        <row r="240">
          <cell r="C240" t="str">
            <v>Premium3</v>
          </cell>
        </row>
        <row r="241">
          <cell r="C241" t="str">
            <v>Premium4</v>
          </cell>
        </row>
        <row r="242">
          <cell r="C242" t="str">
            <v>Premium5</v>
          </cell>
        </row>
        <row r="243">
          <cell r="C243" t="str">
            <v>Premium3</v>
          </cell>
        </row>
        <row r="244">
          <cell r="C244" t="str">
            <v>Premium4</v>
          </cell>
        </row>
        <row r="245">
          <cell r="C245" t="str">
            <v>Premium5</v>
          </cell>
        </row>
        <row r="246">
          <cell r="C246" t="str">
            <v>Premium3</v>
          </cell>
        </row>
        <row r="247">
          <cell r="C247" t="str">
            <v>Premium4</v>
          </cell>
        </row>
        <row r="248">
          <cell r="C248" t="str">
            <v>Premium5</v>
          </cell>
        </row>
        <row r="249">
          <cell r="C249" t="str">
            <v>Premium3</v>
          </cell>
        </row>
        <row r="250">
          <cell r="C250" t="str">
            <v>Premium4</v>
          </cell>
        </row>
        <row r="251">
          <cell r="C251" t="str">
            <v>Premium5</v>
          </cell>
        </row>
        <row r="252">
          <cell r="C252" t="str">
            <v>PremiumSS4</v>
          </cell>
        </row>
        <row r="253">
          <cell r="C253" t="str">
            <v>PremiumSS5</v>
          </cell>
        </row>
        <row r="254">
          <cell r="C254" t="str">
            <v>PremiumSS4</v>
          </cell>
        </row>
        <row r="255">
          <cell r="C255" t="str">
            <v>PremiumSS5</v>
          </cell>
        </row>
        <row r="256">
          <cell r="C256" t="str">
            <v>PremiumSS4</v>
          </cell>
        </row>
        <row r="257">
          <cell r="C257" t="str">
            <v>PremiumSS5</v>
          </cell>
        </row>
        <row r="258">
          <cell r="C258" t="str">
            <v>PremiumSS4</v>
          </cell>
        </row>
        <row r="259">
          <cell r="C259" t="str">
            <v>PremiumSS5</v>
          </cell>
        </row>
        <row r="260">
          <cell r="C260" t="str">
            <v>Premium3</v>
          </cell>
        </row>
        <row r="261">
          <cell r="C261" t="str">
            <v>Premium4</v>
          </cell>
        </row>
        <row r="262">
          <cell r="C262" t="str">
            <v>Premium5</v>
          </cell>
        </row>
        <row r="263">
          <cell r="C263" t="str">
            <v>Premium3</v>
          </cell>
        </row>
        <row r="264">
          <cell r="C264" t="str">
            <v>Premium4</v>
          </cell>
        </row>
        <row r="265">
          <cell r="C265" t="str">
            <v>Premium5</v>
          </cell>
        </row>
        <row r="266">
          <cell r="C266" t="str">
            <v>Premium4R3less</v>
          </cell>
        </row>
        <row r="267">
          <cell r="C267" t="str">
            <v>Premium5R3less</v>
          </cell>
        </row>
        <row r="268">
          <cell r="C268" t="str">
            <v>Premium4R3less</v>
          </cell>
        </row>
        <row r="269">
          <cell r="C269" t="str">
            <v>Premium5R3less</v>
          </cell>
        </row>
        <row r="270">
          <cell r="C270" t="str">
            <v>PremiumSS5R5only</v>
          </cell>
        </row>
        <row r="271">
          <cell r="C271" t="str">
            <v>PremiumSS5R5only</v>
          </cell>
        </row>
      </sheetData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7100100"/>
      <sheetName val="tables_7100100"/>
      <sheetName val="tables_settle_7100100"/>
      <sheetName val="gacha_bonus_tables"/>
      <sheetName val="R6追加前"/>
      <sheetName val="R6開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character_id</v>
          </cell>
        </row>
        <row r="2">
          <cell r="A2">
            <v>126</v>
          </cell>
        </row>
        <row r="3">
          <cell r="A3">
            <v>127</v>
          </cell>
        </row>
        <row r="4">
          <cell r="A4">
            <v>128</v>
          </cell>
        </row>
        <row r="5">
          <cell r="A5">
            <v>129</v>
          </cell>
        </row>
        <row r="6">
          <cell r="A6">
            <v>130</v>
          </cell>
        </row>
        <row r="7">
          <cell r="A7">
            <v>131</v>
          </cell>
        </row>
        <row r="8">
          <cell r="A8">
            <v>132</v>
          </cell>
        </row>
        <row r="9">
          <cell r="A9">
            <v>133</v>
          </cell>
        </row>
        <row r="10">
          <cell r="A10">
            <v>134</v>
          </cell>
        </row>
        <row r="11">
          <cell r="A11">
            <v>135</v>
          </cell>
        </row>
        <row r="12">
          <cell r="A12">
            <v>136</v>
          </cell>
        </row>
        <row r="13">
          <cell r="A13">
            <v>137</v>
          </cell>
        </row>
        <row r="14">
          <cell r="A14">
            <v>138</v>
          </cell>
        </row>
        <row r="15">
          <cell r="A15">
            <v>139</v>
          </cell>
        </row>
        <row r="16">
          <cell r="A16">
            <v>140</v>
          </cell>
        </row>
        <row r="17">
          <cell r="A17">
            <v>141</v>
          </cell>
        </row>
        <row r="18">
          <cell r="A18">
            <v>142</v>
          </cell>
        </row>
        <row r="19">
          <cell r="A19">
            <v>143</v>
          </cell>
        </row>
        <row r="20">
          <cell r="A20">
            <v>144</v>
          </cell>
        </row>
        <row r="21">
          <cell r="A21">
            <v>145</v>
          </cell>
        </row>
        <row r="22">
          <cell r="A22">
            <v>146</v>
          </cell>
        </row>
        <row r="23">
          <cell r="A23">
            <v>147</v>
          </cell>
        </row>
        <row r="24">
          <cell r="A24">
            <v>148</v>
          </cell>
        </row>
        <row r="25">
          <cell r="A25">
            <v>149</v>
          </cell>
        </row>
        <row r="26">
          <cell r="A26">
            <v>150</v>
          </cell>
        </row>
        <row r="27">
          <cell r="A27">
            <v>151</v>
          </cell>
        </row>
        <row r="28">
          <cell r="A28">
            <v>152</v>
          </cell>
        </row>
        <row r="29">
          <cell r="A29">
            <v>153</v>
          </cell>
        </row>
        <row r="30">
          <cell r="A30">
            <v>154</v>
          </cell>
        </row>
        <row r="31">
          <cell r="A31">
            <v>155</v>
          </cell>
        </row>
        <row r="32">
          <cell r="A32">
            <v>156</v>
          </cell>
        </row>
        <row r="33">
          <cell r="A33">
            <v>157</v>
          </cell>
        </row>
        <row r="34">
          <cell r="A34">
            <v>158</v>
          </cell>
        </row>
        <row r="35">
          <cell r="A35">
            <v>159</v>
          </cell>
        </row>
        <row r="36">
          <cell r="A36">
            <v>160</v>
          </cell>
        </row>
        <row r="37">
          <cell r="A37">
            <v>161</v>
          </cell>
        </row>
        <row r="38">
          <cell r="A38">
            <v>162</v>
          </cell>
        </row>
        <row r="39">
          <cell r="A39">
            <v>163</v>
          </cell>
        </row>
        <row r="40">
          <cell r="A40">
            <v>164</v>
          </cell>
        </row>
        <row r="41">
          <cell r="A41">
            <v>165</v>
          </cell>
        </row>
        <row r="42">
          <cell r="A42">
            <v>166</v>
          </cell>
        </row>
        <row r="43">
          <cell r="A43">
            <v>167</v>
          </cell>
        </row>
        <row r="44">
          <cell r="A44">
            <v>168</v>
          </cell>
        </row>
        <row r="45">
          <cell r="A45">
            <v>169</v>
          </cell>
        </row>
        <row r="46">
          <cell r="A46">
            <v>170</v>
          </cell>
        </row>
        <row r="47">
          <cell r="A47">
            <v>171</v>
          </cell>
        </row>
        <row r="48">
          <cell r="A48">
            <v>172</v>
          </cell>
        </row>
        <row r="49">
          <cell r="A49">
            <v>173</v>
          </cell>
        </row>
        <row r="50">
          <cell r="A50">
            <v>174</v>
          </cell>
        </row>
        <row r="51">
          <cell r="A51">
            <v>175</v>
          </cell>
        </row>
        <row r="52">
          <cell r="A52">
            <v>176</v>
          </cell>
        </row>
        <row r="53">
          <cell r="A53">
            <v>177</v>
          </cell>
        </row>
        <row r="54">
          <cell r="A54">
            <v>178</v>
          </cell>
        </row>
        <row r="55">
          <cell r="A55">
            <v>179</v>
          </cell>
        </row>
        <row r="56">
          <cell r="A56">
            <v>180</v>
          </cell>
        </row>
        <row r="57">
          <cell r="A57">
            <v>181</v>
          </cell>
        </row>
        <row r="58">
          <cell r="A58">
            <v>182</v>
          </cell>
        </row>
        <row r="59">
          <cell r="A59">
            <v>183</v>
          </cell>
        </row>
        <row r="60">
          <cell r="A60">
            <v>184</v>
          </cell>
        </row>
        <row r="61">
          <cell r="A61">
            <v>185</v>
          </cell>
        </row>
        <row r="62">
          <cell r="A62">
            <v>186</v>
          </cell>
        </row>
        <row r="63">
          <cell r="A63">
            <v>187</v>
          </cell>
        </row>
        <row r="64">
          <cell r="A64">
            <v>188</v>
          </cell>
        </row>
        <row r="65">
          <cell r="A65">
            <v>189</v>
          </cell>
        </row>
        <row r="66">
          <cell r="A66">
            <v>190</v>
          </cell>
        </row>
        <row r="67">
          <cell r="A67">
            <v>191</v>
          </cell>
        </row>
        <row r="68">
          <cell r="A68">
            <v>192</v>
          </cell>
        </row>
        <row r="69">
          <cell r="A69">
            <v>193</v>
          </cell>
        </row>
        <row r="70">
          <cell r="A70">
            <v>194</v>
          </cell>
        </row>
        <row r="71">
          <cell r="A71">
            <v>195</v>
          </cell>
        </row>
        <row r="72">
          <cell r="A72">
            <v>196</v>
          </cell>
        </row>
        <row r="73">
          <cell r="A73">
            <v>197</v>
          </cell>
        </row>
        <row r="74">
          <cell r="A74">
            <v>198</v>
          </cell>
        </row>
        <row r="75">
          <cell r="A75">
            <v>199</v>
          </cell>
        </row>
        <row r="76">
          <cell r="A76">
            <v>200</v>
          </cell>
        </row>
        <row r="77">
          <cell r="A77">
            <v>201</v>
          </cell>
        </row>
        <row r="78">
          <cell r="A78">
            <v>202</v>
          </cell>
        </row>
        <row r="79">
          <cell r="A79">
            <v>203</v>
          </cell>
        </row>
        <row r="80">
          <cell r="A80">
            <v>204</v>
          </cell>
        </row>
        <row r="81">
          <cell r="A81">
            <v>205</v>
          </cell>
        </row>
        <row r="82">
          <cell r="A82">
            <v>206</v>
          </cell>
        </row>
        <row r="83">
          <cell r="A83">
            <v>207</v>
          </cell>
        </row>
        <row r="84">
          <cell r="A84">
            <v>208</v>
          </cell>
        </row>
        <row r="85">
          <cell r="A85">
            <v>209</v>
          </cell>
        </row>
        <row r="86">
          <cell r="A86">
            <v>210</v>
          </cell>
        </row>
        <row r="87">
          <cell r="A87">
            <v>211</v>
          </cell>
        </row>
        <row r="88">
          <cell r="A88">
            <v>212</v>
          </cell>
        </row>
        <row r="89">
          <cell r="A89">
            <v>213</v>
          </cell>
        </row>
        <row r="90">
          <cell r="A90">
            <v>214</v>
          </cell>
        </row>
        <row r="91">
          <cell r="A91">
            <v>215</v>
          </cell>
        </row>
        <row r="92">
          <cell r="A92">
            <v>216</v>
          </cell>
        </row>
        <row r="93">
          <cell r="A93">
            <v>217</v>
          </cell>
        </row>
        <row r="94">
          <cell r="A94">
            <v>218</v>
          </cell>
        </row>
        <row r="95">
          <cell r="A95">
            <v>219</v>
          </cell>
        </row>
        <row r="96">
          <cell r="A96">
            <v>220</v>
          </cell>
        </row>
        <row r="97">
          <cell r="A97">
            <v>221</v>
          </cell>
        </row>
        <row r="98">
          <cell r="A98">
            <v>222</v>
          </cell>
        </row>
        <row r="99">
          <cell r="A99">
            <v>223</v>
          </cell>
        </row>
        <row r="100">
          <cell r="A100">
            <v>224</v>
          </cell>
        </row>
        <row r="101">
          <cell r="A101">
            <v>225</v>
          </cell>
        </row>
        <row r="102">
          <cell r="A102">
            <v>226</v>
          </cell>
        </row>
        <row r="103">
          <cell r="A103">
            <v>227</v>
          </cell>
        </row>
        <row r="104">
          <cell r="A104">
            <v>228</v>
          </cell>
        </row>
        <row r="105">
          <cell r="A105">
            <v>229</v>
          </cell>
        </row>
        <row r="106">
          <cell r="A106">
            <v>230</v>
          </cell>
        </row>
        <row r="107">
          <cell r="A107">
            <v>231</v>
          </cell>
        </row>
        <row r="108">
          <cell r="A108">
            <v>232</v>
          </cell>
        </row>
        <row r="109">
          <cell r="A109">
            <v>233</v>
          </cell>
        </row>
        <row r="110">
          <cell r="A110">
            <v>234</v>
          </cell>
        </row>
        <row r="111">
          <cell r="A111">
            <v>235</v>
          </cell>
        </row>
        <row r="112">
          <cell r="A112">
            <v>236</v>
          </cell>
        </row>
        <row r="113">
          <cell r="A113">
            <v>237</v>
          </cell>
        </row>
        <row r="114">
          <cell r="A114">
            <v>238</v>
          </cell>
        </row>
        <row r="115">
          <cell r="A115">
            <v>239</v>
          </cell>
        </row>
        <row r="116">
          <cell r="A116">
            <v>240</v>
          </cell>
        </row>
        <row r="117">
          <cell r="A117">
            <v>241</v>
          </cell>
        </row>
        <row r="118">
          <cell r="A118">
            <v>242</v>
          </cell>
        </row>
        <row r="119">
          <cell r="A119">
            <v>243</v>
          </cell>
        </row>
        <row r="120">
          <cell r="A120">
            <v>244</v>
          </cell>
        </row>
        <row r="121">
          <cell r="A121">
            <v>245</v>
          </cell>
        </row>
        <row r="122">
          <cell r="A122">
            <v>246</v>
          </cell>
        </row>
        <row r="123">
          <cell r="A123">
            <v>247</v>
          </cell>
        </row>
        <row r="124">
          <cell r="A124">
            <v>248</v>
          </cell>
        </row>
        <row r="125">
          <cell r="A125">
            <v>249</v>
          </cell>
        </row>
        <row r="126">
          <cell r="A126">
            <v>250</v>
          </cell>
        </row>
        <row r="127">
          <cell r="A127">
            <v>251</v>
          </cell>
        </row>
        <row r="128">
          <cell r="A128">
            <v>252</v>
          </cell>
        </row>
        <row r="129">
          <cell r="A129">
            <v>253</v>
          </cell>
        </row>
        <row r="130">
          <cell r="A130">
            <v>254</v>
          </cell>
        </row>
        <row r="131">
          <cell r="A131">
            <v>255</v>
          </cell>
        </row>
        <row r="132">
          <cell r="A132">
            <v>256</v>
          </cell>
        </row>
        <row r="133">
          <cell r="A133">
            <v>257</v>
          </cell>
        </row>
        <row r="134">
          <cell r="A134">
            <v>258</v>
          </cell>
        </row>
        <row r="135">
          <cell r="A135">
            <v>259</v>
          </cell>
        </row>
        <row r="136">
          <cell r="A136">
            <v>260</v>
          </cell>
        </row>
        <row r="137">
          <cell r="A137">
            <v>261</v>
          </cell>
        </row>
        <row r="138">
          <cell r="A138">
            <v>320</v>
          </cell>
        </row>
        <row r="139">
          <cell r="A139">
            <v>321</v>
          </cell>
        </row>
        <row r="140">
          <cell r="A140">
            <v>322</v>
          </cell>
        </row>
        <row r="141">
          <cell r="A141">
            <v>323</v>
          </cell>
        </row>
        <row r="142">
          <cell r="A142">
            <v>324</v>
          </cell>
        </row>
        <row r="143">
          <cell r="A143">
            <v>325</v>
          </cell>
        </row>
        <row r="144">
          <cell r="A144">
            <v>326</v>
          </cell>
        </row>
        <row r="145">
          <cell r="A145">
            <v>327</v>
          </cell>
        </row>
        <row r="146">
          <cell r="A146">
            <v>380</v>
          </cell>
        </row>
        <row r="147">
          <cell r="A147">
            <v>381</v>
          </cell>
        </row>
        <row r="148">
          <cell r="A148">
            <v>382</v>
          </cell>
        </row>
        <row r="149">
          <cell r="A149">
            <v>383</v>
          </cell>
        </row>
        <row r="150">
          <cell r="A150">
            <v>384</v>
          </cell>
        </row>
        <row r="151">
          <cell r="A151">
            <v>385</v>
          </cell>
        </row>
        <row r="152">
          <cell r="A152">
            <v>386</v>
          </cell>
        </row>
        <row r="153">
          <cell r="A153">
            <v>387</v>
          </cell>
        </row>
        <row r="154">
          <cell r="A154">
            <v>388</v>
          </cell>
        </row>
        <row r="155">
          <cell r="A155">
            <v>389</v>
          </cell>
        </row>
        <row r="156">
          <cell r="A156">
            <v>390</v>
          </cell>
        </row>
        <row r="157">
          <cell r="A157">
            <v>391</v>
          </cell>
        </row>
        <row r="158">
          <cell r="A158">
            <v>392</v>
          </cell>
        </row>
        <row r="159">
          <cell r="A159">
            <v>393</v>
          </cell>
        </row>
        <row r="160">
          <cell r="A160">
            <v>394</v>
          </cell>
        </row>
        <row r="161">
          <cell r="A161">
            <v>395</v>
          </cell>
        </row>
        <row r="162">
          <cell r="A162">
            <v>396</v>
          </cell>
        </row>
        <row r="163">
          <cell r="A163">
            <v>397</v>
          </cell>
        </row>
        <row r="164">
          <cell r="A164">
            <v>398</v>
          </cell>
        </row>
        <row r="165">
          <cell r="A165">
            <v>399</v>
          </cell>
        </row>
        <row r="166">
          <cell r="A166">
            <v>400</v>
          </cell>
        </row>
        <row r="167">
          <cell r="A167">
            <v>401</v>
          </cell>
        </row>
        <row r="168">
          <cell r="A168">
            <v>402</v>
          </cell>
        </row>
        <row r="169">
          <cell r="A169">
            <v>403</v>
          </cell>
        </row>
        <row r="170">
          <cell r="A170">
            <v>404</v>
          </cell>
        </row>
        <row r="171">
          <cell r="A171">
            <v>405</v>
          </cell>
        </row>
        <row r="172">
          <cell r="A172">
            <v>406</v>
          </cell>
        </row>
        <row r="173">
          <cell r="A173">
            <v>407</v>
          </cell>
        </row>
        <row r="174">
          <cell r="A174">
            <v>408</v>
          </cell>
        </row>
        <row r="175">
          <cell r="A175">
            <v>409</v>
          </cell>
        </row>
        <row r="176">
          <cell r="A176">
            <v>434</v>
          </cell>
        </row>
        <row r="177">
          <cell r="A177">
            <v>435</v>
          </cell>
        </row>
        <row r="178">
          <cell r="A178">
            <v>436</v>
          </cell>
        </row>
        <row r="179">
          <cell r="A179">
            <v>437</v>
          </cell>
        </row>
        <row r="180">
          <cell r="A180">
            <v>438</v>
          </cell>
        </row>
        <row r="181">
          <cell r="A181">
            <v>439</v>
          </cell>
        </row>
        <row r="182">
          <cell r="A182">
            <v>440</v>
          </cell>
        </row>
        <row r="183">
          <cell r="A183">
            <v>441</v>
          </cell>
        </row>
        <row r="184">
          <cell r="A184">
            <v>442</v>
          </cell>
        </row>
        <row r="185">
          <cell r="A185">
            <v>443</v>
          </cell>
        </row>
        <row r="186">
          <cell r="A186">
            <v>462</v>
          </cell>
        </row>
        <row r="187">
          <cell r="A187">
            <v>463</v>
          </cell>
        </row>
        <row r="188">
          <cell r="A188">
            <v>464</v>
          </cell>
        </row>
        <row r="189">
          <cell r="A189">
            <v>465</v>
          </cell>
        </row>
        <row r="190">
          <cell r="A190">
            <v>466</v>
          </cell>
        </row>
        <row r="191">
          <cell r="A191">
            <v>467</v>
          </cell>
        </row>
        <row r="192">
          <cell r="A192">
            <v>468</v>
          </cell>
        </row>
        <row r="193">
          <cell r="A193">
            <v>469</v>
          </cell>
        </row>
        <row r="194">
          <cell r="A194">
            <v>470</v>
          </cell>
        </row>
        <row r="195">
          <cell r="A195">
            <v>471</v>
          </cell>
        </row>
        <row r="196">
          <cell r="A196">
            <v>474</v>
          </cell>
        </row>
        <row r="197">
          <cell r="A197">
            <v>475</v>
          </cell>
        </row>
        <row r="198">
          <cell r="A198">
            <v>476</v>
          </cell>
        </row>
        <row r="199">
          <cell r="A199">
            <v>477</v>
          </cell>
        </row>
        <row r="200">
          <cell r="A200">
            <v>478</v>
          </cell>
        </row>
        <row r="201">
          <cell r="A201">
            <v>479</v>
          </cell>
        </row>
        <row r="202">
          <cell r="A202">
            <v>480</v>
          </cell>
        </row>
        <row r="203">
          <cell r="A203">
            <v>481</v>
          </cell>
        </row>
        <row r="204">
          <cell r="A204">
            <v>482</v>
          </cell>
        </row>
        <row r="205">
          <cell r="A205">
            <v>483</v>
          </cell>
        </row>
        <row r="206">
          <cell r="A206">
            <v>492</v>
          </cell>
        </row>
        <row r="207">
          <cell r="A207">
            <v>493</v>
          </cell>
        </row>
        <row r="208">
          <cell r="A208">
            <v>494</v>
          </cell>
        </row>
        <row r="209">
          <cell r="A209">
            <v>495</v>
          </cell>
        </row>
        <row r="210">
          <cell r="A210">
            <v>496</v>
          </cell>
        </row>
        <row r="211">
          <cell r="A211">
            <v>497</v>
          </cell>
        </row>
        <row r="212">
          <cell r="A212">
            <v>498</v>
          </cell>
        </row>
        <row r="213">
          <cell r="A213">
            <v>499</v>
          </cell>
        </row>
        <row r="214">
          <cell r="A214">
            <v>500</v>
          </cell>
        </row>
        <row r="215">
          <cell r="A215">
            <v>586</v>
          </cell>
        </row>
        <row r="216">
          <cell r="A216">
            <v>587</v>
          </cell>
        </row>
        <row r="217">
          <cell r="A217">
            <v>588</v>
          </cell>
        </row>
        <row r="218">
          <cell r="A218">
            <v>589</v>
          </cell>
        </row>
        <row r="219">
          <cell r="A219">
            <v>590</v>
          </cell>
        </row>
        <row r="220">
          <cell r="A220">
            <v>591</v>
          </cell>
        </row>
        <row r="221">
          <cell r="A221">
            <v>592</v>
          </cell>
        </row>
        <row r="222">
          <cell r="A222">
            <v>593</v>
          </cell>
        </row>
        <row r="223">
          <cell r="A223">
            <v>594</v>
          </cell>
        </row>
        <row r="224">
          <cell r="A224">
            <v>595</v>
          </cell>
        </row>
        <row r="225">
          <cell r="A225">
            <v>596</v>
          </cell>
        </row>
        <row r="226">
          <cell r="A226">
            <v>597</v>
          </cell>
        </row>
        <row r="227">
          <cell r="A227">
            <v>598</v>
          </cell>
        </row>
        <row r="228">
          <cell r="A228">
            <v>599</v>
          </cell>
        </row>
        <row r="229">
          <cell r="A229">
            <v>600</v>
          </cell>
        </row>
        <row r="230">
          <cell r="A230">
            <v>601</v>
          </cell>
        </row>
        <row r="231">
          <cell r="A231">
            <v>602</v>
          </cell>
        </row>
        <row r="232">
          <cell r="A232">
            <v>603</v>
          </cell>
        </row>
        <row r="233">
          <cell r="A233">
            <v>604</v>
          </cell>
        </row>
        <row r="234">
          <cell r="A234">
            <v>605</v>
          </cell>
        </row>
        <row r="235">
          <cell r="A235">
            <v>606</v>
          </cell>
        </row>
        <row r="236">
          <cell r="A236">
            <v>658</v>
          </cell>
        </row>
        <row r="237">
          <cell r="A237">
            <v>659</v>
          </cell>
        </row>
        <row r="238">
          <cell r="A238">
            <v>660</v>
          </cell>
        </row>
        <row r="239">
          <cell r="A239">
            <v>661</v>
          </cell>
        </row>
        <row r="240">
          <cell r="A240">
            <v>662</v>
          </cell>
        </row>
        <row r="241">
          <cell r="A241">
            <v>663</v>
          </cell>
        </row>
        <row r="242">
          <cell r="A242">
            <v>664</v>
          </cell>
        </row>
        <row r="243">
          <cell r="A243">
            <v>665</v>
          </cell>
        </row>
        <row r="244">
          <cell r="A244">
            <v>666</v>
          </cell>
        </row>
        <row r="245">
          <cell r="A245">
            <v>667</v>
          </cell>
        </row>
        <row r="246">
          <cell r="A246">
            <v>668</v>
          </cell>
        </row>
        <row r="247">
          <cell r="A247">
            <v>669</v>
          </cell>
        </row>
        <row r="248">
          <cell r="A248">
            <v>670</v>
          </cell>
        </row>
        <row r="249">
          <cell r="A249">
            <v>671</v>
          </cell>
        </row>
        <row r="250">
          <cell r="A250">
            <v>672</v>
          </cell>
        </row>
        <row r="251">
          <cell r="A251">
            <v>673</v>
          </cell>
        </row>
        <row r="252">
          <cell r="A252">
            <v>674</v>
          </cell>
        </row>
        <row r="253">
          <cell r="A253">
            <v>675</v>
          </cell>
        </row>
        <row r="254">
          <cell r="A254">
            <v>676</v>
          </cell>
        </row>
        <row r="255">
          <cell r="A255">
            <v>677</v>
          </cell>
        </row>
        <row r="256">
          <cell r="A256">
            <v>770</v>
          </cell>
        </row>
        <row r="257">
          <cell r="A257">
            <v>771</v>
          </cell>
        </row>
        <row r="258">
          <cell r="A258">
            <v>772</v>
          </cell>
        </row>
        <row r="259">
          <cell r="A259">
            <v>773</v>
          </cell>
        </row>
        <row r="260">
          <cell r="A260">
            <v>774</v>
          </cell>
        </row>
        <row r="261">
          <cell r="A261">
            <v>775</v>
          </cell>
        </row>
        <row r="262">
          <cell r="A262">
            <v>776</v>
          </cell>
        </row>
        <row r="263">
          <cell r="A263">
            <v>777</v>
          </cell>
        </row>
        <row r="264">
          <cell r="A264">
            <v>778</v>
          </cell>
        </row>
        <row r="265">
          <cell r="A265">
            <v>779</v>
          </cell>
        </row>
        <row r="266">
          <cell r="A266">
            <v>779</v>
          </cell>
        </row>
      </sheetData>
      <sheetData sheetId="8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7102100</v>
      </c>
      <c r="D3" s="19" t="s">
        <v>46</v>
      </c>
      <c r="E3" s="17" t="str">
        <f t="shared" ref="E3" si="1">B3&amp;C3&amp;D3</f>
        <v>gacha_settle_tables_7102100.tmp</v>
      </c>
      <c r="F3" s="92" t="s">
        <v>244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7102100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VLOOKUP(L3,tables_settle_7102100!B:C,2,FALSE)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VLOOKUP(L4,tables_settle_7102100!B:C,2,FALSE)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2.5000000000000001E-3</v>
      </c>
      <c r="F5">
        <f>(COUNTIF(tables_settle_7102100!C:C,input_settle_7102100!A26)+COUNTIF(tables_settle_7102100!C:C,input_settle_7102100!A28)+COUNTIF(tables_settle_7102100!C:C,input_settle_7102100!A29))</f>
        <v>12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VLOOKUP(L5,tables_settle_7102100!B:C,2,FALSE)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 t="e">
        <f>(B10-H6)/(F6-I6)</f>
        <v>#DIV/0!</v>
      </c>
      <c r="F6">
        <f>(COUNTIF(tables_settle_7102100!C:C,input_settle_7102100!A18)+COUNTIF(tables_settle_7102100!C:C,input_settle_7102100!A20)+COUNTIF(tables_settle_7102100!C:C,input_settle_7102100!A22))</f>
        <v>0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VLOOKUP(L6,tables_settle_7102100!B:C,2,FALSE)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VLOOKUP(L7,tables_settle_7102100!B:C,2,FALSE)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VLOOKUP(L8,tables_settle_7102100!B:C,2,FALSE)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VLOOKUP(L9,tables_settle_7102100!B:C,2,FALSE)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VLOOKUP(L10,tables_settle_7102100!B:C,2,FALSE)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VLOOKUP(L11,tables_settle_7102100!B:C,2,FALSE)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VLOOKUP(L12,tables_settle_7102100!B:C,2,FALSE)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VLOOKUP(L13,tables_settle_7102100!B:C,2,FALSE)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VLOOKUP(L14,tables_settle_7102100!B:C,2,FALSE)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VLOOKUP(L15,tables_settle_7102100!B:C,2,FALSE)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VLOOKUP(L16,tables_settle_7102100!B:C,2,FALSE)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COUNTIF(tables_settle_7102100!C:C,input_settle_7102100!A17)-COUNTIF(Q:Q,A17)</f>
        <v>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VLOOKUP(L17,tables_settle_7102100!B:C,2,FALSE)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COUNTIF(tables_settle_7102100!C:C,input_settle_7102100!A18)-COUNTIF(Q:Q,A18)</f>
        <v>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VLOOKUP(L18,tables_settle_7102100!B:C,2,FALSE)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COUNTIF(tables_settle_7102100!C:C,input_settle_7102100!A19)-COUNTIF(Q:Q,A19)</f>
        <v>0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VLOOKUP(L19,tables_settle_7102100!B:C,2,FALSE)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COUNTIF(tables_settle_7102100!C:C,input_settle_7102100!A20)-COUNTIF(Q:Q,A20)</f>
        <v>0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VLOOKUP(L20,tables_settle_7102100!B:C,2,FALSE)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 t="e">
        <f>E$6*COUNTIF([2]tables_settle_7000100!C:C,[2]input_settle_7000100!A21)*B7</f>
        <v>#DIV/0!</v>
      </c>
      <c r="C21" s="74">
        <f t="shared" si="2"/>
        <v>0</v>
      </c>
      <c r="D21" s="75" t="e">
        <f t="shared" si="3"/>
        <v>#DIV/0!</v>
      </c>
      <c r="E21">
        <f>COUNTIF(tables_settle_7102100!C:C,input_settle_7102100!A21)-COUNTIF(Q:Q,A21)</f>
        <v>0</v>
      </c>
      <c r="F21" s="43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COUNTIF(tables_settle_7102100!C:C,input_settle_7102100!A22)-COUNTIF(Q:Q,A22)</f>
        <v>0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 t="e">
        <f>B7-B26-B28-B29-B21</f>
        <v>#DIV/0!</v>
      </c>
      <c r="C23" s="74">
        <f t="shared" si="2"/>
        <v>0</v>
      </c>
      <c r="D23" s="75" t="e">
        <f t="shared" si="3"/>
        <v>#DIV/0!</v>
      </c>
      <c r="E23">
        <f>COUNTIF(tables_settle_7102100!C:C,input_settle_7102100!A23)-COUNTIF(Q:Q,A23)</f>
        <v>0</v>
      </c>
      <c r="F23" s="43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f>E$5*COUNTIF([2]tables_settle_7000100!C:C,[2]input_settle_7000100!A24)*B5</f>
        <v>0</v>
      </c>
      <c r="C24" s="74">
        <f t="shared" si="2"/>
        <v>0</v>
      </c>
      <c r="D24" s="75">
        <f t="shared" si="3"/>
        <v>0</v>
      </c>
      <c r="E24">
        <f>COUNTIF(tables_settle_7102100!C:C,input_settle_7102100!A24)-COUNTIF(Q:Q,A24)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f>E$5*COUNTIF([2]tables_settle_7000100!C:C,[2]input_settle_7000100!A25)*B6</f>
        <v>0</v>
      </c>
      <c r="C25" s="74">
        <f t="shared" si="2"/>
        <v>0</v>
      </c>
      <c r="D25" s="75">
        <f t="shared" si="3"/>
        <v>0</v>
      </c>
      <c r="E25">
        <f>COUNTIF(tables_settle_7102100!C:C,input_settle_7102100!A25)-COUNTIF(Q:Q,A25)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f>E$5*COUNTIF([2]tables_settle_7000100!C:C,[2]input_settle_7000100!A26)*B7</f>
        <v>0.01</v>
      </c>
      <c r="C26" s="74">
        <f t="shared" si="2"/>
        <v>0</v>
      </c>
      <c r="D26" s="75">
        <f t="shared" si="3"/>
        <v>0.01</v>
      </c>
      <c r="E26">
        <f>COUNTIF(tables_settle_7102100!C:C,input_settle_7102100!A26)-COUNTIF(Q:Q,A26)</f>
        <v>4</v>
      </c>
      <c r="F26" s="43">
        <f t="shared" si="7"/>
        <v>2.5000000000000001E-3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f>E$5*COUNTIF([2]tables_settle_7000100!C:C,[2]input_settle_7000100!A27)*(B6+B5)</f>
        <v>0</v>
      </c>
      <c r="C27" s="74">
        <f t="shared" si="2"/>
        <v>0</v>
      </c>
      <c r="D27" s="75">
        <f t="shared" si="3"/>
        <v>0</v>
      </c>
      <c r="E27">
        <f>COUNTIF(tables_settle_7102100!C:C,input_settle_7102100!A27)-COUNTIF(Q:Q,A27)</f>
        <v>0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f>E$5*COUNTIF([2]tables_settle_7000100!C:C,[2]input_settle_7000100!A28)*B7</f>
        <v>7.0000000000000007E-2</v>
      </c>
      <c r="C28" s="74">
        <f t="shared" si="2"/>
        <v>0</v>
      </c>
      <c r="D28" s="75">
        <f t="shared" si="3"/>
        <v>7.0000000000000007E-2</v>
      </c>
      <c r="E28">
        <f>COUNTIF(tables_settle_7102100!C:C,input_settle_7102100!A28)-COUNTIF(Q:Q,A28)</f>
        <v>4</v>
      </c>
      <c r="F28" s="43">
        <f t="shared" si="7"/>
        <v>1.7500000000000002E-2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f>E5*COUNTIF([2]tables_settle_7000100!C:C,[2]input_settle_7000100!A29)</f>
        <v>5.0000000000000001E-3</v>
      </c>
      <c r="C29" s="74">
        <f t="shared" si="2"/>
        <v>0</v>
      </c>
      <c r="D29" s="75">
        <f t="shared" si="3"/>
        <v>5.0000000000000001E-3</v>
      </c>
      <c r="E29">
        <f>COUNTIF(tables_settle_7102100!C:C,input_settle_7102100!A29)-COUNTIF(Q:Q,A29)</f>
        <v>4</v>
      </c>
      <c r="F29" s="43">
        <f>IFERROR(B29/E29,0)</f>
        <v>1.25E-3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COUNTIF(tables_settle_7102100!C:C,input_settle_7102100!A30)-COUNTIF(Q:Q,A30)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COUNTIF(tables_settle_7102100!C:C,input_settle_7102100!A31)-COUNTIF(Q:Q,A31)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 t="e">
        <f>SUM(B17:B31)</f>
        <v>#DIV/0!</v>
      </c>
      <c r="C32" s="41">
        <f>SUM(C19:C31)</f>
        <v>0</v>
      </c>
      <c r="D32" s="42" t="e">
        <f t="shared" si="3"/>
        <v>#DIV/0!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>SUMIF(tables_settle_7102100!C:C,input_settle_7102100!A40,tables_settle_7102100!O:O)</f>
        <v>0</v>
      </c>
      <c r="C40" s="54">
        <f t="shared" ref="C40:C46" si="9">B40/B$47</f>
        <v>0</v>
      </c>
      <c r="E40">
        <v>3</v>
      </c>
      <c r="F40">
        <f>SUMIF(tables_settle_7102100!J:J,input_settle_7102100!E40,tables_settle_7102100!O:O)</f>
        <v>0</v>
      </c>
      <c r="G40" t="e">
        <f>F40/A36</f>
        <v>#DIV/0!</v>
      </c>
    </row>
    <row r="41" spans="1:7" x14ac:dyDescent="0.15">
      <c r="A41" s="32" t="s">
        <v>107</v>
      </c>
      <c r="B41">
        <f>SUMIF(tables_settle_7102100!C:C,input_settle_7102100!A41,tables_settle_7102100!O:O)</f>
        <v>0</v>
      </c>
      <c r="C41" s="54">
        <f t="shared" si="9"/>
        <v>0</v>
      </c>
      <c r="E41">
        <v>4</v>
      </c>
      <c r="F41">
        <f>SUMIF(tables_settle_7102100!J:J,input_settle_7102100!E41,tables_settle_7102100!O:O)</f>
        <v>0</v>
      </c>
      <c r="G41" t="e">
        <f>F41/A36</f>
        <v>#DIV/0!</v>
      </c>
    </row>
    <row r="42" spans="1:7" x14ac:dyDescent="0.15">
      <c r="A42" s="32" t="s">
        <v>112</v>
      </c>
      <c r="B42">
        <f>SUMIF(tables_settle_7102100!C:C,input_settle_7102100!A42,tables_settle_7102100!O:O)</f>
        <v>0</v>
      </c>
      <c r="C42" s="54">
        <f t="shared" si="9"/>
        <v>0</v>
      </c>
      <c r="E42">
        <v>5</v>
      </c>
      <c r="F42">
        <f>SUMIF(tables_settle_7102100!J:J,input_settle_7102100!E42,tables_settle_7102100!O:O)</f>
        <v>120</v>
      </c>
      <c r="G42" t="e">
        <f>F42/A36</f>
        <v>#DIV/0!</v>
      </c>
    </row>
    <row r="43" spans="1:7" x14ac:dyDescent="0.15">
      <c r="A43" s="32" t="s">
        <v>113</v>
      </c>
      <c r="B43">
        <f>SUMIF(tables_settle_7102100!C:C,input_settle_7102100!A43,tables_settle_7102100!O:O)</f>
        <v>0</v>
      </c>
      <c r="C43" s="54">
        <f t="shared" si="9"/>
        <v>0</v>
      </c>
      <c r="F43" s="55"/>
    </row>
    <row r="44" spans="1:7" x14ac:dyDescent="0.15">
      <c r="A44" s="32" t="s">
        <v>108</v>
      </c>
      <c r="B44">
        <f>SUMIF(tables_settle_7102100!C:C,input_settle_7102100!A44,tables_settle_7102100!O:O)</f>
        <v>0</v>
      </c>
      <c r="C44" s="54">
        <f t="shared" si="9"/>
        <v>0</v>
      </c>
      <c r="E44" t="s">
        <v>55</v>
      </c>
      <c r="F44" s="55"/>
    </row>
    <row r="45" spans="1:7" x14ac:dyDescent="0.15">
      <c r="A45" s="32" t="s">
        <v>114</v>
      </c>
      <c r="B45">
        <f>SUMIF(tables_settle_7102100!C:C,input_settle_7102100!A45,tables_settle_7102100!O:O)</f>
        <v>40</v>
      </c>
      <c r="C45" s="54">
        <f t="shared" si="9"/>
        <v>1</v>
      </c>
      <c r="E45" t="s">
        <v>210</v>
      </c>
      <c r="F45" s="55">
        <f>SUMIF(tables_settle_7102100!I:I,input_settle_7102100!E45,tables_settle_7102100!P:P)</f>
        <v>0</v>
      </c>
    </row>
    <row r="46" spans="1:7" x14ac:dyDescent="0.15">
      <c r="A46" s="32" t="s">
        <v>115</v>
      </c>
      <c r="B46">
        <f>SUMIF(tables_settle_7102100!C:C,input_settle_7102100!A46,tables_settle_7102100!O:O)</f>
        <v>0</v>
      </c>
      <c r="C46" s="54">
        <f t="shared" si="9"/>
        <v>0</v>
      </c>
      <c r="E46" t="s">
        <v>211</v>
      </c>
      <c r="F46" s="55">
        <f>SUMIF(tables_settle_7102100!I:I,input_settle_7102100!E46,tables_settle_7102100!P:P)</f>
        <v>0.25</v>
      </c>
    </row>
    <row r="47" spans="1:7" x14ac:dyDescent="0.15">
      <c r="A47" s="39" t="s">
        <v>60</v>
      </c>
      <c r="B47">
        <f>SUM(B40:B46)</f>
        <v>40</v>
      </c>
      <c r="C47" s="55">
        <f>SUM(C40:C46)</f>
        <v>1</v>
      </c>
      <c r="E47" t="s">
        <v>212</v>
      </c>
      <c r="F47" s="55">
        <f>SUMIF(tables_settle_7102100!I:I,input_settle_7102100!E47,tables_settle_7102100!P:P)</f>
        <v>8.3333333333333329E-2</v>
      </c>
    </row>
    <row r="48" spans="1:7" x14ac:dyDescent="0.15">
      <c r="E48" t="s">
        <v>213</v>
      </c>
      <c r="F48" s="55">
        <f>SUMIF(tables_settle_7102100!I:I,input_settle_7102100!E48,tables_settle_7102100!P:P)</f>
        <v>0.66666666666666663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M9" sqref="M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1</v>
      </c>
      <c r="C1" s="3" t="s">
        <v>31</v>
      </c>
      <c r="D1" s="3" t="s">
        <v>234</v>
      </c>
      <c r="E1" s="3" t="s">
        <v>194</v>
      </c>
      <c r="F1" s="3" t="s">
        <v>195</v>
      </c>
      <c r="G1" s="3" t="s">
        <v>235</v>
      </c>
      <c r="H1" s="3" t="s">
        <v>236</v>
      </c>
      <c r="I1" s="3" t="s">
        <v>237</v>
      </c>
      <c r="J1" s="3" t="s">
        <v>238</v>
      </c>
      <c r="K1" s="3" t="s">
        <v>239</v>
      </c>
      <c r="L1" s="3" t="s">
        <v>240</v>
      </c>
      <c r="M1" s="3" t="s">
        <v>241</v>
      </c>
      <c r="N1" s="3" t="s">
        <v>59</v>
      </c>
      <c r="O1" s="15" t="s">
        <v>242</v>
      </c>
      <c r="P1" s="3" t="s">
        <v>64</v>
      </c>
      <c r="Q1" s="15" t="s">
        <v>243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7102100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IF(COUNTIF([3]R6追加前!A:A,B2)=0,IF(I2="PremiumSS","R5only","R3less"),"")</f>
        <v/>
      </c>
      <c r="F2" s="7" t="str">
        <f>IF(COUNTIF([3]R6開放!A:A,B2)&gt;0,"R6release","")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9" si="2">O2/SUM(O:O)</f>
        <v>8.3333333333333329E-2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7102100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IF(COUNTIF([3]R6追加前!A:A,B3)=0,IF(I3="PremiumSS","R5only","R3less"),"")</f>
        <v/>
      </c>
      <c r="F3" s="7" t="str">
        <f>IF(COUNTIF([3]R6開放!A:A,B3)&gt;0,"R6release","")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8.3333333333333329E-2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7102100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IF(COUNTIF([3]R6追加前!A:A,B4)=0,IF(I4="PremiumSS","R5only","R3less"),"")</f>
        <v/>
      </c>
      <c r="F4" s="7" t="str">
        <f>IF(COUNTIF([3]R6開放!A:A,B4)&gt;0,"R6release","")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8.3333333333333329E-2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7102100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IF(COUNTIF([3]R6追加前!A:A,B5)=0,IF(I5="PremiumSS","R5only","R3less"),"")</f>
        <v/>
      </c>
      <c r="F5" s="7" t="str">
        <f>IF(COUNTIF([3]R6開放!A:A,B5)&gt;0,"R6release","")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8.3333333333333329E-2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7102100</v>
      </c>
      <c r="B6" s="60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IF(COUNTIF([3]R6追加前!A:A,B6)=0,IF(I6="PremiumSS","R5only","R3less"),"")</f>
        <v>R5only</v>
      </c>
      <c r="F6" s="7" t="str">
        <f>IF(COUNTIF([3]R6開放!A:A,B6)&gt;0,"R6release","")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8.3333333333333329E-2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7102100</v>
      </c>
      <c r="B7" s="60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IF(COUNTIF([3]R6追加前!A:A,B7)=0,IF(I7="PremiumSS","R5only","R3less"),"")</f>
        <v>R5only</v>
      </c>
      <c r="F7" s="7" t="str">
        <f>IF(COUNTIF([3]R6開放!A:A,B7)&gt;0,"R6release","")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8.3333333333333329E-2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7102100</v>
      </c>
      <c r="B8" s="60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IF(COUNTIF([3]R6追加前!A:A,B8)=0,IF(I8="PremiumSS","R5only","R3less"),"")</f>
        <v/>
      </c>
      <c r="F8" s="7" t="str">
        <f>IF(COUNTIF([3]R6開放!A:A,B8)&gt;0,"R6release","")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8.3333333333333329E-2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7102100</v>
      </c>
      <c r="B9" s="60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IF(COUNTIF([3]R6追加前!A:A,B9)=0,IF(I9="PremiumSS","R5only","R3less"),"")</f>
        <v/>
      </c>
      <c r="F9" s="7" t="str">
        <f>IF(COUNTIF([3]R6開放!A:A,B9)&gt;0,"R6release","")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2"/>
        <v>8.3333333333333329E-2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7102100</v>
      </c>
      <c r="B10" s="60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IF(COUNTIF([3]R6追加前!A:A,B10)=0,IF(I10="PremiumSS","R5only","R3less"),"")</f>
        <v>R5only</v>
      </c>
      <c r="F10" s="7" t="str">
        <f>IF(COUNTIF([3]R6開放!A:A,B10)&gt;0,"R6release","")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ref="P10:P11" si="5">O10/SUM(O:O)</f>
        <v>8.3333333333333329E-2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7102100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IF(COUNTIF([3]R6追加前!A:A,B11)=0,IF(I11="PremiumSS","R5only","R3less"),"")</f>
        <v>R5only</v>
      </c>
      <c r="F11" s="7" t="str">
        <f>IF(COUNTIF([3]R6開放!A:A,B11)&gt;0,"R6release","")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8.3333333333333329E-2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7102100</v>
      </c>
      <c r="B12" s="60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IF(COUNTIF([3]R6追加前!A:A,B12)=0,IF(I12="PremiumSS","R5only","R3less"),"")</f>
        <v/>
      </c>
      <c r="F12" s="7" t="str">
        <f>IF(COUNTIF([3]R6開放!A:A,B12)&gt;0,"R6release","")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ref="P12:P13" si="8">O12/SUM(O:O)</f>
        <v>8.3333333333333329E-2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7102100</v>
      </c>
      <c r="B13" s="60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IF(COUNTIF([3]R6追加前!A:A,B13)=0,IF(I13="PremiumSS","R5only","R3less"),"")</f>
        <v/>
      </c>
      <c r="F13" s="7" t="str">
        <f>IF(COUNTIF([3]R6開放!A:A,B13)&gt;0,"R6release","")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8"/>
        <v>8.3333333333333329E-2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7" spans="11:11" ht="21" customHeight="1" x14ac:dyDescent="0.15">
      <c r="K17" s="1"/>
    </row>
    <row r="18" spans="11:11" ht="21" customHeight="1" x14ac:dyDescent="0.15">
      <c r="K18" s="1"/>
    </row>
    <row r="19" spans="11:11" ht="21" customHeight="1" x14ac:dyDescent="0.15">
      <c r="K19" s="1"/>
    </row>
    <row r="20" spans="11:11" ht="21" customHeight="1" x14ac:dyDescent="0.15">
      <c r="K20" s="1"/>
    </row>
    <row r="21" spans="11:11" ht="21" customHeight="1" x14ac:dyDescent="0.15">
      <c r="K21" s="1"/>
    </row>
    <row r="22" spans="11:11" ht="21" customHeight="1" x14ac:dyDescent="0.15">
      <c r="K22" s="1"/>
    </row>
    <row r="23" spans="11:11" ht="21" customHeight="1" x14ac:dyDescent="0.15">
      <c r="K23" s="1"/>
    </row>
    <row r="24" spans="11:11" ht="21" customHeight="1" x14ac:dyDescent="0.15">
      <c r="K24" s="1"/>
    </row>
    <row r="25" spans="11:11" ht="21" customHeight="1" x14ac:dyDescent="0.15">
      <c r="K25" s="1"/>
    </row>
    <row r="26" spans="11:11" ht="21" customHeight="1" x14ac:dyDescent="0.15">
      <c r="K26" s="1"/>
    </row>
    <row r="27" spans="11:11" ht="21" customHeight="1" x14ac:dyDescent="0.15">
      <c r="K27" s="1"/>
    </row>
    <row r="28" spans="11:11" ht="21" customHeight="1" x14ac:dyDescent="0.15">
      <c r="K28" s="1"/>
    </row>
    <row r="29" spans="11:11" ht="21" customHeight="1" x14ac:dyDescent="0.15">
      <c r="K29" s="1"/>
    </row>
    <row r="30" spans="11:11" ht="21" customHeight="1" x14ac:dyDescent="0.15">
      <c r="K30" s="1"/>
    </row>
    <row r="31" spans="11:11" ht="21" customHeight="1" x14ac:dyDescent="0.15">
      <c r="K31" s="1"/>
    </row>
    <row r="32" spans="11:11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input_settle_7102100</vt:lpstr>
      <vt:lpstr>tables_settle_7102100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2016-05-06T11:22:12Z</dcterms:modified>
</cp:coreProperties>
</file>