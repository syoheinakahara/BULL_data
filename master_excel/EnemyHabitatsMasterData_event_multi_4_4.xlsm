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enemy_skills!$A$1:$I$1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9" l="1"/>
  <c r="X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3" i="7"/>
  <c r="I3" i="7"/>
  <c r="D3" i="7"/>
  <c r="F3" i="7"/>
  <c r="E3" i="7"/>
  <c r="A3" i="7"/>
  <c r="AB18" i="1"/>
  <c r="AD18" i="1"/>
  <c r="AG18" i="1"/>
  <c r="AE18" i="1"/>
  <c r="AC18" i="1"/>
  <c r="E2" i="9"/>
  <c r="W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AA17" i="1"/>
  <c r="E20" i="9"/>
  <c r="W17" i="1"/>
  <c r="Q17" i="1"/>
  <c r="P17" i="1"/>
  <c r="O17" i="1"/>
  <c r="N17" i="1"/>
  <c r="M17" i="1"/>
  <c r="H17" i="1"/>
  <c r="J17" i="1"/>
  <c r="I17" i="1"/>
  <c r="D17" i="1"/>
  <c r="F17" i="1"/>
  <c r="E17" i="1"/>
  <c r="A17" i="1"/>
  <c r="J8" i="11"/>
  <c r="O6" i="9"/>
  <c r="N6" i="9"/>
  <c r="M6" i="9"/>
  <c r="L6" i="9"/>
  <c r="K6" i="9"/>
  <c r="J6" i="9"/>
  <c r="I6" i="9"/>
  <c r="H6" i="9"/>
  <c r="G6" i="9"/>
  <c r="E6" i="9"/>
  <c r="D6" i="9"/>
  <c r="A6" i="9"/>
  <c r="J15" i="11"/>
  <c r="J14" i="11"/>
  <c r="AB5" i="1"/>
  <c r="AD5" i="1"/>
  <c r="AG5" i="1"/>
  <c r="AE5" i="1"/>
  <c r="AC5" i="1"/>
  <c r="AA5" i="1"/>
  <c r="V5" i="1"/>
  <c r="W5" i="1"/>
  <c r="Q5" i="1"/>
  <c r="P5" i="1"/>
  <c r="O5" i="1"/>
  <c r="N5" i="1"/>
  <c r="M5" i="1"/>
  <c r="H5" i="1"/>
  <c r="J5" i="1"/>
  <c r="I5" i="1"/>
  <c r="D5" i="1"/>
  <c r="F5" i="1"/>
  <c r="E5" i="1"/>
  <c r="A5" i="1"/>
  <c r="AB3" i="1"/>
  <c r="AD3" i="1"/>
  <c r="AG3" i="1"/>
  <c r="AE3" i="1"/>
  <c r="AC3" i="1"/>
  <c r="AA3" i="1"/>
  <c r="V3" i="1"/>
  <c r="W3" i="1"/>
  <c r="Q3" i="1"/>
  <c r="P3" i="1"/>
  <c r="O3" i="1"/>
  <c r="N3" i="1"/>
  <c r="M3" i="1"/>
  <c r="H3" i="1"/>
  <c r="J3" i="1"/>
  <c r="I3" i="1"/>
  <c r="D3" i="1"/>
  <c r="F3" i="1"/>
  <c r="E3" i="1"/>
  <c r="A3" i="1"/>
  <c r="AB4" i="1"/>
  <c r="AD4" i="1"/>
  <c r="AG4" i="1"/>
  <c r="AE4" i="1"/>
  <c r="AC4" i="1"/>
  <c r="AA4" i="1"/>
  <c r="V4" i="1"/>
  <c r="W4" i="1"/>
  <c r="Q4" i="1"/>
  <c r="P4" i="1"/>
  <c r="O4" i="1"/>
  <c r="N4" i="1"/>
  <c r="M4" i="1"/>
  <c r="H4" i="1"/>
  <c r="J4" i="1"/>
  <c r="I4" i="1"/>
  <c r="D4" i="1"/>
  <c r="F4" i="1"/>
  <c r="E4" i="1"/>
  <c r="A4" i="1"/>
  <c r="O20" i="9"/>
  <c r="N20" i="9"/>
  <c r="M20" i="9"/>
  <c r="L20" i="9"/>
  <c r="K20" i="9"/>
  <c r="J20" i="9"/>
  <c r="I20" i="9"/>
  <c r="H20" i="9"/>
  <c r="G20" i="9"/>
  <c r="D20" i="9"/>
  <c r="A20" i="9"/>
  <c r="J13" i="11"/>
  <c r="AD40" i="1"/>
  <c r="AG40" i="1"/>
  <c r="AE40" i="1"/>
  <c r="AC40" i="1"/>
  <c r="E12" i="9"/>
  <c r="W40" i="1"/>
  <c r="Q40" i="1"/>
  <c r="P40" i="1"/>
  <c r="O40" i="1"/>
  <c r="N40" i="1"/>
  <c r="M40" i="1"/>
  <c r="H40" i="1"/>
  <c r="J40" i="1"/>
  <c r="I40" i="1"/>
  <c r="D40" i="1"/>
  <c r="F40" i="1"/>
  <c r="E40" i="1"/>
  <c r="A40" i="1"/>
  <c r="H16" i="1"/>
  <c r="H2" i="1"/>
  <c r="H6" i="1"/>
  <c r="H7" i="1"/>
  <c r="H8" i="1"/>
  <c r="H9" i="1"/>
  <c r="H10" i="1"/>
  <c r="H11" i="1"/>
  <c r="H12" i="1"/>
  <c r="H13" i="1"/>
  <c r="H14" i="1"/>
  <c r="H15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B10" i="2"/>
  <c r="D10" i="2"/>
  <c r="E10" i="2"/>
  <c r="H10" i="2"/>
  <c r="AB36" i="1"/>
  <c r="AD36" i="1"/>
  <c r="AG36" i="1"/>
  <c r="AE36" i="1"/>
  <c r="AC36" i="1"/>
  <c r="AA36" i="1"/>
  <c r="W36" i="1"/>
  <c r="Q36" i="1"/>
  <c r="P36" i="1"/>
  <c r="O36" i="1"/>
  <c r="N36" i="1"/>
  <c r="M36" i="1"/>
  <c r="J36" i="1"/>
  <c r="I36" i="1"/>
  <c r="D36" i="1"/>
  <c r="F36" i="1"/>
  <c r="E36" i="1"/>
  <c r="A36" i="1"/>
  <c r="J12" i="11"/>
  <c r="J11" i="11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J2" i="11"/>
  <c r="O17" i="9"/>
  <c r="N17" i="9"/>
  <c r="M17" i="9"/>
  <c r="L17" i="9"/>
  <c r="K17" i="9"/>
  <c r="J17" i="9"/>
  <c r="I17" i="9"/>
  <c r="H17" i="9"/>
  <c r="G17" i="9"/>
  <c r="E17" i="9"/>
  <c r="D17" i="9"/>
  <c r="A17" i="9"/>
  <c r="J7" i="11"/>
  <c r="O16" i="9"/>
  <c r="N16" i="9"/>
  <c r="M16" i="9"/>
  <c r="L16" i="9"/>
  <c r="K16" i="9"/>
  <c r="J16" i="9"/>
  <c r="I16" i="9"/>
  <c r="H16" i="9"/>
  <c r="G16" i="9"/>
  <c r="E16" i="9"/>
  <c r="D16" i="9"/>
  <c r="A16" i="9"/>
  <c r="AB39" i="1"/>
  <c r="AD39" i="1"/>
  <c r="AG39" i="1"/>
  <c r="AE39" i="1"/>
  <c r="AC39" i="1"/>
  <c r="AA39" i="1"/>
  <c r="W39" i="1"/>
  <c r="Q39" i="1"/>
  <c r="P39" i="1"/>
  <c r="O39" i="1"/>
  <c r="N39" i="1"/>
  <c r="M39" i="1"/>
  <c r="J39" i="1"/>
  <c r="I39" i="1"/>
  <c r="D39" i="1"/>
  <c r="F39" i="1"/>
  <c r="E39" i="1"/>
  <c r="A39" i="1"/>
  <c r="AB38" i="1"/>
  <c r="AD38" i="1"/>
  <c r="AG38" i="1"/>
  <c r="AE38" i="1"/>
  <c r="AC38" i="1"/>
  <c r="V38" i="1"/>
  <c r="W38" i="1"/>
  <c r="Q38" i="1"/>
  <c r="P38" i="1"/>
  <c r="O38" i="1"/>
  <c r="N38" i="1"/>
  <c r="M38" i="1"/>
  <c r="J38" i="1"/>
  <c r="I38" i="1"/>
  <c r="D38" i="1"/>
  <c r="F38" i="1"/>
  <c r="E38" i="1"/>
  <c r="A38" i="1"/>
  <c r="AB37" i="1"/>
  <c r="AD37" i="1"/>
  <c r="AG37" i="1"/>
  <c r="AE37" i="1"/>
  <c r="AC37" i="1"/>
  <c r="W37" i="1"/>
  <c r="Q37" i="1"/>
  <c r="P37" i="1"/>
  <c r="O37" i="1"/>
  <c r="N37" i="1"/>
  <c r="M37" i="1"/>
  <c r="J37" i="1"/>
  <c r="I37" i="1"/>
  <c r="D37" i="1"/>
  <c r="F37" i="1"/>
  <c r="E37" i="1"/>
  <c r="A37" i="1"/>
  <c r="AB35" i="1"/>
  <c r="AD35" i="1"/>
  <c r="AG35" i="1"/>
  <c r="AE35" i="1"/>
  <c r="AC35" i="1"/>
  <c r="AA35" i="1"/>
  <c r="V35" i="1"/>
  <c r="W35" i="1"/>
  <c r="Q35" i="1"/>
  <c r="P35" i="1"/>
  <c r="O35" i="1"/>
  <c r="N35" i="1"/>
  <c r="M35" i="1"/>
  <c r="J35" i="1"/>
  <c r="I35" i="1"/>
  <c r="D35" i="1"/>
  <c r="F35" i="1"/>
  <c r="E35" i="1"/>
  <c r="A35" i="1"/>
  <c r="AB34" i="1"/>
  <c r="AD34" i="1"/>
  <c r="AG34" i="1"/>
  <c r="AE34" i="1"/>
  <c r="AC34" i="1"/>
  <c r="AA34" i="1"/>
  <c r="V34" i="1"/>
  <c r="W34" i="1"/>
  <c r="Q34" i="1"/>
  <c r="P34" i="1"/>
  <c r="O34" i="1"/>
  <c r="N34" i="1"/>
  <c r="M34" i="1"/>
  <c r="J34" i="1"/>
  <c r="I34" i="1"/>
  <c r="D34" i="1"/>
  <c r="F34" i="1"/>
  <c r="E34" i="1"/>
  <c r="A34" i="1"/>
  <c r="AB33" i="1"/>
  <c r="AD33" i="1"/>
  <c r="AG33" i="1"/>
  <c r="AE33" i="1"/>
  <c r="AC33" i="1"/>
  <c r="AA33" i="1"/>
  <c r="V33" i="1"/>
  <c r="W33" i="1"/>
  <c r="Q33" i="1"/>
  <c r="P33" i="1"/>
  <c r="O33" i="1"/>
  <c r="N33" i="1"/>
  <c r="M33" i="1"/>
  <c r="J33" i="1"/>
  <c r="I33" i="1"/>
  <c r="D33" i="1"/>
  <c r="F33" i="1"/>
  <c r="E33" i="1"/>
  <c r="A33" i="1"/>
  <c r="AB32" i="1"/>
  <c r="AD32" i="1"/>
  <c r="AG32" i="1"/>
  <c r="AE32" i="1"/>
  <c r="AC32" i="1"/>
  <c r="AA32" i="1"/>
  <c r="V32" i="1"/>
  <c r="W32" i="1"/>
  <c r="Q32" i="1"/>
  <c r="P32" i="1"/>
  <c r="O32" i="1"/>
  <c r="N32" i="1"/>
  <c r="M32" i="1"/>
  <c r="J32" i="1"/>
  <c r="I32" i="1"/>
  <c r="D32" i="1"/>
  <c r="F32" i="1"/>
  <c r="E32" i="1"/>
  <c r="A32" i="1"/>
  <c r="AB31" i="1"/>
  <c r="AD31" i="1"/>
  <c r="AG31" i="1"/>
  <c r="AE31" i="1"/>
  <c r="AC31" i="1"/>
  <c r="AA31" i="1"/>
  <c r="V31" i="1"/>
  <c r="W31" i="1"/>
  <c r="Q31" i="1"/>
  <c r="P31" i="1"/>
  <c r="O31" i="1"/>
  <c r="N31" i="1"/>
  <c r="M31" i="1"/>
  <c r="J31" i="1"/>
  <c r="I31" i="1"/>
  <c r="D31" i="1"/>
  <c r="F31" i="1"/>
  <c r="E31" i="1"/>
  <c r="A31" i="1"/>
  <c r="AB30" i="1"/>
  <c r="AD30" i="1"/>
  <c r="AG30" i="1"/>
  <c r="AE30" i="1"/>
  <c r="AC30" i="1"/>
  <c r="AA30" i="1"/>
  <c r="V30" i="1"/>
  <c r="W30" i="1"/>
  <c r="Q30" i="1"/>
  <c r="P30" i="1"/>
  <c r="O30" i="1"/>
  <c r="N30" i="1"/>
  <c r="M30" i="1"/>
  <c r="J30" i="1"/>
  <c r="I30" i="1"/>
  <c r="D30" i="1"/>
  <c r="F30" i="1"/>
  <c r="E30" i="1"/>
  <c r="A30" i="1"/>
  <c r="AB29" i="1"/>
  <c r="AD29" i="1"/>
  <c r="AG29" i="1"/>
  <c r="AE29" i="1"/>
  <c r="AC29" i="1"/>
  <c r="AA29" i="1"/>
  <c r="V29" i="1"/>
  <c r="W29" i="1"/>
  <c r="Q29" i="1"/>
  <c r="P29" i="1"/>
  <c r="O29" i="1"/>
  <c r="N29" i="1"/>
  <c r="M29" i="1"/>
  <c r="J29" i="1"/>
  <c r="I29" i="1"/>
  <c r="D29" i="1"/>
  <c r="F29" i="1"/>
  <c r="E29" i="1"/>
  <c r="A29" i="1"/>
  <c r="AB28" i="1"/>
  <c r="AD28" i="1"/>
  <c r="AG28" i="1"/>
  <c r="AE28" i="1"/>
  <c r="AC28" i="1"/>
  <c r="AA28" i="1"/>
  <c r="W28" i="1"/>
  <c r="Q28" i="1"/>
  <c r="P28" i="1"/>
  <c r="O28" i="1"/>
  <c r="N28" i="1"/>
  <c r="M28" i="1"/>
  <c r="J28" i="1"/>
  <c r="I28" i="1"/>
  <c r="D28" i="1"/>
  <c r="F28" i="1"/>
  <c r="E28" i="1"/>
  <c r="A28" i="1"/>
  <c r="AB27" i="1"/>
  <c r="AD27" i="1"/>
  <c r="AG27" i="1"/>
  <c r="AE27" i="1"/>
  <c r="AC27" i="1"/>
  <c r="AA27" i="1"/>
  <c r="V27" i="1"/>
  <c r="W27" i="1"/>
  <c r="Q27" i="1"/>
  <c r="P27" i="1"/>
  <c r="O27" i="1"/>
  <c r="N27" i="1"/>
  <c r="M27" i="1"/>
  <c r="J27" i="1"/>
  <c r="I27" i="1"/>
  <c r="D27" i="1"/>
  <c r="F27" i="1"/>
  <c r="E27" i="1"/>
  <c r="A27" i="1"/>
  <c r="AB26" i="1"/>
  <c r="AD26" i="1"/>
  <c r="AG26" i="1"/>
  <c r="AE26" i="1"/>
  <c r="AC26" i="1"/>
  <c r="AA26" i="1"/>
  <c r="V26" i="1"/>
  <c r="W26" i="1"/>
  <c r="Q26" i="1"/>
  <c r="P26" i="1"/>
  <c r="O26" i="1"/>
  <c r="N26" i="1"/>
  <c r="M26" i="1"/>
  <c r="J26" i="1"/>
  <c r="I26" i="1"/>
  <c r="D26" i="1"/>
  <c r="F26" i="1"/>
  <c r="E26" i="1"/>
  <c r="A26" i="1"/>
  <c r="AB25" i="1"/>
  <c r="AD25" i="1"/>
  <c r="AG25" i="1"/>
  <c r="AE25" i="1"/>
  <c r="AC25" i="1"/>
  <c r="AA25" i="1"/>
  <c r="V25" i="1"/>
  <c r="W25" i="1"/>
  <c r="Q25" i="1"/>
  <c r="P25" i="1"/>
  <c r="O25" i="1"/>
  <c r="N25" i="1"/>
  <c r="M25" i="1"/>
  <c r="J25" i="1"/>
  <c r="I25" i="1"/>
  <c r="D25" i="1"/>
  <c r="F25" i="1"/>
  <c r="E25" i="1"/>
  <c r="A25" i="1"/>
  <c r="AB24" i="1"/>
  <c r="AD24" i="1"/>
  <c r="AG24" i="1"/>
  <c r="AE24" i="1"/>
  <c r="AC24" i="1"/>
  <c r="AA24" i="1"/>
  <c r="V24" i="1"/>
  <c r="W24" i="1"/>
  <c r="Q24" i="1"/>
  <c r="P24" i="1"/>
  <c r="O24" i="1"/>
  <c r="N24" i="1"/>
  <c r="M24" i="1"/>
  <c r="J24" i="1"/>
  <c r="I24" i="1"/>
  <c r="D24" i="1"/>
  <c r="F24" i="1"/>
  <c r="E24" i="1"/>
  <c r="A24" i="1"/>
  <c r="AB23" i="1"/>
  <c r="AD23" i="1"/>
  <c r="AG23" i="1"/>
  <c r="AE23" i="1"/>
  <c r="AC23" i="1"/>
  <c r="AA23" i="1"/>
  <c r="V23" i="1"/>
  <c r="W23" i="1"/>
  <c r="Q23" i="1"/>
  <c r="P23" i="1"/>
  <c r="O23" i="1"/>
  <c r="N23" i="1"/>
  <c r="M23" i="1"/>
  <c r="J23" i="1"/>
  <c r="I23" i="1"/>
  <c r="D23" i="1"/>
  <c r="F23" i="1"/>
  <c r="E23" i="1"/>
  <c r="A23" i="1"/>
  <c r="AB22" i="1"/>
  <c r="AD22" i="1"/>
  <c r="AG22" i="1"/>
  <c r="AE22" i="1"/>
  <c r="AC22" i="1"/>
  <c r="AA22" i="1"/>
  <c r="V22" i="1"/>
  <c r="W22" i="1"/>
  <c r="Q22" i="1"/>
  <c r="P22" i="1"/>
  <c r="O22" i="1"/>
  <c r="N22" i="1"/>
  <c r="M22" i="1"/>
  <c r="J22" i="1"/>
  <c r="I22" i="1"/>
  <c r="D22" i="1"/>
  <c r="F22" i="1"/>
  <c r="E22" i="1"/>
  <c r="A22" i="1"/>
  <c r="AB21" i="1"/>
  <c r="AD21" i="1"/>
  <c r="AG21" i="1"/>
  <c r="AE21" i="1"/>
  <c r="AC21" i="1"/>
  <c r="AA21" i="1"/>
  <c r="V21" i="1"/>
  <c r="W21" i="1"/>
  <c r="Q21" i="1"/>
  <c r="P21" i="1"/>
  <c r="O21" i="1"/>
  <c r="N21" i="1"/>
  <c r="M21" i="1"/>
  <c r="J21" i="1"/>
  <c r="I21" i="1"/>
  <c r="D21" i="1"/>
  <c r="F21" i="1"/>
  <c r="E21" i="1"/>
  <c r="A21" i="1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AB13" i="1"/>
  <c r="AD13" i="1"/>
  <c r="AG13" i="1"/>
  <c r="AE13" i="1"/>
  <c r="AC13" i="1"/>
  <c r="AA13" i="1"/>
  <c r="V13" i="1"/>
  <c r="W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AA12" i="1"/>
  <c r="V12" i="1"/>
  <c r="W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AA11" i="1"/>
  <c r="V11" i="1"/>
  <c r="W11" i="1"/>
  <c r="Q11" i="1"/>
  <c r="P11" i="1"/>
  <c r="O11" i="1"/>
  <c r="N11" i="1"/>
  <c r="M11" i="1"/>
  <c r="J11" i="1"/>
  <c r="I11" i="1"/>
  <c r="D11" i="1"/>
  <c r="F11" i="1"/>
  <c r="E11" i="1"/>
  <c r="A11" i="1"/>
  <c r="AB15" i="1"/>
  <c r="AD15" i="1"/>
  <c r="AG15" i="1"/>
  <c r="AE15" i="1"/>
  <c r="AC15" i="1"/>
  <c r="AA15" i="1"/>
  <c r="V15" i="1"/>
  <c r="W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AA14" i="1"/>
  <c r="V14" i="1"/>
  <c r="W14" i="1"/>
  <c r="Q14" i="1"/>
  <c r="P14" i="1"/>
  <c r="O14" i="1"/>
  <c r="N14" i="1"/>
  <c r="M14" i="1"/>
  <c r="J14" i="1"/>
  <c r="I14" i="1"/>
  <c r="D14" i="1"/>
  <c r="F14" i="1"/>
  <c r="E14" i="1"/>
  <c r="A14" i="1"/>
  <c r="AB10" i="1"/>
  <c r="AD10" i="1"/>
  <c r="AG10" i="1"/>
  <c r="AE10" i="1"/>
  <c r="AC10" i="1"/>
  <c r="AA10" i="1"/>
  <c r="V10" i="1"/>
  <c r="W10" i="1"/>
  <c r="Q10" i="1"/>
  <c r="P10" i="1"/>
  <c r="O10" i="1"/>
  <c r="N10" i="1"/>
  <c r="M10" i="1"/>
  <c r="J10" i="1"/>
  <c r="I10" i="1"/>
  <c r="D10" i="1"/>
  <c r="F10" i="1"/>
  <c r="E10" i="1"/>
  <c r="A10" i="1"/>
  <c r="AB8" i="1"/>
  <c r="AD8" i="1"/>
  <c r="AG8" i="1"/>
  <c r="AE8" i="1"/>
  <c r="AC8" i="1"/>
  <c r="AA8" i="1"/>
  <c r="V8" i="1"/>
  <c r="W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AA7" i="1"/>
  <c r="V7" i="1"/>
  <c r="W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AA6" i="1"/>
  <c r="V6" i="1"/>
  <c r="W6" i="1"/>
  <c r="Q6" i="1"/>
  <c r="P6" i="1"/>
  <c r="O6" i="1"/>
  <c r="N6" i="1"/>
  <c r="M6" i="1"/>
  <c r="J6" i="1"/>
  <c r="I6" i="1"/>
  <c r="D6" i="1"/>
  <c r="F6" i="1"/>
  <c r="E6" i="1"/>
  <c r="A6" i="1"/>
  <c r="E4" i="9"/>
  <c r="J3" i="11"/>
  <c r="J4" i="11"/>
  <c r="J5" i="11"/>
  <c r="J6" i="11"/>
  <c r="J9" i="11"/>
  <c r="J10" i="11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D4" i="9"/>
  <c r="A4" i="9"/>
  <c r="O3" i="9"/>
  <c r="N3" i="9"/>
  <c r="M3" i="9"/>
  <c r="L3" i="9"/>
  <c r="K3" i="9"/>
  <c r="J3" i="9"/>
  <c r="I3" i="9"/>
  <c r="H3" i="9"/>
  <c r="G3" i="9"/>
  <c r="D3" i="9"/>
  <c r="A3" i="9"/>
  <c r="AB16" i="1"/>
  <c r="AB19" i="1"/>
  <c r="AB20" i="1"/>
  <c r="AD20" i="1"/>
  <c r="AG20" i="1"/>
  <c r="AE20" i="1"/>
  <c r="AC20" i="1"/>
  <c r="AA20" i="1"/>
  <c r="W20" i="1"/>
  <c r="Q20" i="1"/>
  <c r="P20" i="1"/>
  <c r="O20" i="1"/>
  <c r="N20" i="1"/>
  <c r="M20" i="1"/>
  <c r="J20" i="1"/>
  <c r="I20" i="1"/>
  <c r="D20" i="1"/>
  <c r="F20" i="1"/>
  <c r="E20" i="1"/>
  <c r="A20" i="1"/>
  <c r="AD19" i="1"/>
  <c r="AG19" i="1"/>
  <c r="AE19" i="1"/>
  <c r="AC19" i="1"/>
  <c r="AA19" i="1"/>
  <c r="V19" i="1"/>
  <c r="W19" i="1"/>
  <c r="Q19" i="1"/>
  <c r="P19" i="1"/>
  <c r="O19" i="1"/>
  <c r="N19" i="1"/>
  <c r="M19" i="1"/>
  <c r="J19" i="1"/>
  <c r="I19" i="1"/>
  <c r="D19" i="1"/>
  <c r="F19" i="1"/>
  <c r="E19" i="1"/>
  <c r="A19" i="1"/>
  <c r="AA16" i="1"/>
  <c r="A16" i="1"/>
  <c r="D16" i="1"/>
  <c r="E16" i="1"/>
  <c r="F16" i="1"/>
  <c r="I16" i="1"/>
  <c r="J16" i="1"/>
  <c r="M16" i="1"/>
  <c r="N16" i="1"/>
  <c r="O16" i="1"/>
  <c r="P16" i="1"/>
  <c r="Q16" i="1"/>
  <c r="V16" i="1"/>
  <c r="W16" i="1"/>
  <c r="AC16" i="1"/>
  <c r="AD16" i="1"/>
  <c r="AE16" i="1"/>
  <c r="AG16" i="1"/>
  <c r="AB9" i="1"/>
  <c r="AD9" i="1"/>
  <c r="AG9" i="1"/>
  <c r="AE9" i="1"/>
  <c r="AC9" i="1"/>
  <c r="AA9" i="1"/>
  <c r="W9" i="1"/>
  <c r="Q9" i="1"/>
  <c r="P9" i="1"/>
  <c r="O9" i="1"/>
  <c r="N9" i="1"/>
  <c r="M9" i="1"/>
  <c r="J9" i="1"/>
  <c r="I9" i="1"/>
  <c r="D9" i="1"/>
  <c r="F9" i="1"/>
  <c r="E9" i="1"/>
  <c r="A9" i="1"/>
  <c r="B3" i="2"/>
  <c r="D3" i="2"/>
  <c r="E3" i="2"/>
  <c r="H3" i="2"/>
  <c r="B4" i="2"/>
  <c r="D4" i="2"/>
  <c r="E4" i="2"/>
  <c r="H4" i="2"/>
  <c r="B5" i="2"/>
  <c r="D5" i="2"/>
  <c r="E5" i="2"/>
  <c r="H5" i="2"/>
  <c r="C3" i="16"/>
  <c r="C4" i="16"/>
  <c r="C5" i="16"/>
  <c r="C6" i="16"/>
  <c r="C7" i="16"/>
  <c r="C8" i="16"/>
  <c r="C2" i="16"/>
  <c r="X2" i="7"/>
  <c r="AB2" i="1"/>
  <c r="AE2" i="1"/>
  <c r="AD2" i="1"/>
  <c r="AC2" i="1"/>
  <c r="N2" i="1"/>
  <c r="O2" i="1"/>
  <c r="M2" i="1"/>
  <c r="AG2" i="1"/>
  <c r="D2" i="9"/>
  <c r="H2" i="7"/>
  <c r="J2" i="7"/>
  <c r="V2" i="1"/>
  <c r="W2" i="1"/>
  <c r="N2" i="7"/>
  <c r="R2" i="7"/>
  <c r="Q2" i="7"/>
  <c r="P2" i="7"/>
  <c r="O2" i="7"/>
  <c r="AA2" i="1"/>
  <c r="Q2" i="1"/>
  <c r="P2" i="1"/>
  <c r="E8" i="16"/>
  <c r="E7" i="16"/>
  <c r="E6" i="16"/>
  <c r="E5" i="16"/>
  <c r="E4" i="16"/>
  <c r="E3" i="16"/>
  <c r="E2" i="16"/>
  <c r="A2" i="1"/>
  <c r="G2" i="9"/>
  <c r="H2" i="9"/>
  <c r="I2" i="9"/>
  <c r="J2" i="9"/>
  <c r="K2" i="9"/>
  <c r="L2" i="9"/>
  <c r="M2" i="9"/>
  <c r="N2" i="9"/>
  <c r="O2" i="9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<sst xmlns="http://schemas.openxmlformats.org/spreadsheetml/2006/main" count="385" uniqueCount="186">
  <si>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</si>
  <si>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</si>
  <si>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</si>
  <si>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</si>
  <si>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</si>
  <si>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</si>
  <si>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</si>
  <si>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</si>
  <si>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</si>
  <si>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</si>
  <si>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</si>
  <si>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</si>
  <si>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</si>
  <si>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</si>
  <si>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</si>
  <si>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</si>
  <si>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</si>
  <si>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</si>
  <si>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</si>
  <si>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</si>
  <si>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</si>
  <si>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</si>
  <si>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</si>
  <si>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</si>
  <si>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</si>
  <si>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</si>
  <si>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</si>
  <si>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</si>
  <si>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</si>
  <si>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</si>
  <si>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</si>
  <si>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</si>
  <si>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</si>
  <si>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</si>
  <si>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</si>
  <si>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</si>
  <si>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</si>
  <si>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</si>
  <si>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</si>
  <si>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</si>
  <si>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</si>
  <si>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</si>
  <si>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</si>
  <si>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</si>
  <si>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</si>
  <si>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</si>
  <si>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</si>
  <si>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</si>
  <si>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</si>
  <si>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</si>
  <si>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</si>
  <si>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</si>
  <si>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</si>
  <si>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</si>
  <si>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</si>
  <si>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</si>
  <si>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</si>
  <si>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</si>
  <si>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</si>
  <si>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</si>
  <si>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</si>
  <si>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</si>
  <si>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</si>
  <si>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</si>
  <si>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</si>
  <si>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</si>
  <si>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</si>
  <si>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</si>
  <si>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</si>
  <si>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</si>
  <si>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</si>
  <si>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</si>
  <si>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</si>
  <si>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</si>
  <si>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</si>
  <si>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</si>
  <si>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</si>
  <si>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</si>
  <si>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</si>
  <si>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</si>
  <si>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</si>
  <si>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</si>
  <si>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</si>
  <si>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</si>
  <si>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</si>
  <si>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</si>
  <si>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</si>
  <si>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</si>
  <si>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重複チェック</t>
    <rPh sb="0" eb="2">
      <t>チョウフク</t>
    </rPh>
    <phoneticPr fontId="3"/>
  </si>
  <si>
    <t>null</t>
    <phoneticPr fontId="3"/>
  </si>
  <si>
    <t>enemy_skills</t>
    <phoneticPr fontId="3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</si>
  <si>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</si>
  <si>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</si>
  <si>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</si>
  <si>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</si>
  <si>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</si>
  <si>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</si>
  <si>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</si>
  <si>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</si>
  <si>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</si>
  <si>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</si>
  <si>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</si>
  <si>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</si>
  <si>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</si>
  <si>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</si>
  <si>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</si>
  <si>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</si>
  <si>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</si>
  <si>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</si>
  <si>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</si>
  <si>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</si>
  <si>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</si>
  <si>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</si>
  <si>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</si>
  <si>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</si>
  <si>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</si>
  <si>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</si>
  <si>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enemy_skills_i18n_</t>
    <phoneticPr fontId="3"/>
  </si>
  <si>
    <t>enemy_skills</t>
    <phoneticPr fontId="3"/>
  </si>
  <si>
    <t>enemy_skill_triggers_</t>
    <phoneticPr fontId="3"/>
  </si>
  <si>
    <t>.tmp</t>
    <phoneticPr fontId="3"/>
  </si>
  <si>
    <t>enemy_skill_triggers</t>
    <phoneticPr fontId="3"/>
  </si>
  <si>
    <t>hp_termination</t>
    <phoneticPr fontId="3"/>
  </si>
  <si>
    <t>invoke_weight</t>
    <phoneticPr fontId="3"/>
  </si>
  <si>
    <t>every_time_count</t>
    <phoneticPr fontId="3"/>
  </si>
  <si>
    <t>neighbor_dead_id</t>
    <phoneticPr fontId="3"/>
  </si>
  <si>
    <t>language</t>
    <phoneticPr fontId="3"/>
  </si>
  <si>
    <t>skill_set_id</t>
    <phoneticPr fontId="3"/>
  </si>
  <si>
    <t>スキル</t>
    <phoneticPr fontId="3"/>
  </si>
  <si>
    <t>出力flg</t>
    <rPh sb="0" eb="2">
      <t>シュツリョク</t>
    </rPh>
    <phoneticPr fontId="3"/>
  </si>
  <si>
    <t>old</t>
    <phoneticPr fontId="3"/>
  </si>
  <si>
    <t>[effect:damage_anti_tribe, target:unit_one, tribe:dragon, val1:3.0, val2:0.8]</t>
    <phoneticPr fontId="3"/>
  </si>
  <si>
    <t>ja</t>
    <phoneticPr fontId="3"/>
  </si>
  <si>
    <t>種族ドラゴンのユニットに大ダメージ</t>
    <rPh sb="0" eb="2">
      <t>シュゾク</t>
    </rPh>
    <phoneticPr fontId="3"/>
  </si>
  <si>
    <t>ja</t>
    <phoneticPr fontId="3"/>
  </si>
  <si>
    <t>5回連続攻撃</t>
    <rPh sb="1" eb="2">
      <t>カイ</t>
    </rPh>
    <rPh sb="2" eb="6">
      <t>レンゾクコウゲキ</t>
    </rPh>
    <phoneticPr fontId="3"/>
  </si>
  <si>
    <t>回復</t>
    <rPh sb="0" eb="2">
      <t>カイフク</t>
    </rPh>
    <phoneticPr fontId="3"/>
  </si>
  <si>
    <t>[effect:freq_turn, target:myself, turn:4, val:1, animation:enemy_freq_turn]</t>
    <phoneticPr fontId="3"/>
  </si>
  <si>
    <t>4ターン攻撃頻度が1ターンにUP</t>
    <phoneticPr fontId="3"/>
  </si>
  <si>
    <t>お供連続攻撃</t>
    <rPh sb="1" eb="2">
      <t>トモ</t>
    </rPh>
    <rPh sb="2" eb="4">
      <t>レンゾク</t>
    </rPh>
    <rPh sb="4" eb="6">
      <t>コウゲキ</t>
    </rPh>
    <phoneticPr fontId="3"/>
  </si>
  <si>
    <t>お供ヒール</t>
    <rPh sb="1" eb="2">
      <t>トモ</t>
    </rPh>
    <phoneticPr fontId="3"/>
  </si>
  <si>
    <t>[effect:degrade_unit, target:unit_all, turn:2, status:attack, val:0.7, calc:mul],[effect:rush, count:1, val:0.9]</t>
    <phoneticPr fontId="3"/>
  </si>
  <si>
    <t>[effect:degrade_unit, target:unit_all, turn:2, status:attack, val:0.9, calc:mul],[effect:rush, count:1, val:0.9]</t>
    <phoneticPr fontId="3"/>
  </si>
  <si>
    <t>6回連続攻撃</t>
    <rPh sb="1" eb="2">
      <t>カイ</t>
    </rPh>
    <rPh sb="2" eb="6">
      <t>レンゾクコウゲキ</t>
    </rPh>
    <phoneticPr fontId="3"/>
  </si>
  <si>
    <t>脅威の顎</t>
  </si>
  <si>
    <t>咀嚼</t>
  </si>
  <si>
    <t>[effect:nothing]</t>
  </si>
  <si>
    <t>ja</t>
    <phoneticPr fontId="3"/>
  </si>
  <si>
    <t>大公爵たる所以</t>
    <phoneticPr fontId="3"/>
  </si>
  <si>
    <t>次のターン強力な全体攻撃</t>
    <phoneticPr fontId="3"/>
  </si>
  <si>
    <t>[effect:spread, val:0.5, animation:enemy_spread]</t>
    <phoneticPr fontId="3"/>
  </si>
  <si>
    <t>ギガンティック・フォール</t>
    <phoneticPr fontId="3"/>
  </si>
  <si>
    <t>[effect:rush, count:6, val:0.25]</t>
    <phoneticPr fontId="3"/>
  </si>
  <si>
    <t>[effect:heal, target:enemy_all, val:0.5, animation:enemy_heal]</t>
    <phoneticPr fontId="3"/>
  </si>
  <si>
    <t>[effect:heal, target:enemy_all, val:0.7, animation:enemy_heal]</t>
    <phoneticPr fontId="3"/>
  </si>
  <si>
    <t>[effect:rush, count:5, val:0.45]</t>
    <phoneticPr fontId="3"/>
  </si>
  <si>
    <t>2ターンの間攻撃力が50%DOWN</t>
    <rPh sb="5" eb="6">
      <t>アイダ</t>
    </rPh>
    <rPh sb="6" eb="9">
      <t>コウゲキリョク</t>
    </rPh>
    <phoneticPr fontId="3"/>
  </si>
  <si>
    <t>2ターンの間攻撃力が70%DOWN</t>
    <rPh sb="6" eb="9">
      <t>コウゲキリョク</t>
    </rPh>
    <phoneticPr fontId="3"/>
  </si>
  <si>
    <t>2ターンの間攻撃力が90%DOWN</t>
    <rPh sb="6" eb="9">
      <t>コウゲキリョク</t>
    </rPh>
    <phoneticPr fontId="3"/>
  </si>
  <si>
    <t>フック船長に言いつけてやる！</t>
    <rPh sb="3" eb="5">
      <t>センチョウ</t>
    </rPh>
    <rPh sb="6" eb="7">
      <t>イ</t>
    </rPh>
    <phoneticPr fontId="3"/>
  </si>
  <si>
    <t>フックを探している</t>
    <rPh sb="4" eb="5">
      <t>サガ</t>
    </rPh>
    <phoneticPr fontId="3"/>
  </si>
  <si>
    <t>ドラゴンさんにはよくききますっ！</t>
    <phoneticPr fontId="3"/>
  </si>
  <si>
    <t>1ターン回復力が50%DOWN</t>
    <phoneticPr fontId="3"/>
  </si>
  <si>
    <t>全体攻撃</t>
    <phoneticPr fontId="3"/>
  </si>
  <si>
    <t>黄パネルを時限式ダメージパネルに変換</t>
    <rPh sb="0" eb="1">
      <t>キイロ</t>
    </rPh>
    <rPh sb="5" eb="8">
      <t>ジゲンシキ</t>
    </rPh>
    <rPh sb="16" eb="18">
      <t>ヘンカン</t>
    </rPh>
    <phoneticPr fontId="3"/>
  </si>
  <si>
    <t>[effect:heal, target:enemy_all, val:0.7, animation:enemy_heal]</t>
    <phoneticPr fontId="3"/>
  </si>
  <si>
    <t>[effect:degrade_unit, target:unit_all, turn:2, status:attack, val:0.5, calc:mul],[effect:rush, count:1, val:0.9]</t>
    <phoneticPr fontId="3"/>
  </si>
  <si>
    <t>[effect:degrade_unit, target:unit_all, turn:1, status:heal, val:0.5, calc:mul],[effect:rush, count:1, val:0.8]</t>
    <phoneticPr fontId="3"/>
  </si>
  <si>
    <t>[effect:change_block, new_block:time_bomb, target:block_yellow, count:0, val:0.1, animation:change_block],[effect:rush, count:1, val:0.8]</t>
    <phoneticPr fontId="3"/>
  </si>
  <si>
    <t>[effect:damage_anti_tribe, target:unit_one, tribe:dragon, val1:2.0, val2:0.8]</t>
    <phoneticPr fontId="3"/>
  </si>
  <si>
    <t>[effect:critical, val:2.2.0, animation:enemy_critical]</t>
    <phoneticPr fontId="3"/>
  </si>
  <si>
    <t>クリティカル攻撃</t>
    <phoneticPr fontId="3"/>
  </si>
  <si>
    <t>これ以上の悪事は許しませんッ！</t>
    <rPh sb="2" eb="4">
      <t>イジョウ</t>
    </rPh>
    <rPh sb="5" eb="7">
      <t>アクジ</t>
    </rPh>
    <rPh sb="8" eb="9">
      <t>ユル</t>
    </rPh>
    <phoneticPr fontId="3"/>
  </si>
  <si>
    <t>仲間を気にしている</t>
    <rPh sb="0" eb="2">
      <t>ナカマ</t>
    </rPh>
    <rPh sb="3" eb="4">
      <t>キ</t>
    </rPh>
    <phoneticPr fontId="3"/>
  </si>
  <si>
    <t>あぶないものはボッシュウですッ！</t>
    <phoneticPr fontId="3"/>
  </si>
  <si>
    <t>もうゆるしませんッ！</t>
    <phoneticPr fontId="3"/>
  </si>
  <si>
    <t>しっかりしてくださぃッ！</t>
    <phoneticPr fontId="3"/>
  </si>
  <si>
    <t>ドラゴンさんにはよくききますッ！</t>
    <phoneticPr fontId="3"/>
  </si>
  <si>
    <t>あぶないものはボッシュウですッ！</t>
    <phoneticPr fontId="3"/>
  </si>
  <si>
    <t>にがしませんよッ！</t>
    <phoneticPr fontId="3"/>
  </si>
  <si>
    <t>ぶきをよこしなさいッ！</t>
    <phoneticPr fontId="3"/>
  </si>
  <si>
    <t>これとこれもつかいますッ！</t>
    <phoneticPr fontId="3"/>
  </si>
  <si>
    <t>にがさないッ！</t>
    <phoneticPr fontId="3"/>
  </si>
  <si>
    <t>[effect:rush, count:5, val:0.4]</t>
    <phoneticPr fontId="3"/>
  </si>
  <si>
    <t>[effect:rush, count:5, val:0.35]</t>
    <phoneticPr fontId="3"/>
  </si>
  <si>
    <t>ぜったいにゆるさないんだからッ！！！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</si>
</sst>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.8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702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0" borderId="0">
      <alignment vertical="center"/>
    </xf>
    <xf numFmtId="0" fontId="23" fillId="10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3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4" fillId="12" borderId="7" xfId="0" applyFont="1" applyFill="1" applyBorder="1"/>
    <xf numFmtId="0" fontId="11" fillId="11" borderId="7" xfId="434" applyFont="1" applyFill="1" applyBorder="1" applyAlignment="1"/>
    <xf numFmtId="0" fontId="22" fillId="0" borderId="7" xfId="434" applyBorder="1" applyAlignment="1"/>
    <xf numFmtId="0" fontId="14" fillId="13" borderId="7" xfId="0" applyFont="1" applyFill="1" applyBorder="1" applyAlignment="1">
      <alignment vertical="center"/>
    </xf>
    <xf numFmtId="0" fontId="14" fillId="13" borderId="7" xfId="0" applyFont="1" applyFill="1" applyBorder="1" applyAlignment="1">
      <alignment horizontal="left" vertical="center"/>
    </xf>
    <xf numFmtId="14" fontId="14" fillId="13" borderId="7" xfId="0" applyNumberFormat="1" applyFont="1" applyFill="1" applyBorder="1" applyAlignment="1">
      <alignment horizontal="left" vertical="center"/>
    </xf>
    <xf numFmtId="0" fontId="14" fillId="13" borderId="0" xfId="0" applyFont="1" applyFill="1" applyAlignment="1">
      <alignment vertical="center"/>
    </xf>
    <xf numFmtId="0" fontId="14" fillId="13" borderId="7" xfId="0" applyFont="1" applyFill="1" applyBorder="1" applyAlignment="1">
      <alignment horizontal="left" vertical="center" wrapText="1"/>
    </xf>
    <xf numFmtId="0" fontId="14" fillId="6" borderId="7" xfId="0" applyFont="1" applyFill="1" applyBorder="1" applyAlignment="1">
      <alignment vertical="center"/>
    </xf>
    <xf numFmtId="0" fontId="25" fillId="6" borderId="7" xfId="0" applyFont="1" applyFill="1" applyBorder="1" applyAlignment="1">
      <alignment vertical="center"/>
    </xf>
    <xf numFmtId="0" fontId="14" fillId="6" borderId="7" xfId="0" applyFont="1" applyFill="1" applyBorder="1" applyAlignment="1">
      <alignment horizontal="left" vertical="center"/>
    </xf>
    <xf numFmtId="0" fontId="14" fillId="6" borderId="7" xfId="0" applyFont="1" applyFill="1" applyBorder="1" applyAlignment="1">
      <alignment horizontal="left" vertical="center" wrapText="1"/>
    </xf>
    <xf numFmtId="14" fontId="14" fillId="6" borderId="7" xfId="0" applyNumberFormat="1" applyFont="1" applyFill="1" applyBorder="1" applyAlignment="1">
      <alignment horizontal="left" vertical="center"/>
    </xf>
    <xf numFmtId="0" fontId="14" fillId="6" borderId="0" xfId="0" applyFont="1" applyFill="1" applyAlignment="1">
      <alignment vertical="center"/>
    </xf>
    <xf numFmtId="0" fontId="14" fillId="14" borderId="7" xfId="0" applyFont="1" applyFill="1" applyBorder="1" applyAlignment="1">
      <alignment vertical="center"/>
    </xf>
    <xf numFmtId="0" fontId="14" fillId="15" borderId="7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14" fillId="16" borderId="7" xfId="0" applyFont="1" applyFill="1" applyBorder="1" applyAlignment="1">
      <alignment vertical="center"/>
    </xf>
    <xf numFmtId="0" fontId="14" fillId="16" borderId="7" xfId="0" applyFont="1" applyFill="1" applyBorder="1" applyAlignment="1">
      <alignment horizontal="left" vertical="center"/>
    </xf>
    <xf numFmtId="0" fontId="14" fillId="16" borderId="7" xfId="0" applyFont="1" applyFill="1" applyBorder="1" applyAlignment="1">
      <alignment horizontal="left" vertical="center" wrapText="1"/>
    </xf>
    <xf numFmtId="14" fontId="14" fillId="16" borderId="7" xfId="0" applyNumberFormat="1" applyFont="1" applyFill="1" applyBorder="1" applyAlignment="1">
      <alignment horizontal="left" vertical="center"/>
    </xf>
    <xf numFmtId="0" fontId="14" fillId="0" borderId="7" xfId="0" applyFont="1" applyFill="1" applyBorder="1" applyAlignment="1">
      <alignment horizontal="left" vertical="center" wrapText="1"/>
    </xf>
  </cellXfs>
  <cellStyles count="702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標準" xfId="0" builtinId="0"/>
    <cellStyle name="標準 2" xfId="432"/>
    <cellStyle name="標準 2 2" xfId="433"/>
    <cellStyle name="標準 3" xfId="434"/>
    <cellStyle name="標準 4" xfId="11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  <cell r="Y2">
            <v>1</v>
          </cell>
          <cell r="Z2">
            <v>1</v>
          </cell>
          <cell r="AA2">
            <v>1</v>
          </cell>
          <cell r="AB2">
            <v>0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  <cell r="Y3">
            <v>1</v>
          </cell>
          <cell r="Z3">
            <v>1</v>
          </cell>
          <cell r="AA3">
            <v>1</v>
          </cell>
          <cell r="AB3">
            <v>0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  <cell r="Y4">
            <v>1</v>
          </cell>
          <cell r="Z4">
            <v>1</v>
          </cell>
          <cell r="AA4">
            <v>1</v>
          </cell>
          <cell r="AB4">
            <v>0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  <cell r="Y5">
            <v>1</v>
          </cell>
          <cell r="Z5">
            <v>1</v>
          </cell>
          <cell r="AA5">
            <v>1</v>
          </cell>
          <cell r="AB5">
            <v>0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  <cell r="Y6">
            <v>1</v>
          </cell>
          <cell r="Z6">
            <v>1</v>
          </cell>
          <cell r="AA6">
            <v>1</v>
          </cell>
          <cell r="AB6">
            <v>0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  <cell r="Y7">
            <v>1</v>
          </cell>
          <cell r="Z7">
            <v>1</v>
          </cell>
          <cell r="AA7">
            <v>1</v>
          </cell>
          <cell r="AB7">
            <v>0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  <cell r="Y8">
            <v>1</v>
          </cell>
          <cell r="Z8">
            <v>1</v>
          </cell>
          <cell r="AA8">
            <v>1</v>
          </cell>
          <cell r="AB8">
            <v>0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  <cell r="Y9">
            <v>1</v>
          </cell>
          <cell r="Z9">
            <v>1</v>
          </cell>
          <cell r="AA9">
            <v>1</v>
          </cell>
          <cell r="AB9">
            <v>0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  <cell r="Y10">
            <v>1</v>
          </cell>
          <cell r="Z10">
            <v>1</v>
          </cell>
          <cell r="AA10">
            <v>1</v>
          </cell>
          <cell r="AB10">
            <v>0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  <cell r="Y11">
            <v>1</v>
          </cell>
          <cell r="Z11">
            <v>1</v>
          </cell>
          <cell r="AA11">
            <v>1</v>
          </cell>
          <cell r="AB11">
            <v>0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  <cell r="Y12">
            <v>1</v>
          </cell>
          <cell r="Z12">
            <v>1</v>
          </cell>
          <cell r="AA12">
            <v>1</v>
          </cell>
          <cell r="AB12">
            <v>0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  <cell r="Y13">
            <v>1</v>
          </cell>
          <cell r="Z13">
            <v>1</v>
          </cell>
          <cell r="AA13">
            <v>1</v>
          </cell>
          <cell r="AB13">
            <v>0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  <cell r="Y14">
            <v>1</v>
          </cell>
          <cell r="Z14">
            <v>1</v>
          </cell>
          <cell r="AA14">
            <v>1</v>
          </cell>
          <cell r="AB14">
            <v>0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  <cell r="Y15">
            <v>1</v>
          </cell>
          <cell r="Z15">
            <v>1</v>
          </cell>
          <cell r="AA15">
            <v>1</v>
          </cell>
          <cell r="AB15">
            <v>0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  <cell r="Y16">
            <v>1</v>
          </cell>
          <cell r="Z16">
            <v>1</v>
          </cell>
          <cell r="AA16">
            <v>1</v>
          </cell>
          <cell r="AB16">
            <v>0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  <cell r="Y17">
            <v>1</v>
          </cell>
          <cell r="Z17">
            <v>1</v>
          </cell>
          <cell r="AA17">
            <v>1</v>
          </cell>
          <cell r="AB17">
            <v>0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  <cell r="Y18">
            <v>1</v>
          </cell>
          <cell r="Z18">
            <v>1</v>
          </cell>
          <cell r="AA18">
            <v>1</v>
          </cell>
          <cell r="AB18">
            <v>0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  <cell r="Y19">
            <v>1</v>
          </cell>
          <cell r="Z19">
            <v>1</v>
          </cell>
          <cell r="AA19">
            <v>1</v>
          </cell>
          <cell r="AB19">
            <v>0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  <cell r="Y20">
            <v>1</v>
          </cell>
          <cell r="Z20">
            <v>1</v>
          </cell>
          <cell r="AA20">
            <v>1</v>
          </cell>
          <cell r="AB20">
            <v>0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  <cell r="Y21">
            <v>1</v>
          </cell>
          <cell r="Z21">
            <v>1</v>
          </cell>
          <cell r="AA21">
            <v>1</v>
          </cell>
          <cell r="AB21">
            <v>0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  <cell r="Y22">
            <v>1</v>
          </cell>
          <cell r="Z22">
            <v>1</v>
          </cell>
          <cell r="AA22">
            <v>1</v>
          </cell>
          <cell r="AB22">
            <v>0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  <cell r="Y23">
            <v>1</v>
          </cell>
          <cell r="Z23">
            <v>1</v>
          </cell>
          <cell r="AA23">
            <v>1</v>
          </cell>
          <cell r="AB23">
            <v>0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  <cell r="Y24">
            <v>1</v>
          </cell>
          <cell r="Z24">
            <v>1</v>
          </cell>
          <cell r="AA24">
            <v>1</v>
          </cell>
          <cell r="AB24">
            <v>0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  <cell r="Y25">
            <v>1</v>
          </cell>
          <cell r="Z25">
            <v>1</v>
          </cell>
          <cell r="AA25">
            <v>1</v>
          </cell>
          <cell r="AB25">
            <v>0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  <cell r="Y26">
            <v>1</v>
          </cell>
          <cell r="Z26">
            <v>1</v>
          </cell>
          <cell r="AA26">
            <v>1</v>
          </cell>
          <cell r="AB26">
            <v>0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  <cell r="Y27">
            <v>1</v>
          </cell>
          <cell r="Z27">
            <v>1</v>
          </cell>
          <cell r="AA27">
            <v>1</v>
          </cell>
          <cell r="AB27">
            <v>0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  <cell r="Y28">
            <v>1</v>
          </cell>
          <cell r="Z28">
            <v>1</v>
          </cell>
          <cell r="AA28">
            <v>1</v>
          </cell>
          <cell r="AB28">
            <v>0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  <cell r="Y29">
            <v>1</v>
          </cell>
          <cell r="Z29">
            <v>1</v>
          </cell>
          <cell r="AA29">
            <v>1</v>
          </cell>
          <cell r="AB29">
            <v>28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  <cell r="Y30">
            <v>1</v>
          </cell>
          <cell r="Z30">
            <v>1</v>
          </cell>
          <cell r="AA30">
            <v>1</v>
          </cell>
          <cell r="AB30">
            <v>0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  <cell r="Y31">
            <v>1</v>
          </cell>
          <cell r="Z31">
            <v>1</v>
          </cell>
          <cell r="AA31">
            <v>1</v>
          </cell>
          <cell r="AB31">
            <v>30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  <cell r="Y32">
            <v>1</v>
          </cell>
          <cell r="Z32">
            <v>1</v>
          </cell>
          <cell r="AA32">
            <v>1</v>
          </cell>
          <cell r="AB32">
            <v>0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  <cell r="Y33">
            <v>1</v>
          </cell>
          <cell r="Z33">
            <v>1</v>
          </cell>
          <cell r="AA33">
            <v>1</v>
          </cell>
          <cell r="AB33">
            <v>0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  <cell r="Y34">
            <v>1</v>
          </cell>
          <cell r="Z34">
            <v>1</v>
          </cell>
          <cell r="AA34">
            <v>1</v>
          </cell>
          <cell r="AB34">
            <v>33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  <cell r="Y35">
            <v>1.1000000000000001</v>
          </cell>
          <cell r="Z35">
            <v>1.2</v>
          </cell>
          <cell r="AA35">
            <v>1.2</v>
          </cell>
          <cell r="AB35">
            <v>34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  <cell r="Y36">
            <v>1</v>
          </cell>
          <cell r="Z36">
            <v>1</v>
          </cell>
          <cell r="AA36">
            <v>1</v>
          </cell>
          <cell r="AB36">
            <v>35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  <cell r="Y37">
            <v>1.1000000000000001</v>
          </cell>
          <cell r="Z37">
            <v>1.2</v>
          </cell>
          <cell r="AA37">
            <v>1.2</v>
          </cell>
          <cell r="AB37">
            <v>36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  <cell r="Y38">
            <v>1</v>
          </cell>
          <cell r="Z38">
            <v>1</v>
          </cell>
          <cell r="AA38">
            <v>1</v>
          </cell>
          <cell r="AB38">
            <v>37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  <cell r="Y39">
            <v>1.1000000000000001</v>
          </cell>
          <cell r="Z39">
            <v>1.2</v>
          </cell>
          <cell r="AA39">
            <v>1.2</v>
          </cell>
          <cell r="AB39">
            <v>38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  <cell r="Y40">
            <v>1</v>
          </cell>
          <cell r="Z40">
            <v>1</v>
          </cell>
          <cell r="AA40">
            <v>1</v>
          </cell>
          <cell r="AB40">
            <v>39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  <cell r="Y41">
            <v>1.1000000000000001</v>
          </cell>
          <cell r="Z41">
            <v>1.2</v>
          </cell>
          <cell r="AA41">
            <v>1.2</v>
          </cell>
          <cell r="AB41">
            <v>40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  <cell r="Y42">
            <v>1</v>
          </cell>
          <cell r="Z42">
            <v>1</v>
          </cell>
          <cell r="AA42">
            <v>1</v>
          </cell>
          <cell r="AB42">
            <v>0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  <cell r="Y43">
            <v>1.1000000000000001</v>
          </cell>
          <cell r="Z43">
            <v>1.2</v>
          </cell>
          <cell r="AA43">
            <v>1.2</v>
          </cell>
          <cell r="AB43">
            <v>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  <cell r="Y44">
            <v>1</v>
          </cell>
          <cell r="Z44">
            <v>1</v>
          </cell>
          <cell r="AA44">
            <v>1</v>
          </cell>
          <cell r="AB44">
            <v>0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  <cell r="Y45">
            <v>1.1000000000000001</v>
          </cell>
          <cell r="Z45">
            <v>1.2</v>
          </cell>
          <cell r="AA45">
            <v>1.2</v>
          </cell>
          <cell r="AB45">
            <v>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  <cell r="Y46">
            <v>1</v>
          </cell>
          <cell r="Z46">
            <v>1</v>
          </cell>
          <cell r="AA46">
            <v>1</v>
          </cell>
          <cell r="AB46">
            <v>0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  <cell r="Y47">
            <v>1.1000000000000001</v>
          </cell>
          <cell r="Z47">
            <v>1.2</v>
          </cell>
          <cell r="AA47">
            <v>1.2</v>
          </cell>
          <cell r="AB47">
            <v>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  <cell r="Y48">
            <v>1</v>
          </cell>
          <cell r="Z48">
            <v>1</v>
          </cell>
          <cell r="AA48">
            <v>1</v>
          </cell>
          <cell r="AB48">
            <v>0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  <cell r="Y49">
            <v>1.1000000000000001</v>
          </cell>
          <cell r="Z49">
            <v>1.2</v>
          </cell>
          <cell r="AA49">
            <v>1.2</v>
          </cell>
          <cell r="AB49">
            <v>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  <cell r="Y50">
            <v>1</v>
          </cell>
          <cell r="Z50">
            <v>1</v>
          </cell>
          <cell r="AA50">
            <v>1</v>
          </cell>
          <cell r="AB50">
            <v>49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  <cell r="Y51">
            <v>1.1000000000000001</v>
          </cell>
          <cell r="Z51">
            <v>1.2</v>
          </cell>
          <cell r="AA51">
            <v>1.2</v>
          </cell>
          <cell r="AB51">
            <v>50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  <cell r="Y52">
            <v>1</v>
          </cell>
          <cell r="Z52">
            <v>1</v>
          </cell>
          <cell r="AA52">
            <v>1</v>
          </cell>
          <cell r="AB52">
            <v>51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  <cell r="Y53">
            <v>1.1000000000000001</v>
          </cell>
          <cell r="Z53">
            <v>1.2</v>
          </cell>
          <cell r="AA53">
            <v>1.2</v>
          </cell>
          <cell r="AB53">
            <v>51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  <cell r="Y54">
            <v>1</v>
          </cell>
          <cell r="Z54">
            <v>1</v>
          </cell>
          <cell r="AA54">
            <v>1</v>
          </cell>
          <cell r="AB54">
            <v>53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  <cell r="Y55">
            <v>1.1000000000000001</v>
          </cell>
          <cell r="Z55">
            <v>1.2</v>
          </cell>
          <cell r="AA55">
            <v>1.2</v>
          </cell>
          <cell r="AB55">
            <v>53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  <cell r="Y56">
            <v>1</v>
          </cell>
          <cell r="Z56">
            <v>1</v>
          </cell>
          <cell r="AA56">
            <v>1</v>
          </cell>
          <cell r="AB56">
            <v>55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  <cell r="Y57">
            <v>1.1000000000000001</v>
          </cell>
          <cell r="Z57">
            <v>1.2</v>
          </cell>
          <cell r="AA57">
            <v>1.2</v>
          </cell>
          <cell r="AB57">
            <v>56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  <cell r="Y58">
            <v>1</v>
          </cell>
          <cell r="Z58">
            <v>1</v>
          </cell>
          <cell r="AA58">
            <v>1</v>
          </cell>
          <cell r="AB58">
            <v>57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  <cell r="Y59">
            <v>1.1000000000000001</v>
          </cell>
          <cell r="Z59">
            <v>1.2</v>
          </cell>
          <cell r="AA59">
            <v>1.2</v>
          </cell>
          <cell r="AB59">
            <v>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  <cell r="Y60">
            <v>1</v>
          </cell>
          <cell r="Z60">
            <v>1</v>
          </cell>
          <cell r="AA60">
            <v>1</v>
          </cell>
          <cell r="AB60">
            <v>59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  <cell r="Y61">
            <v>1.1000000000000001</v>
          </cell>
          <cell r="Z61">
            <v>1.2</v>
          </cell>
          <cell r="AA61">
            <v>1.2</v>
          </cell>
          <cell r="AB61">
            <v>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  <cell r="Y62">
            <v>1</v>
          </cell>
          <cell r="Z62">
            <v>1</v>
          </cell>
          <cell r="AA62">
            <v>1</v>
          </cell>
          <cell r="AB62">
            <v>61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  <cell r="Y63">
            <v>1.1000000000000001</v>
          </cell>
          <cell r="Z63">
            <v>1.2</v>
          </cell>
          <cell r="AA63">
            <v>1.2</v>
          </cell>
          <cell r="AB63">
            <v>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  <cell r="Y64">
            <v>1</v>
          </cell>
          <cell r="Z64">
            <v>1</v>
          </cell>
          <cell r="AA64">
            <v>1</v>
          </cell>
          <cell r="AB64">
            <v>63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  <cell r="Y65">
            <v>1.1000000000000001</v>
          </cell>
          <cell r="Z65">
            <v>1.2</v>
          </cell>
          <cell r="AA65">
            <v>1.2</v>
          </cell>
          <cell r="AB65">
            <v>64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  <cell r="Y66">
            <v>1</v>
          </cell>
          <cell r="Z66">
            <v>1</v>
          </cell>
          <cell r="AA66">
            <v>1</v>
          </cell>
          <cell r="AB66">
            <v>0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  <cell r="Y67">
            <v>1.1000000000000001</v>
          </cell>
          <cell r="Z67">
            <v>1.2</v>
          </cell>
          <cell r="AA67">
            <v>1.2</v>
          </cell>
          <cell r="AB67">
            <v>66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  <cell r="Y68">
            <v>1.3</v>
          </cell>
          <cell r="Z68">
            <v>1.3</v>
          </cell>
          <cell r="AA68">
            <v>1.1000000000000001</v>
          </cell>
          <cell r="AB68">
            <v>67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  <cell r="Y69">
            <v>1</v>
          </cell>
          <cell r="Z69">
            <v>1</v>
          </cell>
          <cell r="AA69">
            <v>1</v>
          </cell>
          <cell r="AB69">
            <v>0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  <cell r="Y70">
            <v>1.1000000000000001</v>
          </cell>
          <cell r="Z70">
            <v>1.2</v>
          </cell>
          <cell r="AA70">
            <v>1.2</v>
          </cell>
          <cell r="AB70">
            <v>69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  <cell r="Y71">
            <v>1.3</v>
          </cell>
          <cell r="Z71">
            <v>1.3</v>
          </cell>
          <cell r="AA71">
            <v>1.1000000000000001</v>
          </cell>
          <cell r="AB71">
            <v>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  <cell r="Y72">
            <v>1</v>
          </cell>
          <cell r="Z72">
            <v>1</v>
          </cell>
          <cell r="AA72">
            <v>1</v>
          </cell>
          <cell r="AB72">
            <v>71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  <cell r="Y73">
            <v>1.1000000000000001</v>
          </cell>
          <cell r="Z73">
            <v>1.2</v>
          </cell>
          <cell r="AA73">
            <v>1.2</v>
          </cell>
          <cell r="AB73">
            <v>72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  <cell r="Y74">
            <v>1.3</v>
          </cell>
          <cell r="Z74">
            <v>1.3</v>
          </cell>
          <cell r="AA74">
            <v>1.1000000000000001</v>
          </cell>
          <cell r="AB74">
            <v>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  <cell r="Y75">
            <v>1</v>
          </cell>
          <cell r="Z75">
            <v>1</v>
          </cell>
          <cell r="AA75">
            <v>1</v>
          </cell>
          <cell r="AB75">
            <v>74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  <cell r="Y76">
            <v>1.1000000000000001</v>
          </cell>
          <cell r="Z76">
            <v>1.2</v>
          </cell>
          <cell r="AA76">
            <v>1.2</v>
          </cell>
          <cell r="AB76">
            <v>75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  <cell r="Y77">
            <v>1.3</v>
          </cell>
          <cell r="Z77">
            <v>1.3</v>
          </cell>
          <cell r="AA77">
            <v>1.1000000000000001</v>
          </cell>
          <cell r="AB77">
            <v>76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  <cell r="Y78">
            <v>1.1000000000000001</v>
          </cell>
          <cell r="Z78">
            <v>1.2</v>
          </cell>
          <cell r="AA78">
            <v>1.2</v>
          </cell>
          <cell r="AB78">
            <v>77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  <cell r="Y79">
            <v>1.3</v>
          </cell>
          <cell r="Z79">
            <v>1.3</v>
          </cell>
          <cell r="AA79">
            <v>1.1000000000000001</v>
          </cell>
          <cell r="AB79">
            <v>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  <cell r="Y80">
            <v>1.1000000000000001</v>
          </cell>
          <cell r="Z80">
            <v>1.2</v>
          </cell>
          <cell r="AA80">
            <v>1.2</v>
          </cell>
          <cell r="AB80">
            <v>79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  <cell r="Y81">
            <v>1.3</v>
          </cell>
          <cell r="Z81">
            <v>1.3</v>
          </cell>
          <cell r="AA81">
            <v>1.1000000000000001</v>
          </cell>
          <cell r="AB81">
            <v>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  <cell r="Y82">
            <v>1.1000000000000001</v>
          </cell>
          <cell r="Z82">
            <v>1.2</v>
          </cell>
          <cell r="AA82">
            <v>1.2</v>
          </cell>
          <cell r="AB82">
            <v>81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  <cell r="Y83">
            <v>1.3</v>
          </cell>
          <cell r="Z83">
            <v>1.3</v>
          </cell>
          <cell r="AA83">
            <v>1.1000000000000001</v>
          </cell>
          <cell r="AB83">
            <v>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  <cell r="Y84">
            <v>1.1000000000000001</v>
          </cell>
          <cell r="Z84">
            <v>1.2</v>
          </cell>
          <cell r="AA84">
            <v>1.2</v>
          </cell>
          <cell r="AB84">
            <v>83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  <cell r="Y85">
            <v>1.3</v>
          </cell>
          <cell r="Z85">
            <v>1.3</v>
          </cell>
          <cell r="AA85">
            <v>1.1000000000000001</v>
          </cell>
          <cell r="AB85">
            <v>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  <cell r="Y86">
            <v>1.1000000000000001</v>
          </cell>
          <cell r="Z86">
            <v>1.2</v>
          </cell>
          <cell r="AA86">
            <v>1.2</v>
          </cell>
          <cell r="AB86">
            <v>85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  <cell r="Y87">
            <v>1.3</v>
          </cell>
          <cell r="Z87">
            <v>1.3</v>
          </cell>
          <cell r="AA87">
            <v>1.1000000000000001</v>
          </cell>
          <cell r="AB87">
            <v>86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  <cell r="Y88">
            <v>1.7</v>
          </cell>
          <cell r="Z88">
            <v>1.4</v>
          </cell>
          <cell r="AA88">
            <v>1</v>
          </cell>
          <cell r="AB88">
            <v>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  <cell r="Y89">
            <v>1.1000000000000001</v>
          </cell>
          <cell r="Z89">
            <v>1.2</v>
          </cell>
          <cell r="AA89">
            <v>1.2</v>
          </cell>
          <cell r="AB89">
            <v>88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  <cell r="Y90">
            <v>1.3</v>
          </cell>
          <cell r="Z90">
            <v>1.3</v>
          </cell>
          <cell r="AA90">
            <v>1.1000000000000001</v>
          </cell>
          <cell r="AB90">
            <v>89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  <cell r="Y91">
            <v>1.7</v>
          </cell>
          <cell r="Z91">
            <v>1.4</v>
          </cell>
          <cell r="AA91">
            <v>1</v>
          </cell>
          <cell r="AB91">
            <v>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  <cell r="Y92">
            <v>1.1000000000000001</v>
          </cell>
          <cell r="Z92">
            <v>1.2</v>
          </cell>
          <cell r="AA92">
            <v>1.2</v>
          </cell>
          <cell r="AB92">
            <v>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  <cell r="Y93">
            <v>1.3</v>
          </cell>
          <cell r="Z93">
            <v>1.3</v>
          </cell>
          <cell r="AA93">
            <v>1.1000000000000001</v>
          </cell>
          <cell r="AB93">
            <v>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  <cell r="Y94">
            <v>1.7</v>
          </cell>
          <cell r="Z94">
            <v>1.4</v>
          </cell>
          <cell r="AA94">
            <v>1</v>
          </cell>
          <cell r="AB94">
            <v>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  <cell r="Y95">
            <v>1.1000000000000001</v>
          </cell>
          <cell r="Z95">
            <v>1.2</v>
          </cell>
          <cell r="AA95">
            <v>1.2</v>
          </cell>
          <cell r="AB95">
            <v>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  <cell r="Y96">
            <v>1.3</v>
          </cell>
          <cell r="Z96">
            <v>1.3</v>
          </cell>
          <cell r="AA96">
            <v>1.1000000000000001</v>
          </cell>
          <cell r="AB96">
            <v>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  <cell r="Y97">
            <v>1.7</v>
          </cell>
          <cell r="Z97">
            <v>1.4</v>
          </cell>
          <cell r="AA97">
            <v>1</v>
          </cell>
          <cell r="AB97">
            <v>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  <cell r="Y98">
            <v>1.1000000000000001</v>
          </cell>
          <cell r="Z98">
            <v>1.2</v>
          </cell>
          <cell r="AA98">
            <v>1.2</v>
          </cell>
          <cell r="AB98">
            <v>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  <cell r="Y99">
            <v>1.1000000000000001</v>
          </cell>
          <cell r="Z99">
            <v>1.2</v>
          </cell>
          <cell r="AA99">
            <v>1.2</v>
          </cell>
          <cell r="AB99">
            <v>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  <cell r="Y100">
            <v>1.1000000000000001</v>
          </cell>
          <cell r="Z100">
            <v>1.2</v>
          </cell>
          <cell r="AA100">
            <v>1.2</v>
          </cell>
          <cell r="AB100">
            <v>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  <cell r="Y101">
            <v>1.1000000000000001</v>
          </cell>
          <cell r="Z101">
            <v>1.2</v>
          </cell>
          <cell r="AA101">
            <v>1.2</v>
          </cell>
          <cell r="AB101">
            <v>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  <cell r="Y102">
            <v>1</v>
          </cell>
          <cell r="Z102">
            <v>1</v>
          </cell>
          <cell r="AA102">
            <v>1</v>
          </cell>
          <cell r="AB102">
            <v>0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  <cell r="Y103">
            <v>1</v>
          </cell>
          <cell r="Z103">
            <v>1</v>
          </cell>
          <cell r="AA103">
            <v>1</v>
          </cell>
          <cell r="AB103">
            <v>0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  <cell r="Y104">
            <v>1</v>
          </cell>
          <cell r="Z104">
            <v>1</v>
          </cell>
          <cell r="AA104">
            <v>1</v>
          </cell>
          <cell r="AB104">
            <v>0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  <cell r="Y105">
            <v>1.1000000000000001</v>
          </cell>
          <cell r="Z105">
            <v>1.2</v>
          </cell>
          <cell r="AA105">
            <v>1.2</v>
          </cell>
          <cell r="AB105">
            <v>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  <cell r="Y106">
            <v>1</v>
          </cell>
          <cell r="Z106">
            <v>1</v>
          </cell>
          <cell r="AA106">
            <v>1</v>
          </cell>
          <cell r="AB106">
            <v>0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  <cell r="Y107">
            <v>1</v>
          </cell>
          <cell r="Z107">
            <v>1</v>
          </cell>
          <cell r="AA107">
            <v>1</v>
          </cell>
          <cell r="AB107">
            <v>0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  <cell r="Y108">
            <v>1</v>
          </cell>
          <cell r="Z108">
            <v>1</v>
          </cell>
          <cell r="AA108">
            <v>1</v>
          </cell>
          <cell r="AB108">
            <v>0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  <cell r="Y109">
            <v>1.1000000000000001</v>
          </cell>
          <cell r="Z109">
            <v>1.2</v>
          </cell>
          <cell r="AA109">
            <v>1.2</v>
          </cell>
          <cell r="AB109">
            <v>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  <cell r="Y110">
            <v>1</v>
          </cell>
          <cell r="Z110">
            <v>1</v>
          </cell>
          <cell r="AA110">
            <v>1</v>
          </cell>
          <cell r="AB110">
            <v>0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  <cell r="Y111">
            <v>1</v>
          </cell>
          <cell r="Z111">
            <v>1</v>
          </cell>
          <cell r="AA111">
            <v>1</v>
          </cell>
          <cell r="AB111">
            <v>0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  <cell r="Y112">
            <v>1</v>
          </cell>
          <cell r="Z112">
            <v>1</v>
          </cell>
          <cell r="AA112">
            <v>1</v>
          </cell>
          <cell r="AB112">
            <v>0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  <cell r="Y113">
            <v>1.1000000000000001</v>
          </cell>
          <cell r="Z113">
            <v>1.2</v>
          </cell>
          <cell r="AA113">
            <v>1.2</v>
          </cell>
          <cell r="AB113">
            <v>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  <cell r="Y114">
            <v>1</v>
          </cell>
          <cell r="Z114">
            <v>1</v>
          </cell>
          <cell r="AA114">
            <v>1</v>
          </cell>
          <cell r="AB114">
            <v>0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  <cell r="Y115">
            <v>1</v>
          </cell>
          <cell r="Z115">
            <v>1</v>
          </cell>
          <cell r="AA115">
            <v>1</v>
          </cell>
          <cell r="AB115">
            <v>0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  <cell r="Y116">
            <v>1</v>
          </cell>
          <cell r="Z116">
            <v>1</v>
          </cell>
          <cell r="AA116">
            <v>1</v>
          </cell>
          <cell r="AB116">
            <v>0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  <cell r="Y117">
            <v>1.1000000000000001</v>
          </cell>
          <cell r="Z117">
            <v>1.2</v>
          </cell>
          <cell r="AA117">
            <v>1.2</v>
          </cell>
          <cell r="AB117">
            <v>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  <cell r="Y118">
            <v>1</v>
          </cell>
          <cell r="Z118">
            <v>1</v>
          </cell>
          <cell r="AA118">
            <v>1</v>
          </cell>
          <cell r="AB118">
            <v>0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  <cell r="Y119">
            <v>1</v>
          </cell>
          <cell r="Z119">
            <v>1</v>
          </cell>
          <cell r="AA119">
            <v>1</v>
          </cell>
          <cell r="AB119">
            <v>0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  <cell r="Y120">
            <v>1.1000000000000001</v>
          </cell>
          <cell r="Z120">
            <v>1.2</v>
          </cell>
          <cell r="AA120">
            <v>1.2</v>
          </cell>
          <cell r="AB120">
            <v>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  <cell r="Y121">
            <v>1.1000000000000001</v>
          </cell>
          <cell r="Z121">
            <v>1.2</v>
          </cell>
          <cell r="AA121">
            <v>1.2</v>
          </cell>
          <cell r="AB121">
            <v>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  <cell r="Y122">
            <v>1.1000000000000001</v>
          </cell>
          <cell r="Z122">
            <v>1.2</v>
          </cell>
          <cell r="AA122">
            <v>1.2</v>
          </cell>
          <cell r="AB122">
            <v>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  <cell r="Y123">
            <v>1.1000000000000001</v>
          </cell>
          <cell r="Z123">
            <v>1.2</v>
          </cell>
          <cell r="AA123">
            <v>1.2</v>
          </cell>
          <cell r="AB123">
            <v>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  <cell r="Y124">
            <v>1.1000000000000001</v>
          </cell>
          <cell r="Z124">
            <v>1.2</v>
          </cell>
          <cell r="AA124">
            <v>1.2</v>
          </cell>
          <cell r="AB124">
            <v>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  <cell r="Y125">
            <v>1.1000000000000001</v>
          </cell>
          <cell r="Z125">
            <v>1.2</v>
          </cell>
          <cell r="AA125">
            <v>1.2</v>
          </cell>
          <cell r="AB125">
            <v>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  <cell r="Y126">
            <v>1.1000000000000001</v>
          </cell>
          <cell r="Z126">
            <v>1.2</v>
          </cell>
          <cell r="AA126">
            <v>1.2</v>
          </cell>
          <cell r="AB126">
            <v>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  <cell r="Y127">
            <v>1.1000000000000001</v>
          </cell>
          <cell r="Z127">
            <v>1.2</v>
          </cell>
          <cell r="AA127">
            <v>1.2</v>
          </cell>
          <cell r="AB127">
            <v>126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  <cell r="Y128">
            <v>1.3</v>
          </cell>
          <cell r="Z128">
            <v>1.3</v>
          </cell>
          <cell r="AA128">
            <v>1.1000000000000001</v>
          </cell>
          <cell r="AB128">
            <v>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  <cell r="Y129">
            <v>1.1000000000000001</v>
          </cell>
          <cell r="Z129">
            <v>1.2</v>
          </cell>
          <cell r="AA129">
            <v>1.2</v>
          </cell>
          <cell r="AB129">
            <v>128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  <cell r="Y130">
            <v>1.3</v>
          </cell>
          <cell r="Z130">
            <v>1.3</v>
          </cell>
          <cell r="AA130">
            <v>1.1000000000000001</v>
          </cell>
          <cell r="AB130">
            <v>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  <cell r="Y131">
            <v>1.1000000000000001</v>
          </cell>
          <cell r="Z131">
            <v>1.2</v>
          </cell>
          <cell r="AA131">
            <v>1.2</v>
          </cell>
          <cell r="AB131">
            <v>130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  <cell r="Y132">
            <v>1.3</v>
          </cell>
          <cell r="Z132">
            <v>1.3</v>
          </cell>
          <cell r="AA132">
            <v>1.1000000000000001</v>
          </cell>
          <cell r="AB132">
            <v>130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  <cell r="Y133">
            <v>1.1000000000000001</v>
          </cell>
          <cell r="Z133">
            <v>1.2</v>
          </cell>
          <cell r="AA133">
            <v>1.2</v>
          </cell>
          <cell r="AB133">
            <v>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  <cell r="Y134">
            <v>1.3</v>
          </cell>
          <cell r="Z134">
            <v>1.3</v>
          </cell>
          <cell r="AA134">
            <v>1.1000000000000001</v>
          </cell>
          <cell r="AB134">
            <v>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  <cell r="Y135">
            <v>1.1000000000000001</v>
          </cell>
          <cell r="Z135">
            <v>1.2</v>
          </cell>
          <cell r="AA135">
            <v>1.2</v>
          </cell>
          <cell r="AB135">
            <v>134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  <cell r="Y136">
            <v>1.3</v>
          </cell>
          <cell r="Z136">
            <v>1.3</v>
          </cell>
          <cell r="AA136">
            <v>1.1000000000000001</v>
          </cell>
          <cell r="AB136">
            <v>134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  <cell r="Y137">
            <v>1.1000000000000001</v>
          </cell>
          <cell r="Z137">
            <v>1.2</v>
          </cell>
          <cell r="AA137">
            <v>1.2</v>
          </cell>
          <cell r="AB137">
            <v>136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  <cell r="Y138">
            <v>1.3</v>
          </cell>
          <cell r="Z138">
            <v>1.3</v>
          </cell>
          <cell r="AA138">
            <v>1.1000000000000001</v>
          </cell>
          <cell r="AB138">
            <v>136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  <cell r="Y139">
            <v>1.1000000000000001</v>
          </cell>
          <cell r="Z139">
            <v>1.2</v>
          </cell>
          <cell r="AA139">
            <v>1.2</v>
          </cell>
          <cell r="AB139">
            <v>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  <cell r="Y140">
            <v>1.3</v>
          </cell>
          <cell r="Z140">
            <v>1.3</v>
          </cell>
          <cell r="AA140">
            <v>1.1000000000000001</v>
          </cell>
          <cell r="AB140">
            <v>139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  <cell r="Y141">
            <v>1.1000000000000001</v>
          </cell>
          <cell r="Z141">
            <v>1.2</v>
          </cell>
          <cell r="AA141">
            <v>1.2</v>
          </cell>
          <cell r="AB141">
            <v>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  <cell r="Y142">
            <v>1.3</v>
          </cell>
          <cell r="Z142">
            <v>1.3</v>
          </cell>
          <cell r="AA142">
            <v>1.1000000000000001</v>
          </cell>
          <cell r="AB142">
            <v>141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  <cell r="Y143">
            <v>1.1000000000000001</v>
          </cell>
          <cell r="Z143">
            <v>1.2</v>
          </cell>
          <cell r="AA143">
            <v>1.2</v>
          </cell>
          <cell r="AB143">
            <v>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  <cell r="Y144">
            <v>1.3</v>
          </cell>
          <cell r="Z144">
            <v>1.3</v>
          </cell>
          <cell r="AA144">
            <v>1.1000000000000001</v>
          </cell>
          <cell r="AB144">
            <v>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  <cell r="Y145">
            <v>1.1000000000000001</v>
          </cell>
          <cell r="Z145">
            <v>1.2</v>
          </cell>
          <cell r="AA145">
            <v>1.2</v>
          </cell>
          <cell r="AB145">
            <v>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  <cell r="Y146">
            <v>1.3</v>
          </cell>
          <cell r="Z146">
            <v>1.3</v>
          </cell>
          <cell r="AA146">
            <v>1.1000000000000001</v>
          </cell>
          <cell r="AB146">
            <v>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  <cell r="Y147">
            <v>1.1000000000000001</v>
          </cell>
          <cell r="Z147">
            <v>1.2</v>
          </cell>
          <cell r="AA147">
            <v>1.2</v>
          </cell>
          <cell r="AB147">
            <v>146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  <cell r="Y148">
            <v>1.3</v>
          </cell>
          <cell r="Z148">
            <v>1.3</v>
          </cell>
          <cell r="AA148">
            <v>1.1000000000000001</v>
          </cell>
          <cell r="AB148">
            <v>146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  <cell r="Y149">
            <v>1.1000000000000001</v>
          </cell>
          <cell r="Z149">
            <v>1.2</v>
          </cell>
          <cell r="AA149">
            <v>1.2</v>
          </cell>
          <cell r="AB149">
            <v>148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  <cell r="Y150">
            <v>1.3</v>
          </cell>
          <cell r="Z150">
            <v>1.3</v>
          </cell>
          <cell r="AA150">
            <v>1.1000000000000001</v>
          </cell>
          <cell r="AB150">
            <v>149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  <cell r="Y151">
            <v>1.1000000000000001</v>
          </cell>
          <cell r="Z151">
            <v>1.2</v>
          </cell>
          <cell r="AA151">
            <v>1.2</v>
          </cell>
          <cell r="AB151">
            <v>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  <cell r="Y152">
            <v>1.3</v>
          </cell>
          <cell r="Z152">
            <v>1.3</v>
          </cell>
          <cell r="AA152">
            <v>1.1000000000000001</v>
          </cell>
          <cell r="AB152">
            <v>151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  <cell r="Y153">
            <v>1.1000000000000001</v>
          </cell>
          <cell r="Z153">
            <v>1.2</v>
          </cell>
          <cell r="AA153">
            <v>1.2</v>
          </cell>
          <cell r="AB153">
            <v>152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  <cell r="Y154">
            <v>1.3</v>
          </cell>
          <cell r="Z154">
            <v>1.3</v>
          </cell>
          <cell r="AA154">
            <v>1.1000000000000001</v>
          </cell>
          <cell r="AB154">
            <v>153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  <cell r="Y155">
            <v>1.1000000000000001</v>
          </cell>
          <cell r="Z155">
            <v>1.2</v>
          </cell>
          <cell r="AA155">
            <v>1.2</v>
          </cell>
          <cell r="AB155">
            <v>154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  <cell r="Y156">
            <v>1.3</v>
          </cell>
          <cell r="Z156">
            <v>1.3</v>
          </cell>
          <cell r="AA156">
            <v>1.1000000000000001</v>
          </cell>
          <cell r="AB156">
            <v>154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  <cell r="Y157">
            <v>1.1000000000000001</v>
          </cell>
          <cell r="Z157">
            <v>1.2</v>
          </cell>
          <cell r="AA157">
            <v>1.2</v>
          </cell>
          <cell r="AB157">
            <v>156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  <cell r="Y158">
            <v>1.3</v>
          </cell>
          <cell r="Z158">
            <v>1.3</v>
          </cell>
          <cell r="AA158">
            <v>1.1000000000000001</v>
          </cell>
          <cell r="AB158">
            <v>157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  <cell r="Y159">
            <v>1.1000000000000001</v>
          </cell>
          <cell r="Z159">
            <v>1.2</v>
          </cell>
          <cell r="AA159">
            <v>1.2</v>
          </cell>
          <cell r="AB159">
            <v>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  <cell r="Y160">
            <v>1.3</v>
          </cell>
          <cell r="Z160">
            <v>1.3</v>
          </cell>
          <cell r="AA160">
            <v>1.1000000000000001</v>
          </cell>
          <cell r="AB160">
            <v>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  <cell r="Y161">
            <v>1.1000000000000001</v>
          </cell>
          <cell r="Z161">
            <v>1.2</v>
          </cell>
          <cell r="AA161">
            <v>1.2</v>
          </cell>
          <cell r="AB161">
            <v>160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  <cell r="Y162">
            <v>1.3</v>
          </cell>
          <cell r="Z162">
            <v>1.3</v>
          </cell>
          <cell r="AA162">
            <v>1.1000000000000001</v>
          </cell>
          <cell r="AB162">
            <v>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  <cell r="Y163">
            <v>1.1000000000000001</v>
          </cell>
          <cell r="Z163">
            <v>1.2</v>
          </cell>
          <cell r="AA163">
            <v>1.2</v>
          </cell>
          <cell r="AB163">
            <v>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  <cell r="Y164">
            <v>1.3</v>
          </cell>
          <cell r="Z164">
            <v>1.3</v>
          </cell>
          <cell r="AA164">
            <v>1.1000000000000001</v>
          </cell>
          <cell r="AB164">
            <v>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  <cell r="Y165">
            <v>1.1000000000000001</v>
          </cell>
          <cell r="Z165">
            <v>1.2</v>
          </cell>
          <cell r="AA165">
            <v>1.2</v>
          </cell>
          <cell r="AB165">
            <v>164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  <cell r="Y166">
            <v>1.3</v>
          </cell>
          <cell r="Z166">
            <v>1.3</v>
          </cell>
          <cell r="AA166">
            <v>1.1000000000000001</v>
          </cell>
          <cell r="AB166">
            <v>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  <cell r="Y167">
            <v>1.1000000000000001</v>
          </cell>
          <cell r="Z167">
            <v>1.2</v>
          </cell>
          <cell r="AA167">
            <v>1.2</v>
          </cell>
          <cell r="AB167">
            <v>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  <cell r="Y168">
            <v>1.3</v>
          </cell>
          <cell r="Z168">
            <v>1.3</v>
          </cell>
          <cell r="AA168">
            <v>1.1000000000000001</v>
          </cell>
          <cell r="AB168">
            <v>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  <cell r="Y169">
            <v>1.7</v>
          </cell>
          <cell r="Z169">
            <v>1.4</v>
          </cell>
          <cell r="AA169">
            <v>1</v>
          </cell>
          <cell r="AB169">
            <v>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  <cell r="Y170">
            <v>1.1000000000000001</v>
          </cell>
          <cell r="Z170">
            <v>1.2</v>
          </cell>
          <cell r="AA170">
            <v>1.2</v>
          </cell>
          <cell r="AB170">
            <v>169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  <cell r="Y171">
            <v>1.3</v>
          </cell>
          <cell r="Z171">
            <v>1.3</v>
          </cell>
          <cell r="AA171">
            <v>1.1000000000000001</v>
          </cell>
          <cell r="AB171">
            <v>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  <cell r="Y172">
            <v>1.7</v>
          </cell>
          <cell r="Z172">
            <v>1.4</v>
          </cell>
          <cell r="AA172">
            <v>1</v>
          </cell>
          <cell r="AB172">
            <v>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  <cell r="Y173">
            <v>1.1000000000000001</v>
          </cell>
          <cell r="Z173">
            <v>1.2</v>
          </cell>
          <cell r="AA173">
            <v>1.2</v>
          </cell>
          <cell r="AB173">
            <v>172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  <cell r="Y174">
            <v>1.3</v>
          </cell>
          <cell r="Z174">
            <v>1.3</v>
          </cell>
          <cell r="AA174">
            <v>1.1000000000000001</v>
          </cell>
          <cell r="AB174">
            <v>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  <cell r="Y175">
            <v>1.7</v>
          </cell>
          <cell r="Z175">
            <v>1.4</v>
          </cell>
          <cell r="AA175">
            <v>1</v>
          </cell>
          <cell r="AB175">
            <v>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  <cell r="Y176">
            <v>1.1000000000000001</v>
          </cell>
          <cell r="Z176">
            <v>1.2</v>
          </cell>
          <cell r="AA176">
            <v>1.2</v>
          </cell>
          <cell r="AB176">
            <v>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  <cell r="Y177">
            <v>1.3</v>
          </cell>
          <cell r="Z177">
            <v>1.3</v>
          </cell>
          <cell r="AA177">
            <v>1.1000000000000001</v>
          </cell>
          <cell r="AB177">
            <v>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  <cell r="Y178">
            <v>1.7</v>
          </cell>
          <cell r="Z178">
            <v>1.4</v>
          </cell>
          <cell r="AA178">
            <v>1</v>
          </cell>
          <cell r="AB178">
            <v>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  <cell r="Y179">
            <v>1.1000000000000001</v>
          </cell>
          <cell r="Z179">
            <v>1.2</v>
          </cell>
          <cell r="AA179">
            <v>1.2</v>
          </cell>
          <cell r="AB179">
            <v>178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  <cell r="Y180">
            <v>1.3</v>
          </cell>
          <cell r="Z180">
            <v>1.3</v>
          </cell>
          <cell r="AA180">
            <v>1.1000000000000001</v>
          </cell>
          <cell r="AB180">
            <v>178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  <cell r="Y181">
            <v>1.7</v>
          </cell>
          <cell r="Z181">
            <v>1.4</v>
          </cell>
          <cell r="AA181">
            <v>1</v>
          </cell>
          <cell r="AB181">
            <v>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  <cell r="Y182">
            <v>1.1000000000000001</v>
          </cell>
          <cell r="Z182">
            <v>1.2</v>
          </cell>
          <cell r="AA182">
            <v>1.2</v>
          </cell>
          <cell r="AB182">
            <v>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  <cell r="Y183">
            <v>1.3</v>
          </cell>
          <cell r="Z183">
            <v>1.3</v>
          </cell>
          <cell r="AA183">
            <v>1.1000000000000001</v>
          </cell>
          <cell r="AB183">
            <v>182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  <cell r="Y184">
            <v>1.7</v>
          </cell>
          <cell r="Z184">
            <v>1.4</v>
          </cell>
          <cell r="AA184">
            <v>1</v>
          </cell>
          <cell r="AB184">
            <v>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  <cell r="Y185">
            <v>1.1000000000000001</v>
          </cell>
          <cell r="Z185">
            <v>1.2</v>
          </cell>
          <cell r="AA185">
            <v>1.2</v>
          </cell>
          <cell r="AB185">
            <v>184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  <cell r="Y186">
            <v>1.3</v>
          </cell>
          <cell r="Z186">
            <v>1.3</v>
          </cell>
          <cell r="AA186">
            <v>1.1000000000000001</v>
          </cell>
          <cell r="AB186">
            <v>185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  <cell r="Y187">
            <v>1.7</v>
          </cell>
          <cell r="Z187">
            <v>1.4</v>
          </cell>
          <cell r="AA187">
            <v>1</v>
          </cell>
          <cell r="AB187">
            <v>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  <cell r="Y188">
            <v>1.1000000000000001</v>
          </cell>
          <cell r="Z188">
            <v>1.2</v>
          </cell>
          <cell r="AA188">
            <v>1.2</v>
          </cell>
          <cell r="AB188">
            <v>187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  <cell r="Y189">
            <v>1.3</v>
          </cell>
          <cell r="Z189">
            <v>1.3</v>
          </cell>
          <cell r="AA189">
            <v>1.1000000000000001</v>
          </cell>
          <cell r="AB189">
            <v>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  <cell r="Y190">
            <v>1.7</v>
          </cell>
          <cell r="Z190">
            <v>1.4</v>
          </cell>
          <cell r="AA190">
            <v>1</v>
          </cell>
          <cell r="AB190">
            <v>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  <cell r="Y191">
            <v>1.1000000000000001</v>
          </cell>
          <cell r="Z191">
            <v>1.2</v>
          </cell>
          <cell r="AA191">
            <v>1.2</v>
          </cell>
          <cell r="AB191">
            <v>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  <cell r="Y192">
            <v>1.3</v>
          </cell>
          <cell r="Z192">
            <v>1.3</v>
          </cell>
          <cell r="AA192">
            <v>1.1000000000000001</v>
          </cell>
          <cell r="AB192">
            <v>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  <cell r="Y193">
            <v>1.7</v>
          </cell>
          <cell r="Z193">
            <v>1.4</v>
          </cell>
          <cell r="AA193">
            <v>1</v>
          </cell>
          <cell r="AB193">
            <v>192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  <cell r="Y194">
            <v>1.1000000000000001</v>
          </cell>
          <cell r="Z194">
            <v>1.2</v>
          </cell>
          <cell r="AA194">
            <v>1.2</v>
          </cell>
          <cell r="AB194">
            <v>193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  <cell r="Y195">
            <v>1.3</v>
          </cell>
          <cell r="Z195">
            <v>1.3</v>
          </cell>
          <cell r="AA195">
            <v>1.1000000000000001</v>
          </cell>
          <cell r="AB195">
            <v>194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  <cell r="Y196">
            <v>1.7</v>
          </cell>
          <cell r="Z196">
            <v>1.4</v>
          </cell>
          <cell r="AA196">
            <v>1</v>
          </cell>
          <cell r="AB196">
            <v>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  <cell r="Y197">
            <v>1.1000000000000001</v>
          </cell>
          <cell r="Z197">
            <v>1.2</v>
          </cell>
          <cell r="AA197">
            <v>1.2</v>
          </cell>
          <cell r="AB197">
            <v>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  <cell r="Y198">
            <v>1.3</v>
          </cell>
          <cell r="Z198">
            <v>1.3</v>
          </cell>
          <cell r="AA198">
            <v>1.1000000000000001</v>
          </cell>
          <cell r="AB198">
            <v>198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  <cell r="Y199">
            <v>1.7</v>
          </cell>
          <cell r="Z199">
            <v>1.4</v>
          </cell>
          <cell r="AA199">
            <v>1</v>
          </cell>
          <cell r="AB199">
            <v>198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  <cell r="Y200">
            <v>1.1000000000000001</v>
          </cell>
          <cell r="Z200">
            <v>1.2</v>
          </cell>
          <cell r="AA200">
            <v>1.2</v>
          </cell>
          <cell r="AB200">
            <v>199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  <cell r="Y201">
            <v>1.3</v>
          </cell>
          <cell r="Z201">
            <v>1.3</v>
          </cell>
          <cell r="AA201">
            <v>1.1000000000000001</v>
          </cell>
          <cell r="AB201">
            <v>200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  <cell r="Y202">
            <v>1.7</v>
          </cell>
          <cell r="Z202">
            <v>1.4</v>
          </cell>
          <cell r="AA202">
            <v>1</v>
          </cell>
          <cell r="AB202">
            <v>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  <cell r="Y203">
            <v>1.1000000000000001</v>
          </cell>
          <cell r="Z203">
            <v>1.2</v>
          </cell>
          <cell r="AA203">
            <v>1.2</v>
          </cell>
          <cell r="AB203">
            <v>202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  <cell r="Y204">
            <v>1.3</v>
          </cell>
          <cell r="Z204">
            <v>1.3</v>
          </cell>
          <cell r="AA204">
            <v>1.1000000000000001</v>
          </cell>
          <cell r="AB204">
            <v>203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  <cell r="Y205">
            <v>1.7</v>
          </cell>
          <cell r="Z205">
            <v>1.4</v>
          </cell>
          <cell r="AA205">
            <v>1</v>
          </cell>
          <cell r="AB205">
            <v>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  <cell r="Y206">
            <v>1.1000000000000001</v>
          </cell>
          <cell r="Z206">
            <v>1.2</v>
          </cell>
          <cell r="AA206">
            <v>1.2</v>
          </cell>
          <cell r="AB206">
            <v>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  <cell r="Y207">
            <v>1.3</v>
          </cell>
          <cell r="Z207">
            <v>1.3</v>
          </cell>
          <cell r="AA207">
            <v>1.1000000000000001</v>
          </cell>
          <cell r="AB207">
            <v>206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  <cell r="Y208">
            <v>1.7</v>
          </cell>
          <cell r="Z208">
            <v>1.4</v>
          </cell>
          <cell r="AA208">
            <v>1</v>
          </cell>
          <cell r="AB208">
            <v>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  <cell r="Y209">
            <v>1.1000000000000001</v>
          </cell>
          <cell r="Z209">
            <v>1.2</v>
          </cell>
          <cell r="AA209">
            <v>1.2</v>
          </cell>
          <cell r="AB209">
            <v>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  <cell r="Y210">
            <v>1.3</v>
          </cell>
          <cell r="Z210">
            <v>1.3</v>
          </cell>
          <cell r="AA210">
            <v>1.1000000000000001</v>
          </cell>
          <cell r="AB210">
            <v>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  <cell r="Y211">
            <v>1.7</v>
          </cell>
          <cell r="Z211">
            <v>1.4</v>
          </cell>
          <cell r="AA211">
            <v>1</v>
          </cell>
          <cell r="AB211">
            <v>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  <cell r="Y212">
            <v>1.1000000000000001</v>
          </cell>
          <cell r="Z212">
            <v>1.2</v>
          </cell>
          <cell r="AA212">
            <v>1.2</v>
          </cell>
          <cell r="AB212">
            <v>211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  <cell r="Y213">
            <v>1.3</v>
          </cell>
          <cell r="Z213">
            <v>1.3</v>
          </cell>
          <cell r="AA213">
            <v>1.1000000000000001</v>
          </cell>
          <cell r="AB213">
            <v>212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  <cell r="Y214">
            <v>1.7</v>
          </cell>
          <cell r="Z214">
            <v>1.4</v>
          </cell>
          <cell r="AA214">
            <v>1</v>
          </cell>
          <cell r="AB214">
            <v>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  <cell r="Y215">
            <v>1.1000000000000001</v>
          </cell>
          <cell r="Z215">
            <v>1.2</v>
          </cell>
          <cell r="AA215">
            <v>1.2</v>
          </cell>
          <cell r="AB215">
            <v>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  <cell r="Y216">
            <v>1.3</v>
          </cell>
          <cell r="Z216">
            <v>1.3</v>
          </cell>
          <cell r="AA216">
            <v>1.1000000000000001</v>
          </cell>
          <cell r="AB216">
            <v>215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  <cell r="Y217">
            <v>1.7</v>
          </cell>
          <cell r="Z217">
            <v>1.4</v>
          </cell>
          <cell r="AA217">
            <v>1</v>
          </cell>
          <cell r="AB217">
            <v>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  <cell r="Y218">
            <v>1.1000000000000001</v>
          </cell>
          <cell r="Z218">
            <v>1.2</v>
          </cell>
          <cell r="AA218">
            <v>1.2</v>
          </cell>
          <cell r="AB218">
            <v>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  <cell r="Y219">
            <v>1.3</v>
          </cell>
          <cell r="Z219">
            <v>1.3</v>
          </cell>
          <cell r="AA219">
            <v>1.1000000000000001</v>
          </cell>
          <cell r="AB219">
            <v>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  <cell r="Y220">
            <v>1.7</v>
          </cell>
          <cell r="Z220">
            <v>1.4</v>
          </cell>
          <cell r="AA220">
            <v>1</v>
          </cell>
          <cell r="AB220">
            <v>219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  <cell r="Y221">
            <v>1.1000000000000001</v>
          </cell>
          <cell r="Z221">
            <v>1.2</v>
          </cell>
          <cell r="AA221">
            <v>1.2</v>
          </cell>
          <cell r="AB221">
            <v>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  <cell r="Y222">
            <v>1.3</v>
          </cell>
          <cell r="Z222">
            <v>1.3</v>
          </cell>
          <cell r="AA222">
            <v>1.1000000000000001</v>
          </cell>
          <cell r="AB222">
            <v>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  <cell r="Y223">
            <v>1.7</v>
          </cell>
          <cell r="Z223">
            <v>1.4</v>
          </cell>
          <cell r="AA223">
            <v>1</v>
          </cell>
          <cell r="AB223">
            <v>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  <cell r="Y224">
            <v>1.1000000000000001</v>
          </cell>
          <cell r="Z224">
            <v>1.2</v>
          </cell>
          <cell r="AA224">
            <v>1.2</v>
          </cell>
          <cell r="AB224">
            <v>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  <cell r="Y225">
            <v>1.3</v>
          </cell>
          <cell r="Z225">
            <v>1.3</v>
          </cell>
          <cell r="AA225">
            <v>1.1000000000000001</v>
          </cell>
          <cell r="AB225">
            <v>224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  <cell r="Y226">
            <v>1.7</v>
          </cell>
          <cell r="Z226">
            <v>1.4</v>
          </cell>
          <cell r="AA226">
            <v>1</v>
          </cell>
          <cell r="AB226">
            <v>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  <cell r="Y227">
            <v>1.1000000000000001</v>
          </cell>
          <cell r="Z227">
            <v>1.2</v>
          </cell>
          <cell r="AA227">
            <v>1.2</v>
          </cell>
          <cell r="AB227">
            <v>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  <cell r="Y228">
            <v>1.3</v>
          </cell>
          <cell r="Z228">
            <v>1.3</v>
          </cell>
          <cell r="AA228">
            <v>1.1000000000000001</v>
          </cell>
          <cell r="AB228">
            <v>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  <cell r="Y229">
            <v>1.7</v>
          </cell>
          <cell r="Z229">
            <v>1.4</v>
          </cell>
          <cell r="AA229">
            <v>1</v>
          </cell>
          <cell r="AB229">
            <v>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  <cell r="Y230">
            <v>1.1000000000000001</v>
          </cell>
          <cell r="Z230">
            <v>1.2</v>
          </cell>
          <cell r="AA230">
            <v>1.2</v>
          </cell>
          <cell r="AB230">
            <v>229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  <cell r="Y231">
            <v>1.3</v>
          </cell>
          <cell r="Z231">
            <v>1.3</v>
          </cell>
          <cell r="AA231">
            <v>1.1000000000000001</v>
          </cell>
          <cell r="AB231">
            <v>230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  <cell r="Y232">
            <v>1.7</v>
          </cell>
          <cell r="Z232">
            <v>1.4</v>
          </cell>
          <cell r="AA232">
            <v>1</v>
          </cell>
          <cell r="AB232">
            <v>231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  <cell r="Y233">
            <v>1.1000000000000001</v>
          </cell>
          <cell r="Z233">
            <v>1.2</v>
          </cell>
          <cell r="AA233">
            <v>1.2</v>
          </cell>
          <cell r="AB233">
            <v>232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  <cell r="Y234">
            <v>1.3</v>
          </cell>
          <cell r="Z234">
            <v>1.3</v>
          </cell>
          <cell r="AA234">
            <v>1.1000000000000001</v>
          </cell>
          <cell r="AB234">
            <v>233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  <cell r="Y235">
            <v>1.7</v>
          </cell>
          <cell r="Z235">
            <v>1.4</v>
          </cell>
          <cell r="AA235">
            <v>1</v>
          </cell>
          <cell r="AB235">
            <v>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  <cell r="Y236">
            <v>1.1000000000000001</v>
          </cell>
          <cell r="Z236">
            <v>1.2</v>
          </cell>
          <cell r="AA236">
            <v>1.2</v>
          </cell>
          <cell r="AB236">
            <v>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  <cell r="Y237">
            <v>1.3</v>
          </cell>
          <cell r="Z237">
            <v>1.3</v>
          </cell>
          <cell r="AA237">
            <v>1.1000000000000001</v>
          </cell>
          <cell r="AB237">
            <v>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  <cell r="Y238">
            <v>1.7</v>
          </cell>
          <cell r="Z238">
            <v>1.4</v>
          </cell>
          <cell r="AA238">
            <v>1</v>
          </cell>
          <cell r="AB238">
            <v>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  <cell r="Y239">
            <v>1.1000000000000001</v>
          </cell>
          <cell r="Z239">
            <v>1.2</v>
          </cell>
          <cell r="AA239">
            <v>1.2</v>
          </cell>
          <cell r="AB239">
            <v>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  <cell r="Y240">
            <v>1.3</v>
          </cell>
          <cell r="Z240">
            <v>1.3</v>
          </cell>
          <cell r="AA240">
            <v>1.1000000000000001</v>
          </cell>
          <cell r="AB240">
            <v>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  <cell r="Y241">
            <v>1.7</v>
          </cell>
          <cell r="Z241">
            <v>1.4</v>
          </cell>
          <cell r="AA241">
            <v>1</v>
          </cell>
          <cell r="AB241">
            <v>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  <cell r="Y242">
            <v>1.1000000000000001</v>
          </cell>
          <cell r="Z242">
            <v>1.2</v>
          </cell>
          <cell r="AA242">
            <v>1.2</v>
          </cell>
          <cell r="AB242">
            <v>241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  <cell r="Y243">
            <v>1.3</v>
          </cell>
          <cell r="Z243">
            <v>1.3</v>
          </cell>
          <cell r="AA243">
            <v>1.1000000000000001</v>
          </cell>
          <cell r="AB243">
            <v>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  <cell r="Y244">
            <v>1.7</v>
          </cell>
          <cell r="Z244">
            <v>1.4</v>
          </cell>
          <cell r="AA244">
            <v>1</v>
          </cell>
          <cell r="AB244">
            <v>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  <cell r="Y245">
            <v>1.1000000000000001</v>
          </cell>
          <cell r="Z245">
            <v>1.2</v>
          </cell>
          <cell r="AA245">
            <v>1.2</v>
          </cell>
          <cell r="AB245">
            <v>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  <cell r="Y246">
            <v>1.3</v>
          </cell>
          <cell r="Z246">
            <v>1.3</v>
          </cell>
          <cell r="AA246">
            <v>1.1000000000000001</v>
          </cell>
          <cell r="AB246">
            <v>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  <cell r="Y247">
            <v>1.7</v>
          </cell>
          <cell r="Z247">
            <v>1.4</v>
          </cell>
          <cell r="AA247">
            <v>1</v>
          </cell>
          <cell r="AB247">
            <v>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  <cell r="Y248">
            <v>1.1000000000000001</v>
          </cell>
          <cell r="Z248">
            <v>1.2</v>
          </cell>
          <cell r="AA248">
            <v>1.2</v>
          </cell>
          <cell r="AB248">
            <v>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  <cell r="Y249">
            <v>1.3</v>
          </cell>
          <cell r="Z249">
            <v>1.3</v>
          </cell>
          <cell r="AA249">
            <v>1.1000000000000001</v>
          </cell>
          <cell r="AB249">
            <v>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  <cell r="Y250">
            <v>1.7</v>
          </cell>
          <cell r="Z250">
            <v>1.4</v>
          </cell>
          <cell r="AA250">
            <v>1</v>
          </cell>
          <cell r="AB250">
            <v>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  <cell r="Y251">
            <v>1.1000000000000001</v>
          </cell>
          <cell r="Z251">
            <v>1.2</v>
          </cell>
          <cell r="AA251">
            <v>1.2</v>
          </cell>
          <cell r="AB251">
            <v>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  <cell r="Y252">
            <v>1.3</v>
          </cell>
          <cell r="Z252">
            <v>1.3</v>
          </cell>
          <cell r="AA252">
            <v>1.1000000000000001</v>
          </cell>
          <cell r="AB252">
            <v>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  <cell r="Y253">
            <v>1.7</v>
          </cell>
          <cell r="Z253">
            <v>1.4</v>
          </cell>
          <cell r="AA253">
            <v>1</v>
          </cell>
          <cell r="AB253">
            <v>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  <cell r="Y254">
            <v>1.1000000000000001</v>
          </cell>
          <cell r="Z254">
            <v>1.2</v>
          </cell>
          <cell r="AA254">
            <v>1.2</v>
          </cell>
          <cell r="AB254">
            <v>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  <cell r="Y255">
            <v>1.3</v>
          </cell>
          <cell r="Z255">
            <v>1.3</v>
          </cell>
          <cell r="AA255">
            <v>1.1000000000000001</v>
          </cell>
          <cell r="AB255">
            <v>254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  <cell r="Y256">
            <v>1.7</v>
          </cell>
          <cell r="Z256">
            <v>1.4</v>
          </cell>
          <cell r="AA256">
            <v>1</v>
          </cell>
          <cell r="AB256">
            <v>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  <cell r="Y257">
            <v>1.1000000000000001</v>
          </cell>
          <cell r="Z257">
            <v>1.2</v>
          </cell>
          <cell r="AA257">
            <v>1.2</v>
          </cell>
          <cell r="AB257">
            <v>256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  <cell r="Y258">
            <v>1.3</v>
          </cell>
          <cell r="Z258">
            <v>1.3</v>
          </cell>
          <cell r="AA258">
            <v>1.1000000000000001</v>
          </cell>
          <cell r="AB258">
            <v>257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  <cell r="Y259">
            <v>1.7</v>
          </cell>
          <cell r="Z259">
            <v>1.4</v>
          </cell>
          <cell r="AA259">
            <v>1</v>
          </cell>
          <cell r="AB259">
            <v>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  <cell r="Y260">
            <v>1.1000000000000001</v>
          </cell>
          <cell r="Z260">
            <v>1.2</v>
          </cell>
          <cell r="AA260">
            <v>1.2</v>
          </cell>
          <cell r="AB260">
            <v>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  <cell r="Y261">
            <v>1.3</v>
          </cell>
          <cell r="Z261">
            <v>1.3</v>
          </cell>
          <cell r="AA261">
            <v>1.1000000000000001</v>
          </cell>
          <cell r="AB261">
            <v>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  <cell r="Y262">
            <v>1.7</v>
          </cell>
          <cell r="Z262">
            <v>1.4</v>
          </cell>
          <cell r="AA262">
            <v>1</v>
          </cell>
          <cell r="AB262">
            <v>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  <cell r="Y263">
            <v>1.1000000000000001</v>
          </cell>
          <cell r="Z263">
            <v>1.2</v>
          </cell>
          <cell r="AA263">
            <v>1.2</v>
          </cell>
          <cell r="AB263">
            <v>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  <cell r="Y264">
            <v>1.3</v>
          </cell>
          <cell r="Z264">
            <v>1.3</v>
          </cell>
          <cell r="AA264">
            <v>1.1000000000000001</v>
          </cell>
          <cell r="AB264">
            <v>263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  <cell r="Y265">
            <v>1.1000000000000001</v>
          </cell>
          <cell r="Z265">
            <v>1.2</v>
          </cell>
          <cell r="AA265">
            <v>1.2</v>
          </cell>
          <cell r="AB265">
            <v>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  <cell r="Y266">
            <v>1.3</v>
          </cell>
          <cell r="Z266">
            <v>1.3</v>
          </cell>
          <cell r="AA266">
            <v>1.1000000000000001</v>
          </cell>
          <cell r="AB266">
            <v>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  <cell r="Y267">
            <v>1.1000000000000001</v>
          </cell>
          <cell r="Z267">
            <v>1.2</v>
          </cell>
          <cell r="AA267">
            <v>1.2</v>
          </cell>
          <cell r="AB267">
            <v>266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  <cell r="Y268">
            <v>1.3</v>
          </cell>
          <cell r="Z268">
            <v>1.3</v>
          </cell>
          <cell r="AA268">
            <v>1.1000000000000001</v>
          </cell>
          <cell r="AB268">
            <v>266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  <cell r="Y269">
            <v>1.1000000000000001</v>
          </cell>
          <cell r="Z269">
            <v>1.2</v>
          </cell>
          <cell r="AA269">
            <v>1.2</v>
          </cell>
          <cell r="AB269">
            <v>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  <cell r="Y270">
            <v>1.3</v>
          </cell>
          <cell r="Z270">
            <v>1.3</v>
          </cell>
          <cell r="AA270">
            <v>1.1000000000000001</v>
          </cell>
          <cell r="AB270">
            <v>268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  <cell r="Y271">
            <v>1.3</v>
          </cell>
          <cell r="Z271">
            <v>1.3</v>
          </cell>
          <cell r="AA271">
            <v>1.1000000000000001</v>
          </cell>
          <cell r="AB271">
            <v>270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  <cell r="Y272">
            <v>1.7</v>
          </cell>
          <cell r="Z272">
            <v>1.4</v>
          </cell>
          <cell r="AA272">
            <v>1</v>
          </cell>
          <cell r="AB272">
            <v>271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  <cell r="Y273">
            <v>1.3</v>
          </cell>
          <cell r="Z273">
            <v>1.3</v>
          </cell>
          <cell r="AA273">
            <v>1.1000000000000001</v>
          </cell>
          <cell r="AB273">
            <v>272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  <cell r="Y274">
            <v>1.7</v>
          </cell>
          <cell r="Z274">
            <v>1.4</v>
          </cell>
          <cell r="AA274">
            <v>1</v>
          </cell>
          <cell r="AB274">
            <v>272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  <cell r="Y275">
            <v>1.3</v>
          </cell>
          <cell r="Z275">
            <v>1.3</v>
          </cell>
          <cell r="AA275">
            <v>1.1000000000000001</v>
          </cell>
          <cell r="AB275">
            <v>274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  <cell r="Y276">
            <v>1.7</v>
          </cell>
          <cell r="Z276">
            <v>1.4</v>
          </cell>
          <cell r="AA276">
            <v>1</v>
          </cell>
          <cell r="AB276">
            <v>275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  <cell r="Y277">
            <v>1.3</v>
          </cell>
          <cell r="Z277">
            <v>1.3</v>
          </cell>
          <cell r="AA277">
            <v>1.1000000000000001</v>
          </cell>
          <cell r="AB277">
            <v>276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  <cell r="Y278">
            <v>1.7</v>
          </cell>
          <cell r="Z278">
            <v>1.4</v>
          </cell>
          <cell r="AA278">
            <v>1</v>
          </cell>
          <cell r="AB278">
            <v>277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  <cell r="Y279">
            <v>1.3</v>
          </cell>
          <cell r="Z279">
            <v>1.3</v>
          </cell>
          <cell r="AA279">
            <v>1.1000000000000001</v>
          </cell>
          <cell r="AB279">
            <v>278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  <cell r="Y280">
            <v>1.7</v>
          </cell>
          <cell r="Z280">
            <v>1.4</v>
          </cell>
          <cell r="AA280">
            <v>1</v>
          </cell>
          <cell r="AB280">
            <v>278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  <cell r="Y281">
            <v>1.1000000000000001</v>
          </cell>
          <cell r="Z281">
            <v>1.2</v>
          </cell>
          <cell r="AA281">
            <v>1.2</v>
          </cell>
          <cell r="AB281">
            <v>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  <cell r="Y282">
            <v>1.3</v>
          </cell>
          <cell r="Z282">
            <v>1.3</v>
          </cell>
          <cell r="AA282">
            <v>1.1000000000000001</v>
          </cell>
          <cell r="AB282">
            <v>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  <cell r="Y283">
            <v>1.1000000000000001</v>
          </cell>
          <cell r="Z283">
            <v>1.2</v>
          </cell>
          <cell r="AA283">
            <v>1.2</v>
          </cell>
          <cell r="AB283">
            <v>28201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  <cell r="Y284">
            <v>1.3</v>
          </cell>
          <cell r="Z284">
            <v>1.3</v>
          </cell>
          <cell r="AA284">
            <v>1.1000000000000001</v>
          </cell>
          <cell r="AB284">
            <v>28202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  <cell r="Y285">
            <v>1.1000000000000001</v>
          </cell>
          <cell r="Z285">
            <v>1.2</v>
          </cell>
          <cell r="AA285">
            <v>1.2</v>
          </cell>
          <cell r="AB285">
            <v>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  <cell r="Y286">
            <v>1.3</v>
          </cell>
          <cell r="Z286">
            <v>1.3</v>
          </cell>
          <cell r="AA286">
            <v>1.1000000000000001</v>
          </cell>
          <cell r="AB286">
            <v>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  <cell r="Y287">
            <v>1.1000000000000001</v>
          </cell>
          <cell r="Z287">
            <v>1.2</v>
          </cell>
          <cell r="AA287">
            <v>1.2</v>
          </cell>
          <cell r="AB287">
            <v>286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  <cell r="Y288">
            <v>1.3</v>
          </cell>
          <cell r="Z288">
            <v>1.3</v>
          </cell>
          <cell r="AA288">
            <v>1.1000000000000001</v>
          </cell>
          <cell r="AB288">
            <v>286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  <cell r="Y289">
            <v>1.3</v>
          </cell>
          <cell r="Z289">
            <v>1.3</v>
          </cell>
          <cell r="AA289">
            <v>1.1000000000000001</v>
          </cell>
          <cell r="AB289">
            <v>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  <cell r="Y290">
            <v>1.7</v>
          </cell>
          <cell r="Z290">
            <v>1.4</v>
          </cell>
          <cell r="AA290">
            <v>1</v>
          </cell>
          <cell r="AB290">
            <v>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  <cell r="Y291">
            <v>1.3</v>
          </cell>
          <cell r="Z291">
            <v>1.3</v>
          </cell>
          <cell r="AA291">
            <v>1.1000000000000001</v>
          </cell>
          <cell r="AB291">
            <v>29001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  <cell r="Y292">
            <v>1.7</v>
          </cell>
          <cell r="Z292">
            <v>1.4</v>
          </cell>
          <cell r="AA292">
            <v>1</v>
          </cell>
          <cell r="AB292">
            <v>29002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  <cell r="Y293">
            <v>1.3</v>
          </cell>
          <cell r="Z293">
            <v>1.3</v>
          </cell>
          <cell r="AA293">
            <v>1.1000000000000001</v>
          </cell>
          <cell r="AB293">
            <v>292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  <cell r="Y294">
            <v>1.7</v>
          </cell>
          <cell r="Z294">
            <v>1.4</v>
          </cell>
          <cell r="AA294">
            <v>1</v>
          </cell>
          <cell r="AB294">
            <v>293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  <cell r="Y295">
            <v>1.3</v>
          </cell>
          <cell r="Z295">
            <v>1.3</v>
          </cell>
          <cell r="AA295">
            <v>1.1000000000000001</v>
          </cell>
          <cell r="AB295">
            <v>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  <cell r="Y296">
            <v>1.7</v>
          </cell>
          <cell r="Z296">
            <v>1.4</v>
          </cell>
          <cell r="AA296">
            <v>1</v>
          </cell>
          <cell r="AB296">
            <v>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  <cell r="Y297">
            <v>1.3</v>
          </cell>
          <cell r="Z297">
            <v>1.3</v>
          </cell>
          <cell r="AA297">
            <v>1.1000000000000001</v>
          </cell>
          <cell r="AB297">
            <v>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  <cell r="Y298">
            <v>1.7</v>
          </cell>
          <cell r="Z298">
            <v>1.4</v>
          </cell>
          <cell r="AA298">
            <v>1</v>
          </cell>
          <cell r="AB298">
            <v>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  <cell r="Y299">
            <v>1.1000000000000001</v>
          </cell>
          <cell r="Z299">
            <v>1.2</v>
          </cell>
          <cell r="AA299">
            <v>1.2</v>
          </cell>
          <cell r="AB299">
            <v>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  <cell r="Y300">
            <v>1.3</v>
          </cell>
          <cell r="Z300">
            <v>1.3</v>
          </cell>
          <cell r="AA300">
            <v>1.1000000000000001</v>
          </cell>
          <cell r="AB300">
            <v>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  <cell r="Y301">
            <v>1.1000000000000001</v>
          </cell>
          <cell r="Z301">
            <v>1.2</v>
          </cell>
          <cell r="AA301">
            <v>1.2</v>
          </cell>
          <cell r="AB301">
            <v>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  <cell r="Y302">
            <v>1.3</v>
          </cell>
          <cell r="Z302">
            <v>1.3</v>
          </cell>
          <cell r="AA302">
            <v>1.1000000000000001</v>
          </cell>
          <cell r="AB302">
            <v>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  <cell r="Y303">
            <v>1.1000000000000001</v>
          </cell>
          <cell r="Z303">
            <v>1.2</v>
          </cell>
          <cell r="AA303">
            <v>1.2</v>
          </cell>
          <cell r="AB303">
            <v>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  <cell r="Y304">
            <v>1.3</v>
          </cell>
          <cell r="Z304">
            <v>1.3</v>
          </cell>
          <cell r="AA304">
            <v>1.1000000000000001</v>
          </cell>
          <cell r="AB304">
            <v>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  <cell r="Y305">
            <v>1.1000000000000001</v>
          </cell>
          <cell r="Z305">
            <v>1.2</v>
          </cell>
          <cell r="AA305">
            <v>1.2</v>
          </cell>
          <cell r="AB305">
            <v>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  <cell r="Y306">
            <v>1.3</v>
          </cell>
          <cell r="Z306">
            <v>1.3</v>
          </cell>
          <cell r="AA306">
            <v>1.1000000000000001</v>
          </cell>
          <cell r="AB306">
            <v>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  <cell r="Y307">
            <v>1.3</v>
          </cell>
          <cell r="Z307">
            <v>1.3</v>
          </cell>
          <cell r="AA307">
            <v>1.1000000000000001</v>
          </cell>
          <cell r="AB307">
            <v>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  <cell r="Y308">
            <v>1.7</v>
          </cell>
          <cell r="Z308">
            <v>1.4</v>
          </cell>
          <cell r="AA308">
            <v>1</v>
          </cell>
          <cell r="AB308">
            <v>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  <cell r="Y309">
            <v>1.3</v>
          </cell>
          <cell r="Z309">
            <v>1.3</v>
          </cell>
          <cell r="AA309">
            <v>1.1000000000000001</v>
          </cell>
          <cell r="AB309">
            <v>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  <cell r="Y310">
            <v>1.7</v>
          </cell>
          <cell r="Z310">
            <v>1.4</v>
          </cell>
          <cell r="AA310">
            <v>1</v>
          </cell>
          <cell r="AB310">
            <v>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  <cell r="Y311">
            <v>1.3</v>
          </cell>
          <cell r="Z311">
            <v>1.3</v>
          </cell>
          <cell r="AA311">
            <v>1.1000000000000001</v>
          </cell>
          <cell r="AB311">
            <v>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  <cell r="Y312">
            <v>1.7</v>
          </cell>
          <cell r="Z312">
            <v>1.4</v>
          </cell>
          <cell r="AA312">
            <v>1</v>
          </cell>
          <cell r="AB312">
            <v>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  <cell r="Y313">
            <v>1.3</v>
          </cell>
          <cell r="Z313">
            <v>1.3</v>
          </cell>
          <cell r="AA313">
            <v>1.1000000000000001</v>
          </cell>
          <cell r="AB313">
            <v>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  <cell r="Y314">
            <v>1.7</v>
          </cell>
          <cell r="Z314">
            <v>1.4</v>
          </cell>
          <cell r="AA314">
            <v>1</v>
          </cell>
          <cell r="AB314">
            <v>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  <cell r="Y315">
            <v>1.3</v>
          </cell>
          <cell r="Z315">
            <v>1.3</v>
          </cell>
          <cell r="AA315">
            <v>1.1000000000000001</v>
          </cell>
          <cell r="AB315">
            <v>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  <cell r="Y316">
            <v>1.7</v>
          </cell>
          <cell r="Z316">
            <v>1.4</v>
          </cell>
          <cell r="AA316">
            <v>1</v>
          </cell>
          <cell r="AB316">
            <v>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  <cell r="Y317">
            <v>1.3</v>
          </cell>
          <cell r="Z317">
            <v>1.3</v>
          </cell>
          <cell r="AA317">
            <v>1.1000000000000001</v>
          </cell>
          <cell r="AB317">
            <v>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  <cell r="Y318">
            <v>1.7</v>
          </cell>
          <cell r="Z318">
            <v>1.4</v>
          </cell>
          <cell r="AA318">
            <v>1</v>
          </cell>
          <cell r="AB318">
            <v>317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  <cell r="Y319">
            <v>1.3</v>
          </cell>
          <cell r="Z319">
            <v>1.3</v>
          </cell>
          <cell r="AA319">
            <v>1.1000000000000001</v>
          </cell>
          <cell r="AB319">
            <v>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  <cell r="Y320">
            <v>1.7</v>
          </cell>
          <cell r="Z320">
            <v>1.4</v>
          </cell>
          <cell r="AA320">
            <v>1</v>
          </cell>
          <cell r="AB320">
            <v>319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  <cell r="Y321">
            <v>1.3</v>
          </cell>
          <cell r="Z321">
            <v>1.3</v>
          </cell>
          <cell r="AA321">
            <v>1.1000000000000001</v>
          </cell>
          <cell r="AB321">
            <v>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  <cell r="Y322">
            <v>1.7</v>
          </cell>
          <cell r="Z322">
            <v>1.4</v>
          </cell>
          <cell r="AA322">
            <v>1</v>
          </cell>
          <cell r="AB322">
            <v>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  <cell r="Y323">
            <v>1.3</v>
          </cell>
          <cell r="Z323">
            <v>1.3</v>
          </cell>
          <cell r="AA323">
            <v>1.1000000000000001</v>
          </cell>
          <cell r="AB323">
            <v>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  <cell r="Y324">
            <v>1.7</v>
          </cell>
          <cell r="Z324">
            <v>1.4</v>
          </cell>
          <cell r="AA324">
            <v>1</v>
          </cell>
          <cell r="AB324">
            <v>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  <cell r="Y325">
            <v>1.3</v>
          </cell>
          <cell r="Z325">
            <v>1.3</v>
          </cell>
          <cell r="AA325">
            <v>1.1000000000000001</v>
          </cell>
          <cell r="AB325">
            <v>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  <cell r="Y326">
            <v>1.7</v>
          </cell>
          <cell r="Z326">
            <v>1.4</v>
          </cell>
          <cell r="AA326">
            <v>1</v>
          </cell>
          <cell r="AB326">
            <v>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  <cell r="Y327">
            <v>1.3</v>
          </cell>
          <cell r="Z327">
            <v>1.3</v>
          </cell>
          <cell r="AA327">
            <v>1.1000000000000001</v>
          </cell>
          <cell r="AB327">
            <v>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  <cell r="Y328">
            <v>1.7</v>
          </cell>
          <cell r="Z328">
            <v>1.4</v>
          </cell>
          <cell r="AA328">
            <v>1</v>
          </cell>
          <cell r="AB328">
            <v>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  <cell r="Y329">
            <v>1.7</v>
          </cell>
          <cell r="Z329">
            <v>1.4</v>
          </cell>
          <cell r="AA329">
            <v>1</v>
          </cell>
          <cell r="AB329">
            <v>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  <cell r="Y330">
            <v>1.7</v>
          </cell>
          <cell r="Z330">
            <v>1.4</v>
          </cell>
          <cell r="AA330">
            <v>1</v>
          </cell>
          <cell r="AB330">
            <v>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  <cell r="Y331">
            <v>1.7</v>
          </cell>
          <cell r="Z331">
            <v>1.4</v>
          </cell>
          <cell r="AA331">
            <v>1</v>
          </cell>
          <cell r="AB331">
            <v>0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  <cell r="Y332">
            <v>1.7</v>
          </cell>
          <cell r="Z332">
            <v>1.4</v>
          </cell>
          <cell r="AA332">
            <v>1</v>
          </cell>
          <cell r="AB332">
            <v>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  <cell r="Y333">
            <v>1</v>
          </cell>
          <cell r="Z333">
            <v>1</v>
          </cell>
          <cell r="AA333">
            <v>1</v>
          </cell>
          <cell r="AB333">
            <v>0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  <cell r="Y334">
            <v>1</v>
          </cell>
          <cell r="Z334">
            <v>1</v>
          </cell>
          <cell r="AA334">
            <v>1</v>
          </cell>
          <cell r="AB334">
            <v>0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  <cell r="Y335">
            <v>1.1000000000000001</v>
          </cell>
          <cell r="Z335">
            <v>1.2</v>
          </cell>
          <cell r="AA335">
            <v>1.2</v>
          </cell>
          <cell r="AB335">
            <v>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  <cell r="Y336">
            <v>1.1000000000000001</v>
          </cell>
          <cell r="Z336">
            <v>1.2</v>
          </cell>
          <cell r="AA336">
            <v>1.2</v>
          </cell>
          <cell r="AB336">
            <v>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  <cell r="Y337">
            <v>1</v>
          </cell>
          <cell r="Z337">
            <v>1</v>
          </cell>
          <cell r="AA337">
            <v>1</v>
          </cell>
          <cell r="AB337">
            <v>0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  <cell r="Y338">
            <v>1</v>
          </cell>
          <cell r="Z338">
            <v>1</v>
          </cell>
          <cell r="AA338">
            <v>1</v>
          </cell>
          <cell r="AB338">
            <v>0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  <cell r="Y339">
            <v>1.1000000000000001</v>
          </cell>
          <cell r="Z339">
            <v>1.2</v>
          </cell>
          <cell r="AA339">
            <v>1.2</v>
          </cell>
          <cell r="AB339">
            <v>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  <cell r="Y340">
            <v>1.1000000000000001</v>
          </cell>
          <cell r="Z340">
            <v>1.2</v>
          </cell>
          <cell r="AA340">
            <v>1.2</v>
          </cell>
          <cell r="AB340">
            <v>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  <cell r="Y341">
            <v>1</v>
          </cell>
          <cell r="Z341">
            <v>1</v>
          </cell>
          <cell r="AA341">
            <v>1</v>
          </cell>
          <cell r="AB341">
            <v>0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  <cell r="Y342">
            <v>1</v>
          </cell>
          <cell r="Z342">
            <v>1</v>
          </cell>
          <cell r="AA342">
            <v>1</v>
          </cell>
          <cell r="AB342">
            <v>0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  <cell r="Y343">
            <v>1.1000000000000001</v>
          </cell>
          <cell r="Z343">
            <v>1.2</v>
          </cell>
          <cell r="AA343">
            <v>1.2</v>
          </cell>
          <cell r="AB343">
            <v>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  <cell r="Y344">
            <v>1.1000000000000001</v>
          </cell>
          <cell r="Z344">
            <v>1.2</v>
          </cell>
          <cell r="AA344">
            <v>1.2</v>
          </cell>
          <cell r="AB344">
            <v>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  <cell r="Y345">
            <v>1</v>
          </cell>
          <cell r="Z345">
            <v>1</v>
          </cell>
          <cell r="AA345">
            <v>1</v>
          </cell>
          <cell r="AB345">
            <v>0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  <cell r="Y346">
            <v>1</v>
          </cell>
          <cell r="Z346">
            <v>1</v>
          </cell>
          <cell r="AA346">
            <v>1</v>
          </cell>
          <cell r="AB346">
            <v>0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  <cell r="Y347">
            <v>1.1000000000000001</v>
          </cell>
          <cell r="Z347">
            <v>1.2</v>
          </cell>
          <cell r="AA347">
            <v>1.2</v>
          </cell>
          <cell r="AB347">
            <v>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  <cell r="Y348">
            <v>1.1000000000000001</v>
          </cell>
          <cell r="Z348">
            <v>1.2</v>
          </cell>
          <cell r="AA348">
            <v>1.2</v>
          </cell>
          <cell r="AB348">
            <v>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  <cell r="Y349">
            <v>1</v>
          </cell>
          <cell r="Z349">
            <v>1</v>
          </cell>
          <cell r="AA349">
            <v>1</v>
          </cell>
          <cell r="AB349">
            <v>0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  <cell r="Y350">
            <v>1</v>
          </cell>
          <cell r="Z350">
            <v>1</v>
          </cell>
          <cell r="AA350">
            <v>1</v>
          </cell>
          <cell r="AB350">
            <v>0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  <cell r="Y351">
            <v>1</v>
          </cell>
          <cell r="Z351">
            <v>1</v>
          </cell>
          <cell r="AA351">
            <v>1</v>
          </cell>
          <cell r="AB351">
            <v>0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  <cell r="Y352">
            <v>1</v>
          </cell>
          <cell r="Z352">
            <v>1</v>
          </cell>
          <cell r="AA352">
            <v>1</v>
          </cell>
          <cell r="AB352">
            <v>0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  <cell r="Y353">
            <v>1</v>
          </cell>
          <cell r="Z353">
            <v>1</v>
          </cell>
          <cell r="AA353">
            <v>1</v>
          </cell>
          <cell r="AB353">
            <v>0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  <cell r="Y354">
            <v>1</v>
          </cell>
          <cell r="Z354">
            <v>1</v>
          </cell>
          <cell r="AA354">
            <v>1</v>
          </cell>
          <cell r="AB354">
            <v>0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  <cell r="Y355">
            <v>1</v>
          </cell>
          <cell r="Z355">
            <v>1</v>
          </cell>
          <cell r="AA355">
            <v>1</v>
          </cell>
          <cell r="AB355">
            <v>0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  <cell r="Y356">
            <v>1</v>
          </cell>
          <cell r="Z356">
            <v>1</v>
          </cell>
          <cell r="AA356">
            <v>1</v>
          </cell>
          <cell r="AB356">
            <v>0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  <cell r="Y357">
            <v>1</v>
          </cell>
          <cell r="Z357">
            <v>1</v>
          </cell>
          <cell r="AA357">
            <v>1</v>
          </cell>
          <cell r="AB357">
            <v>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  <cell r="Y358">
            <v>1</v>
          </cell>
          <cell r="Z358">
            <v>1</v>
          </cell>
          <cell r="AA358">
            <v>1</v>
          </cell>
          <cell r="AB358">
            <v>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  <cell r="Y359">
            <v>1</v>
          </cell>
          <cell r="Z359">
            <v>1</v>
          </cell>
          <cell r="AA359">
            <v>1</v>
          </cell>
          <cell r="AB359">
            <v>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  <cell r="Y360">
            <v>1</v>
          </cell>
          <cell r="Z360">
            <v>1</v>
          </cell>
          <cell r="AA360">
            <v>1</v>
          </cell>
          <cell r="AB360">
            <v>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  <cell r="Y361">
            <v>1</v>
          </cell>
          <cell r="Z361">
            <v>1</v>
          </cell>
          <cell r="AA361">
            <v>1</v>
          </cell>
          <cell r="AB361">
            <v>0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  <cell r="Y362">
            <v>1</v>
          </cell>
          <cell r="Z362">
            <v>1</v>
          </cell>
          <cell r="AA362">
            <v>1</v>
          </cell>
          <cell r="AB362">
            <v>0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  <cell r="Y363">
            <v>1</v>
          </cell>
          <cell r="Z363">
            <v>1</v>
          </cell>
          <cell r="AA363">
            <v>1</v>
          </cell>
          <cell r="AB363">
            <v>0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  <cell r="Y364">
            <v>1</v>
          </cell>
          <cell r="Z364">
            <v>1</v>
          </cell>
          <cell r="AA364">
            <v>1</v>
          </cell>
          <cell r="AB364">
            <v>0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  <cell r="Y365">
            <v>1</v>
          </cell>
          <cell r="Z365">
            <v>1</v>
          </cell>
          <cell r="AA365">
            <v>1</v>
          </cell>
          <cell r="AB365">
            <v>0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  <cell r="Y366">
            <v>1</v>
          </cell>
          <cell r="Z366">
            <v>1</v>
          </cell>
          <cell r="AA366">
            <v>1</v>
          </cell>
          <cell r="AB366">
            <v>0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  <cell r="Y367">
            <v>1</v>
          </cell>
          <cell r="Z367">
            <v>1</v>
          </cell>
          <cell r="AA367">
            <v>1</v>
          </cell>
          <cell r="AB367">
            <v>0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  <cell r="Y368">
            <v>1</v>
          </cell>
          <cell r="Z368">
            <v>1</v>
          </cell>
          <cell r="AA368">
            <v>1</v>
          </cell>
          <cell r="AB368">
            <v>0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  <cell r="Y369">
            <v>1.7</v>
          </cell>
          <cell r="Z369">
            <v>1.4</v>
          </cell>
          <cell r="AA369">
            <v>1</v>
          </cell>
          <cell r="AB369">
            <v>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  <cell r="Y370">
            <v>1.7</v>
          </cell>
          <cell r="Z370">
            <v>1.4</v>
          </cell>
          <cell r="AA370">
            <v>1</v>
          </cell>
          <cell r="AB370">
            <v>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  <cell r="Y371">
            <v>1</v>
          </cell>
          <cell r="Z371">
            <v>1</v>
          </cell>
          <cell r="AA371">
            <v>1</v>
          </cell>
          <cell r="AB371">
            <v>0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  <cell r="Y372">
            <v>1.1000000000000001</v>
          </cell>
          <cell r="Z372">
            <v>1.2</v>
          </cell>
          <cell r="AA372">
            <v>1.2</v>
          </cell>
          <cell r="AB372">
            <v>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  <cell r="Y373">
            <v>1</v>
          </cell>
          <cell r="Z373">
            <v>1</v>
          </cell>
          <cell r="AA373">
            <v>1</v>
          </cell>
          <cell r="AB373">
            <v>0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  <cell r="Y374">
            <v>1.1000000000000001</v>
          </cell>
          <cell r="Z374">
            <v>1.2</v>
          </cell>
          <cell r="AA374">
            <v>1.2</v>
          </cell>
          <cell r="AB374">
            <v>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  <cell r="Y375">
            <v>1</v>
          </cell>
          <cell r="Z375">
            <v>1</v>
          </cell>
          <cell r="AA375">
            <v>1</v>
          </cell>
          <cell r="AB375">
            <v>0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  <cell r="Y376">
            <v>1.1000000000000001</v>
          </cell>
          <cell r="Z376">
            <v>1.2</v>
          </cell>
          <cell r="AA376">
            <v>1.2</v>
          </cell>
          <cell r="AB376">
            <v>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  <cell r="Y377">
            <v>1.2</v>
          </cell>
          <cell r="Z377">
            <v>1.25</v>
          </cell>
          <cell r="AA377">
            <v>1.1499999999999999</v>
          </cell>
          <cell r="AB377">
            <v>0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  <cell r="Y378">
            <v>1.3</v>
          </cell>
          <cell r="Z378">
            <v>1.3</v>
          </cell>
          <cell r="AA378">
            <v>1.1000000000000001</v>
          </cell>
          <cell r="AB378">
            <v>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  <cell r="Y379">
            <v>1.3</v>
          </cell>
          <cell r="Z379">
            <v>1.3</v>
          </cell>
          <cell r="AA379">
            <v>1.1000000000000001</v>
          </cell>
          <cell r="AB379">
            <v>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  <cell r="Y380">
            <v>1.7</v>
          </cell>
          <cell r="Z380">
            <v>1.4</v>
          </cell>
          <cell r="AA380">
            <v>1</v>
          </cell>
          <cell r="AB380">
            <v>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  <cell r="Y381">
            <v>1.2</v>
          </cell>
          <cell r="Z381">
            <v>1.25</v>
          </cell>
          <cell r="AA381">
            <v>1.1499999999999999</v>
          </cell>
          <cell r="AB381">
            <v>0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  <cell r="Y382">
            <v>1.3</v>
          </cell>
          <cell r="Z382">
            <v>1.3</v>
          </cell>
          <cell r="AA382">
            <v>1.1000000000000001</v>
          </cell>
          <cell r="AB382">
            <v>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  <cell r="Y383">
            <v>1.7</v>
          </cell>
          <cell r="Z383">
            <v>1.4</v>
          </cell>
          <cell r="AA383">
            <v>1</v>
          </cell>
          <cell r="AB383">
            <v>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  <cell r="Y384">
            <v>1.3</v>
          </cell>
          <cell r="Z384">
            <v>1.3</v>
          </cell>
          <cell r="AA384">
            <v>1.1000000000000001</v>
          </cell>
          <cell r="AB384">
            <v>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  <cell r="Y385">
            <v>1.7</v>
          </cell>
          <cell r="Z385">
            <v>1.4</v>
          </cell>
          <cell r="AA385">
            <v>1</v>
          </cell>
          <cell r="AB385">
            <v>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  <cell r="Y386">
            <v>1.3</v>
          </cell>
          <cell r="Z386">
            <v>1.3</v>
          </cell>
          <cell r="AA386">
            <v>1.1000000000000001</v>
          </cell>
          <cell r="AB386">
            <v>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  <cell r="Y387">
            <v>1.7</v>
          </cell>
          <cell r="Z387">
            <v>1.4</v>
          </cell>
          <cell r="AA387">
            <v>1</v>
          </cell>
          <cell r="AB387">
            <v>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  <cell r="Y388">
            <v>1.2</v>
          </cell>
          <cell r="Z388">
            <v>1.25</v>
          </cell>
          <cell r="AA388">
            <v>1.1499999999999999</v>
          </cell>
          <cell r="AB388">
            <v>0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  <cell r="Y389">
            <v>1.3</v>
          </cell>
          <cell r="Z389">
            <v>1.3</v>
          </cell>
          <cell r="AA389">
            <v>1.1000000000000001</v>
          </cell>
          <cell r="AB389">
            <v>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  <cell r="Y390">
            <v>1.7</v>
          </cell>
          <cell r="Z390">
            <v>1.4</v>
          </cell>
          <cell r="AA390">
            <v>1</v>
          </cell>
          <cell r="AB390">
            <v>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  <cell r="Y391">
            <v>1.3</v>
          </cell>
          <cell r="Z391">
            <v>1.3</v>
          </cell>
          <cell r="AA391">
            <v>1.1000000000000001</v>
          </cell>
          <cell r="AB391">
            <v>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  <cell r="Y392">
            <v>1.7</v>
          </cell>
          <cell r="Z392">
            <v>1.4</v>
          </cell>
          <cell r="AA392">
            <v>1</v>
          </cell>
          <cell r="AB392">
            <v>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  <cell r="Y393">
            <v>1.2</v>
          </cell>
          <cell r="Z393">
            <v>1.25</v>
          </cell>
          <cell r="AA393">
            <v>1.1499999999999999</v>
          </cell>
          <cell r="AB393">
            <v>0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  <cell r="Y394">
            <v>1.3</v>
          </cell>
          <cell r="Z394">
            <v>1.3</v>
          </cell>
          <cell r="AA394">
            <v>1.1000000000000001</v>
          </cell>
          <cell r="AB394">
            <v>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  <cell r="Y395">
            <v>1.7</v>
          </cell>
          <cell r="Z395">
            <v>1.4</v>
          </cell>
          <cell r="AA395">
            <v>1</v>
          </cell>
          <cell r="AB395">
            <v>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  <cell r="Y396">
            <v>1.2</v>
          </cell>
          <cell r="Z396">
            <v>1.25</v>
          </cell>
          <cell r="AA396">
            <v>1.1499999999999999</v>
          </cell>
          <cell r="AB396">
            <v>0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  <cell r="Y397">
            <v>1.3</v>
          </cell>
          <cell r="Z397">
            <v>1.3</v>
          </cell>
          <cell r="AA397">
            <v>1.1000000000000001</v>
          </cell>
          <cell r="AB397">
            <v>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  <cell r="Y398">
            <v>1.7</v>
          </cell>
          <cell r="Z398">
            <v>1.4</v>
          </cell>
          <cell r="AA398">
            <v>1</v>
          </cell>
          <cell r="AB398">
            <v>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  <cell r="Y399">
            <v>1.3</v>
          </cell>
          <cell r="Z399">
            <v>1.3</v>
          </cell>
          <cell r="AA399">
            <v>1.1000000000000001</v>
          </cell>
          <cell r="AB399">
            <v>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  <cell r="Y400">
            <v>1.7</v>
          </cell>
          <cell r="Z400">
            <v>1.4</v>
          </cell>
          <cell r="AA400">
            <v>1</v>
          </cell>
          <cell r="AB400">
            <v>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  <cell r="Y401">
            <v>1.2</v>
          </cell>
          <cell r="Z401">
            <v>1.25</v>
          </cell>
          <cell r="AA401">
            <v>1.1499999999999999</v>
          </cell>
          <cell r="AB401">
            <v>0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  <cell r="Y402">
            <v>1.3</v>
          </cell>
          <cell r="Z402">
            <v>1.3</v>
          </cell>
          <cell r="AA402">
            <v>1.1000000000000001</v>
          </cell>
          <cell r="AB402">
            <v>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  <cell r="Y403">
            <v>1.7</v>
          </cell>
          <cell r="Z403">
            <v>1.4</v>
          </cell>
          <cell r="AA403">
            <v>1</v>
          </cell>
          <cell r="AB403">
            <v>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  <cell r="Y404">
            <v>1.3</v>
          </cell>
          <cell r="Z404">
            <v>1.3</v>
          </cell>
          <cell r="AA404">
            <v>1.1000000000000001</v>
          </cell>
          <cell r="AB404">
            <v>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  <cell r="Y405">
            <v>1.7</v>
          </cell>
          <cell r="Z405">
            <v>1.4</v>
          </cell>
          <cell r="AA405">
            <v>1</v>
          </cell>
          <cell r="AB405">
            <v>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  <cell r="Y406">
            <v>1.2</v>
          </cell>
          <cell r="Z406">
            <v>1.25</v>
          </cell>
          <cell r="AA406">
            <v>1.1499999999999999</v>
          </cell>
          <cell r="AB406">
            <v>0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  <cell r="Y407">
            <v>1.3</v>
          </cell>
          <cell r="Z407">
            <v>1.3</v>
          </cell>
          <cell r="AA407">
            <v>1.1000000000000001</v>
          </cell>
          <cell r="AB407">
            <v>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  <cell r="Y408">
            <v>1.7</v>
          </cell>
          <cell r="Z408">
            <v>1.4</v>
          </cell>
          <cell r="AA408">
            <v>1</v>
          </cell>
          <cell r="AB408">
            <v>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  <cell r="Y409">
            <v>1.3</v>
          </cell>
          <cell r="Z409">
            <v>1.3</v>
          </cell>
          <cell r="AA409">
            <v>1.1000000000000001</v>
          </cell>
          <cell r="AB409">
            <v>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  <cell r="Y410">
            <v>1.7</v>
          </cell>
          <cell r="Z410">
            <v>1.4</v>
          </cell>
          <cell r="AA410">
            <v>1</v>
          </cell>
          <cell r="AB410">
            <v>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  <cell r="Y411">
            <v>1.3</v>
          </cell>
          <cell r="Z411">
            <v>1.3</v>
          </cell>
          <cell r="AA411">
            <v>1.1000000000000001</v>
          </cell>
          <cell r="AB411">
            <v>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  <cell r="Y412">
            <v>1.7</v>
          </cell>
          <cell r="Z412">
            <v>1.4</v>
          </cell>
          <cell r="AA412">
            <v>1</v>
          </cell>
          <cell r="AB412">
            <v>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  <cell r="Y413">
            <v>1</v>
          </cell>
          <cell r="Z413">
            <v>1</v>
          </cell>
          <cell r="AA413">
            <v>1</v>
          </cell>
          <cell r="AB413">
            <v>0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  <cell r="Y414">
            <v>1.1000000000000001</v>
          </cell>
          <cell r="Z414">
            <v>1.2</v>
          </cell>
          <cell r="AA414">
            <v>1.2</v>
          </cell>
          <cell r="AB414">
            <v>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  <cell r="Y415">
            <v>1.1000000000000001</v>
          </cell>
          <cell r="Z415">
            <v>1.2</v>
          </cell>
          <cell r="AA415">
            <v>1.2</v>
          </cell>
          <cell r="AB415">
            <v>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  <cell r="Y416">
            <v>1.1000000000000001</v>
          </cell>
          <cell r="Z416">
            <v>1.2</v>
          </cell>
          <cell r="AA416">
            <v>1.2</v>
          </cell>
          <cell r="AB416">
            <v>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  <cell r="Y417">
            <v>1.1000000000000001</v>
          </cell>
          <cell r="Z417">
            <v>1.2</v>
          </cell>
          <cell r="AA417">
            <v>1.2</v>
          </cell>
          <cell r="AB417">
            <v>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  <cell r="Y418">
            <v>1.1000000000000001</v>
          </cell>
          <cell r="Z418">
            <v>1.2</v>
          </cell>
          <cell r="AA418">
            <v>1.2</v>
          </cell>
          <cell r="AB418">
            <v>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  <cell r="Y419">
            <v>1.3</v>
          </cell>
          <cell r="Z419">
            <v>1.3</v>
          </cell>
          <cell r="AA419">
            <v>1.1000000000000001</v>
          </cell>
          <cell r="AB419">
            <v>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  <cell r="Y420">
            <v>1.7</v>
          </cell>
          <cell r="Z420">
            <v>1.4</v>
          </cell>
          <cell r="AA420">
            <v>1</v>
          </cell>
          <cell r="AB420">
            <v>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  <cell r="Y421">
            <v>1.3</v>
          </cell>
          <cell r="Z421">
            <v>1.3</v>
          </cell>
          <cell r="AA421">
            <v>1.1000000000000001</v>
          </cell>
          <cell r="AB421">
            <v>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  <cell r="Y422">
            <v>1.7</v>
          </cell>
          <cell r="Z422">
            <v>1.4</v>
          </cell>
          <cell r="AA422">
            <v>1</v>
          </cell>
          <cell r="AB422">
            <v>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  <cell r="Y423">
            <v>1.7</v>
          </cell>
          <cell r="Z423">
            <v>1.4</v>
          </cell>
          <cell r="AA423">
            <v>1</v>
          </cell>
          <cell r="AB423">
            <v>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  <cell r="Y424">
            <v>1.7</v>
          </cell>
          <cell r="Z424">
            <v>1.4</v>
          </cell>
          <cell r="AA424">
            <v>1</v>
          </cell>
          <cell r="AB424">
            <v>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  <cell r="Y425">
            <v>1.3</v>
          </cell>
          <cell r="Z425">
            <v>1.3</v>
          </cell>
          <cell r="AA425">
            <v>1.1000000000000001</v>
          </cell>
          <cell r="AB425">
            <v>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  <cell r="Y426">
            <v>1.7</v>
          </cell>
          <cell r="Z426">
            <v>1.4</v>
          </cell>
          <cell r="AA426">
            <v>1</v>
          </cell>
          <cell r="AB426">
            <v>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  <cell r="Y427">
            <v>1.3</v>
          </cell>
          <cell r="Z427">
            <v>1.3</v>
          </cell>
          <cell r="AA427">
            <v>1.1000000000000001</v>
          </cell>
          <cell r="AB427">
            <v>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  <cell r="Y428">
            <v>1.7</v>
          </cell>
          <cell r="Z428">
            <v>1.4</v>
          </cell>
          <cell r="AA428">
            <v>1</v>
          </cell>
          <cell r="AB428">
            <v>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  <cell r="Y429">
            <v>1.7</v>
          </cell>
          <cell r="Z429">
            <v>1.4</v>
          </cell>
          <cell r="AA429">
            <v>1</v>
          </cell>
          <cell r="AB429">
            <v>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  <cell r="Y430">
            <v>1.7</v>
          </cell>
          <cell r="Z430">
            <v>1.4</v>
          </cell>
          <cell r="AA430">
            <v>1</v>
          </cell>
          <cell r="AB430">
            <v>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  <cell r="Y431">
            <v>1.7</v>
          </cell>
          <cell r="Z431">
            <v>1.4</v>
          </cell>
          <cell r="AA431">
            <v>1</v>
          </cell>
          <cell r="AB431">
            <v>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  <cell r="Y432">
            <v>1.7</v>
          </cell>
          <cell r="Z432">
            <v>1.4</v>
          </cell>
          <cell r="AA432">
            <v>1</v>
          </cell>
          <cell r="AB432">
            <v>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  <cell r="Y433">
            <v>1.3</v>
          </cell>
          <cell r="Z433">
            <v>1.3</v>
          </cell>
          <cell r="AA433">
            <v>1.1000000000000001</v>
          </cell>
          <cell r="AB433">
            <v>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  <cell r="Y434">
            <v>1.7</v>
          </cell>
          <cell r="Z434">
            <v>1.4</v>
          </cell>
          <cell r="AA434">
            <v>1</v>
          </cell>
          <cell r="AB434">
            <v>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  <cell r="Y435">
            <v>1.3</v>
          </cell>
          <cell r="Z435">
            <v>1.3</v>
          </cell>
          <cell r="AA435">
            <v>1.1000000000000001</v>
          </cell>
          <cell r="AB435">
            <v>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  <cell r="Y436">
            <v>1.7</v>
          </cell>
          <cell r="Z436">
            <v>1.4</v>
          </cell>
          <cell r="AA436">
            <v>1</v>
          </cell>
          <cell r="AB436">
            <v>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  <cell r="Y437">
            <v>1.2</v>
          </cell>
          <cell r="Z437">
            <v>1.25</v>
          </cell>
          <cell r="AA437">
            <v>1.1499999999999999</v>
          </cell>
          <cell r="AB437">
            <v>0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  <cell r="Y438">
            <v>1.3</v>
          </cell>
          <cell r="Z438">
            <v>1.3</v>
          </cell>
          <cell r="AA438">
            <v>1.1000000000000001</v>
          </cell>
          <cell r="AB438">
            <v>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  <cell r="Y439">
            <v>1.7</v>
          </cell>
          <cell r="Z439">
            <v>1.4</v>
          </cell>
          <cell r="AA439">
            <v>1</v>
          </cell>
          <cell r="AB439">
            <v>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  <cell r="Y440">
            <v>1.2</v>
          </cell>
          <cell r="Z440">
            <v>1.25</v>
          </cell>
          <cell r="AA440">
            <v>1.1499999999999999</v>
          </cell>
          <cell r="AB440">
            <v>0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  <cell r="Y441">
            <v>1.3</v>
          </cell>
          <cell r="Z441">
            <v>1.3</v>
          </cell>
          <cell r="AA441">
            <v>1.1000000000000001</v>
          </cell>
          <cell r="AB441">
            <v>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  <cell r="Y442">
            <v>1.7</v>
          </cell>
          <cell r="Z442">
            <v>1.4</v>
          </cell>
          <cell r="AA442">
            <v>1</v>
          </cell>
          <cell r="AB442">
            <v>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  <cell r="Y443">
            <v>1.3</v>
          </cell>
          <cell r="Z443">
            <v>1.3</v>
          </cell>
          <cell r="AA443">
            <v>1.1000000000000001</v>
          </cell>
          <cell r="AB443">
            <v>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  <cell r="Y444">
            <v>1.7</v>
          </cell>
          <cell r="Z444">
            <v>1.4</v>
          </cell>
          <cell r="AA444">
            <v>1</v>
          </cell>
          <cell r="AB444">
            <v>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  <cell r="Y445">
            <v>1.1000000000000001</v>
          </cell>
          <cell r="Z445">
            <v>1.2</v>
          </cell>
          <cell r="AA445">
            <v>1.2</v>
          </cell>
          <cell r="AB445">
            <v>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  <cell r="Y446">
            <v>1.1000000000000001</v>
          </cell>
          <cell r="Z446">
            <v>1.2</v>
          </cell>
          <cell r="AA446">
            <v>1.2</v>
          </cell>
          <cell r="AB446">
            <v>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  <cell r="Y447">
            <v>1.1000000000000001</v>
          </cell>
          <cell r="Z447">
            <v>1.2</v>
          </cell>
          <cell r="AA447">
            <v>1.2</v>
          </cell>
          <cell r="AB447">
            <v>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  <cell r="Y448">
            <v>1.1000000000000001</v>
          </cell>
          <cell r="Z448">
            <v>1.2</v>
          </cell>
          <cell r="AA448">
            <v>1.2</v>
          </cell>
          <cell r="AB448">
            <v>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  <cell r="Y449">
            <v>1.3</v>
          </cell>
          <cell r="Z449">
            <v>1.3</v>
          </cell>
          <cell r="AA449">
            <v>1.1000000000000001</v>
          </cell>
          <cell r="AB449">
            <v>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  <cell r="Y450">
            <v>1.7</v>
          </cell>
          <cell r="Z450">
            <v>1.4</v>
          </cell>
          <cell r="AA450">
            <v>1</v>
          </cell>
          <cell r="AB450">
            <v>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  <cell r="Y451">
            <v>1.3</v>
          </cell>
          <cell r="Z451">
            <v>1.3</v>
          </cell>
          <cell r="AA451">
            <v>1.1000000000000001</v>
          </cell>
          <cell r="AB451">
            <v>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  <cell r="Y452">
            <v>1.7</v>
          </cell>
          <cell r="Z452">
            <v>1.4</v>
          </cell>
          <cell r="AA452">
            <v>1</v>
          </cell>
          <cell r="AB452">
            <v>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  <cell r="Y453">
            <v>1.3</v>
          </cell>
          <cell r="Z453">
            <v>1.3</v>
          </cell>
          <cell r="AA453">
            <v>1.1000000000000001</v>
          </cell>
          <cell r="AB453">
            <v>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  <cell r="Y454">
            <v>1.7</v>
          </cell>
          <cell r="Z454">
            <v>1.4</v>
          </cell>
          <cell r="AA454">
            <v>1</v>
          </cell>
          <cell r="AB454">
            <v>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  <cell r="Y455">
            <v>1.3</v>
          </cell>
          <cell r="Z455">
            <v>1.3</v>
          </cell>
          <cell r="AA455">
            <v>1.1000000000000001</v>
          </cell>
          <cell r="AB455">
            <v>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  <cell r="Y456">
            <v>1.7</v>
          </cell>
          <cell r="Z456">
            <v>1.4</v>
          </cell>
          <cell r="AA456">
            <v>1</v>
          </cell>
          <cell r="AB456">
            <v>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  <cell r="Y457">
            <v>1.3</v>
          </cell>
          <cell r="Z457">
            <v>1.3</v>
          </cell>
          <cell r="AA457">
            <v>1.1000000000000001</v>
          </cell>
          <cell r="AB457">
            <v>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  <cell r="Y458">
            <v>1.7</v>
          </cell>
          <cell r="Z458">
            <v>1.4</v>
          </cell>
          <cell r="AA458">
            <v>1</v>
          </cell>
          <cell r="AB458">
            <v>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  <cell r="Y459">
            <v>1.3</v>
          </cell>
          <cell r="Z459">
            <v>1.3</v>
          </cell>
          <cell r="AA459">
            <v>1.1000000000000001</v>
          </cell>
          <cell r="AB459">
            <v>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  <cell r="Y460">
            <v>1.7</v>
          </cell>
          <cell r="Z460">
            <v>1.4</v>
          </cell>
          <cell r="AA460">
            <v>1</v>
          </cell>
          <cell r="AB460">
            <v>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  <cell r="Y461">
            <v>1.3</v>
          </cell>
          <cell r="Z461">
            <v>1.3</v>
          </cell>
          <cell r="AA461">
            <v>1.1000000000000001</v>
          </cell>
          <cell r="AB461">
            <v>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  <cell r="Y462">
            <v>1.7</v>
          </cell>
          <cell r="Z462">
            <v>1.4</v>
          </cell>
          <cell r="AA462">
            <v>1</v>
          </cell>
          <cell r="AB462">
            <v>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  <cell r="Y463">
            <v>1.2</v>
          </cell>
          <cell r="Z463">
            <v>1.25</v>
          </cell>
          <cell r="AA463">
            <v>1.1499999999999999</v>
          </cell>
          <cell r="AB463">
            <v>0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  <cell r="Y464">
            <v>1.3</v>
          </cell>
          <cell r="Z464">
            <v>1.3</v>
          </cell>
          <cell r="AA464">
            <v>1.1000000000000001</v>
          </cell>
          <cell r="AB464">
            <v>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  <cell r="Y465">
            <v>1.7</v>
          </cell>
          <cell r="Z465">
            <v>1.4</v>
          </cell>
          <cell r="AA465">
            <v>1</v>
          </cell>
          <cell r="AB465">
            <v>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  <cell r="Y466">
            <v>1.3</v>
          </cell>
          <cell r="Z466">
            <v>1.3</v>
          </cell>
          <cell r="AA466">
            <v>1.1000000000000001</v>
          </cell>
          <cell r="AB466">
            <v>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  <cell r="Y467">
            <v>1.7</v>
          </cell>
          <cell r="Z467">
            <v>1.4</v>
          </cell>
          <cell r="AA467">
            <v>1</v>
          </cell>
          <cell r="AB467">
            <v>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  <cell r="Y468">
            <v>1.3</v>
          </cell>
          <cell r="Z468">
            <v>1.3</v>
          </cell>
          <cell r="AA468">
            <v>1.1000000000000001</v>
          </cell>
          <cell r="AB468">
            <v>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  <cell r="Y469">
            <v>1.7</v>
          </cell>
          <cell r="Z469">
            <v>1.4</v>
          </cell>
          <cell r="AA469">
            <v>1</v>
          </cell>
          <cell r="AB469">
            <v>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  <cell r="Y470">
            <v>1.2</v>
          </cell>
          <cell r="Z470">
            <v>1.25</v>
          </cell>
          <cell r="AA470">
            <v>1.1499999999999999</v>
          </cell>
          <cell r="AB470">
            <v>0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  <cell r="Y471">
            <v>1.3</v>
          </cell>
          <cell r="Z471">
            <v>1.3</v>
          </cell>
          <cell r="AA471">
            <v>1.1000000000000001</v>
          </cell>
          <cell r="AB471">
            <v>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  <cell r="Y472">
            <v>1.7</v>
          </cell>
          <cell r="Z472">
            <v>1.4</v>
          </cell>
          <cell r="AA472">
            <v>1</v>
          </cell>
          <cell r="AB472">
            <v>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  <cell r="Y473">
            <v>1.3</v>
          </cell>
          <cell r="Z473">
            <v>1.3</v>
          </cell>
          <cell r="AA473">
            <v>1.1000000000000001</v>
          </cell>
          <cell r="AB473">
            <v>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  <cell r="Y474">
            <v>1.7</v>
          </cell>
          <cell r="Z474">
            <v>1.4</v>
          </cell>
          <cell r="AA474">
            <v>1</v>
          </cell>
          <cell r="AB474">
            <v>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  <cell r="Y475">
            <v>1.3</v>
          </cell>
          <cell r="Z475">
            <v>1.3</v>
          </cell>
          <cell r="AA475">
            <v>1.1000000000000001</v>
          </cell>
          <cell r="AB475">
            <v>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  <cell r="Y476">
            <v>1.7</v>
          </cell>
          <cell r="Z476">
            <v>1.4</v>
          </cell>
          <cell r="AA476">
            <v>1</v>
          </cell>
          <cell r="AB476">
            <v>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  <cell r="Y477">
            <v>1.2</v>
          </cell>
          <cell r="Z477">
            <v>1.25</v>
          </cell>
          <cell r="AA477">
            <v>1.1499999999999999</v>
          </cell>
          <cell r="AB477">
            <v>0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  <cell r="Y478">
            <v>1.3</v>
          </cell>
          <cell r="Z478">
            <v>1.3</v>
          </cell>
          <cell r="AA478">
            <v>1.1000000000000001</v>
          </cell>
          <cell r="AB478">
            <v>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  <cell r="Y479">
            <v>1.7</v>
          </cell>
          <cell r="Z479">
            <v>1.4</v>
          </cell>
          <cell r="AA479">
            <v>1</v>
          </cell>
          <cell r="AB479">
            <v>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  <cell r="Y480">
            <v>1.3</v>
          </cell>
          <cell r="Z480">
            <v>1.3</v>
          </cell>
          <cell r="AA480">
            <v>1.1000000000000001</v>
          </cell>
          <cell r="AB480">
            <v>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  <cell r="Y481">
            <v>1.7</v>
          </cell>
          <cell r="Z481">
            <v>1.4</v>
          </cell>
          <cell r="AA481">
            <v>1</v>
          </cell>
          <cell r="AB481">
            <v>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  <cell r="Y482">
            <v>1.2</v>
          </cell>
          <cell r="Z482">
            <v>1.25</v>
          </cell>
          <cell r="AA482">
            <v>1.1499999999999999</v>
          </cell>
          <cell r="AB482">
            <v>0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  <cell r="Y483">
            <v>1.3</v>
          </cell>
          <cell r="Z483">
            <v>1.3</v>
          </cell>
          <cell r="AA483">
            <v>1.1000000000000001</v>
          </cell>
          <cell r="AB483">
            <v>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  <cell r="Y484">
            <v>1.7</v>
          </cell>
          <cell r="Z484">
            <v>1.4</v>
          </cell>
          <cell r="AA484">
            <v>1</v>
          </cell>
          <cell r="AB484">
            <v>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  <cell r="Y485">
            <v>1.3</v>
          </cell>
          <cell r="Z485">
            <v>1.3</v>
          </cell>
          <cell r="AA485">
            <v>1.1000000000000001</v>
          </cell>
          <cell r="AB485">
            <v>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  <cell r="Y486">
            <v>1.7</v>
          </cell>
          <cell r="Z486">
            <v>1.4</v>
          </cell>
          <cell r="AA486">
            <v>1</v>
          </cell>
          <cell r="AB486">
            <v>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  <cell r="Y487">
            <v>1.7</v>
          </cell>
          <cell r="Z487">
            <v>1.4</v>
          </cell>
          <cell r="AA487">
            <v>1</v>
          </cell>
          <cell r="AB487">
            <v>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  <cell r="Y488">
            <v>1.7</v>
          </cell>
          <cell r="Z488">
            <v>1.4</v>
          </cell>
          <cell r="AA488">
            <v>1</v>
          </cell>
          <cell r="AB488">
            <v>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  <cell r="Y489">
            <v>1.7</v>
          </cell>
          <cell r="Z489">
            <v>1.4</v>
          </cell>
          <cell r="AA489">
            <v>1</v>
          </cell>
          <cell r="AB489">
            <v>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  <cell r="Y490">
            <v>1.7</v>
          </cell>
          <cell r="Z490">
            <v>1.4</v>
          </cell>
          <cell r="AA490">
            <v>1</v>
          </cell>
          <cell r="AB490">
            <v>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  <cell r="Y491">
            <v>1.3</v>
          </cell>
          <cell r="Z491">
            <v>1.3</v>
          </cell>
          <cell r="AA491">
            <v>1.1000000000000001</v>
          </cell>
          <cell r="AB491">
            <v>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  <cell r="Y492">
            <v>1.7</v>
          </cell>
          <cell r="Z492">
            <v>1.4</v>
          </cell>
          <cell r="AA492">
            <v>1</v>
          </cell>
          <cell r="AB492">
            <v>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  <cell r="Y493">
            <v>1.3</v>
          </cell>
          <cell r="Z493">
            <v>1.3</v>
          </cell>
          <cell r="AA493">
            <v>1.1000000000000001</v>
          </cell>
          <cell r="AB493">
            <v>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  <cell r="Y494">
            <v>1.7</v>
          </cell>
          <cell r="Z494">
            <v>1.4</v>
          </cell>
          <cell r="AA494">
            <v>1</v>
          </cell>
          <cell r="AB494">
            <v>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  <cell r="Y495">
            <v>1.3</v>
          </cell>
          <cell r="Z495">
            <v>1.3</v>
          </cell>
          <cell r="AA495">
            <v>1.1000000000000001</v>
          </cell>
          <cell r="AB495">
            <v>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  <cell r="Y496">
            <v>1.7</v>
          </cell>
          <cell r="Z496">
            <v>1.4</v>
          </cell>
          <cell r="AA496">
            <v>1</v>
          </cell>
          <cell r="AB496">
            <v>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  <cell r="Y497">
            <v>1.2</v>
          </cell>
          <cell r="Z497">
            <v>1.25</v>
          </cell>
          <cell r="AA497">
            <v>1.1499999999999999</v>
          </cell>
          <cell r="AB497">
            <v>0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  <cell r="Y498">
            <v>1.3</v>
          </cell>
          <cell r="Z498">
            <v>1.3</v>
          </cell>
          <cell r="AA498">
            <v>1.1000000000000001</v>
          </cell>
          <cell r="AB498">
            <v>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  <cell r="Y499">
            <v>1.7</v>
          </cell>
          <cell r="Z499">
            <v>1.4</v>
          </cell>
          <cell r="AA499">
            <v>1</v>
          </cell>
          <cell r="AB499">
            <v>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  <cell r="Y500">
            <v>1.3</v>
          </cell>
          <cell r="Z500">
            <v>1.3</v>
          </cell>
          <cell r="AA500">
            <v>1.1000000000000001</v>
          </cell>
          <cell r="AB500">
            <v>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  <cell r="Y501">
            <v>1.7</v>
          </cell>
          <cell r="Z501">
            <v>1.4</v>
          </cell>
          <cell r="AA501">
            <v>1</v>
          </cell>
          <cell r="AB501">
            <v>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  <cell r="Y502">
            <v>1.7</v>
          </cell>
          <cell r="Z502">
            <v>1.4</v>
          </cell>
          <cell r="AA502">
            <v>1</v>
          </cell>
          <cell r="AB502">
            <v>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  <cell r="Y503">
            <v>1.3</v>
          </cell>
          <cell r="Z503">
            <v>1.3</v>
          </cell>
          <cell r="AA503">
            <v>1.1000000000000001</v>
          </cell>
          <cell r="AB503">
            <v>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  <cell r="Y504">
            <v>1.7</v>
          </cell>
          <cell r="Z504">
            <v>1.4</v>
          </cell>
          <cell r="AA504">
            <v>1</v>
          </cell>
          <cell r="AB504">
            <v>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  <cell r="Y505">
            <v>1.3</v>
          </cell>
          <cell r="Z505">
            <v>1.3</v>
          </cell>
          <cell r="AA505">
            <v>1.1000000000000001</v>
          </cell>
          <cell r="AB505">
            <v>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  <cell r="Y506">
            <v>1.7</v>
          </cell>
          <cell r="Z506">
            <v>1.4</v>
          </cell>
          <cell r="AA506">
            <v>1</v>
          </cell>
          <cell r="AB506">
            <v>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  <cell r="Y507">
            <v>1.3</v>
          </cell>
          <cell r="Z507">
            <v>1.3</v>
          </cell>
          <cell r="AA507">
            <v>1.1000000000000001</v>
          </cell>
          <cell r="AB507">
            <v>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  <cell r="Y508">
            <v>1.7</v>
          </cell>
          <cell r="Z508">
            <v>1.4</v>
          </cell>
          <cell r="AA508">
            <v>1</v>
          </cell>
          <cell r="AB508">
            <v>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  <cell r="Y509">
            <v>1.3</v>
          </cell>
          <cell r="Z509">
            <v>1.3</v>
          </cell>
          <cell r="AA509">
            <v>1.1000000000000001</v>
          </cell>
          <cell r="AB509">
            <v>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  <cell r="Y510">
            <v>1.7</v>
          </cell>
          <cell r="Z510">
            <v>1.4</v>
          </cell>
          <cell r="AA510">
            <v>1</v>
          </cell>
          <cell r="AB510">
            <v>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  <cell r="Y511">
            <v>1.3</v>
          </cell>
          <cell r="Z511">
            <v>1.3</v>
          </cell>
          <cell r="AA511">
            <v>1.1000000000000001</v>
          </cell>
          <cell r="AB511">
            <v>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  <cell r="Y512">
            <v>1.7</v>
          </cell>
          <cell r="Z512">
            <v>1.4</v>
          </cell>
          <cell r="AA512">
            <v>1</v>
          </cell>
          <cell r="AB512">
            <v>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  <cell r="Y513">
            <v>1.3</v>
          </cell>
          <cell r="Z513">
            <v>1.3</v>
          </cell>
          <cell r="AA513">
            <v>1.1000000000000001</v>
          </cell>
          <cell r="AB513">
            <v>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  <cell r="Y514">
            <v>1.7</v>
          </cell>
          <cell r="Z514">
            <v>1.4</v>
          </cell>
          <cell r="AA514">
            <v>1</v>
          </cell>
          <cell r="AB514">
            <v>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  <cell r="Y515">
            <v>1.3</v>
          </cell>
          <cell r="Z515">
            <v>1.3</v>
          </cell>
          <cell r="AA515">
            <v>1.1000000000000001</v>
          </cell>
          <cell r="AB515">
            <v>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  <cell r="Y516">
            <v>1.7</v>
          </cell>
          <cell r="Z516">
            <v>1.4</v>
          </cell>
          <cell r="AA516">
            <v>1</v>
          </cell>
          <cell r="AB516">
            <v>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  <cell r="Y517">
            <v>1.3</v>
          </cell>
          <cell r="Z517">
            <v>1.3</v>
          </cell>
          <cell r="AA517">
            <v>1.1000000000000001</v>
          </cell>
          <cell r="AB517">
            <v>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  <cell r="Y518">
            <v>1.7</v>
          </cell>
          <cell r="Z518">
            <v>1.4</v>
          </cell>
          <cell r="AA518">
            <v>1</v>
          </cell>
          <cell r="AB518">
            <v>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  <cell r="Y519">
            <v>1.3</v>
          </cell>
          <cell r="Z519">
            <v>1.3</v>
          </cell>
          <cell r="AA519">
            <v>1.1000000000000001</v>
          </cell>
          <cell r="AB519">
            <v>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  <cell r="Y520">
            <v>1.7</v>
          </cell>
          <cell r="Z520">
            <v>1.4</v>
          </cell>
          <cell r="AA520">
            <v>1</v>
          </cell>
          <cell r="AB520">
            <v>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  <cell r="Y521">
            <v>1.7</v>
          </cell>
          <cell r="Z521">
            <v>1.4</v>
          </cell>
          <cell r="AA521">
            <v>1</v>
          </cell>
          <cell r="AB521">
            <v>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  <cell r="Y522">
            <v>1.7</v>
          </cell>
          <cell r="Z522">
            <v>1.4</v>
          </cell>
          <cell r="AA522">
            <v>1</v>
          </cell>
          <cell r="AB522">
            <v>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  <cell r="Y523">
            <v>1.7</v>
          </cell>
          <cell r="Z523">
            <v>1.4</v>
          </cell>
          <cell r="AA523">
            <v>1</v>
          </cell>
          <cell r="AB523">
            <v>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  <cell r="Y524">
            <v>1.7</v>
          </cell>
          <cell r="Z524">
            <v>1.4</v>
          </cell>
          <cell r="AA524">
            <v>1</v>
          </cell>
          <cell r="AB524">
            <v>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  <cell r="Y525">
            <v>1.7</v>
          </cell>
          <cell r="Z525">
            <v>1.4</v>
          </cell>
          <cell r="AA525">
            <v>1</v>
          </cell>
          <cell r="AB525">
            <v>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  <cell r="Y526">
            <v>1.3</v>
          </cell>
          <cell r="Z526">
            <v>1.3</v>
          </cell>
          <cell r="AA526">
            <v>1.1000000000000001</v>
          </cell>
          <cell r="AB526">
            <v>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  <cell r="Y527">
            <v>1.7</v>
          </cell>
          <cell r="Z527">
            <v>1.4</v>
          </cell>
          <cell r="AA527">
            <v>1</v>
          </cell>
          <cell r="AB527">
            <v>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  <cell r="Y528">
            <v>1.3</v>
          </cell>
          <cell r="Z528">
            <v>1.3</v>
          </cell>
          <cell r="AA528">
            <v>1.1000000000000001</v>
          </cell>
          <cell r="AB528">
            <v>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  <cell r="Y529">
            <v>1.7</v>
          </cell>
          <cell r="Z529">
            <v>1.4</v>
          </cell>
          <cell r="AA529">
            <v>1</v>
          </cell>
          <cell r="AB529">
            <v>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  <cell r="Y530">
            <v>1</v>
          </cell>
          <cell r="Z530">
            <v>1</v>
          </cell>
          <cell r="AA530">
            <v>1</v>
          </cell>
          <cell r="AB530">
            <v>0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  <cell r="Y531">
            <v>1</v>
          </cell>
          <cell r="Z531">
            <v>1</v>
          </cell>
          <cell r="AA531">
            <v>1</v>
          </cell>
          <cell r="AB531">
            <v>0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  <cell r="Y532">
            <v>1</v>
          </cell>
          <cell r="Z532">
            <v>1</v>
          </cell>
          <cell r="AA532">
            <v>1</v>
          </cell>
          <cell r="AB532">
            <v>0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  <cell r="Y533">
            <v>1</v>
          </cell>
          <cell r="Z533">
            <v>1</v>
          </cell>
          <cell r="AA533">
            <v>1</v>
          </cell>
          <cell r="AB533">
            <v>0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  <cell r="Y534">
            <v>1</v>
          </cell>
          <cell r="Z534">
            <v>1</v>
          </cell>
          <cell r="AA534">
            <v>1</v>
          </cell>
          <cell r="AB534">
            <v>0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  <cell r="Y535">
            <v>1</v>
          </cell>
          <cell r="Z535">
            <v>1</v>
          </cell>
          <cell r="AA535">
            <v>1</v>
          </cell>
          <cell r="AB535">
            <v>0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  <cell r="Y536">
            <v>1</v>
          </cell>
          <cell r="Z536">
            <v>1</v>
          </cell>
          <cell r="AA536">
            <v>1</v>
          </cell>
          <cell r="AB536">
            <v>0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  <cell r="Y537">
            <v>1</v>
          </cell>
          <cell r="Z537">
            <v>1</v>
          </cell>
          <cell r="AA537">
            <v>1</v>
          </cell>
          <cell r="AB537">
            <v>0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  <cell r="Y538">
            <v>1.2</v>
          </cell>
          <cell r="Z538">
            <v>1.25</v>
          </cell>
          <cell r="AA538">
            <v>1.1499999999999999</v>
          </cell>
          <cell r="AB538">
            <v>0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  <cell r="Y539">
            <v>1.2</v>
          </cell>
          <cell r="Z539">
            <v>1.25</v>
          </cell>
          <cell r="AA539">
            <v>1.1499999999999999</v>
          </cell>
          <cell r="AB539">
            <v>0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  <cell r="Y540">
            <v>1.3</v>
          </cell>
          <cell r="Z540">
            <v>1.3</v>
          </cell>
          <cell r="AA540">
            <v>1.1000000000000001</v>
          </cell>
          <cell r="AB540">
            <v>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  <cell r="Y541">
            <v>1.7</v>
          </cell>
          <cell r="Z541">
            <v>1.4</v>
          </cell>
          <cell r="AA541">
            <v>1</v>
          </cell>
          <cell r="AB541">
            <v>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  <cell r="Y542">
            <v>1.3</v>
          </cell>
          <cell r="Z542">
            <v>1.3</v>
          </cell>
          <cell r="AA542">
            <v>1.1000000000000001</v>
          </cell>
          <cell r="AB542">
            <v>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  <cell r="Y543">
            <v>1.7</v>
          </cell>
          <cell r="Z543">
            <v>1.4</v>
          </cell>
          <cell r="AA543">
            <v>1</v>
          </cell>
          <cell r="AB543">
            <v>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  <cell r="Y544">
            <v>1.3</v>
          </cell>
          <cell r="Z544">
            <v>1.3</v>
          </cell>
          <cell r="AA544">
            <v>1.1000000000000001</v>
          </cell>
          <cell r="AB544">
            <v>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  <cell r="Y545">
            <v>1.7</v>
          </cell>
          <cell r="Z545">
            <v>1.4</v>
          </cell>
          <cell r="AA545">
            <v>1</v>
          </cell>
          <cell r="AB545">
            <v>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  <cell r="Y546">
            <v>1.3</v>
          </cell>
          <cell r="Z546">
            <v>1.3</v>
          </cell>
          <cell r="AA546">
            <v>1.1000000000000001</v>
          </cell>
          <cell r="AB546">
            <v>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  <cell r="Y547">
            <v>1.7</v>
          </cell>
          <cell r="Z547">
            <v>1.4</v>
          </cell>
          <cell r="AA547">
            <v>1</v>
          </cell>
          <cell r="AB547">
            <v>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  <cell r="Y548">
            <v>1.2</v>
          </cell>
          <cell r="Z548">
            <v>1.25</v>
          </cell>
          <cell r="AA548">
            <v>1.1499999999999999</v>
          </cell>
          <cell r="AB548">
            <v>0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  <cell r="Y549">
            <v>1.3</v>
          </cell>
          <cell r="Z549">
            <v>1.3</v>
          </cell>
          <cell r="AA549">
            <v>1.1000000000000001</v>
          </cell>
          <cell r="AB549">
            <v>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  <cell r="Y550">
            <v>1.2</v>
          </cell>
          <cell r="Z550">
            <v>1.25</v>
          </cell>
          <cell r="AA550">
            <v>1.1499999999999999</v>
          </cell>
          <cell r="AB550">
            <v>0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  <cell r="Y551">
            <v>1.3</v>
          </cell>
          <cell r="Z551">
            <v>1.3</v>
          </cell>
          <cell r="AA551">
            <v>1.1000000000000001</v>
          </cell>
          <cell r="AB551">
            <v>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  <cell r="Y552">
            <v>1.2</v>
          </cell>
          <cell r="Z552">
            <v>1.25</v>
          </cell>
          <cell r="AA552">
            <v>1.1499999999999999</v>
          </cell>
          <cell r="AB552">
            <v>0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  <cell r="Y553">
            <v>1.3</v>
          </cell>
          <cell r="Z553">
            <v>1.3</v>
          </cell>
          <cell r="AA553">
            <v>1.1000000000000001</v>
          </cell>
          <cell r="AB553">
            <v>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  <cell r="Y554">
            <v>1.3</v>
          </cell>
          <cell r="Z554">
            <v>1.3</v>
          </cell>
          <cell r="AA554">
            <v>1.1000000000000001</v>
          </cell>
          <cell r="AB554">
            <v>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  <cell r="Y555">
            <v>1.7</v>
          </cell>
          <cell r="Z555">
            <v>1.4</v>
          </cell>
          <cell r="AA555">
            <v>1</v>
          </cell>
          <cell r="AB555">
            <v>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  <cell r="Y556">
            <v>1.3</v>
          </cell>
          <cell r="Z556">
            <v>1.3</v>
          </cell>
          <cell r="AA556">
            <v>1.1000000000000001</v>
          </cell>
          <cell r="AB556">
            <v>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  <cell r="Y557">
            <v>1.7</v>
          </cell>
          <cell r="Z557">
            <v>1.4</v>
          </cell>
          <cell r="AA557">
            <v>1</v>
          </cell>
          <cell r="AB557">
            <v>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  <cell r="Y558">
            <v>1.2</v>
          </cell>
          <cell r="Z558">
            <v>1.25</v>
          </cell>
          <cell r="AA558">
            <v>1.1499999999999999</v>
          </cell>
          <cell r="AB558">
            <v>0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  <cell r="Y559">
            <v>1.3</v>
          </cell>
          <cell r="Z559">
            <v>1.3</v>
          </cell>
          <cell r="AA559">
            <v>1.1000000000000001</v>
          </cell>
          <cell r="AB559">
            <v>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  <cell r="Y560">
            <v>1.7</v>
          </cell>
          <cell r="Z560">
            <v>1.4</v>
          </cell>
          <cell r="AA560">
            <v>1</v>
          </cell>
          <cell r="AB560">
            <v>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  <cell r="Y561">
            <v>1.1000000000000001</v>
          </cell>
          <cell r="Z561">
            <v>1.2</v>
          </cell>
          <cell r="AA561">
            <v>1.2</v>
          </cell>
          <cell r="AB561">
            <v>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  <cell r="Y562">
            <v>1.1000000000000001</v>
          </cell>
          <cell r="Z562">
            <v>1.2</v>
          </cell>
          <cell r="AA562">
            <v>1.2</v>
          </cell>
          <cell r="AB562">
            <v>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  <cell r="Y563">
            <v>1.1000000000000001</v>
          </cell>
          <cell r="Z563">
            <v>1.2</v>
          </cell>
          <cell r="AA563">
            <v>1.2</v>
          </cell>
          <cell r="AB563">
            <v>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  <cell r="Y564">
            <v>1.1000000000000001</v>
          </cell>
          <cell r="Z564">
            <v>1.2</v>
          </cell>
          <cell r="AA564">
            <v>1.2</v>
          </cell>
          <cell r="AB564">
            <v>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  <cell r="Y565">
            <v>1.7</v>
          </cell>
          <cell r="Z565">
            <v>1.4</v>
          </cell>
          <cell r="AA565">
            <v>1</v>
          </cell>
          <cell r="AB565">
            <v>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  <cell r="Y566">
            <v>1.7</v>
          </cell>
          <cell r="Z566">
            <v>1.4</v>
          </cell>
          <cell r="AA566">
            <v>1</v>
          </cell>
          <cell r="AB566">
            <v>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  <cell r="Y567">
            <v>1.7</v>
          </cell>
          <cell r="Z567">
            <v>1.4</v>
          </cell>
          <cell r="AA567">
            <v>1</v>
          </cell>
          <cell r="AB567">
            <v>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  <cell r="Y568">
            <v>1.7</v>
          </cell>
          <cell r="Z568">
            <v>1.4</v>
          </cell>
          <cell r="AA568">
            <v>1</v>
          </cell>
          <cell r="AB568">
            <v>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  <cell r="Y569">
            <v>1.7</v>
          </cell>
          <cell r="Z569">
            <v>1.4</v>
          </cell>
          <cell r="AA569">
            <v>1</v>
          </cell>
          <cell r="AB569">
            <v>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  <cell r="Y570">
            <v>1.7</v>
          </cell>
          <cell r="Z570">
            <v>1.4</v>
          </cell>
          <cell r="AA570">
            <v>1</v>
          </cell>
          <cell r="AB570">
            <v>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  <cell r="Y571">
            <v>1.7</v>
          </cell>
          <cell r="Z571">
            <v>1.4</v>
          </cell>
          <cell r="AA571">
            <v>1</v>
          </cell>
          <cell r="AB571">
            <v>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  <cell r="Y572">
            <v>1.2</v>
          </cell>
          <cell r="Z572">
            <v>1.25</v>
          </cell>
          <cell r="AA572">
            <v>1.1499999999999999</v>
          </cell>
          <cell r="AB572">
            <v>0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  <cell r="Y573">
            <v>1.2</v>
          </cell>
          <cell r="Z573">
            <v>1.25</v>
          </cell>
          <cell r="AA573">
            <v>1.1499999999999999</v>
          </cell>
          <cell r="AB573">
            <v>0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  <cell r="Y574">
            <v>1.3</v>
          </cell>
          <cell r="Z574">
            <v>1.3</v>
          </cell>
          <cell r="AA574">
            <v>1.1000000000000001</v>
          </cell>
          <cell r="AB574">
            <v>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  <cell r="Y575">
            <v>1.7</v>
          </cell>
          <cell r="Z575">
            <v>1.4</v>
          </cell>
          <cell r="AA575">
            <v>1</v>
          </cell>
          <cell r="AB575">
            <v>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  <cell r="Y576">
            <v>1.3</v>
          </cell>
          <cell r="Z576">
            <v>1.3</v>
          </cell>
          <cell r="AA576">
            <v>1.1000000000000001</v>
          </cell>
          <cell r="AB576">
            <v>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  <cell r="Y577">
            <v>1.7</v>
          </cell>
          <cell r="Z577">
            <v>1.4</v>
          </cell>
          <cell r="AA577">
            <v>1</v>
          </cell>
          <cell r="AB577">
            <v>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  <cell r="Y578">
            <v>1.3</v>
          </cell>
          <cell r="Z578">
            <v>1.3</v>
          </cell>
          <cell r="AA578">
            <v>1.1000000000000001</v>
          </cell>
          <cell r="AB578">
            <v>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  <cell r="Y579">
            <v>1.7</v>
          </cell>
          <cell r="Z579">
            <v>1.4</v>
          </cell>
          <cell r="AA579">
            <v>1</v>
          </cell>
          <cell r="AB579">
            <v>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  <cell r="Y580">
            <v>1.3</v>
          </cell>
          <cell r="Z580">
            <v>1.3</v>
          </cell>
          <cell r="AA580">
            <v>1.1000000000000001</v>
          </cell>
          <cell r="AB580">
            <v>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  <cell r="Y581">
            <v>1.7</v>
          </cell>
          <cell r="Z581">
            <v>1.4</v>
          </cell>
          <cell r="AA581">
            <v>1</v>
          </cell>
          <cell r="AB581">
            <v>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  <cell r="Y582">
            <v>1.3</v>
          </cell>
          <cell r="Z582">
            <v>1.3</v>
          </cell>
          <cell r="AA582">
            <v>1.1000000000000001</v>
          </cell>
          <cell r="AB582">
            <v>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  <cell r="Y583">
            <v>1.7</v>
          </cell>
          <cell r="Z583">
            <v>1.4</v>
          </cell>
          <cell r="AA583">
            <v>1</v>
          </cell>
          <cell r="AB583">
            <v>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  <cell r="Y584">
            <v>1.3</v>
          </cell>
          <cell r="Z584">
            <v>1.3</v>
          </cell>
          <cell r="AA584">
            <v>1.1000000000000001</v>
          </cell>
          <cell r="AB584">
            <v>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  <cell r="Y585">
            <v>1.7</v>
          </cell>
          <cell r="Z585">
            <v>1.4</v>
          </cell>
          <cell r="AA585">
            <v>1</v>
          </cell>
          <cell r="AB585">
            <v>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  <cell r="Y586">
            <v>1.2</v>
          </cell>
          <cell r="Z586">
            <v>1.25</v>
          </cell>
          <cell r="AA586">
            <v>1.1499999999999999</v>
          </cell>
          <cell r="AB586">
            <v>0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  <cell r="Y587">
            <v>1.3</v>
          </cell>
          <cell r="Z587">
            <v>1.3</v>
          </cell>
          <cell r="AA587">
            <v>1.1000000000000001</v>
          </cell>
          <cell r="AB587">
            <v>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  <cell r="Y588">
            <v>1.7</v>
          </cell>
          <cell r="Z588">
            <v>1.4</v>
          </cell>
          <cell r="AA588">
            <v>1</v>
          </cell>
          <cell r="AB588">
            <v>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  <cell r="Y589">
            <v>1.2</v>
          </cell>
          <cell r="Z589">
            <v>1.25</v>
          </cell>
          <cell r="AA589">
            <v>1.1499999999999999</v>
          </cell>
          <cell r="AB589">
            <v>0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  <cell r="Y590">
            <v>1.3</v>
          </cell>
          <cell r="Z590">
            <v>1.3</v>
          </cell>
          <cell r="AA590">
            <v>1.1000000000000001</v>
          </cell>
          <cell r="AB590">
            <v>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  <cell r="Y591">
            <v>1.7</v>
          </cell>
          <cell r="Z591">
            <v>1.4</v>
          </cell>
          <cell r="AA591">
            <v>1</v>
          </cell>
          <cell r="AB591">
            <v>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  <cell r="Y592">
            <v>1.2</v>
          </cell>
          <cell r="Z592">
            <v>1.25</v>
          </cell>
          <cell r="AA592">
            <v>1.1499999999999999</v>
          </cell>
          <cell r="AB592">
            <v>0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  <cell r="Y593">
            <v>1.3</v>
          </cell>
          <cell r="Z593">
            <v>1.3</v>
          </cell>
          <cell r="AA593">
            <v>1.1000000000000001</v>
          </cell>
          <cell r="AB593">
            <v>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  <cell r="Y594">
            <v>1.7</v>
          </cell>
          <cell r="Z594">
            <v>1.4</v>
          </cell>
          <cell r="AA594">
            <v>1</v>
          </cell>
          <cell r="AB594">
            <v>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  <cell r="Y595">
            <v>1.3</v>
          </cell>
          <cell r="Z595">
            <v>1.3</v>
          </cell>
          <cell r="AA595">
            <v>1.1000000000000001</v>
          </cell>
          <cell r="AB595">
            <v>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  <cell r="Y596">
            <v>1.7</v>
          </cell>
          <cell r="Z596">
            <v>1.4</v>
          </cell>
          <cell r="AA596">
            <v>1</v>
          </cell>
          <cell r="AB596">
            <v>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  <cell r="Y597">
            <v>1.2</v>
          </cell>
          <cell r="Z597">
            <v>1.25</v>
          </cell>
          <cell r="AA597">
            <v>1.1499999999999999</v>
          </cell>
          <cell r="AB597">
            <v>0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  <cell r="Y598">
            <v>1.3</v>
          </cell>
          <cell r="Z598">
            <v>1.3</v>
          </cell>
          <cell r="AA598">
            <v>1.1000000000000001</v>
          </cell>
          <cell r="AB598">
            <v>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  <cell r="Y599">
            <v>1.7</v>
          </cell>
          <cell r="Z599">
            <v>1.4</v>
          </cell>
          <cell r="AA599">
            <v>1</v>
          </cell>
          <cell r="AB599">
            <v>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  <cell r="Y600">
            <v>1.2</v>
          </cell>
          <cell r="Z600">
            <v>1.25</v>
          </cell>
          <cell r="AA600">
            <v>1.1499999999999999</v>
          </cell>
          <cell r="AB600">
            <v>0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  <cell r="Y601">
            <v>1.3</v>
          </cell>
          <cell r="Z601">
            <v>1.3</v>
          </cell>
          <cell r="AA601">
            <v>1.1000000000000001</v>
          </cell>
          <cell r="AB601">
            <v>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  <cell r="Y602">
            <v>1.7</v>
          </cell>
          <cell r="Z602">
            <v>1.4</v>
          </cell>
          <cell r="AA602">
            <v>1</v>
          </cell>
          <cell r="AB602">
            <v>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  <cell r="Y603">
            <v>1.3</v>
          </cell>
          <cell r="Z603">
            <v>1.3</v>
          </cell>
          <cell r="AA603">
            <v>1.1000000000000001</v>
          </cell>
          <cell r="AB603">
            <v>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  <cell r="Y604">
            <v>1.7</v>
          </cell>
          <cell r="Z604">
            <v>1.4</v>
          </cell>
          <cell r="AA604">
            <v>1</v>
          </cell>
          <cell r="AB604">
            <v>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  <cell r="Y605">
            <v>1.2</v>
          </cell>
          <cell r="Z605">
            <v>1.25</v>
          </cell>
          <cell r="AA605">
            <v>1.1499999999999999</v>
          </cell>
          <cell r="AB605">
            <v>0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  <cell r="Y606">
            <v>1.3</v>
          </cell>
          <cell r="Z606">
            <v>1.3</v>
          </cell>
          <cell r="AA606">
            <v>1.1000000000000001</v>
          </cell>
          <cell r="AB606">
            <v>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  <cell r="Y607">
            <v>1.7</v>
          </cell>
          <cell r="Z607">
            <v>1.4</v>
          </cell>
          <cell r="AA607">
            <v>1</v>
          </cell>
          <cell r="AB607">
            <v>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  <cell r="Y608">
            <v>1.1000000000000001</v>
          </cell>
          <cell r="Z608">
            <v>1.2</v>
          </cell>
          <cell r="AA608">
            <v>1.2</v>
          </cell>
          <cell r="AB608">
            <v>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  <cell r="Y609">
            <v>1.1000000000000001</v>
          </cell>
          <cell r="Z609">
            <v>1.2</v>
          </cell>
          <cell r="AA609">
            <v>1.2</v>
          </cell>
          <cell r="AB609">
            <v>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  <cell r="Y610">
            <v>1.1000000000000001</v>
          </cell>
          <cell r="Z610">
            <v>1.2</v>
          </cell>
          <cell r="AA610">
            <v>1.2</v>
          </cell>
          <cell r="AB610">
            <v>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  <cell r="Y611">
            <v>1.1000000000000001</v>
          </cell>
          <cell r="Z611">
            <v>1.2</v>
          </cell>
          <cell r="AA611">
            <v>1.2</v>
          </cell>
          <cell r="AB611">
            <v>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  <cell r="Y612">
            <v>1.1000000000000001</v>
          </cell>
          <cell r="Z612">
            <v>1.2</v>
          </cell>
          <cell r="AA612">
            <v>1.2</v>
          </cell>
          <cell r="AB612">
            <v>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  <cell r="Y613">
            <v>1.1000000000000001</v>
          </cell>
          <cell r="Z613">
            <v>1.2</v>
          </cell>
          <cell r="AA613">
            <v>1.2</v>
          </cell>
          <cell r="AB613">
            <v>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  <cell r="Y614">
            <v>1.1000000000000001</v>
          </cell>
          <cell r="Z614">
            <v>1.2</v>
          </cell>
          <cell r="AA614">
            <v>1.2</v>
          </cell>
          <cell r="AB614">
            <v>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  <cell r="Y615">
            <v>1.1000000000000001</v>
          </cell>
          <cell r="Z615">
            <v>1.2</v>
          </cell>
          <cell r="AA615">
            <v>1.2</v>
          </cell>
          <cell r="AB615">
            <v>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  <cell r="Y616">
            <v>1.7</v>
          </cell>
          <cell r="Z616">
            <v>1.4</v>
          </cell>
          <cell r="AA616">
            <v>1</v>
          </cell>
          <cell r="AB616">
            <v>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  <cell r="Y617">
            <v>1.7</v>
          </cell>
          <cell r="Z617">
            <v>1.4</v>
          </cell>
          <cell r="AA617">
            <v>1</v>
          </cell>
          <cell r="AB617">
            <v>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  <cell r="Y618">
            <v>1.7</v>
          </cell>
          <cell r="Z618">
            <v>1.4</v>
          </cell>
          <cell r="AA618">
            <v>1</v>
          </cell>
          <cell r="AB618">
            <v>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  <cell r="Y619">
            <v>1.7</v>
          </cell>
          <cell r="Z619">
            <v>1.4</v>
          </cell>
          <cell r="AA619">
            <v>1</v>
          </cell>
          <cell r="AB619">
            <v>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  <cell r="Y620">
            <v>1.3</v>
          </cell>
          <cell r="Z620">
            <v>1.3</v>
          </cell>
          <cell r="AA620">
            <v>1.1000000000000001</v>
          </cell>
          <cell r="AB620">
            <v>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  <cell r="Y621">
            <v>1.7</v>
          </cell>
          <cell r="Z621">
            <v>1.4</v>
          </cell>
          <cell r="AA621">
            <v>1</v>
          </cell>
          <cell r="AB621">
            <v>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  <cell r="Y622">
            <v>1.7</v>
          </cell>
          <cell r="Z622">
            <v>1.4</v>
          </cell>
          <cell r="AA622">
            <v>1</v>
          </cell>
          <cell r="AB622">
            <v>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  <cell r="Y623">
            <v>1.3</v>
          </cell>
          <cell r="Z623">
            <v>1.3</v>
          </cell>
          <cell r="AA623">
            <v>1.1000000000000001</v>
          </cell>
          <cell r="AB623">
            <v>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  <cell r="Y624">
            <v>1.7</v>
          </cell>
          <cell r="Z624">
            <v>1.4</v>
          </cell>
          <cell r="AA624">
            <v>1</v>
          </cell>
          <cell r="AB624">
            <v>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  <cell r="Y625">
            <v>1.7</v>
          </cell>
          <cell r="Z625">
            <v>1.4</v>
          </cell>
          <cell r="AA625">
            <v>1</v>
          </cell>
          <cell r="AB625">
            <v>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  <cell r="Y626">
            <v>1.3</v>
          </cell>
          <cell r="Z626">
            <v>1.3</v>
          </cell>
          <cell r="AA626">
            <v>1.1000000000000001</v>
          </cell>
          <cell r="AB626">
            <v>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  <cell r="Y627">
            <v>1.7</v>
          </cell>
          <cell r="Z627">
            <v>1.4</v>
          </cell>
          <cell r="AA627">
            <v>1</v>
          </cell>
          <cell r="AB627">
            <v>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  <cell r="Y628">
            <v>1.7</v>
          </cell>
          <cell r="Z628">
            <v>1.4</v>
          </cell>
          <cell r="AA628">
            <v>1</v>
          </cell>
          <cell r="AB628">
            <v>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  <cell r="Y629">
            <v>1.7</v>
          </cell>
          <cell r="Z629">
            <v>1.4</v>
          </cell>
          <cell r="AA629">
            <v>1</v>
          </cell>
          <cell r="AB629">
            <v>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  <cell r="Y630">
            <v>1.7</v>
          </cell>
          <cell r="Z630">
            <v>1.4</v>
          </cell>
          <cell r="AA630">
            <v>1</v>
          </cell>
          <cell r="AB630">
            <v>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  <cell r="Y631">
            <v>1.7</v>
          </cell>
          <cell r="Z631">
            <v>1.4</v>
          </cell>
          <cell r="AA631">
            <v>1</v>
          </cell>
          <cell r="AB631">
            <v>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  <cell r="Y632">
            <v>1.7</v>
          </cell>
          <cell r="Z632">
            <v>1.4</v>
          </cell>
          <cell r="AA632">
            <v>1</v>
          </cell>
          <cell r="AB632">
            <v>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  <cell r="Y633">
            <v>1.7</v>
          </cell>
          <cell r="Z633">
            <v>1.4</v>
          </cell>
          <cell r="AA633">
            <v>1</v>
          </cell>
          <cell r="AB633">
            <v>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  <cell r="Y634">
            <v>1.7</v>
          </cell>
          <cell r="Z634">
            <v>1.4</v>
          </cell>
          <cell r="AA634">
            <v>1</v>
          </cell>
          <cell r="AB634">
            <v>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  <cell r="Y635">
            <v>1.3</v>
          </cell>
          <cell r="Z635">
            <v>1.3</v>
          </cell>
          <cell r="AA635">
            <v>1.1000000000000001</v>
          </cell>
          <cell r="AB635">
            <v>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  <cell r="Y636">
            <v>1.7</v>
          </cell>
          <cell r="Z636">
            <v>1.4</v>
          </cell>
          <cell r="AA636">
            <v>1</v>
          </cell>
          <cell r="AB636">
            <v>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  <cell r="Y637">
            <v>1.2</v>
          </cell>
          <cell r="Z637">
            <v>1.25</v>
          </cell>
          <cell r="AA637">
            <v>1.1499999999999999</v>
          </cell>
          <cell r="AB637">
            <v>0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  <cell r="Y638">
            <v>1.3</v>
          </cell>
          <cell r="Z638">
            <v>1.3</v>
          </cell>
          <cell r="AA638">
            <v>1.1000000000000001</v>
          </cell>
          <cell r="AB638">
            <v>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  <cell r="Y639">
            <v>1.7</v>
          </cell>
          <cell r="Z639">
            <v>1.4</v>
          </cell>
          <cell r="AA639">
            <v>1</v>
          </cell>
          <cell r="AB639">
            <v>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  <cell r="Y640">
            <v>1.3</v>
          </cell>
          <cell r="Z640">
            <v>1.3</v>
          </cell>
          <cell r="AA640">
            <v>1.1000000000000001</v>
          </cell>
          <cell r="AB640">
            <v>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  <cell r="Y641">
            <v>1.3</v>
          </cell>
          <cell r="Z641">
            <v>1.3</v>
          </cell>
          <cell r="AA641">
            <v>1.1000000000000001</v>
          </cell>
          <cell r="AB641">
            <v>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  <cell r="Y642">
            <v>1.3</v>
          </cell>
          <cell r="Z642">
            <v>1.3</v>
          </cell>
          <cell r="AA642">
            <v>1.1000000000000001</v>
          </cell>
          <cell r="AB642">
            <v>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  <cell r="Y643">
            <v>1.3</v>
          </cell>
          <cell r="Z643">
            <v>1.3</v>
          </cell>
          <cell r="AA643">
            <v>1.1000000000000001</v>
          </cell>
          <cell r="AB643">
            <v>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  <cell r="Y644">
            <v>1.7</v>
          </cell>
          <cell r="Z644">
            <v>1.4</v>
          </cell>
          <cell r="AA644">
            <v>1</v>
          </cell>
          <cell r="AB644">
            <v>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  <cell r="Y645">
            <v>1.3</v>
          </cell>
          <cell r="Z645">
            <v>1.3</v>
          </cell>
          <cell r="AA645">
            <v>1.1000000000000001</v>
          </cell>
          <cell r="AB645">
            <v>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  <cell r="Y646">
            <v>1.7</v>
          </cell>
          <cell r="Z646">
            <v>1.4</v>
          </cell>
          <cell r="AA646">
            <v>1</v>
          </cell>
          <cell r="AB646">
            <v>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  <cell r="Y647">
            <v>1.3</v>
          </cell>
          <cell r="Z647">
            <v>1.3</v>
          </cell>
          <cell r="AA647">
            <v>1.1000000000000001</v>
          </cell>
          <cell r="AB647">
            <v>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  <cell r="Y648">
            <v>1.7</v>
          </cell>
          <cell r="Z648">
            <v>1.4</v>
          </cell>
          <cell r="AA648">
            <v>1</v>
          </cell>
          <cell r="AB648">
            <v>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  <cell r="Y649">
            <v>1.3</v>
          </cell>
          <cell r="Z649">
            <v>1.3</v>
          </cell>
          <cell r="AA649">
            <v>1.1000000000000001</v>
          </cell>
          <cell r="AB649">
            <v>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  <cell r="Y650">
            <v>1.7</v>
          </cell>
          <cell r="Z650">
            <v>1.4</v>
          </cell>
          <cell r="AA650">
            <v>1</v>
          </cell>
          <cell r="AB650">
            <v>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  <cell r="Y651">
            <v>1.3</v>
          </cell>
          <cell r="Z651">
            <v>1.3</v>
          </cell>
          <cell r="AA651">
            <v>1.1000000000000001</v>
          </cell>
          <cell r="AB651">
            <v>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  <cell r="Y652">
            <v>1.7</v>
          </cell>
          <cell r="Z652">
            <v>1.4</v>
          </cell>
          <cell r="AA652">
            <v>1</v>
          </cell>
          <cell r="AB652">
            <v>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  <cell r="Y653">
            <v>1.3</v>
          </cell>
          <cell r="Z653">
            <v>1.3</v>
          </cell>
          <cell r="AA653">
            <v>1.1000000000000001</v>
          </cell>
          <cell r="AB653">
            <v>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  <cell r="Y654">
            <v>1.7</v>
          </cell>
          <cell r="Z654">
            <v>1.4</v>
          </cell>
          <cell r="AA654">
            <v>1</v>
          </cell>
          <cell r="AB654">
            <v>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  <cell r="Y655">
            <v>1.3</v>
          </cell>
          <cell r="Z655">
            <v>1.3</v>
          </cell>
          <cell r="AA655">
            <v>1.1000000000000001</v>
          </cell>
          <cell r="AB655">
            <v>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  <cell r="Y656">
            <v>1.7</v>
          </cell>
          <cell r="Z656">
            <v>1.4</v>
          </cell>
          <cell r="AA656">
            <v>1</v>
          </cell>
          <cell r="AB656">
            <v>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  <cell r="Y657">
            <v>1.3</v>
          </cell>
          <cell r="Z657">
            <v>1.3</v>
          </cell>
          <cell r="AA657">
            <v>1.1000000000000001</v>
          </cell>
          <cell r="AB657">
            <v>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  <cell r="Y658">
            <v>1.7</v>
          </cell>
          <cell r="Z658">
            <v>1.4</v>
          </cell>
          <cell r="AA658">
            <v>1</v>
          </cell>
          <cell r="AB658">
            <v>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  <cell r="Y659">
            <v>1.3</v>
          </cell>
          <cell r="Z659">
            <v>1.3</v>
          </cell>
          <cell r="AA659">
            <v>1.1000000000000001</v>
          </cell>
          <cell r="AB659">
            <v>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  <cell r="Y660">
            <v>1.7</v>
          </cell>
          <cell r="Z660">
            <v>1.4</v>
          </cell>
          <cell r="AA660">
            <v>1</v>
          </cell>
          <cell r="AB660">
            <v>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  <cell r="Y661">
            <v>1.3</v>
          </cell>
          <cell r="Z661">
            <v>1.3</v>
          </cell>
          <cell r="AA661">
            <v>1.1000000000000001</v>
          </cell>
          <cell r="AB661">
            <v>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  <cell r="Y662">
            <v>1.7</v>
          </cell>
          <cell r="Z662">
            <v>1.4</v>
          </cell>
          <cell r="AA662">
            <v>1</v>
          </cell>
          <cell r="AB662">
            <v>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  <cell r="Y663">
            <v>1.2</v>
          </cell>
          <cell r="Z663">
            <v>1.25</v>
          </cell>
          <cell r="AA663">
            <v>1.1499999999999999</v>
          </cell>
          <cell r="AB663">
            <v>0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  <cell r="Y664">
            <v>1.3</v>
          </cell>
          <cell r="Z664">
            <v>1.3</v>
          </cell>
          <cell r="AA664">
            <v>1.1000000000000001</v>
          </cell>
          <cell r="AB664">
            <v>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  <cell r="Y665">
            <v>1.7</v>
          </cell>
          <cell r="Z665">
            <v>1.4</v>
          </cell>
          <cell r="AA665">
            <v>1</v>
          </cell>
          <cell r="AB665">
            <v>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  <cell r="Y666">
            <v>1.2</v>
          </cell>
          <cell r="Z666">
            <v>1.25</v>
          </cell>
          <cell r="AA666">
            <v>1.1499999999999999</v>
          </cell>
          <cell r="AB666">
            <v>0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  <cell r="Y667">
            <v>1.3</v>
          </cell>
          <cell r="Z667">
            <v>1.3</v>
          </cell>
          <cell r="AA667">
            <v>1.1000000000000001</v>
          </cell>
          <cell r="AB667">
            <v>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  <cell r="Y668">
            <v>1.7</v>
          </cell>
          <cell r="Z668">
            <v>1.4</v>
          </cell>
          <cell r="AA668">
            <v>1</v>
          </cell>
          <cell r="AB668">
            <v>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  <cell r="Y669">
            <v>1.2</v>
          </cell>
          <cell r="Z669">
            <v>1.25</v>
          </cell>
          <cell r="AA669">
            <v>1.1499999999999999</v>
          </cell>
          <cell r="AB669">
            <v>0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  <cell r="Y670">
            <v>1.3</v>
          </cell>
          <cell r="Z670">
            <v>1.3</v>
          </cell>
          <cell r="AA670">
            <v>1.1000000000000001</v>
          </cell>
          <cell r="AB670">
            <v>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  <cell r="Y671">
            <v>1.7</v>
          </cell>
          <cell r="Z671">
            <v>1.4</v>
          </cell>
          <cell r="AA671">
            <v>1</v>
          </cell>
          <cell r="AB671">
            <v>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  <cell r="Y672">
            <v>1.2</v>
          </cell>
          <cell r="Z672">
            <v>1.25</v>
          </cell>
          <cell r="AA672">
            <v>1.1499999999999999</v>
          </cell>
          <cell r="AB672">
            <v>0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  <cell r="Y673">
            <v>1.3</v>
          </cell>
          <cell r="Z673">
            <v>1.3</v>
          </cell>
          <cell r="AA673">
            <v>1.1000000000000001</v>
          </cell>
          <cell r="AB673">
            <v>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  <cell r="Y674">
            <v>1.7</v>
          </cell>
          <cell r="Z674">
            <v>1.4</v>
          </cell>
          <cell r="AA674">
            <v>1</v>
          </cell>
          <cell r="AB674">
            <v>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  <cell r="Y675">
            <v>1.3</v>
          </cell>
          <cell r="Z675">
            <v>1.3</v>
          </cell>
          <cell r="AA675">
            <v>1.1000000000000001</v>
          </cell>
          <cell r="AB675">
            <v>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  <cell r="Y676">
            <v>1.7</v>
          </cell>
          <cell r="Z676">
            <v>1.4</v>
          </cell>
          <cell r="AA676">
            <v>1</v>
          </cell>
          <cell r="AB676">
            <v>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  <cell r="Y677">
            <v>1.3</v>
          </cell>
          <cell r="Z677">
            <v>1.3</v>
          </cell>
          <cell r="AA677">
            <v>1.1000000000000001</v>
          </cell>
          <cell r="AB677">
            <v>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  <cell r="Y678">
            <v>1.7</v>
          </cell>
          <cell r="Z678">
            <v>1.4</v>
          </cell>
          <cell r="AA678">
            <v>1</v>
          </cell>
          <cell r="AB678">
            <v>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  <cell r="Y679">
            <v>1.3</v>
          </cell>
          <cell r="Z679">
            <v>1.3</v>
          </cell>
          <cell r="AA679">
            <v>1.1000000000000001</v>
          </cell>
          <cell r="AB679">
            <v>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  <cell r="Y680">
            <v>1.7</v>
          </cell>
          <cell r="Z680">
            <v>1.4</v>
          </cell>
          <cell r="AA680">
            <v>1</v>
          </cell>
          <cell r="AB680">
            <v>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  <cell r="Y681">
            <v>1.3</v>
          </cell>
          <cell r="Z681">
            <v>1.3</v>
          </cell>
          <cell r="AA681">
            <v>1.1000000000000001</v>
          </cell>
          <cell r="AB681">
            <v>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  <cell r="Y682">
            <v>1.3</v>
          </cell>
          <cell r="Z682">
            <v>1.3</v>
          </cell>
          <cell r="AA682">
            <v>1.1000000000000001</v>
          </cell>
          <cell r="AB682">
            <v>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  <cell r="Y683">
            <v>1.3</v>
          </cell>
          <cell r="Z683">
            <v>1.3</v>
          </cell>
          <cell r="AA683">
            <v>1.1000000000000001</v>
          </cell>
          <cell r="AB683">
            <v>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  <cell r="Y684">
            <v>1.3</v>
          </cell>
          <cell r="Z684">
            <v>1.3</v>
          </cell>
          <cell r="AA684">
            <v>1.1000000000000001</v>
          </cell>
          <cell r="AB684">
            <v>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  <cell r="Y685">
            <v>1.3</v>
          </cell>
          <cell r="Z685">
            <v>1.3</v>
          </cell>
          <cell r="AA685">
            <v>1.1000000000000001</v>
          </cell>
          <cell r="AB685">
            <v>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  <cell r="Y686">
            <v>1.3</v>
          </cell>
          <cell r="Z686">
            <v>1.3</v>
          </cell>
          <cell r="AA686">
            <v>1.1000000000000001</v>
          </cell>
          <cell r="AB686">
            <v>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  <cell r="Y687">
            <v>1.3</v>
          </cell>
          <cell r="Z687">
            <v>1.3</v>
          </cell>
          <cell r="AA687">
            <v>1.1000000000000001</v>
          </cell>
          <cell r="AB687">
            <v>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  <cell r="Y688">
            <v>1.3</v>
          </cell>
          <cell r="Z688">
            <v>1.3</v>
          </cell>
          <cell r="AA688">
            <v>1.1000000000000001</v>
          </cell>
          <cell r="AB688">
            <v>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  <cell r="Y689">
            <v>1.3</v>
          </cell>
          <cell r="Z689">
            <v>1.3</v>
          </cell>
          <cell r="AA689">
            <v>1.1000000000000001</v>
          </cell>
          <cell r="AB689">
            <v>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  <cell r="Y690">
            <v>1.7</v>
          </cell>
          <cell r="Z690">
            <v>1.4</v>
          </cell>
          <cell r="AA690">
            <v>1</v>
          </cell>
          <cell r="AB690">
            <v>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  <cell r="Y691">
            <v>1.7</v>
          </cell>
          <cell r="Z691">
            <v>1.4</v>
          </cell>
          <cell r="AA691">
            <v>1</v>
          </cell>
          <cell r="AB691">
            <v>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  <cell r="Y692">
            <v>1.3</v>
          </cell>
          <cell r="Z692">
            <v>1.3</v>
          </cell>
          <cell r="AA692">
            <v>1.1000000000000001</v>
          </cell>
          <cell r="AB692">
            <v>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  <cell r="Y693">
            <v>1.7</v>
          </cell>
          <cell r="Z693">
            <v>1.4</v>
          </cell>
          <cell r="AA693">
            <v>1</v>
          </cell>
          <cell r="AB693">
            <v>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  <cell r="Y694">
            <v>1.3</v>
          </cell>
          <cell r="Z694">
            <v>1.3</v>
          </cell>
          <cell r="AA694">
            <v>1.1000000000000001</v>
          </cell>
          <cell r="AB694">
            <v>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  <cell r="Y695">
            <v>1.7</v>
          </cell>
          <cell r="Z695">
            <v>1.4</v>
          </cell>
          <cell r="AA695">
            <v>1</v>
          </cell>
          <cell r="AB695">
            <v>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  <cell r="Y696">
            <v>1.2</v>
          </cell>
          <cell r="Z696">
            <v>1.25</v>
          </cell>
          <cell r="AA696">
            <v>1.1499999999999999</v>
          </cell>
          <cell r="AB696">
            <v>0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  <cell r="Y697">
            <v>1.3</v>
          </cell>
          <cell r="Z697">
            <v>1.3</v>
          </cell>
          <cell r="AA697">
            <v>1.1000000000000001</v>
          </cell>
          <cell r="AB697">
            <v>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  <cell r="Y698">
            <v>1.7</v>
          </cell>
          <cell r="Z698">
            <v>1.4</v>
          </cell>
          <cell r="AA698">
            <v>1</v>
          </cell>
          <cell r="AB698">
            <v>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  <cell r="Y699">
            <v>1.7</v>
          </cell>
          <cell r="Z699">
            <v>1.4</v>
          </cell>
          <cell r="AA699">
            <v>1</v>
          </cell>
          <cell r="AB699">
            <v>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  <cell r="Y700">
            <v>1.7</v>
          </cell>
          <cell r="Z700">
            <v>1.4</v>
          </cell>
          <cell r="AA700">
            <v>1</v>
          </cell>
          <cell r="AB700">
            <v>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  <cell r="Y701">
            <v>1.7</v>
          </cell>
          <cell r="Z701">
            <v>1.4</v>
          </cell>
          <cell r="AA701">
            <v>1</v>
          </cell>
          <cell r="AB701">
            <v>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  <cell r="Y702">
            <v>1.7</v>
          </cell>
          <cell r="Z702">
            <v>1.4</v>
          </cell>
          <cell r="AA702">
            <v>1</v>
          </cell>
          <cell r="AB702">
            <v>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  <cell r="Y703">
            <v>1.3</v>
          </cell>
          <cell r="Z703">
            <v>1.3</v>
          </cell>
          <cell r="AA703">
            <v>1.1000000000000001</v>
          </cell>
          <cell r="AB703">
            <v>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  <cell r="Y704">
            <v>1.7</v>
          </cell>
          <cell r="Z704">
            <v>1.4</v>
          </cell>
          <cell r="AA704">
            <v>1</v>
          </cell>
          <cell r="AB704">
            <v>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  <cell r="Y705">
            <v>1.2</v>
          </cell>
          <cell r="Z705">
            <v>1.25</v>
          </cell>
          <cell r="AA705">
            <v>1.1499999999999999</v>
          </cell>
          <cell r="AB705">
            <v>0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  <cell r="Y706">
            <v>1.3</v>
          </cell>
          <cell r="Z706">
            <v>1.3</v>
          </cell>
          <cell r="AA706">
            <v>1.1000000000000001</v>
          </cell>
          <cell r="AB706">
            <v>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  <cell r="Y707">
            <v>1.3</v>
          </cell>
          <cell r="Z707">
            <v>1.3</v>
          </cell>
          <cell r="AA707">
            <v>1.1000000000000001</v>
          </cell>
          <cell r="AB707">
            <v>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  <cell r="Y708">
            <v>1.7</v>
          </cell>
          <cell r="Z708">
            <v>1.4</v>
          </cell>
          <cell r="AA708">
            <v>1</v>
          </cell>
          <cell r="AB708">
            <v>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  <cell r="Y709">
            <v>1.2</v>
          </cell>
          <cell r="Z709">
            <v>1.25</v>
          </cell>
          <cell r="AA709">
            <v>1.1499999999999999</v>
          </cell>
          <cell r="AB709">
            <v>0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  <cell r="Y710">
            <v>1.3</v>
          </cell>
          <cell r="Z710">
            <v>1.3</v>
          </cell>
          <cell r="AA710">
            <v>1.1000000000000001</v>
          </cell>
          <cell r="AB710">
            <v>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  <cell r="Y711">
            <v>1.2</v>
          </cell>
          <cell r="Z711">
            <v>1.25</v>
          </cell>
          <cell r="AA711">
            <v>1.1499999999999999</v>
          </cell>
          <cell r="AB711">
            <v>0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  <cell r="Y712">
            <v>1.3</v>
          </cell>
          <cell r="Z712">
            <v>1.3</v>
          </cell>
          <cell r="AA712">
            <v>1.1000000000000001</v>
          </cell>
          <cell r="AB712">
            <v>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  <cell r="Y713">
            <v>1.7</v>
          </cell>
          <cell r="Z713">
            <v>1.4</v>
          </cell>
          <cell r="AA713">
            <v>1</v>
          </cell>
          <cell r="AB713">
            <v>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  <cell r="Y714">
            <v>1.7</v>
          </cell>
          <cell r="Z714">
            <v>1.4</v>
          </cell>
          <cell r="AA714">
            <v>1</v>
          </cell>
          <cell r="AB714">
            <v>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  <cell r="Y715">
            <v>1.2</v>
          </cell>
          <cell r="Z715">
            <v>1.25</v>
          </cell>
          <cell r="AA715">
            <v>1.1499999999999999</v>
          </cell>
          <cell r="AB715">
            <v>0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  <cell r="Y716">
            <v>1.3</v>
          </cell>
          <cell r="Z716">
            <v>1.3</v>
          </cell>
          <cell r="AA716">
            <v>1.1000000000000001</v>
          </cell>
          <cell r="AB716">
            <v>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  <cell r="Y717">
            <v>1.7</v>
          </cell>
          <cell r="Z717">
            <v>1.4</v>
          </cell>
          <cell r="AA717">
            <v>1</v>
          </cell>
          <cell r="AB717">
            <v>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  <cell r="Y718">
            <v>1.7</v>
          </cell>
          <cell r="Z718">
            <v>1.4</v>
          </cell>
          <cell r="AA718">
            <v>1</v>
          </cell>
          <cell r="AB718">
            <v>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  <cell r="Y719">
            <v>1.3</v>
          </cell>
          <cell r="Z719">
            <v>1.3</v>
          </cell>
          <cell r="AA719">
            <v>1.1000000000000001</v>
          </cell>
          <cell r="AB719">
            <v>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  <cell r="Y720">
            <v>1.7</v>
          </cell>
          <cell r="Z720">
            <v>1.4</v>
          </cell>
          <cell r="AA720">
            <v>1</v>
          </cell>
          <cell r="AB720">
            <v>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  <cell r="Y721">
            <v>1.3</v>
          </cell>
          <cell r="Z721">
            <v>1.3</v>
          </cell>
          <cell r="AA721">
            <v>1.1000000000000001</v>
          </cell>
          <cell r="AB721">
            <v>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  <cell r="Y722">
            <v>1.7</v>
          </cell>
          <cell r="Z722">
            <v>1.4</v>
          </cell>
          <cell r="AA722">
            <v>1</v>
          </cell>
          <cell r="AB722">
            <v>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  <cell r="Y723">
            <v>1.3</v>
          </cell>
          <cell r="Z723">
            <v>1.3</v>
          </cell>
          <cell r="AA723">
            <v>1.1000000000000001</v>
          </cell>
          <cell r="AB723">
            <v>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  <cell r="Y724">
            <v>1.7</v>
          </cell>
          <cell r="Z724">
            <v>1.4</v>
          </cell>
          <cell r="AA724">
            <v>1</v>
          </cell>
          <cell r="AB724">
            <v>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  <cell r="Y725">
            <v>1.7</v>
          </cell>
          <cell r="Z725">
            <v>1.4</v>
          </cell>
          <cell r="AA725">
            <v>1</v>
          </cell>
          <cell r="AB725">
            <v>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  <cell r="Y726">
            <v>1.7</v>
          </cell>
          <cell r="Z726">
            <v>1.4</v>
          </cell>
          <cell r="AA726">
            <v>1</v>
          </cell>
          <cell r="AB726">
            <v>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  <cell r="Y727">
            <v>1.7</v>
          </cell>
          <cell r="Z727">
            <v>1.4</v>
          </cell>
          <cell r="AA727">
            <v>1</v>
          </cell>
          <cell r="AB727">
            <v>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  <cell r="Y728">
            <v>1.7</v>
          </cell>
          <cell r="Z728">
            <v>1.4</v>
          </cell>
          <cell r="AA728">
            <v>1</v>
          </cell>
          <cell r="AB728">
            <v>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  <cell r="Y729">
            <v>1.3</v>
          </cell>
          <cell r="Z729">
            <v>1.3</v>
          </cell>
          <cell r="AA729">
            <v>1.1000000000000001</v>
          </cell>
          <cell r="AB729">
            <v>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  <cell r="Y730">
            <v>1.7</v>
          </cell>
          <cell r="Z730">
            <v>1.4</v>
          </cell>
          <cell r="AA730">
            <v>1</v>
          </cell>
          <cell r="AB730">
            <v>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  <cell r="Y731">
            <v>1.3</v>
          </cell>
          <cell r="Z731">
            <v>1.3</v>
          </cell>
          <cell r="AA731">
            <v>1.1000000000000001</v>
          </cell>
          <cell r="AB731">
            <v>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  <cell r="Y732">
            <v>1.7</v>
          </cell>
          <cell r="Z732">
            <v>1.4</v>
          </cell>
          <cell r="AA732">
            <v>1</v>
          </cell>
          <cell r="AB732">
            <v>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  <cell r="Y733">
            <v>1.7</v>
          </cell>
          <cell r="Z733">
            <v>1.4</v>
          </cell>
          <cell r="AA733">
            <v>1</v>
          </cell>
          <cell r="AB733">
            <v>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  <cell r="Y734">
            <v>1.7</v>
          </cell>
          <cell r="Z734">
            <v>1.4</v>
          </cell>
          <cell r="AA734">
            <v>1</v>
          </cell>
          <cell r="AB734">
            <v>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  <cell r="Y735">
            <v>1.7</v>
          </cell>
          <cell r="Z735">
            <v>1.4</v>
          </cell>
          <cell r="AA735">
            <v>1</v>
          </cell>
          <cell r="AB735">
            <v>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  <cell r="Y736">
            <v>1.7</v>
          </cell>
          <cell r="Z736">
            <v>1.4</v>
          </cell>
          <cell r="AA736">
            <v>1</v>
          </cell>
          <cell r="AB736">
            <v>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  <cell r="Y737">
            <v>1.3</v>
          </cell>
          <cell r="Z737">
            <v>1.3</v>
          </cell>
          <cell r="AA737">
            <v>1.1000000000000001</v>
          </cell>
          <cell r="AB737">
            <v>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  <cell r="Y738">
            <v>1.7</v>
          </cell>
          <cell r="Z738">
            <v>1.4</v>
          </cell>
          <cell r="AA738">
            <v>1</v>
          </cell>
          <cell r="AB738">
            <v>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  <cell r="Y739">
            <v>1.3</v>
          </cell>
          <cell r="Z739">
            <v>1.3</v>
          </cell>
          <cell r="AA739">
            <v>1.1000000000000001</v>
          </cell>
          <cell r="AB739">
            <v>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  <cell r="Y740">
            <v>1.7</v>
          </cell>
          <cell r="Z740">
            <v>1.4</v>
          </cell>
          <cell r="AA740">
            <v>1</v>
          </cell>
          <cell r="AB740">
            <v>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  <cell r="Y741">
            <v>1.7</v>
          </cell>
          <cell r="Z741">
            <v>1.4</v>
          </cell>
          <cell r="AA741">
            <v>1</v>
          </cell>
          <cell r="AB741">
            <v>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  <cell r="Y742">
            <v>1.7</v>
          </cell>
          <cell r="Z742">
            <v>1.4</v>
          </cell>
          <cell r="AA742">
            <v>1</v>
          </cell>
          <cell r="AB742">
            <v>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  <cell r="Y743">
            <v>1.7</v>
          </cell>
          <cell r="Z743">
            <v>1.4</v>
          </cell>
          <cell r="AA743">
            <v>1</v>
          </cell>
          <cell r="AB743">
            <v>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  <cell r="Y744">
            <v>1.7</v>
          </cell>
          <cell r="Z744">
            <v>1.4</v>
          </cell>
          <cell r="AA744">
            <v>1</v>
          </cell>
          <cell r="AB744">
            <v>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  <cell r="Y745">
            <v>1.7</v>
          </cell>
          <cell r="Z745">
            <v>1.4</v>
          </cell>
          <cell r="AA745">
            <v>1</v>
          </cell>
          <cell r="AB745">
            <v>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  <cell r="Y746">
            <v>1.7</v>
          </cell>
          <cell r="Z746">
            <v>1.4</v>
          </cell>
          <cell r="AA746">
            <v>1</v>
          </cell>
          <cell r="AB746">
            <v>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  <cell r="Y747">
            <v>1.3</v>
          </cell>
          <cell r="Z747">
            <v>1.3</v>
          </cell>
          <cell r="AA747">
            <v>1.1000000000000001</v>
          </cell>
          <cell r="AB747">
            <v>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  <cell r="Y748">
            <v>1.7</v>
          </cell>
          <cell r="Z748">
            <v>1.4</v>
          </cell>
          <cell r="AA748">
            <v>1</v>
          </cell>
          <cell r="AB748">
            <v>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  <cell r="Y749">
            <v>1.3</v>
          </cell>
          <cell r="Z749">
            <v>1.3</v>
          </cell>
          <cell r="AA749">
            <v>1.1000000000000001</v>
          </cell>
          <cell r="AB749">
            <v>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  <cell r="Y750">
            <v>1.7</v>
          </cell>
          <cell r="Z750">
            <v>1.4</v>
          </cell>
          <cell r="AA750">
            <v>1</v>
          </cell>
          <cell r="AB750">
            <v>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  <cell r="Y751">
            <v>1.7</v>
          </cell>
          <cell r="Z751">
            <v>1.4</v>
          </cell>
          <cell r="AA751">
            <v>1</v>
          </cell>
          <cell r="AB751">
            <v>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  <cell r="Y752">
            <v>1.7</v>
          </cell>
          <cell r="Z752">
            <v>1.4</v>
          </cell>
          <cell r="AA752">
            <v>1</v>
          </cell>
          <cell r="AB752">
            <v>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  <cell r="Y753">
            <v>1.7</v>
          </cell>
          <cell r="Z753">
            <v>1.4</v>
          </cell>
          <cell r="AA753">
            <v>1</v>
          </cell>
          <cell r="AB753">
            <v>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  <cell r="Y754">
            <v>1.7</v>
          </cell>
          <cell r="Z754">
            <v>1.4</v>
          </cell>
          <cell r="AA754">
            <v>1</v>
          </cell>
          <cell r="AB754">
            <v>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  <cell r="Y755">
            <v>1.7</v>
          </cell>
          <cell r="Z755">
            <v>1.4</v>
          </cell>
          <cell r="AA755">
            <v>1</v>
          </cell>
          <cell r="AB755">
            <v>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  <cell r="Y756">
            <v>1.7</v>
          </cell>
          <cell r="Z756">
            <v>1.4</v>
          </cell>
          <cell r="AA756">
            <v>1</v>
          </cell>
          <cell r="AB756">
            <v>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  <cell r="Y757">
            <v>1.7</v>
          </cell>
          <cell r="Z757">
            <v>1.4</v>
          </cell>
          <cell r="AA757">
            <v>1</v>
          </cell>
          <cell r="AB757">
            <v>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  <cell r="Y758">
            <v>1.7</v>
          </cell>
          <cell r="Z758">
            <v>1.4</v>
          </cell>
          <cell r="AA758">
            <v>1</v>
          </cell>
          <cell r="AB758">
            <v>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  <cell r="Y759">
            <v>1.7</v>
          </cell>
          <cell r="Z759">
            <v>1.4</v>
          </cell>
          <cell r="AA759">
            <v>1</v>
          </cell>
          <cell r="AB759">
            <v>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  <cell r="Y760">
            <v>1.7</v>
          </cell>
          <cell r="Z760">
            <v>1.4</v>
          </cell>
          <cell r="AA760">
            <v>1</v>
          </cell>
          <cell r="AB760">
            <v>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  <cell r="Y761">
            <v>1.7</v>
          </cell>
          <cell r="Z761">
            <v>1.4</v>
          </cell>
          <cell r="AA761">
            <v>1</v>
          </cell>
          <cell r="AB761">
            <v>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  <cell r="Y762">
            <v>1.7</v>
          </cell>
          <cell r="Z762">
            <v>1.4</v>
          </cell>
          <cell r="AA762">
            <v>1</v>
          </cell>
          <cell r="AB762">
            <v>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  <cell r="Y763">
            <v>1.7</v>
          </cell>
          <cell r="Z763">
            <v>1.4</v>
          </cell>
          <cell r="AA763">
            <v>1</v>
          </cell>
          <cell r="AB763">
            <v>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  <cell r="Y764">
            <v>1.7</v>
          </cell>
          <cell r="Z764">
            <v>1.4</v>
          </cell>
          <cell r="AA764">
            <v>1</v>
          </cell>
          <cell r="AB764">
            <v>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  <cell r="Y765">
            <v>1.3</v>
          </cell>
          <cell r="Z765">
            <v>1.3</v>
          </cell>
          <cell r="AA765">
            <v>1.1000000000000001</v>
          </cell>
          <cell r="AB765">
            <v>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  <cell r="Y766">
            <v>1.7</v>
          </cell>
          <cell r="Z766">
            <v>1.4</v>
          </cell>
          <cell r="AA766">
            <v>1</v>
          </cell>
          <cell r="AB766">
            <v>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  <cell r="Y767">
            <v>1.3</v>
          </cell>
          <cell r="Z767">
            <v>1.3</v>
          </cell>
          <cell r="AA767">
            <v>1.1000000000000001</v>
          </cell>
          <cell r="AB767">
            <v>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  <cell r="Y768">
            <v>1.7</v>
          </cell>
          <cell r="Z768">
            <v>1.4</v>
          </cell>
          <cell r="AA768">
            <v>1</v>
          </cell>
          <cell r="AB768">
            <v>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  <cell r="Y769">
            <v>1.3</v>
          </cell>
          <cell r="Z769">
            <v>1.3</v>
          </cell>
          <cell r="AA769">
            <v>1.1000000000000001</v>
          </cell>
          <cell r="AB769">
            <v>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  <cell r="Y770">
            <v>1.7</v>
          </cell>
          <cell r="Z770">
            <v>1.4</v>
          </cell>
          <cell r="AA770">
            <v>1</v>
          </cell>
          <cell r="AB770">
            <v>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  <cell r="Y771">
            <v>1.3</v>
          </cell>
          <cell r="Z771">
            <v>1.3</v>
          </cell>
          <cell r="AA771">
            <v>1.1000000000000001</v>
          </cell>
          <cell r="AB771">
            <v>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  <cell r="Y772">
            <v>1.7</v>
          </cell>
          <cell r="Z772">
            <v>1.4</v>
          </cell>
          <cell r="AA772">
            <v>1</v>
          </cell>
          <cell r="AB772">
            <v>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  <cell r="Y773">
            <v>1.3</v>
          </cell>
          <cell r="Z773">
            <v>1.3</v>
          </cell>
          <cell r="AA773">
            <v>1.1000000000000001</v>
          </cell>
          <cell r="AB773">
            <v>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  <cell r="Y774">
            <v>1.7</v>
          </cell>
          <cell r="Z774">
            <v>1.4</v>
          </cell>
          <cell r="AA774">
            <v>1</v>
          </cell>
          <cell r="AB774">
            <v>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  <cell r="Y775">
            <v>1.2</v>
          </cell>
          <cell r="Z775">
            <v>1.25</v>
          </cell>
          <cell r="AA775">
            <v>1.1499999999999999</v>
          </cell>
          <cell r="AB775">
            <v>0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  <cell r="Y776">
            <v>1.3</v>
          </cell>
          <cell r="Z776">
            <v>1.3</v>
          </cell>
          <cell r="AA776">
            <v>1.1000000000000001</v>
          </cell>
          <cell r="AB776">
            <v>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  <cell r="Y777">
            <v>1.7</v>
          </cell>
          <cell r="Z777">
            <v>1.4</v>
          </cell>
          <cell r="AA777">
            <v>1</v>
          </cell>
          <cell r="AB777">
            <v>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  <cell r="Y778">
            <v>1.2</v>
          </cell>
          <cell r="Z778">
            <v>1.25</v>
          </cell>
          <cell r="AA778">
            <v>1.1499999999999999</v>
          </cell>
          <cell r="AB778">
            <v>0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  <cell r="Y779">
            <v>1.3</v>
          </cell>
          <cell r="Z779">
            <v>1.3</v>
          </cell>
          <cell r="AA779">
            <v>1.1000000000000001</v>
          </cell>
          <cell r="AB779">
            <v>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  <cell r="Y780">
            <v>1.7</v>
          </cell>
          <cell r="Z780">
            <v>1.4</v>
          </cell>
          <cell r="AA780">
            <v>1</v>
          </cell>
          <cell r="AB780">
            <v>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  <cell r="Y781">
            <v>1.7</v>
          </cell>
          <cell r="Z781">
            <v>1.4</v>
          </cell>
          <cell r="AA781">
            <v>1</v>
          </cell>
          <cell r="AB781">
            <v>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  <cell r="Y782">
            <v>1.7</v>
          </cell>
          <cell r="Z782">
            <v>1.4</v>
          </cell>
          <cell r="AA782">
            <v>1</v>
          </cell>
          <cell r="AB782">
            <v>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  <cell r="Y783">
            <v>1.7</v>
          </cell>
          <cell r="Z783">
            <v>1.4</v>
          </cell>
          <cell r="AA783">
            <v>1</v>
          </cell>
          <cell r="AB783">
            <v>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  <cell r="Y784">
            <v>1.7</v>
          </cell>
          <cell r="Z784">
            <v>1.4</v>
          </cell>
          <cell r="AA784">
            <v>1</v>
          </cell>
          <cell r="AB784">
            <v>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  <cell r="Y785">
            <v>1.7</v>
          </cell>
          <cell r="Z785">
            <v>1.4</v>
          </cell>
          <cell r="AA785">
            <v>1</v>
          </cell>
          <cell r="AB785">
            <v>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  <cell r="Y786">
            <v>1.7</v>
          </cell>
          <cell r="Z786">
            <v>1.4</v>
          </cell>
          <cell r="AA786">
            <v>1</v>
          </cell>
          <cell r="AB786">
            <v>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  <cell r="Y787">
            <v>1.7</v>
          </cell>
          <cell r="Z787">
            <v>1.4</v>
          </cell>
          <cell r="AA787">
            <v>1</v>
          </cell>
          <cell r="AB787">
            <v>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  <cell r="Y788">
            <v>1.7</v>
          </cell>
          <cell r="Z788">
            <v>1.4</v>
          </cell>
          <cell r="AA788">
            <v>1</v>
          </cell>
          <cell r="AB788">
            <v>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  <cell r="Y789">
            <v>1.7</v>
          </cell>
          <cell r="Z789">
            <v>1.4</v>
          </cell>
          <cell r="AA789">
            <v>1</v>
          </cell>
          <cell r="AB789">
            <v>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  <cell r="Y790">
            <v>1.7</v>
          </cell>
          <cell r="Z790">
            <v>1.4</v>
          </cell>
          <cell r="AA790">
            <v>1</v>
          </cell>
          <cell r="AB790">
            <v>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  <cell r="Y791">
            <v>1.7</v>
          </cell>
          <cell r="Z791">
            <v>1.4</v>
          </cell>
          <cell r="AA791">
            <v>1</v>
          </cell>
          <cell r="AB791">
            <v>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  <cell r="Y792">
            <v>1.7</v>
          </cell>
          <cell r="Z792">
            <v>1.4</v>
          </cell>
          <cell r="AA792">
            <v>1</v>
          </cell>
          <cell r="AB792">
            <v>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  <cell r="Y793">
            <v>1.7</v>
          </cell>
          <cell r="Z793">
            <v>1.4</v>
          </cell>
          <cell r="AA793">
            <v>1</v>
          </cell>
          <cell r="AB793">
            <v>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  <cell r="Y794">
            <v>1.7</v>
          </cell>
          <cell r="Z794">
            <v>1.4</v>
          </cell>
          <cell r="AA794">
            <v>1</v>
          </cell>
          <cell r="AB794">
            <v>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  <cell r="Y795">
            <v>1.2</v>
          </cell>
          <cell r="Z795">
            <v>1.25</v>
          </cell>
          <cell r="AA795">
            <v>1.1499999999999999</v>
          </cell>
          <cell r="AB795">
            <v>0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  <cell r="Y796">
            <v>1.2</v>
          </cell>
          <cell r="Z796">
            <v>1.25</v>
          </cell>
          <cell r="AA796">
            <v>1.1499999999999999</v>
          </cell>
          <cell r="AB796">
            <v>0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  <cell r="Y797">
            <v>1.7</v>
          </cell>
          <cell r="Z797">
            <v>1.4</v>
          </cell>
          <cell r="AA797">
            <v>1</v>
          </cell>
          <cell r="AB797">
            <v>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  <cell r="Y798">
            <v>1.7</v>
          </cell>
          <cell r="Z798">
            <v>1.4</v>
          </cell>
          <cell r="AA798">
            <v>1</v>
          </cell>
          <cell r="AB798">
            <v>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  <cell r="Y799">
            <v>1.7</v>
          </cell>
          <cell r="Z799">
            <v>1.4</v>
          </cell>
          <cell r="AA799">
            <v>1</v>
          </cell>
          <cell r="AB799">
            <v>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  <cell r="Y800">
            <v>1.7</v>
          </cell>
          <cell r="Z800">
            <v>1.4</v>
          </cell>
          <cell r="AA800">
            <v>1</v>
          </cell>
          <cell r="AB800">
            <v>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  <cell r="Y801">
            <v>1.7</v>
          </cell>
          <cell r="Z801">
            <v>1.4</v>
          </cell>
          <cell r="AA801">
            <v>1</v>
          </cell>
          <cell r="AB801">
            <v>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  <cell r="Y802">
            <v>1.7</v>
          </cell>
          <cell r="Z802">
            <v>1.4</v>
          </cell>
          <cell r="AA802">
            <v>1</v>
          </cell>
          <cell r="AB802">
            <v>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  <cell r="Y803">
            <v>1.7</v>
          </cell>
          <cell r="Z803">
            <v>1.4</v>
          </cell>
          <cell r="AA803">
            <v>1</v>
          </cell>
          <cell r="AB803">
            <v>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  <cell r="Y804">
            <v>1.7</v>
          </cell>
          <cell r="Z804">
            <v>1.4</v>
          </cell>
          <cell r="AA804">
            <v>1</v>
          </cell>
          <cell r="AB804">
            <v>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  <cell r="Y805">
            <v>1.7</v>
          </cell>
          <cell r="Z805">
            <v>1.4</v>
          </cell>
          <cell r="AA805">
            <v>1</v>
          </cell>
          <cell r="AB805">
            <v>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  <cell r="Y806">
            <v>1.7</v>
          </cell>
          <cell r="Z806">
            <v>1.4</v>
          </cell>
          <cell r="AA806">
            <v>1</v>
          </cell>
          <cell r="AB806">
            <v>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  <cell r="Y807">
            <v>1.7</v>
          </cell>
          <cell r="Z807">
            <v>1.4</v>
          </cell>
          <cell r="AA807">
            <v>1</v>
          </cell>
          <cell r="AB807">
            <v>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  <cell r="Y808">
            <v>1.7</v>
          </cell>
          <cell r="Z808">
            <v>1.4</v>
          </cell>
          <cell r="AA808">
            <v>1</v>
          </cell>
          <cell r="AB808">
            <v>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  <cell r="Y809">
            <v>1.7</v>
          </cell>
          <cell r="Z809">
            <v>1.4</v>
          </cell>
          <cell r="AA809">
            <v>1</v>
          </cell>
          <cell r="AB809">
            <v>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  <cell r="Y810">
            <v>1.7</v>
          </cell>
          <cell r="Z810">
            <v>1.4</v>
          </cell>
          <cell r="AA810">
            <v>1</v>
          </cell>
          <cell r="AB810">
            <v>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  <cell r="Y811">
            <v>1.7</v>
          </cell>
          <cell r="Z811">
            <v>1.4</v>
          </cell>
          <cell r="AA811">
            <v>1</v>
          </cell>
          <cell r="AB811">
            <v>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  <cell r="Y812">
            <v>1.7</v>
          </cell>
          <cell r="Z812">
            <v>1.4</v>
          </cell>
          <cell r="AA812">
            <v>1</v>
          </cell>
          <cell r="AB812">
            <v>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  <cell r="Y813">
            <v>1.7</v>
          </cell>
          <cell r="Z813">
            <v>1.4</v>
          </cell>
          <cell r="AA813">
            <v>1</v>
          </cell>
          <cell r="AB813">
            <v>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  <cell r="Y814">
            <v>1.7</v>
          </cell>
          <cell r="Z814">
            <v>1.4</v>
          </cell>
          <cell r="AA814">
            <v>1</v>
          </cell>
          <cell r="AB814">
            <v>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  <cell r="Y815">
            <v>1.7</v>
          </cell>
          <cell r="Z815">
            <v>1.4</v>
          </cell>
          <cell r="AA815">
            <v>1</v>
          </cell>
          <cell r="AB815">
            <v>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  <cell r="Y816">
            <v>1.7</v>
          </cell>
          <cell r="Z816">
            <v>1.4</v>
          </cell>
          <cell r="AA816">
            <v>1</v>
          </cell>
          <cell r="AB816">
            <v>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  <cell r="Y817">
            <v>1.7</v>
          </cell>
          <cell r="Z817">
            <v>1.4</v>
          </cell>
          <cell r="AA817">
            <v>1</v>
          </cell>
          <cell r="AB817">
            <v>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  <cell r="Y818">
            <v>1.7</v>
          </cell>
          <cell r="Z818">
            <v>1.4</v>
          </cell>
          <cell r="AA818">
            <v>1</v>
          </cell>
          <cell r="AB818">
            <v>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  <cell r="Y819">
            <v>1.7</v>
          </cell>
          <cell r="Z819">
            <v>1.4</v>
          </cell>
          <cell r="AA819">
            <v>1</v>
          </cell>
          <cell r="AB819">
            <v>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  <cell r="Y820">
            <v>1.7</v>
          </cell>
          <cell r="Z820">
            <v>1.4</v>
          </cell>
          <cell r="AA820">
            <v>1</v>
          </cell>
          <cell r="AB820">
            <v>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  <cell r="Y821">
            <v>1.7</v>
          </cell>
          <cell r="Z821">
            <v>1.4</v>
          </cell>
          <cell r="AA821">
            <v>1</v>
          </cell>
          <cell r="AB821">
            <v>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  <cell r="Y822">
            <v>1.7</v>
          </cell>
          <cell r="Z822">
            <v>1.4</v>
          </cell>
          <cell r="AA822">
            <v>1</v>
          </cell>
          <cell r="AB822">
            <v>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  <cell r="Y823">
            <v>1.7</v>
          </cell>
          <cell r="Z823">
            <v>1.4</v>
          </cell>
          <cell r="AA823">
            <v>1</v>
          </cell>
          <cell r="AB823">
            <v>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  <cell r="Y824">
            <v>1.7</v>
          </cell>
          <cell r="Z824">
            <v>1.4</v>
          </cell>
          <cell r="AA824">
            <v>1</v>
          </cell>
          <cell r="AB824">
            <v>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  <cell r="Y825">
            <v>1.7</v>
          </cell>
          <cell r="Z825">
            <v>1.4</v>
          </cell>
          <cell r="AA825">
            <v>1</v>
          </cell>
          <cell r="AB825">
            <v>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  <cell r="Y826">
            <v>1.7</v>
          </cell>
          <cell r="Z826">
            <v>1.4</v>
          </cell>
          <cell r="AA826">
            <v>1</v>
          </cell>
          <cell r="AB826">
            <v>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  <cell r="Y827">
            <v>1.7</v>
          </cell>
          <cell r="Z827">
            <v>1.4</v>
          </cell>
          <cell r="AA827">
            <v>1</v>
          </cell>
          <cell r="AB827">
            <v>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  <cell r="Y828">
            <v>1.7</v>
          </cell>
          <cell r="Z828">
            <v>1.4</v>
          </cell>
          <cell r="AA828">
            <v>1</v>
          </cell>
          <cell r="AB828">
            <v>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  <cell r="Y829">
            <v>1.7</v>
          </cell>
          <cell r="Z829">
            <v>1.4</v>
          </cell>
          <cell r="AA829">
            <v>1</v>
          </cell>
          <cell r="AB829">
            <v>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  <cell r="Y830">
            <v>1.7</v>
          </cell>
          <cell r="Z830">
            <v>1.4</v>
          </cell>
          <cell r="AA830">
            <v>1</v>
          </cell>
          <cell r="AB830">
            <v>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  <cell r="Y831">
            <v>1.7</v>
          </cell>
          <cell r="Z831">
            <v>1.4</v>
          </cell>
          <cell r="AA831">
            <v>1</v>
          </cell>
          <cell r="AB831">
            <v>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  <cell r="Y832">
            <v>1.7</v>
          </cell>
          <cell r="Z832">
            <v>1.4</v>
          </cell>
          <cell r="AA832">
            <v>1</v>
          </cell>
          <cell r="AB832">
            <v>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  <cell r="Y833">
            <v>1.7</v>
          </cell>
          <cell r="Z833">
            <v>1.4</v>
          </cell>
          <cell r="AA833">
            <v>1</v>
          </cell>
          <cell r="AB833">
            <v>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  <cell r="Y834">
            <v>1.7</v>
          </cell>
          <cell r="Z834">
            <v>1.4</v>
          </cell>
          <cell r="AA834">
            <v>1</v>
          </cell>
          <cell r="AB834">
            <v>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  <cell r="Y835">
            <v>1.7</v>
          </cell>
          <cell r="Z835">
            <v>1.4</v>
          </cell>
          <cell r="AA835">
            <v>1</v>
          </cell>
          <cell r="AB835">
            <v>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  <cell r="Y836">
            <v>1.7</v>
          </cell>
          <cell r="Z836">
            <v>1.4</v>
          </cell>
          <cell r="AA836">
            <v>1</v>
          </cell>
          <cell r="AB836">
            <v>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  <cell r="Y837">
            <v>1.7</v>
          </cell>
          <cell r="Z837">
            <v>1.4</v>
          </cell>
          <cell r="AA837">
            <v>1</v>
          </cell>
          <cell r="AB837">
            <v>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  <cell r="Y838">
            <v>1.7</v>
          </cell>
          <cell r="Z838">
            <v>1.4</v>
          </cell>
          <cell r="AA838">
            <v>1</v>
          </cell>
          <cell r="AB838">
            <v>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  <cell r="Y839">
            <v>1.7</v>
          </cell>
          <cell r="Z839">
            <v>1.4</v>
          </cell>
          <cell r="AA839">
            <v>1</v>
          </cell>
          <cell r="AB839">
            <v>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  <cell r="Y840">
            <v>1.7</v>
          </cell>
          <cell r="Z840">
            <v>1.4</v>
          </cell>
          <cell r="AA840">
            <v>1</v>
          </cell>
          <cell r="AB840">
            <v>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  <cell r="Y841">
            <v>1.3</v>
          </cell>
          <cell r="Z841">
            <v>1.3</v>
          </cell>
          <cell r="AA841">
            <v>1.1000000000000001</v>
          </cell>
          <cell r="AB841">
            <v>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  <cell r="Y842">
            <v>1.7</v>
          </cell>
          <cell r="Z842">
            <v>1.4</v>
          </cell>
          <cell r="AA842">
            <v>1</v>
          </cell>
          <cell r="AB842">
            <v>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  <cell r="Y843">
            <v>1.3</v>
          </cell>
          <cell r="Z843">
            <v>1.3</v>
          </cell>
          <cell r="AA843">
            <v>1.1000000000000001</v>
          </cell>
          <cell r="AB843">
            <v>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  <cell r="Y844">
            <v>1.7</v>
          </cell>
          <cell r="Z844">
            <v>1.4</v>
          </cell>
          <cell r="AA844">
            <v>1</v>
          </cell>
          <cell r="AB844">
            <v>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  <cell r="Y845">
            <v>1.7</v>
          </cell>
          <cell r="Z845">
            <v>1.4</v>
          </cell>
          <cell r="AA845">
            <v>1</v>
          </cell>
          <cell r="AB845">
            <v>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  <cell r="Y846">
            <v>1.7</v>
          </cell>
          <cell r="Z846">
            <v>1.4</v>
          </cell>
          <cell r="AA846">
            <v>1</v>
          </cell>
          <cell r="AB846">
            <v>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  <cell r="Y847">
            <v>1.7</v>
          </cell>
          <cell r="Z847">
            <v>1.4</v>
          </cell>
          <cell r="AA847">
            <v>1</v>
          </cell>
          <cell r="AB847">
            <v>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  <cell r="Y848">
            <v>1.7</v>
          </cell>
          <cell r="Z848">
            <v>1.4</v>
          </cell>
          <cell r="AA848">
            <v>1</v>
          </cell>
          <cell r="AB848">
            <v>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  <cell r="Y849">
            <v>1.7</v>
          </cell>
          <cell r="Z849">
            <v>1.4</v>
          </cell>
          <cell r="AA849">
            <v>1</v>
          </cell>
          <cell r="AB849">
            <v>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  <cell r="Y850">
            <v>1.7</v>
          </cell>
          <cell r="Z850">
            <v>1.4</v>
          </cell>
          <cell r="AA850">
            <v>1</v>
          </cell>
          <cell r="AB850">
            <v>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  <cell r="Y851">
            <v>1.7</v>
          </cell>
          <cell r="Z851">
            <v>1.4</v>
          </cell>
          <cell r="AA851">
            <v>1</v>
          </cell>
          <cell r="AB851">
            <v>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  <cell r="Y852">
            <v>1.7</v>
          </cell>
          <cell r="Z852">
            <v>1.4</v>
          </cell>
          <cell r="AA852">
            <v>1</v>
          </cell>
          <cell r="AB852">
            <v>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  <cell r="Y853">
            <v>1.3</v>
          </cell>
          <cell r="Z853">
            <v>1.3</v>
          </cell>
          <cell r="AA853">
            <v>1.1000000000000001</v>
          </cell>
          <cell r="AB853">
            <v>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  <cell r="Y854">
            <v>1.7</v>
          </cell>
          <cell r="Z854">
            <v>1.4</v>
          </cell>
          <cell r="AA854">
            <v>1</v>
          </cell>
          <cell r="AB854">
            <v>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  <cell r="Y855">
            <v>1.3</v>
          </cell>
          <cell r="Z855">
            <v>1.3</v>
          </cell>
          <cell r="AA855">
            <v>1.1000000000000001</v>
          </cell>
          <cell r="AB855">
            <v>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  <cell r="Y856">
            <v>1.7</v>
          </cell>
          <cell r="Z856">
            <v>1.4</v>
          </cell>
          <cell r="AA856">
            <v>1</v>
          </cell>
          <cell r="AB856">
            <v>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  <cell r="Y857">
            <v>1.3</v>
          </cell>
          <cell r="Z857">
            <v>1.3</v>
          </cell>
          <cell r="AA857">
            <v>1.1000000000000001</v>
          </cell>
          <cell r="AB857">
            <v>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  <cell r="Y858">
            <v>1.7</v>
          </cell>
          <cell r="Z858">
            <v>1.4</v>
          </cell>
          <cell r="AA858">
            <v>1</v>
          </cell>
          <cell r="AB858">
            <v>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  <cell r="Y859">
            <v>1.3</v>
          </cell>
          <cell r="Z859">
            <v>1.3</v>
          </cell>
          <cell r="AA859">
            <v>1.1000000000000001</v>
          </cell>
          <cell r="AB859">
            <v>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  <cell r="Y860">
            <v>1.7</v>
          </cell>
          <cell r="Z860">
            <v>1.4</v>
          </cell>
          <cell r="AA860">
            <v>1</v>
          </cell>
          <cell r="AB860">
            <v>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  <cell r="Y861">
            <v>1.7</v>
          </cell>
          <cell r="Z861">
            <v>1.4</v>
          </cell>
          <cell r="AA861">
            <v>1</v>
          </cell>
          <cell r="AB861">
            <v>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  <cell r="Y862">
            <v>1.7</v>
          </cell>
          <cell r="Z862">
            <v>1.4</v>
          </cell>
          <cell r="AA862">
            <v>1</v>
          </cell>
          <cell r="AB862">
            <v>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  <cell r="Y863">
            <v>1.3</v>
          </cell>
          <cell r="Z863">
            <v>1.3</v>
          </cell>
          <cell r="AA863">
            <v>1.1000000000000001</v>
          </cell>
          <cell r="AB863">
            <v>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  <cell r="Y864">
            <v>1.7</v>
          </cell>
          <cell r="Z864">
            <v>1.4</v>
          </cell>
          <cell r="AA864">
            <v>1</v>
          </cell>
          <cell r="AB864">
            <v>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  <cell r="Y865">
            <v>1.3</v>
          </cell>
          <cell r="Z865">
            <v>1.3</v>
          </cell>
          <cell r="AA865">
            <v>1.1000000000000001</v>
          </cell>
          <cell r="AB865">
            <v>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  <cell r="Y866">
            <v>1.7</v>
          </cell>
          <cell r="Z866">
            <v>1.4</v>
          </cell>
          <cell r="AA866">
            <v>1</v>
          </cell>
          <cell r="AB866">
            <v>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  <cell r="Y867">
            <v>1.7</v>
          </cell>
          <cell r="Z867">
            <v>1.4</v>
          </cell>
          <cell r="AA867">
            <v>1</v>
          </cell>
          <cell r="AB867">
            <v>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  <cell r="Y868">
            <v>1.7</v>
          </cell>
          <cell r="Z868">
            <v>1.4</v>
          </cell>
          <cell r="AA868">
            <v>1</v>
          </cell>
          <cell r="AB868">
            <v>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  <cell r="Y869">
            <v>1.7</v>
          </cell>
          <cell r="Z869">
            <v>1.4</v>
          </cell>
          <cell r="AA869">
            <v>1</v>
          </cell>
          <cell r="AB869">
            <v>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  <cell r="Y870">
            <v>1.7</v>
          </cell>
          <cell r="Z870">
            <v>1.4</v>
          </cell>
          <cell r="AA870">
            <v>1</v>
          </cell>
          <cell r="AB870">
            <v>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  <cell r="Y871">
            <v>1.7</v>
          </cell>
          <cell r="Z871">
            <v>1.4</v>
          </cell>
          <cell r="AA871">
            <v>1</v>
          </cell>
          <cell r="AB871">
            <v>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  <cell r="Y872">
            <v>1.7</v>
          </cell>
          <cell r="Z872">
            <v>1.4</v>
          </cell>
          <cell r="AA872">
            <v>1</v>
          </cell>
          <cell r="AB872">
            <v>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  <cell r="Y873">
            <v>1.7</v>
          </cell>
          <cell r="Z873">
            <v>1.4</v>
          </cell>
          <cell r="AA873">
            <v>1</v>
          </cell>
          <cell r="AB873">
            <v>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  <cell r="Y874">
            <v>1.7</v>
          </cell>
          <cell r="Z874">
            <v>1.4</v>
          </cell>
          <cell r="AA874">
            <v>1</v>
          </cell>
          <cell r="AB874">
            <v>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  <cell r="Y875">
            <v>1.7</v>
          </cell>
          <cell r="Z875">
            <v>1.4</v>
          </cell>
          <cell r="AA875">
            <v>1</v>
          </cell>
          <cell r="AB875">
            <v>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  <cell r="Y876">
            <v>1.7</v>
          </cell>
          <cell r="Z876">
            <v>1.4</v>
          </cell>
          <cell r="AA876">
            <v>1</v>
          </cell>
          <cell r="AB876">
            <v>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  <cell r="Y877">
            <v>1.3</v>
          </cell>
          <cell r="Z877">
            <v>1.3</v>
          </cell>
          <cell r="AA877">
            <v>1.1000000000000001</v>
          </cell>
          <cell r="AB877">
            <v>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  <cell r="Y878">
            <v>1.7</v>
          </cell>
          <cell r="Z878">
            <v>1.4</v>
          </cell>
          <cell r="AA878">
            <v>1</v>
          </cell>
          <cell r="AB878">
            <v>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  <cell r="Y879">
            <v>1.3</v>
          </cell>
          <cell r="Z879">
            <v>1.3</v>
          </cell>
          <cell r="AA879">
            <v>1.1000000000000001</v>
          </cell>
          <cell r="AB879">
            <v>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  <cell r="Y880">
            <v>1.7</v>
          </cell>
          <cell r="Z880">
            <v>1.4</v>
          </cell>
          <cell r="AA880">
            <v>1</v>
          </cell>
          <cell r="AB880">
            <v>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  <cell r="Y881">
            <v>1.7</v>
          </cell>
          <cell r="Z881">
            <v>1.4</v>
          </cell>
          <cell r="AA881">
            <v>1</v>
          </cell>
          <cell r="AB881">
            <v>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  <cell r="Y882">
            <v>1.7</v>
          </cell>
          <cell r="Z882">
            <v>1.4</v>
          </cell>
          <cell r="AA882">
            <v>1</v>
          </cell>
          <cell r="AB882">
            <v>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  <cell r="Y883">
            <v>1.7</v>
          </cell>
          <cell r="Z883">
            <v>1.4</v>
          </cell>
          <cell r="AA883">
            <v>1</v>
          </cell>
          <cell r="AB883">
            <v>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  <cell r="Y884">
            <v>1.7</v>
          </cell>
          <cell r="Z884">
            <v>1.4</v>
          </cell>
          <cell r="AA884">
            <v>1</v>
          </cell>
          <cell r="AB884">
            <v>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  <cell r="Y885">
            <v>1.7</v>
          </cell>
          <cell r="Z885">
            <v>1.4</v>
          </cell>
          <cell r="AA885">
            <v>1</v>
          </cell>
          <cell r="AB885">
            <v>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  <cell r="Y886">
            <v>1.7</v>
          </cell>
          <cell r="Z886">
            <v>1.4</v>
          </cell>
          <cell r="AA886">
            <v>1</v>
          </cell>
          <cell r="AB886">
            <v>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  <cell r="Y887">
            <v>1.7</v>
          </cell>
          <cell r="Z887">
            <v>1.4</v>
          </cell>
          <cell r="AA887">
            <v>1</v>
          </cell>
          <cell r="AB887">
            <v>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  <cell r="Y888">
            <v>1.7</v>
          </cell>
          <cell r="Z888">
            <v>1.4</v>
          </cell>
          <cell r="AA888">
            <v>1</v>
          </cell>
          <cell r="AB888">
            <v>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  <cell r="Y889">
            <v>1.7</v>
          </cell>
          <cell r="Z889">
            <v>1.4</v>
          </cell>
          <cell r="AA889">
            <v>1</v>
          </cell>
          <cell r="AB889">
            <v>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  <cell r="Y890">
            <v>1.7</v>
          </cell>
          <cell r="Z890">
            <v>1.4</v>
          </cell>
          <cell r="AA890">
            <v>1</v>
          </cell>
          <cell r="AB890">
            <v>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  <cell r="Y891">
            <v>1.7</v>
          </cell>
          <cell r="Z891">
            <v>1.4</v>
          </cell>
          <cell r="AA891">
            <v>1</v>
          </cell>
          <cell r="AB891">
            <v>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  <cell r="Y892">
            <v>1.7</v>
          </cell>
          <cell r="Z892">
            <v>1.4</v>
          </cell>
          <cell r="AA892">
            <v>1</v>
          </cell>
          <cell r="AB892">
            <v>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  <cell r="Y893">
            <v>1.7</v>
          </cell>
          <cell r="Z893">
            <v>1.4</v>
          </cell>
          <cell r="AA893">
            <v>1</v>
          </cell>
          <cell r="AB893">
            <v>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  <cell r="Y894">
            <v>1.7</v>
          </cell>
          <cell r="Z894">
            <v>1.4</v>
          </cell>
          <cell r="AA894">
            <v>1</v>
          </cell>
          <cell r="AB894">
            <v>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  <cell r="Y895">
            <v>1.7</v>
          </cell>
          <cell r="Z895">
            <v>1.4</v>
          </cell>
          <cell r="AA895">
            <v>1</v>
          </cell>
          <cell r="AB895">
            <v>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  <cell r="Y896">
            <v>1.7</v>
          </cell>
          <cell r="Z896">
            <v>1.4</v>
          </cell>
          <cell r="AA896">
            <v>1</v>
          </cell>
          <cell r="AB896">
            <v>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  <cell r="Y897">
            <v>1.7</v>
          </cell>
          <cell r="Z897">
            <v>1.4</v>
          </cell>
          <cell r="AA897">
            <v>1</v>
          </cell>
          <cell r="AB897">
            <v>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  <cell r="Y898">
            <v>1.7</v>
          </cell>
          <cell r="Z898">
            <v>1.4</v>
          </cell>
          <cell r="AA898">
            <v>1</v>
          </cell>
          <cell r="AB898">
            <v>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  <cell r="Y899">
            <v>1.7</v>
          </cell>
          <cell r="Z899">
            <v>1.4</v>
          </cell>
          <cell r="AA899">
            <v>1</v>
          </cell>
          <cell r="AB899">
            <v>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  <cell r="Y900">
            <v>1.7</v>
          </cell>
          <cell r="Z900">
            <v>1.4</v>
          </cell>
          <cell r="AA900">
            <v>1</v>
          </cell>
          <cell r="AB900">
            <v>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  <cell r="Y901">
            <v>1.7</v>
          </cell>
          <cell r="Z901">
            <v>1.4</v>
          </cell>
          <cell r="AA901">
            <v>1</v>
          </cell>
          <cell r="AB901">
            <v>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  <cell r="Y902">
            <v>1.3</v>
          </cell>
          <cell r="Z902">
            <v>1.3</v>
          </cell>
          <cell r="AA902">
            <v>1.1000000000000001</v>
          </cell>
          <cell r="AB902">
            <v>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  <cell r="Y903">
            <v>1.7</v>
          </cell>
          <cell r="Z903">
            <v>1.4</v>
          </cell>
          <cell r="AA903">
            <v>1</v>
          </cell>
          <cell r="AB903">
            <v>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  <cell r="Y904">
            <v>1.3</v>
          </cell>
          <cell r="Z904">
            <v>1.3</v>
          </cell>
          <cell r="AA904">
            <v>1.1000000000000001</v>
          </cell>
          <cell r="AB904">
            <v>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  <cell r="Y905">
            <v>1.7</v>
          </cell>
          <cell r="Z905">
            <v>1.4</v>
          </cell>
          <cell r="AA905">
            <v>1</v>
          </cell>
          <cell r="AB905">
            <v>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  <cell r="Y906">
            <v>1.3</v>
          </cell>
          <cell r="Z906">
            <v>1.3</v>
          </cell>
          <cell r="AA906">
            <v>1.1000000000000001</v>
          </cell>
          <cell r="AB906">
            <v>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  <cell r="Y907">
            <v>1.7</v>
          </cell>
          <cell r="Z907">
            <v>1.4</v>
          </cell>
          <cell r="AA907">
            <v>1</v>
          </cell>
          <cell r="AB907">
            <v>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  <cell r="Y908">
            <v>1.7</v>
          </cell>
          <cell r="Z908">
            <v>1.4</v>
          </cell>
          <cell r="AA908">
            <v>1</v>
          </cell>
          <cell r="AB908">
            <v>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  <cell r="Y909">
            <v>1.3</v>
          </cell>
          <cell r="Z909">
            <v>1.3</v>
          </cell>
          <cell r="AA909">
            <v>1.1000000000000001</v>
          </cell>
          <cell r="AB909">
            <v>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  <cell r="Y910">
            <v>1.7</v>
          </cell>
          <cell r="Z910">
            <v>1.4</v>
          </cell>
          <cell r="AA910">
            <v>1</v>
          </cell>
          <cell r="AB910">
            <v>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  <cell r="Y911">
            <v>1.7</v>
          </cell>
          <cell r="Z911">
            <v>1.4</v>
          </cell>
          <cell r="AA911">
            <v>1</v>
          </cell>
          <cell r="AB911">
            <v>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  <cell r="Y912">
            <v>1.3</v>
          </cell>
          <cell r="Z912">
            <v>1.3</v>
          </cell>
          <cell r="AA912">
            <v>1.1000000000000001</v>
          </cell>
          <cell r="AB912">
            <v>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  <cell r="Y913">
            <v>1.7</v>
          </cell>
          <cell r="Z913">
            <v>1.4</v>
          </cell>
          <cell r="AA913">
            <v>1</v>
          </cell>
          <cell r="AB913">
            <v>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  <cell r="Y914">
            <v>1.3</v>
          </cell>
          <cell r="Z914">
            <v>1.3</v>
          </cell>
          <cell r="AA914">
            <v>1.1000000000000001</v>
          </cell>
          <cell r="AB914">
            <v>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  <cell r="Y915">
            <v>1.7</v>
          </cell>
          <cell r="Z915">
            <v>1.4</v>
          </cell>
          <cell r="AA915">
            <v>1</v>
          </cell>
          <cell r="AB915">
            <v>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  <cell r="Y916">
            <v>1.3</v>
          </cell>
          <cell r="Z916">
            <v>1.3</v>
          </cell>
          <cell r="AA916">
            <v>1.1000000000000001</v>
          </cell>
          <cell r="AB916">
            <v>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  <cell r="Y917">
            <v>1.7</v>
          </cell>
          <cell r="Z917">
            <v>1.4</v>
          </cell>
          <cell r="AA917">
            <v>1</v>
          </cell>
          <cell r="AB917">
            <v>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  <cell r="Y918">
            <v>1.2</v>
          </cell>
          <cell r="Z918">
            <v>1.25</v>
          </cell>
          <cell r="AA918">
            <v>1.1499999999999999</v>
          </cell>
          <cell r="AB918">
            <v>0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  <cell r="Y919">
            <v>1.3</v>
          </cell>
          <cell r="Z919">
            <v>1.3</v>
          </cell>
          <cell r="AA919">
            <v>1.1000000000000001</v>
          </cell>
          <cell r="AB919">
            <v>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  <cell r="Y920">
            <v>1.7</v>
          </cell>
          <cell r="Z920">
            <v>1.4</v>
          </cell>
          <cell r="AA920">
            <v>1</v>
          </cell>
          <cell r="AB920">
            <v>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  <cell r="Y921">
            <v>1.7</v>
          </cell>
          <cell r="Z921">
            <v>1.4</v>
          </cell>
          <cell r="AA921">
            <v>1</v>
          </cell>
          <cell r="AB921">
            <v>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  <cell r="Y922">
            <v>1.2</v>
          </cell>
          <cell r="Z922">
            <v>1.25</v>
          </cell>
          <cell r="AA922">
            <v>1.1499999999999999</v>
          </cell>
          <cell r="AB922">
            <v>0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  <cell r="Y923">
            <v>1.3</v>
          </cell>
          <cell r="Z923">
            <v>1.3</v>
          </cell>
          <cell r="AA923">
            <v>1.1000000000000001</v>
          </cell>
          <cell r="AB923">
            <v>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  <cell r="Y924">
            <v>1.2</v>
          </cell>
          <cell r="Z924">
            <v>1.25</v>
          </cell>
          <cell r="AA924">
            <v>1.1499999999999999</v>
          </cell>
          <cell r="AB924">
            <v>0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  <cell r="Y925">
            <v>1.3</v>
          </cell>
          <cell r="Z925">
            <v>1.3</v>
          </cell>
          <cell r="AA925">
            <v>1.1000000000000001</v>
          </cell>
          <cell r="AB925">
            <v>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  <cell r="Y926">
            <v>1.3</v>
          </cell>
          <cell r="Z926">
            <v>1.3</v>
          </cell>
          <cell r="AA926">
            <v>1.1000000000000001</v>
          </cell>
          <cell r="AB926">
            <v>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  <cell r="Y927">
            <v>1.7</v>
          </cell>
          <cell r="Z927">
            <v>1.4</v>
          </cell>
          <cell r="AA927">
            <v>1</v>
          </cell>
          <cell r="AB927">
            <v>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  <cell r="Y928">
            <v>1.2</v>
          </cell>
          <cell r="Z928">
            <v>1.25</v>
          </cell>
          <cell r="AA928">
            <v>1.1499999999999999</v>
          </cell>
          <cell r="AB928">
            <v>0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  <cell r="Y929">
            <v>1.3</v>
          </cell>
          <cell r="Z929">
            <v>1.3</v>
          </cell>
          <cell r="AA929">
            <v>1.1000000000000001</v>
          </cell>
          <cell r="AB929">
            <v>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  <cell r="Y930">
            <v>1.7</v>
          </cell>
          <cell r="Z930">
            <v>1.4</v>
          </cell>
          <cell r="AA930">
            <v>1</v>
          </cell>
          <cell r="AB930">
            <v>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  <cell r="Y931">
            <v>1.7</v>
          </cell>
          <cell r="Z931">
            <v>1.4</v>
          </cell>
          <cell r="AA931">
            <v>1</v>
          </cell>
          <cell r="AB931">
            <v>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  <cell r="Y932">
            <v>1.3</v>
          </cell>
          <cell r="Z932">
            <v>1.3</v>
          </cell>
          <cell r="AA932">
            <v>1.1000000000000001</v>
          </cell>
          <cell r="AB932">
            <v>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  <cell r="Y933">
            <v>1.7</v>
          </cell>
          <cell r="Z933">
            <v>1.4</v>
          </cell>
          <cell r="AA933">
            <v>1</v>
          </cell>
          <cell r="AB933">
            <v>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  <cell r="Y934">
            <v>1.3</v>
          </cell>
          <cell r="Z934">
            <v>1.3</v>
          </cell>
          <cell r="AA934">
            <v>1.1000000000000001</v>
          </cell>
          <cell r="AB934">
            <v>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  <cell r="Y935">
            <v>1.7</v>
          </cell>
          <cell r="Z935">
            <v>1.4</v>
          </cell>
          <cell r="AA935">
            <v>1</v>
          </cell>
          <cell r="AB935">
            <v>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  <cell r="Y936">
            <v>1.7</v>
          </cell>
          <cell r="Z936">
            <v>1.4</v>
          </cell>
          <cell r="AA936">
            <v>1</v>
          </cell>
          <cell r="AB936">
            <v>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  <cell r="Y937">
            <v>1.7</v>
          </cell>
          <cell r="Z937">
            <v>1.4</v>
          </cell>
          <cell r="AA937">
            <v>1</v>
          </cell>
          <cell r="AB937">
            <v>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  <cell r="Y938">
            <v>1.7</v>
          </cell>
          <cell r="Z938">
            <v>1.4</v>
          </cell>
          <cell r="AA938">
            <v>1</v>
          </cell>
          <cell r="AB938">
            <v>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  <cell r="Y939">
            <v>1.7</v>
          </cell>
          <cell r="Z939">
            <v>1.4</v>
          </cell>
          <cell r="AA939">
            <v>1</v>
          </cell>
          <cell r="AB939">
            <v>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  <cell r="Y940">
            <v>1.3</v>
          </cell>
          <cell r="Z940">
            <v>1.3</v>
          </cell>
          <cell r="AA940">
            <v>1.1000000000000001</v>
          </cell>
          <cell r="AB940">
            <v>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  <cell r="Y941">
            <v>1.7</v>
          </cell>
          <cell r="Z941">
            <v>1.4</v>
          </cell>
          <cell r="AA941">
            <v>1</v>
          </cell>
          <cell r="AB941">
            <v>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  <cell r="Y942">
            <v>1.7</v>
          </cell>
          <cell r="Z942">
            <v>1.4</v>
          </cell>
          <cell r="AA942">
            <v>1</v>
          </cell>
          <cell r="AB942">
            <v>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  <cell r="Y943">
            <v>1.7</v>
          </cell>
          <cell r="Z943">
            <v>1.4</v>
          </cell>
          <cell r="AA943">
            <v>1</v>
          </cell>
          <cell r="AB943">
            <v>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  <cell r="Y944">
            <v>1.7</v>
          </cell>
          <cell r="Z944">
            <v>1.4</v>
          </cell>
          <cell r="AA944">
            <v>1</v>
          </cell>
          <cell r="AB944">
            <v>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  <cell r="Y945">
            <v>1.7</v>
          </cell>
          <cell r="Z945">
            <v>1.4</v>
          </cell>
          <cell r="AA945">
            <v>1</v>
          </cell>
          <cell r="AB945">
            <v>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  <cell r="Y946">
            <v>1.7</v>
          </cell>
          <cell r="Z946">
            <v>1.4</v>
          </cell>
          <cell r="AA946">
            <v>1</v>
          </cell>
          <cell r="AB946">
            <v>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  <cell r="Y947">
            <v>1.7</v>
          </cell>
          <cell r="Z947">
            <v>1.4</v>
          </cell>
          <cell r="AA947">
            <v>1</v>
          </cell>
          <cell r="AB947">
            <v>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  <cell r="Y948">
            <v>1.7</v>
          </cell>
          <cell r="Z948">
            <v>1.4</v>
          </cell>
          <cell r="AA948">
            <v>1</v>
          </cell>
          <cell r="AB948">
            <v>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  <cell r="Y949">
            <v>1.7</v>
          </cell>
          <cell r="Z949">
            <v>1.4</v>
          </cell>
          <cell r="AA949">
            <v>1</v>
          </cell>
          <cell r="AB949">
            <v>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  <cell r="Y950">
            <v>1.7</v>
          </cell>
          <cell r="Z950">
            <v>1.4</v>
          </cell>
          <cell r="AA950">
            <v>1</v>
          </cell>
          <cell r="AB950">
            <v>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  <cell r="Y951">
            <v>1.7</v>
          </cell>
          <cell r="Z951">
            <v>1.4</v>
          </cell>
          <cell r="AA951">
            <v>1</v>
          </cell>
          <cell r="AB951">
            <v>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  <cell r="Y952">
            <v>1.7</v>
          </cell>
          <cell r="Z952">
            <v>1.4</v>
          </cell>
          <cell r="AA952">
            <v>1</v>
          </cell>
          <cell r="AB952">
            <v>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  <cell r="Y953">
            <v>1.7</v>
          </cell>
          <cell r="Z953">
            <v>1.4</v>
          </cell>
          <cell r="AA953">
            <v>1</v>
          </cell>
          <cell r="AB953">
            <v>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  <cell r="Y954">
            <v>1.7</v>
          </cell>
          <cell r="Z954">
            <v>1.4</v>
          </cell>
          <cell r="AA954">
            <v>1</v>
          </cell>
          <cell r="AB954">
            <v>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  <cell r="Y955">
            <v>1.7</v>
          </cell>
          <cell r="Z955">
            <v>1.4</v>
          </cell>
          <cell r="AA955">
            <v>1</v>
          </cell>
          <cell r="AB955">
            <v>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  <cell r="Y956">
            <v>1.7</v>
          </cell>
          <cell r="Z956">
            <v>1.4</v>
          </cell>
          <cell r="AA956">
            <v>1</v>
          </cell>
          <cell r="AB956">
            <v>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  <cell r="Y957">
            <v>1.7</v>
          </cell>
          <cell r="Z957">
            <v>1.4</v>
          </cell>
          <cell r="AA957">
            <v>1</v>
          </cell>
          <cell r="AB957">
            <v>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  <cell r="Y958">
            <v>1.7</v>
          </cell>
          <cell r="Z958">
            <v>1.4</v>
          </cell>
          <cell r="AA958">
            <v>1</v>
          </cell>
          <cell r="AB958">
            <v>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  <cell r="Y959">
            <v>1.7</v>
          </cell>
          <cell r="Z959">
            <v>1.4</v>
          </cell>
          <cell r="AA959">
            <v>1</v>
          </cell>
          <cell r="AB959">
            <v>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  <cell r="Y960">
            <v>1.7</v>
          </cell>
          <cell r="Z960">
            <v>1.4</v>
          </cell>
          <cell r="AA960">
            <v>1</v>
          </cell>
          <cell r="AB960">
            <v>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  <cell r="Y961">
            <v>1.7</v>
          </cell>
          <cell r="Z961">
            <v>1.4</v>
          </cell>
          <cell r="AA961">
            <v>1</v>
          </cell>
          <cell r="AB961">
            <v>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  <cell r="Y962">
            <v>1.7</v>
          </cell>
          <cell r="Z962">
            <v>1.4</v>
          </cell>
          <cell r="AA962">
            <v>1</v>
          </cell>
          <cell r="AB962">
            <v>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  <cell r="Y963">
            <v>1.7</v>
          </cell>
          <cell r="Z963">
            <v>1.4</v>
          </cell>
          <cell r="AA963">
            <v>1</v>
          </cell>
          <cell r="AB963">
            <v>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  <cell r="Y964">
            <v>1.7</v>
          </cell>
          <cell r="Z964">
            <v>1.4</v>
          </cell>
          <cell r="AA964">
            <v>1</v>
          </cell>
          <cell r="AB964">
            <v>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  <cell r="Y965">
            <v>1.7</v>
          </cell>
          <cell r="Z965">
            <v>1.4</v>
          </cell>
          <cell r="AA965">
            <v>1</v>
          </cell>
          <cell r="AB965">
            <v>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  <cell r="Y966">
            <v>1.7</v>
          </cell>
          <cell r="Z966">
            <v>1.4</v>
          </cell>
          <cell r="AA966">
            <v>1</v>
          </cell>
          <cell r="AB966">
            <v>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  <cell r="Y967">
            <v>1.7</v>
          </cell>
          <cell r="Z967">
            <v>1.4</v>
          </cell>
          <cell r="AA967">
            <v>1</v>
          </cell>
          <cell r="AB967">
            <v>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  <cell r="Y968">
            <v>1.7</v>
          </cell>
          <cell r="Z968">
            <v>1.4</v>
          </cell>
          <cell r="AA968">
            <v>1</v>
          </cell>
          <cell r="AB968">
            <v>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  <cell r="Y969">
            <v>1.7</v>
          </cell>
          <cell r="Z969">
            <v>1.4</v>
          </cell>
          <cell r="AA969">
            <v>1</v>
          </cell>
          <cell r="AB969">
            <v>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  <cell r="Y970">
            <v>1.7</v>
          </cell>
          <cell r="Z970">
            <v>1.4</v>
          </cell>
          <cell r="AA970">
            <v>1</v>
          </cell>
          <cell r="AB970">
            <v>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  <cell r="Y971">
            <v>1.7</v>
          </cell>
          <cell r="Z971">
            <v>1.4</v>
          </cell>
          <cell r="AA971">
            <v>1</v>
          </cell>
          <cell r="AB971">
            <v>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  <cell r="Y972">
            <v>1.7</v>
          </cell>
          <cell r="Z972">
            <v>1.4</v>
          </cell>
          <cell r="AA972">
            <v>1</v>
          </cell>
          <cell r="AB972">
            <v>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  <cell r="Y973">
            <v>1.7</v>
          </cell>
          <cell r="Z973">
            <v>1.4</v>
          </cell>
          <cell r="AA973">
            <v>1</v>
          </cell>
          <cell r="AB973">
            <v>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  <cell r="Y974">
            <v>1.7</v>
          </cell>
          <cell r="Z974">
            <v>1.4</v>
          </cell>
          <cell r="AA974">
            <v>1</v>
          </cell>
          <cell r="AB974">
            <v>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  <cell r="Y975">
            <v>1.7</v>
          </cell>
          <cell r="Z975">
            <v>1.4</v>
          </cell>
          <cell r="AA975">
            <v>1</v>
          </cell>
          <cell r="AB975">
            <v>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  <cell r="Y976">
            <v>1.7</v>
          </cell>
          <cell r="Z976">
            <v>1.4</v>
          </cell>
          <cell r="AA976">
            <v>1</v>
          </cell>
          <cell r="AB976">
            <v>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  <cell r="Y977">
            <v>1.2</v>
          </cell>
          <cell r="Z977">
            <v>1.25</v>
          </cell>
          <cell r="AA977">
            <v>1.1499999999999999</v>
          </cell>
          <cell r="AB977">
            <v>0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  <cell r="Y978">
            <v>1.3</v>
          </cell>
          <cell r="Z978">
            <v>1.3</v>
          </cell>
          <cell r="AA978">
            <v>1.1000000000000001</v>
          </cell>
          <cell r="AB978">
            <v>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  <cell r="Y979">
            <v>1.7</v>
          </cell>
          <cell r="Z979">
            <v>1.4</v>
          </cell>
          <cell r="AA979">
            <v>1</v>
          </cell>
          <cell r="AB979">
            <v>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  <cell r="Y980">
            <v>1.7</v>
          </cell>
          <cell r="Z980">
            <v>1.4</v>
          </cell>
          <cell r="AA980">
            <v>1</v>
          </cell>
          <cell r="AB980">
            <v>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  <cell r="Y981">
            <v>1.7</v>
          </cell>
          <cell r="Z981">
            <v>1.4</v>
          </cell>
          <cell r="AA981">
            <v>1</v>
          </cell>
          <cell r="AB981">
            <v>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  <cell r="Y982">
            <v>1.3</v>
          </cell>
          <cell r="Z982">
            <v>1.3</v>
          </cell>
          <cell r="AA982">
            <v>1.1000000000000001</v>
          </cell>
          <cell r="AB982">
            <v>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  <cell r="Y983">
            <v>1.7</v>
          </cell>
          <cell r="Z983">
            <v>1.4</v>
          </cell>
          <cell r="AA983">
            <v>1</v>
          </cell>
          <cell r="AB983">
            <v>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  <cell r="Y984">
            <v>1.3</v>
          </cell>
          <cell r="Z984">
            <v>1.3</v>
          </cell>
          <cell r="AA984">
            <v>1.1000000000000001</v>
          </cell>
          <cell r="AB984">
            <v>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  <cell r="Y985">
            <v>1.7</v>
          </cell>
          <cell r="Z985">
            <v>1.4</v>
          </cell>
          <cell r="AA985">
            <v>1</v>
          </cell>
          <cell r="AB985">
            <v>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  <cell r="Y986">
            <v>1.7</v>
          </cell>
          <cell r="Z986">
            <v>1.4</v>
          </cell>
          <cell r="AA986">
            <v>1</v>
          </cell>
          <cell r="AB986">
            <v>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  <cell r="Y987">
            <v>1.7</v>
          </cell>
          <cell r="Z987">
            <v>1.4</v>
          </cell>
          <cell r="AA987">
            <v>1</v>
          </cell>
          <cell r="AB987">
            <v>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  <cell r="Y988">
            <v>1.7</v>
          </cell>
          <cell r="Z988">
            <v>1.4</v>
          </cell>
          <cell r="AA988">
            <v>1</v>
          </cell>
          <cell r="AB988">
            <v>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  <cell r="Y989">
            <v>1.7</v>
          </cell>
          <cell r="Z989">
            <v>1.4</v>
          </cell>
          <cell r="AA989">
            <v>1</v>
          </cell>
          <cell r="AB989">
            <v>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  <cell r="Y990">
            <v>1.7</v>
          </cell>
          <cell r="Z990">
            <v>1.4</v>
          </cell>
          <cell r="AA990">
            <v>1</v>
          </cell>
          <cell r="AB990">
            <v>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  <cell r="Y991">
            <v>1.3</v>
          </cell>
          <cell r="Z991">
            <v>1.3</v>
          </cell>
          <cell r="AA991">
            <v>1.1000000000000001</v>
          </cell>
          <cell r="AB991">
            <v>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  <cell r="Y992">
            <v>1.7</v>
          </cell>
          <cell r="Z992">
            <v>1.4</v>
          </cell>
          <cell r="AA992">
            <v>1</v>
          </cell>
          <cell r="AB992">
            <v>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  <cell r="Y993">
            <v>1.3</v>
          </cell>
          <cell r="Z993">
            <v>1.3</v>
          </cell>
          <cell r="AA993">
            <v>1.1000000000000001</v>
          </cell>
          <cell r="AB993">
            <v>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  <cell r="Y994">
            <v>1.7</v>
          </cell>
          <cell r="Z994">
            <v>1.4</v>
          </cell>
          <cell r="AA994">
            <v>1</v>
          </cell>
          <cell r="AB994">
            <v>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  <cell r="Y995">
            <v>1.3</v>
          </cell>
          <cell r="Z995">
            <v>1.3</v>
          </cell>
          <cell r="AA995">
            <v>1.1000000000000001</v>
          </cell>
          <cell r="AB995">
            <v>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  <cell r="Y996">
            <v>1.7</v>
          </cell>
          <cell r="Z996">
            <v>1.4</v>
          </cell>
          <cell r="AA996">
            <v>1</v>
          </cell>
          <cell r="AB996">
            <v>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  <cell r="Y997">
            <v>1.7</v>
          </cell>
          <cell r="Z997">
            <v>1.4</v>
          </cell>
          <cell r="AA997">
            <v>1</v>
          </cell>
          <cell r="AB997">
            <v>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  <cell r="Y998">
            <v>1.7</v>
          </cell>
          <cell r="Z998">
            <v>1.4</v>
          </cell>
          <cell r="AA998">
            <v>1</v>
          </cell>
          <cell r="AB998">
            <v>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  <cell r="Y999">
            <v>1.3</v>
          </cell>
          <cell r="Z999">
            <v>1.3</v>
          </cell>
          <cell r="AA999">
            <v>1.1000000000000001</v>
          </cell>
          <cell r="AB999">
            <v>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  <cell r="Y1000">
            <v>1.7</v>
          </cell>
          <cell r="Z1000">
            <v>1.4</v>
          </cell>
          <cell r="AA1000">
            <v>1</v>
          </cell>
          <cell r="AB1000">
            <v>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  <cell r="Y1001">
            <v>1.3</v>
          </cell>
          <cell r="Z1001">
            <v>1.3</v>
          </cell>
          <cell r="AA1001">
            <v>1.1000000000000001</v>
          </cell>
          <cell r="AB1001">
            <v>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  <cell r="Y1002">
            <v>1.7</v>
          </cell>
          <cell r="Z1002">
            <v>1.4</v>
          </cell>
          <cell r="AA1002">
            <v>1</v>
          </cell>
          <cell r="AB1002">
            <v>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  <cell r="Y1003">
            <v>1.3</v>
          </cell>
          <cell r="Z1003">
            <v>1.3</v>
          </cell>
          <cell r="AA1003">
            <v>1.1000000000000001</v>
          </cell>
          <cell r="AB1003">
            <v>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  <cell r="Y1004">
            <v>1.7</v>
          </cell>
          <cell r="Z1004">
            <v>1.4</v>
          </cell>
          <cell r="AA1004">
            <v>1</v>
          </cell>
          <cell r="AB1004">
            <v>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  <cell r="Y1005">
            <v>1.3</v>
          </cell>
          <cell r="Z1005">
            <v>1.3</v>
          </cell>
          <cell r="AA1005">
            <v>1.1000000000000001</v>
          </cell>
          <cell r="AB1005">
            <v>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  <cell r="Y1006">
            <v>1.7</v>
          </cell>
          <cell r="Z1006">
            <v>1.4</v>
          </cell>
          <cell r="AA1006">
            <v>1</v>
          </cell>
          <cell r="AB1006">
            <v>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  <cell r="Y1007">
            <v>1.3</v>
          </cell>
          <cell r="Z1007">
            <v>1.3</v>
          </cell>
          <cell r="AA1007">
            <v>1.1000000000000001</v>
          </cell>
          <cell r="AB1007">
            <v>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  <cell r="Y1008">
            <v>1.7</v>
          </cell>
          <cell r="Z1008">
            <v>1.4</v>
          </cell>
          <cell r="AA1008">
            <v>1</v>
          </cell>
          <cell r="AB1008">
            <v>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  <cell r="Y1009">
            <v>1.7</v>
          </cell>
          <cell r="Z1009">
            <v>1.4</v>
          </cell>
          <cell r="AA1009">
            <v>1</v>
          </cell>
          <cell r="AB1009">
            <v>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  <cell r="Y1010">
            <v>1.7</v>
          </cell>
          <cell r="Z1010">
            <v>1.4</v>
          </cell>
          <cell r="AA1010">
            <v>1</v>
          </cell>
          <cell r="AB1010">
            <v>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  <cell r="Y1011">
            <v>1.7</v>
          </cell>
          <cell r="Z1011">
            <v>1.4</v>
          </cell>
          <cell r="AA1011">
            <v>1</v>
          </cell>
          <cell r="AB1011">
            <v>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  <cell r="Y1012">
            <v>1.7</v>
          </cell>
          <cell r="Z1012">
            <v>1.4</v>
          </cell>
          <cell r="AA1012">
            <v>1</v>
          </cell>
          <cell r="AB1012">
            <v>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  <cell r="Y1013">
            <v>1.7</v>
          </cell>
          <cell r="Z1013">
            <v>1.4</v>
          </cell>
          <cell r="AA1013">
            <v>1</v>
          </cell>
          <cell r="AB1013">
            <v>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  <cell r="Y1014">
            <v>1.7</v>
          </cell>
          <cell r="Z1014">
            <v>1.4</v>
          </cell>
          <cell r="AA1014">
            <v>1</v>
          </cell>
          <cell r="AB1014">
            <v>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  <cell r="Y1015">
            <v>1.7</v>
          </cell>
          <cell r="Z1015">
            <v>1.4</v>
          </cell>
          <cell r="AA1015">
            <v>1</v>
          </cell>
          <cell r="AB1015">
            <v>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  <cell r="Y1016">
            <v>1.7</v>
          </cell>
          <cell r="Z1016">
            <v>1.4</v>
          </cell>
          <cell r="AA1016">
            <v>1</v>
          </cell>
          <cell r="AB1016">
            <v>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  <cell r="Y1017">
            <v>1.3</v>
          </cell>
          <cell r="Z1017">
            <v>1.3</v>
          </cell>
          <cell r="AA1017">
            <v>1.1000000000000001</v>
          </cell>
          <cell r="AB1017">
            <v>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  <cell r="Y1018">
            <v>1.7</v>
          </cell>
          <cell r="Z1018">
            <v>1.4</v>
          </cell>
          <cell r="AA1018">
            <v>1</v>
          </cell>
          <cell r="AB1018">
            <v>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  <cell r="Y1019">
            <v>1.7</v>
          </cell>
          <cell r="Z1019">
            <v>1.4</v>
          </cell>
          <cell r="AA1019">
            <v>1</v>
          </cell>
          <cell r="AB1019">
            <v>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  <cell r="Y1020">
            <v>1.7</v>
          </cell>
          <cell r="Z1020">
            <v>1.4</v>
          </cell>
          <cell r="AA1020">
            <v>1</v>
          </cell>
          <cell r="AB1020">
            <v>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  <cell r="Y1021">
            <v>1.3</v>
          </cell>
          <cell r="Z1021">
            <v>1.3</v>
          </cell>
          <cell r="AA1021">
            <v>1.1000000000000001</v>
          </cell>
          <cell r="AB1021">
            <v>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  <cell r="Y1022">
            <v>1.7</v>
          </cell>
          <cell r="Z1022">
            <v>1.4</v>
          </cell>
          <cell r="AA1022">
            <v>1</v>
          </cell>
          <cell r="AB1022">
            <v>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  <cell r="Y1023">
            <v>1.3</v>
          </cell>
          <cell r="Z1023">
            <v>1.3</v>
          </cell>
          <cell r="AA1023">
            <v>1.1000000000000001</v>
          </cell>
          <cell r="AB1023">
            <v>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  <cell r="Y1024">
            <v>1.7</v>
          </cell>
          <cell r="Z1024">
            <v>1.4</v>
          </cell>
          <cell r="AA1024">
            <v>1</v>
          </cell>
          <cell r="AB1024">
            <v>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  <cell r="Y1025">
            <v>1.7</v>
          </cell>
          <cell r="Z1025">
            <v>1.4</v>
          </cell>
          <cell r="AA1025">
            <v>1</v>
          </cell>
          <cell r="AB1025">
            <v>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  <cell r="Y1026">
            <v>1.7</v>
          </cell>
          <cell r="Z1026">
            <v>1.4</v>
          </cell>
          <cell r="AA1026">
            <v>1</v>
          </cell>
          <cell r="AB1026">
            <v>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  <cell r="Y1027">
            <v>1.3</v>
          </cell>
          <cell r="Z1027">
            <v>1.3</v>
          </cell>
          <cell r="AA1027">
            <v>1.1000000000000001</v>
          </cell>
          <cell r="AB1027">
            <v>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  <cell r="Y1028">
            <v>1.7</v>
          </cell>
          <cell r="Z1028">
            <v>1.4</v>
          </cell>
          <cell r="AA1028">
            <v>1</v>
          </cell>
          <cell r="AB1028">
            <v>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  <cell r="Y1029">
            <v>1.7</v>
          </cell>
          <cell r="Z1029">
            <v>1.4</v>
          </cell>
          <cell r="AA1029">
            <v>1</v>
          </cell>
          <cell r="AB1029">
            <v>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  <cell r="Y1030">
            <v>1.7</v>
          </cell>
          <cell r="Z1030">
            <v>1.4</v>
          </cell>
          <cell r="AA1030">
            <v>1</v>
          </cell>
          <cell r="AB1030">
            <v>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  <cell r="Y1031">
            <v>1.7</v>
          </cell>
          <cell r="Z1031">
            <v>1.4</v>
          </cell>
          <cell r="AA1031">
            <v>1</v>
          </cell>
          <cell r="AB1031">
            <v>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  <cell r="Y1032">
            <v>1.7</v>
          </cell>
          <cell r="Z1032">
            <v>1.4</v>
          </cell>
          <cell r="AA1032">
            <v>1</v>
          </cell>
          <cell r="AB1032">
            <v>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  <cell r="Y1033">
            <v>1.7</v>
          </cell>
          <cell r="Z1033">
            <v>1.4</v>
          </cell>
          <cell r="AA1033">
            <v>1</v>
          </cell>
          <cell r="AB1033">
            <v>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  <cell r="Y1034">
            <v>1.7</v>
          </cell>
          <cell r="Z1034">
            <v>1.4</v>
          </cell>
          <cell r="AA1034">
            <v>1</v>
          </cell>
          <cell r="AB1034">
            <v>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  <cell r="Y1035">
            <v>1.7</v>
          </cell>
          <cell r="Z1035">
            <v>1.4</v>
          </cell>
          <cell r="AA1035">
            <v>1</v>
          </cell>
          <cell r="AB1035">
            <v>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  <cell r="Y1036">
            <v>1.7</v>
          </cell>
          <cell r="Z1036">
            <v>1.4</v>
          </cell>
          <cell r="AA1036">
            <v>1</v>
          </cell>
          <cell r="AB1036">
            <v>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  <cell r="Y1037">
            <v>1.7</v>
          </cell>
          <cell r="Z1037">
            <v>1.4</v>
          </cell>
          <cell r="AA1037">
            <v>1</v>
          </cell>
          <cell r="AB1037">
            <v>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  <cell r="Y1038">
            <v>1.7</v>
          </cell>
          <cell r="Z1038">
            <v>1.4</v>
          </cell>
          <cell r="AA1038">
            <v>1</v>
          </cell>
          <cell r="AB1038">
            <v>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  <cell r="Y1039">
            <v>1.7</v>
          </cell>
          <cell r="Z1039">
            <v>1.4</v>
          </cell>
          <cell r="AA1039">
            <v>1</v>
          </cell>
          <cell r="AB1039">
            <v>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  <cell r="Y1040">
            <v>1.7</v>
          </cell>
          <cell r="Z1040">
            <v>1.4</v>
          </cell>
          <cell r="AA1040">
            <v>1</v>
          </cell>
          <cell r="AB1040">
            <v>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  <cell r="Y1041">
            <v>1.7</v>
          </cell>
          <cell r="Z1041">
            <v>1.4</v>
          </cell>
          <cell r="AA1041">
            <v>1</v>
          </cell>
          <cell r="AB1041">
            <v>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  <cell r="Y1042">
            <v>1.7</v>
          </cell>
          <cell r="Z1042">
            <v>1.4</v>
          </cell>
          <cell r="AA1042">
            <v>1</v>
          </cell>
          <cell r="AB1042">
            <v>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  <cell r="Y1043">
            <v>1.7</v>
          </cell>
          <cell r="Z1043">
            <v>1.4</v>
          </cell>
          <cell r="AA1043">
            <v>1</v>
          </cell>
          <cell r="AB1043">
            <v>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  <cell r="Y1044">
            <v>1.7</v>
          </cell>
          <cell r="Z1044">
            <v>1.4</v>
          </cell>
          <cell r="AA1044">
            <v>1</v>
          </cell>
          <cell r="AB1044">
            <v>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  <cell r="Y1045">
            <v>1.7</v>
          </cell>
          <cell r="Z1045">
            <v>1.4</v>
          </cell>
          <cell r="AA1045">
            <v>1</v>
          </cell>
          <cell r="AB1045">
            <v>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  <cell r="Y1046">
            <v>1.7</v>
          </cell>
          <cell r="Z1046">
            <v>1.4</v>
          </cell>
          <cell r="AA1046">
            <v>1</v>
          </cell>
          <cell r="AB1046">
            <v>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  <cell r="Y1047">
            <v>1.7</v>
          </cell>
          <cell r="Z1047">
            <v>1.4</v>
          </cell>
          <cell r="AA1047">
            <v>1</v>
          </cell>
          <cell r="AB1047">
            <v>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  <cell r="Y1048">
            <v>1.7</v>
          </cell>
          <cell r="Z1048">
            <v>1.4</v>
          </cell>
          <cell r="AA1048">
            <v>1</v>
          </cell>
          <cell r="AB1048">
            <v>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  <cell r="Y1049">
            <v>1.7</v>
          </cell>
          <cell r="Z1049">
            <v>1.4</v>
          </cell>
          <cell r="AA1049">
            <v>1</v>
          </cell>
          <cell r="AB1049">
            <v>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  <cell r="Y1050">
            <v>1.7</v>
          </cell>
          <cell r="Z1050">
            <v>1.4</v>
          </cell>
          <cell r="AA1050">
            <v>1</v>
          </cell>
          <cell r="AB1050">
            <v>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  <cell r="Y1051">
            <v>1.7</v>
          </cell>
          <cell r="Z1051">
            <v>1.4</v>
          </cell>
          <cell r="AA1051">
            <v>1</v>
          </cell>
          <cell r="AB1051">
            <v>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  <cell r="Y1052">
            <v>1.7</v>
          </cell>
          <cell r="Z1052">
            <v>1.4</v>
          </cell>
          <cell r="AA1052">
            <v>1</v>
          </cell>
          <cell r="AB1052">
            <v>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  <cell r="Y1053">
            <v>1.7</v>
          </cell>
          <cell r="Z1053">
            <v>1.4</v>
          </cell>
          <cell r="AA1053">
            <v>1</v>
          </cell>
          <cell r="AB1053">
            <v>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  <cell r="Y1054">
            <v>1.7</v>
          </cell>
          <cell r="Z1054">
            <v>1.4</v>
          </cell>
          <cell r="AA1054">
            <v>1</v>
          </cell>
          <cell r="AB1054">
            <v>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  <cell r="Y1055">
            <v>1.7</v>
          </cell>
          <cell r="Z1055">
            <v>1.4</v>
          </cell>
          <cell r="AA1055">
            <v>1</v>
          </cell>
          <cell r="AB1055">
            <v>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  <cell r="Y1056">
            <v>1.7</v>
          </cell>
          <cell r="Z1056">
            <v>1.4</v>
          </cell>
          <cell r="AA1056">
            <v>1</v>
          </cell>
          <cell r="AB1056">
            <v>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  <cell r="Y1057">
            <v>1.7</v>
          </cell>
          <cell r="Z1057">
            <v>1.4</v>
          </cell>
          <cell r="AA1057">
            <v>1</v>
          </cell>
          <cell r="AB1057">
            <v>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  <cell r="Y1058">
            <v>1.7</v>
          </cell>
          <cell r="Z1058">
            <v>1.4</v>
          </cell>
          <cell r="AA1058">
            <v>1</v>
          </cell>
          <cell r="AB1058">
            <v>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  <cell r="Y1059">
            <v>1.7</v>
          </cell>
          <cell r="Z1059">
            <v>1.4</v>
          </cell>
          <cell r="AA1059">
            <v>1</v>
          </cell>
          <cell r="AB1059">
            <v>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  <cell r="Y1060">
            <v>1.3</v>
          </cell>
          <cell r="Z1060">
            <v>1.3</v>
          </cell>
          <cell r="AA1060">
            <v>1.1000000000000001</v>
          </cell>
          <cell r="AB1060">
            <v>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  <cell r="Y1061">
            <v>1.7</v>
          </cell>
          <cell r="Z1061">
            <v>1.4</v>
          </cell>
          <cell r="AA1061">
            <v>1</v>
          </cell>
          <cell r="AB1061">
            <v>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  <cell r="Y1062">
            <v>1.3</v>
          </cell>
          <cell r="Z1062">
            <v>1.3</v>
          </cell>
          <cell r="AA1062">
            <v>1.1000000000000001</v>
          </cell>
          <cell r="AB1062">
            <v>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  <cell r="Y1063">
            <v>1.7</v>
          </cell>
          <cell r="Z1063">
            <v>1.4</v>
          </cell>
          <cell r="AA1063">
            <v>1</v>
          </cell>
          <cell r="AB1063">
            <v>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  <cell r="Y1064">
            <v>1.7</v>
          </cell>
          <cell r="Z1064">
            <v>1.4</v>
          </cell>
          <cell r="AA1064">
            <v>1</v>
          </cell>
          <cell r="AB1064">
            <v>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  <cell r="Y1065">
            <v>1.7</v>
          </cell>
          <cell r="Z1065">
            <v>1.4</v>
          </cell>
          <cell r="AA1065">
            <v>1</v>
          </cell>
          <cell r="AB1065">
            <v>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  <cell r="Y1066">
            <v>1.7</v>
          </cell>
          <cell r="Z1066">
            <v>1.4</v>
          </cell>
          <cell r="AA1066">
            <v>1</v>
          </cell>
          <cell r="AB1066">
            <v>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  <cell r="Y1067">
            <v>1.7</v>
          </cell>
          <cell r="Z1067">
            <v>1.4</v>
          </cell>
          <cell r="AA1067">
            <v>1</v>
          </cell>
          <cell r="AB1067">
            <v>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  <cell r="Y1068">
            <v>1.3</v>
          </cell>
          <cell r="Z1068">
            <v>1.3</v>
          </cell>
          <cell r="AA1068">
            <v>1.1000000000000001</v>
          </cell>
          <cell r="AB1068">
            <v>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  <cell r="Y1069">
            <v>1.7</v>
          </cell>
          <cell r="Z1069">
            <v>1.4</v>
          </cell>
          <cell r="AA1069">
            <v>1</v>
          </cell>
          <cell r="AB1069">
            <v>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  <cell r="Y1070">
            <v>1.7</v>
          </cell>
          <cell r="Z1070">
            <v>1.4</v>
          </cell>
          <cell r="AA1070">
            <v>1</v>
          </cell>
          <cell r="AB1070">
            <v>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  <cell r="Y1071">
            <v>1.7</v>
          </cell>
          <cell r="Z1071">
            <v>1.4</v>
          </cell>
          <cell r="AA1071">
            <v>1</v>
          </cell>
          <cell r="AB1071">
            <v>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  <cell r="Y1072">
            <v>1.7</v>
          </cell>
          <cell r="Z1072">
            <v>1.4</v>
          </cell>
          <cell r="AA1072">
            <v>1</v>
          </cell>
          <cell r="AB1072">
            <v>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  <cell r="Y1073">
            <v>1.7</v>
          </cell>
          <cell r="Z1073">
            <v>1.4</v>
          </cell>
          <cell r="AA1073">
            <v>1</v>
          </cell>
          <cell r="AB1073">
            <v>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  <cell r="Y1074">
            <v>1.7</v>
          </cell>
          <cell r="Z1074">
            <v>1.4</v>
          </cell>
          <cell r="AA1074">
            <v>1</v>
          </cell>
          <cell r="AB1074">
            <v>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  <cell r="Y1075">
            <v>1.7</v>
          </cell>
          <cell r="Z1075">
            <v>1.4</v>
          </cell>
          <cell r="AA1075">
            <v>1</v>
          </cell>
          <cell r="AB1075">
            <v>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  <cell r="Y1076">
            <v>1.7</v>
          </cell>
          <cell r="Z1076">
            <v>1.4</v>
          </cell>
          <cell r="AA1076">
            <v>1</v>
          </cell>
          <cell r="AB1076">
            <v>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  <cell r="Y1077">
            <v>1.7</v>
          </cell>
          <cell r="Z1077">
            <v>1.4</v>
          </cell>
          <cell r="AA1077">
            <v>1</v>
          </cell>
          <cell r="AB1077">
            <v>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  <cell r="Y1078">
            <v>1.7</v>
          </cell>
          <cell r="Z1078">
            <v>1.4</v>
          </cell>
          <cell r="AA1078">
            <v>1</v>
          </cell>
          <cell r="AB1078">
            <v>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  <cell r="Y1079">
            <v>1.7</v>
          </cell>
          <cell r="Z1079">
            <v>1.4</v>
          </cell>
          <cell r="AA1079">
            <v>1</v>
          </cell>
          <cell r="AB1079">
            <v>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  <cell r="Y1080">
            <v>1.1000000000000001</v>
          </cell>
          <cell r="Z1080">
            <v>1.2</v>
          </cell>
          <cell r="AA1080">
            <v>1.2</v>
          </cell>
          <cell r="AB1080">
            <v>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  <cell r="Y1081">
            <v>1.1000000000000001</v>
          </cell>
          <cell r="Z1081">
            <v>1.2</v>
          </cell>
          <cell r="AA1081">
            <v>1.2</v>
          </cell>
          <cell r="AB1081">
            <v>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  <cell r="Y1082">
            <v>1.1000000000000001</v>
          </cell>
          <cell r="Z1082">
            <v>1.2</v>
          </cell>
          <cell r="AA1082">
            <v>1.2</v>
          </cell>
          <cell r="AB1082">
            <v>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  <cell r="Y1083">
            <v>1.1000000000000001</v>
          </cell>
          <cell r="Z1083">
            <v>1.2</v>
          </cell>
          <cell r="AA1083">
            <v>1.2</v>
          </cell>
          <cell r="AB1083">
            <v>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  <cell r="Y1084">
            <v>1.7</v>
          </cell>
          <cell r="Z1084">
            <v>1.4</v>
          </cell>
          <cell r="AA1084">
            <v>1</v>
          </cell>
          <cell r="AB1084">
            <v>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  <cell r="Y1085">
            <v>1.7</v>
          </cell>
          <cell r="Z1085">
            <v>1.4</v>
          </cell>
          <cell r="AA1085">
            <v>1</v>
          </cell>
          <cell r="AB1085">
            <v>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  <cell r="Y1086">
            <v>1.7</v>
          </cell>
          <cell r="Z1086">
            <v>1.4</v>
          </cell>
          <cell r="AA1086">
            <v>1</v>
          </cell>
          <cell r="AB1086">
            <v>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  <cell r="Y1087">
            <v>1.7</v>
          </cell>
          <cell r="Z1087">
            <v>1.4</v>
          </cell>
          <cell r="AA1087">
            <v>1</v>
          </cell>
          <cell r="AB1087">
            <v>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  <cell r="Y1088">
            <v>1.7</v>
          </cell>
          <cell r="Z1088">
            <v>1.4</v>
          </cell>
          <cell r="AA1088">
            <v>1</v>
          </cell>
          <cell r="AB1088">
            <v>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  <cell r="Y1089">
            <v>1.7</v>
          </cell>
          <cell r="Z1089">
            <v>1.4</v>
          </cell>
          <cell r="AA1089">
            <v>1</v>
          </cell>
          <cell r="AB1089">
            <v>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  <cell r="Y1090">
            <v>1.7</v>
          </cell>
          <cell r="Z1090">
            <v>1.4</v>
          </cell>
          <cell r="AA1090">
            <v>1</v>
          </cell>
          <cell r="AB1090">
            <v>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  <cell r="Y1091">
            <v>1.7</v>
          </cell>
          <cell r="Z1091">
            <v>1.4</v>
          </cell>
          <cell r="AA1091">
            <v>1</v>
          </cell>
          <cell r="AB1091">
            <v>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  <cell r="Y1092">
            <v>1.7</v>
          </cell>
          <cell r="Z1092">
            <v>1.4</v>
          </cell>
          <cell r="AA1092">
            <v>1</v>
          </cell>
          <cell r="AB1092">
            <v>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  <cell r="Y1093">
            <v>1.7</v>
          </cell>
          <cell r="Z1093">
            <v>1.4</v>
          </cell>
          <cell r="AA1093">
            <v>1</v>
          </cell>
          <cell r="AB1093">
            <v>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  <cell r="Y1094">
            <v>1.7</v>
          </cell>
          <cell r="Z1094">
            <v>1.4</v>
          </cell>
          <cell r="AA1094">
            <v>1</v>
          </cell>
          <cell r="AB1094">
            <v>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  <cell r="Y1095">
            <v>1.3</v>
          </cell>
          <cell r="Z1095">
            <v>1.3</v>
          </cell>
          <cell r="AA1095">
            <v>1.1000000000000001</v>
          </cell>
          <cell r="AB1095">
            <v>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  <cell r="Y1096">
            <v>1.7</v>
          </cell>
          <cell r="Z1096">
            <v>1.4</v>
          </cell>
          <cell r="AA1096">
            <v>1</v>
          </cell>
          <cell r="AB1096">
            <v>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  <cell r="Y1097">
            <v>1.3</v>
          </cell>
          <cell r="Z1097">
            <v>1.3</v>
          </cell>
          <cell r="AA1097">
            <v>1.1000000000000001</v>
          </cell>
          <cell r="AB1097">
            <v>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  <cell r="Y1098">
            <v>1.7</v>
          </cell>
          <cell r="Z1098">
            <v>1.4</v>
          </cell>
          <cell r="AA1098">
            <v>1</v>
          </cell>
          <cell r="AB1098">
            <v>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  <cell r="Y1099">
            <v>1.7</v>
          </cell>
          <cell r="Z1099">
            <v>1.4</v>
          </cell>
          <cell r="AA1099">
            <v>1</v>
          </cell>
          <cell r="AB1099">
            <v>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  <cell r="Y1100">
            <v>1.7</v>
          </cell>
          <cell r="Z1100">
            <v>1.4</v>
          </cell>
          <cell r="AA1100">
            <v>1</v>
          </cell>
          <cell r="AB1100">
            <v>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  <cell r="Y1101">
            <v>1.7</v>
          </cell>
          <cell r="Z1101">
            <v>1.4</v>
          </cell>
          <cell r="AA1101">
            <v>1</v>
          </cell>
          <cell r="AB1101">
            <v>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  <cell r="Y1102">
            <v>1.7</v>
          </cell>
          <cell r="Z1102">
            <v>1.4</v>
          </cell>
          <cell r="AA1102">
            <v>1</v>
          </cell>
          <cell r="AB1102">
            <v>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  <cell r="Y1103">
            <v>1.7</v>
          </cell>
          <cell r="Z1103">
            <v>1.4</v>
          </cell>
          <cell r="AA1103">
            <v>1</v>
          </cell>
          <cell r="AB1103">
            <v>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  <cell r="Y1104">
            <v>1.7</v>
          </cell>
          <cell r="Z1104">
            <v>1.4</v>
          </cell>
          <cell r="AA1104">
            <v>1</v>
          </cell>
          <cell r="AB1104">
            <v>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  <cell r="Y1105">
            <v>1.3</v>
          </cell>
          <cell r="Z1105">
            <v>1.3</v>
          </cell>
          <cell r="AA1105">
            <v>1.1000000000000001</v>
          </cell>
          <cell r="AB1105">
            <v>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  <cell r="Y1106">
            <v>1.7</v>
          </cell>
          <cell r="Z1106">
            <v>1.4</v>
          </cell>
          <cell r="AA1106">
            <v>1</v>
          </cell>
          <cell r="AB1106">
            <v>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  <cell r="Y1107">
            <v>1.7</v>
          </cell>
          <cell r="Z1107">
            <v>1.4</v>
          </cell>
          <cell r="AA1107">
            <v>1</v>
          </cell>
          <cell r="AB1107">
            <v>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  <cell r="Y1108">
            <v>1.7</v>
          </cell>
          <cell r="Z1108">
            <v>1.4</v>
          </cell>
          <cell r="AA1108">
            <v>1</v>
          </cell>
          <cell r="AB1108">
            <v>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  <cell r="Y1109">
            <v>1.7</v>
          </cell>
          <cell r="Z1109">
            <v>1.4</v>
          </cell>
          <cell r="AA1109">
            <v>1</v>
          </cell>
          <cell r="AB1109">
            <v>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  <cell r="Y1110">
            <v>1.7</v>
          </cell>
          <cell r="Z1110">
            <v>1.4</v>
          </cell>
          <cell r="AA1110">
            <v>1</v>
          </cell>
          <cell r="AB1110">
            <v>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  <cell r="Y1111">
            <v>1.7</v>
          </cell>
          <cell r="Z1111">
            <v>1.4</v>
          </cell>
          <cell r="AA1111">
            <v>1</v>
          </cell>
          <cell r="AB1111">
            <v>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  <cell r="Y1112">
            <v>1.7</v>
          </cell>
          <cell r="Z1112">
            <v>1.4</v>
          </cell>
          <cell r="AA1112">
            <v>1</v>
          </cell>
          <cell r="AB1112">
            <v>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  <cell r="Y1113">
            <v>1.7</v>
          </cell>
          <cell r="Z1113">
            <v>1.4</v>
          </cell>
          <cell r="AA1113">
            <v>1</v>
          </cell>
          <cell r="AB1113">
            <v>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  <cell r="Y1114">
            <v>1.7</v>
          </cell>
          <cell r="Z1114">
            <v>1.4</v>
          </cell>
          <cell r="AA1114">
            <v>1</v>
          </cell>
          <cell r="AB1114">
            <v>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  <cell r="Y1115">
            <v>1.7</v>
          </cell>
          <cell r="Z1115">
            <v>1.4</v>
          </cell>
          <cell r="AA1115">
            <v>1</v>
          </cell>
          <cell r="AB1115">
            <v>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  <cell r="Y1116">
            <v>1.7</v>
          </cell>
          <cell r="Z1116">
            <v>1.4</v>
          </cell>
          <cell r="AA1116">
            <v>1</v>
          </cell>
          <cell r="AB1116">
            <v>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  <cell r="Y1117">
            <v>1.7</v>
          </cell>
          <cell r="Z1117">
            <v>1.4</v>
          </cell>
          <cell r="AA1117">
            <v>1</v>
          </cell>
          <cell r="AB1117">
            <v>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  <cell r="Y1118">
            <v>1.7</v>
          </cell>
          <cell r="Z1118">
            <v>1.4</v>
          </cell>
          <cell r="AA1118">
            <v>1</v>
          </cell>
          <cell r="AB1118">
            <v>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  <cell r="Y1119">
            <v>1.7</v>
          </cell>
          <cell r="Z1119">
            <v>1.4</v>
          </cell>
          <cell r="AA1119">
            <v>1</v>
          </cell>
          <cell r="AB1119">
            <v>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  <cell r="Y1120">
            <v>1.7</v>
          </cell>
          <cell r="Z1120">
            <v>1.4</v>
          </cell>
          <cell r="AA1120">
            <v>1</v>
          </cell>
          <cell r="AB1120">
            <v>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  <cell r="Y1121">
            <v>1.7</v>
          </cell>
          <cell r="Z1121">
            <v>1.4</v>
          </cell>
          <cell r="AA1121">
            <v>1</v>
          </cell>
          <cell r="AB1121">
            <v>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  <cell r="Y1122">
            <v>1.7</v>
          </cell>
          <cell r="Z1122">
            <v>1.4</v>
          </cell>
          <cell r="AA1122">
            <v>1</v>
          </cell>
          <cell r="AB1122">
            <v>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  <cell r="Y1123">
            <v>1.7</v>
          </cell>
          <cell r="Z1123">
            <v>1.4</v>
          </cell>
          <cell r="AA1123">
            <v>1</v>
          </cell>
          <cell r="AB1123">
            <v>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  <cell r="Y1124">
            <v>1.7</v>
          </cell>
          <cell r="Z1124">
            <v>1.4</v>
          </cell>
          <cell r="AA1124">
            <v>1</v>
          </cell>
          <cell r="AB1124">
            <v>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  <cell r="Y1125">
            <v>1.7</v>
          </cell>
          <cell r="Z1125">
            <v>1.4</v>
          </cell>
          <cell r="AA1125">
            <v>1</v>
          </cell>
          <cell r="AB1125">
            <v>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  <cell r="Y1126">
            <v>1.7</v>
          </cell>
          <cell r="Z1126">
            <v>1.4</v>
          </cell>
          <cell r="AA1126">
            <v>1</v>
          </cell>
          <cell r="AB1126">
            <v>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  <cell r="Y1127">
            <v>1.7</v>
          </cell>
          <cell r="Z1127">
            <v>1.4</v>
          </cell>
          <cell r="AA1127">
            <v>1</v>
          </cell>
          <cell r="AB1127">
            <v>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  <cell r="Y1128">
            <v>1.7</v>
          </cell>
          <cell r="Z1128">
            <v>1.4</v>
          </cell>
          <cell r="AA1128">
            <v>1</v>
          </cell>
          <cell r="AB1128">
            <v>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  <cell r="Y1129">
            <v>1.7</v>
          </cell>
          <cell r="Z1129">
            <v>1.4</v>
          </cell>
          <cell r="AA1129">
            <v>1</v>
          </cell>
          <cell r="AB1129">
            <v>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  <cell r="Y1130">
            <v>1.7</v>
          </cell>
          <cell r="Z1130">
            <v>1.4</v>
          </cell>
          <cell r="AA1130">
            <v>1</v>
          </cell>
          <cell r="AB1130">
            <v>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  <cell r="Y1131">
            <v>1.7</v>
          </cell>
          <cell r="Z1131">
            <v>1.4</v>
          </cell>
          <cell r="AA1131">
            <v>1</v>
          </cell>
          <cell r="AB1131">
            <v>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  <cell r="Y1132">
            <v>1.7</v>
          </cell>
          <cell r="Z1132">
            <v>1.4</v>
          </cell>
          <cell r="AA1132">
            <v>1</v>
          </cell>
          <cell r="AB1132">
            <v>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  <cell r="Y1133">
            <v>1.7</v>
          </cell>
          <cell r="Z1133">
            <v>1.4</v>
          </cell>
          <cell r="AA1133">
            <v>1</v>
          </cell>
          <cell r="AB1133">
            <v>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  <cell r="Y1134">
            <v>1.7</v>
          </cell>
          <cell r="Z1134">
            <v>1.4</v>
          </cell>
          <cell r="AA1134">
            <v>1</v>
          </cell>
          <cell r="AB1134">
            <v>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  <cell r="Y1135">
            <v>1.7</v>
          </cell>
          <cell r="Z1135">
            <v>1.4</v>
          </cell>
          <cell r="AA1135">
            <v>1</v>
          </cell>
          <cell r="AB1135">
            <v>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  <cell r="Y1136">
            <v>1.7</v>
          </cell>
          <cell r="Z1136">
            <v>1.4</v>
          </cell>
          <cell r="AA1136">
            <v>1</v>
          </cell>
          <cell r="AB1136">
            <v>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  <cell r="Y1137">
            <v>1.7</v>
          </cell>
          <cell r="Z1137">
            <v>1.4</v>
          </cell>
          <cell r="AA1137">
            <v>1</v>
          </cell>
          <cell r="AB1137">
            <v>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  <cell r="Y1138">
            <v>1.7</v>
          </cell>
          <cell r="Z1138">
            <v>1.4</v>
          </cell>
          <cell r="AA1138">
            <v>1</v>
          </cell>
          <cell r="AB1138">
            <v>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  <cell r="Y1139">
            <v>1.7</v>
          </cell>
          <cell r="Z1139">
            <v>1.4</v>
          </cell>
          <cell r="AA1139">
            <v>1</v>
          </cell>
          <cell r="AB1139">
            <v>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  <cell r="Y1140">
            <v>1.7</v>
          </cell>
          <cell r="Z1140">
            <v>1.4</v>
          </cell>
          <cell r="AA1140">
            <v>1</v>
          </cell>
          <cell r="AB1140">
            <v>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  <cell r="Y1141">
            <v>1.7</v>
          </cell>
          <cell r="Z1141">
            <v>1.4</v>
          </cell>
          <cell r="AA1141">
            <v>1</v>
          </cell>
          <cell r="AB1141">
            <v>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  <cell r="Y1142">
            <v>1.7</v>
          </cell>
          <cell r="Z1142">
            <v>1.4</v>
          </cell>
          <cell r="AA1142">
            <v>1</v>
          </cell>
          <cell r="AB1142">
            <v>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  <cell r="Y1143">
            <v>1.7</v>
          </cell>
          <cell r="Z1143">
            <v>1.4</v>
          </cell>
          <cell r="AA1143">
            <v>1</v>
          </cell>
          <cell r="AB1143">
            <v>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  <cell r="Y1144">
            <v>1.3</v>
          </cell>
          <cell r="Z1144">
            <v>1.3</v>
          </cell>
          <cell r="AA1144">
            <v>1.1000000000000001</v>
          </cell>
          <cell r="AB1144">
            <v>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  <cell r="Y1145">
            <v>1.7</v>
          </cell>
          <cell r="Z1145">
            <v>1.4</v>
          </cell>
          <cell r="AA1145">
            <v>1</v>
          </cell>
          <cell r="AB1145">
            <v>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  <cell r="Y1146">
            <v>1.3</v>
          </cell>
          <cell r="Z1146">
            <v>1.3</v>
          </cell>
          <cell r="AA1146">
            <v>1.1000000000000001</v>
          </cell>
          <cell r="AB1146">
            <v>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  <cell r="Y1147">
            <v>1.7</v>
          </cell>
          <cell r="Z1147">
            <v>1.4</v>
          </cell>
          <cell r="AA1147">
            <v>1</v>
          </cell>
          <cell r="AB1147">
            <v>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  <cell r="Y1148">
            <v>1.7</v>
          </cell>
          <cell r="Z1148">
            <v>1.4</v>
          </cell>
          <cell r="AA1148">
            <v>1</v>
          </cell>
          <cell r="AB1148">
            <v>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  <cell r="Y1149">
            <v>1.7</v>
          </cell>
          <cell r="Z1149">
            <v>1.4</v>
          </cell>
          <cell r="AA1149">
            <v>1</v>
          </cell>
          <cell r="AB1149">
            <v>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  <cell r="Y1150">
            <v>1.7</v>
          </cell>
          <cell r="Z1150">
            <v>1.4</v>
          </cell>
          <cell r="AA1150">
            <v>1</v>
          </cell>
          <cell r="AB1150">
            <v>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  <cell r="Y1151">
            <v>1.7</v>
          </cell>
          <cell r="Z1151">
            <v>1.4</v>
          </cell>
          <cell r="AA1151">
            <v>1</v>
          </cell>
          <cell r="AB1151">
            <v>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  <cell r="Y1152">
            <v>1.3</v>
          </cell>
          <cell r="Z1152">
            <v>1.3</v>
          </cell>
          <cell r="AA1152">
            <v>1.1000000000000001</v>
          </cell>
          <cell r="AB1152">
            <v>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  <cell r="Y1153">
            <v>1.7</v>
          </cell>
          <cell r="Z1153">
            <v>1.4</v>
          </cell>
          <cell r="AA1153">
            <v>1</v>
          </cell>
          <cell r="AB1153">
            <v>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  <cell r="Y1154">
            <v>1.7</v>
          </cell>
          <cell r="Z1154">
            <v>1.4</v>
          </cell>
          <cell r="AA1154">
            <v>1</v>
          </cell>
          <cell r="AB1154">
            <v>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  <cell r="Y1155">
            <v>1.7</v>
          </cell>
          <cell r="Z1155">
            <v>1.4</v>
          </cell>
          <cell r="AA1155">
            <v>1</v>
          </cell>
          <cell r="AB1155">
            <v>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  <cell r="Y1156">
            <v>1.7</v>
          </cell>
          <cell r="Z1156">
            <v>1.4</v>
          </cell>
          <cell r="AA1156">
            <v>1</v>
          </cell>
          <cell r="AB1156">
            <v>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  <cell r="Y1157">
            <v>1.7</v>
          </cell>
          <cell r="Z1157">
            <v>1.4</v>
          </cell>
          <cell r="AA1157">
            <v>1</v>
          </cell>
          <cell r="AB1157">
            <v>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  <cell r="Y1158">
            <v>1.7</v>
          </cell>
          <cell r="Z1158">
            <v>1.4</v>
          </cell>
          <cell r="AA1158">
            <v>1</v>
          </cell>
          <cell r="AB1158">
            <v>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  <cell r="Y1159">
            <v>1.7</v>
          </cell>
          <cell r="Z1159">
            <v>1.4</v>
          </cell>
          <cell r="AA1159">
            <v>1</v>
          </cell>
          <cell r="AB1159">
            <v>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  <cell r="Y1160">
            <v>1.7</v>
          </cell>
          <cell r="Z1160">
            <v>1.4</v>
          </cell>
          <cell r="AA1160">
            <v>1</v>
          </cell>
          <cell r="AB1160">
            <v>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  <cell r="Y1161">
            <v>1.7</v>
          </cell>
          <cell r="Z1161">
            <v>1.4</v>
          </cell>
          <cell r="AA1161">
            <v>1</v>
          </cell>
          <cell r="AB1161">
            <v>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  <cell r="Y1162">
            <v>1.7</v>
          </cell>
          <cell r="Z1162">
            <v>1.4</v>
          </cell>
          <cell r="AA1162">
            <v>1</v>
          </cell>
          <cell r="AB1162">
            <v>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  <cell r="Y1163">
            <v>1.7</v>
          </cell>
          <cell r="Z1163">
            <v>1.4</v>
          </cell>
          <cell r="AA1163">
            <v>1</v>
          </cell>
          <cell r="AB1163">
            <v>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  <cell r="Y1164">
            <v>1.7</v>
          </cell>
          <cell r="Z1164">
            <v>1.4</v>
          </cell>
          <cell r="AA1164">
            <v>1</v>
          </cell>
          <cell r="AB1164">
            <v>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  <cell r="Y1165">
            <v>1.7</v>
          </cell>
          <cell r="Z1165">
            <v>1.4</v>
          </cell>
          <cell r="AA1165">
            <v>1</v>
          </cell>
          <cell r="AB1165">
            <v>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  <cell r="Y1166">
            <v>1.7</v>
          </cell>
          <cell r="Z1166">
            <v>1.4</v>
          </cell>
          <cell r="AA1166">
            <v>1</v>
          </cell>
          <cell r="AB1166">
            <v>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  <cell r="Y1167">
            <v>1.7</v>
          </cell>
          <cell r="Z1167">
            <v>1.4</v>
          </cell>
          <cell r="AA1167">
            <v>1</v>
          </cell>
          <cell r="AB1167">
            <v>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  <cell r="Y1168">
            <v>1.7</v>
          </cell>
          <cell r="Z1168">
            <v>1.4</v>
          </cell>
          <cell r="AA1168">
            <v>1</v>
          </cell>
          <cell r="AB1168">
            <v>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  <cell r="Y1169">
            <v>1.7</v>
          </cell>
          <cell r="Z1169">
            <v>1.4</v>
          </cell>
          <cell r="AA1169">
            <v>1</v>
          </cell>
          <cell r="AB1169">
            <v>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  <cell r="Y1170">
            <v>1.7</v>
          </cell>
          <cell r="Z1170">
            <v>1.4</v>
          </cell>
          <cell r="AA1170">
            <v>1</v>
          </cell>
          <cell r="AB1170">
            <v>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  <cell r="Y1171">
            <v>1.7</v>
          </cell>
          <cell r="Z1171">
            <v>1.4</v>
          </cell>
          <cell r="AA1171">
            <v>1</v>
          </cell>
          <cell r="AB1171">
            <v>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  <cell r="Y1172">
            <v>1.7</v>
          </cell>
          <cell r="Z1172">
            <v>1.4</v>
          </cell>
          <cell r="AA1172">
            <v>1</v>
          </cell>
          <cell r="AB1172">
            <v>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  <cell r="Y1173">
            <v>1.7</v>
          </cell>
          <cell r="Z1173">
            <v>1.4</v>
          </cell>
          <cell r="AA1173">
            <v>1</v>
          </cell>
          <cell r="AB1173">
            <v>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  <cell r="Y1174">
            <v>1.7</v>
          </cell>
          <cell r="Z1174">
            <v>1.4</v>
          </cell>
          <cell r="AA1174">
            <v>1</v>
          </cell>
          <cell r="AB1174">
            <v>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  <cell r="Y1175">
            <v>1.7</v>
          </cell>
          <cell r="Z1175">
            <v>1.4</v>
          </cell>
          <cell r="AA1175">
            <v>1</v>
          </cell>
          <cell r="AB1175">
            <v>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  <cell r="Y1176">
            <v>1.7</v>
          </cell>
          <cell r="Z1176">
            <v>1.4</v>
          </cell>
          <cell r="AA1176">
            <v>1</v>
          </cell>
          <cell r="AB1176">
            <v>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  <cell r="Y1177">
            <v>1.7</v>
          </cell>
          <cell r="Z1177">
            <v>1.4</v>
          </cell>
          <cell r="AA1177">
            <v>1</v>
          </cell>
          <cell r="AB1177">
            <v>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  <cell r="Y1178">
            <v>1.7</v>
          </cell>
          <cell r="Z1178">
            <v>1.4</v>
          </cell>
          <cell r="AA1178">
            <v>1</v>
          </cell>
          <cell r="AB1178">
            <v>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  <cell r="Y1179">
            <v>1.7</v>
          </cell>
          <cell r="Z1179">
            <v>1.4</v>
          </cell>
          <cell r="AA1179">
            <v>1</v>
          </cell>
          <cell r="AB1179">
            <v>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  <cell r="Y1180">
            <v>1.7</v>
          </cell>
          <cell r="Z1180">
            <v>1.4</v>
          </cell>
          <cell r="AA1180">
            <v>1</v>
          </cell>
          <cell r="AB1180">
            <v>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  <cell r="Y1181">
            <v>1.7</v>
          </cell>
          <cell r="Z1181">
            <v>1.4</v>
          </cell>
          <cell r="AA1181">
            <v>1</v>
          </cell>
          <cell r="AB1181">
            <v>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  <cell r="Y1182">
            <v>1.7</v>
          </cell>
          <cell r="Z1182">
            <v>1.4</v>
          </cell>
          <cell r="AA1182">
            <v>1</v>
          </cell>
          <cell r="AB1182">
            <v>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  <cell r="Y1183">
            <v>1.7</v>
          </cell>
          <cell r="Z1183">
            <v>1.4</v>
          </cell>
          <cell r="AA1183">
            <v>1</v>
          </cell>
          <cell r="AB1183">
            <v>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  <cell r="Y1184">
            <v>1.7</v>
          </cell>
          <cell r="Z1184">
            <v>1.4</v>
          </cell>
          <cell r="AA1184">
            <v>1</v>
          </cell>
          <cell r="AB1184">
            <v>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  <cell r="Y1185">
            <v>1.7</v>
          </cell>
          <cell r="Z1185">
            <v>1.4</v>
          </cell>
          <cell r="AA1185">
            <v>1</v>
          </cell>
          <cell r="AB1185">
            <v>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  <cell r="Y1186">
            <v>1.7</v>
          </cell>
          <cell r="Z1186">
            <v>1.4</v>
          </cell>
          <cell r="AA1186">
            <v>1</v>
          </cell>
          <cell r="AB1186">
            <v>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  <cell r="Y1187">
            <v>1.7</v>
          </cell>
          <cell r="Z1187">
            <v>1.4</v>
          </cell>
          <cell r="AA1187">
            <v>1</v>
          </cell>
          <cell r="AB1187">
            <v>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  <cell r="Y1188">
            <v>1</v>
          </cell>
          <cell r="Z1188">
            <v>1</v>
          </cell>
          <cell r="AA1188">
            <v>1</v>
          </cell>
          <cell r="AB1188">
            <v>0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  <cell r="Y1189">
            <v>1</v>
          </cell>
          <cell r="Z1189">
            <v>1</v>
          </cell>
          <cell r="AA1189">
            <v>1</v>
          </cell>
          <cell r="AB1189">
            <v>0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  <cell r="Y1190">
            <v>1</v>
          </cell>
          <cell r="Z1190">
            <v>1</v>
          </cell>
          <cell r="AA1190">
            <v>1</v>
          </cell>
          <cell r="AB1190">
            <v>0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  <cell r="Y1191">
            <v>1</v>
          </cell>
          <cell r="Z1191">
            <v>1</v>
          </cell>
          <cell r="AA1191">
            <v>1</v>
          </cell>
          <cell r="AB1191">
            <v>0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  <cell r="Y1192">
            <v>1.7</v>
          </cell>
          <cell r="Z1192">
            <v>1.4</v>
          </cell>
          <cell r="AA1192">
            <v>1</v>
          </cell>
          <cell r="AB1192">
            <v>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  <cell r="Y1193">
            <v>1.7</v>
          </cell>
          <cell r="Z1193">
            <v>1.4</v>
          </cell>
          <cell r="AA1193">
            <v>1</v>
          </cell>
          <cell r="AB1193">
            <v>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  <cell r="Y1194">
            <v>1.7</v>
          </cell>
          <cell r="Z1194">
            <v>1.4</v>
          </cell>
          <cell r="AA1194">
            <v>1</v>
          </cell>
          <cell r="AB1194">
            <v>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  <cell r="Y1195">
            <v>1.7</v>
          </cell>
          <cell r="Z1195">
            <v>1.4</v>
          </cell>
          <cell r="AA1195">
            <v>1</v>
          </cell>
          <cell r="AB1195">
            <v>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  <cell r="Y1196">
            <v>1.7</v>
          </cell>
          <cell r="Z1196">
            <v>1.4</v>
          </cell>
          <cell r="AA1196">
            <v>1</v>
          </cell>
          <cell r="AB1196">
            <v>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  <cell r="Y1197">
            <v>1.7</v>
          </cell>
          <cell r="Z1197">
            <v>1.4</v>
          </cell>
          <cell r="AA1197">
            <v>1</v>
          </cell>
          <cell r="AB1197">
            <v>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  <cell r="Y1198">
            <v>1.7</v>
          </cell>
          <cell r="Z1198">
            <v>1.4</v>
          </cell>
          <cell r="AA1198">
            <v>1</v>
          </cell>
          <cell r="AB1198">
            <v>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  <cell r="Y1199">
            <v>1.7</v>
          </cell>
          <cell r="Z1199">
            <v>1.4</v>
          </cell>
          <cell r="AA1199">
            <v>1</v>
          </cell>
          <cell r="AB1199">
            <v>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  <cell r="Y1200">
            <v>1.7</v>
          </cell>
          <cell r="Z1200">
            <v>1.4</v>
          </cell>
          <cell r="AA1200">
            <v>1</v>
          </cell>
          <cell r="AB1200">
            <v>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  <cell r="Y1201">
            <v>1.3</v>
          </cell>
          <cell r="Z1201">
            <v>1.3</v>
          </cell>
          <cell r="AA1201">
            <v>1.1000000000000001</v>
          </cell>
          <cell r="AB1201">
            <v>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  <cell r="Y1202">
            <v>1.7</v>
          </cell>
          <cell r="Z1202">
            <v>1.4</v>
          </cell>
          <cell r="AA1202">
            <v>1</v>
          </cell>
          <cell r="AB1202">
            <v>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  <cell r="Y1203">
            <v>1.7</v>
          </cell>
          <cell r="Z1203">
            <v>1.4</v>
          </cell>
          <cell r="AA1203">
            <v>1</v>
          </cell>
          <cell r="AB1203">
            <v>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  <cell r="Y1204">
            <v>1.7</v>
          </cell>
          <cell r="Z1204">
            <v>1.4</v>
          </cell>
          <cell r="AA1204">
            <v>1</v>
          </cell>
          <cell r="AB1204">
            <v>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  <cell r="Y1205">
            <v>1.7</v>
          </cell>
          <cell r="Z1205">
            <v>1.4</v>
          </cell>
          <cell r="AA1205">
            <v>1</v>
          </cell>
          <cell r="AB1205">
            <v>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  <cell r="Y1206">
            <v>1.7</v>
          </cell>
          <cell r="Z1206">
            <v>1.4</v>
          </cell>
          <cell r="AA1206">
            <v>1</v>
          </cell>
          <cell r="AB1206">
            <v>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  <cell r="Y1207">
            <v>1.7</v>
          </cell>
          <cell r="Z1207">
            <v>1.4</v>
          </cell>
          <cell r="AA1207">
            <v>1</v>
          </cell>
          <cell r="AB1207">
            <v>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  <cell r="Y1208">
            <v>1.7</v>
          </cell>
          <cell r="Z1208">
            <v>1.4</v>
          </cell>
          <cell r="AA1208">
            <v>1</v>
          </cell>
          <cell r="AB1208">
            <v>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  <cell r="Y1209">
            <v>1.7</v>
          </cell>
          <cell r="Z1209">
            <v>1.4</v>
          </cell>
          <cell r="AA1209">
            <v>1</v>
          </cell>
          <cell r="AB1209">
            <v>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  <cell r="Y1210">
            <v>1.7</v>
          </cell>
          <cell r="Z1210">
            <v>1.4</v>
          </cell>
          <cell r="AA1210">
            <v>1</v>
          </cell>
          <cell r="AB1210">
            <v>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  <cell r="Y1211">
            <v>1.3</v>
          </cell>
          <cell r="Z1211">
            <v>1.3</v>
          </cell>
          <cell r="AA1211">
            <v>1.1000000000000001</v>
          </cell>
          <cell r="AB1211">
            <v>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  <cell r="Y1212">
            <v>1.7</v>
          </cell>
          <cell r="Z1212">
            <v>1.4</v>
          </cell>
          <cell r="AA1212">
            <v>1</v>
          </cell>
          <cell r="AB1212">
            <v>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  <cell r="Y1213">
            <v>1.7</v>
          </cell>
          <cell r="Z1213">
            <v>1.4</v>
          </cell>
          <cell r="AA1213">
            <v>1</v>
          </cell>
          <cell r="AB1213">
            <v>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  <cell r="Y1214">
            <v>1.7</v>
          </cell>
          <cell r="Z1214">
            <v>1.4</v>
          </cell>
          <cell r="AA1214">
            <v>1</v>
          </cell>
          <cell r="AB1214">
            <v>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  <cell r="Y1215">
            <v>1.7</v>
          </cell>
          <cell r="Z1215">
            <v>1.4</v>
          </cell>
          <cell r="AA1215">
            <v>1</v>
          </cell>
          <cell r="AB1215">
            <v>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  <cell r="Y1216">
            <v>1.7</v>
          </cell>
          <cell r="Z1216">
            <v>1.4</v>
          </cell>
          <cell r="AA1216">
            <v>1</v>
          </cell>
          <cell r="AB1216">
            <v>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  <cell r="Y1217">
            <v>1.3</v>
          </cell>
          <cell r="Z1217">
            <v>1.3</v>
          </cell>
          <cell r="AA1217">
            <v>1.1000000000000001</v>
          </cell>
          <cell r="AB1217">
            <v>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  <cell r="Y1218">
            <v>1.7</v>
          </cell>
          <cell r="Z1218">
            <v>1.4</v>
          </cell>
          <cell r="AA1218">
            <v>1</v>
          </cell>
          <cell r="AB1218">
            <v>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  <cell r="Y1219">
            <v>1.7</v>
          </cell>
          <cell r="Z1219">
            <v>1.4</v>
          </cell>
          <cell r="AA1219">
            <v>1</v>
          </cell>
          <cell r="AB1219">
            <v>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  <cell r="Y1220">
            <v>1.7</v>
          </cell>
          <cell r="Z1220">
            <v>1.4</v>
          </cell>
          <cell r="AA1220">
            <v>1</v>
          </cell>
          <cell r="AB1220">
            <v>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  <cell r="Y1221">
            <v>1.7</v>
          </cell>
          <cell r="Z1221">
            <v>1.4</v>
          </cell>
          <cell r="AA1221">
            <v>1</v>
          </cell>
          <cell r="AB1221">
            <v>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  <cell r="Y1222">
            <v>1.7</v>
          </cell>
          <cell r="Z1222">
            <v>1.4</v>
          </cell>
          <cell r="AA1222">
            <v>1</v>
          </cell>
          <cell r="AB1222">
            <v>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  <cell r="Y1223">
            <v>1.7</v>
          </cell>
          <cell r="Z1223">
            <v>1.4</v>
          </cell>
          <cell r="AA1223">
            <v>1</v>
          </cell>
          <cell r="AB1223">
            <v>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  <cell r="Y1224">
            <v>1.7</v>
          </cell>
          <cell r="Z1224">
            <v>1.4</v>
          </cell>
          <cell r="AA1224">
            <v>1</v>
          </cell>
          <cell r="AB1224">
            <v>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  <cell r="Y1225">
            <v>1.3</v>
          </cell>
          <cell r="Z1225">
            <v>1.3</v>
          </cell>
          <cell r="AA1225">
            <v>1.1000000000000001</v>
          </cell>
          <cell r="AB1225">
            <v>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  <cell r="Y1226">
            <v>1.7</v>
          </cell>
          <cell r="Z1226">
            <v>1.4</v>
          </cell>
          <cell r="AA1226">
            <v>1</v>
          </cell>
          <cell r="AB1226">
            <v>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  <cell r="Y1227">
            <v>1.7</v>
          </cell>
          <cell r="Z1227">
            <v>1.4</v>
          </cell>
          <cell r="AA1227">
            <v>1</v>
          </cell>
          <cell r="AB1227">
            <v>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  <cell r="Y1228">
            <v>1.7</v>
          </cell>
          <cell r="Z1228">
            <v>1.4</v>
          </cell>
          <cell r="AA1228">
            <v>1</v>
          </cell>
          <cell r="AB1228">
            <v>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  <cell r="Y1229">
            <v>1.7</v>
          </cell>
          <cell r="Z1229">
            <v>1.4</v>
          </cell>
          <cell r="AA1229">
            <v>1</v>
          </cell>
          <cell r="AB1229">
            <v>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  <cell r="Y1230">
            <v>1.7</v>
          </cell>
          <cell r="Z1230">
            <v>1.4</v>
          </cell>
          <cell r="AA1230">
            <v>1</v>
          </cell>
          <cell r="AB1230">
            <v>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  <cell r="Y1231">
            <v>1.7</v>
          </cell>
          <cell r="Z1231">
            <v>1.4</v>
          </cell>
          <cell r="AA1231">
            <v>1</v>
          </cell>
          <cell r="AB1231">
            <v>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  <cell r="Y1232">
            <v>1.7</v>
          </cell>
          <cell r="Z1232">
            <v>1.4</v>
          </cell>
          <cell r="AA1232">
            <v>1</v>
          </cell>
          <cell r="AB1232">
            <v>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  <cell r="Y1233">
            <v>1.7</v>
          </cell>
          <cell r="Z1233">
            <v>1.4</v>
          </cell>
          <cell r="AA1233">
            <v>1</v>
          </cell>
          <cell r="AB1233">
            <v>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  <cell r="Y1234">
            <v>1.7</v>
          </cell>
          <cell r="Z1234">
            <v>1.4</v>
          </cell>
          <cell r="AA1234">
            <v>1</v>
          </cell>
          <cell r="AB1234">
            <v>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  <cell r="Y1235">
            <v>1.7</v>
          </cell>
          <cell r="Z1235">
            <v>1.4</v>
          </cell>
          <cell r="AA1235">
            <v>1</v>
          </cell>
          <cell r="AB1235">
            <v>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  <cell r="Y1236">
            <v>1.7</v>
          </cell>
          <cell r="Z1236">
            <v>1.4</v>
          </cell>
          <cell r="AA1236">
            <v>1</v>
          </cell>
          <cell r="AB1236">
            <v>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  <cell r="Y1237">
            <v>1.3</v>
          </cell>
          <cell r="Z1237">
            <v>1.3</v>
          </cell>
          <cell r="AA1237">
            <v>1.1000000000000001</v>
          </cell>
          <cell r="AB1237">
            <v>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  <cell r="Y1238">
            <v>1.7</v>
          </cell>
          <cell r="Z1238">
            <v>1.4</v>
          </cell>
          <cell r="AA1238">
            <v>1</v>
          </cell>
          <cell r="AB1238">
            <v>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  <cell r="Y1239">
            <v>1.7</v>
          </cell>
          <cell r="Z1239">
            <v>1.4</v>
          </cell>
          <cell r="AA1239">
            <v>1</v>
          </cell>
          <cell r="AB1239">
            <v>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  <cell r="Y1240">
            <v>1.7</v>
          </cell>
          <cell r="Z1240">
            <v>1.4</v>
          </cell>
          <cell r="AA1240">
            <v>1</v>
          </cell>
          <cell r="AB1240">
            <v>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  <cell r="Y1241">
            <v>1.7</v>
          </cell>
          <cell r="Z1241">
            <v>1.4</v>
          </cell>
          <cell r="AA1241">
            <v>1</v>
          </cell>
          <cell r="AB1241">
            <v>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  <cell r="Y1242">
            <v>1.7</v>
          </cell>
          <cell r="Z1242">
            <v>1.4</v>
          </cell>
          <cell r="AA1242">
            <v>1</v>
          </cell>
          <cell r="AB1242">
            <v>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  <cell r="Y1243">
            <v>1.7</v>
          </cell>
          <cell r="Z1243">
            <v>1.4</v>
          </cell>
          <cell r="AA1243">
            <v>1</v>
          </cell>
          <cell r="AB1243">
            <v>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  <cell r="Y1244">
            <v>1.7</v>
          </cell>
          <cell r="Z1244">
            <v>1.4</v>
          </cell>
          <cell r="AA1244">
            <v>1</v>
          </cell>
          <cell r="AB1244">
            <v>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  <cell r="Y1245">
            <v>1.7</v>
          </cell>
          <cell r="Z1245">
            <v>1.4</v>
          </cell>
          <cell r="AA1245">
            <v>1</v>
          </cell>
          <cell r="AB1245">
            <v>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  <cell r="Y1246">
            <v>1.7</v>
          </cell>
          <cell r="Z1246">
            <v>1.4</v>
          </cell>
          <cell r="AA1246">
            <v>1</v>
          </cell>
          <cell r="AB1246">
            <v>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  <cell r="Y1247">
            <v>1.7</v>
          </cell>
          <cell r="Z1247">
            <v>1.4</v>
          </cell>
          <cell r="AA1247">
            <v>1</v>
          </cell>
          <cell r="AB1247">
            <v>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  <cell r="Y1248">
            <v>1.7</v>
          </cell>
          <cell r="Z1248">
            <v>1.4</v>
          </cell>
          <cell r="AA1248">
            <v>1</v>
          </cell>
          <cell r="AB1248">
            <v>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  <cell r="Y1249">
            <v>1.3</v>
          </cell>
          <cell r="Z1249">
            <v>1.3</v>
          </cell>
          <cell r="AA1249">
            <v>1.1000000000000001</v>
          </cell>
          <cell r="AB1249">
            <v>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  <cell r="Y1250">
            <v>1.7</v>
          </cell>
          <cell r="Z1250">
            <v>1.4</v>
          </cell>
          <cell r="AA1250">
            <v>1</v>
          </cell>
          <cell r="AB1250">
            <v>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  <cell r="Y1251">
            <v>1.7</v>
          </cell>
          <cell r="Z1251">
            <v>1.4</v>
          </cell>
          <cell r="AA1251">
            <v>1</v>
          </cell>
          <cell r="AB1251">
            <v>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  <cell r="Y1252">
            <v>1.7</v>
          </cell>
          <cell r="Z1252">
            <v>1.4</v>
          </cell>
          <cell r="AA1252">
            <v>1</v>
          </cell>
          <cell r="AB1252">
            <v>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  <cell r="Y1253">
            <v>1.3</v>
          </cell>
          <cell r="Z1253">
            <v>1.3</v>
          </cell>
          <cell r="AA1253">
            <v>1.1000000000000001</v>
          </cell>
          <cell r="AB1253">
            <v>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  <cell r="Y1254">
            <v>1.7</v>
          </cell>
          <cell r="Z1254">
            <v>1.4</v>
          </cell>
          <cell r="AA1254">
            <v>1</v>
          </cell>
          <cell r="AB1254">
            <v>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  <cell r="Y1255">
            <v>1.7</v>
          </cell>
          <cell r="Z1255">
            <v>1.4</v>
          </cell>
          <cell r="AA1255">
            <v>1</v>
          </cell>
          <cell r="AB1255">
            <v>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  <cell r="Y1256">
            <v>1.7</v>
          </cell>
          <cell r="Z1256">
            <v>1.4</v>
          </cell>
          <cell r="AA1256">
            <v>1</v>
          </cell>
          <cell r="AB1256">
            <v>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  <cell r="Y1257">
            <v>1.7</v>
          </cell>
          <cell r="Z1257">
            <v>1.4</v>
          </cell>
          <cell r="AA1257">
            <v>1</v>
          </cell>
          <cell r="AB1257">
            <v>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  <cell r="Y1258">
            <v>1.7</v>
          </cell>
          <cell r="Z1258">
            <v>1.4</v>
          </cell>
          <cell r="AA1258">
            <v>1</v>
          </cell>
          <cell r="AB1258">
            <v>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  <cell r="Y1259">
            <v>1.7</v>
          </cell>
          <cell r="Z1259">
            <v>1.4</v>
          </cell>
          <cell r="AA1259">
            <v>1</v>
          </cell>
          <cell r="AB1259">
            <v>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  <cell r="Y1260">
            <v>1.7</v>
          </cell>
          <cell r="Z1260">
            <v>1.4</v>
          </cell>
          <cell r="AA1260">
            <v>1</v>
          </cell>
          <cell r="AB1260">
            <v>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  <cell r="Y1261">
            <v>1.7</v>
          </cell>
          <cell r="Z1261">
            <v>1.4</v>
          </cell>
          <cell r="AA1261">
            <v>1</v>
          </cell>
          <cell r="AB1261">
            <v>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  <cell r="Y1262">
            <v>1.7</v>
          </cell>
          <cell r="Z1262">
            <v>1.4</v>
          </cell>
          <cell r="AA1262">
            <v>1</v>
          </cell>
          <cell r="AB1262">
            <v>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  <cell r="Y1263">
            <v>1.7</v>
          </cell>
          <cell r="Z1263">
            <v>1.4</v>
          </cell>
          <cell r="AA1263">
            <v>1</v>
          </cell>
          <cell r="AB1263">
            <v>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  <cell r="Y1264">
            <v>1.7</v>
          </cell>
          <cell r="Z1264">
            <v>1.4</v>
          </cell>
          <cell r="AA1264">
            <v>1</v>
          </cell>
          <cell r="AB1264">
            <v>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  <cell r="Y1265">
            <v>1.7</v>
          </cell>
          <cell r="Z1265">
            <v>1.4</v>
          </cell>
          <cell r="AA1265">
            <v>1</v>
          </cell>
          <cell r="AB1265">
            <v>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  <cell r="Y1266">
            <v>1.7</v>
          </cell>
          <cell r="Z1266">
            <v>1.4</v>
          </cell>
          <cell r="AA1266">
            <v>1</v>
          </cell>
          <cell r="AB1266">
            <v>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  <cell r="Y1267">
            <v>1.3</v>
          </cell>
          <cell r="Z1267">
            <v>1.3</v>
          </cell>
          <cell r="AA1267">
            <v>1.1000000000000001</v>
          </cell>
          <cell r="AB1267">
            <v>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  <cell r="Y1268">
            <v>1.7</v>
          </cell>
          <cell r="Z1268">
            <v>1.4</v>
          </cell>
          <cell r="AA1268">
            <v>1</v>
          </cell>
          <cell r="AB1268">
            <v>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  <cell r="Y1269">
            <v>1.7</v>
          </cell>
          <cell r="Z1269">
            <v>1.4</v>
          </cell>
          <cell r="AA1269">
            <v>1</v>
          </cell>
          <cell r="AB1269">
            <v>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  <cell r="Y1270">
            <v>1.7</v>
          </cell>
          <cell r="Z1270">
            <v>1.4</v>
          </cell>
          <cell r="AA1270">
            <v>1</v>
          </cell>
          <cell r="AB1270">
            <v>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  <cell r="Y1271">
            <v>1.7</v>
          </cell>
          <cell r="Z1271">
            <v>1.4</v>
          </cell>
          <cell r="AA1271">
            <v>1</v>
          </cell>
          <cell r="AB1271">
            <v>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  <cell r="Y1272">
            <v>1.7</v>
          </cell>
          <cell r="Z1272">
            <v>1.4</v>
          </cell>
          <cell r="AA1272">
            <v>1</v>
          </cell>
          <cell r="AB1272">
            <v>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  <cell r="Y1273">
            <v>1.7</v>
          </cell>
          <cell r="Z1273">
            <v>1.4</v>
          </cell>
          <cell r="AA1273">
            <v>1</v>
          </cell>
          <cell r="AB1273">
            <v>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  <cell r="Y1274">
            <v>1.7</v>
          </cell>
          <cell r="Z1274">
            <v>1.4</v>
          </cell>
          <cell r="AA1274">
            <v>1</v>
          </cell>
          <cell r="AB1274">
            <v>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  <cell r="Y1275">
            <v>1.7</v>
          </cell>
          <cell r="Z1275">
            <v>1.4</v>
          </cell>
          <cell r="AA1275">
            <v>1</v>
          </cell>
          <cell r="AB1275">
            <v>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  <cell r="Y1276">
            <v>1.7</v>
          </cell>
          <cell r="Z1276">
            <v>1.4</v>
          </cell>
          <cell r="AA1276">
            <v>1</v>
          </cell>
          <cell r="AB1276">
            <v>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  <cell r="Y1277">
            <v>1.7</v>
          </cell>
          <cell r="Z1277">
            <v>1.4</v>
          </cell>
          <cell r="AA1277">
            <v>1</v>
          </cell>
          <cell r="AB1277">
            <v>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  <cell r="Y1278">
            <v>1.7</v>
          </cell>
          <cell r="Z1278">
            <v>1.4</v>
          </cell>
          <cell r="AA1278">
            <v>1</v>
          </cell>
          <cell r="AB1278">
            <v>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  <cell r="Y1279">
            <v>1.7</v>
          </cell>
          <cell r="Z1279">
            <v>1.4</v>
          </cell>
          <cell r="AA1279">
            <v>1</v>
          </cell>
          <cell r="AB1279">
            <v>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  <cell r="Y1280">
            <v>1.7</v>
          </cell>
          <cell r="Z1280">
            <v>1.4</v>
          </cell>
          <cell r="AA1280">
            <v>1</v>
          </cell>
          <cell r="AB1280">
            <v>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  <cell r="Y1281">
            <v>1.7</v>
          </cell>
          <cell r="Z1281">
            <v>1.4</v>
          </cell>
          <cell r="AA1281">
            <v>1</v>
          </cell>
          <cell r="AB1281">
            <v>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  <cell r="Y1282">
            <v>1.7</v>
          </cell>
          <cell r="Z1282">
            <v>1.4</v>
          </cell>
          <cell r="AA1282">
            <v>1</v>
          </cell>
          <cell r="AB1282">
            <v>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  <cell r="Y1283">
            <v>1.7</v>
          </cell>
          <cell r="Z1283">
            <v>1.4</v>
          </cell>
          <cell r="AA1283">
            <v>1</v>
          </cell>
          <cell r="AB1283">
            <v>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  <cell r="Y1284">
            <v>1.7</v>
          </cell>
          <cell r="Z1284">
            <v>1.4</v>
          </cell>
          <cell r="AA1284">
            <v>1</v>
          </cell>
          <cell r="AB1284">
            <v>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  <cell r="Y1285">
            <v>1.7</v>
          </cell>
          <cell r="Z1285">
            <v>1.4</v>
          </cell>
          <cell r="AA1285">
            <v>1</v>
          </cell>
          <cell r="AB1285">
            <v>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  <cell r="Y1286">
            <v>1.7</v>
          </cell>
          <cell r="Z1286">
            <v>1.4</v>
          </cell>
          <cell r="AA1286">
            <v>1</v>
          </cell>
          <cell r="AB1286">
            <v>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  <cell r="Y1287">
            <v>1.7</v>
          </cell>
          <cell r="Z1287">
            <v>1.4</v>
          </cell>
          <cell r="AA1287">
            <v>1</v>
          </cell>
          <cell r="AB1287">
            <v>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  <cell r="Y1288">
            <v>1.7</v>
          </cell>
          <cell r="Z1288">
            <v>1.4</v>
          </cell>
          <cell r="AA1288">
            <v>1</v>
          </cell>
          <cell r="AB1288">
            <v>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  <cell r="Y1289">
            <v>1.7</v>
          </cell>
          <cell r="Z1289">
            <v>1.4</v>
          </cell>
          <cell r="AA1289">
            <v>1</v>
          </cell>
          <cell r="AB1289">
            <v>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  <cell r="Y1290">
            <v>1.7</v>
          </cell>
          <cell r="Z1290">
            <v>1.4</v>
          </cell>
          <cell r="AA1290">
            <v>1</v>
          </cell>
          <cell r="AB1290">
            <v>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  <cell r="Y1291">
            <v>1.7</v>
          </cell>
          <cell r="Z1291">
            <v>1.4</v>
          </cell>
          <cell r="AA1291">
            <v>1</v>
          </cell>
          <cell r="AB1291">
            <v>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  <cell r="Y1292">
            <v>1.7</v>
          </cell>
          <cell r="Z1292">
            <v>1.4</v>
          </cell>
          <cell r="AA1292">
            <v>1</v>
          </cell>
          <cell r="AB1292">
            <v>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  <cell r="Y1293">
            <v>1.7</v>
          </cell>
          <cell r="Z1293">
            <v>1.4</v>
          </cell>
          <cell r="AA1293">
            <v>1</v>
          </cell>
          <cell r="AB1293">
            <v>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  <cell r="Y1294">
            <v>1.7</v>
          </cell>
          <cell r="Z1294">
            <v>1.4</v>
          </cell>
          <cell r="AA1294">
            <v>1</v>
          </cell>
          <cell r="AB1294">
            <v>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  <cell r="Y1295">
            <v>1.7</v>
          </cell>
          <cell r="Z1295">
            <v>1.4</v>
          </cell>
          <cell r="AA1295">
            <v>1</v>
          </cell>
          <cell r="AB1295">
            <v>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  <cell r="Y1296">
            <v>1.7</v>
          </cell>
          <cell r="Z1296">
            <v>1.4</v>
          </cell>
          <cell r="AA1296">
            <v>1</v>
          </cell>
          <cell r="AB1296">
            <v>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  <cell r="Y1297">
            <v>1.7</v>
          </cell>
          <cell r="Z1297">
            <v>1.4</v>
          </cell>
          <cell r="AA1297">
            <v>1</v>
          </cell>
          <cell r="AB1297">
            <v>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  <cell r="Y1298">
            <v>1.7</v>
          </cell>
          <cell r="Z1298">
            <v>1.4</v>
          </cell>
          <cell r="AA1298">
            <v>1</v>
          </cell>
          <cell r="AB1298">
            <v>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  <cell r="Y1299">
            <v>1.7</v>
          </cell>
          <cell r="Z1299">
            <v>1.4</v>
          </cell>
          <cell r="AA1299">
            <v>1</v>
          </cell>
          <cell r="AB1299">
            <v>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  <cell r="Y1300">
            <v>1.7</v>
          </cell>
          <cell r="Z1300">
            <v>1.4</v>
          </cell>
          <cell r="AA1300">
            <v>1</v>
          </cell>
          <cell r="AB1300">
            <v>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  <cell r="Y1301">
            <v>1.7</v>
          </cell>
          <cell r="Z1301">
            <v>1.4</v>
          </cell>
          <cell r="AA1301">
            <v>1</v>
          </cell>
          <cell r="AB1301">
            <v>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  <cell r="Y1302">
            <v>1.7</v>
          </cell>
          <cell r="Z1302">
            <v>1.4</v>
          </cell>
          <cell r="AA1302">
            <v>1</v>
          </cell>
          <cell r="AB1302">
            <v>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  <cell r="Y1303">
            <v>1.7</v>
          </cell>
          <cell r="Z1303">
            <v>1.4</v>
          </cell>
          <cell r="AA1303">
            <v>1</v>
          </cell>
          <cell r="AB1303">
            <v>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  <cell r="Y1304">
            <v>1.7</v>
          </cell>
          <cell r="Z1304">
            <v>1.4</v>
          </cell>
          <cell r="AA1304">
            <v>1</v>
          </cell>
          <cell r="AB1304">
            <v>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  <cell r="Y1305">
            <v>1.7</v>
          </cell>
          <cell r="Z1305">
            <v>1.4</v>
          </cell>
          <cell r="AA1305">
            <v>1</v>
          </cell>
          <cell r="AB1305">
            <v>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  <cell r="Y1306">
            <v>1.7</v>
          </cell>
          <cell r="Z1306">
            <v>1.4</v>
          </cell>
          <cell r="AA1306">
            <v>1</v>
          </cell>
          <cell r="AB1306">
            <v>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  <cell r="Y1307">
            <v>1.3</v>
          </cell>
          <cell r="Z1307">
            <v>1.3</v>
          </cell>
          <cell r="AA1307">
            <v>1.1000000000000001</v>
          </cell>
          <cell r="AB1307">
            <v>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  <cell r="Y1308">
            <v>1.7</v>
          </cell>
          <cell r="Z1308">
            <v>1.4</v>
          </cell>
          <cell r="AA1308">
            <v>1</v>
          </cell>
          <cell r="AB1308">
            <v>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  <cell r="Y1309">
            <v>1.7</v>
          </cell>
          <cell r="Z1309">
            <v>1.4</v>
          </cell>
          <cell r="AA1309">
            <v>1</v>
          </cell>
          <cell r="AB1309">
            <v>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  <cell r="Y1310">
            <v>1.7</v>
          </cell>
          <cell r="Z1310">
            <v>1.4</v>
          </cell>
          <cell r="AA1310">
            <v>1</v>
          </cell>
          <cell r="AB1310">
            <v>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  <cell r="Y1311">
            <v>1.7</v>
          </cell>
          <cell r="Z1311">
            <v>1.4</v>
          </cell>
          <cell r="AA1311">
            <v>1</v>
          </cell>
          <cell r="AB1311">
            <v>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  <cell r="Y1312">
            <v>1.7</v>
          </cell>
          <cell r="Z1312">
            <v>1.4</v>
          </cell>
          <cell r="AA1312">
            <v>1</v>
          </cell>
          <cell r="AB1312">
            <v>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  <cell r="Y1313">
            <v>1.7</v>
          </cell>
          <cell r="Z1313">
            <v>1.4</v>
          </cell>
          <cell r="AA1313">
            <v>1</v>
          </cell>
          <cell r="AB1313">
            <v>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  <cell r="Y1314">
            <v>1.7</v>
          </cell>
          <cell r="Z1314">
            <v>1.4</v>
          </cell>
          <cell r="AA1314">
            <v>1</v>
          </cell>
          <cell r="AB1314">
            <v>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  <cell r="Y1315">
            <v>1.7</v>
          </cell>
          <cell r="Z1315">
            <v>1.4</v>
          </cell>
          <cell r="AA1315">
            <v>1</v>
          </cell>
          <cell r="AB1315">
            <v>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  <cell r="Y1316">
            <v>1.7</v>
          </cell>
          <cell r="Z1316">
            <v>1.4</v>
          </cell>
          <cell r="AA1316">
            <v>1</v>
          </cell>
          <cell r="AB1316">
            <v>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  <cell r="Y1317">
            <v>1.3</v>
          </cell>
          <cell r="Z1317">
            <v>1.3</v>
          </cell>
          <cell r="AA1317">
            <v>1.1000000000000001</v>
          </cell>
          <cell r="AB1317">
            <v>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  <cell r="Y1318">
            <v>1.7</v>
          </cell>
          <cell r="Z1318">
            <v>1.4</v>
          </cell>
          <cell r="AA1318">
            <v>1</v>
          </cell>
          <cell r="AB1318">
            <v>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  <cell r="Y1319">
            <v>1.7</v>
          </cell>
          <cell r="Z1319">
            <v>1.4</v>
          </cell>
          <cell r="AA1319">
            <v>1</v>
          </cell>
          <cell r="AB1319">
            <v>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  <cell r="Y1320">
            <v>1.7</v>
          </cell>
          <cell r="Z1320">
            <v>1.4</v>
          </cell>
          <cell r="AA1320">
            <v>1</v>
          </cell>
          <cell r="AB1320">
            <v>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  <cell r="Y1321">
            <v>1.7</v>
          </cell>
          <cell r="Z1321">
            <v>1.4</v>
          </cell>
          <cell r="AA1321">
            <v>1</v>
          </cell>
          <cell r="AB1321">
            <v>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  <cell r="Y1322">
            <v>1.7</v>
          </cell>
          <cell r="Z1322">
            <v>1.4</v>
          </cell>
          <cell r="AA1322">
            <v>1</v>
          </cell>
          <cell r="AB1322">
            <v>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  <cell r="Y1323">
            <v>1.7</v>
          </cell>
          <cell r="Z1323">
            <v>1.4</v>
          </cell>
          <cell r="AA1323">
            <v>1</v>
          </cell>
          <cell r="AB1323">
            <v>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  <cell r="Y1324">
            <v>1.7</v>
          </cell>
          <cell r="Z1324">
            <v>1.4</v>
          </cell>
          <cell r="AA1324">
            <v>1</v>
          </cell>
          <cell r="AB1324">
            <v>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  <cell r="Y1325">
            <v>1.7</v>
          </cell>
          <cell r="Z1325">
            <v>1.4</v>
          </cell>
          <cell r="AA1325">
            <v>1</v>
          </cell>
          <cell r="AB1325">
            <v>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  <cell r="Y1326">
            <v>1.7</v>
          </cell>
          <cell r="Z1326">
            <v>1.4</v>
          </cell>
          <cell r="AA1326">
            <v>1</v>
          </cell>
          <cell r="AB1326">
            <v>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  <cell r="Y1327">
            <v>1.7</v>
          </cell>
          <cell r="Z1327">
            <v>1.4</v>
          </cell>
          <cell r="AA1327">
            <v>1</v>
          </cell>
          <cell r="AB1327">
            <v>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  <cell r="Y1328">
            <v>1.7</v>
          </cell>
          <cell r="Z1328">
            <v>1.4</v>
          </cell>
          <cell r="AA1328">
            <v>1</v>
          </cell>
          <cell r="AB1328">
            <v>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  <cell r="Y1329">
            <v>1.7</v>
          </cell>
          <cell r="Z1329">
            <v>1.4</v>
          </cell>
          <cell r="AA1329">
            <v>1</v>
          </cell>
          <cell r="AB1329">
            <v>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  <cell r="Y1330">
            <v>1.7</v>
          </cell>
          <cell r="Z1330">
            <v>1.4</v>
          </cell>
          <cell r="AA1330">
            <v>1</v>
          </cell>
          <cell r="AB1330">
            <v>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  <cell r="Y1331">
            <v>1.7</v>
          </cell>
          <cell r="Z1331">
            <v>1.4</v>
          </cell>
          <cell r="AA1331">
            <v>1</v>
          </cell>
          <cell r="AB1331">
            <v>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  <cell r="Y1332">
            <v>1.7</v>
          </cell>
          <cell r="Z1332">
            <v>1.4</v>
          </cell>
          <cell r="AA1332">
            <v>1</v>
          </cell>
          <cell r="AB1332">
            <v>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  <cell r="Y1333">
            <v>1.7</v>
          </cell>
          <cell r="Z1333">
            <v>1.4</v>
          </cell>
          <cell r="AA1333">
            <v>1</v>
          </cell>
          <cell r="AB1333">
            <v>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  <cell r="Y1334">
            <v>1.7</v>
          </cell>
          <cell r="Z1334">
            <v>1.4</v>
          </cell>
          <cell r="AA1334">
            <v>1</v>
          </cell>
          <cell r="AB1334">
            <v>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  <cell r="Y1335">
            <v>1.7</v>
          </cell>
          <cell r="Z1335">
            <v>1.4</v>
          </cell>
          <cell r="AA1335">
            <v>1</v>
          </cell>
          <cell r="AB1335">
            <v>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  <cell r="Y1336">
            <v>1.7</v>
          </cell>
          <cell r="Z1336">
            <v>1.4</v>
          </cell>
          <cell r="AA1336">
            <v>1</v>
          </cell>
          <cell r="AB1336">
            <v>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  <cell r="Y1337">
            <v>1.7</v>
          </cell>
          <cell r="Z1337">
            <v>1.4</v>
          </cell>
          <cell r="AA1337">
            <v>1</v>
          </cell>
          <cell r="AB1337">
            <v>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  <cell r="Y1338">
            <v>1.7</v>
          </cell>
          <cell r="Z1338">
            <v>1.4</v>
          </cell>
          <cell r="AA1338">
            <v>1</v>
          </cell>
          <cell r="AB1338">
            <v>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  <cell r="Y1339">
            <v>1.7</v>
          </cell>
          <cell r="Z1339">
            <v>1.4</v>
          </cell>
          <cell r="AA1339">
            <v>1</v>
          </cell>
          <cell r="AB1339">
            <v>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  <cell r="Y1340">
            <v>1</v>
          </cell>
          <cell r="Z1340">
            <v>1</v>
          </cell>
          <cell r="AA1340">
            <v>1</v>
          </cell>
          <cell r="AB1340">
            <v>0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  <cell r="Y1341">
            <v>1</v>
          </cell>
          <cell r="Z1341">
            <v>1</v>
          </cell>
          <cell r="AA1341">
            <v>1</v>
          </cell>
          <cell r="AB1341">
            <v>0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  <cell r="Y1342">
            <v>1</v>
          </cell>
          <cell r="Z1342">
            <v>1</v>
          </cell>
          <cell r="AA1342">
            <v>1</v>
          </cell>
          <cell r="AB1342">
            <v>0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  <cell r="Y1343">
            <v>1.2</v>
          </cell>
          <cell r="Z1343">
            <v>1.25</v>
          </cell>
          <cell r="AA1343">
            <v>1.1499999999999999</v>
          </cell>
          <cell r="AB1343">
            <v>0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  <cell r="Y1344">
            <v>1.3</v>
          </cell>
          <cell r="Z1344">
            <v>1.3</v>
          </cell>
          <cell r="AA1344">
            <v>1.1000000000000001</v>
          </cell>
          <cell r="AB1344">
            <v>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  <cell r="Y1345">
            <v>1.7</v>
          </cell>
          <cell r="Z1345">
            <v>1.4</v>
          </cell>
          <cell r="AA1345">
            <v>1</v>
          </cell>
          <cell r="AB1345">
            <v>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  <cell r="Y1346">
            <v>1.3</v>
          </cell>
          <cell r="Z1346">
            <v>1.3</v>
          </cell>
          <cell r="AA1346">
            <v>1.1000000000000001</v>
          </cell>
          <cell r="AB1346">
            <v>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  <cell r="Y1347">
            <v>1.7</v>
          </cell>
          <cell r="Z1347">
            <v>1.4</v>
          </cell>
          <cell r="AA1347">
            <v>1</v>
          </cell>
          <cell r="AB1347">
            <v>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  <cell r="Y1348">
            <v>1.7</v>
          </cell>
          <cell r="Z1348">
            <v>1.4</v>
          </cell>
          <cell r="AA1348">
            <v>1</v>
          </cell>
          <cell r="AB1348">
            <v>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  <cell r="Y1349">
            <v>1.7</v>
          </cell>
          <cell r="Z1349">
            <v>1.4</v>
          </cell>
          <cell r="AA1349">
            <v>1</v>
          </cell>
          <cell r="AB1349">
            <v>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  <cell r="Y1350">
            <v>1.7</v>
          </cell>
          <cell r="Z1350">
            <v>1.4</v>
          </cell>
          <cell r="AA1350">
            <v>1</v>
          </cell>
          <cell r="AB1350">
            <v>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  <cell r="Y1351">
            <v>1.7</v>
          </cell>
          <cell r="Z1351">
            <v>1.4</v>
          </cell>
          <cell r="AA1351">
            <v>1</v>
          </cell>
          <cell r="AB1351">
            <v>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  <cell r="Y1352">
            <v>1.7</v>
          </cell>
          <cell r="Z1352">
            <v>1.4</v>
          </cell>
          <cell r="AA1352">
            <v>1</v>
          </cell>
          <cell r="AB1352">
            <v>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  <cell r="Y1353">
            <v>1.7</v>
          </cell>
          <cell r="Z1353">
            <v>1.4</v>
          </cell>
          <cell r="AA1353">
            <v>1</v>
          </cell>
          <cell r="AB1353">
            <v>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  <cell r="Y1354">
            <v>1.7</v>
          </cell>
          <cell r="Z1354">
            <v>1.4</v>
          </cell>
          <cell r="AA1354">
            <v>1</v>
          </cell>
          <cell r="AB1354">
            <v>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  <cell r="Y1355">
            <v>1.7</v>
          </cell>
          <cell r="Z1355">
            <v>1.4</v>
          </cell>
          <cell r="AA1355">
            <v>1</v>
          </cell>
          <cell r="AB1355">
            <v>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  <cell r="Y1356">
            <v>1.7</v>
          </cell>
          <cell r="Z1356">
            <v>1.4</v>
          </cell>
          <cell r="AA1356">
            <v>1</v>
          </cell>
          <cell r="AB1356">
            <v>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  <cell r="Y1357">
            <v>1.7</v>
          </cell>
          <cell r="Z1357">
            <v>1.4</v>
          </cell>
          <cell r="AA1357">
            <v>1</v>
          </cell>
          <cell r="AB1357">
            <v>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  <cell r="Y1358">
            <v>1.7</v>
          </cell>
          <cell r="Z1358">
            <v>1.4</v>
          </cell>
          <cell r="AA1358">
            <v>1</v>
          </cell>
          <cell r="AB1358">
            <v>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  <cell r="Y1359">
            <v>1.7</v>
          </cell>
          <cell r="Z1359">
            <v>1.4</v>
          </cell>
          <cell r="AA1359">
            <v>1</v>
          </cell>
          <cell r="AB1359">
            <v>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  <cell r="Y1360">
            <v>1.7</v>
          </cell>
          <cell r="Z1360">
            <v>1.4</v>
          </cell>
          <cell r="AA1360">
            <v>1</v>
          </cell>
          <cell r="AB1360">
            <v>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  <cell r="Y1361">
            <v>1</v>
          </cell>
          <cell r="Z1361">
            <v>1</v>
          </cell>
          <cell r="AA1361">
            <v>1</v>
          </cell>
          <cell r="AB1361">
            <v>0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  <cell r="Y1362">
            <v>1</v>
          </cell>
          <cell r="Z1362">
            <v>1</v>
          </cell>
          <cell r="AA1362">
            <v>1</v>
          </cell>
          <cell r="AB1362">
            <v>0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  <cell r="Y1363">
            <v>1.2</v>
          </cell>
          <cell r="Z1363">
            <v>1.25</v>
          </cell>
          <cell r="AA1363">
            <v>1.1499999999999999</v>
          </cell>
          <cell r="AB1363">
            <v>0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  <cell r="Y1364">
            <v>1</v>
          </cell>
          <cell r="Z1364">
            <v>1</v>
          </cell>
          <cell r="AA1364">
            <v>1</v>
          </cell>
          <cell r="AB1364">
            <v>0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  <cell r="Y1365">
            <v>1.3</v>
          </cell>
          <cell r="Z1365">
            <v>1.3</v>
          </cell>
          <cell r="AA1365">
            <v>1.1000000000000001</v>
          </cell>
          <cell r="AB1365">
            <v>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  <cell r="Y1366">
            <v>1.7</v>
          </cell>
          <cell r="Z1366">
            <v>1.4</v>
          </cell>
          <cell r="AA1366">
            <v>1</v>
          </cell>
          <cell r="AB1366">
            <v>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  <cell r="Y1367">
            <v>1.3</v>
          </cell>
          <cell r="Z1367">
            <v>1.3</v>
          </cell>
          <cell r="AA1367">
            <v>1.1000000000000001</v>
          </cell>
          <cell r="AB1367">
            <v>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  <cell r="Y1368">
            <v>1.3</v>
          </cell>
          <cell r="Z1368">
            <v>1.3</v>
          </cell>
          <cell r="AA1368">
            <v>1.1000000000000001</v>
          </cell>
          <cell r="AB1368">
            <v>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  <cell r="Y1369">
            <v>1.7</v>
          </cell>
          <cell r="Z1369">
            <v>1.4</v>
          </cell>
          <cell r="AA1369">
            <v>1</v>
          </cell>
          <cell r="AB1369">
            <v>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  <cell r="Y1370">
            <v>1.7</v>
          </cell>
          <cell r="Z1370">
            <v>1.4</v>
          </cell>
          <cell r="AA1370">
            <v>1</v>
          </cell>
          <cell r="AB1370">
            <v>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  <cell r="Y1371">
            <v>1</v>
          </cell>
          <cell r="Z1371">
            <v>1</v>
          </cell>
          <cell r="AA1371">
            <v>1</v>
          </cell>
          <cell r="AB1371">
            <v>0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  <cell r="Y1372">
            <v>1</v>
          </cell>
          <cell r="Z1372">
            <v>1</v>
          </cell>
          <cell r="AA1372">
            <v>1</v>
          </cell>
          <cell r="AB1372">
            <v>0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  <cell r="Y1373">
            <v>1</v>
          </cell>
          <cell r="Z1373">
            <v>1</v>
          </cell>
          <cell r="AA1373">
            <v>1</v>
          </cell>
          <cell r="AB1373">
            <v>0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  <cell r="Y1374">
            <v>1.3</v>
          </cell>
          <cell r="Z1374">
            <v>1.3</v>
          </cell>
          <cell r="AA1374">
            <v>1.1000000000000001</v>
          </cell>
          <cell r="AB1374">
            <v>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  <cell r="Y1375">
            <v>1.3</v>
          </cell>
          <cell r="Z1375">
            <v>1.3</v>
          </cell>
          <cell r="AA1375">
            <v>1.1000000000000001</v>
          </cell>
          <cell r="AB1375">
            <v>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  <cell r="Y1376">
            <v>1.7</v>
          </cell>
          <cell r="Z1376">
            <v>1.4</v>
          </cell>
          <cell r="AA1376">
            <v>1</v>
          </cell>
          <cell r="AB1376">
            <v>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  <cell r="Y1377">
            <v>1.7</v>
          </cell>
          <cell r="Z1377">
            <v>1.4</v>
          </cell>
          <cell r="AA1377">
            <v>1</v>
          </cell>
          <cell r="AB1377">
            <v>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  <cell r="Y1378">
            <v>1.3</v>
          </cell>
          <cell r="Z1378">
            <v>1.3</v>
          </cell>
          <cell r="AA1378">
            <v>1.1000000000000001</v>
          </cell>
          <cell r="AB1378">
            <v>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  <cell r="Y1379">
            <v>1.7</v>
          </cell>
          <cell r="Z1379">
            <v>1.4</v>
          </cell>
          <cell r="AA1379">
            <v>1</v>
          </cell>
          <cell r="AB1379">
            <v>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  <cell r="Y1380">
            <v>1.3</v>
          </cell>
          <cell r="Z1380">
            <v>1.3</v>
          </cell>
          <cell r="AA1380">
            <v>1.1000000000000001</v>
          </cell>
          <cell r="AB1380">
            <v>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  <cell r="Y1381">
            <v>1.1000000000000001</v>
          </cell>
          <cell r="Z1381">
            <v>1.2</v>
          </cell>
          <cell r="AA1381">
            <v>1.2</v>
          </cell>
          <cell r="AB1381">
            <v>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  <cell r="Y1382">
            <v>1.1000000000000001</v>
          </cell>
          <cell r="Z1382">
            <v>1.2</v>
          </cell>
          <cell r="AA1382">
            <v>1.2</v>
          </cell>
          <cell r="AB1382">
            <v>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  <cell r="Y1383">
            <v>1.1000000000000001</v>
          </cell>
          <cell r="Z1383">
            <v>1.2</v>
          </cell>
          <cell r="AA1383">
            <v>1.2</v>
          </cell>
          <cell r="AB1383">
            <v>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  <cell r="Y1384">
            <v>1.1000000000000001</v>
          </cell>
          <cell r="Z1384">
            <v>1.2</v>
          </cell>
          <cell r="AA1384">
            <v>1.2</v>
          </cell>
          <cell r="AB1384">
            <v>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  <cell r="Y1385">
            <v>1.1000000000000001</v>
          </cell>
          <cell r="Z1385">
            <v>1.2</v>
          </cell>
          <cell r="AA1385">
            <v>1.2</v>
          </cell>
          <cell r="AB1385">
            <v>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  <cell r="Y1386">
            <v>1.1000000000000001</v>
          </cell>
          <cell r="Z1386">
            <v>1.2</v>
          </cell>
          <cell r="AA1386">
            <v>1.2</v>
          </cell>
          <cell r="AB1386">
            <v>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  <cell r="Y1387">
            <v>1.1000000000000001</v>
          </cell>
          <cell r="Z1387">
            <v>1.2</v>
          </cell>
          <cell r="AA1387">
            <v>1.2</v>
          </cell>
          <cell r="AB1387">
            <v>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  <cell r="Y1388">
            <v>1.1000000000000001</v>
          </cell>
          <cell r="Z1388">
            <v>1.2</v>
          </cell>
          <cell r="AA1388">
            <v>1.2</v>
          </cell>
          <cell r="AB1388">
            <v>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  <cell r="Y1389">
            <v>1.7</v>
          </cell>
          <cell r="Z1389">
            <v>1.4</v>
          </cell>
          <cell r="AA1389">
            <v>1</v>
          </cell>
          <cell r="AB1389">
            <v>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  <cell r="Y1390">
            <v>1.7</v>
          </cell>
          <cell r="Z1390">
            <v>1.4</v>
          </cell>
          <cell r="AA1390">
            <v>1</v>
          </cell>
          <cell r="AB1390">
            <v>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  <cell r="Y1391">
            <v>1.7</v>
          </cell>
          <cell r="Z1391">
            <v>1.4</v>
          </cell>
          <cell r="AA1391">
            <v>1</v>
          </cell>
          <cell r="AB1391">
            <v>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  <cell r="Y1392">
            <v>1.7</v>
          </cell>
          <cell r="Z1392">
            <v>1.4</v>
          </cell>
          <cell r="AA1392">
            <v>1</v>
          </cell>
          <cell r="AB1392">
            <v>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  <cell r="Y1393">
            <v>1.3</v>
          </cell>
          <cell r="Z1393">
            <v>1.3</v>
          </cell>
          <cell r="AA1393">
            <v>1.1000000000000001</v>
          </cell>
          <cell r="AB1393">
            <v>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  <cell r="Y1394">
            <v>1.7</v>
          </cell>
          <cell r="Z1394">
            <v>1.4</v>
          </cell>
          <cell r="AA1394">
            <v>1</v>
          </cell>
          <cell r="AB1394">
            <v>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  <cell r="Y1395">
            <v>1.3</v>
          </cell>
          <cell r="Z1395">
            <v>1.3</v>
          </cell>
          <cell r="AA1395">
            <v>1.1000000000000001</v>
          </cell>
          <cell r="AB1395">
            <v>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  <cell r="Y1396">
            <v>1.7</v>
          </cell>
          <cell r="Z1396">
            <v>1.4</v>
          </cell>
          <cell r="AA1396">
            <v>1</v>
          </cell>
          <cell r="AB1396">
            <v>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  <cell r="Y1397">
            <v>1.3</v>
          </cell>
          <cell r="Z1397">
            <v>1.3</v>
          </cell>
          <cell r="AA1397">
            <v>1.1000000000000001</v>
          </cell>
          <cell r="AB1397">
            <v>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  <cell r="Y1398">
            <v>1.7</v>
          </cell>
          <cell r="Z1398">
            <v>1.4</v>
          </cell>
          <cell r="AA1398">
            <v>1</v>
          </cell>
          <cell r="AB1398">
            <v>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  <cell r="Y1399">
            <v>1.3</v>
          </cell>
          <cell r="Z1399">
            <v>1.3</v>
          </cell>
          <cell r="AA1399">
            <v>1.1000000000000001</v>
          </cell>
          <cell r="AB1399">
            <v>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  <cell r="Y1400">
            <v>1.7</v>
          </cell>
          <cell r="Z1400">
            <v>1.4</v>
          </cell>
          <cell r="AA1400">
            <v>1</v>
          </cell>
          <cell r="AB1400">
            <v>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  <cell r="Y1401">
            <v>1.3</v>
          </cell>
          <cell r="Z1401">
            <v>1.3</v>
          </cell>
          <cell r="AA1401">
            <v>1.1000000000000001</v>
          </cell>
          <cell r="AB1401">
            <v>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  <cell r="Y1402">
            <v>1.7</v>
          </cell>
          <cell r="Z1402">
            <v>1.4</v>
          </cell>
          <cell r="AA1402">
            <v>1</v>
          </cell>
          <cell r="AB1402">
            <v>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  <cell r="Y1403">
            <v>1.2</v>
          </cell>
          <cell r="Z1403">
            <v>1.25</v>
          </cell>
          <cell r="AA1403">
            <v>1.1499999999999999</v>
          </cell>
          <cell r="AB1403">
            <v>0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  <cell r="Y1404">
            <v>1.3</v>
          </cell>
          <cell r="Z1404">
            <v>1.3</v>
          </cell>
          <cell r="AA1404">
            <v>1.1000000000000001</v>
          </cell>
          <cell r="AB1404">
            <v>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  <cell r="Y1405">
            <v>1.2</v>
          </cell>
          <cell r="Z1405">
            <v>1.25</v>
          </cell>
          <cell r="AA1405">
            <v>1.1499999999999999</v>
          </cell>
          <cell r="AB1405">
            <v>0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  <cell r="Y1406">
            <v>1.3</v>
          </cell>
          <cell r="Z1406">
            <v>1.3</v>
          </cell>
          <cell r="AA1406">
            <v>1.1000000000000001</v>
          </cell>
          <cell r="AB1406">
            <v>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  <cell r="Y1407">
            <v>1.2</v>
          </cell>
          <cell r="Z1407">
            <v>1.25</v>
          </cell>
          <cell r="AA1407">
            <v>1.1499999999999999</v>
          </cell>
          <cell r="AB1407">
            <v>0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  <cell r="Y1408">
            <v>1.3</v>
          </cell>
          <cell r="Z1408">
            <v>1.3</v>
          </cell>
          <cell r="AA1408">
            <v>1.1000000000000001</v>
          </cell>
          <cell r="AB1408">
            <v>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  <cell r="Y1409">
            <v>1.3</v>
          </cell>
          <cell r="Z1409">
            <v>1.3</v>
          </cell>
          <cell r="AA1409">
            <v>1.1000000000000001</v>
          </cell>
          <cell r="AB1409">
            <v>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  <cell r="Y1410">
            <v>1.7</v>
          </cell>
          <cell r="Z1410">
            <v>1.4</v>
          </cell>
          <cell r="AA1410">
            <v>1</v>
          </cell>
          <cell r="AB1410">
            <v>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  <cell r="Y1411">
            <v>1.7</v>
          </cell>
          <cell r="Z1411">
            <v>1.4</v>
          </cell>
          <cell r="AA1411">
            <v>1</v>
          </cell>
          <cell r="AB1411">
            <v>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  <cell r="Y1412">
            <v>1.7</v>
          </cell>
          <cell r="Z1412">
            <v>1.4</v>
          </cell>
          <cell r="AA1412">
            <v>1</v>
          </cell>
          <cell r="AB1412">
            <v>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  <cell r="Y1413">
            <v>1.7</v>
          </cell>
          <cell r="Z1413">
            <v>1.4</v>
          </cell>
          <cell r="AA1413">
            <v>1</v>
          </cell>
          <cell r="AB1413">
            <v>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  <cell r="Y1414">
            <v>1.7</v>
          </cell>
          <cell r="Z1414">
            <v>1.4</v>
          </cell>
          <cell r="AA1414">
            <v>1</v>
          </cell>
          <cell r="AB1414">
            <v>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  <cell r="Y1415">
            <v>1.7</v>
          </cell>
          <cell r="Z1415">
            <v>1.4</v>
          </cell>
          <cell r="AA1415">
            <v>1</v>
          </cell>
          <cell r="AB1415">
            <v>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  <cell r="Y1416">
            <v>1.7</v>
          </cell>
          <cell r="Z1416">
            <v>1.4</v>
          </cell>
          <cell r="AA1416">
            <v>1</v>
          </cell>
          <cell r="AB1416">
            <v>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  <cell r="Y1417">
            <v>1.7</v>
          </cell>
          <cell r="Z1417">
            <v>1.4</v>
          </cell>
          <cell r="AA1417">
            <v>1</v>
          </cell>
          <cell r="AB1417">
            <v>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  <cell r="Y1418">
            <v>1.7</v>
          </cell>
          <cell r="Z1418">
            <v>1.4</v>
          </cell>
          <cell r="AA1418">
            <v>1</v>
          </cell>
          <cell r="AB1418">
            <v>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  <cell r="Y1419">
            <v>1.7</v>
          </cell>
          <cell r="Z1419">
            <v>1.4</v>
          </cell>
          <cell r="AA1419">
            <v>1</v>
          </cell>
          <cell r="AB1419">
            <v>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  <cell r="Y1420">
            <v>1.7</v>
          </cell>
          <cell r="Z1420">
            <v>1.4</v>
          </cell>
          <cell r="AA1420">
            <v>1</v>
          </cell>
          <cell r="AB1420">
            <v>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  <cell r="Y1421">
            <v>1.7</v>
          </cell>
          <cell r="Z1421">
            <v>1.4</v>
          </cell>
          <cell r="AA1421">
            <v>1</v>
          </cell>
          <cell r="AB1421">
            <v>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  <cell r="Y1422">
            <v>1.7</v>
          </cell>
          <cell r="Z1422">
            <v>1.4</v>
          </cell>
          <cell r="AA1422">
            <v>1</v>
          </cell>
          <cell r="AB1422">
            <v>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  <cell r="Y1423">
            <v>1.7</v>
          </cell>
          <cell r="Z1423">
            <v>1.4</v>
          </cell>
          <cell r="AA1423">
            <v>1</v>
          </cell>
          <cell r="AB1423">
            <v>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  <cell r="Y1424">
            <v>1.7</v>
          </cell>
          <cell r="Z1424">
            <v>1.4</v>
          </cell>
          <cell r="AA1424">
            <v>1</v>
          </cell>
          <cell r="AB1424">
            <v>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  <cell r="Y1425">
            <v>1.3</v>
          </cell>
          <cell r="Z1425">
            <v>1.3</v>
          </cell>
          <cell r="AA1425">
            <v>1.1000000000000001</v>
          </cell>
          <cell r="AB1425">
            <v>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  <cell r="Y1426">
            <v>1.7</v>
          </cell>
          <cell r="Z1426">
            <v>1.4</v>
          </cell>
          <cell r="AA1426">
            <v>1</v>
          </cell>
          <cell r="AB1426">
            <v>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  <cell r="Y1427">
            <v>1.3</v>
          </cell>
          <cell r="Z1427">
            <v>1.3</v>
          </cell>
          <cell r="AA1427">
            <v>1.1000000000000001</v>
          </cell>
          <cell r="AB1427">
            <v>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  <cell r="Y1428">
            <v>1.7</v>
          </cell>
          <cell r="Z1428">
            <v>1.4</v>
          </cell>
          <cell r="AA1428">
            <v>1</v>
          </cell>
          <cell r="AB1428">
            <v>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  <cell r="Y1429">
            <v>1.3</v>
          </cell>
          <cell r="Z1429">
            <v>1.3</v>
          </cell>
          <cell r="AA1429">
            <v>1.1000000000000001</v>
          </cell>
          <cell r="AB1429">
            <v>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  <cell r="Y1430">
            <v>1.7</v>
          </cell>
          <cell r="Z1430">
            <v>1.4</v>
          </cell>
          <cell r="AA1430">
            <v>1</v>
          </cell>
          <cell r="AB1430">
            <v>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  <cell r="Y1431">
            <v>1.7</v>
          </cell>
          <cell r="Z1431">
            <v>1.4</v>
          </cell>
          <cell r="AA1431">
            <v>1</v>
          </cell>
          <cell r="AB1431">
            <v>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  <cell r="Y1432">
            <v>1.3</v>
          </cell>
          <cell r="Z1432">
            <v>1.3</v>
          </cell>
          <cell r="AA1432">
            <v>1.1000000000000001</v>
          </cell>
          <cell r="AB1432">
            <v>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  <cell r="Y1433">
            <v>1.7</v>
          </cell>
          <cell r="Z1433">
            <v>1.4</v>
          </cell>
          <cell r="AA1433">
            <v>1</v>
          </cell>
          <cell r="AB1433">
            <v>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  <cell r="Y1434">
            <v>1.7</v>
          </cell>
          <cell r="Z1434">
            <v>1.4</v>
          </cell>
          <cell r="AA1434">
            <v>1</v>
          </cell>
          <cell r="AB1434">
            <v>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  <cell r="Y1435">
            <v>1.3</v>
          </cell>
          <cell r="Z1435">
            <v>1.3</v>
          </cell>
          <cell r="AA1435">
            <v>1.1000000000000001</v>
          </cell>
          <cell r="AB1435">
            <v>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  <cell r="Y1436">
            <v>1.7</v>
          </cell>
          <cell r="Z1436">
            <v>1.4</v>
          </cell>
          <cell r="AA1436">
            <v>1</v>
          </cell>
          <cell r="AB1436">
            <v>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  <cell r="Y1437">
            <v>1.3</v>
          </cell>
          <cell r="Z1437">
            <v>1.3</v>
          </cell>
          <cell r="AA1437">
            <v>1.1000000000000001</v>
          </cell>
          <cell r="AB1437">
            <v>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  <cell r="Y1438">
            <v>1.7</v>
          </cell>
          <cell r="Z1438">
            <v>1.4</v>
          </cell>
          <cell r="AA1438">
            <v>1</v>
          </cell>
          <cell r="AB1438">
            <v>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  <cell r="Y1439">
            <v>1.3</v>
          </cell>
          <cell r="Z1439">
            <v>1.3</v>
          </cell>
          <cell r="AA1439">
            <v>1.1000000000000001</v>
          </cell>
          <cell r="AB1439">
            <v>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  <cell r="Y1440">
            <v>1.7</v>
          </cell>
          <cell r="Z1440">
            <v>1.4</v>
          </cell>
          <cell r="AA1440">
            <v>1</v>
          </cell>
          <cell r="AB1440">
            <v>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  <cell r="Y1441">
            <v>1.2</v>
          </cell>
          <cell r="Z1441">
            <v>1.25</v>
          </cell>
          <cell r="AA1441">
            <v>1.1499999999999999</v>
          </cell>
          <cell r="AB1441">
            <v>0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  <cell r="Y1442">
            <v>1.3</v>
          </cell>
          <cell r="Z1442">
            <v>1.3</v>
          </cell>
          <cell r="AA1442">
            <v>1.1000000000000001</v>
          </cell>
          <cell r="AB1442">
            <v>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  <cell r="Y1443">
            <v>1.7</v>
          </cell>
          <cell r="Z1443">
            <v>1.4</v>
          </cell>
          <cell r="AA1443">
            <v>1</v>
          </cell>
          <cell r="AB1443">
            <v>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  <cell r="Y1444">
            <v>1.7</v>
          </cell>
          <cell r="Z1444">
            <v>1.4</v>
          </cell>
          <cell r="AA1444">
            <v>1</v>
          </cell>
          <cell r="AB1444">
            <v>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  <cell r="Y1445">
            <v>1.2</v>
          </cell>
          <cell r="Z1445">
            <v>1.25</v>
          </cell>
          <cell r="AA1445">
            <v>1.1499999999999999</v>
          </cell>
          <cell r="AB1445">
            <v>0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  <cell r="Y1446">
            <v>1.3</v>
          </cell>
          <cell r="Z1446">
            <v>1.3</v>
          </cell>
          <cell r="AA1446">
            <v>1.1000000000000001</v>
          </cell>
          <cell r="AB1446">
            <v>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  <cell r="Y1447">
            <v>1.2</v>
          </cell>
          <cell r="Z1447">
            <v>1.25</v>
          </cell>
          <cell r="AA1447">
            <v>1.1499999999999999</v>
          </cell>
          <cell r="AB1447">
            <v>0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  <cell r="Y1448">
            <v>1.3</v>
          </cell>
          <cell r="Z1448">
            <v>1.3</v>
          </cell>
          <cell r="AA1448">
            <v>1.1000000000000001</v>
          </cell>
          <cell r="AB1448">
            <v>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  <cell r="Y1449">
            <v>1.3</v>
          </cell>
          <cell r="Z1449">
            <v>1.3</v>
          </cell>
          <cell r="AA1449">
            <v>1.1000000000000001</v>
          </cell>
          <cell r="AB1449">
            <v>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  <cell r="Y1450">
            <v>1.7</v>
          </cell>
          <cell r="Z1450">
            <v>1.4</v>
          </cell>
          <cell r="AA1450">
            <v>1</v>
          </cell>
          <cell r="AB1450">
            <v>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  <cell r="Y1451">
            <v>1.2</v>
          </cell>
          <cell r="Z1451">
            <v>1.25</v>
          </cell>
          <cell r="AA1451">
            <v>1.1499999999999999</v>
          </cell>
          <cell r="AB1451">
            <v>0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  <cell r="Y1452">
            <v>1.3</v>
          </cell>
          <cell r="Z1452">
            <v>1.3</v>
          </cell>
          <cell r="AA1452">
            <v>1.1000000000000001</v>
          </cell>
          <cell r="AB1452">
            <v>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  <cell r="Y1453">
            <v>1.7</v>
          </cell>
          <cell r="Z1453">
            <v>1.4</v>
          </cell>
          <cell r="AA1453">
            <v>1</v>
          </cell>
          <cell r="AB1453">
            <v>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  <cell r="Y1454">
            <v>1.7</v>
          </cell>
          <cell r="Z1454">
            <v>1.4</v>
          </cell>
          <cell r="AA1454">
            <v>1</v>
          </cell>
          <cell r="AB1454">
            <v>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  <cell r="Y1455">
            <v>1.7</v>
          </cell>
          <cell r="Z1455">
            <v>1.4</v>
          </cell>
          <cell r="AA1455">
            <v>1</v>
          </cell>
          <cell r="AB1455">
            <v>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  <cell r="Y1456">
            <v>1.7</v>
          </cell>
          <cell r="Z1456">
            <v>1.4</v>
          </cell>
          <cell r="AA1456">
            <v>1</v>
          </cell>
          <cell r="AB1456">
            <v>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  <cell r="Y1457">
            <v>1.7</v>
          </cell>
          <cell r="Z1457">
            <v>1.4</v>
          </cell>
          <cell r="AA1457">
            <v>1</v>
          </cell>
          <cell r="AB1457">
            <v>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  <cell r="Y1458">
            <v>1.7</v>
          </cell>
          <cell r="Z1458">
            <v>1.4</v>
          </cell>
          <cell r="AA1458">
            <v>1</v>
          </cell>
          <cell r="AB1458">
            <v>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  <cell r="Y1459">
            <v>1.7</v>
          </cell>
          <cell r="Z1459">
            <v>1.4</v>
          </cell>
          <cell r="AA1459">
            <v>1</v>
          </cell>
          <cell r="AB1459">
            <v>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  <cell r="Y1460">
            <v>1.7</v>
          </cell>
          <cell r="Z1460">
            <v>1.4</v>
          </cell>
          <cell r="AA1460">
            <v>1</v>
          </cell>
          <cell r="AB1460">
            <v>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  <cell r="Y1461">
            <v>1.7</v>
          </cell>
          <cell r="Z1461">
            <v>1.4</v>
          </cell>
          <cell r="AA1461">
            <v>1</v>
          </cell>
          <cell r="AB1461">
            <v>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  <cell r="Y1462">
            <v>1.7</v>
          </cell>
          <cell r="Z1462">
            <v>1.4</v>
          </cell>
          <cell r="AA1462">
            <v>1</v>
          </cell>
          <cell r="AB1462">
            <v>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  <cell r="Y1463">
            <v>1.7</v>
          </cell>
          <cell r="Z1463">
            <v>1.4</v>
          </cell>
          <cell r="AA1463">
            <v>1</v>
          </cell>
          <cell r="AB1463">
            <v>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  <cell r="Y1464">
            <v>1.7</v>
          </cell>
          <cell r="Z1464">
            <v>1.4</v>
          </cell>
          <cell r="AA1464">
            <v>1</v>
          </cell>
          <cell r="AB1464">
            <v>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  <cell r="Y1465">
            <v>1.7</v>
          </cell>
          <cell r="Z1465">
            <v>1.4</v>
          </cell>
          <cell r="AA1465">
            <v>1</v>
          </cell>
          <cell r="AB1465">
            <v>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  <cell r="Y1466">
            <v>1.7</v>
          </cell>
          <cell r="Z1466">
            <v>1.4</v>
          </cell>
          <cell r="AA1466">
            <v>1</v>
          </cell>
          <cell r="AB1466">
            <v>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  <cell r="Y1467">
            <v>1.1000000000000001</v>
          </cell>
          <cell r="Z1467">
            <v>1.2</v>
          </cell>
          <cell r="AA1467">
            <v>1.2</v>
          </cell>
          <cell r="AB1467">
            <v>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  <cell r="Y1468">
            <v>1.1000000000000001</v>
          </cell>
          <cell r="Z1468">
            <v>1.2</v>
          </cell>
          <cell r="AA1468">
            <v>1.2</v>
          </cell>
          <cell r="AB1468">
            <v>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  <cell r="Y1469">
            <v>1.1000000000000001</v>
          </cell>
          <cell r="Z1469">
            <v>1.2</v>
          </cell>
          <cell r="AA1469">
            <v>1.2</v>
          </cell>
          <cell r="AB1469">
            <v>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  <cell r="Y1470">
            <v>1.1000000000000001</v>
          </cell>
          <cell r="Z1470">
            <v>1.2</v>
          </cell>
          <cell r="AA1470">
            <v>1.2</v>
          </cell>
          <cell r="AB1470">
            <v>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  <cell r="Y1471">
            <v>1.7</v>
          </cell>
          <cell r="Z1471">
            <v>1.4</v>
          </cell>
          <cell r="AA1471">
            <v>1</v>
          </cell>
          <cell r="AB1471">
            <v>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  <cell r="Y1472">
            <v>1.7</v>
          </cell>
          <cell r="Z1472">
            <v>1.4</v>
          </cell>
          <cell r="AA1472">
            <v>1</v>
          </cell>
          <cell r="AB1472">
            <v>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  <cell r="Y1473">
            <v>1.7</v>
          </cell>
          <cell r="Z1473">
            <v>1.4</v>
          </cell>
          <cell r="AA1473">
            <v>1</v>
          </cell>
          <cell r="AB1473">
            <v>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  <cell r="Y1474">
            <v>1.7</v>
          </cell>
          <cell r="Z1474">
            <v>1.4</v>
          </cell>
          <cell r="AA1474">
            <v>1</v>
          </cell>
          <cell r="AB1474">
            <v>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  <cell r="Y1475">
            <v>1.7</v>
          </cell>
          <cell r="Z1475">
            <v>1.4</v>
          </cell>
          <cell r="AA1475">
            <v>1</v>
          </cell>
          <cell r="AB1475">
            <v>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technical</v>
          </cell>
          <cell r="L1400" t="str">
            <v>テクニカルタイプ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technical</v>
          </cell>
          <cell r="L1401" t="str">
            <v>テクニカルタイプ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</row>
        <row r="2">
          <cell r="A2">
            <v>0</v>
          </cell>
          <cell r="C2">
            <v>3</v>
          </cell>
          <cell r="D2" t="str">
            <v>ja</v>
          </cell>
          <cell r="E2" t="str">
            <v>なし</v>
          </cell>
        </row>
        <row r="3">
          <cell r="A3">
            <v>100001</v>
          </cell>
          <cell r="B3" t="str">
            <v>[effect:nothing]</v>
          </cell>
          <cell r="C3">
            <v>3</v>
          </cell>
          <cell r="D3" t="str">
            <v>ja</v>
          </cell>
          <cell r="E3" t="str">
            <v>視線</v>
          </cell>
        </row>
        <row r="4">
          <cell r="A4">
            <v>100002</v>
          </cell>
          <cell r="B4" t="str">
            <v>[effect:nothing]</v>
          </cell>
          <cell r="C4">
            <v>3</v>
          </cell>
          <cell r="D4" t="str">
            <v>ja</v>
          </cell>
          <cell r="E4" t="str">
            <v>コンニチワ</v>
          </cell>
        </row>
        <row r="5">
          <cell r="A5">
            <v>100003</v>
          </cell>
          <cell r="B5" t="str">
            <v>[effect:nothing]</v>
          </cell>
          <cell r="C5">
            <v>3</v>
          </cell>
          <cell r="D5" t="str">
            <v>ja</v>
          </cell>
          <cell r="E5" t="str">
            <v>ご質問をどうぞ</v>
          </cell>
        </row>
        <row r="6">
          <cell r="A6">
            <v>100004</v>
          </cell>
          <cell r="B6" t="str">
            <v>[effect:nothing]</v>
          </cell>
          <cell r="C6">
            <v>3</v>
          </cell>
          <cell r="D6" t="str">
            <v>ja</v>
          </cell>
          <cell r="E6" t="str">
            <v>ハッピー！？</v>
          </cell>
        </row>
        <row r="7">
          <cell r="A7">
            <v>100005</v>
          </cell>
          <cell r="B7" t="str">
            <v>[effect:nothing]</v>
          </cell>
          <cell r="C7">
            <v>3</v>
          </cell>
          <cell r="D7" t="str">
            <v>ja</v>
          </cell>
          <cell r="E7" t="str">
            <v>楽しげなステップ</v>
          </cell>
        </row>
        <row r="8">
          <cell r="A8">
            <v>100006</v>
          </cell>
          <cell r="B8" t="str">
            <v>[effect:nothing]</v>
          </cell>
          <cell r="C8">
            <v>3</v>
          </cell>
          <cell r="D8" t="str">
            <v>ja</v>
          </cell>
          <cell r="E8" t="str">
            <v>見物</v>
          </cell>
        </row>
        <row r="9">
          <cell r="A9">
            <v>100007</v>
          </cell>
          <cell r="B9" t="str">
            <v>[effect:nothing]</v>
          </cell>
          <cell r="C9">
            <v>3</v>
          </cell>
          <cell r="D9" t="str">
            <v>ja</v>
          </cell>
          <cell r="E9" t="str">
            <v>見物</v>
          </cell>
        </row>
        <row r="10">
          <cell r="A10">
            <v>100008</v>
          </cell>
          <cell r="B10" t="str">
            <v>[effect:nothing]</v>
          </cell>
          <cell r="C10">
            <v>3</v>
          </cell>
          <cell r="D10" t="str">
            <v>ja</v>
          </cell>
          <cell r="E10" t="str">
            <v>リンゴ警報！</v>
          </cell>
        </row>
        <row r="11">
          <cell r="A11">
            <v>100009</v>
          </cell>
          <cell r="B11" t="str">
            <v>[effect:nothing]</v>
          </cell>
          <cell r="C11">
            <v>3</v>
          </cell>
          <cell r="D11" t="str">
            <v>ja</v>
          </cell>
          <cell r="E11" t="str">
            <v>うっとり妄想タイム</v>
          </cell>
        </row>
        <row r="12">
          <cell r="A12">
            <v>100010</v>
          </cell>
          <cell r="B12" t="str">
            <v>[effect:nothing]</v>
          </cell>
          <cell r="C12">
            <v>3</v>
          </cell>
          <cell r="D12" t="str">
            <v>ja</v>
          </cell>
          <cell r="E12" t="str">
            <v>まるで夢みたい！</v>
          </cell>
        </row>
        <row r="13">
          <cell r="A13">
            <v>100011</v>
          </cell>
          <cell r="B13" t="str">
            <v>[effect:nothing]</v>
          </cell>
          <cell r="C13">
            <v>3</v>
          </cell>
          <cell r="D13" t="str">
            <v>ja</v>
          </cell>
          <cell r="E13" t="str">
            <v>コ4ン8ニ・・チワ9</v>
          </cell>
        </row>
        <row r="14">
          <cell r="A14">
            <v>100012</v>
          </cell>
          <cell r="B14" t="str">
            <v>[effect:fix_speed,target:myself,turn:3]</v>
          </cell>
          <cell r="C14">
            <v>3</v>
          </cell>
          <cell r="D14" t="str">
            <v>ja</v>
          </cell>
          <cell r="E14" t="str">
            <v>りんご速報</v>
          </cell>
        </row>
        <row r="15">
          <cell r="A15">
            <v>100013</v>
          </cell>
          <cell r="B15" t="str">
            <v>[effect:nothing]</v>
          </cell>
          <cell r="C15">
            <v>3</v>
          </cell>
          <cell r="D15" t="str">
            <v>ja</v>
          </cell>
          <cell r="E15" t="str">
            <v>高みの見物</v>
          </cell>
        </row>
        <row r="16">
          <cell r="A16">
            <v>100014</v>
          </cell>
          <cell r="B16" t="str">
            <v>[effect:nothing]</v>
          </cell>
          <cell r="C16">
            <v>3</v>
          </cell>
          <cell r="D16" t="str">
            <v>ja</v>
          </cell>
          <cell r="E16" t="str">
            <v>困惑</v>
          </cell>
        </row>
        <row r="17">
          <cell r="A17">
            <v>100015</v>
          </cell>
          <cell r="B17" t="str">
            <v>[effect:fix_speed,target:myself,turn:3]</v>
          </cell>
          <cell r="C17">
            <v>3</v>
          </cell>
          <cell r="D17" t="str">
            <v>ja</v>
          </cell>
          <cell r="E17" t="str">
            <v>&lt;ロックオン&gt;</v>
          </cell>
        </row>
        <row r="18">
          <cell r="A18">
            <v>100016</v>
          </cell>
          <cell r="B18" t="str">
            <v>[effect:nothing]</v>
          </cell>
          <cell r="C18">
            <v>3</v>
          </cell>
          <cell r="D18" t="str">
            <v>ja</v>
          </cell>
          <cell r="E18" t="str">
            <v>&lt;装填中&gt;</v>
          </cell>
        </row>
        <row r="19">
          <cell r="A19">
            <v>100017</v>
          </cell>
          <cell r="B19" t="str">
            <v>[effect:nothing]</v>
          </cell>
          <cell r="C19">
            <v>3</v>
          </cell>
          <cell r="D19" t="str">
            <v>ja</v>
          </cell>
          <cell r="E19" t="str">
            <v>人間風情が…</v>
          </cell>
        </row>
        <row r="20">
          <cell r="A20">
            <v>100018</v>
          </cell>
          <cell r="B20" t="str">
            <v>[effect:nothing]</v>
          </cell>
          <cell r="C20">
            <v>1</v>
          </cell>
          <cell r="D20" t="str">
            <v>ja</v>
          </cell>
          <cell r="E20" t="str">
            <v>ずっと一緒に…</v>
          </cell>
        </row>
        <row r="21">
          <cell r="A21">
            <v>100019</v>
          </cell>
          <cell r="B21" t="str">
            <v>[effect:nothing]</v>
          </cell>
          <cell r="C21">
            <v>3</v>
          </cell>
          <cell r="D21" t="str">
            <v>ja</v>
          </cell>
          <cell r="E21" t="str">
            <v>もう一人じゃないよね</v>
          </cell>
        </row>
        <row r="22">
          <cell r="A22">
            <v>100020</v>
          </cell>
          <cell r="B22" t="str">
            <v>[effect:nothing]</v>
          </cell>
          <cell r="C22">
            <v>3</v>
          </cell>
          <cell r="D22" t="str">
            <v>ja</v>
          </cell>
          <cell r="E22" t="str">
            <v>魂の帰還</v>
          </cell>
        </row>
        <row r="23">
          <cell r="A23">
            <v>100021</v>
          </cell>
          <cell r="B23" t="str">
            <v>[effect:nothing]</v>
          </cell>
          <cell r="C23">
            <v>3</v>
          </cell>
          <cell r="D23" t="str">
            <v>ja</v>
          </cell>
          <cell r="E23" t="str">
            <v>自爆の覚悟</v>
          </cell>
        </row>
        <row r="24">
          <cell r="A24">
            <v>100022</v>
          </cell>
          <cell r="B24" t="str">
            <v>[effect:nothing]</v>
          </cell>
          <cell r="C24">
            <v>1</v>
          </cell>
          <cell r="D24" t="str">
            <v>ja</v>
          </cell>
          <cell r="E24" t="str">
            <v>指一本触れさせん…</v>
          </cell>
        </row>
        <row r="25">
          <cell r="A25">
            <v>100023</v>
          </cell>
          <cell r="B25" t="str">
            <v>[effect:nothing]</v>
          </cell>
          <cell r="C25">
            <v>3</v>
          </cell>
          <cell r="D25" t="str">
            <v>ja</v>
          </cell>
          <cell r="E25" t="str">
            <v>星降りの儀</v>
          </cell>
        </row>
        <row r="26">
          <cell r="A26">
            <v>100024</v>
          </cell>
          <cell r="B26" t="str">
            <v>[effect:nothing]</v>
          </cell>
          <cell r="C26">
            <v>3</v>
          </cell>
          <cell r="D26" t="str">
            <v>ja</v>
          </cell>
          <cell r="E26" t="str">
            <v>絡みつく触手</v>
          </cell>
        </row>
        <row r="27">
          <cell r="A27">
            <v>100025</v>
          </cell>
          <cell r="B27" t="str">
            <v>[effect:fix_speed,target:myself,turn:1]</v>
          </cell>
          <cell r="C27">
            <v>3</v>
          </cell>
          <cell r="D27" t="str">
            <v>ja</v>
          </cell>
          <cell r="E27" t="str">
            <v>ガラスの靴は私のもの！</v>
          </cell>
        </row>
        <row r="28">
          <cell r="A28">
            <v>100026</v>
          </cell>
          <cell r="B28" t="str">
            <v>[effect:freq_turn, target:myself, turn:-1, val:1, animation:enemy_freq_turn]</v>
          </cell>
          <cell r="C28">
            <v>3</v>
          </cell>
          <cell r="D28" t="str">
            <v>ja</v>
          </cell>
          <cell r="E28" t="str">
            <v>私を怒らせてしまったようだな・・！</v>
          </cell>
        </row>
        <row r="29">
          <cell r="A29">
            <v>100027</v>
          </cell>
          <cell r="B29" t="str">
            <v>[effect:fix_speed,target:myself,turn:3]</v>
          </cell>
          <cell r="C29">
            <v>3</v>
          </cell>
          <cell r="D29" t="str">
            <v>ja</v>
          </cell>
          <cell r="E29" t="str">
            <v>ガガ…ピ…!?</v>
          </cell>
        </row>
        <row r="30">
          <cell r="A30">
            <v>100028</v>
          </cell>
          <cell r="B30" t="str">
            <v>[effect:nothing]</v>
          </cell>
          <cell r="C30">
            <v>3</v>
          </cell>
          <cell r="D30" t="str">
            <v>ja</v>
          </cell>
          <cell r="E30" t="str">
            <v>フフフ・・・</v>
          </cell>
        </row>
        <row r="31">
          <cell r="A31">
            <v>100029</v>
          </cell>
          <cell r="B31" t="str">
            <v>[effect:nothing]</v>
          </cell>
          <cell r="C31">
            <v>3</v>
          </cell>
          <cell r="D31" t="str">
            <v>ja</v>
          </cell>
          <cell r="E31" t="str">
            <v>震えている</v>
          </cell>
        </row>
        <row r="32">
          <cell r="A32">
            <v>100030</v>
          </cell>
          <cell r="B32" t="str">
            <v>[effect:nothing]</v>
          </cell>
          <cell r="C32">
            <v>3</v>
          </cell>
          <cell r="D32" t="str">
            <v>ja</v>
          </cell>
          <cell r="E32" t="str">
            <v>引導を渡してやろう…</v>
          </cell>
        </row>
        <row r="33">
          <cell r="A33">
            <v>100031</v>
          </cell>
          <cell r="B33" t="str">
            <v>[effect:fix_speed,target:myself,turn:4]</v>
          </cell>
          <cell r="C33">
            <v>3</v>
          </cell>
          <cell r="D33" t="str">
            <v>ja</v>
          </cell>
          <cell r="E33" t="str">
            <v>侵入者…排除…</v>
          </cell>
        </row>
        <row r="34">
          <cell r="A34">
            <v>100032</v>
          </cell>
          <cell r="B34" t="str">
            <v>[effect:fix_speed,target:myself,turn:3]</v>
          </cell>
          <cell r="C34">
            <v>3</v>
          </cell>
          <cell r="D34" t="str">
            <v>ja</v>
          </cell>
          <cell r="E34" t="str">
            <v>こい、遊んでやろう</v>
          </cell>
        </row>
        <row r="35">
          <cell r="A35">
            <v>200001</v>
          </cell>
          <cell r="B35" t="str">
            <v>[effect:charge, status:attack, val:1.5, animation:enemy_charge]</v>
          </cell>
          <cell r="C35">
            <v>3</v>
          </cell>
          <cell r="D35" t="str">
            <v>ja</v>
          </cell>
          <cell r="E35" t="str">
            <v>一点集中</v>
          </cell>
        </row>
        <row r="36">
          <cell r="A36">
            <v>200002</v>
          </cell>
          <cell r="B36" t="str">
            <v>[effect:charge, status:attack, val:2.0, animation:enemy_charge]</v>
          </cell>
          <cell r="C36">
            <v>3</v>
          </cell>
          <cell r="D36" t="str">
            <v>ja</v>
          </cell>
          <cell r="E36" t="str">
            <v>リラックス</v>
          </cell>
        </row>
        <row r="37">
          <cell r="A37">
            <v>200003</v>
          </cell>
          <cell r="B37" t="str">
            <v>[effect:charge, status:attack, val:2.0, animation:enemy_charge]</v>
          </cell>
          <cell r="C37">
            <v>3</v>
          </cell>
          <cell r="D37" t="str">
            <v>ja</v>
          </cell>
          <cell r="E37" t="str">
            <v>玄武の構え</v>
          </cell>
        </row>
        <row r="38">
          <cell r="A38">
            <v>200004</v>
          </cell>
          <cell r="B38" t="str">
            <v>[effect:charge, status:attack, val:3.0, animation:enemy_charge]</v>
          </cell>
          <cell r="C38">
            <v>3</v>
          </cell>
          <cell r="D38" t="str">
            <v>ja</v>
          </cell>
          <cell r="E38" t="str">
            <v>気合溜め</v>
          </cell>
        </row>
        <row r="39">
          <cell r="A39">
            <v>200005</v>
          </cell>
          <cell r="B39" t="str">
            <v>[effect:charge, status:attack, val:5.0, animation:enemy_charge]</v>
          </cell>
          <cell r="C39">
            <v>3</v>
          </cell>
          <cell r="D39" t="str">
            <v>ja</v>
          </cell>
          <cell r="E39" t="str">
            <v>増幅するチカラ</v>
          </cell>
        </row>
        <row r="40">
          <cell r="A40">
            <v>200006</v>
          </cell>
          <cell r="B40" t="str">
            <v>[effect:charge, status:attack, val:2.0, animation:enemy_charge]</v>
          </cell>
          <cell r="C40">
            <v>3</v>
          </cell>
          <cell r="D40" t="str">
            <v>ja</v>
          </cell>
          <cell r="E40" t="str">
            <v>後悔するわよ</v>
          </cell>
        </row>
        <row r="41">
          <cell r="A41">
            <v>200007</v>
          </cell>
          <cell r="B41" t="str">
            <v>[effect:charge, status:attack, val:3.0, animation:enemy_charge]</v>
          </cell>
          <cell r="C41">
            <v>3</v>
          </cell>
          <cell r="D41" t="str">
            <v>ja</v>
          </cell>
          <cell r="E41" t="str">
            <v>不機嫌な目覚め</v>
          </cell>
        </row>
        <row r="42">
          <cell r="A42">
            <v>200008</v>
          </cell>
          <cell r="B42" t="str">
            <v>[effect:charge, status:attack, val:2.0, animation:enemy_charge]</v>
          </cell>
          <cell r="C42">
            <v>3</v>
          </cell>
          <cell r="D42" t="str">
            <v>ja</v>
          </cell>
          <cell r="E42" t="str">
            <v>フルスイング</v>
          </cell>
        </row>
        <row r="43">
          <cell r="A43">
            <v>200009</v>
          </cell>
          <cell r="B43" t="str">
            <v>[effect:charge, status:attack, val:4.0, animation:enemy_charge]</v>
          </cell>
          <cell r="C43">
            <v>3</v>
          </cell>
          <cell r="D43" t="str">
            <v>ja</v>
          </cell>
          <cell r="E43" t="str">
            <v>キラースイング</v>
          </cell>
        </row>
        <row r="44">
          <cell r="A44">
            <v>200010</v>
          </cell>
          <cell r="B44" t="str">
            <v>[effect:charge, status:attack, val:2.0, animation:enemy_charge]</v>
          </cell>
          <cell r="C44">
            <v>3</v>
          </cell>
          <cell r="D44" t="str">
            <v>ja</v>
          </cell>
          <cell r="E44" t="str">
            <v>みなぎる闘志</v>
          </cell>
        </row>
        <row r="45">
          <cell r="A45">
            <v>200011</v>
          </cell>
          <cell r="B45" t="str">
            <v>[effect:charge, status:attack, val:3.0, animation:enemy_charge]</v>
          </cell>
          <cell r="C45">
            <v>3</v>
          </cell>
          <cell r="D45" t="str">
            <v>ja</v>
          </cell>
          <cell r="E45" t="str">
            <v>ハイパーリラックス</v>
          </cell>
        </row>
        <row r="46">
          <cell r="A46">
            <v>200012</v>
          </cell>
          <cell r="B46" t="str">
            <v>[effect:charge, status:attack, val:3.0, animation:enemy_charge]</v>
          </cell>
          <cell r="C46">
            <v>3</v>
          </cell>
          <cell r="D46" t="str">
            <v>ja</v>
          </cell>
          <cell r="E46" t="str">
            <v>ラストシューティング</v>
          </cell>
        </row>
        <row r="47">
          <cell r="A47">
            <v>200013</v>
          </cell>
          <cell r="B47" t="str">
            <v>[effect:charge, status:attack, val:4.0, animation:enemy_charge]</v>
          </cell>
          <cell r="C47">
            <v>3</v>
          </cell>
          <cell r="D47" t="str">
            <v>ja</v>
          </cell>
          <cell r="E47" t="str">
            <v>わたしに触るな！</v>
          </cell>
        </row>
        <row r="48">
          <cell r="A48">
            <v>200014</v>
          </cell>
          <cell r="B48" t="str">
            <v>[effect:charge, status:attack, val:5.0, animation:enemy_charge]</v>
          </cell>
          <cell r="C48">
            <v>3</v>
          </cell>
          <cell r="D48" t="str">
            <v>ja</v>
          </cell>
          <cell r="E48" t="str">
            <v>かぐや諸共消し飛べ！！</v>
          </cell>
        </row>
        <row r="49">
          <cell r="A49">
            <v>200015</v>
          </cell>
          <cell r="B49" t="str">
            <v>[effect:charge, status:attack, val:2.0, animation:enemy_charge]</v>
          </cell>
          <cell r="C49">
            <v>3</v>
          </cell>
          <cell r="D49" t="str">
            <v>ja</v>
          </cell>
          <cell r="E49" t="str">
            <v>蒼斬刀</v>
          </cell>
        </row>
        <row r="50">
          <cell r="A50">
            <v>200016</v>
          </cell>
          <cell r="B50" t="str">
            <v>[effect:rush, count:5, val:0.15][effect:charge, status:attack, val:0.75, animation:enemy_charge]</v>
          </cell>
          <cell r="C50">
            <v>3</v>
          </cell>
          <cell r="D50" t="str">
            <v>ja</v>
          </cell>
          <cell r="E50" t="str">
            <v>ビリビリちゃーじ！</v>
          </cell>
        </row>
        <row r="51">
          <cell r="A51">
            <v>200017</v>
          </cell>
          <cell r="B51" t="str">
            <v>[effect:charge, status:attack, val:0.7, animation:enemy_charge]</v>
          </cell>
          <cell r="C51">
            <v>3</v>
          </cell>
          <cell r="D51" t="str">
            <v>ja</v>
          </cell>
          <cell r="E51" t="str">
            <v>次のは痛いぞ？</v>
          </cell>
        </row>
        <row r="52">
          <cell r="A52">
            <v>210001</v>
          </cell>
          <cell r="B52" t="str">
            <v>[effect:critical, val:1.5.0, animation:enemy_critical]</v>
          </cell>
          <cell r="C52">
            <v>3</v>
          </cell>
          <cell r="D52" t="str">
            <v>ja</v>
          </cell>
          <cell r="E52" t="str">
            <v>青の剛力</v>
          </cell>
        </row>
        <row r="53">
          <cell r="A53">
            <v>210002</v>
          </cell>
          <cell r="B53" t="str">
            <v>[effect:critical, val:1.8.0, animation:enemy_critical]</v>
          </cell>
          <cell r="C53">
            <v>3</v>
          </cell>
          <cell r="D53" t="str">
            <v>ja</v>
          </cell>
          <cell r="E53" t="str">
            <v>蛇牙</v>
          </cell>
        </row>
        <row r="54">
          <cell r="A54">
            <v>210003</v>
          </cell>
          <cell r="B54" t="str">
            <v>[effect:critical, val:2.5.0, animation:enemy_critical]</v>
          </cell>
          <cell r="C54">
            <v>3</v>
          </cell>
          <cell r="D54" t="str">
            <v>ja</v>
          </cell>
          <cell r="E54" t="str">
            <v>ワンショットキル</v>
          </cell>
        </row>
        <row r="55">
          <cell r="A55">
            <v>210004</v>
          </cell>
          <cell r="B55" t="str">
            <v>[effect:critical, val:1.5.0, animation:enemy_critical]</v>
          </cell>
          <cell r="C55">
            <v>3</v>
          </cell>
          <cell r="D55" t="str">
            <v>ja</v>
          </cell>
          <cell r="E55" t="str">
            <v>タックル</v>
          </cell>
        </row>
        <row r="56">
          <cell r="A56">
            <v>210005</v>
          </cell>
          <cell r="B56" t="str">
            <v>[effect:critical, val:2.5.0, animation:enemy_critical]</v>
          </cell>
          <cell r="C56">
            <v>3</v>
          </cell>
          <cell r="D56" t="str">
            <v>ja</v>
          </cell>
          <cell r="E56" t="str">
            <v>猛烈電撃</v>
          </cell>
        </row>
        <row r="57">
          <cell r="A57">
            <v>210006</v>
          </cell>
          <cell r="B57" t="str">
            <v>[effect:critical, val:1.5.0, animation:enemy_critical]</v>
          </cell>
          <cell r="C57">
            <v>3</v>
          </cell>
          <cell r="D57" t="str">
            <v>ja</v>
          </cell>
          <cell r="E57" t="str">
            <v>巨腕の抱擁</v>
          </cell>
        </row>
        <row r="58">
          <cell r="A58">
            <v>210007</v>
          </cell>
          <cell r="B58" t="str">
            <v>[effect:critical, val:3.0.0, animation:enemy_critical]</v>
          </cell>
          <cell r="C58">
            <v>3</v>
          </cell>
          <cell r="D58" t="str">
            <v>ja</v>
          </cell>
          <cell r="E58" t="str">
            <v>金剛黄撃</v>
          </cell>
        </row>
        <row r="59">
          <cell r="A59">
            <v>210008</v>
          </cell>
          <cell r="B59" t="str">
            <v>[effect:critical, val:1.5.0, animation:enemy_critical]</v>
          </cell>
          <cell r="C59">
            <v>3</v>
          </cell>
          <cell r="D59" t="str">
            <v>ja</v>
          </cell>
          <cell r="E59" t="str">
            <v>煌きの一蹴</v>
          </cell>
        </row>
        <row r="60">
          <cell r="A60">
            <v>210009</v>
          </cell>
          <cell r="B60" t="str">
            <v>[effect:critical, val:2.5.0, animation:enemy_critical]</v>
          </cell>
          <cell r="C60">
            <v>3</v>
          </cell>
          <cell r="D60" t="str">
            <v>ja</v>
          </cell>
          <cell r="E60" t="str">
            <v>輝きの一蹴</v>
          </cell>
        </row>
        <row r="61">
          <cell r="A61">
            <v>210010</v>
          </cell>
          <cell r="B61" t="str">
            <v>[effect:critical, val:1.5.0, animation:enemy_critical]</v>
          </cell>
          <cell r="C61">
            <v>3</v>
          </cell>
          <cell r="D61" t="str">
            <v>ja</v>
          </cell>
          <cell r="E61" t="str">
            <v>お前を消す方法</v>
          </cell>
        </row>
        <row r="62">
          <cell r="A62">
            <v>210011</v>
          </cell>
          <cell r="B62" t="str">
            <v>[effect:critical, val:1.5.0, animation:enemy_critical]</v>
          </cell>
          <cell r="C62">
            <v>3</v>
          </cell>
          <cell r="D62" t="str">
            <v>ja</v>
          </cell>
          <cell r="E62" t="str">
            <v>迫る鉤爪</v>
          </cell>
        </row>
        <row r="63">
          <cell r="A63">
            <v>210012</v>
          </cell>
          <cell r="B63" t="str">
            <v>[effect:critical, val:2.0.0, animation:enemy_critical]</v>
          </cell>
          <cell r="C63">
            <v>3</v>
          </cell>
          <cell r="D63" t="str">
            <v>ja</v>
          </cell>
          <cell r="E63" t="str">
            <v>襲い来る鉤爪</v>
          </cell>
        </row>
        <row r="64">
          <cell r="A64">
            <v>210013</v>
          </cell>
          <cell r="B64" t="str">
            <v>[effect:critical, val:1.3.0, animation:enemy_critical]</v>
          </cell>
          <cell r="C64">
            <v>3</v>
          </cell>
          <cell r="D64" t="str">
            <v>ja</v>
          </cell>
          <cell r="E64" t="str">
            <v>猛虎の手</v>
          </cell>
        </row>
        <row r="65">
          <cell r="A65">
            <v>210014</v>
          </cell>
          <cell r="B65" t="str">
            <v>[effect:critical, val:1.5.0, animation:enemy_critical]</v>
          </cell>
          <cell r="C65">
            <v>3</v>
          </cell>
          <cell r="D65" t="str">
            <v>ja</v>
          </cell>
          <cell r="E65" t="str">
            <v>閃光空撃</v>
          </cell>
        </row>
        <row r="66">
          <cell r="A66">
            <v>210015</v>
          </cell>
          <cell r="B66" t="str">
            <v>[effect:critical, val:1.5.0, animation:enemy_critical]</v>
          </cell>
          <cell r="C66">
            <v>3</v>
          </cell>
          <cell r="D66" t="str">
            <v>ja</v>
          </cell>
          <cell r="E66" t="str">
            <v>蒼き一撃</v>
          </cell>
        </row>
        <row r="67">
          <cell r="A67">
            <v>210016</v>
          </cell>
          <cell r="B67" t="str">
            <v>[effect:critical, val:2.0.0, animation:enemy_critical]</v>
          </cell>
          <cell r="C67">
            <v>3</v>
          </cell>
          <cell r="D67" t="str">
            <v>ja</v>
          </cell>
          <cell r="E67" t="str">
            <v>金剛黄撃</v>
          </cell>
        </row>
        <row r="68">
          <cell r="A68">
            <v>210017</v>
          </cell>
          <cell r="B68" t="str">
            <v>[effect:critical, val:1.3.0, animation:enemy_critical]</v>
          </cell>
          <cell r="C68">
            <v>3</v>
          </cell>
          <cell r="D68" t="str">
            <v>ja</v>
          </cell>
          <cell r="E68" t="str">
            <v>ハンマーフォール</v>
          </cell>
        </row>
        <row r="69">
          <cell r="A69">
            <v>210018</v>
          </cell>
          <cell r="B69" t="str">
            <v>[effect:critical, val:1.3.0, animation:enemy_critical]</v>
          </cell>
          <cell r="C69">
            <v>3</v>
          </cell>
          <cell r="D69" t="str">
            <v>ja</v>
          </cell>
          <cell r="E69" t="str">
            <v>一筆一閃</v>
          </cell>
        </row>
        <row r="70">
          <cell r="A70">
            <v>210019</v>
          </cell>
          <cell r="B70" t="str">
            <v>[effect:critical, val:4.0.0, animation:enemy_critical]</v>
          </cell>
          <cell r="C70">
            <v>3</v>
          </cell>
          <cell r="D70" t="str">
            <v>ja</v>
          </cell>
          <cell r="E70" t="str">
            <v>&lt;キャノン砲発射&gt;</v>
          </cell>
        </row>
        <row r="71">
          <cell r="A71">
            <v>210020</v>
          </cell>
          <cell r="B71" t="str">
            <v>[effect:critical, val:5.0.0, animation:enemy_critical]</v>
          </cell>
          <cell r="C71">
            <v>3</v>
          </cell>
          <cell r="D71" t="str">
            <v>ja</v>
          </cell>
          <cell r="E71" t="str">
            <v>襲い来る鉤爪</v>
          </cell>
        </row>
        <row r="72">
          <cell r="A72">
            <v>210021</v>
          </cell>
          <cell r="B72" t="str">
            <v>[effect:critical, val:1.5.0, animation:enemy_critical]</v>
          </cell>
          <cell r="C72">
            <v>3</v>
          </cell>
          <cell r="D72" t="str">
            <v>ja</v>
          </cell>
          <cell r="E72" t="str">
            <v>疾風狼牙</v>
          </cell>
        </row>
        <row r="73">
          <cell r="A73">
            <v>210022</v>
          </cell>
          <cell r="B73" t="str">
            <v>[effect:critical, val:1.5.0, animation:enemy_critical]</v>
          </cell>
          <cell r="C73">
            <v>1</v>
          </cell>
          <cell r="D73" t="str">
            <v>ja</v>
          </cell>
          <cell r="E73" t="str">
            <v>クリティカル攻撃【仮】</v>
          </cell>
        </row>
        <row r="74">
          <cell r="A74">
            <v>210023</v>
          </cell>
          <cell r="B74" t="str">
            <v>[effect:critical, val:2.0.0, animation:enemy_critical]</v>
          </cell>
          <cell r="C74">
            <v>3</v>
          </cell>
          <cell r="D74" t="str">
            <v>ja</v>
          </cell>
          <cell r="E74" t="str">
            <v>紅の衝撃</v>
          </cell>
        </row>
        <row r="75">
          <cell r="A75">
            <v>210024</v>
          </cell>
          <cell r="B75" t="str">
            <v>[effect:critical, val:2.0.0, animation:enemy_critical]</v>
          </cell>
          <cell r="C75">
            <v>3</v>
          </cell>
          <cell r="D75" t="str">
            <v>ja</v>
          </cell>
          <cell r="E75" t="str">
            <v>蒼の衝撃</v>
          </cell>
        </row>
        <row r="76">
          <cell r="A76">
            <v>210025</v>
          </cell>
          <cell r="B76" t="str">
            <v>[effect:critical, val:2.0.0, animation:enemy_critical]</v>
          </cell>
          <cell r="C76">
            <v>1</v>
          </cell>
          <cell r="D76" t="str">
            <v>ja</v>
          </cell>
          <cell r="E76" t="str">
            <v>ハートクラッシュ</v>
          </cell>
        </row>
        <row r="77">
          <cell r="A77">
            <v>210026</v>
          </cell>
          <cell r="B77" t="str">
            <v>[effect:critical, val:3.0.0, animation:enemy_critical]</v>
          </cell>
          <cell r="C77">
            <v>1</v>
          </cell>
          <cell r="D77" t="str">
            <v>ja</v>
          </cell>
          <cell r="E77" t="str">
            <v>失せろ下郎！</v>
          </cell>
        </row>
        <row r="78">
          <cell r="A78">
            <v>210027</v>
          </cell>
          <cell r="B78" t="str">
            <v>[effect:critical, val:1.3.0, animation:enemy_critical]</v>
          </cell>
          <cell r="C78">
            <v>3</v>
          </cell>
          <cell r="D78" t="str">
            <v>ja</v>
          </cell>
          <cell r="E78" t="str">
            <v>猛虎の手</v>
          </cell>
        </row>
        <row r="79">
          <cell r="A79">
            <v>210028</v>
          </cell>
          <cell r="B79" t="str">
            <v>[effect:critical, val:1.6.0, animation:enemy_critical]</v>
          </cell>
          <cell r="C79">
            <v>3</v>
          </cell>
          <cell r="D79" t="str">
            <v>ja</v>
          </cell>
          <cell r="E79" t="str">
            <v>蒼の衝撃</v>
          </cell>
        </row>
        <row r="80">
          <cell r="A80">
            <v>210029</v>
          </cell>
          <cell r="B80" t="str">
            <v>[effect:critical, val:5.0.0, animation:enemy_critical]</v>
          </cell>
          <cell r="C80">
            <v>3</v>
          </cell>
          <cell r="D80" t="str">
            <v>ja</v>
          </cell>
          <cell r="E80" t="str">
            <v>EXECUTION</v>
          </cell>
        </row>
        <row r="81">
          <cell r="A81">
            <v>210030</v>
          </cell>
          <cell r="B81" t="str">
            <v>[effect:critical, val:1.8.0, animation:enemy_critical]</v>
          </cell>
          <cell r="C81">
            <v>3</v>
          </cell>
          <cell r="D81" t="str">
            <v>ja</v>
          </cell>
          <cell r="E81" t="str">
            <v>連鎖の氷殺</v>
          </cell>
        </row>
        <row r="82">
          <cell r="A82">
            <v>220001</v>
          </cell>
          <cell r="B82" t="str">
            <v>[effect:rush, count:2, val:0.6]</v>
          </cell>
          <cell r="C82">
            <v>3</v>
          </cell>
          <cell r="D82" t="str">
            <v>ja</v>
          </cell>
          <cell r="E82" t="str">
            <v>スピードスター</v>
          </cell>
        </row>
        <row r="83">
          <cell r="A83">
            <v>220002</v>
          </cell>
          <cell r="B83" t="str">
            <v>[effect:rush, count:2, val:0.7]</v>
          </cell>
          <cell r="C83">
            <v>3</v>
          </cell>
          <cell r="D83" t="str">
            <v>ja</v>
          </cell>
          <cell r="E83" t="str">
            <v>狂乱打</v>
          </cell>
        </row>
        <row r="84">
          <cell r="A84">
            <v>220003</v>
          </cell>
          <cell r="B84" t="str">
            <v>[effect:rush, count:2, val:0.8]</v>
          </cell>
          <cell r="C84">
            <v>3</v>
          </cell>
          <cell r="D84" t="str">
            <v>ja</v>
          </cell>
          <cell r="E84" t="str">
            <v>トゥハンド</v>
          </cell>
        </row>
        <row r="85">
          <cell r="A85">
            <v>220004</v>
          </cell>
          <cell r="B85" t="str">
            <v>[effect:rush, count:3, val:0.8]</v>
          </cell>
          <cell r="C85">
            <v>3</v>
          </cell>
          <cell r="D85" t="str">
            <v>ja</v>
          </cell>
          <cell r="E85" t="str">
            <v>エクスプローラーキラー</v>
          </cell>
        </row>
        <row r="86">
          <cell r="A86">
            <v>220005</v>
          </cell>
          <cell r="B86" t="str">
            <v>[effect:rush, count:4, val:0.6]</v>
          </cell>
          <cell r="C86">
            <v>3</v>
          </cell>
          <cell r="D86" t="str">
            <v>ja</v>
          </cell>
          <cell r="E86" t="str">
            <v>ハイ・エクスプローラーキラー</v>
          </cell>
        </row>
        <row r="87">
          <cell r="A87">
            <v>220006</v>
          </cell>
          <cell r="B87" t="str">
            <v>[effect:rush, count:5, val:0.4]</v>
          </cell>
          <cell r="C87">
            <v>3</v>
          </cell>
          <cell r="D87" t="str">
            <v>ja</v>
          </cell>
          <cell r="E87" t="str">
            <v>乱射</v>
          </cell>
        </row>
        <row r="88">
          <cell r="A88">
            <v>220007</v>
          </cell>
          <cell r="B88" t="str">
            <v>[effect:rush, count:8, val:0.5]</v>
          </cell>
          <cell r="C88">
            <v>3</v>
          </cell>
          <cell r="D88" t="str">
            <v>ja</v>
          </cell>
          <cell r="E88" t="str">
            <v>超乱射</v>
          </cell>
        </row>
        <row r="89">
          <cell r="A89">
            <v>220008</v>
          </cell>
          <cell r="B89" t="str">
            <v>[effect:rush, count:3, val:0.8]</v>
          </cell>
          <cell r="C89">
            <v>3</v>
          </cell>
          <cell r="D89" t="str">
            <v>ja</v>
          </cell>
          <cell r="E89" t="str">
            <v>超拡散アタック</v>
          </cell>
        </row>
        <row r="90">
          <cell r="A90">
            <v>220009</v>
          </cell>
          <cell r="B90" t="str">
            <v>[effect:rush, count:2, val:0.6]</v>
          </cell>
          <cell r="C90">
            <v>3</v>
          </cell>
          <cell r="D90" t="str">
            <v>ja</v>
          </cell>
          <cell r="E90" t="str">
            <v>連続雷撃</v>
          </cell>
        </row>
        <row r="91">
          <cell r="A91">
            <v>220010</v>
          </cell>
          <cell r="B91" t="str">
            <v>[effect:rush, count:4, val:0.8]</v>
          </cell>
          <cell r="C91">
            <v>3</v>
          </cell>
          <cell r="D91" t="str">
            <v>ja</v>
          </cell>
          <cell r="E91" t="str">
            <v>五月雨雷撃</v>
          </cell>
        </row>
        <row r="92">
          <cell r="A92">
            <v>220011</v>
          </cell>
          <cell r="B92" t="str">
            <v>[effect:rush, count:5, val:0.4]</v>
          </cell>
          <cell r="C92">
            <v>3</v>
          </cell>
          <cell r="D92" t="str">
            <v>ja</v>
          </cell>
          <cell r="E92" t="str">
            <v>毒蛇の猛攻</v>
          </cell>
        </row>
        <row r="93">
          <cell r="A93">
            <v>220012</v>
          </cell>
          <cell r="B93" t="str">
            <v>[effect:rush, count:5, val:0.4]</v>
          </cell>
          <cell r="C93">
            <v>3</v>
          </cell>
          <cell r="D93" t="str">
            <v>ja</v>
          </cell>
          <cell r="E93" t="str">
            <v>山猿の足</v>
          </cell>
        </row>
        <row r="94">
          <cell r="A94">
            <v>220013</v>
          </cell>
          <cell r="B94" t="str">
            <v>[effect:rush, count:8, val:0.7]</v>
          </cell>
          <cell r="C94">
            <v>3</v>
          </cell>
          <cell r="D94" t="str">
            <v>ja</v>
          </cell>
          <cell r="E94" t="str">
            <v>スピードスター</v>
          </cell>
        </row>
        <row r="95">
          <cell r="A95">
            <v>23011</v>
          </cell>
          <cell r="B95" t="str">
            <v>[effect:spread, val:0.9, animation:enemy_spread]</v>
          </cell>
          <cell r="C95">
            <v>3</v>
          </cell>
          <cell r="D95" t="str">
            <v>ja</v>
          </cell>
          <cell r="E95" t="str">
            <v>ハル・ディナーハ</v>
          </cell>
        </row>
        <row r="96">
          <cell r="A96">
            <v>220014</v>
          </cell>
          <cell r="B96" t="str">
            <v>[effect:rush, count:8, val:0.25]</v>
          </cell>
          <cell r="C96">
            <v>3</v>
          </cell>
          <cell r="D96" t="str">
            <v>ja</v>
          </cell>
          <cell r="E96" t="str">
            <v>ナーヴァ・グラハ</v>
          </cell>
        </row>
        <row r="97">
          <cell r="A97">
            <v>220015</v>
          </cell>
          <cell r="B97" t="str">
            <v>[effect:rush, count:3, val:0.6]</v>
          </cell>
          <cell r="C97">
            <v>3</v>
          </cell>
          <cell r="D97" t="str">
            <v>ja</v>
          </cell>
          <cell r="E97" t="str">
            <v>耐えられない孤独</v>
          </cell>
        </row>
        <row r="98">
          <cell r="A98">
            <v>220016</v>
          </cell>
          <cell r="B98" t="str">
            <v>[effect:rush, count:8, val:0.2]</v>
          </cell>
          <cell r="C98">
            <v>3</v>
          </cell>
          <cell r="D98" t="str">
            <v>ja</v>
          </cell>
          <cell r="E98" t="str">
            <v>ナーヴァ・グラハ</v>
          </cell>
        </row>
        <row r="99">
          <cell r="A99">
            <v>220017</v>
          </cell>
          <cell r="B99" t="str">
            <v>[effect:rush, count:5, val:0.5],[effect:enhance_enemy, target:enemy_all, turn:3, status:attack, val:1.2, animation:enemy_enhance_enemy]</v>
          </cell>
          <cell r="C99">
            <v>3</v>
          </cell>
          <cell r="D99" t="str">
            <v>ja</v>
          </cell>
          <cell r="E99" t="str">
            <v>抑えきれぬ食欲</v>
          </cell>
        </row>
        <row r="100">
          <cell r="A100">
            <v>220018</v>
          </cell>
          <cell r="B100" t="str">
            <v>[effect:rush, count:10, val:0.27],[effect:enhance_enemy, target:enemy_all, turn:5, status:attack, val:1.2, animation:enemy_enhance_enemy]</v>
          </cell>
          <cell r="C100">
            <v>3</v>
          </cell>
          <cell r="D100" t="str">
            <v>ja</v>
          </cell>
          <cell r="E100" t="str">
            <v>襲い来る食欲</v>
          </cell>
        </row>
        <row r="101">
          <cell r="A101">
            <v>220019</v>
          </cell>
          <cell r="B101" t="str">
            <v>[effect:rush, count:20, val:0.13],[effect:enhance_enemy, target:enemy_all, turn:5, status:attack, val:1.5, animation:enemy_enhance_enemy]</v>
          </cell>
          <cell r="C101">
            <v>3</v>
          </cell>
          <cell r="D101" t="str">
            <v>ja</v>
          </cell>
          <cell r="E101" t="str">
            <v>果てしなき食欲</v>
          </cell>
        </row>
        <row r="102">
          <cell r="A102">
            <v>220020</v>
          </cell>
          <cell r="B102" t="str">
            <v>[effect:rush, count:2, val:0.3]</v>
          </cell>
          <cell r="C102">
            <v>3</v>
          </cell>
          <cell r="D102" t="str">
            <v>ja</v>
          </cell>
          <cell r="E102" t="str">
            <v>ノロマめ…</v>
          </cell>
        </row>
        <row r="103">
          <cell r="A103">
            <v>220021</v>
          </cell>
          <cell r="B103" t="str">
            <v>[effect:rush, count:3, val:0.3]</v>
          </cell>
          <cell r="C103">
            <v>3</v>
          </cell>
          <cell r="D103" t="str">
            <v>ja</v>
          </cell>
          <cell r="E103" t="str">
            <v>何と緩慢な</v>
          </cell>
        </row>
        <row r="104">
          <cell r="A104">
            <v>220022</v>
          </cell>
          <cell r="B104" t="str">
            <v>[effect:rush, count:7, val:0.2]</v>
          </cell>
          <cell r="C104">
            <v>3</v>
          </cell>
          <cell r="D104" t="str">
            <v>ja</v>
          </cell>
          <cell r="E104" t="str">
            <v>止まってみえるぞ!</v>
          </cell>
        </row>
        <row r="105">
          <cell r="A105">
            <v>220023</v>
          </cell>
          <cell r="B105" t="str">
            <v>[effect:rush, count:5, val:0.4]</v>
          </cell>
          <cell r="C105">
            <v>3</v>
          </cell>
          <cell r="D105" t="str">
            <v>ja</v>
          </cell>
          <cell r="E105" t="str">
            <v>山猿の足</v>
          </cell>
        </row>
        <row r="106">
          <cell r="A106">
            <v>220024</v>
          </cell>
          <cell r="B106" t="str">
            <v>[effect:rush, count:7, val:0.2]</v>
          </cell>
          <cell r="C106">
            <v>3</v>
          </cell>
          <cell r="D106" t="str">
            <v>ja</v>
          </cell>
          <cell r="E106" t="str">
            <v>地獄の締め上げ</v>
          </cell>
        </row>
        <row r="107">
          <cell r="A107">
            <v>220025</v>
          </cell>
          <cell r="B107" t="str">
            <v>[effect:rush, count:10, val:0.2]</v>
          </cell>
          <cell r="C107">
            <v>3</v>
          </cell>
          <cell r="D107" t="str">
            <v>ja</v>
          </cell>
          <cell r="E107" t="str">
            <v>ゴールドスラッシュ</v>
          </cell>
        </row>
        <row r="108">
          <cell r="A108">
            <v>220026</v>
          </cell>
          <cell r="B108" t="str">
            <v>[effect:rush, count:5, val:0.3]</v>
          </cell>
          <cell r="C108">
            <v>3</v>
          </cell>
          <cell r="D108" t="str">
            <v>ja</v>
          </cell>
          <cell r="E108" t="str">
            <v>ゴールドラッシュ</v>
          </cell>
        </row>
        <row r="109">
          <cell r="A109">
            <v>220027</v>
          </cell>
          <cell r="B109" t="str">
            <v>[effect:rush, count:2, val:0.8]</v>
          </cell>
          <cell r="C109">
            <v>3</v>
          </cell>
          <cell r="D109" t="str">
            <v>ja</v>
          </cell>
          <cell r="E109" t="str">
            <v>ツインターゲット</v>
          </cell>
        </row>
        <row r="110">
          <cell r="A110">
            <v>220028</v>
          </cell>
          <cell r="B110" t="str">
            <v>[effect:rush, count:3, val:0.4]</v>
          </cell>
          <cell r="C110">
            <v>3</v>
          </cell>
          <cell r="D110" t="str">
            <v>ja</v>
          </cell>
          <cell r="E110" t="str">
            <v>気分が良いぞ…</v>
          </cell>
        </row>
        <row r="111">
          <cell r="A111">
            <v>220029</v>
          </cell>
          <cell r="B111" t="str">
            <v>[effect:rush, count:5, val:0.3]</v>
          </cell>
          <cell r="C111">
            <v>3</v>
          </cell>
          <cell r="D111" t="str">
            <v>ja</v>
          </cell>
          <cell r="E111" t="str">
            <v>群れるな痴れ者ども</v>
          </cell>
        </row>
        <row r="112">
          <cell r="A112">
            <v>220030</v>
          </cell>
          <cell r="B112" t="str">
            <v>[effect:rush, count:7, val:0.2]</v>
          </cell>
          <cell r="C112">
            <v>3</v>
          </cell>
          <cell r="D112" t="str">
            <v>ja</v>
          </cell>
          <cell r="E112" t="str">
            <v>まとめてサメのエサだ！</v>
          </cell>
        </row>
        <row r="113">
          <cell r="A113">
            <v>230001</v>
          </cell>
          <cell r="B113" t="str">
            <v>[effect:spread, val:0.5, animation:enemy_spread]</v>
          </cell>
          <cell r="C113">
            <v>3</v>
          </cell>
          <cell r="D113" t="str">
            <v>ja</v>
          </cell>
          <cell r="E113" t="str">
            <v>連打</v>
          </cell>
        </row>
        <row r="114">
          <cell r="A114">
            <v>230002</v>
          </cell>
          <cell r="B114" t="str">
            <v>[effect:spread, val:0.3, animation:enemy_spread]</v>
          </cell>
          <cell r="C114">
            <v>3</v>
          </cell>
          <cell r="D114" t="str">
            <v>ja</v>
          </cell>
          <cell r="E114" t="str">
            <v>大切断</v>
          </cell>
        </row>
        <row r="115">
          <cell r="A115">
            <v>230003</v>
          </cell>
          <cell r="B115" t="str">
            <v>[effect:spread, val:0.5, animation:enemy_spread]</v>
          </cell>
          <cell r="C115">
            <v>3</v>
          </cell>
          <cell r="D115" t="str">
            <v>ja</v>
          </cell>
          <cell r="E115" t="str">
            <v>敗北の悪夢</v>
          </cell>
        </row>
        <row r="116">
          <cell r="A116">
            <v>230004</v>
          </cell>
          <cell r="B116" t="str">
            <v>[effect:spread, val:0.8, animation:enemy_spread]</v>
          </cell>
          <cell r="C116">
            <v>3</v>
          </cell>
          <cell r="D116" t="str">
            <v>ja</v>
          </cell>
          <cell r="E116" t="str">
            <v>絶望の悪夢</v>
          </cell>
        </row>
        <row r="117">
          <cell r="A117">
            <v>230005</v>
          </cell>
          <cell r="B117" t="str">
            <v>[effect:spread, val:0.5, animation:enemy_spread]</v>
          </cell>
          <cell r="C117">
            <v>3</v>
          </cell>
          <cell r="D117" t="str">
            <v>ja</v>
          </cell>
          <cell r="E117" t="str">
            <v>猛烈突進</v>
          </cell>
        </row>
        <row r="118">
          <cell r="A118">
            <v>230006</v>
          </cell>
          <cell r="B118" t="str">
            <v>[effect:spread, val:0.3, animation:enemy_spread]</v>
          </cell>
          <cell r="C118">
            <v>3</v>
          </cell>
          <cell r="D118" t="str">
            <v>ja</v>
          </cell>
          <cell r="E118" t="str">
            <v>畏れの至言</v>
          </cell>
        </row>
        <row r="119">
          <cell r="A119">
            <v>230007</v>
          </cell>
          <cell r="B119" t="str">
            <v>[effect:spread, val:0.5, animation:enemy_spread]</v>
          </cell>
          <cell r="C119">
            <v>3</v>
          </cell>
          <cell r="D119" t="str">
            <v>ja</v>
          </cell>
          <cell r="E119" t="str">
            <v>寝起きの鉄槌</v>
          </cell>
        </row>
        <row r="120">
          <cell r="A120">
            <v>230008</v>
          </cell>
          <cell r="B120" t="str">
            <v>[effect:spread, val:0.5, animation:enemy_spread]</v>
          </cell>
          <cell r="C120">
            <v>3</v>
          </cell>
          <cell r="D120" t="str">
            <v>ja</v>
          </cell>
          <cell r="E120" t="str">
            <v>窮鼠の爪</v>
          </cell>
        </row>
        <row r="121">
          <cell r="A121">
            <v>230009</v>
          </cell>
          <cell r="B121" t="str">
            <v>[effect:spread, val:0.35, animation:enemy_spread]</v>
          </cell>
          <cell r="C121">
            <v>3</v>
          </cell>
          <cell r="D121" t="str">
            <v>ja</v>
          </cell>
          <cell r="E121" t="str">
            <v>妙技「雷轟金閃」</v>
          </cell>
        </row>
        <row r="122">
          <cell r="A122">
            <v>230010</v>
          </cell>
          <cell r="B122" t="str">
            <v>[effect:spread, val:0.3, animation:enemy_spread]</v>
          </cell>
          <cell r="C122">
            <v>3</v>
          </cell>
          <cell r="D122" t="str">
            <v>ja</v>
          </cell>
          <cell r="E122" t="str">
            <v>瞬殺の極意</v>
          </cell>
        </row>
        <row r="123">
          <cell r="A123">
            <v>230012</v>
          </cell>
          <cell r="B123" t="str">
            <v>[effect:spread, val:0.3, animation:enemy_spread]</v>
          </cell>
          <cell r="C123">
            <v>3</v>
          </cell>
          <cell r="D123" t="str">
            <v>ja</v>
          </cell>
          <cell r="E123" t="str">
            <v>黄剛の一閃</v>
          </cell>
        </row>
        <row r="124">
          <cell r="A124">
            <v>230013</v>
          </cell>
          <cell r="B124" t="str">
            <v>[effect:spread, val:0.4, animation:enemy_spread]</v>
          </cell>
          <cell r="C124">
            <v>1</v>
          </cell>
          <cell r="D124" t="str">
            <v>ja</v>
          </cell>
          <cell r="E124" t="str">
            <v>紅の一閃</v>
          </cell>
        </row>
        <row r="125">
          <cell r="A125">
            <v>230014</v>
          </cell>
          <cell r="B125" t="str">
            <v>[effect:spread, val:0.3, animation:enemy_spread]</v>
          </cell>
          <cell r="C125">
            <v>3</v>
          </cell>
          <cell r="D125" t="str">
            <v>ja</v>
          </cell>
          <cell r="E125" t="str">
            <v>紅の一閃</v>
          </cell>
        </row>
        <row r="126">
          <cell r="A126">
            <v>230015</v>
          </cell>
          <cell r="B126" t="str">
            <v>[effect:spread, val:0.3, animation:enemy_spread]</v>
          </cell>
          <cell r="C126">
            <v>3</v>
          </cell>
          <cell r="D126" t="str">
            <v>ja</v>
          </cell>
          <cell r="E126" t="str">
            <v>スプレッドボム</v>
          </cell>
        </row>
        <row r="127">
          <cell r="A127">
            <v>230016</v>
          </cell>
          <cell r="B127" t="str">
            <v>[effect:spread, val:0.5, animation:enemy_spread]</v>
          </cell>
          <cell r="C127">
            <v>3</v>
          </cell>
          <cell r="D127" t="str">
            <v>ja</v>
          </cell>
          <cell r="E127" t="str">
            <v>猟師さーんヽ(≧Д≦)ノ</v>
          </cell>
        </row>
        <row r="128">
          <cell r="A128">
            <v>230017</v>
          </cell>
          <cell r="B128" t="str">
            <v>[effect:spread, val:1.0, animation:enemy_spread]</v>
          </cell>
          <cell r="C128">
            <v>3</v>
          </cell>
          <cell r="D128" t="str">
            <v>ja</v>
          </cell>
          <cell r="E128" t="str">
            <v>地を焦がす流星雨</v>
          </cell>
        </row>
        <row r="129">
          <cell r="A129">
            <v>230018</v>
          </cell>
          <cell r="B129" t="str">
            <v>[effect:spread, val:0.3, animation:enemy_spread]</v>
          </cell>
          <cell r="C129">
            <v>3</v>
          </cell>
          <cell r="D129" t="str">
            <v>ja</v>
          </cell>
          <cell r="E129" t="str">
            <v>無差別乱射</v>
          </cell>
        </row>
        <row r="130">
          <cell r="A130">
            <v>230019</v>
          </cell>
          <cell r="B130" t="str">
            <v>[effect:spread, val:0.3, animation:enemy_spread]</v>
          </cell>
          <cell r="C130">
            <v>3</v>
          </cell>
          <cell r="D130" t="str">
            <v>ja</v>
          </cell>
          <cell r="E130" t="str">
            <v>ハァーッハッハッハ！!</v>
          </cell>
        </row>
        <row r="131">
          <cell r="A131">
            <v>230020</v>
          </cell>
          <cell r="B131" t="str">
            <v>[effect:spread, val:0.3, animation:enemy_spread]</v>
          </cell>
          <cell r="C131">
            <v>3</v>
          </cell>
          <cell r="D131" t="str">
            <v>ja</v>
          </cell>
          <cell r="E131" t="str">
            <v>シュトゥルム・アングリフ</v>
          </cell>
        </row>
        <row r="132">
          <cell r="A132">
            <v>230022</v>
          </cell>
          <cell r="B132" t="str">
            <v>[effect:spread, val:0.3, animation:enemy_spread]</v>
          </cell>
          <cell r="C132">
            <v>3</v>
          </cell>
          <cell r="D132" t="str">
            <v>ja</v>
          </cell>
          <cell r="E132" t="str">
            <v>キミたち食べていい？</v>
          </cell>
        </row>
        <row r="133">
          <cell r="A133">
            <v>230023</v>
          </cell>
          <cell r="B133" t="str">
            <v>[effect:spread, val:0.5, animation:enemy_spread]</v>
          </cell>
          <cell r="C133">
            <v>3</v>
          </cell>
          <cell r="D133" t="str">
            <v>ja</v>
          </cell>
          <cell r="E133" t="str">
            <v>甲撃</v>
          </cell>
        </row>
        <row r="134">
          <cell r="A134">
            <v>230024</v>
          </cell>
          <cell r="B134" t="str">
            <v>[effect:spread, val:0.5, animation:enemy_spread]</v>
          </cell>
          <cell r="C134">
            <v>3</v>
          </cell>
          <cell r="D134" t="str">
            <v>ja</v>
          </cell>
          <cell r="E134" t="str">
            <v>サウンドストーム</v>
          </cell>
        </row>
        <row r="135">
          <cell r="A135">
            <v>230025</v>
          </cell>
          <cell r="B135" t="str">
            <v>[effect:spread, val:2.2, animation:enemy_spread]</v>
          </cell>
          <cell r="C135">
            <v>3</v>
          </cell>
          <cell r="D135" t="str">
            <v>ja</v>
          </cell>
          <cell r="E135" t="str">
            <v>ツムジ風！</v>
          </cell>
        </row>
        <row r="136">
          <cell r="A136">
            <v>230026</v>
          </cell>
          <cell r="B136" t="str">
            <v>[effect:spread, val:0.5, animation:enemy_spread]</v>
          </cell>
          <cell r="C136">
            <v>3</v>
          </cell>
          <cell r="D136" t="str">
            <v>ja</v>
          </cell>
          <cell r="E136" t="str">
            <v>踊れヤギども</v>
          </cell>
        </row>
        <row r="137">
          <cell r="A137">
            <v>230027</v>
          </cell>
          <cell r="B137" t="str">
            <v>[effect:spread, val:0.7, animation:enemy_spread]</v>
          </cell>
          <cell r="C137">
            <v>3</v>
          </cell>
          <cell r="D137" t="str">
            <v>ja</v>
          </cell>
          <cell r="E137" t="str">
            <v>出でよグリゴリ！</v>
          </cell>
        </row>
        <row r="138">
          <cell r="A138">
            <v>230029</v>
          </cell>
          <cell r="B138" t="str">
            <v>[effect:spread, val:0.3, animation:enemy_spread]</v>
          </cell>
          <cell r="C138">
            <v>3</v>
          </cell>
          <cell r="D138" t="str">
            <v>ja</v>
          </cell>
          <cell r="E138" t="str">
            <v>ビリビリあたっく！</v>
          </cell>
        </row>
        <row r="139">
          <cell r="A139">
            <v>230030</v>
          </cell>
          <cell r="B139" t="str">
            <v>[effect:spread, val:0.4, animation:enemy_spread]</v>
          </cell>
          <cell r="C139">
            <v>3</v>
          </cell>
          <cell r="D139" t="str">
            <v>ja</v>
          </cell>
          <cell r="E139" t="str">
            <v>薙ぎ払い</v>
          </cell>
        </row>
        <row r="140">
          <cell r="A140">
            <v>240001</v>
          </cell>
          <cell r="B140" t="str">
            <v>[effect:kamikaze, val:3.0, animation:enemy_kamikaze]</v>
          </cell>
          <cell r="C140">
            <v>3</v>
          </cell>
          <cell r="D140" t="str">
            <v>ja</v>
          </cell>
          <cell r="E140" t="str">
            <v>自爆</v>
          </cell>
        </row>
        <row r="141">
          <cell r="A141">
            <v>240002</v>
          </cell>
          <cell r="B141" t="str">
            <v>[effect:kamikaze, val:10.0, animation:enemy_kamikaze]</v>
          </cell>
          <cell r="C141">
            <v>3</v>
          </cell>
          <cell r="D141" t="str">
            <v>ja</v>
          </cell>
          <cell r="E141" t="str">
            <v>自爆</v>
          </cell>
        </row>
        <row r="142">
          <cell r="A142">
            <v>240003</v>
          </cell>
          <cell r="B142" t="str">
            <v>[effect:kamikaze, val:10.0, animation:enemy_kamikaze]</v>
          </cell>
          <cell r="C142">
            <v>3</v>
          </cell>
          <cell r="D142" t="str">
            <v>ja</v>
          </cell>
          <cell r="E142" t="str">
            <v>ピヨボム</v>
          </cell>
        </row>
        <row r="143">
          <cell r="A143">
            <v>240004</v>
          </cell>
          <cell r="B143" t="str">
            <v>[effect:kamikaze, val:20.0, animation:enemy_kamikaze]</v>
          </cell>
          <cell r="C143">
            <v>3</v>
          </cell>
          <cell r="D143" t="str">
            <v>ja</v>
          </cell>
          <cell r="E143" t="str">
            <v>でかピヨボム</v>
          </cell>
        </row>
        <row r="144">
          <cell r="A144">
            <v>240005</v>
          </cell>
          <cell r="B144" t="str">
            <v>[effect:kamikaze, val:30.0, animation:enemy_kamikaze]</v>
          </cell>
          <cell r="C144">
            <v>3</v>
          </cell>
          <cell r="D144" t="str">
            <v>ja</v>
          </cell>
          <cell r="E144" t="str">
            <v>ドでかピヨボム</v>
          </cell>
        </row>
        <row r="145">
          <cell r="A145">
            <v>240006</v>
          </cell>
          <cell r="B145" t="str">
            <v>[effect:fix_speed,target:myself,turn:3],[effect:kamikaze, val:3.0, animation:enemy_kamikaze]</v>
          </cell>
          <cell r="C145">
            <v>3</v>
          </cell>
          <cell r="D145" t="str">
            <v>ja</v>
          </cell>
          <cell r="E145" t="str">
            <v>生命の爆発</v>
          </cell>
        </row>
        <row r="146">
          <cell r="A146">
            <v>240007</v>
          </cell>
          <cell r="B146" t="str">
            <v>[effect:kamikaze, val:3.0, animation:enemy_kamikaze],[effect:virus, turn:3, rate:1.0, val:0.15, animation:enemy_virus]</v>
          </cell>
          <cell r="C146">
            <v>3</v>
          </cell>
          <cell r="D146" t="str">
            <v>ja</v>
          </cell>
          <cell r="E146" t="str">
            <v>最後の爆弾</v>
          </cell>
        </row>
        <row r="147">
          <cell r="A147">
            <v>240008</v>
          </cell>
          <cell r="B147" t="str">
            <v>[effect:kamikaze, val:0.25, animation:enemy_kamikaze],[effect:enhance_enemy, target:enemy_all, turn:-1, status:attack, val:2.0, animation:enemy_enhance_enemy]</v>
          </cell>
          <cell r="C147">
            <v>3</v>
          </cell>
          <cell r="D147" t="str">
            <v>ja</v>
          </cell>
          <cell r="E147" t="str">
            <v>エネルギー変換</v>
          </cell>
        </row>
        <row r="148">
          <cell r="A148">
            <v>240009</v>
          </cell>
          <cell r="B148" t="str">
            <v>[effect:kamikaze, val:0.25, animation:enemy_kamikaze],[effect:freq_turn, target:enemy_all, turn:-1, val:1, animation:enemy_freq_turn]</v>
          </cell>
          <cell r="C148">
            <v>3</v>
          </cell>
          <cell r="D148" t="str">
            <v>ja</v>
          </cell>
          <cell r="E148" t="str">
            <v>エネルギー変換</v>
          </cell>
        </row>
        <row r="149">
          <cell r="A149">
            <v>240010</v>
          </cell>
          <cell r="B149" t="str">
            <v>[effect:kamikaze, val:0.25, animation:enemy_kamikaze],[effect:heal, target:enemy_all, val:0.5, animation:enemy_heal]</v>
          </cell>
          <cell r="C149">
            <v>3</v>
          </cell>
          <cell r="D149" t="str">
            <v>ja</v>
          </cell>
          <cell r="E149" t="str">
            <v>ぎゃああああああ</v>
          </cell>
        </row>
        <row r="150">
          <cell r="A150">
            <v>240011</v>
          </cell>
          <cell r="B150" t="str">
            <v>[effect:kamikaze, val:0.25, animation:enemy_kamikaze],[effect:enhance_enemy, target:enemy_all, turn:-1, status:attack, val:2.0, animation:enemy_enhance_enemy]</v>
          </cell>
          <cell r="C150">
            <v>3</v>
          </cell>
          <cell r="D150" t="str">
            <v>ja</v>
          </cell>
          <cell r="E150" t="str">
            <v>進撃の花火</v>
          </cell>
        </row>
        <row r="151">
          <cell r="A151">
            <v>250001</v>
          </cell>
          <cell r="B151" t="str">
            <v>[effect:damage_anti_tribe, target:unit_one, tribe:god, val1:3.0, val2:1.0]</v>
          </cell>
          <cell r="C151">
            <v>3</v>
          </cell>
          <cell r="D151" t="str">
            <v>ja</v>
          </cell>
          <cell r="E151" t="str">
            <v>神をも燃やす天の炎</v>
          </cell>
        </row>
        <row r="152">
          <cell r="A152">
            <v>250002</v>
          </cell>
          <cell r="B152" t="str">
            <v>[effect:damage_anti_tribe, target:unit_one, tribe:animal, val1:1.5, val2:0.8]</v>
          </cell>
          <cell r="C152">
            <v>3</v>
          </cell>
          <cell r="D152" t="str">
            <v>ja</v>
          </cell>
          <cell r="E152" t="str">
            <v>アニマルキラー</v>
          </cell>
        </row>
        <row r="153">
          <cell r="A153">
            <v>250003</v>
          </cell>
          <cell r="B153" t="str">
            <v>[effect:damage_anti_tribe, target:unit_one, tribe:human, val1:2.0, val2:0.8]</v>
          </cell>
          <cell r="C153">
            <v>3</v>
          </cell>
          <cell r="D153" t="str">
            <v>ja</v>
          </cell>
          <cell r="E153" t="str">
            <v>ヒューマンキラー</v>
          </cell>
        </row>
        <row r="154">
          <cell r="A154">
            <v>250004</v>
          </cell>
          <cell r="B154" t="str">
            <v>[effect:damage_anti_tribe, target:unit_one, tribe:human, val1:2.0, val2:0.8]</v>
          </cell>
          <cell r="C154">
            <v>1</v>
          </cell>
          <cell r="D154" t="str">
            <v>ja</v>
          </cell>
          <cell r="E154" t="str">
            <v>軍神の咆哮</v>
          </cell>
        </row>
        <row r="155">
          <cell r="A155">
            <v>250005</v>
          </cell>
          <cell r="B155" t="str">
            <v>[effect:damage_anti_tribe, target:unit_one, tribe:animal, val1:1.5, val2:0.8]</v>
          </cell>
          <cell r="C155">
            <v>3</v>
          </cell>
          <cell r="D155" t="str">
            <v>ja</v>
          </cell>
          <cell r="E155" t="str">
            <v>アニマルキラー</v>
          </cell>
        </row>
        <row r="156">
          <cell r="A156">
            <v>250006</v>
          </cell>
          <cell r="B156" t="str">
            <v>[effect:damage_anti_tribe, target:unit_one, tribe:god, val1:3.0, val2:0.8]</v>
          </cell>
          <cell r="C156">
            <v>3</v>
          </cell>
          <cell r="D156" t="str">
            <v>ja</v>
          </cell>
          <cell r="E156" t="str">
            <v>ゴッドキラー</v>
          </cell>
        </row>
        <row r="157">
          <cell r="A157">
            <v>250007</v>
          </cell>
          <cell r="B157" t="str">
            <v>[effect:damage_anti_tribe, target:unit_one, tribe:dragon, val1:3.0, val2:0.8]</v>
          </cell>
          <cell r="C157">
            <v>3</v>
          </cell>
          <cell r="D157" t="str">
            <v>ja</v>
          </cell>
          <cell r="E157" t="str">
            <v>ドラゴンキラー</v>
          </cell>
        </row>
        <row r="158">
          <cell r="A158">
            <v>250008</v>
          </cell>
          <cell r="B158" t="str">
            <v>[effect:damage_anti_tribe, target:unit_one, tribe:god, val1:2.5, val2:0.8]</v>
          </cell>
          <cell r="C158">
            <v>3</v>
          </cell>
          <cell r="D158" t="str">
            <v>ja</v>
          </cell>
          <cell r="E158" t="str">
            <v>神をも撃ち抜く雷</v>
          </cell>
        </row>
        <row r="159">
          <cell r="A159">
            <v>250009</v>
          </cell>
          <cell r="B159" t="str">
            <v>[effect:damage_anti_tribe, target:unit_one, tribe:god, val1:2.5, val2:0.8]</v>
          </cell>
          <cell r="C159">
            <v>3</v>
          </cell>
          <cell r="D159" t="str">
            <v>ja</v>
          </cell>
          <cell r="E159" t="str">
            <v>神撃ちの拳</v>
          </cell>
        </row>
        <row r="160">
          <cell r="A160">
            <v>250010</v>
          </cell>
          <cell r="B160" t="str">
            <v>[effect:damage_anti_tribe, target:unit_one, tribe:machine, val1:2.5, val2:0.8]</v>
          </cell>
          <cell r="C160">
            <v>3</v>
          </cell>
          <cell r="D160" t="str">
            <v>ja</v>
          </cell>
          <cell r="E160" t="str">
            <v>分解…</v>
          </cell>
        </row>
        <row r="161">
          <cell r="A161">
            <v>250011</v>
          </cell>
          <cell r="B161" t="str">
            <v>[effect:damage_anti_tribe, target:unit_one, tribe:animal, val1:2.0, val2:1.0]</v>
          </cell>
          <cell r="C161">
            <v>3</v>
          </cell>
          <cell r="D161" t="str">
            <v>ja</v>
          </cell>
          <cell r="E161" t="str">
            <v>家畜が…目障りだ！</v>
          </cell>
        </row>
        <row r="162">
          <cell r="A162">
            <v>250012</v>
          </cell>
          <cell r="B162" t="str">
            <v>[effect:damage_anti_tribe, target:unit_one, tribe:god, val1:10, val2:0.8]</v>
          </cell>
          <cell r="C162">
            <v>3</v>
          </cell>
          <cell r="D162" t="str">
            <v>ja</v>
          </cell>
          <cell r="E162" t="str">
            <v>私は絶滅なんかしない！</v>
          </cell>
        </row>
        <row r="163">
          <cell r="A163">
            <v>250013</v>
          </cell>
          <cell r="B163" t="str">
            <v>[effect:damage_anti_tribe, target:unit_one, tribe:machine, val1:2.0, val2:0.7]</v>
          </cell>
          <cell r="C163">
            <v>3</v>
          </cell>
          <cell r="D163" t="str">
            <v>ja</v>
          </cell>
          <cell r="E163" t="str">
            <v>カワラ割り</v>
          </cell>
        </row>
        <row r="164">
          <cell r="A164">
            <v>260001</v>
          </cell>
          <cell r="B164" t="str">
            <v>[effect:damage_anti_color, target:unit_one, color:red, val1:2.0, val2:1.0]</v>
          </cell>
          <cell r="C164">
            <v>3</v>
          </cell>
          <cell r="D164" t="str">
            <v>ja</v>
          </cell>
          <cell r="E164" t="str">
            <v>渓谷の霧雨</v>
          </cell>
        </row>
        <row r="165">
          <cell r="A165">
            <v>260002</v>
          </cell>
          <cell r="B165" t="str">
            <v>[effect:damage_anti_color, target:unit_one, color:yellow, val1:2.0, val2:1.0]</v>
          </cell>
          <cell r="C165">
            <v>3</v>
          </cell>
          <cell r="D165" t="str">
            <v>ja</v>
          </cell>
          <cell r="E165" t="str">
            <v>深山の芽吹き</v>
          </cell>
        </row>
        <row r="166">
          <cell r="A166">
            <v>260003</v>
          </cell>
          <cell r="B166" t="str">
            <v>[effect:damage_anti_color, target:unit_one, color:green, val1:2.0, val2:1.0]</v>
          </cell>
          <cell r="C166">
            <v>3</v>
          </cell>
          <cell r="D166" t="str">
            <v>ja</v>
          </cell>
          <cell r="E166" t="str">
            <v>灼熱の火炎</v>
          </cell>
        </row>
        <row r="167">
          <cell r="A167">
            <v>260004</v>
          </cell>
          <cell r="B167" t="str">
            <v>[effect:damage_anti_color, target:unit_one, color:blue, val1:1.5, val2:1.0]</v>
          </cell>
          <cell r="C167">
            <v>3</v>
          </cell>
          <cell r="D167" t="str">
            <v>ja</v>
          </cell>
          <cell r="E167" t="str">
            <v xml:space="preserve">狼なんてコワくない(´･ω･`) </v>
          </cell>
        </row>
        <row r="168">
          <cell r="A168">
            <v>260005</v>
          </cell>
          <cell r="B168" t="str">
            <v>[effect:damage_anti_color, target:unit_one, color:red, val1:3.0, val2:0.1]</v>
          </cell>
          <cell r="C168">
            <v>3</v>
          </cell>
          <cell r="D168" t="str">
            <v>ja</v>
          </cell>
          <cell r="E168" t="str">
            <v>乱れ跳ぶ虹弾</v>
          </cell>
        </row>
        <row r="169">
          <cell r="A169">
            <v>260006</v>
          </cell>
          <cell r="B169" t="str">
            <v>[effect:damage_anti_color, target:unit_one, color:yellow, val1:3.0, val2:0.1]</v>
          </cell>
          <cell r="C169">
            <v>3</v>
          </cell>
          <cell r="D169" t="str">
            <v>ja</v>
          </cell>
          <cell r="E169" t="str">
            <v>乱れ跳ぶ虹弾</v>
          </cell>
        </row>
        <row r="170">
          <cell r="A170">
            <v>260007</v>
          </cell>
          <cell r="B170" t="str">
            <v>[effect:damage_anti_color, target:unit_one, color:green, val1:3.0, val2:0.1]</v>
          </cell>
          <cell r="C170">
            <v>3</v>
          </cell>
          <cell r="D170" t="str">
            <v>ja</v>
          </cell>
          <cell r="E170" t="str">
            <v>乱れ跳ぶ虹弾</v>
          </cell>
        </row>
        <row r="171">
          <cell r="A171">
            <v>260008</v>
          </cell>
          <cell r="B171" t="str">
            <v>[effect:damage_anti_color, target:unit_one, color:blue, val1:3.0, val2:0.1]</v>
          </cell>
          <cell r="C171">
            <v>3</v>
          </cell>
          <cell r="D171" t="str">
            <v>ja</v>
          </cell>
          <cell r="E171" t="str">
            <v>乱れ跳ぶ虹弾</v>
          </cell>
        </row>
        <row r="172">
          <cell r="A172">
            <v>300001</v>
          </cell>
          <cell r="B172" t="str">
            <v>[effect:heal, target:enemy_all, val:0.25, animation:enemy_heal]</v>
          </cell>
          <cell r="C172">
            <v>3</v>
          </cell>
          <cell r="D172" t="str">
            <v>ja</v>
          </cell>
          <cell r="E172" t="str">
            <v>ヒール</v>
          </cell>
        </row>
        <row r="173">
          <cell r="A173">
            <v>300002</v>
          </cell>
          <cell r="B173" t="str">
            <v>[effect:heal, target:enemy_all, val:0.5, animation:enemy_heal]</v>
          </cell>
          <cell r="C173">
            <v>3</v>
          </cell>
          <cell r="D173" t="str">
            <v>ja</v>
          </cell>
          <cell r="E173" t="str">
            <v>ヒール</v>
          </cell>
        </row>
        <row r="174">
          <cell r="A174">
            <v>300003</v>
          </cell>
          <cell r="B174" t="str">
            <v>[effect:heal, target:enemy_one, val:1.0, animation:enemy_heal]</v>
          </cell>
          <cell r="C174">
            <v>3</v>
          </cell>
          <cell r="D174" t="str">
            <v>ja</v>
          </cell>
          <cell r="E174" t="str">
            <v>超再生</v>
          </cell>
        </row>
        <row r="175">
          <cell r="A175">
            <v>300004</v>
          </cell>
          <cell r="B175" t="str">
            <v>[effect:heal, target:enemy_one, val:0.1, animation:enemy_heal]</v>
          </cell>
          <cell r="C175">
            <v>3</v>
          </cell>
          <cell r="D175" t="str">
            <v>ja</v>
          </cell>
          <cell r="E175" t="str">
            <v>ヒール</v>
          </cell>
        </row>
        <row r="176">
          <cell r="A176">
            <v>300005</v>
          </cell>
          <cell r="B176" t="str">
            <v>[effect:heal, target:enemy_all, val:0.25, animation:enemy_heal]</v>
          </cell>
          <cell r="C176">
            <v>3</v>
          </cell>
          <cell r="D176" t="str">
            <v>ja</v>
          </cell>
          <cell r="E176" t="str">
            <v>ヒール</v>
          </cell>
        </row>
        <row r="177">
          <cell r="A177">
            <v>300006</v>
          </cell>
          <cell r="B177" t="str">
            <v>[effect:heal, target:enemy_all, val:0.25, animation:enemy_heal]</v>
          </cell>
          <cell r="C177">
            <v>3</v>
          </cell>
          <cell r="D177" t="str">
            <v>ja</v>
          </cell>
          <cell r="E177" t="str">
            <v>癒しの果汁</v>
          </cell>
        </row>
        <row r="178">
          <cell r="A178">
            <v>300007</v>
          </cell>
          <cell r="B178" t="str">
            <v>[effect:heal, target:myself, val:0.40, animation:enemy_heal],[effect:enhance_enemy, target:myself, turn:-1, status:attack, val:1.5, animation:enemy_enhance_enemy]</v>
          </cell>
          <cell r="C178">
            <v>3</v>
          </cell>
          <cell r="D178" t="str">
            <v>ja</v>
          </cell>
          <cell r="E178" t="str">
            <v>永遠の美貌</v>
          </cell>
        </row>
        <row r="179">
          <cell r="A179">
            <v>300008</v>
          </cell>
          <cell r="B179" t="str">
            <v>[effect:heal, target:enemy_all, val:0.30, animation:enemy_heal]</v>
          </cell>
          <cell r="C179">
            <v>1</v>
          </cell>
          <cell r="D179" t="str">
            <v>ja</v>
          </cell>
          <cell r="E179" t="str">
            <v>すべてを癒そう</v>
          </cell>
        </row>
        <row r="180">
          <cell r="A180">
            <v>300009</v>
          </cell>
          <cell r="B180" t="str">
            <v>[effect:heal, target:enemy_one, val:0.5, animation:enemy_heal]</v>
          </cell>
          <cell r="C180">
            <v>3</v>
          </cell>
          <cell r="D180" t="str">
            <v>ja</v>
          </cell>
          <cell r="E180" t="str">
            <v>ヒール</v>
          </cell>
        </row>
        <row r="181">
          <cell r="A181">
            <v>310001</v>
          </cell>
          <cell r="B181" t="str">
            <v>[effect:dis_heart, turn:7, rate:1.0, animation:enemy_dis_heart]</v>
          </cell>
          <cell r="C181">
            <v>3</v>
          </cell>
          <cell r="D181" t="str">
            <v>ja</v>
          </cell>
          <cell r="E181" t="str">
            <v>ディスハート</v>
          </cell>
        </row>
        <row r="182">
          <cell r="A182">
            <v>310002</v>
          </cell>
          <cell r="B182" t="str">
            <v>[effect:dis_heart, turn:3, rate:1.0, animation:enemy_dis_heart]</v>
          </cell>
          <cell r="C182">
            <v>1</v>
          </cell>
          <cell r="D182" t="str">
            <v>ja</v>
          </cell>
          <cell r="E182" t="str">
            <v>ディスハート</v>
          </cell>
        </row>
        <row r="183">
          <cell r="A183">
            <v>310003</v>
          </cell>
          <cell r="B183" t="str">
            <v>[effect:dis_heart, turn:3, rate:1.0, animation:enemy_dis_heart]</v>
          </cell>
          <cell r="C183">
            <v>3</v>
          </cell>
          <cell r="D183" t="str">
            <v>ja</v>
          </cell>
          <cell r="E183" t="str">
            <v>心頭滅却</v>
          </cell>
        </row>
        <row r="184">
          <cell r="A184">
            <v>310004</v>
          </cell>
          <cell r="B184" t="str">
            <v>[effect:dis_heart, turn:10, rate:1.0, animation:enemy_dis_heart]</v>
          </cell>
          <cell r="C184">
            <v>3</v>
          </cell>
          <cell r="D184" t="str">
            <v>ja</v>
          </cell>
          <cell r="E184" t="str">
            <v>貴様らに未来は無い…</v>
          </cell>
        </row>
        <row r="185">
          <cell r="A185">
            <v>320001</v>
          </cell>
          <cell r="B185" t="str">
            <v>[effect:virus, turn:3, rate:1.0, val:0.10, animation:enemy_virus]</v>
          </cell>
          <cell r="C185">
            <v>3</v>
          </cell>
          <cell r="D185" t="str">
            <v>ja</v>
          </cell>
          <cell r="E185" t="str">
            <v>即効性ウィルス</v>
          </cell>
        </row>
        <row r="186">
          <cell r="A186">
            <v>320002</v>
          </cell>
          <cell r="B186" t="str">
            <v>[effect:virus, turn:3, rate:1.0, val:0.15, animation:enemy_virus]</v>
          </cell>
          <cell r="C186">
            <v>3</v>
          </cell>
          <cell r="D186" t="str">
            <v>ja</v>
          </cell>
          <cell r="E186" t="str">
            <v>地獄の熱気</v>
          </cell>
        </row>
        <row r="187">
          <cell r="A187">
            <v>320003</v>
          </cell>
          <cell r="B187" t="str">
            <v>[effect:virus, turn:5, rate:1.0, val:0.15, animation:enemy_virus]</v>
          </cell>
          <cell r="C187">
            <v>3</v>
          </cell>
          <cell r="D187" t="str">
            <v>ja</v>
          </cell>
          <cell r="E187" t="str">
            <v>煉獄の熱気</v>
          </cell>
        </row>
        <row r="188">
          <cell r="A188">
            <v>320004</v>
          </cell>
          <cell r="B188" t="str">
            <v>[effect:virus, turn:5, rate:1.0, val:0.25, animation:enemy_virus]</v>
          </cell>
          <cell r="C188">
            <v>3</v>
          </cell>
          <cell r="D188" t="str">
            <v>ja</v>
          </cell>
          <cell r="E188" t="str">
            <v>侵食性ウィルス</v>
          </cell>
        </row>
        <row r="189">
          <cell r="A189">
            <v>320005</v>
          </cell>
          <cell r="B189" t="str">
            <v>[effect:virus, turn:5, rate:1.0, val:0.10, animation:enemy_virus]</v>
          </cell>
          <cell r="C189">
            <v>3</v>
          </cell>
          <cell r="D189" t="str">
            <v>ja</v>
          </cell>
          <cell r="E189" t="str">
            <v>超即効性ウィルス</v>
          </cell>
        </row>
        <row r="190">
          <cell r="A190">
            <v>320006</v>
          </cell>
          <cell r="B190" t="str">
            <v>[effect:virus, turn:5, rate:1.0, val:0.25, animation:enemy_virus]</v>
          </cell>
          <cell r="C190">
            <v>3</v>
          </cell>
          <cell r="D190" t="str">
            <v>ja</v>
          </cell>
          <cell r="E190" t="str">
            <v>死の誘惑</v>
          </cell>
        </row>
        <row r="191">
          <cell r="A191">
            <v>320007</v>
          </cell>
          <cell r="B191" t="str">
            <v>[effect:virus, turn:3, rate:1.0, val:0.15, animation:enemy_virus]</v>
          </cell>
          <cell r="C191">
            <v>3</v>
          </cell>
          <cell r="D191" t="str">
            <v>ja</v>
          </cell>
          <cell r="E191" t="str">
            <v>炎華の香り</v>
          </cell>
        </row>
        <row r="192">
          <cell r="A192">
            <v>320008</v>
          </cell>
          <cell r="B192" t="str">
            <v>[effect:virus, turn:-1, rate:1.0, val:0.22, animation:enemy_virus]</v>
          </cell>
          <cell r="C192">
            <v>3</v>
          </cell>
          <cell r="D192" t="str">
            <v>ja</v>
          </cell>
          <cell r="E192" t="str">
            <v>炎華の香り・永代</v>
          </cell>
        </row>
        <row r="193">
          <cell r="A193">
            <v>320009</v>
          </cell>
          <cell r="B193" t="str">
            <v>[effect:virus, turn:5, rate:1.0, val:0.35, animation:enemy_virus]</v>
          </cell>
          <cell r="C193">
            <v>3</v>
          </cell>
          <cell r="D193" t="str">
            <v>ja</v>
          </cell>
          <cell r="E193" t="str">
            <v>炎華の香り・真打</v>
          </cell>
        </row>
        <row r="194">
          <cell r="A194">
            <v>320010</v>
          </cell>
          <cell r="B194" t="str">
            <v>[effect:virus, turn:-1, rate:1.0, val:0.1, animation:enemy_virus]</v>
          </cell>
          <cell r="C194">
            <v>3</v>
          </cell>
          <cell r="D194" t="str">
            <v>ja</v>
          </cell>
          <cell r="E194" t="str">
            <v>死国への誘い</v>
          </cell>
        </row>
        <row r="195">
          <cell r="A195">
            <v>320011</v>
          </cell>
          <cell r="B195" t="str">
            <v>[effect:virus, turn:3, rate:1.0, val:0.19, animation:enemy_virus],[effect:rush, count:1, val:0.3]</v>
          </cell>
          <cell r="C195">
            <v>3</v>
          </cell>
          <cell r="D195" t="str">
            <v>ja</v>
          </cell>
          <cell r="E195" t="str">
            <v>ブラッド・インク</v>
          </cell>
        </row>
        <row r="196">
          <cell r="A196">
            <v>320012</v>
          </cell>
          <cell r="B196" t="str">
            <v>[effect:virus, turn:3, rate:1.0, val:0.1, animation:enemy_virus]</v>
          </cell>
          <cell r="C196">
            <v>1</v>
          </cell>
          <cell r="D196" t="str">
            <v>ja</v>
          </cell>
          <cell r="E196" t="str">
            <v>セクメトの息吹</v>
          </cell>
        </row>
        <row r="197">
          <cell r="A197">
            <v>320013</v>
          </cell>
          <cell r="B197" t="str">
            <v>[effect:virus, turn:2, rate:1.0, val:0.27, animation:enemy_virus],[effect:rush, count:1, val:0.5]</v>
          </cell>
          <cell r="C197">
            <v>3</v>
          </cell>
          <cell r="D197" t="str">
            <v>ja</v>
          </cell>
          <cell r="E197" t="str">
            <v>や、やってくれたわね！</v>
          </cell>
        </row>
        <row r="198">
          <cell r="A198">
            <v>320014</v>
          </cell>
          <cell r="B198" t="str">
            <v>[effect:virus, turn:3, rate:1.0, val:0.10, animation:enemy_virus]</v>
          </cell>
          <cell r="C198">
            <v>3</v>
          </cell>
          <cell r="D198" t="str">
            <v>ja</v>
          </cell>
          <cell r="E198" t="str">
            <v>パタパタ胞子</v>
          </cell>
        </row>
        <row r="199">
          <cell r="A199">
            <v>320015</v>
          </cell>
          <cell r="B199" t="str">
            <v>[effect:virus, turn:8, rate:1.0, val:0.1, animation:enemy_virus]</v>
          </cell>
          <cell r="C199">
            <v>1</v>
          </cell>
          <cell r="D199" t="str">
            <v>ja</v>
          </cell>
          <cell r="E199" t="str">
            <v>凍てつくフィールド！</v>
          </cell>
        </row>
        <row r="200">
          <cell r="A200">
            <v>330001</v>
          </cell>
          <cell r="B200" t="str">
            <v>[effect:hungup, target:unit_one, turn:2, rate:1.0, animation:enemy_hungup]</v>
          </cell>
          <cell r="C200">
            <v>3</v>
          </cell>
          <cell r="D200" t="str">
            <v>ja</v>
          </cell>
          <cell r="E200" t="str">
            <v>ハングアップ</v>
          </cell>
        </row>
        <row r="201">
          <cell r="A201">
            <v>330002</v>
          </cell>
          <cell r="B201" t="str">
            <v>[effect:hungup, target:unit_one, turn:3, rate:1.0, animation:enemy_hungup]</v>
          </cell>
          <cell r="C201">
            <v>3</v>
          </cell>
          <cell r="D201" t="str">
            <v>ja</v>
          </cell>
          <cell r="E201" t="str">
            <v>デジタルマジック</v>
          </cell>
        </row>
        <row r="202">
          <cell r="A202">
            <v>330003</v>
          </cell>
          <cell r="B202" t="str">
            <v>[effect:hungup, target:unit_all, turn:4, rate:1.0, animation:enemy_hungup]</v>
          </cell>
          <cell r="C202">
            <v>3</v>
          </cell>
          <cell r="D202" t="str">
            <v>ja</v>
          </cell>
          <cell r="E202" t="str">
            <v>ハイ・ハングアップ</v>
          </cell>
        </row>
        <row r="203">
          <cell r="A203">
            <v>330004</v>
          </cell>
          <cell r="B203" t="str">
            <v>[effect:hungup, target:unit_one, turn:3, rate:1.0, animation:enemy_hungup]</v>
          </cell>
          <cell r="C203">
            <v>3</v>
          </cell>
          <cell r="D203" t="str">
            <v>ja</v>
          </cell>
          <cell r="E203" t="str">
            <v>回線ショート</v>
          </cell>
        </row>
        <row r="204">
          <cell r="A204">
            <v>330005</v>
          </cell>
          <cell r="B204" t="str">
            <v>[effect:hungup, target:unit_all, turn:-1, rate:1.0, animation:enemy_hungup]</v>
          </cell>
          <cell r="C204">
            <v>3</v>
          </cell>
          <cell r="D204" t="str">
            <v>ja</v>
          </cell>
          <cell r="E204" t="str">
            <v>マインドスナッチ</v>
          </cell>
        </row>
        <row r="205">
          <cell r="A205">
            <v>330006</v>
          </cell>
          <cell r="B205" t="str">
            <v>[effect:hungup, target:unit_all, turn:4, rate:1.0, animation:enemy_hungup]</v>
          </cell>
          <cell r="C205">
            <v>3</v>
          </cell>
          <cell r="D205" t="str">
            <v>ja</v>
          </cell>
          <cell r="E205" t="str">
            <v>孤独の支配</v>
          </cell>
        </row>
        <row r="206">
          <cell r="A206">
            <v>330007</v>
          </cell>
          <cell r="B206" t="str">
            <v>[effect:hungup, target:unit_all, turn:4, rate:1.0, animation:enemy_hungup]</v>
          </cell>
          <cell r="C206">
            <v>3</v>
          </cell>
          <cell r="D206" t="str">
            <v>ja</v>
          </cell>
          <cell r="E206" t="str">
            <v>孤独の支配</v>
          </cell>
        </row>
        <row r="207">
          <cell r="A207">
            <v>330008</v>
          </cell>
          <cell r="B207" t="str">
            <v>[effect:hungup, target:unit_all, turn:4, rate:1.0, animation:enemy_hungup],[effect:rush, count:1, val:0.7]</v>
          </cell>
          <cell r="C207">
            <v>1</v>
          </cell>
          <cell r="D207" t="str">
            <v>ja</v>
          </cell>
          <cell r="E207" t="str">
            <v>雷の拳</v>
          </cell>
        </row>
        <row r="208">
          <cell r="A208">
            <v>330009</v>
          </cell>
          <cell r="B208" t="str">
            <v>[effect:hungup, target:unit_all, turn:-1, rate:1.0, animation:enemy_hungup]</v>
          </cell>
          <cell r="C208">
            <v>3</v>
          </cell>
          <cell r="D208" t="str">
            <v>ja</v>
          </cell>
          <cell r="E208" t="str">
            <v>今度はイブの番！</v>
          </cell>
        </row>
        <row r="209">
          <cell r="A209">
            <v>330010</v>
          </cell>
          <cell r="B209" t="str">
            <v>[effect:hungup, target:unit_one, turn:3, rate:1.0, animation:enemy_hungup],[effect:rush, count:1, val:0.7]</v>
          </cell>
          <cell r="C209">
            <v>3</v>
          </cell>
          <cell r="D209" t="str">
            <v>ja</v>
          </cell>
          <cell r="E209" t="str">
            <v>束縛する薔薇</v>
          </cell>
        </row>
        <row r="210">
          <cell r="A210">
            <v>330014</v>
          </cell>
          <cell r="B210" t="str">
            <v>[effect:hungup, target:unit_all, turn:6, rate:1.0, animation:enemy_hungup],[effect:rush, count:1, val:0.7]</v>
          </cell>
          <cell r="C210">
            <v>3</v>
          </cell>
          <cell r="D210" t="str">
            <v>ja</v>
          </cell>
          <cell r="E210" t="str">
            <v>バインドノイズ</v>
          </cell>
        </row>
        <row r="211">
          <cell r="A211">
            <v>330015</v>
          </cell>
          <cell r="B211" t="str">
            <v>[effect:hungup, target:unit_all, turn:6, rate:1.0, animation:enemy_hungup],[effect:rush, count:1, val:0.7]</v>
          </cell>
          <cell r="C211">
            <v>3</v>
          </cell>
          <cell r="D211" t="str">
            <v>ja</v>
          </cell>
          <cell r="E211" t="str">
            <v>バインドノイズ</v>
          </cell>
        </row>
        <row r="212">
          <cell r="A212">
            <v>330016</v>
          </cell>
          <cell r="B212" t="str">
            <v>[effect:hungup, target:unit_one, turn:3, rate:1.0, animation:enemy_hungup]</v>
          </cell>
          <cell r="C212">
            <v>3</v>
          </cell>
          <cell r="D212" t="str">
            <v>ja</v>
          </cell>
          <cell r="E212" t="str">
            <v>実戦ロープワーク</v>
          </cell>
        </row>
        <row r="213">
          <cell r="A213">
            <v>340001</v>
          </cell>
          <cell r="B213" t="str">
            <v>[effect:sleep, target:unit_one, turn:2, rate:0.5, animation:enemy_sleep]</v>
          </cell>
          <cell r="C213">
            <v>3</v>
          </cell>
          <cell r="D213" t="str">
            <v>ja</v>
          </cell>
          <cell r="E213" t="str">
            <v>睡眠薬</v>
          </cell>
        </row>
        <row r="214">
          <cell r="A214">
            <v>340002</v>
          </cell>
          <cell r="B214" t="str">
            <v>[effect:sleep, target:unit_one, turn:3, rate:1.0, animation:enemy_sleep]</v>
          </cell>
          <cell r="C214">
            <v>3</v>
          </cell>
          <cell r="D214" t="str">
            <v>ja</v>
          </cell>
          <cell r="E214" t="str">
            <v>子守唄</v>
          </cell>
        </row>
        <row r="215">
          <cell r="A215">
            <v>340003</v>
          </cell>
          <cell r="B215" t="str">
            <v>[effect:sleep, target:unit_one, turn:4, rate:0.5, animation:enemy_sleep]</v>
          </cell>
          <cell r="C215">
            <v>3</v>
          </cell>
          <cell r="D215" t="str">
            <v>ja</v>
          </cell>
          <cell r="E215" t="str">
            <v>夢への誘い</v>
          </cell>
        </row>
        <row r="216">
          <cell r="A216">
            <v>340004</v>
          </cell>
          <cell r="B216" t="str">
            <v>[effect:sleep, target:unit_one, turn:3, rate:1.0, animation:enemy_sleep]</v>
          </cell>
          <cell r="C216">
            <v>3</v>
          </cell>
          <cell r="D216" t="str">
            <v>ja</v>
          </cell>
          <cell r="E216" t="str">
            <v>魅惑の瞳</v>
          </cell>
        </row>
        <row r="217">
          <cell r="A217">
            <v>340005</v>
          </cell>
          <cell r="B217" t="str">
            <v>[effect:sleep, target:unit_one, turn:4, rate:1.0, animation:enemy_sleep]</v>
          </cell>
          <cell r="C217">
            <v>3</v>
          </cell>
          <cell r="D217" t="str">
            <v>ja</v>
          </cell>
          <cell r="E217" t="str">
            <v>安寧への誘い</v>
          </cell>
        </row>
        <row r="218">
          <cell r="A218">
            <v>340006</v>
          </cell>
          <cell r="B218" t="str">
            <v>[effect:sleep, target:unit_one, turn:3, rate:1.0, animation:enemy_sleep]</v>
          </cell>
          <cell r="C218">
            <v>3</v>
          </cell>
          <cell r="D218" t="str">
            <v>ja</v>
          </cell>
          <cell r="E218" t="str">
            <v>人魚の歌声</v>
          </cell>
        </row>
        <row r="219">
          <cell r="A219">
            <v>340007</v>
          </cell>
          <cell r="B219" t="str">
            <v>[effect:sleep, target:unit_one, turn:3, rate:1.0, animation:enemy_sleep],[effect:rush, count:3, val:0.3]</v>
          </cell>
          <cell r="C219">
            <v>3</v>
          </cell>
          <cell r="D219" t="str">
            <v>ja</v>
          </cell>
          <cell r="E219" t="str">
            <v>殺戮の子守唄</v>
          </cell>
        </row>
        <row r="220">
          <cell r="A220">
            <v>340008</v>
          </cell>
          <cell r="B220" t="str">
            <v>[effect:sleep, target:unit_one, turn:4, rate:1.0, animation:enemy_sleep],[effect:virus, turn:2, rate:1.0, val:0.20, animation:enemy_virus]</v>
          </cell>
          <cell r="C220">
            <v>3</v>
          </cell>
          <cell r="D220" t="str">
            <v>ja</v>
          </cell>
          <cell r="E220" t="str">
            <v>恐怖のベル</v>
          </cell>
        </row>
        <row r="221">
          <cell r="A221">
            <v>340009</v>
          </cell>
          <cell r="B221" t="str">
            <v>[effect:sleep, target:unit_one, turn:4, rate:1.0, animation:enemy_sleep]</v>
          </cell>
          <cell r="C221">
            <v>3</v>
          </cell>
          <cell r="D221" t="str">
            <v>ja</v>
          </cell>
          <cell r="E221" t="str">
            <v>天使の子守唄</v>
          </cell>
        </row>
        <row r="222">
          <cell r="A222">
            <v>340010</v>
          </cell>
          <cell r="B222" t="str">
            <v>[effect:sleep, target:unit_green, turn:4, rate:1.0, animation:enemy_sleep]</v>
          </cell>
          <cell r="C222">
            <v>3</v>
          </cell>
          <cell r="D222" t="str">
            <v>ja</v>
          </cell>
          <cell r="E222" t="str">
            <v>静寂の緑</v>
          </cell>
        </row>
        <row r="223">
          <cell r="A223">
            <v>340011</v>
          </cell>
          <cell r="B223" t="str">
            <v>[effect:sleep, target:unit_one, turn:3, rate:1.0, animation:enemy_sleep],[effect:rush, count:1, val:0.7]</v>
          </cell>
          <cell r="C223">
            <v>3</v>
          </cell>
          <cell r="D223" t="str">
            <v>ja</v>
          </cell>
          <cell r="E223" t="str">
            <v>眠りを誘う薔薇園</v>
          </cell>
        </row>
        <row r="224">
          <cell r="A224">
            <v>340012</v>
          </cell>
          <cell r="B224" t="str">
            <v>[effect:sleep, target:unit_one, turn:3, rate:1.0, animation:enemy_sleep]</v>
          </cell>
          <cell r="C224">
            <v>3</v>
          </cell>
          <cell r="D224" t="str">
            <v>ja</v>
          </cell>
          <cell r="E224" t="str">
            <v>おやすみマーチ</v>
          </cell>
        </row>
        <row r="225">
          <cell r="A225">
            <v>340013</v>
          </cell>
          <cell r="B225" t="str">
            <v>[effect:sleep, target:unit_one, turn:4, rate:1.0, animation:enemy_sleep]</v>
          </cell>
          <cell r="C225">
            <v>3</v>
          </cell>
          <cell r="D225" t="str">
            <v>ja</v>
          </cell>
          <cell r="E225" t="str">
            <v>連鎖の水縛</v>
          </cell>
        </row>
        <row r="226">
          <cell r="A226">
            <v>34014</v>
          </cell>
          <cell r="B226" t="str">
            <v>[effect:sleep, target:unit_one, turn:4, rate:1.0, animation:enemy_sleep]</v>
          </cell>
          <cell r="C226">
            <v>3</v>
          </cell>
          <cell r="D226" t="str">
            <v>ja</v>
          </cell>
          <cell r="E226" t="str">
            <v>連鎖の水縛</v>
          </cell>
        </row>
        <row r="227">
          <cell r="A227">
            <v>350001</v>
          </cell>
          <cell r="B227" t="str">
            <v>[effect:degrade_unit, target:unit_all, turn:5, status:heal, val:1.0, calc:mul, animation:degrade_unit_all_heal]</v>
          </cell>
          <cell r="C227">
            <v>3</v>
          </cell>
          <cell r="D227" t="str">
            <v>ja</v>
          </cell>
          <cell r="E227" t="str">
            <v>ハートブレイク</v>
          </cell>
        </row>
        <row r="228">
          <cell r="A228">
            <v>350002</v>
          </cell>
          <cell r="B228" t="str">
            <v>[effect:degrade_unit, target:unit_all, turn:-1, status:heal, val:1.0, calc:mul, animation:degrade_unit_all_heal]</v>
          </cell>
          <cell r="C228">
            <v>3</v>
          </cell>
          <cell r="D228" t="str">
            <v>ja</v>
          </cell>
          <cell r="E228" t="str">
            <v>ハートブレイク</v>
          </cell>
        </row>
        <row r="229">
          <cell r="A229">
            <v>350003</v>
          </cell>
          <cell r="B229" t="str">
            <v>[effect:degrade_unit, target:unit_all, turn:-1, status:heal, val:1.0, calc:mul, animation:degrade_unit_all_heal]</v>
          </cell>
          <cell r="C229">
            <v>3</v>
          </cell>
          <cell r="D229" t="str">
            <v>ja</v>
          </cell>
          <cell r="E229" t="str">
            <v>神代の呪詛</v>
          </cell>
        </row>
        <row r="230">
          <cell r="A230">
            <v>350004</v>
          </cell>
          <cell r="B230" t="str">
            <v>[effect:degrade_unit, target:unit_all, turn:-1, status:heal, val:1.0, calc:mul]</v>
          </cell>
          <cell r="C230">
            <v>1</v>
          </cell>
          <cell r="D230" t="str">
            <v>ja</v>
          </cell>
          <cell r="E230" t="str">
            <v>ハートキャッチ</v>
          </cell>
        </row>
        <row r="231">
          <cell r="A231">
            <v>350005</v>
          </cell>
          <cell r="B231" t="str">
            <v>[effect:degrade_unit, target:unit_all, turn:3, status:heal, val:1, calc:mul, animation:degrade_unit_all_heal]</v>
          </cell>
          <cell r="C231">
            <v>3</v>
          </cell>
          <cell r="D231" t="str">
            <v>ja</v>
          </cell>
          <cell r="E231" t="str">
            <v>叶わぬ恋</v>
          </cell>
        </row>
        <row r="232">
          <cell r="A232">
            <v>350006</v>
          </cell>
          <cell r="B232" t="str">
            <v>[effect:degrade_unit, target:unit_all, turn:-1, status:heal, val:1.0, calc:mul]</v>
          </cell>
          <cell r="C232">
            <v>1</v>
          </cell>
          <cell r="D232" t="str">
            <v>ja</v>
          </cell>
          <cell r="E232" t="str">
            <v>回復ダウン【仮】</v>
          </cell>
        </row>
        <row r="233">
          <cell r="A233">
            <v>350007</v>
          </cell>
          <cell r="B233" t="str">
            <v>[effect:degrade_unit, target:unit_all, turn:5, status:heal, val:1.0, calc:mul, animation:degrade_unit_all_heal],[effect:critical, val:1.5.0, animation:enemy_critical]</v>
          </cell>
          <cell r="C233">
            <v>3</v>
          </cell>
          <cell r="D233" t="str">
            <v>ja</v>
          </cell>
          <cell r="E233" t="str">
            <v>ハートスナイプ</v>
          </cell>
        </row>
        <row r="234">
          <cell r="A234">
            <v>360001</v>
          </cell>
          <cell r="B234" t="str">
            <v>[effect:degrade_unit, target:unit_red, turn:-1, status:attack, val:1.0, calc:mul]</v>
          </cell>
          <cell r="C234">
            <v>3</v>
          </cell>
          <cell r="D234" t="str">
            <v>ja</v>
          </cell>
          <cell r="E234" t="str">
            <v>楽しき宴</v>
          </cell>
        </row>
        <row r="235">
          <cell r="A235">
            <v>360002</v>
          </cell>
          <cell r="B235" t="str">
            <v>[effect:degrade_unit, target:unit_red, turn:2, status:attack, val:0.5, calc:mul]</v>
          </cell>
          <cell r="C235">
            <v>3</v>
          </cell>
          <cell r="D235" t="str">
            <v>ja</v>
          </cell>
          <cell r="E235" t="str">
            <v>遊んでやろう</v>
          </cell>
        </row>
        <row r="236">
          <cell r="A236">
            <v>370001</v>
          </cell>
          <cell r="B236" t="str">
            <v>[effect:enemy_counter, target:myself,invoke_condition:unit_yellow,counter_target:attacker,turn:3,val:2.0,animation:enemy_counter]</v>
          </cell>
          <cell r="C236">
            <v>3</v>
          </cell>
          <cell r="D236" t="str">
            <v>ja</v>
          </cell>
          <cell r="E236" t="str">
            <v>黄属性カウンター</v>
          </cell>
        </row>
        <row r="237">
          <cell r="A237">
            <v>370002</v>
          </cell>
          <cell r="B237" t="str">
            <v>[effect:enemy_counter, target:myself,invoke_condition:unit_yellow,counter_target:attacker,turn:3,val:3.5,animation:enemy_counter]</v>
          </cell>
          <cell r="C237">
            <v>3</v>
          </cell>
          <cell r="D237" t="str">
            <v>ja</v>
          </cell>
          <cell r="E237" t="str">
            <v>黄属性カウンター(強)</v>
          </cell>
        </row>
        <row r="238">
          <cell r="A238">
            <v>370003</v>
          </cell>
          <cell r="B238" t="str">
            <v>[effect:enemy_counter, target:myself,invoke_condition:unit_red,counter_target:attacker,turn:1,val:2.0,animation:enemy_counter]</v>
          </cell>
          <cell r="C238">
            <v>3</v>
          </cell>
          <cell r="D238" t="str">
            <v>ja</v>
          </cell>
          <cell r="E238" t="str">
            <v>ダダこね</v>
          </cell>
        </row>
        <row r="239">
          <cell r="A239">
            <v>370004</v>
          </cell>
          <cell r="B239" t="str">
            <v>[effect:enemy_counter, target:myself,invoke_condition:unit_red,counter_target:attacker,turn:3,val:1.5,animation:enemy_counter]</v>
          </cell>
          <cell r="C239">
            <v>3</v>
          </cell>
          <cell r="D239" t="str">
            <v>ja</v>
          </cell>
          <cell r="E239" t="str">
            <v>インティミデイト</v>
          </cell>
        </row>
        <row r="240">
          <cell r="A240">
            <v>370005</v>
          </cell>
          <cell r="B240" t="str">
            <v>[effect:enemy_counter, target:myself,invoke_condition:unit_yellow,counter_target:attacker,turn:4,val:2.0,animation:enemy_counter]</v>
          </cell>
          <cell r="C240">
            <v>3</v>
          </cell>
          <cell r="D240" t="str">
            <v>ja</v>
          </cell>
          <cell r="E240" t="str">
            <v>黄属性カウンター</v>
          </cell>
        </row>
        <row r="241">
          <cell r="A241">
            <v>370006</v>
          </cell>
          <cell r="B241" t="str">
            <v>[effect:enemy_counter, target:myself,invoke_condition:unit_all,counter_target:attacker,turn:1,val:1.25,animation:enemy_counter]</v>
          </cell>
          <cell r="C241">
            <v>3</v>
          </cell>
          <cell r="D241" t="str">
            <v>ja</v>
          </cell>
          <cell r="E241" t="str">
            <v>ほらほら、触ってみて？</v>
          </cell>
        </row>
        <row r="242">
          <cell r="A242">
            <v>400001</v>
          </cell>
          <cell r="B242" t="str">
            <v>[effect:freq_turn, target:myself, turn:3, val:1, animation:enemy_freq_turn]</v>
          </cell>
          <cell r="C242">
            <v>3</v>
          </cell>
          <cell r="D242" t="str">
            <v>ja</v>
          </cell>
          <cell r="E242" t="str">
            <v>ハイスピードハック</v>
          </cell>
        </row>
        <row r="243">
          <cell r="A243">
            <v>400002</v>
          </cell>
          <cell r="B243" t="str">
            <v>[effect:freq_turn, target:myself, turn:3, val:1, animation:enemy_freq_turn]</v>
          </cell>
          <cell r="C243">
            <v>3</v>
          </cell>
          <cell r="D243" t="str">
            <v>ja</v>
          </cell>
          <cell r="E243" t="str">
            <v>スーパースピードハック</v>
          </cell>
        </row>
        <row r="244">
          <cell r="A244">
            <v>400003</v>
          </cell>
          <cell r="B244" t="str">
            <v>[effect:freq_turn, target:myself, turn:4, val:1, animation:enemy_freq_turn]</v>
          </cell>
          <cell r="C244">
            <v>3</v>
          </cell>
          <cell r="D244" t="str">
            <v>ja</v>
          </cell>
          <cell r="E244" t="str">
            <v>速筆</v>
          </cell>
        </row>
        <row r="245">
          <cell r="A245">
            <v>400004</v>
          </cell>
          <cell r="B245" t="str">
            <v>[effect:freq_turn, target:myself, turn:2, val:1, animation:enemy_freq_turn]</v>
          </cell>
          <cell r="C245">
            <v>3</v>
          </cell>
          <cell r="D245" t="str">
            <v>ja</v>
          </cell>
          <cell r="E245" t="str">
            <v>紅葉乱舞</v>
          </cell>
        </row>
        <row r="246">
          <cell r="A246">
            <v>400005</v>
          </cell>
          <cell r="B246" t="str">
            <v>[effect:freq_turn, target:enemy_all, turn:3, val:1, animation:enemy_freq_turn]</v>
          </cell>
          <cell r="C246">
            <v>3</v>
          </cell>
          <cell r="D246" t="str">
            <v>ja</v>
          </cell>
          <cell r="E246" t="str">
            <v>ハイスピードハック</v>
          </cell>
        </row>
        <row r="247">
          <cell r="A247">
            <v>400006</v>
          </cell>
          <cell r="B247" t="str">
            <v>[effect:freq_turn, target:enemy_all, turn:2, val:1, animation:enemy_freq_turn]</v>
          </cell>
          <cell r="C247">
            <v>3</v>
          </cell>
          <cell r="D247" t="str">
            <v>ja</v>
          </cell>
          <cell r="E247" t="str">
            <v>紅葉乱舞</v>
          </cell>
        </row>
        <row r="248">
          <cell r="A248">
            <v>400007</v>
          </cell>
          <cell r="B248" t="str">
            <v>[effect:freq_turn, target:myself, turn:-1, val:1, animation:enemy_freq_turn]</v>
          </cell>
          <cell r="C248">
            <v>3</v>
          </cell>
          <cell r="D248" t="str">
            <v>ja</v>
          </cell>
          <cell r="E248" t="str">
            <v>駿撃</v>
          </cell>
        </row>
        <row r="249">
          <cell r="A249">
            <v>400008</v>
          </cell>
          <cell r="B249" t="str">
            <v>[effect:freq_turn, target:myself, turn:-1, val:1, animation:enemy_freq_turn]</v>
          </cell>
          <cell r="C249">
            <v>3</v>
          </cell>
          <cell r="D249" t="str">
            <v>ja</v>
          </cell>
          <cell r="E249" t="str">
            <v>急いで止めなきゃ</v>
          </cell>
        </row>
        <row r="250">
          <cell r="A250">
            <v>400009</v>
          </cell>
          <cell r="B250" t="str">
            <v>[effect:freq_turn, turn:2, val:1, animation:enemy_freq_turn]</v>
          </cell>
          <cell r="C250">
            <v>3</v>
          </cell>
          <cell r="D250" t="str">
            <v>ja</v>
          </cell>
          <cell r="E250" t="str">
            <v>クロックアップ</v>
          </cell>
        </row>
        <row r="251">
          <cell r="A251">
            <v>400010</v>
          </cell>
          <cell r="B251" t="str">
            <v>[effect:freq_turn, target:myself, turn:-1, val:1, animation:enemy_freq_turn]</v>
          </cell>
          <cell r="C251">
            <v>3</v>
          </cell>
          <cell r="D251" t="str">
            <v>ja</v>
          </cell>
          <cell r="E251" t="str">
            <v>処刑宣告完了</v>
          </cell>
        </row>
        <row r="252">
          <cell r="A252">
            <v>400011</v>
          </cell>
          <cell r="B252" t="str">
            <v>[effect:freq_turn, target:myself, turn:4, val:1, animation:enemy_freq_turn]</v>
          </cell>
          <cell r="C252">
            <v>3</v>
          </cell>
          <cell r="D252" t="str">
            <v>ja</v>
          </cell>
          <cell r="E252" t="str">
            <v>疾走する本能</v>
          </cell>
        </row>
        <row r="253">
          <cell r="A253">
            <v>400012</v>
          </cell>
          <cell r="B253" t="str">
            <v>[effect:freq_turn, target:myself, turn:3, val:1, animation:enemy_freq_turn]</v>
          </cell>
          <cell r="C253">
            <v>1</v>
          </cell>
          <cell r="D253" t="str">
            <v>ja</v>
          </cell>
          <cell r="E253" t="str">
            <v>紅葉乱舞</v>
          </cell>
        </row>
        <row r="254">
          <cell r="A254">
            <v>400013</v>
          </cell>
          <cell r="B254" t="str">
            <v>[effect:freq_turn, target:myself, turn:3, val:1, animation:enemy_freq_turn]</v>
          </cell>
          <cell r="C254">
            <v>1</v>
          </cell>
          <cell r="D254" t="str">
            <v>ja</v>
          </cell>
          <cell r="E254" t="str">
            <v>スピードアップ【仮】</v>
          </cell>
        </row>
        <row r="255">
          <cell r="A255">
            <v>400014</v>
          </cell>
          <cell r="B255" t="str">
            <v>[effect:fix_speed,target:myself,turn:2]</v>
          </cell>
          <cell r="C255">
            <v>3</v>
          </cell>
          <cell r="D255" t="str">
            <v>ja</v>
          </cell>
          <cell r="E255" t="str">
            <v>&lt;ロックオン&gt;</v>
          </cell>
        </row>
        <row r="256">
          <cell r="A256">
            <v>400015</v>
          </cell>
          <cell r="B256" t="str">
            <v>[effect:freq_turn, target:myself, turn:-1, val:1, animation:enemy_freq_turn]</v>
          </cell>
          <cell r="C256">
            <v>3</v>
          </cell>
          <cell r="D256" t="str">
            <v>ja</v>
          </cell>
          <cell r="E256" t="str">
            <v>速翼の矜持</v>
          </cell>
        </row>
        <row r="257">
          <cell r="A257">
            <v>400016</v>
          </cell>
          <cell r="B257" t="str">
            <v>[effect:freq_turn, target:myself, turn:5, val:1, animation:enemy_freq_turn]</v>
          </cell>
          <cell r="C257">
            <v>3</v>
          </cell>
          <cell r="D257" t="str">
            <v>ja</v>
          </cell>
          <cell r="E257" t="str">
            <v>ターゲット・ロックオン</v>
          </cell>
        </row>
        <row r="258">
          <cell r="A258">
            <v>400017</v>
          </cell>
          <cell r="B258" t="str">
            <v>[effect:freq_turn, target:myself, turn:-1, val:1, animation:enemy_freq_turn]</v>
          </cell>
          <cell r="C258">
            <v>3</v>
          </cell>
          <cell r="D258" t="str">
            <v>ja</v>
          </cell>
          <cell r="E258" t="str">
            <v>狂乱の宴</v>
          </cell>
        </row>
        <row r="259">
          <cell r="A259">
            <v>400018</v>
          </cell>
          <cell r="B259" t="str">
            <v>[effect:freq_turn, target:enemy_all, turn:3, val:1, animation:enemy_freq_turn]</v>
          </cell>
          <cell r="C259">
            <v>1</v>
          </cell>
          <cell r="D259" t="str">
            <v>ja</v>
          </cell>
          <cell r="E259" t="str">
            <v>疾走する本能</v>
          </cell>
        </row>
        <row r="260">
          <cell r="A260">
            <v>400019</v>
          </cell>
          <cell r="B260" t="str">
            <v>[effect:freq_turn, target:myself, turn:3, val:1, animation:enemy_freq_turn]</v>
          </cell>
          <cell r="C260">
            <v>3</v>
          </cell>
          <cell r="D260" t="str">
            <v>ja</v>
          </cell>
          <cell r="E260" t="str">
            <v>クイックリロード</v>
          </cell>
        </row>
        <row r="261">
          <cell r="A261">
            <v>400020</v>
          </cell>
          <cell r="B261" t="str">
            <v>[effect:freq_turn, target:myself, turn:4, val:1, animation:enemy_freq_turn]</v>
          </cell>
          <cell r="C261">
            <v>3</v>
          </cell>
          <cell r="D261" t="str">
            <v>ja</v>
          </cell>
          <cell r="E261" t="str">
            <v>高速化</v>
          </cell>
        </row>
        <row r="262">
          <cell r="A262">
            <v>400021</v>
          </cell>
          <cell r="B262" t="str">
            <v>[effect:freq_turn, target:myself, turn:3, val:1, animation:enemy_freq_turn]</v>
          </cell>
          <cell r="C262">
            <v>3</v>
          </cell>
          <cell r="D262" t="str">
            <v>ja</v>
          </cell>
          <cell r="E262" t="str">
            <v>暴走</v>
          </cell>
        </row>
        <row r="263">
          <cell r="A263">
            <v>400022</v>
          </cell>
          <cell r="B263" t="str">
            <v>[effect:freq_turn, target:myself, turn:2, val:1, animation:enemy_freq_turn]</v>
          </cell>
          <cell r="C263">
            <v>3</v>
          </cell>
          <cell r="D263" t="str">
            <v>ja</v>
          </cell>
          <cell r="E263" t="str">
            <v>カンブリアの激流！</v>
          </cell>
        </row>
        <row r="264">
          <cell r="A264">
            <v>400023</v>
          </cell>
          <cell r="B264" t="str">
            <v>[effect:freq_turn, target:enemy_all, turn:-1, val:1, animation:enemy_freq_turn]</v>
          </cell>
          <cell r="C264">
            <v>3</v>
          </cell>
          <cell r="D264" t="str">
            <v>ja</v>
          </cell>
          <cell r="E264" t="str">
            <v>疾走する本能</v>
          </cell>
        </row>
        <row r="265">
          <cell r="A265">
            <v>400024</v>
          </cell>
          <cell r="B265" t="str">
            <v>[effect:freq_turn, target:enemy_all, turn:3, val:1, animation:enemy_freq_turn]</v>
          </cell>
          <cell r="C265">
            <v>3</v>
          </cell>
          <cell r="D265" t="str">
            <v>ja</v>
          </cell>
          <cell r="E265" t="str">
            <v>紅葉乱舞</v>
          </cell>
        </row>
        <row r="266">
          <cell r="A266">
            <v>40025</v>
          </cell>
          <cell r="B266" t="str">
            <v>[effect:freq_turn, target:myself, turn:2, val:1, animation:enemy_freq_turn],[effect:dis_panel, target:block_yellow, turn:5, animation:enemy_dis_yellow]</v>
          </cell>
          <cell r="C266">
            <v>3</v>
          </cell>
          <cell r="D266" t="str">
            <v>ja</v>
          </cell>
          <cell r="E266" t="str">
            <v>あ、あのねっ</v>
          </cell>
        </row>
        <row r="267">
          <cell r="A267">
            <v>400027</v>
          </cell>
          <cell r="B267" t="str">
            <v>[effect:freq_turn, target:enemy_all, turn:5, val:1, animation:enemy_freq_turn]</v>
          </cell>
          <cell r="C267">
            <v>1</v>
          </cell>
          <cell r="D267" t="str">
            <v>ja</v>
          </cell>
          <cell r="E267" t="str">
            <v>ジャンヌ仮頻度</v>
          </cell>
        </row>
        <row r="268">
          <cell r="A268">
            <v>410001</v>
          </cell>
          <cell r="B268" t="str">
            <v>[effect:enhance_enemy, target:enemy_all, turn:3, status:attack, val:1.25, animation:enemy_enhance_enemy]</v>
          </cell>
          <cell r="C268">
            <v>3</v>
          </cell>
          <cell r="D268" t="str">
            <v>ja</v>
          </cell>
          <cell r="E268" t="str">
            <v>火酒</v>
          </cell>
        </row>
        <row r="269">
          <cell r="A269">
            <v>410002</v>
          </cell>
          <cell r="B269" t="str">
            <v>[effect:enhance_enemy, target:enemy_all, turn:3, status:attack, val:1.50, animation:enemy_enhance_enemy]</v>
          </cell>
          <cell r="C269">
            <v>3</v>
          </cell>
          <cell r="D269" t="str">
            <v>ja</v>
          </cell>
          <cell r="E269" t="str">
            <v>攻撃力UP</v>
          </cell>
        </row>
        <row r="270">
          <cell r="A270">
            <v>410003</v>
          </cell>
          <cell r="B270" t="str">
            <v>[effect:enhance_enemy, target:enemy_all, turn:5, status:attack, val:1.2, animation:enemy_enhance_enemy]</v>
          </cell>
          <cell r="C270">
            <v>3</v>
          </cell>
          <cell r="D270" t="str">
            <v>ja</v>
          </cell>
          <cell r="E270" t="str">
            <v>頑張っちゃいますぅ！</v>
          </cell>
        </row>
        <row r="271">
          <cell r="A271">
            <v>410004</v>
          </cell>
          <cell r="B271" t="str">
            <v>[effect:enhance_enemy, target:enemy_all, turn:3, status:attack, val:1.50, animation:enemy_enhance_enemy]</v>
          </cell>
          <cell r="C271">
            <v>3</v>
          </cell>
          <cell r="D271" t="str">
            <v>ja</v>
          </cell>
          <cell r="E271" t="str">
            <v>電力アップ</v>
          </cell>
        </row>
        <row r="272">
          <cell r="A272">
            <v>410005</v>
          </cell>
          <cell r="B272" t="str">
            <v>[effect:enhance_enemy, target:enemy_all, turn:5, status:attack, val:2.0, animation:enemy_enhance_enemy]</v>
          </cell>
          <cell r="C272">
            <v>3</v>
          </cell>
          <cell r="D272" t="str">
            <v>ja</v>
          </cell>
          <cell r="E272" t="str">
            <v>もっと遊ぼう？</v>
          </cell>
        </row>
        <row r="273">
          <cell r="A273">
            <v>410006</v>
          </cell>
          <cell r="B273" t="str">
            <v>[effect:enhance_enemy, target:enemy_all, turn:3, status:attack, val:2.0, animation:enemy_enhance_enemy]</v>
          </cell>
          <cell r="C273">
            <v>3</v>
          </cell>
          <cell r="D273" t="str">
            <v>ja</v>
          </cell>
          <cell r="E273" t="str">
            <v>獅子の咆哮</v>
          </cell>
        </row>
        <row r="274">
          <cell r="A274">
            <v>410007</v>
          </cell>
          <cell r="B274" t="str">
            <v>[effect:enhance_enemy, target:enemy_all, turn:5, status:attack, val:1.50, animation:enemy_enhance_enemy]</v>
          </cell>
          <cell r="C274">
            <v>3</v>
          </cell>
          <cell r="D274" t="str">
            <v>ja</v>
          </cell>
          <cell r="E274" t="str">
            <v>緑剛の恵み</v>
          </cell>
        </row>
        <row r="275">
          <cell r="A275">
            <v>410008</v>
          </cell>
          <cell r="B275" t="str">
            <v>[effect:enhance_enemy, target:enemy_all, turn:3, status:attack, val:1.5, animation:enemy_enhance_enemy]</v>
          </cell>
          <cell r="C275">
            <v>3</v>
          </cell>
          <cell r="D275" t="str">
            <v>ja</v>
          </cell>
          <cell r="E275" t="str">
            <v>怒り鉤爪</v>
          </cell>
        </row>
        <row r="276">
          <cell r="A276">
            <v>410009</v>
          </cell>
          <cell r="B276" t="str">
            <v>[effect:enhance_enemy, target:enemy_all, turn:5, status:attack, val:1.50, animation:enemy_enhance_enemy]</v>
          </cell>
          <cell r="C276">
            <v>3</v>
          </cell>
          <cell r="D276" t="str">
            <v>ja</v>
          </cell>
          <cell r="E276" t="str">
            <v>本気で止めなきゃ</v>
          </cell>
        </row>
        <row r="277">
          <cell r="A277">
            <v>410010</v>
          </cell>
          <cell r="B277" t="str">
            <v>[effect:enhance_enemy, target:enemy_all, turn:3, status:attack, val:1.50, animation:enemy_enhance_enemy]</v>
          </cell>
          <cell r="C277">
            <v>3</v>
          </cell>
          <cell r="D277" t="str">
            <v>ja</v>
          </cell>
          <cell r="E277" t="str">
            <v>攻勢の巫術</v>
          </cell>
        </row>
        <row r="278">
          <cell r="A278">
            <v>410011</v>
          </cell>
          <cell r="B278" t="str">
            <v>[effect:enhance_enemy, target:enemy_all, turn:-1, status:attack, val:1.6, animation:enemy_enhance_enemy]</v>
          </cell>
          <cell r="C278">
            <v>3</v>
          </cell>
          <cell r="D278" t="str">
            <v>ja</v>
          </cell>
          <cell r="E278" t="str">
            <v>痛いじゃないの！</v>
          </cell>
        </row>
        <row r="279">
          <cell r="A279">
            <v>410012</v>
          </cell>
          <cell r="B279" t="str">
            <v>[effect:enhance_enemy, target:myself, turn:3, status:attack, val:1.5, animation:enemy_enhance_enemy]</v>
          </cell>
          <cell r="C279">
            <v>3</v>
          </cell>
          <cell r="D279" t="str">
            <v>ja</v>
          </cell>
          <cell r="E279" t="str">
            <v>獅子の咆哮</v>
          </cell>
        </row>
        <row r="280">
          <cell r="A280">
            <v>410013</v>
          </cell>
          <cell r="B280" t="str">
            <v>[effect:enhance_enemy, target:myself, turn:-1, status:attack, val:1.2, animation:enemy_enhance_enemy]</v>
          </cell>
          <cell r="C280">
            <v>3</v>
          </cell>
          <cell r="D280" t="str">
            <v>ja</v>
          </cell>
          <cell r="E280" t="str">
            <v>野生の本能</v>
          </cell>
        </row>
        <row r="281">
          <cell r="A281">
            <v>410014</v>
          </cell>
          <cell r="B281" t="str">
            <v>[effect:enhance_enemy, target:enemy_all, turn:3, status:attack, val:1.50, animation:enemy_enhance_enemy]</v>
          </cell>
          <cell r="C281">
            <v>3</v>
          </cell>
          <cell r="D281" t="str">
            <v>ja</v>
          </cell>
          <cell r="E281" t="str">
            <v>緑剛の恵み</v>
          </cell>
        </row>
        <row r="282">
          <cell r="A282">
            <v>410015</v>
          </cell>
          <cell r="B282" t="str">
            <v>[effect:enhance_enemy, target:enemy_all, turn:5, status:attack, val:2.0, animation:enemy_enhance_enemy]</v>
          </cell>
          <cell r="C282">
            <v>3</v>
          </cell>
          <cell r="D282" t="str">
            <v>ja</v>
          </cell>
          <cell r="E282" t="str">
            <v>もっと遊ぼう？</v>
          </cell>
        </row>
        <row r="283">
          <cell r="A283">
            <v>41016</v>
          </cell>
          <cell r="B283" t="str">
            <v>[effect:enhance_enemy, target:enemy_all, turn:-1, status:attack, val:1.1, animation:enemy_enhance_enemy],[effect:fix_speed,target:myself,turn:2]</v>
          </cell>
          <cell r="C283">
            <v>3</v>
          </cell>
          <cell r="D283" t="str">
            <v>ja</v>
          </cell>
          <cell r="E283" t="str">
            <v>力尽くでも奪い返す…！</v>
          </cell>
        </row>
        <row r="284">
          <cell r="A284">
            <v>410017</v>
          </cell>
          <cell r="B284" t="str">
            <v>[effect:enhance_enemy, target:enemy_all, turn:-1, status:attack, val:1.1, animation:enemy_enhance_enemy]</v>
          </cell>
          <cell r="C284">
            <v>3</v>
          </cell>
          <cell r="D284" t="str">
            <v>ja</v>
          </cell>
          <cell r="E284" t="str">
            <v>野生の本能</v>
          </cell>
        </row>
        <row r="285">
          <cell r="A285">
            <v>410018</v>
          </cell>
          <cell r="B285" t="str">
            <v>[effect:enhance_enemy, target:enemy_all, turn:5, status:attack, val:1.1, animation:enemy_enhance_enemy]</v>
          </cell>
          <cell r="C285">
            <v>3</v>
          </cell>
          <cell r="D285" t="str">
            <v>ja</v>
          </cell>
          <cell r="E285" t="str">
            <v>力尽くでも奪い返す…！</v>
          </cell>
        </row>
        <row r="286">
          <cell r="A286">
            <v>410019</v>
          </cell>
          <cell r="B286" t="str">
            <v>[effect:enhance_enemy, target:enemy_all, turn:4, status:attack, val:1.5, animation:enemy_enhance_enemy]</v>
          </cell>
          <cell r="C286">
            <v>3</v>
          </cell>
          <cell r="D286" t="str">
            <v>ja</v>
          </cell>
          <cell r="E286" t="str">
            <v>闘気結集</v>
          </cell>
        </row>
        <row r="287">
          <cell r="A287">
            <v>410020</v>
          </cell>
          <cell r="B287" t="str">
            <v>[effect:enhance_enemy, target:enemy_all, turn:3, status:attack, val:1.2, animation:enemy_enhance_enemy]</v>
          </cell>
          <cell r="C287">
            <v>3</v>
          </cell>
          <cell r="D287" t="str">
            <v>ja</v>
          </cell>
          <cell r="E287" t="str">
            <v>ちょっと本気出そっかな</v>
          </cell>
        </row>
        <row r="288">
          <cell r="A288">
            <v>410021</v>
          </cell>
          <cell r="B288" t="str">
            <v>[effect:enhance_enemy, target:enemy_all, turn:4, status:attack, val:1.25, animation:enemy_enhance_enemy]</v>
          </cell>
          <cell r="C288">
            <v>3</v>
          </cell>
          <cell r="D288" t="str">
            <v>ja</v>
          </cell>
          <cell r="E288" t="str">
            <v>インサニティ</v>
          </cell>
        </row>
        <row r="289">
          <cell r="A289">
            <v>410022</v>
          </cell>
          <cell r="B289" t="str">
            <v>[effect:enhance_enemy, target:enemy_all, turn:3, status:attack, val:1.5, animation:enemy_enhance_enemy]</v>
          </cell>
          <cell r="C289">
            <v>3</v>
          </cell>
          <cell r="D289" t="str">
            <v>ja</v>
          </cell>
          <cell r="E289" t="str">
            <v>このオレが愛でてやろう</v>
          </cell>
        </row>
        <row r="290">
          <cell r="A290">
            <v>410023</v>
          </cell>
          <cell r="B290" t="str">
            <v>[effect:enhance_enemy, target:enemy_all, turn:8, status:attack, val:1.2, animation:enemy_enhance_enemy]</v>
          </cell>
          <cell r="C290">
            <v>3</v>
          </cell>
          <cell r="D290" t="str">
            <v>ja</v>
          </cell>
          <cell r="E290" t="str">
            <v>頑張っちゃいますぅ！</v>
          </cell>
        </row>
        <row r="291">
          <cell r="A291">
            <v>410024</v>
          </cell>
          <cell r="B291" t="str">
            <v>[effect:enhance_enemy, target:myself, turn:3, status:attack, val:1.2, animation:enemy_enhance_enemy]</v>
          </cell>
          <cell r="C291">
            <v>3</v>
          </cell>
          <cell r="D291" t="str">
            <v>ja</v>
          </cell>
          <cell r="E291" t="str">
            <v>全ては薔薇のために…</v>
          </cell>
        </row>
        <row r="292">
          <cell r="A292">
            <v>410025</v>
          </cell>
          <cell r="B292" t="str">
            <v>[effect:enhance_enemy, target:enemy_all, turn:3, status:attack, val:1.50, animation:enemy_enhance_enemy]</v>
          </cell>
          <cell r="C292">
            <v>3</v>
          </cell>
          <cell r="D292" t="str">
            <v>ja</v>
          </cell>
          <cell r="E292" t="str">
            <v>全力応援</v>
          </cell>
        </row>
        <row r="293">
          <cell r="A293">
            <v>410026</v>
          </cell>
          <cell r="B293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3">
            <v>3</v>
          </cell>
          <cell r="D293" t="str">
            <v>ja</v>
          </cell>
          <cell r="E293" t="str">
            <v>岩戸隠れ</v>
          </cell>
        </row>
        <row r="294">
          <cell r="A294">
            <v>410027</v>
          </cell>
          <cell r="B294" t="str">
            <v>[effect:enhance_enemy, target:enemy_all, turn:3, status:attack, val:1.1, animation:enemy_enhance_enemy]</v>
          </cell>
          <cell r="C294">
            <v>3</v>
          </cell>
          <cell r="D294" t="str">
            <v>ja</v>
          </cell>
          <cell r="E294" t="str">
            <v>深呼吸</v>
          </cell>
        </row>
        <row r="295">
          <cell r="A295">
            <v>410028</v>
          </cell>
          <cell r="B295" t="str">
            <v>[effect:enhance_enemy, target:enemy_all, turn:3, status:attack, val:1.3, animation:enemy_enhance_enemy]</v>
          </cell>
          <cell r="C295">
            <v>3</v>
          </cell>
          <cell r="D295" t="str">
            <v>ja</v>
          </cell>
          <cell r="E295" t="str">
            <v>もっと本気出すよ！</v>
          </cell>
        </row>
        <row r="296">
          <cell r="A296">
            <v>420001</v>
          </cell>
          <cell r="B296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6">
            <v>3</v>
          </cell>
          <cell r="D296" t="str">
            <v>ja</v>
          </cell>
          <cell r="E296" t="str">
            <v>岩戸隠れ</v>
          </cell>
        </row>
        <row r="297">
          <cell r="A297">
            <v>420002</v>
          </cell>
          <cell r="B297" t="str">
            <v>[effect:enhance_enemy, target:enemy_all, turn:3, status:defense, val:3000, calc:add, animation:enemy_enhance_enemy]</v>
          </cell>
          <cell r="C297">
            <v>1</v>
          </cell>
          <cell r="D297" t="str">
            <v>ja</v>
          </cell>
          <cell r="E297" t="str">
            <v>セメクトのカラシリス</v>
          </cell>
        </row>
        <row r="298">
          <cell r="A298">
            <v>420003</v>
          </cell>
          <cell r="B298" t="str">
            <v>[effect:enhance_enemy, target:enemy_all, turn:3, status:defense, val:10000, calc:add, animation:enemy_enhance_enemy]</v>
          </cell>
          <cell r="C298">
            <v>1</v>
          </cell>
          <cell r="D298" t="str">
            <v>ja</v>
          </cell>
          <cell r="E298" t="str">
            <v>女王を護る盾となる</v>
          </cell>
        </row>
        <row r="299">
          <cell r="A299">
            <v>420004</v>
          </cell>
          <cell r="B299" t="str">
            <v>[effect:enhance_enemy, target:myself, turn:-1, status:defense, val:5000, calc:add, animation:enemy_enhance_enemy]</v>
          </cell>
          <cell r="C299">
            <v>3</v>
          </cell>
          <cell r="D299" t="str">
            <v>ja</v>
          </cell>
          <cell r="E299" t="str">
            <v>竹林の防壁</v>
          </cell>
        </row>
        <row r="300">
          <cell r="A300">
            <v>420005</v>
          </cell>
          <cell r="B300" t="str">
            <v>[effect:enhance_enemy, target:enemy_all, turn:3, status:defense, val:5000, calc:add, animation:enemy_enhance_enemy],[effect:enhance_enemy, target:enemy_all, turn:3, status:attack, val:0.4, calc:mul, animation:enemy_enhance_enemy]</v>
          </cell>
          <cell r="C300">
            <v>3</v>
          </cell>
          <cell r="D300" t="str">
            <v>ja</v>
          </cell>
          <cell r="E300" t="str">
            <v>弾幕の嵐</v>
          </cell>
        </row>
        <row r="301">
          <cell r="A301">
            <v>420006</v>
          </cell>
          <cell r="B301" t="str">
            <v>[effect:nothing],[effect:fix_speed,target:myself,turn:2]</v>
          </cell>
          <cell r="C301">
            <v>3</v>
          </cell>
          <cell r="D301" t="str">
            <v>ja</v>
          </cell>
          <cell r="E301" t="str">
            <v>スチールプレデター</v>
          </cell>
        </row>
        <row r="302">
          <cell r="A302">
            <v>420007</v>
          </cell>
          <cell r="B302" t="str">
            <v>[effect:nothing],[effect:fix_speed,target:myself,turn:2]</v>
          </cell>
          <cell r="C302">
            <v>3</v>
          </cell>
          <cell r="D302" t="str">
            <v>ja</v>
          </cell>
          <cell r="E302" t="str">
            <v>スチールプレデター</v>
          </cell>
        </row>
        <row r="303">
          <cell r="A303">
            <v>420008</v>
          </cell>
          <cell r="B303" t="str">
            <v>[effect:enhance_enemy, target:enemy_all, turn:5, status:defense, val:1250, calc:add, animation:enemy_enhance_enemy],[effect:fix_speed,target:myself,turn:3]</v>
          </cell>
          <cell r="C303">
            <v>3</v>
          </cell>
          <cell r="D303" t="str">
            <v>ja</v>
          </cell>
          <cell r="E303" t="str">
            <v>わたしの嫁を返してもらおう</v>
          </cell>
        </row>
        <row r="304">
          <cell r="A304">
            <v>420009</v>
          </cell>
          <cell r="B304" t="str">
            <v>[effect:enhance_enemy, target:enemy_all, turn:5, status:defense, val:1000, calc:add, animation:enemy_enhance_enemy]</v>
          </cell>
          <cell r="C304">
            <v>3</v>
          </cell>
          <cell r="D304" t="str">
            <v>ja</v>
          </cell>
          <cell r="E304" t="str">
            <v>わたしの嫁を返してもらおう</v>
          </cell>
        </row>
        <row r="305">
          <cell r="A305">
            <v>420010</v>
          </cell>
          <cell r="B305" t="str">
            <v>[effect:enhance_enemy, target:enemy_all, turn:5, status:defense, val:800, calc:add, animation:enemy_enhance_enemy]</v>
          </cell>
          <cell r="C305">
            <v>3</v>
          </cell>
          <cell r="D305" t="str">
            <v>ja</v>
          </cell>
          <cell r="E305" t="str">
            <v>わたしの嫁を返してもらおう</v>
          </cell>
        </row>
        <row r="306">
          <cell r="A306">
            <v>420011</v>
          </cell>
          <cell r="B306" t="str">
            <v>[effect:enhance_enemy, target:enemy_all, turn:1, status:defense, val:10000, calc:add, animation:enemy_enhance_enemy],[effect:rush, count:1, val:0.8]</v>
          </cell>
          <cell r="C306">
            <v>3</v>
          </cell>
          <cell r="D306" t="str">
            <v>ja</v>
          </cell>
          <cell r="E306" t="str">
            <v>大地の怒り</v>
          </cell>
        </row>
        <row r="307">
          <cell r="A307">
            <v>420012</v>
          </cell>
          <cell r="B307" t="str">
            <v>[effect:enhance_enemy, target:enemy_all, turn:3, status:defense, val:3000, calc:add, animation:enemy_enhance_enemy]</v>
          </cell>
          <cell r="C307">
            <v>3</v>
          </cell>
          <cell r="D307" t="str">
            <v>ja</v>
          </cell>
          <cell r="E307" t="str">
            <v>カセキ化</v>
          </cell>
        </row>
        <row r="308">
          <cell r="A308">
            <v>420013</v>
          </cell>
          <cell r="B308" t="str">
            <v>[effect:enhance_enemy, target:enemy_all, turn:3, status:defense, val:3500, calc:add, animation:enemy_enhance_enemy]</v>
          </cell>
          <cell r="C308">
            <v>3</v>
          </cell>
          <cell r="D308" t="str">
            <v>ja</v>
          </cell>
          <cell r="E308" t="str">
            <v>下段の構え</v>
          </cell>
        </row>
        <row r="309">
          <cell r="A309">
            <v>430001</v>
          </cell>
          <cell r="B309" t="str">
            <v>[effect:degrade_unit, target:enemy_all, turn:-1, status:attack, val:0.7]</v>
          </cell>
          <cell r="C309">
            <v>3</v>
          </cell>
          <cell r="D309" t="str">
            <v>ja</v>
          </cell>
          <cell r="E309" t="str">
            <v>フフ、遊んであげるわ</v>
          </cell>
        </row>
        <row r="310">
          <cell r="A310">
            <v>500001</v>
          </cell>
          <cell r="B310" t="str">
            <v>[effect:change_block, new_block:time_bomb, target:block_all, count:3, val:0.1, animation:change_block]</v>
          </cell>
          <cell r="C310">
            <v>3</v>
          </cell>
          <cell r="D310" t="str">
            <v>ja</v>
          </cell>
          <cell r="E310" t="str">
            <v>クロックメテオ</v>
          </cell>
        </row>
        <row r="311">
          <cell r="A311">
            <v>500002</v>
          </cell>
          <cell r="B311" t="str">
            <v>[effect:change_block, new_block:time_bomb, target:block_all, count:5, val:0.2, animation:change_block],[effect:rush, count:1, val:0.7]</v>
          </cell>
          <cell r="C311">
            <v>3</v>
          </cell>
          <cell r="D311" t="str">
            <v>ja</v>
          </cell>
          <cell r="E311" t="str">
            <v>マキシマムベット</v>
          </cell>
        </row>
        <row r="312">
          <cell r="A312">
            <v>500003</v>
          </cell>
          <cell r="B312" t="str">
            <v>[effect:change_block, new_block:time_bomb, target:block_all, count:5, val:0.2, animation:change_block],[effect:rush, count:1, val:0.7]</v>
          </cell>
          <cell r="C312">
            <v>3</v>
          </cell>
          <cell r="D312" t="str">
            <v>ja</v>
          </cell>
          <cell r="E312" t="str">
            <v>マキシマムベット</v>
          </cell>
        </row>
        <row r="313">
          <cell r="A313">
            <v>500004</v>
          </cell>
          <cell r="B313" t="str">
            <v>[effect:change_block, new_block:time_bomb, target:block_all, count:3, val:0.1, animation:change_block]</v>
          </cell>
          <cell r="C313">
            <v>3</v>
          </cell>
          <cell r="D313" t="str">
            <v>ja</v>
          </cell>
          <cell r="E313" t="str">
            <v>クロックメテオ</v>
          </cell>
        </row>
        <row r="314">
          <cell r="A314">
            <v>500005</v>
          </cell>
          <cell r="B314" t="str">
            <v>[effect:change_block, new_block:time_bomb, target:block_all, count:7, val:0.1, animation:change_block]</v>
          </cell>
          <cell r="C314">
            <v>1</v>
          </cell>
          <cell r="D314" t="str">
            <v>ja</v>
          </cell>
          <cell r="E314" t="str">
            <v>深淵からの大渦</v>
          </cell>
        </row>
        <row r="315">
          <cell r="A315">
            <v>500006</v>
          </cell>
          <cell r="B315" t="str">
            <v>[effect:change_block, new_block:time_bomb, target:block_all, count:3, val:1.0, animation:change_block]</v>
          </cell>
          <cell r="C315">
            <v>3</v>
          </cell>
          <cell r="D315" t="str">
            <v>ja</v>
          </cell>
          <cell r="E315" t="str">
            <v>クレイモア</v>
          </cell>
        </row>
        <row r="316">
          <cell r="A316">
            <v>510001</v>
          </cell>
          <cell r="B316" t="str">
            <v>[effect:change_block, new_block:jammer, target:block_all, count:3, val:0.1, animation:change_block]</v>
          </cell>
          <cell r="C316">
            <v>3</v>
          </cell>
          <cell r="D316" t="str">
            <v>ja</v>
          </cell>
          <cell r="E316" t="str">
            <v>スパムバースト</v>
          </cell>
        </row>
        <row r="317">
          <cell r="A317">
            <v>510002</v>
          </cell>
          <cell r="B317" t="str">
            <v>[effect:change_block, new_block:jammer, target:block_all, count:5, val:0.1, animation:change_block]</v>
          </cell>
          <cell r="C317">
            <v>3</v>
          </cell>
          <cell r="D317" t="str">
            <v>ja</v>
          </cell>
          <cell r="E317" t="str">
            <v>ハイ・スパムバースト</v>
          </cell>
        </row>
        <row r="318">
          <cell r="A318">
            <v>510003</v>
          </cell>
          <cell r="B318" t="str">
            <v>[effect:change_block, new_block:jammer, target:block_all, count:3, val:0.1, animation:change_block]</v>
          </cell>
          <cell r="C318">
            <v>3</v>
          </cell>
          <cell r="D318" t="str">
            <v>ja</v>
          </cell>
          <cell r="E318" t="str">
            <v>反逆のシャウト</v>
          </cell>
        </row>
        <row r="319">
          <cell r="A319">
            <v>510004</v>
          </cell>
          <cell r="B319" t="str">
            <v>[effect:change_block, new_block:time_bomb, target:block_heart, count:0, val:0.1, animation:change_block]</v>
          </cell>
          <cell r="C319">
            <v>3</v>
          </cell>
          <cell r="D319" t="str">
            <v>ja</v>
          </cell>
          <cell r="E319" t="str">
            <v>ハートジャミング</v>
          </cell>
        </row>
        <row r="320">
          <cell r="A320">
            <v>510005</v>
          </cell>
          <cell r="B320" t="str">
            <v>[effect:change_block, new_block:jammer, target:block_all, count:5, val:0.1, animation:change_block]</v>
          </cell>
          <cell r="C320">
            <v>3</v>
          </cell>
          <cell r="D320" t="str">
            <v>ja</v>
          </cell>
          <cell r="E320" t="str">
            <v>お邪魔します</v>
          </cell>
        </row>
        <row r="321">
          <cell r="A321">
            <v>510006</v>
          </cell>
          <cell r="B321" t="str">
            <v>[effect:change_block, new_block:time_bomb, target:block_all, count:8, val:0.15, animation:change_block]</v>
          </cell>
          <cell r="C321">
            <v>3</v>
          </cell>
          <cell r="D321" t="str">
            <v>ja</v>
          </cell>
          <cell r="E321" t="str">
            <v>爆破します</v>
          </cell>
        </row>
        <row r="322">
          <cell r="A322">
            <v>510007</v>
          </cell>
          <cell r="B322" t="str">
            <v>[effect:change_block, new_block:time_bomb, target:block_heart, count:0, val:0.1, animation:change_block]</v>
          </cell>
          <cell r="C322">
            <v>3</v>
          </cell>
          <cell r="D322" t="str">
            <v>ja</v>
          </cell>
          <cell r="E322" t="str">
            <v>さよならハート</v>
          </cell>
        </row>
        <row r="323">
          <cell r="A323">
            <v>510008</v>
          </cell>
          <cell r="B323" t="str">
            <v>[effect:change_block, new_block:jammer, target:block_all, count:3, val:0.1, animation:change_block]</v>
          </cell>
          <cell r="C323">
            <v>3</v>
          </cell>
          <cell r="D323" t="str">
            <v>ja</v>
          </cell>
          <cell r="E323" t="str">
            <v>イブと遊ぼ？</v>
          </cell>
        </row>
        <row r="324">
          <cell r="A324">
            <v>510009</v>
          </cell>
          <cell r="B324" t="str">
            <v>[effect:change_block, new_block:jammer, target:block_all, count:5, val:0.1, animation:change_block]</v>
          </cell>
          <cell r="C324">
            <v>3</v>
          </cell>
          <cell r="D324" t="str">
            <v>ja</v>
          </cell>
          <cell r="E324" t="str">
            <v>パネルフリーズ</v>
          </cell>
        </row>
        <row r="325">
          <cell r="A325">
            <v>510010</v>
          </cell>
          <cell r="B325" t="str">
            <v>[effect:change_block, new_block:jammer, target:block_all, count:5, val:0.1, animation:change_block],[effect:rush, count:1, val:1.3]</v>
          </cell>
          <cell r="C325">
            <v>3</v>
          </cell>
          <cell r="D325" t="str">
            <v>ja</v>
          </cell>
          <cell r="E325" t="str">
            <v>ダウンカード</v>
          </cell>
        </row>
        <row r="326">
          <cell r="A326">
            <v>510011</v>
          </cell>
          <cell r="B326" t="str">
            <v>[effect:change_block, new_block:block_red, target:block_all, count:6, val:0.1, animation:change_block],[effect:rush, count:1, val:1.0]</v>
          </cell>
          <cell r="C326">
            <v>3</v>
          </cell>
          <cell r="D326" t="str">
            <v>ja</v>
          </cell>
          <cell r="E326" t="str">
            <v>ダズルフィクション</v>
          </cell>
        </row>
        <row r="327">
          <cell r="A327">
            <v>510012</v>
          </cell>
          <cell r="B327" t="str">
            <v>[effect:change_block, new_block:block_blue, target:block_all, count:6, val:0.1, animation:change_block],[effect:rush, count:1, val:1.0]</v>
          </cell>
          <cell r="C327">
            <v>3</v>
          </cell>
          <cell r="D327" t="str">
            <v>ja</v>
          </cell>
          <cell r="E327" t="str">
            <v>ダズルフィクション</v>
          </cell>
        </row>
        <row r="328">
          <cell r="A328">
            <v>510013</v>
          </cell>
          <cell r="B328" t="str">
            <v>[effect:change_block, new_block:block_green, target:block_all, count:6, val:0.1, animation:change_block],[effect:rush, count:1, val:1.0]</v>
          </cell>
          <cell r="C328">
            <v>3</v>
          </cell>
          <cell r="D328" t="str">
            <v>ja</v>
          </cell>
          <cell r="E328" t="str">
            <v>ダズルフィクション</v>
          </cell>
        </row>
        <row r="329">
          <cell r="A329">
            <v>510014</v>
          </cell>
          <cell r="B329" t="str">
            <v>[effect:change_block, new_block:block_yellow, target:block_all, count:6, val:0.1, animation:change_block],[effect:rush, count:1, val:1.0]</v>
          </cell>
          <cell r="C329">
            <v>3</v>
          </cell>
          <cell r="D329" t="str">
            <v>ja</v>
          </cell>
          <cell r="E329" t="str">
            <v>ダズルフィクション</v>
          </cell>
        </row>
        <row r="330">
          <cell r="A330">
            <v>510015</v>
          </cell>
          <cell r="B330" t="str">
            <v>[effect:change_block, new_block:jammer, target:block_heart, count:0, val:0.1, animation:change_block]</v>
          </cell>
          <cell r="C330">
            <v>3</v>
          </cell>
          <cell r="D330" t="str">
            <v>ja</v>
          </cell>
          <cell r="E330" t="str">
            <v>生命変遷</v>
          </cell>
        </row>
        <row r="331">
          <cell r="A331">
            <v>510017</v>
          </cell>
          <cell r="B331" t="str">
            <v>[effect:change_block, new_block:jammer, target:block_all, count:10, val:0.1, animation:change_block],[effect:rush, count:1, val:1.5]</v>
          </cell>
          <cell r="C331">
            <v>3</v>
          </cell>
          <cell r="D331" t="str">
            <v>ja</v>
          </cell>
          <cell r="E331" t="str">
            <v>奥義・邪砲蒼閃拳</v>
          </cell>
        </row>
        <row r="332">
          <cell r="A332">
            <v>510016</v>
          </cell>
          <cell r="B332" t="str">
            <v>[effect:change_block, new_block:jammer, target:block_all, count:7, val:0.1, animation:change_block],[effect:rush, count:1, val:1.25]</v>
          </cell>
          <cell r="C332">
            <v>3</v>
          </cell>
          <cell r="D332" t="str">
            <v>ja</v>
          </cell>
          <cell r="E332" t="str">
            <v>秘技・邪烈蒼打拳</v>
          </cell>
        </row>
        <row r="333">
          <cell r="A333">
            <v>510018</v>
          </cell>
          <cell r="B333" t="str">
            <v>[effect:change_block, new_block:jammer, target:block_all, count:2, val:0.1, animation:change_block],[effect:rush, count:1, val:1.0]</v>
          </cell>
          <cell r="C333">
            <v>3</v>
          </cell>
          <cell r="D333" t="str">
            <v>ja</v>
          </cell>
          <cell r="E333" t="str">
            <v>邪気蒼黒掌</v>
          </cell>
        </row>
        <row r="334">
          <cell r="A334">
            <v>510019</v>
          </cell>
          <cell r="B334" t="str">
            <v>[effect:change_block, new_block:time_bomb, target:block_heart, count:0, val:0.1, animation:change_block]</v>
          </cell>
          <cell r="C334">
            <v>3</v>
          </cell>
          <cell r="D334" t="str">
            <v>ja</v>
          </cell>
          <cell r="E334" t="str">
            <v>ハートジャミング</v>
          </cell>
        </row>
        <row r="335">
          <cell r="A335">
            <v>510020</v>
          </cell>
          <cell r="B335" t="str">
            <v>[effect:change_block, new_block:jammer, target:block_all, count:5, val:0.1, animation:change_block],[effect:spread, val:0.3, animation:enemy_spread]</v>
          </cell>
          <cell r="C335">
            <v>3</v>
          </cell>
          <cell r="D335" t="str">
            <v>ja</v>
          </cell>
          <cell r="E335" t="str">
            <v>バブル・エクステンション</v>
          </cell>
        </row>
        <row r="336">
          <cell r="A336">
            <v>510021</v>
          </cell>
          <cell r="B336" t="str">
            <v>[effect:change_block, new_block:time_bomb, target:block_heart, count:0, val:0.1, animation:change_block]</v>
          </cell>
          <cell r="C336">
            <v>1</v>
          </cell>
          <cell r="D336" t="str">
            <v>ja</v>
          </cell>
          <cell r="E336" t="str">
            <v>心を秤ってあげるわ</v>
          </cell>
        </row>
        <row r="337">
          <cell r="A337">
            <v>510022</v>
          </cell>
          <cell r="B337" t="str">
            <v>[effect:change_block, new_block:jammer, target:block_all, count:5, val:0.1, animation:change_block],[effect:rush, count:1, val:1.5]</v>
          </cell>
          <cell r="C337">
            <v>1</v>
          </cell>
          <cell r="D337" t="str">
            <v>ja</v>
          </cell>
          <cell r="E337" t="str">
            <v>武術指南</v>
          </cell>
        </row>
        <row r="338">
          <cell r="A338">
            <v>510023</v>
          </cell>
          <cell r="B338" t="str">
            <v>[effect:change_block, new_block:jammer, target:block_all, count:3, val:0.1, animation:change_block]</v>
          </cell>
          <cell r="C338">
            <v>3</v>
          </cell>
          <cell r="D338" t="str">
            <v>ja</v>
          </cell>
          <cell r="E338" t="str">
            <v>イブと遊ぼ？</v>
          </cell>
        </row>
        <row r="339">
          <cell r="A339">
            <v>510024</v>
          </cell>
          <cell r="B339" t="str">
            <v>[effect:change_block, new_block:block_yellow, target:block_all, count:6, val:0.1, animation:change_block],[effect:rush, count:1, val:1.0]</v>
          </cell>
          <cell r="C339">
            <v>3</v>
          </cell>
          <cell r="D339" t="str">
            <v>ja</v>
          </cell>
          <cell r="E339" t="str">
            <v>万物流転</v>
          </cell>
        </row>
        <row r="340">
          <cell r="A340">
            <v>510025</v>
          </cell>
          <cell r="B340" t="str">
            <v>[effect:change_block, new_block:jammer, target:block_all, count:5, val:0.1, animation:change_block]</v>
          </cell>
          <cell r="C340">
            <v>3</v>
          </cell>
          <cell r="D340" t="str">
            <v>ja</v>
          </cell>
          <cell r="E340" t="str">
            <v>不協和音</v>
          </cell>
        </row>
        <row r="341">
          <cell r="A341">
            <v>51026</v>
          </cell>
          <cell r="B341" t="str">
            <v>[effect:change_block, new_block:jammer, target:block_all, count:5, val:0.1, animation:change_block][effect:critical, val:1.5.0, animation:enemy_critical]</v>
          </cell>
          <cell r="C341">
            <v>3</v>
          </cell>
          <cell r="D341" t="str">
            <v>ja</v>
          </cell>
          <cell r="E341" t="str">
            <v>ほれ、くぐり抜けろ</v>
          </cell>
        </row>
        <row r="342">
          <cell r="A342">
            <v>51027</v>
          </cell>
          <cell r="B342" t="str">
            <v>[effect:change_block, new_block:block_green, target:block_yellow, count:10, val:0.1, animation:change_block]</v>
          </cell>
          <cell r="C342">
            <v>3</v>
          </cell>
          <cell r="D342" t="str">
            <v>ja</v>
          </cell>
          <cell r="E342" t="str">
            <v>よかったら…これ…</v>
          </cell>
        </row>
        <row r="343">
          <cell r="A343">
            <v>51028</v>
          </cell>
          <cell r="B343" t="str">
            <v>[effect:change_block, new_block:time_bomb, target:block_all, count:5, val:0.4, animation:change_block],[effect:enemy_counter, target:myself,invoke_condition:unit_all,counter_target:attacker,turn:2,val:2.0,animation:enemy_counter]</v>
          </cell>
          <cell r="C343">
            <v>3</v>
          </cell>
          <cell r="D343" t="str">
            <v>ja</v>
          </cell>
          <cell r="E343" t="str">
            <v>受け取ってほしいな♪</v>
          </cell>
        </row>
        <row r="344">
          <cell r="A344">
            <v>51029</v>
          </cell>
          <cell r="B344" t="str">
            <v>[effect:change_block, new_block:time_bomb, target:block_all, count:5, val:0.3, animation:change_block]</v>
          </cell>
          <cell r="C344">
            <v>3</v>
          </cell>
          <cell r="D344" t="str">
            <v>ja</v>
          </cell>
          <cell r="E344" t="str">
            <v>受け取ってほしいなっ</v>
          </cell>
        </row>
        <row r="345">
          <cell r="A345">
            <v>510029</v>
          </cell>
          <cell r="B345" t="str">
            <v>[effect:change_block, new_block:block_heart, target:block_all, count:6, val:0.1, animation:change_block]</v>
          </cell>
          <cell r="C345">
            <v>3</v>
          </cell>
          <cell r="D345" t="str">
            <v>ja</v>
          </cell>
          <cell r="E345" t="str">
            <v>応急処置セット</v>
          </cell>
        </row>
        <row r="346">
          <cell r="A346">
            <v>510030</v>
          </cell>
          <cell r="B346" t="str">
            <v>[effect:change_block, new_block:block_heart, target:block_red, count:10, val:0.1, animation:change_block]</v>
          </cell>
          <cell r="C346">
            <v>3</v>
          </cell>
          <cell r="D346" t="str">
            <v>ja</v>
          </cell>
          <cell r="E346" t="str">
            <v>おっ、よく来たね！</v>
          </cell>
        </row>
        <row r="347">
          <cell r="A347">
            <v>510031</v>
          </cell>
          <cell r="B347" t="str">
            <v>[effect:change_block, new_block:block_heart, target:block_red, count:3, val:0.2, animation:change_block]</v>
          </cell>
          <cell r="C347">
            <v>3</v>
          </cell>
          <cell r="D347" t="str">
            <v>ja</v>
          </cell>
          <cell r="E347" t="str">
            <v>楽しんでるか？</v>
          </cell>
        </row>
        <row r="348">
          <cell r="A348">
            <v>500025</v>
          </cell>
          <cell r="B348" t="str">
            <v>[effect:change_block, new_block:time_bomb, target:block_all, count:3, val:0.3, animation:change_block]</v>
          </cell>
          <cell r="C348">
            <v>3</v>
          </cell>
          <cell r="D348" t="str">
            <v>ja</v>
          </cell>
          <cell r="E348" t="str">
            <v>コメットシャワー</v>
          </cell>
        </row>
        <row r="349">
          <cell r="A349">
            <v>500026</v>
          </cell>
          <cell r="B349" t="str">
            <v>[effect:change_block, new_block:time_bomb, target:block_green, count:0, val:0.5, animation:change_block],[effect:rush, count:3, val:0.2]</v>
          </cell>
          <cell r="C349">
            <v>3</v>
          </cell>
          <cell r="D349" t="str">
            <v>ja</v>
          </cell>
          <cell r="E349" t="str">
            <v>コメットレイン</v>
          </cell>
        </row>
        <row r="350">
          <cell r="A350">
            <v>500027</v>
          </cell>
          <cell r="B350" t="str">
            <v>[effect:change_block, new_block:jammer, target:block_all, count:5, val:0.1, animation:change_block],[effect:virus, turn:2, rate:1.0, val:0.10, animation:enemy_virus]</v>
          </cell>
          <cell r="C350">
            <v>3</v>
          </cell>
          <cell r="D350" t="str">
            <v>ja</v>
          </cell>
          <cell r="E350" t="str">
            <v>陽炎</v>
          </cell>
        </row>
        <row r="351">
          <cell r="A351">
            <v>500028</v>
          </cell>
          <cell r="B351" t="str">
            <v>[effect:change_block, new_block:time_bomb, target:block_all, count:3, val:0.4, animation:change_block],[effect:rush, count:1, val:0.4]</v>
          </cell>
          <cell r="C351">
            <v>3</v>
          </cell>
          <cell r="D351" t="str">
            <v>ja</v>
          </cell>
          <cell r="E351" t="str">
            <v>アタシのタマゴだよ！</v>
          </cell>
        </row>
        <row r="352">
          <cell r="A352">
            <v>500029</v>
          </cell>
          <cell r="B352" t="str">
            <v>[effect:change_block, new_block:jammer, target:block_all, count:6, val:0.1, animation:change_block]</v>
          </cell>
          <cell r="C352">
            <v>3</v>
          </cell>
          <cell r="D352" t="str">
            <v>ja</v>
          </cell>
          <cell r="E352" t="str">
            <v>イブと遊ぼ？</v>
          </cell>
        </row>
        <row r="353">
          <cell r="A353">
            <v>520001</v>
          </cell>
          <cell r="B353" t="str">
            <v>[effect:dis_panel, target:block_green, turn:1, animation:enemy_dis_green],[effect:rush, count:1, val:0.5]</v>
          </cell>
          <cell r="C353">
            <v>3</v>
          </cell>
          <cell r="D353" t="str">
            <v>ja</v>
          </cell>
          <cell r="E353" t="str">
            <v>グリーン・スポイル</v>
          </cell>
        </row>
        <row r="354">
          <cell r="A354">
            <v>520002</v>
          </cell>
          <cell r="B354" t="str">
            <v>[effect:dis_panel, target:block_blue, turn:5],[effect:rush, count:3, val:0.4]</v>
          </cell>
          <cell r="C354">
            <v>3</v>
          </cell>
          <cell r="D354" t="str">
            <v>ja</v>
          </cell>
          <cell r="E354" t="str">
            <v>蒼を撃ち抜く弾丸</v>
          </cell>
        </row>
        <row r="355">
          <cell r="A355">
            <v>520003</v>
          </cell>
          <cell r="B355" t="str">
            <v>[effect:dis_panel, target:block_green, turn:4, animation:enemy_dis_green],[effect:rush, count:1, val:1.0]</v>
          </cell>
          <cell r="C355">
            <v>3</v>
          </cell>
          <cell r="D355" t="str">
            <v>ja</v>
          </cell>
          <cell r="E355" t="str">
            <v>緑を刈り奪る大鎌</v>
          </cell>
        </row>
        <row r="356">
          <cell r="A356">
            <v>520004</v>
          </cell>
          <cell r="B356" t="str">
            <v>[effect:dis_panel, target:block_red, turn:2, animation:enemy_dis_red]</v>
          </cell>
          <cell r="C356">
            <v>3</v>
          </cell>
          <cell r="D356" t="str">
            <v>ja</v>
          </cell>
          <cell r="E356" t="str">
            <v>ディスレッド</v>
          </cell>
        </row>
        <row r="357">
          <cell r="A357">
            <v>520005</v>
          </cell>
          <cell r="B357" t="str">
            <v>[effect:dis_panel, target:block_green, turn:2, animation:enemy_dis_green]</v>
          </cell>
          <cell r="C357">
            <v>3</v>
          </cell>
          <cell r="D357" t="str">
            <v>ja</v>
          </cell>
          <cell r="E357" t="str">
            <v>ディスグリーン</v>
          </cell>
        </row>
        <row r="358">
          <cell r="A358">
            <v>520006</v>
          </cell>
          <cell r="B358" t="str">
            <v>[effect:dis_panel, target:block_blue, turn:2, animation:enemy_dis_blue]</v>
          </cell>
          <cell r="C358">
            <v>3</v>
          </cell>
          <cell r="D358" t="str">
            <v>ja</v>
          </cell>
          <cell r="E358" t="str">
            <v>ディスブルー</v>
          </cell>
        </row>
        <row r="359">
          <cell r="A359">
            <v>520007</v>
          </cell>
          <cell r="B359" t="str">
            <v>[effect:dis_panel, target:block_yellow, turn:2, animation:enemy_dis_yellow]</v>
          </cell>
          <cell r="C359">
            <v>3</v>
          </cell>
          <cell r="D359" t="str">
            <v>ja</v>
          </cell>
          <cell r="E359" t="str">
            <v>ディスイエロー</v>
          </cell>
        </row>
        <row r="360">
          <cell r="A360">
            <v>520008</v>
          </cell>
          <cell r="B360" t="str">
            <v>[effect:dis_panel, target:block_red, turn:3, animation:enemy_dis_red]</v>
          </cell>
          <cell r="C360">
            <v>3</v>
          </cell>
          <cell r="D360" t="str">
            <v>ja</v>
          </cell>
          <cell r="E360" t="str">
            <v>ルージュキャンセリング</v>
          </cell>
        </row>
        <row r="361">
          <cell r="A361">
            <v>520009</v>
          </cell>
          <cell r="B361" t="str">
            <v>[effect:dis_panel, target:block_green, turn:3, animation:enemy_dis_green],[effect:hungup, target:unit_all, turn:3, rate:1.0, animation:enemy_hungup]</v>
          </cell>
          <cell r="C361">
            <v>3</v>
          </cell>
          <cell r="D361" t="str">
            <v>ja</v>
          </cell>
          <cell r="E361" t="str">
            <v>EMP</v>
          </cell>
        </row>
        <row r="362">
          <cell r="A362">
            <v>520010</v>
          </cell>
          <cell r="B362" t="str">
            <v>[effect:dis_heart, turn:5, rate:1.0, animation:enemy_dis_heart],[effect:rush, count:1, val:0.5]</v>
          </cell>
          <cell r="C362">
            <v>3</v>
          </cell>
          <cell r="D362" t="str">
            <v>ja</v>
          </cell>
          <cell r="E362" t="str">
            <v>ハート・スポイル</v>
          </cell>
        </row>
        <row r="363">
          <cell r="A363">
            <v>520012</v>
          </cell>
          <cell r="B363" t="str">
            <v>[effect:dis_heart, turn:5, rate:1.0, animation:enemy_dis_red],[effect:rush, count:1, val:0.5]</v>
          </cell>
          <cell r="C363">
            <v>1</v>
          </cell>
          <cell r="D363" t="str">
            <v>ja</v>
          </cell>
          <cell r="E363" t="str">
            <v>ジャンヌ赤</v>
          </cell>
        </row>
        <row r="364">
          <cell r="A364">
            <v>520013</v>
          </cell>
          <cell r="B364" t="str">
            <v>[effect:dis_heart, turn:5, rate:1.0, animation:enemy_dis_yellow],[effect:rush, count:1, val:0.5]</v>
          </cell>
          <cell r="C364">
            <v>1</v>
          </cell>
          <cell r="D364" t="str">
            <v>ja</v>
          </cell>
          <cell r="E364" t="str">
            <v>ジャンヌ黄</v>
          </cell>
        </row>
        <row r="365">
          <cell r="A365">
            <v>520014</v>
          </cell>
          <cell r="B365" t="str">
            <v>[effect:dis_heart, turn:5, rate:1.0, animation:enemy_dis_green],[effect:rush, count:1, val:0.5]</v>
          </cell>
          <cell r="C365">
            <v>1</v>
          </cell>
          <cell r="D365" t="str">
            <v>ja</v>
          </cell>
          <cell r="E365" t="str">
            <v>ジャンヌ緑</v>
          </cell>
        </row>
        <row r="366">
          <cell r="A366">
            <v>520015</v>
          </cell>
          <cell r="B366" t="str">
            <v>[effect:dis_heart, turn:5, rate:1.0, animation:enemy_dis_blue],[effect:rush, count:1, val:0.5]</v>
          </cell>
          <cell r="C366">
            <v>1</v>
          </cell>
          <cell r="D366" t="str">
            <v>ja</v>
          </cell>
          <cell r="E366" t="str">
            <v>ジャンヌ青</v>
          </cell>
        </row>
        <row r="367">
          <cell r="A367">
            <v>530001</v>
          </cell>
          <cell r="B367" t="str">
            <v>[effect:tolerance,target:myself, turn:-1, tolerance_effect:all, count:-1]</v>
          </cell>
          <cell r="C367">
            <v>3</v>
          </cell>
          <cell r="D367" t="str">
            <v>ja</v>
          </cell>
          <cell r="E367" t="str">
            <v>鋼鉄の胃袋</v>
          </cell>
        </row>
        <row r="368">
          <cell r="A368">
            <v>530002</v>
          </cell>
          <cell r="B368" t="str">
            <v>[effect:tolerance,target:myself,turn:-1,tolerance_effect:all,count:-1,animation:enemy_tolerance]</v>
          </cell>
          <cell r="C368">
            <v>3</v>
          </cell>
          <cell r="D368" t="str">
            <v>ja</v>
          </cell>
          <cell r="E368" t="str">
            <v>天使のカーテン</v>
          </cell>
        </row>
        <row r="369">
          <cell r="A369">
            <v>540001</v>
          </cell>
          <cell r="B369" t="str">
            <v>[effect:degrade_unit, target:unit_all, turn:3, status:action, val:1.0,animation:enemy_tap_down]</v>
          </cell>
          <cell r="C369">
            <v>3</v>
          </cell>
          <cell r="D369" t="str">
            <v>ja</v>
          </cell>
          <cell r="E369" t="str">
            <v>デコイ</v>
          </cell>
        </row>
        <row r="370">
          <cell r="A370">
            <v>540002</v>
          </cell>
          <cell r="B370" t="str">
            <v>[effect:degrade_unit, target:unit_all, turn:3, status:action, val:1.0,animation:enemy_tap_down],[effect:freq_turn, target:enemy_all, turn:2, val:1, animation:enemy_freq_turn]</v>
          </cell>
          <cell r="C370">
            <v>3</v>
          </cell>
          <cell r="D370" t="str">
            <v>ja</v>
          </cell>
          <cell r="E370" t="str">
            <v>フレア</v>
          </cell>
        </row>
        <row r="371">
          <cell r="A371">
            <v>540003</v>
          </cell>
          <cell r="B371" t="str">
            <v>[effect:time_limit,count:5,turn:3,animation:enemy_time_limit]</v>
          </cell>
          <cell r="C371">
            <v>1</v>
          </cell>
          <cell r="D371" t="str">
            <v>ja</v>
          </cell>
          <cell r="E371" t="str">
            <v>タップ時間制限（仮）</v>
          </cell>
        </row>
        <row r="372">
          <cell r="A372">
            <v>540004</v>
          </cell>
          <cell r="B372" t="str">
            <v>[effect:time_limit,count:5,turn:3,animation:enemy_time_limit]</v>
          </cell>
          <cell r="C372">
            <v>1</v>
          </cell>
          <cell r="D372" t="str">
            <v>ja</v>
          </cell>
          <cell r="E372" t="str">
            <v>プレッシャー</v>
          </cell>
        </row>
        <row r="373">
          <cell r="A373">
            <v>540005</v>
          </cell>
          <cell r="B373" t="str">
            <v>[effect:time_limit,count:4,turn:-1,animation:enemy_time_limit]</v>
          </cell>
          <cell r="C373">
            <v>3</v>
          </cell>
          <cell r="D373" t="str">
            <v>ja</v>
          </cell>
          <cell r="E373" t="str">
            <v>カウントダウン</v>
          </cell>
        </row>
        <row r="374">
          <cell r="A374">
            <v>540007</v>
          </cell>
          <cell r="B374" t="str">
            <v>[effect:degrade_unit, target:unit_all, turn:3, status:action, val:1.0,animation:enemy_tap_down],[effect:rush, count:1, val:0.5]</v>
          </cell>
          <cell r="C374">
            <v>3</v>
          </cell>
          <cell r="D374" t="str">
            <v>ja</v>
          </cell>
          <cell r="E374" t="str">
            <v>ディスアーム</v>
          </cell>
        </row>
        <row r="375">
          <cell r="A375">
            <v>540008</v>
          </cell>
          <cell r="B375" t="str">
            <v>[effect:time_limit,count:8,turn:-1,animation:enemy_time_limit]</v>
          </cell>
          <cell r="C375">
            <v>3</v>
          </cell>
          <cell r="D375" t="str">
            <v>ja</v>
          </cell>
          <cell r="E375" t="str">
            <v>ここは潮の流れが速いよ！</v>
          </cell>
        </row>
        <row r="376">
          <cell r="A376">
            <v>540009</v>
          </cell>
          <cell r="B376" t="str">
            <v>[effect:degrade_unit, target:unit_all, turn:3, status:action, val:1.0]</v>
          </cell>
          <cell r="C376">
            <v>3</v>
          </cell>
          <cell r="D376" t="str">
            <v>ja</v>
          </cell>
          <cell r="E376" t="str">
            <v>アームブレイク</v>
          </cell>
        </row>
        <row r="377">
          <cell r="A377">
            <v>540010</v>
          </cell>
          <cell r="B377" t="str">
            <v>[effect:degrade_unit, target:unit_all, turn:3, status:action, val:1.0,animation:enemy_tap_down],[effect:change_block, new_block:jammer, target:block_all, count:5, val:0.1, animation:change_block]</v>
          </cell>
          <cell r="C377">
            <v>3</v>
          </cell>
          <cell r="D377" t="str">
            <v>ja</v>
          </cell>
          <cell r="E377" t="str">
            <v>動を阻む鎖</v>
          </cell>
        </row>
        <row r="378">
          <cell r="A378">
            <v>540011</v>
          </cell>
          <cell r="B378" t="str">
            <v>[effect:degrade_unit, target:unit_all, turn:3, status:action, val:1.0,animation:enemy_tap_down],[effect:rush, count:1, val:0.5]</v>
          </cell>
          <cell r="C378">
            <v>1</v>
          </cell>
          <cell r="D378" t="str">
            <v>ja</v>
          </cell>
          <cell r="E378" t="str">
            <v>ジャンヌ仮タップ</v>
          </cell>
        </row>
        <row r="379">
          <cell r="A379">
            <v>550001</v>
          </cell>
          <cell r="B379" t="str">
            <v>[effect:dark, turn:4,target:unit_all,animation:enemy_dark]</v>
          </cell>
          <cell r="C379">
            <v>3</v>
          </cell>
          <cell r="D379" t="str">
            <v>ja</v>
          </cell>
          <cell r="E379" t="str">
            <v>サディスティックステージ</v>
          </cell>
        </row>
        <row r="380">
          <cell r="A380">
            <v>550002</v>
          </cell>
          <cell r="B380" t="str">
            <v>[effect:dark, turn:1,target:unit_all]</v>
          </cell>
          <cell r="C380">
            <v>3</v>
          </cell>
          <cell r="D380" t="str">
            <v>ja</v>
          </cell>
          <cell r="E380" t="str">
            <v>触手姫の口づけ</v>
          </cell>
        </row>
        <row r="381">
          <cell r="A381">
            <v>550003</v>
          </cell>
          <cell r="B381" t="str">
            <v>[effect:dark, turn:4,target:unit_all,animation:enemy_dark]</v>
          </cell>
          <cell r="C381">
            <v>3</v>
          </cell>
          <cell r="D381" t="str">
            <v>ja</v>
          </cell>
          <cell r="E381" t="str">
            <v>ブラインドネス</v>
          </cell>
        </row>
        <row r="382">
          <cell r="A382">
            <v>550004</v>
          </cell>
          <cell r="B382" t="str">
            <v>[effect:dark, turn:2,target:unit_all,animation:enemy_dark]</v>
          </cell>
          <cell r="C382">
            <v>3</v>
          </cell>
          <cell r="D382" t="str">
            <v>ja</v>
          </cell>
          <cell r="E382" t="str">
            <v>マヨビーム</v>
          </cell>
        </row>
        <row r="383">
          <cell r="A383">
            <v>550005</v>
          </cell>
          <cell r="B383" t="str">
            <v>[effect:dark, turn:6,target:unit_all,animation:enemy_dark]</v>
          </cell>
          <cell r="C383">
            <v>3</v>
          </cell>
          <cell r="D383" t="str">
            <v>ja</v>
          </cell>
          <cell r="E383" t="str">
            <v>常世の闇に彷徨うがいい</v>
          </cell>
        </row>
      </sheetData>
      <sheetData sheetId="4"/>
      <sheetData sheetId="5">
        <row r="1"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侵食性ウィルス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ハート・スポイル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workbookViewId="0">
      <selection activeCell="C2" sqref="C2:C8 C3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58" t="s">
        <v>129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</row>
    <row r="2" spans="1:29" x14ac:dyDescent="0.15">
      <c r="A2" s="59" t="s">
        <v>130</v>
      </c>
      <c r="B2" s="55" t="s">
        <v>106</v>
      </c>
      <c r="C2" s="55">
        <f>floors!C$2</f>
        <v>30016</v>
      </c>
      <c r="D2" s="55" t="s">
        <v>107</v>
      </c>
      <c r="E2" s="54" t="str">
        <f>B2&amp;C2&amp;D2</f>
        <v>floors_30016.tmp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</row>
    <row r="3" spans="1:29" x14ac:dyDescent="0.15">
      <c r="A3" s="59" t="s">
        <v>130</v>
      </c>
      <c r="B3" s="55" t="s">
        <v>109</v>
      </c>
      <c r="C3" s="55">
        <f>floors!C$2</f>
        <v>30016</v>
      </c>
      <c r="D3" s="55" t="s">
        <v>107</v>
      </c>
      <c r="E3" s="54" t="str">
        <f>B3&amp;C3&amp;D3</f>
        <v>enemy_habitats_30016.tmp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</row>
    <row r="4" spans="1:29" x14ac:dyDescent="0.15">
      <c r="A4" s="59" t="s">
        <v>130</v>
      </c>
      <c r="B4" s="55" t="s">
        <v>111</v>
      </c>
      <c r="C4" s="55">
        <f>floors!C$2</f>
        <v>30016</v>
      </c>
      <c r="D4" s="55" t="s">
        <v>107</v>
      </c>
      <c r="E4" s="54" t="str">
        <f>B4&amp;C4&amp;D4</f>
        <v>enemy_habitat_S_30016.tmp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</row>
    <row r="5" spans="1:29" x14ac:dyDescent="0.15">
      <c r="A5" s="59" t="s">
        <v>130</v>
      </c>
      <c r="B5" s="55" t="s">
        <v>113</v>
      </c>
      <c r="C5" s="55">
        <f>floors!C$2</f>
        <v>30016</v>
      </c>
      <c r="D5" s="55" t="s">
        <v>107</v>
      </c>
      <c r="E5" s="54" t="str">
        <f>B5&amp;C5&amp;D5</f>
        <v>enemy_skill_sets_30016.tmp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</row>
    <row r="6" spans="1:29" x14ac:dyDescent="0.15">
      <c r="A6" s="59" t="s">
        <v>130</v>
      </c>
      <c r="B6" s="55" t="s">
        <v>115</v>
      </c>
      <c r="C6" s="55">
        <f>floors!C$2</f>
        <v>30016</v>
      </c>
      <c r="D6" s="55" t="s">
        <v>116</v>
      </c>
      <c r="E6" s="54" t="str">
        <f t="shared" ref="E6:E8" si="0">B6&amp;C6&amp;D6</f>
        <v>enemy_skills_tmp_30016.tmp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</row>
    <row r="7" spans="1:29" x14ac:dyDescent="0.15">
      <c r="A7" s="59" t="s">
        <v>130</v>
      </c>
      <c r="B7" s="55" t="s">
        <v>117</v>
      </c>
      <c r="C7" s="55">
        <f>floors!C$2</f>
        <v>30016</v>
      </c>
      <c r="D7" s="55" t="s">
        <v>107</v>
      </c>
      <c r="E7" s="54" t="str">
        <f>B7&amp;C7&amp;D7</f>
        <v>enemy_skills_i18n_30016.tmp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</row>
    <row r="8" spans="1:29" x14ac:dyDescent="0.15">
      <c r="A8" s="59" t="s">
        <v>130</v>
      </c>
      <c r="B8" s="55" t="s">
        <v>119</v>
      </c>
      <c r="C8" s="55">
        <f>floors!C$2</f>
        <v>30016</v>
      </c>
      <c r="D8" s="55" t="s">
        <v>120</v>
      </c>
      <c r="E8" s="54" t="str">
        <f t="shared" si="0"/>
        <v>enemy_skill_triggers_30016.tmp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J15" sqref="J15"/>
    </sheetView>
  </sheetViews>
  <sheetFormatPr baseColWidth="12" defaultColWidth="13" defaultRowHeight="21" customHeight="1" outlineLevelCol="1" x14ac:dyDescent="0.15"/>
  <cols>
    <col min="1" max="1" width="8.83203125" style="20" bestFit="1" customWidth="1"/>
    <col min="2" max="2" width="5" style="20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0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4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30016_1-1</v>
      </c>
      <c r="B2" s="16" t="str">
        <f>IF(COUNTIF(enemy_habitats!$H:$H,A2),"OK","NG")</f>
        <v>OK</v>
      </c>
      <c r="C2" s="7">
        <v>30016</v>
      </c>
      <c r="D2" s="11" t="str">
        <f ca="1">VLOOKUP($C2,OFFSET([2]quests!$A$1,0,0,COUNTA([2]quests!$A:$A),MATCH(D$1,[2]quests!$1:$1,0)-MATCH($C$1,[2]quests!$1:$1,0)+1),MATCH(D$1,[2]quests!$1:$1,0)-MATCH($C$1,[2]quests!$1:$1,0)+1,FALSE)</f>
        <v>私がワニの天敵よ？</v>
      </c>
      <c r="E2" s="19" t="str">
        <f ca="1">VLOOKUP($C2,OFFSET([2]quests!$A$1,0,0,COUNTA([2]quests!$A:$A),MATCH(E$1,[2]quests!$1:$1,0)-MATCH($C$1,[2]quests!$1:$1,0)+1),MATCH(E$1,[2]quests!$1:$1,0)-MATCH($C$1,[2]quests!$1:$1,0)+1,FALSE)</f>
        <v>ドロップイベント4（マルチ専用）</v>
      </c>
      <c r="F2" s="22">
        <v>1</v>
      </c>
      <c r="G2" s="24" t="str">
        <f>C2&amp;"_"&amp;F2</f>
        <v>30016_1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【超級】私がワニの天敵よ？</v>
      </c>
      <c r="I2" s="22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30016_1-2</v>
      </c>
      <c r="B3" s="16" t="str">
        <f>IF(COUNTIF(enemy_habitats!$H:$H,A3),"OK","NG")</f>
        <v>OK</v>
      </c>
      <c r="C3" s="7">
        <v>30016</v>
      </c>
      <c r="D3" s="11" t="str">
        <f ca="1">VLOOKUP($C3,OFFSET([2]quests!$A$1,0,0,COUNTA([2]quests!$A:$A),MATCH(D$1,[2]quests!$1:$1,0)-MATCH($C$1,[2]quests!$1:$1,0)+1),MATCH(D$1,[2]quests!$1:$1,0)-MATCH($C$1,[2]quests!$1:$1,0)+1,FALSE)</f>
        <v>私がワニの天敵よ？</v>
      </c>
      <c r="E3" s="19" t="str">
        <f ca="1">VLOOKUP($C3,OFFSET([2]quests!$A$1,0,0,COUNTA([2]quests!$A:$A),MATCH(E$1,[2]quests!$1:$1,0)-MATCH($C$1,[2]quests!$1:$1,0)+1),MATCH(E$1,[2]quests!$1:$1,0)-MATCH($C$1,[2]quests!$1:$1,0)+1,FALSE)</f>
        <v>ドロップイベント4（マルチ専用）</v>
      </c>
      <c r="F3" s="22">
        <v>1</v>
      </c>
      <c r="G3" s="24" t="str">
        <f t="shared" ref="G3:G5" si="1">C3&amp;"_"&amp;F3</f>
        <v>30016_1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【超級】私がワニの天敵よ？</v>
      </c>
      <c r="I3" s="22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30016_1-3</v>
      </c>
      <c r="B4" s="16" t="str">
        <f>IF(COUNTIF(enemy_habitats!$H:$H,A4),"OK","NG")</f>
        <v>OK</v>
      </c>
      <c r="C4" s="7">
        <v>30016</v>
      </c>
      <c r="D4" s="11" t="str">
        <f ca="1">VLOOKUP($C4,OFFSET([2]quests!$A$1,0,0,COUNTA([2]quests!$A:$A),MATCH(D$1,[2]quests!$1:$1,0)-MATCH($C$1,[2]quests!$1:$1,0)+1),MATCH(D$1,[2]quests!$1:$1,0)-MATCH($C$1,[2]quests!$1:$1,0)+1,FALSE)</f>
        <v>私がワニの天敵よ？</v>
      </c>
      <c r="E4" s="19" t="str">
        <f ca="1">VLOOKUP($C4,OFFSET([2]quests!$A$1,0,0,COUNTA([2]quests!$A:$A),MATCH(E$1,[2]quests!$1:$1,0)-MATCH($C$1,[2]quests!$1:$1,0)+1),MATCH(E$1,[2]quests!$1:$1,0)-MATCH($C$1,[2]quests!$1:$1,0)+1,FALSE)</f>
        <v>ドロップイベント4（マルチ専用）</v>
      </c>
      <c r="F4" s="22">
        <v>1</v>
      </c>
      <c r="G4" s="24" t="str">
        <f t="shared" si="1"/>
        <v>30016_1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【超級】私がワニの天敵よ？</v>
      </c>
      <c r="I4" s="22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30016_1-4</v>
      </c>
      <c r="B5" s="16" t="str">
        <f>IF(COUNTIF(enemy_habitats!$H:$H,A5),"OK","NG")</f>
        <v>OK</v>
      </c>
      <c r="C5" s="7">
        <v>30016</v>
      </c>
      <c r="D5" s="11" t="str">
        <f ca="1">VLOOKUP($C5,OFFSET([2]quests!$A$1,0,0,COUNTA([2]quests!$A:$A),MATCH(D$1,[2]quests!$1:$1,0)-MATCH($C$1,[2]quests!$1:$1,0)+1),MATCH(D$1,[2]quests!$1:$1,0)-MATCH($C$1,[2]quests!$1:$1,0)+1,FALSE)</f>
        <v>私がワニの天敵よ？</v>
      </c>
      <c r="E5" s="19" t="str">
        <f ca="1">VLOOKUP($C5,OFFSET([2]quests!$A$1,0,0,COUNTA([2]quests!$A:$A),MATCH(E$1,[2]quests!$1:$1,0)-MATCH($C$1,[2]quests!$1:$1,0)+1),MATCH(E$1,[2]quests!$1:$1,0)-MATCH($C$1,[2]quests!$1:$1,0)+1,FALSE)</f>
        <v>ドロップイベント4（マルチ専用）</v>
      </c>
      <c r="F5" s="22">
        <v>1</v>
      </c>
      <c r="G5" s="24" t="str">
        <f t="shared" si="1"/>
        <v>30016_1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【超級】私がワニの天敵よ？</v>
      </c>
      <c r="I5" s="22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30016_2-1</v>
      </c>
      <c r="B6" s="16" t="str">
        <f>IF(COUNTIF(enemy_habitats!$H:$H,A6),"OK","NG")</f>
        <v>OK</v>
      </c>
      <c r="C6" s="7">
        <v>30016</v>
      </c>
      <c r="D6" s="11" t="str">
        <f ca="1">VLOOKUP($C6,OFFSET([2]quests!$A$1,0,0,COUNTA([2]quests!$A:$A),MATCH(D$1,[2]quests!$1:$1,0)-MATCH($C$1,[2]quests!$1:$1,0)+1),MATCH(D$1,[2]quests!$1:$1,0)-MATCH($C$1,[2]quests!$1:$1,0)+1,FALSE)</f>
        <v>私がワニの天敵よ？</v>
      </c>
      <c r="E6" s="19" t="str">
        <f ca="1">VLOOKUP($C6,OFFSET([2]quests!$A$1,0,0,COUNTA([2]quests!$A:$A),MATCH(E$1,[2]quests!$1:$1,0)-MATCH($C$1,[2]quests!$1:$1,0)+1),MATCH(E$1,[2]quests!$1:$1,0)-MATCH($C$1,[2]quests!$1:$1,0)+1,FALSE)</f>
        <v>ドロップイベント4（マルチ専用）</v>
      </c>
      <c r="F6" s="22">
        <v>2</v>
      </c>
      <c r="G6" s="24" t="str">
        <f>C6&amp;"_"&amp;F6</f>
        <v>30016_2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【超絶級】私がワニの天敵よ？</v>
      </c>
      <c r="I6" s="22">
        <v>1</v>
      </c>
      <c r="J6" s="12">
        <v>60</v>
      </c>
      <c r="K6" s="12">
        <v>60</v>
      </c>
    </row>
    <row r="7" spans="1:11" ht="21" customHeight="1" x14ac:dyDescent="0.15">
      <c r="A7" s="16" t="str">
        <f t="shared" ref="A7:A9" si="2">G7&amp;"-"&amp;I7</f>
        <v>30016_2-2</v>
      </c>
      <c r="B7" s="16" t="str">
        <f>IF(COUNTIF(enemy_habitats!$H:$H,A7),"OK","NG")</f>
        <v>OK</v>
      </c>
      <c r="C7" s="7">
        <v>30016</v>
      </c>
      <c r="D7" s="11" t="str">
        <f ca="1">VLOOKUP($C7,OFFSET([2]quests!$A$1,0,0,COUNTA([2]quests!$A:$A),MATCH(D$1,[2]quests!$1:$1,0)-MATCH($C$1,[2]quests!$1:$1,0)+1),MATCH(D$1,[2]quests!$1:$1,0)-MATCH($C$1,[2]quests!$1:$1,0)+1,FALSE)</f>
        <v>私がワニの天敵よ？</v>
      </c>
      <c r="E7" s="19" t="str">
        <f ca="1">VLOOKUP($C7,OFFSET([2]quests!$A$1,0,0,COUNTA([2]quests!$A:$A),MATCH(E$1,[2]quests!$1:$1,0)-MATCH($C$1,[2]quests!$1:$1,0)+1),MATCH(E$1,[2]quests!$1:$1,0)-MATCH($C$1,[2]quests!$1:$1,0)+1,FALSE)</f>
        <v>ドロップイベント4（マルチ専用）</v>
      </c>
      <c r="F7" s="22">
        <v>2</v>
      </c>
      <c r="G7" s="24" t="str">
        <f t="shared" ref="G7:G9" si="3">C7&amp;"_"&amp;F7</f>
        <v>30016_2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【超絶級】私がワニの天敵よ？</v>
      </c>
      <c r="I7" s="22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30016_2-3</v>
      </c>
      <c r="B8" s="16" t="str">
        <f>IF(COUNTIF(enemy_habitats!$H:$H,A8),"OK","NG")</f>
        <v>OK</v>
      </c>
      <c r="C8" s="7">
        <v>30016</v>
      </c>
      <c r="D8" s="11" t="str">
        <f ca="1">VLOOKUP($C8,OFFSET([2]quests!$A$1,0,0,COUNTA([2]quests!$A:$A),MATCH(D$1,[2]quests!$1:$1,0)-MATCH($C$1,[2]quests!$1:$1,0)+1),MATCH(D$1,[2]quests!$1:$1,0)-MATCH($C$1,[2]quests!$1:$1,0)+1,FALSE)</f>
        <v>私がワニの天敵よ？</v>
      </c>
      <c r="E8" s="19" t="str">
        <f ca="1">VLOOKUP($C8,OFFSET([2]quests!$A$1,0,0,COUNTA([2]quests!$A:$A),MATCH(E$1,[2]quests!$1:$1,0)-MATCH($C$1,[2]quests!$1:$1,0)+1),MATCH(E$1,[2]quests!$1:$1,0)-MATCH($C$1,[2]quests!$1:$1,0)+1,FALSE)</f>
        <v>ドロップイベント4（マルチ専用）</v>
      </c>
      <c r="F8" s="22">
        <v>2</v>
      </c>
      <c r="G8" s="24" t="str">
        <f t="shared" si="3"/>
        <v>30016_2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【超絶級】私がワニの天敵よ？</v>
      </c>
      <c r="I8" s="22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30016_2-4</v>
      </c>
      <c r="B9" s="16" t="str">
        <f>IF(COUNTIF(enemy_habitats!$H:$H,A9),"OK","NG")</f>
        <v>OK</v>
      </c>
      <c r="C9" s="7">
        <v>30016</v>
      </c>
      <c r="D9" s="11" t="str">
        <f ca="1">VLOOKUP($C9,OFFSET([2]quests!$A$1,0,0,COUNTA([2]quests!$A:$A),MATCH(D$1,[2]quests!$1:$1,0)-MATCH($C$1,[2]quests!$1:$1,0)+1),MATCH(D$1,[2]quests!$1:$1,0)-MATCH($C$1,[2]quests!$1:$1,0)+1,FALSE)</f>
        <v>私がワニの天敵よ？</v>
      </c>
      <c r="E9" s="19" t="str">
        <f ca="1">VLOOKUP($C9,OFFSET([2]quests!$A$1,0,0,COUNTA([2]quests!$A:$A),MATCH(E$1,[2]quests!$1:$1,0)-MATCH($C$1,[2]quests!$1:$1,0)+1),MATCH(E$1,[2]quests!$1:$1,0)-MATCH($C$1,[2]quests!$1:$1,0)+1,FALSE)</f>
        <v>ドロップイベント4（マルチ専用）</v>
      </c>
      <c r="F9" s="22">
        <v>2</v>
      </c>
      <c r="G9" s="24" t="str">
        <f t="shared" si="3"/>
        <v>30016_2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【超絶級】私がワニの天敵よ？</v>
      </c>
      <c r="I9" s="22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ref="A10" si="4">G10&amp;"-"&amp;I10</f>
        <v>30016_2-5</v>
      </c>
      <c r="B10" s="16" t="str">
        <f>IF(COUNTIF(enemy_habitats!$H:$H,A10),"OK","NG")</f>
        <v>OK</v>
      </c>
      <c r="C10" s="7">
        <v>30016</v>
      </c>
      <c r="D10" s="11" t="str">
        <f ca="1">VLOOKUP($C10,OFFSET([2]quests!$A$1,0,0,COUNTA([2]quests!$A:$A),MATCH(D$1,[2]quests!$1:$1,0)-MATCH($C$1,[2]quests!$1:$1,0)+1),MATCH(D$1,[2]quests!$1:$1,0)-MATCH($C$1,[2]quests!$1:$1,0)+1,FALSE)</f>
        <v>私がワニの天敵よ？</v>
      </c>
      <c r="E10" s="19" t="str">
        <f ca="1">VLOOKUP($C10,OFFSET([2]quests!$A$1,0,0,COUNTA([2]quests!$A:$A),MATCH(E$1,[2]quests!$1:$1,0)-MATCH($C$1,[2]quests!$1:$1,0)+1),MATCH(E$1,[2]quests!$1:$1,0)-MATCH($C$1,[2]quests!$1:$1,0)+1,FALSE)</f>
        <v>ドロップイベント4（マルチ専用）</v>
      </c>
      <c r="F10" s="22">
        <v>2</v>
      </c>
      <c r="G10" s="24" t="str">
        <f t="shared" ref="G10" si="5">C10&amp;"_"&amp;F10</f>
        <v>30016_2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【超絶級】私がワニの天敵よ？</v>
      </c>
      <c r="I10" s="22">
        <v>5</v>
      </c>
      <c r="J10" s="12">
        <v>60</v>
      </c>
      <c r="K10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40"/>
  <sheetViews>
    <sheetView showGridLines="0" tabSelected="1" zoomScale="75" zoomScaleNormal="75" zoomScalePageLayoutView="75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AH19" sqref="AH19"/>
    </sheetView>
  </sheetViews>
  <sheetFormatPr baseColWidth="12" defaultColWidth="13" defaultRowHeight="21" customHeight="1" outlineLevelCol="1" x14ac:dyDescent="0.15"/>
  <cols>
    <col min="1" max="1" width="15.83203125" style="20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12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2.1640625" style="3" customWidth="1"/>
    <col min="23" max="23" width="10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customWidth="1" outlineLevel="1"/>
    <col min="30" max="30" width="8" style="14" customWidth="1" outlineLevel="1"/>
    <col min="31" max="31" width="12" style="14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20</v>
      </c>
      <c r="F1" s="31" t="s">
        <v>20</v>
      </c>
      <c r="G1" s="29" t="s">
        <v>19</v>
      </c>
      <c r="H1" s="30" t="s">
        <v>35</v>
      </c>
      <c r="I1" s="30" t="s">
        <v>14</v>
      </c>
      <c r="J1" s="30" t="s">
        <v>15</v>
      </c>
      <c r="K1" s="37" t="s">
        <v>54</v>
      </c>
      <c r="L1" s="38" t="s">
        <v>2</v>
      </c>
      <c r="M1" s="32" t="s">
        <v>21</v>
      </c>
      <c r="N1" s="30" t="s">
        <v>24</v>
      </c>
      <c r="O1" s="30" t="s">
        <v>23</v>
      </c>
      <c r="P1" s="33" t="s">
        <v>26</v>
      </c>
      <c r="Q1" s="31" t="s">
        <v>25</v>
      </c>
      <c r="R1" s="29" t="s">
        <v>3</v>
      </c>
      <c r="S1" s="27" t="s">
        <v>48</v>
      </c>
      <c r="T1" s="27" t="s">
        <v>50</v>
      </c>
      <c r="U1" s="27" t="s">
        <v>52</v>
      </c>
      <c r="V1" s="29" t="s">
        <v>4</v>
      </c>
      <c r="W1" s="30" t="s">
        <v>31</v>
      </c>
      <c r="X1" s="29" t="s">
        <v>5</v>
      </c>
      <c r="Y1" s="29" t="s">
        <v>6</v>
      </c>
      <c r="Z1" s="29" t="s">
        <v>7</v>
      </c>
      <c r="AA1" s="29" t="s">
        <v>8</v>
      </c>
      <c r="AB1" s="34" t="s">
        <v>9</v>
      </c>
      <c r="AC1" s="35" t="s">
        <v>16</v>
      </c>
      <c r="AD1" s="35" t="s">
        <v>17</v>
      </c>
      <c r="AE1" s="35" t="s">
        <v>27</v>
      </c>
      <c r="AF1" s="34" t="s">
        <v>10</v>
      </c>
      <c r="AG1" s="29" t="s">
        <v>11</v>
      </c>
      <c r="AH1" s="29" t="s">
        <v>12</v>
      </c>
      <c r="AI1" s="29" t="s">
        <v>38</v>
      </c>
      <c r="AJ1" s="29" t="s">
        <v>40</v>
      </c>
      <c r="AK1" s="29" t="s">
        <v>42</v>
      </c>
      <c r="AL1" s="29" t="s">
        <v>44</v>
      </c>
      <c r="AM1" s="29" t="s">
        <v>46</v>
      </c>
    </row>
    <row r="2" spans="1:39" ht="21" customHeight="1" x14ac:dyDescent="0.15">
      <c r="A2" s="16" t="str">
        <f t="shared" ref="A2:A9" ca="1" si="0">B2&amp;"_"&amp;C2&amp;"-"&amp;G2&amp;"/"&amp;L2&amp;"&lt;lv"&amp;R2&amp;"&gt;s"&amp;AA2</f>
        <v>30016_1-1/1&lt;lv50&gt;s1</v>
      </c>
      <c r="B2" s="23">
        <v>30016</v>
      </c>
      <c r="C2" s="73">
        <v>1</v>
      </c>
      <c r="D2" s="2" t="str">
        <f t="shared" ref="D2:D9" si="1">B2&amp;"_"&amp;C2</f>
        <v>30016_1</v>
      </c>
      <c r="E2" s="4" t="str">
        <f ca="1">VLOOKUP($B2,OFFSET([2]quests!$A$1,0,0,COUNTA([2]quests!$A:$A),MATCH(E$1,[2]quests!$1:$1,0)-MATCH($B$1,[2]quests!$1:$1,0)+1),MATCH(E$1,[2]quests!$1:$1,0)-MATCH($B$1,[2]quests!$1:$1,0)+1,FALSE)</f>
        <v>私がワニの天敵よ？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【超級】私がワニの天敵よ？</v>
      </c>
      <c r="G2" s="73">
        <v>1</v>
      </c>
      <c r="H2" s="15" t="str">
        <f t="shared" ref="H2:H9" si="2">B2&amp;"_"&amp;C2&amp;"-"&amp;G2</f>
        <v>30016_1-1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9" t="s">
        <v>53</v>
      </c>
      <c r="L2" s="21">
        <v>1</v>
      </c>
      <c r="M2" s="17" t="str">
        <f ca="1">VLOOKUP(L2,[3]enemies!$A:$B,2,FALSE)</f>
        <v>ジェリー</v>
      </c>
      <c r="N2" s="19" t="str">
        <f ca="1">VLOOKUP(L2,[3]enemies!$A:$D,4,FALSE)</f>
        <v>red</v>
      </c>
      <c r="O2" s="19" t="str">
        <f>VLOOKUP(L2,[4]characters!$A:$J,10,FALSE)</f>
        <v>Drop1T</v>
      </c>
      <c r="P2" s="18" t="str">
        <f>VLOOKUP(L2,[4]characters!$A:$M,13,FALSE)</f>
        <v>unknown</v>
      </c>
      <c r="Q2" s="4">
        <f ca="1">VLOOKUP(L2,[3]enemies!$A:$X,24,FALSE)</f>
        <v>15</v>
      </c>
      <c r="R2" s="5">
        <v>50</v>
      </c>
      <c r="S2" s="26">
        <v>0.8</v>
      </c>
      <c r="T2" s="26">
        <v>0.5</v>
      </c>
      <c r="U2" s="5">
        <v>0</v>
      </c>
      <c r="V2" s="4">
        <f ca="1">VLOOKUP(L2,[3]enemies!$A:$AB,28,FALSE)</f>
        <v>0</v>
      </c>
      <c r="W2" s="4" t="str">
        <f ca="1">IFERROR(VLOOKUP(V2,[5]enemy_skill_sets!$B:$E,4,FALSE),VLOOKUP(V2,enemy_skill_sets!B:E,4,FALSE))</f>
        <v>なし</v>
      </c>
      <c r="X2" s="6">
        <v>0</v>
      </c>
      <c r="Y2" s="6">
        <v>100</v>
      </c>
      <c r="Z2" s="6">
        <v>0</v>
      </c>
      <c r="AA2" s="4">
        <f ca="1">VLOOKUP(L2,[3]enemies!$A:$V,22,FALSE)</f>
        <v>1</v>
      </c>
      <c r="AB2" s="25">
        <f t="shared" ref="AB2:AB9" si="3">L2</f>
        <v>1</v>
      </c>
      <c r="AC2" s="4" t="str">
        <f ca="1">VLOOKUP(AB2,[3]enemies!$A:$B,2,FALSE)</f>
        <v>ジェリー</v>
      </c>
      <c r="AD2" s="4">
        <f ca="1">VLOOKUP(AB2,[3]enemies!$A:$E,3,FALSE)</f>
        <v>1</v>
      </c>
      <c r="AE2" s="4" t="str">
        <f>VLOOKUP(AB2,[4]characters!$A:$J,10,FALSE)</f>
        <v>Drop1T</v>
      </c>
      <c r="AF2" s="7">
        <v>1</v>
      </c>
      <c r="AG2" s="25">
        <f t="shared" ref="AG2:AG9" ca="1" si="4">AD2</f>
        <v>1</v>
      </c>
      <c r="AH2" s="8">
        <v>30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 x14ac:dyDescent="0.15">
      <c r="A3" s="16" t="str">
        <f t="shared" ref="A3" ca="1" si="5">B3&amp;"_"&amp;C3&amp;"-"&amp;G3&amp;"/"&amp;L3&amp;"&lt;lv"&amp;R3&amp;"&gt;s"&amp;AA3</f>
        <v>30016_1-1/5&lt;lv50&gt;s3</v>
      </c>
      <c r="B3" s="23">
        <v>30016</v>
      </c>
      <c r="C3" s="73">
        <v>1</v>
      </c>
      <c r="D3" s="2" t="str">
        <f t="shared" ref="D3" si="6">B3&amp;"_"&amp;C3</f>
        <v>30016_1</v>
      </c>
      <c r="E3" s="4" t="str">
        <f ca="1">VLOOKUP($B3,OFFSET([2]quests!$A$1,0,0,COUNTA([2]quests!$A:$A),MATCH(E$1,[2]quests!$1:$1,0)-MATCH($B$1,[2]quests!$1:$1,0)+1),MATCH(E$1,[2]quests!$1:$1,0)-MATCH($B$1,[2]quests!$1:$1,0)+1,FALSE)</f>
        <v>私がワニの天敵よ？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【超級】私がワニの天敵よ？</v>
      </c>
      <c r="G3" s="73">
        <v>1</v>
      </c>
      <c r="H3" s="15" t="str">
        <f t="shared" ref="H3" si="7">B3&amp;"_"&amp;C3&amp;"-"&amp;G3</f>
        <v>30016_1-1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9" t="s">
        <v>53</v>
      </c>
      <c r="L3" s="21">
        <v>5</v>
      </c>
      <c r="M3" s="17" t="str">
        <f ca="1">VLOOKUP(L3,[3]enemies!$A:$B,2,FALSE)</f>
        <v>パトドッグ ポチ</v>
      </c>
      <c r="N3" s="19" t="str">
        <f ca="1">VLOOKUP(L3,[3]enemies!$A:$D,4,FALSE)</f>
        <v>blue</v>
      </c>
      <c r="O3" s="19" t="str">
        <f>VLOOKUP(L3,[4]characters!$A:$J,10,FALSE)</f>
        <v>Drop1T</v>
      </c>
      <c r="P3" s="18" t="str">
        <f>VLOOKUP(L3,[4]characters!$A:$M,13,FALSE)</f>
        <v>unknown</v>
      </c>
      <c r="Q3" s="4">
        <f ca="1">VLOOKUP(L3,[3]enemies!$A:$X,24,FALSE)</f>
        <v>15</v>
      </c>
      <c r="R3" s="5">
        <v>50</v>
      </c>
      <c r="S3" s="26">
        <v>1</v>
      </c>
      <c r="T3" s="26">
        <v>1</v>
      </c>
      <c r="U3" s="5">
        <v>0</v>
      </c>
      <c r="V3" s="4">
        <f ca="1">VLOOKUP(L3,[3]enemies!$A:$AB,28,FALSE)</f>
        <v>0</v>
      </c>
      <c r="W3" s="4" t="str">
        <f ca="1">IFERROR(VLOOKUP(V3,[5]enemy_skill_sets!$B:$E,4,FALSE),VLOOKUP(V3,enemy_skill_sets!B:E,4,FALSE))</f>
        <v>なし</v>
      </c>
      <c r="X3" s="6">
        <v>0</v>
      </c>
      <c r="Y3" s="6">
        <v>100</v>
      </c>
      <c r="Z3" s="6">
        <v>0</v>
      </c>
      <c r="AA3" s="4">
        <f ca="1">VLOOKUP(L3,[3]enemies!$A:$V,22,FALSE)</f>
        <v>3</v>
      </c>
      <c r="AB3" s="25">
        <f t="shared" ref="AB3" si="8">L3</f>
        <v>5</v>
      </c>
      <c r="AC3" s="4" t="str">
        <f ca="1">VLOOKUP(AB3,[3]enemies!$A:$B,2,FALSE)</f>
        <v>パトドッグ ポチ</v>
      </c>
      <c r="AD3" s="4">
        <f ca="1">VLOOKUP(AB3,[3]enemies!$A:$E,3,FALSE)</f>
        <v>1</v>
      </c>
      <c r="AE3" s="4" t="str">
        <f>VLOOKUP(AB3,[4]characters!$A:$J,10,FALSE)</f>
        <v>Drop1T</v>
      </c>
      <c r="AF3" s="7">
        <v>1</v>
      </c>
      <c r="AG3" s="25">
        <f t="shared" ref="AG3" ca="1" si="9">AD3</f>
        <v>1</v>
      </c>
      <c r="AH3" s="8">
        <v>30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 x14ac:dyDescent="0.15">
      <c r="A4" s="16" t="str">
        <f t="shared" ref="A4" ca="1" si="10">B4&amp;"_"&amp;C4&amp;"-"&amp;G4&amp;"/"&amp;L4&amp;"&lt;lv"&amp;R4&amp;"&gt;s"&amp;AA4</f>
        <v>30016_1-1/9&lt;lv50&gt;s2</v>
      </c>
      <c r="B4" s="23">
        <v>30016</v>
      </c>
      <c r="C4" s="73">
        <v>1</v>
      </c>
      <c r="D4" s="2" t="str">
        <f t="shared" ref="D4" si="11">B4&amp;"_"&amp;C4</f>
        <v>30016_1</v>
      </c>
      <c r="E4" s="4" t="str">
        <f ca="1">VLOOKUP($B4,OFFSET([2]quests!$A$1,0,0,COUNTA([2]quests!$A:$A),MATCH(E$1,[2]quests!$1:$1,0)-MATCH($B$1,[2]quests!$1:$1,0)+1),MATCH(E$1,[2]quests!$1:$1,0)-MATCH($B$1,[2]quests!$1:$1,0)+1,FALSE)</f>
        <v>私がワニの天敵よ？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【超級】私がワニの天敵よ？</v>
      </c>
      <c r="G4" s="73">
        <v>1</v>
      </c>
      <c r="H4" s="15" t="str">
        <f t="shared" ref="H4" si="12">B4&amp;"_"&amp;C4&amp;"-"&amp;G4</f>
        <v>30016_1-1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9" t="s">
        <v>53</v>
      </c>
      <c r="L4" s="21">
        <v>9</v>
      </c>
      <c r="M4" s="17" t="str">
        <f ca="1">VLOOKUP(L4,[3]enemies!$A:$B,2,FALSE)</f>
        <v>ブレット</v>
      </c>
      <c r="N4" s="19" t="str">
        <f ca="1">VLOOKUP(L4,[3]enemies!$A:$D,4,FALSE)</f>
        <v>red</v>
      </c>
      <c r="O4" s="19" t="str">
        <f>VLOOKUP(L4,[4]characters!$A:$J,10,FALSE)</f>
        <v>Drop1W</v>
      </c>
      <c r="P4" s="18" t="str">
        <f>VLOOKUP(L4,[4]characters!$A:$M,13,FALSE)</f>
        <v>animal</v>
      </c>
      <c r="Q4" s="4">
        <f ca="1">VLOOKUP(L4,[3]enemies!$A:$X,24,FALSE)</f>
        <v>15</v>
      </c>
      <c r="R4" s="5">
        <v>50</v>
      </c>
      <c r="S4" s="26">
        <v>0.9</v>
      </c>
      <c r="T4" s="26">
        <v>0.5</v>
      </c>
      <c r="U4" s="5">
        <v>0</v>
      </c>
      <c r="V4" s="4">
        <f ca="1">VLOOKUP(L4,[3]enemies!$A:$AB,28,FALSE)</f>
        <v>0</v>
      </c>
      <c r="W4" s="4" t="str">
        <f ca="1">IFERROR(VLOOKUP(V4,[5]enemy_skill_sets!$B:$E,4,FALSE),VLOOKUP(V4,enemy_skill_sets!B:E,4,FALSE))</f>
        <v>なし</v>
      </c>
      <c r="X4" s="6">
        <v>0</v>
      </c>
      <c r="Y4" s="6">
        <v>100</v>
      </c>
      <c r="Z4" s="6">
        <v>0</v>
      </c>
      <c r="AA4" s="4">
        <f ca="1">VLOOKUP(L4,[3]enemies!$A:$V,22,FALSE)</f>
        <v>2</v>
      </c>
      <c r="AB4" s="25">
        <f t="shared" ref="AB4" si="13">L4</f>
        <v>9</v>
      </c>
      <c r="AC4" s="4" t="str">
        <f ca="1">VLOOKUP(AB4,[3]enemies!$A:$B,2,FALSE)</f>
        <v>ブレット</v>
      </c>
      <c r="AD4" s="4">
        <f ca="1">VLOOKUP(AB4,[3]enemies!$A:$E,3,FALSE)</f>
        <v>1</v>
      </c>
      <c r="AE4" s="4" t="str">
        <f>VLOOKUP(AB4,[4]characters!$A:$J,10,FALSE)</f>
        <v>Drop1W</v>
      </c>
      <c r="AF4" s="7">
        <v>1</v>
      </c>
      <c r="AG4" s="25">
        <f t="shared" ref="AG4" ca="1" si="14">AD4</f>
        <v>1</v>
      </c>
      <c r="AH4" s="8">
        <v>30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 x14ac:dyDescent="0.15">
      <c r="A5" s="16" t="str">
        <f t="shared" ref="A5" ca="1" si="15">B5&amp;"_"&amp;C5&amp;"-"&amp;G5&amp;"/"&amp;L5&amp;"&lt;lv"&amp;R5&amp;"&gt;s"&amp;AA5</f>
        <v>30016_1-1/11&lt;lv50&gt;s3</v>
      </c>
      <c r="B5" s="23">
        <v>30016</v>
      </c>
      <c r="C5" s="73">
        <v>1</v>
      </c>
      <c r="D5" s="2" t="str">
        <f t="shared" ref="D5" si="16">B5&amp;"_"&amp;C5</f>
        <v>30016_1</v>
      </c>
      <c r="E5" s="4" t="str">
        <f ca="1">VLOOKUP($B5,OFFSET([2]quests!$A$1,0,0,COUNTA([2]quests!$A:$A),MATCH(E$1,[2]quests!$1:$1,0)-MATCH($B$1,[2]quests!$1:$1,0)+1),MATCH(E$1,[2]quests!$1:$1,0)-MATCH($B$1,[2]quests!$1:$1,0)+1,FALSE)</f>
        <v>私がワニの天敵よ？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【超級】私がワニの天敵よ？</v>
      </c>
      <c r="G5" s="73">
        <v>1</v>
      </c>
      <c r="H5" s="15" t="str">
        <f t="shared" ref="H5" si="17">B5&amp;"_"&amp;C5&amp;"-"&amp;G5</f>
        <v>30016_1-1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9" t="s">
        <v>53</v>
      </c>
      <c r="L5" s="21">
        <v>11</v>
      </c>
      <c r="M5" s="17" t="str">
        <f ca="1">VLOOKUP(L5,[3]enemies!$A:$B,2,FALSE)</f>
        <v>マグリット</v>
      </c>
      <c r="N5" s="19" t="str">
        <f ca="1">VLOOKUP(L5,[3]enemies!$A:$D,4,FALSE)</f>
        <v>green</v>
      </c>
      <c r="O5" s="19" t="str">
        <f>VLOOKUP(L5,[4]characters!$A:$J,10,FALSE)</f>
        <v>Drop1W</v>
      </c>
      <c r="P5" s="18" t="str">
        <f>VLOOKUP(L5,[4]characters!$A:$M,13,FALSE)</f>
        <v>animal</v>
      </c>
      <c r="Q5" s="4">
        <f ca="1">VLOOKUP(L5,[3]enemies!$A:$X,24,FALSE)</f>
        <v>15</v>
      </c>
      <c r="R5" s="5">
        <v>50</v>
      </c>
      <c r="S5" s="26">
        <v>1</v>
      </c>
      <c r="T5" s="26">
        <v>1</v>
      </c>
      <c r="U5" s="5">
        <v>0</v>
      </c>
      <c r="V5" s="4">
        <f ca="1">VLOOKUP(L5,[3]enemies!$A:$AB,28,FALSE)</f>
        <v>0</v>
      </c>
      <c r="W5" s="4" t="str">
        <f ca="1">IFERROR(VLOOKUP(V5,[5]enemy_skill_sets!$B:$E,4,FALSE),VLOOKUP(V5,enemy_skill_sets!B:E,4,FALSE))</f>
        <v>なし</v>
      </c>
      <c r="X5" s="6">
        <v>0</v>
      </c>
      <c r="Y5" s="6">
        <v>100</v>
      </c>
      <c r="Z5" s="6">
        <v>0</v>
      </c>
      <c r="AA5" s="4">
        <f ca="1">VLOOKUP(L5,[3]enemies!$A:$V,22,FALSE)</f>
        <v>3</v>
      </c>
      <c r="AB5" s="25">
        <f t="shared" ref="AB5" si="18">L5</f>
        <v>11</v>
      </c>
      <c r="AC5" s="4" t="str">
        <f ca="1">VLOOKUP(AB5,[3]enemies!$A:$B,2,FALSE)</f>
        <v>マグリット</v>
      </c>
      <c r="AD5" s="4">
        <f ca="1">VLOOKUP(AB5,[3]enemies!$A:$E,3,FALSE)</f>
        <v>1</v>
      </c>
      <c r="AE5" s="4" t="str">
        <f>VLOOKUP(AB5,[4]characters!$A:$J,10,FALSE)</f>
        <v>Drop1W</v>
      </c>
      <c r="AF5" s="7">
        <v>1</v>
      </c>
      <c r="AG5" s="25">
        <f t="shared" ref="AG5" ca="1" si="19">AD5</f>
        <v>1</v>
      </c>
      <c r="AH5" s="8">
        <v>30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 x14ac:dyDescent="0.15">
      <c r="A6" s="16" t="str">
        <f t="shared" ca="1" si="0"/>
        <v>30016_1-1/23&lt;lv50&gt;s4</v>
      </c>
      <c r="B6" s="23">
        <v>30016</v>
      </c>
      <c r="C6" s="73">
        <v>1</v>
      </c>
      <c r="D6" s="2" t="str">
        <f t="shared" si="1"/>
        <v>30016_1</v>
      </c>
      <c r="E6" s="4" t="str">
        <f ca="1">VLOOKUP($B6,OFFSET([2]quests!$A$1,0,0,COUNTA([2]quests!$A:$A),MATCH(E$1,[2]quests!$1:$1,0)-MATCH($B$1,[2]quests!$1:$1,0)+1),MATCH(E$1,[2]quests!$1:$1,0)-MATCH($B$1,[2]quests!$1:$1,0)+1,FALSE)</f>
        <v>私がワニの天敵よ？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【超級】私がワニの天敵よ？</v>
      </c>
      <c r="G6" s="73">
        <v>1</v>
      </c>
      <c r="H6" s="15" t="str">
        <f t="shared" si="2"/>
        <v>30016_1-1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9" t="s">
        <v>53</v>
      </c>
      <c r="L6" s="21">
        <v>23</v>
      </c>
      <c r="M6" s="17" t="str">
        <f ca="1">VLOOKUP(L6,[3]enemies!$A:$B,2,FALSE)</f>
        <v>ミール</v>
      </c>
      <c r="N6" s="19" t="str">
        <f ca="1">VLOOKUP(L6,[3]enemies!$A:$D,4,FALSE)</f>
        <v>green</v>
      </c>
      <c r="O6" s="19" t="str">
        <f>VLOOKUP(L6,[4]characters!$A:$J,10,FALSE)</f>
        <v>Drop1N</v>
      </c>
      <c r="P6" s="18" t="str">
        <f>VLOOKUP(L6,[4]characters!$A:$M,13,FALSE)</f>
        <v>animal</v>
      </c>
      <c r="Q6" s="4">
        <f ca="1">VLOOKUP(L6,[3]enemies!$A:$X,24,FALSE)</f>
        <v>15</v>
      </c>
      <c r="R6" s="5">
        <v>50</v>
      </c>
      <c r="S6" s="26">
        <v>1</v>
      </c>
      <c r="T6" s="26">
        <v>1</v>
      </c>
      <c r="U6" s="5">
        <v>0</v>
      </c>
      <c r="V6" s="4">
        <f ca="1">VLOOKUP(L6,[3]enemies!$A:$AB,28,FALSE)</f>
        <v>0</v>
      </c>
      <c r="W6" s="4" t="str">
        <f ca="1">IFERROR(VLOOKUP(V6,[5]enemy_skill_sets!$B:$E,4,FALSE),VLOOKUP(V6,enemy_skill_sets!B:E,4,FALSE))</f>
        <v>なし</v>
      </c>
      <c r="X6" s="6">
        <v>0</v>
      </c>
      <c r="Y6" s="6">
        <v>100</v>
      </c>
      <c r="Z6" s="6">
        <v>1</v>
      </c>
      <c r="AA6" s="4">
        <f ca="1">VLOOKUP(L6,[3]enemies!$A:$V,22,FALSE)</f>
        <v>4</v>
      </c>
      <c r="AB6" s="25">
        <f t="shared" si="3"/>
        <v>23</v>
      </c>
      <c r="AC6" s="4" t="str">
        <f ca="1">VLOOKUP(AB6,[3]enemies!$A:$B,2,FALSE)</f>
        <v>ミール</v>
      </c>
      <c r="AD6" s="4">
        <f ca="1">VLOOKUP(AB6,[3]enemies!$A:$E,3,FALSE)</f>
        <v>1</v>
      </c>
      <c r="AE6" s="4" t="str">
        <f>VLOOKUP(AB6,[4]characters!$A:$J,10,FALSE)</f>
        <v>Drop1N</v>
      </c>
      <c r="AF6" s="7">
        <v>1</v>
      </c>
      <c r="AG6" s="25">
        <f t="shared" ca="1" si="4"/>
        <v>1</v>
      </c>
      <c r="AH6" s="8">
        <v>30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 x14ac:dyDescent="0.15">
      <c r="A7" s="16" t="str">
        <f t="shared" ca="1" si="0"/>
        <v>30016_1-1/43&lt;lv50&gt;s2</v>
      </c>
      <c r="B7" s="23">
        <v>30016</v>
      </c>
      <c r="C7" s="73">
        <v>1</v>
      </c>
      <c r="D7" s="2" t="str">
        <f t="shared" si="1"/>
        <v>30016_1</v>
      </c>
      <c r="E7" s="4" t="str">
        <f ca="1">VLOOKUP($B7,OFFSET([2]quests!$A$1,0,0,COUNTA([2]quests!$A:$A),MATCH(E$1,[2]quests!$1:$1,0)-MATCH($B$1,[2]quests!$1:$1,0)+1),MATCH(E$1,[2]quests!$1:$1,0)-MATCH($B$1,[2]quests!$1:$1,0)+1,FALSE)</f>
        <v>私がワニの天敵よ？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【超級】私がワニの天敵よ？</v>
      </c>
      <c r="G7" s="73">
        <v>1</v>
      </c>
      <c r="H7" s="15" t="str">
        <f t="shared" si="2"/>
        <v>30016_1-1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9" t="s">
        <v>53</v>
      </c>
      <c r="L7" s="21">
        <v>43</v>
      </c>
      <c r="M7" s="17" t="str">
        <f ca="1">VLOOKUP(L7,[3]enemies!$A:$B,2,FALSE)</f>
        <v>ムゥ</v>
      </c>
      <c r="N7" s="19" t="str">
        <f ca="1">VLOOKUP(L7,[3]enemies!$A:$D,4,FALSE)</f>
        <v>green</v>
      </c>
      <c r="O7" s="19" t="str">
        <f>VLOOKUP(L7,[4]characters!$A:$J,10,FALSE)</f>
        <v>Drop1N</v>
      </c>
      <c r="P7" s="18" t="str">
        <f>VLOOKUP(L7,[4]characters!$A:$M,13,FALSE)</f>
        <v>dragon</v>
      </c>
      <c r="Q7" s="4">
        <f ca="1">VLOOKUP(L7,[3]enemies!$A:$X,24,FALSE)</f>
        <v>15</v>
      </c>
      <c r="R7" s="5">
        <v>50</v>
      </c>
      <c r="S7" s="26">
        <v>0.9</v>
      </c>
      <c r="T7" s="26">
        <v>1</v>
      </c>
      <c r="U7" s="5">
        <v>0</v>
      </c>
      <c r="V7" s="4">
        <f ca="1">VLOOKUP(L7,[3]enemies!$A:$AB,28,FALSE)</f>
        <v>0</v>
      </c>
      <c r="W7" s="4" t="str">
        <f ca="1">IFERROR(VLOOKUP(V7,[5]enemy_skill_sets!$B:$E,4,FALSE),VLOOKUP(V7,enemy_skill_sets!B:E,4,FALSE))</f>
        <v>なし</v>
      </c>
      <c r="X7" s="6">
        <v>0</v>
      </c>
      <c r="Y7" s="6">
        <v>100</v>
      </c>
      <c r="Z7" s="6">
        <v>2</v>
      </c>
      <c r="AA7" s="4">
        <f ca="1">VLOOKUP(L7,[3]enemies!$A:$V,22,FALSE)</f>
        <v>2</v>
      </c>
      <c r="AB7" s="25">
        <f t="shared" si="3"/>
        <v>43</v>
      </c>
      <c r="AC7" s="4" t="str">
        <f ca="1">VLOOKUP(AB7,[3]enemies!$A:$B,2,FALSE)</f>
        <v>ムゥ</v>
      </c>
      <c r="AD7" s="4">
        <f ca="1">VLOOKUP(AB7,[3]enemies!$A:$E,3,FALSE)</f>
        <v>2</v>
      </c>
      <c r="AE7" s="4" t="str">
        <f>VLOOKUP(AB7,[4]characters!$A:$J,10,FALSE)</f>
        <v>Drop1N</v>
      </c>
      <c r="AF7" s="7">
        <v>1</v>
      </c>
      <c r="AG7" s="25">
        <f t="shared" ca="1" si="4"/>
        <v>2</v>
      </c>
      <c r="AH7" s="8">
        <v>30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8" spans="1:39" ht="21" customHeight="1" x14ac:dyDescent="0.15">
      <c r="A8" s="16" t="str">
        <f t="shared" ca="1" si="0"/>
        <v>30016_1-1/61&lt;lv50&gt;s2</v>
      </c>
      <c r="B8" s="23">
        <v>30016</v>
      </c>
      <c r="C8" s="73">
        <v>1</v>
      </c>
      <c r="D8" s="2" t="str">
        <f t="shared" si="1"/>
        <v>30016_1</v>
      </c>
      <c r="E8" s="4" t="str">
        <f ca="1">VLOOKUP($B8,OFFSET([2]quests!$A$1,0,0,COUNTA([2]quests!$A:$A),MATCH(E$1,[2]quests!$1:$1,0)-MATCH($B$1,[2]quests!$1:$1,0)+1),MATCH(E$1,[2]quests!$1:$1,0)-MATCH($B$1,[2]quests!$1:$1,0)+1,FALSE)</f>
        <v>私がワニの天敵よ？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【超級】私がワニの天敵よ？</v>
      </c>
      <c r="G8" s="73">
        <v>1</v>
      </c>
      <c r="H8" s="15" t="str">
        <f t="shared" si="2"/>
        <v>30016_1-1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9" t="s">
        <v>53</v>
      </c>
      <c r="L8" s="21">
        <v>61</v>
      </c>
      <c r="M8" s="17" t="str">
        <f ca="1">VLOOKUP(L8,[3]enemies!$A:$B,2,FALSE)</f>
        <v>クロウ</v>
      </c>
      <c r="N8" s="19" t="str">
        <f ca="1">VLOOKUP(L8,[3]enemies!$A:$D,4,FALSE)</f>
        <v>blue</v>
      </c>
      <c r="O8" s="19" t="str">
        <f>VLOOKUP(L8,[4]characters!$A:$J,10,FALSE)</f>
        <v>Drop1N</v>
      </c>
      <c r="P8" s="18" t="str">
        <f>VLOOKUP(L8,[4]characters!$A:$M,13,FALSE)</f>
        <v>animal</v>
      </c>
      <c r="Q8" s="4">
        <f ca="1">VLOOKUP(L8,[3]enemies!$A:$X,24,FALSE)</f>
        <v>15</v>
      </c>
      <c r="R8" s="5">
        <v>50</v>
      </c>
      <c r="S8" s="26">
        <v>0.9</v>
      </c>
      <c r="T8" s="26">
        <v>1</v>
      </c>
      <c r="U8" s="5">
        <v>0</v>
      </c>
      <c r="V8" s="4">
        <f ca="1">VLOOKUP(L8,[3]enemies!$A:$AB,28,FALSE)</f>
        <v>61</v>
      </c>
      <c r="W8" s="4" t="str">
        <f ca="1">IFERROR(VLOOKUP(V8,[5]enemy_skill_sets!$B:$E,4,FALSE),VLOOKUP(V8,enemy_skill_sets!B:E,4,FALSE))</f>
        <v>回復</v>
      </c>
      <c r="X8" s="6">
        <v>0</v>
      </c>
      <c r="Y8" s="6">
        <v>100</v>
      </c>
      <c r="Z8" s="6">
        <v>0</v>
      </c>
      <c r="AA8" s="4">
        <f ca="1">VLOOKUP(L8,[3]enemies!$A:$V,22,FALSE)</f>
        <v>2</v>
      </c>
      <c r="AB8" s="25">
        <f t="shared" si="3"/>
        <v>61</v>
      </c>
      <c r="AC8" s="4" t="str">
        <f ca="1">VLOOKUP(AB8,[3]enemies!$A:$B,2,FALSE)</f>
        <v>クロウ</v>
      </c>
      <c r="AD8" s="4">
        <f ca="1">VLOOKUP(AB8,[3]enemies!$A:$E,3,FALSE)</f>
        <v>2</v>
      </c>
      <c r="AE8" s="4" t="str">
        <f>VLOOKUP(AB8,[4]characters!$A:$J,10,FALSE)</f>
        <v>Drop1N</v>
      </c>
      <c r="AF8" s="7">
        <v>1</v>
      </c>
      <c r="AG8" s="25">
        <f t="shared" ca="1" si="4"/>
        <v>2</v>
      </c>
      <c r="AH8" s="8">
        <v>30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  <row r="9" spans="1:39" ht="21" customHeight="1" x14ac:dyDescent="0.15">
      <c r="A9" s="16" t="str">
        <f t="shared" ca="1" si="0"/>
        <v>30016_1-2/174&lt;lv50&gt;s2</v>
      </c>
      <c r="B9" s="23">
        <v>30016</v>
      </c>
      <c r="C9" s="73">
        <v>1</v>
      </c>
      <c r="D9" s="2" t="str">
        <f t="shared" si="1"/>
        <v>30016_1</v>
      </c>
      <c r="E9" s="4" t="str">
        <f ca="1">VLOOKUP($B9,OFFSET([2]quests!$A$1,0,0,COUNTA([2]quests!$A:$A),MATCH(E$1,[2]quests!$1:$1,0)-MATCH($B$1,[2]quests!$1:$1,0)+1),MATCH(E$1,[2]quests!$1:$1,0)-MATCH($B$1,[2]quests!$1:$1,0)+1,FALSE)</f>
        <v>私がワニの天敵よ？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【超級】私がワニの天敵よ？</v>
      </c>
      <c r="G9" s="74">
        <v>2</v>
      </c>
      <c r="H9" s="15" t="str">
        <f t="shared" si="2"/>
        <v>30016_1-2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9" t="s">
        <v>53</v>
      </c>
      <c r="L9" s="21">
        <v>174</v>
      </c>
      <c r="M9" s="17" t="str">
        <f ca="1">VLOOKUP(L9,[3]enemies!$A:$B,2,FALSE)</f>
        <v>偽愛の大公爵 フォルネウス</v>
      </c>
      <c r="N9" s="19" t="str">
        <f ca="1">VLOOKUP(L9,[3]enemies!$A:$D,4,FALSE)</f>
        <v>blue</v>
      </c>
      <c r="O9" s="19" t="str">
        <f>VLOOKUP(L9,[4]characters!$A:$J,10,FALSE)</f>
        <v>PremiumN</v>
      </c>
      <c r="P9" s="18" t="str">
        <f>VLOOKUP(L9,[4]characters!$A:$M,13,FALSE)</f>
        <v>god</v>
      </c>
      <c r="Q9" s="4">
        <f ca="1">VLOOKUP(L9,[3]enemies!$A:$X,24,FALSE)</f>
        <v>60</v>
      </c>
      <c r="R9" s="5">
        <v>50</v>
      </c>
      <c r="S9" s="26">
        <v>1.8</v>
      </c>
      <c r="T9" s="26">
        <v>0.9</v>
      </c>
      <c r="U9" s="5">
        <v>0</v>
      </c>
      <c r="V9" s="49">
        <v>30016004</v>
      </c>
      <c r="W9" s="4" t="str">
        <f>IFERROR(VLOOKUP(V9,[5]enemy_skill_sets!$B:$E,4,FALSE),VLOOKUP(V9,enemy_skill_sets!B:E,4,FALSE))</f>
        <v>脅威の顎</v>
      </c>
      <c r="X9" s="6">
        <v>1</v>
      </c>
      <c r="Y9" s="6">
        <v>100</v>
      </c>
      <c r="Z9" s="6">
        <v>1</v>
      </c>
      <c r="AA9" s="4">
        <f ca="1">VLOOKUP(L9,[3]enemies!$A:$V,22,FALSE)</f>
        <v>2</v>
      </c>
      <c r="AB9" s="25">
        <f t="shared" si="3"/>
        <v>174</v>
      </c>
      <c r="AC9" s="4" t="str">
        <f ca="1">VLOOKUP(AB9,[3]enemies!$A:$B,2,FALSE)</f>
        <v>偽愛の大公爵 フォルネウス</v>
      </c>
      <c r="AD9" s="4">
        <f ca="1">VLOOKUP(AB9,[3]enemies!$A:$E,3,FALSE)</f>
        <v>5</v>
      </c>
      <c r="AE9" s="4" t="str">
        <f>VLOOKUP(AB9,[4]characters!$A:$J,10,FALSE)</f>
        <v>PremiumN</v>
      </c>
      <c r="AF9" s="7">
        <v>1</v>
      </c>
      <c r="AG9" s="25">
        <f t="shared" ca="1" si="4"/>
        <v>5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</row>
    <row r="10" spans="1:39" ht="21" customHeight="1" x14ac:dyDescent="0.15">
      <c r="A10" s="16" t="str">
        <f t="shared" ref="A10:A15" ca="1" si="20">B10&amp;"_"&amp;C10&amp;"-"&amp;G10&amp;"/"&amp;L10&amp;"&lt;lv"&amp;R10&amp;"&gt;s"&amp;AA10</f>
        <v>30016_1-3/2&lt;lv50&gt;s1</v>
      </c>
      <c r="B10" s="23">
        <v>30016</v>
      </c>
      <c r="C10" s="73">
        <v>1</v>
      </c>
      <c r="D10" s="2" t="str">
        <f t="shared" ref="D10:D15" si="21">B10&amp;"_"&amp;C10</f>
        <v>30016_1</v>
      </c>
      <c r="E10" s="4" t="str">
        <f ca="1">VLOOKUP($B10,OFFSET([2]quests!$A$1,0,0,COUNTA([2]quests!$A:$A),MATCH(E$1,[2]quests!$1:$1,0)-MATCH($B$1,[2]quests!$1:$1,0)+1),MATCH(E$1,[2]quests!$1:$1,0)-MATCH($B$1,[2]quests!$1:$1,0)+1,FALSE)</f>
        <v>私がワニの天敵よ？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【超級】私がワニの天敵よ？</v>
      </c>
      <c r="G10" s="75">
        <v>3</v>
      </c>
      <c r="H10" s="15" t="str">
        <f t="shared" ref="H10:H15" si="22">B10&amp;"_"&amp;C10&amp;"-"&amp;G10</f>
        <v>30016_1-3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9" t="s">
        <v>53</v>
      </c>
      <c r="L10" s="21">
        <v>2</v>
      </c>
      <c r="M10" s="17" t="str">
        <f ca="1">VLOOKUP(L10,[3]enemies!$A:$B,2,FALSE)</f>
        <v>イレギュラー・ジェリー</v>
      </c>
      <c r="N10" s="19" t="str">
        <f ca="1">VLOOKUP(L10,[3]enemies!$A:$D,4,FALSE)</f>
        <v>red</v>
      </c>
      <c r="O10" s="19" t="str">
        <f>VLOOKUP(L10,[4]characters!$A:$J,10,FALSE)</f>
        <v>Drop1T</v>
      </c>
      <c r="P10" s="18" t="str">
        <f>VLOOKUP(L10,[4]characters!$A:$M,13,FALSE)</f>
        <v>unknown</v>
      </c>
      <c r="Q10" s="4">
        <f ca="1">VLOOKUP(L10,[3]enemies!$A:$X,24,FALSE)</f>
        <v>15</v>
      </c>
      <c r="R10" s="5">
        <v>50</v>
      </c>
      <c r="S10" s="26">
        <v>1</v>
      </c>
      <c r="T10" s="26">
        <v>0.5</v>
      </c>
      <c r="U10" s="5">
        <v>0</v>
      </c>
      <c r="V10" s="4">
        <f ca="1">VLOOKUP(L10,[3]enemies!$A:$AB,28,FALSE)</f>
        <v>0</v>
      </c>
      <c r="W10" s="4" t="str">
        <f ca="1">IFERROR(VLOOKUP(V10,[5]enemy_skill_sets!$B:$E,4,FALSE),VLOOKUP(V10,enemy_skill_sets!B:E,4,FALSE))</f>
        <v>なし</v>
      </c>
      <c r="X10" s="6">
        <v>0</v>
      </c>
      <c r="Y10" s="6">
        <v>100</v>
      </c>
      <c r="Z10" s="6">
        <v>0</v>
      </c>
      <c r="AA10" s="4">
        <f ca="1">VLOOKUP(L10,[3]enemies!$A:$V,22,FALSE)</f>
        <v>1</v>
      </c>
      <c r="AB10" s="25">
        <f t="shared" ref="AB10:AB15" si="23">L10</f>
        <v>2</v>
      </c>
      <c r="AC10" s="4" t="str">
        <f ca="1">VLOOKUP(AB10,[3]enemies!$A:$B,2,FALSE)</f>
        <v>イレギュラー・ジェリー</v>
      </c>
      <c r="AD10" s="4">
        <f ca="1">VLOOKUP(AB10,[3]enemies!$A:$E,3,FALSE)</f>
        <v>2</v>
      </c>
      <c r="AE10" s="4" t="str">
        <f>VLOOKUP(AB10,[4]characters!$A:$J,10,FALSE)</f>
        <v>Drop1T</v>
      </c>
      <c r="AF10" s="7">
        <v>1</v>
      </c>
      <c r="AG10" s="25">
        <f t="shared" ref="AG10:AG15" ca="1" si="24">AD10</f>
        <v>2</v>
      </c>
      <c r="AH10" s="8">
        <v>30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</row>
    <row r="11" spans="1:39" ht="21" customHeight="1" x14ac:dyDescent="0.15">
      <c r="A11" s="16" t="str">
        <f t="shared" ref="A11:A13" ca="1" si="25">B11&amp;"_"&amp;C11&amp;"-"&amp;G11&amp;"/"&amp;L11&amp;"&lt;lv"&amp;R11&amp;"&gt;s"&amp;AA11</f>
        <v>30016_1-3/6&lt;lv50&gt;s3</v>
      </c>
      <c r="B11" s="23">
        <v>30016</v>
      </c>
      <c r="C11" s="73">
        <v>1</v>
      </c>
      <c r="D11" s="2" t="str">
        <f t="shared" ref="D11:D13" si="26">B11&amp;"_"&amp;C11</f>
        <v>30016_1</v>
      </c>
      <c r="E11" s="4" t="str">
        <f ca="1">VLOOKUP($B11,OFFSET([2]quests!$A$1,0,0,COUNTA([2]quests!$A:$A),MATCH(E$1,[2]quests!$1:$1,0)-MATCH($B$1,[2]quests!$1:$1,0)+1),MATCH(E$1,[2]quests!$1:$1,0)-MATCH($B$1,[2]quests!$1:$1,0)+1,FALSE)</f>
        <v>私がワニの天敵よ？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【超級】私がワニの天敵よ？</v>
      </c>
      <c r="G11" s="75">
        <v>3</v>
      </c>
      <c r="H11" s="15" t="str">
        <f t="shared" ref="H11:H13" si="27">B11&amp;"_"&amp;C11&amp;"-"&amp;G11</f>
        <v>30016_1-3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9" t="s">
        <v>53</v>
      </c>
      <c r="L11" s="21">
        <v>6</v>
      </c>
      <c r="M11" s="17" t="str">
        <f ca="1">VLOOKUP(L11,[3]enemies!$A:$B,2,FALSE)</f>
        <v>パトドッグリーダー ポチ</v>
      </c>
      <c r="N11" s="19" t="str">
        <f ca="1">VLOOKUP(L11,[3]enemies!$A:$D,4,FALSE)</f>
        <v>blue</v>
      </c>
      <c r="O11" s="19" t="str">
        <f>VLOOKUP(L11,[4]characters!$A:$J,10,FALSE)</f>
        <v>Drop1T</v>
      </c>
      <c r="P11" s="18" t="str">
        <f>VLOOKUP(L11,[4]characters!$A:$M,13,FALSE)</f>
        <v>unknown</v>
      </c>
      <c r="Q11" s="4">
        <f ca="1">VLOOKUP(L11,[3]enemies!$A:$X,24,FALSE)</f>
        <v>15</v>
      </c>
      <c r="R11" s="5">
        <v>50</v>
      </c>
      <c r="S11" s="26">
        <v>1</v>
      </c>
      <c r="T11" s="26">
        <v>1</v>
      </c>
      <c r="U11" s="5">
        <v>0</v>
      </c>
      <c r="V11" s="4">
        <f ca="1">VLOOKUP(L11,[3]enemies!$A:$AB,28,FALSE)</f>
        <v>0</v>
      </c>
      <c r="W11" s="4" t="str">
        <f ca="1">IFERROR(VLOOKUP(V11,[5]enemy_skill_sets!$B:$E,4,FALSE),VLOOKUP(V11,enemy_skill_sets!B:E,4,FALSE))</f>
        <v>なし</v>
      </c>
      <c r="X11" s="6">
        <v>0</v>
      </c>
      <c r="Y11" s="6">
        <v>100</v>
      </c>
      <c r="Z11" s="6">
        <v>0</v>
      </c>
      <c r="AA11" s="4">
        <f ca="1">VLOOKUP(L11,[3]enemies!$A:$V,22,FALSE)</f>
        <v>3</v>
      </c>
      <c r="AB11" s="25">
        <f t="shared" ref="AB11:AB13" si="28">L11</f>
        <v>6</v>
      </c>
      <c r="AC11" s="4" t="str">
        <f ca="1">VLOOKUP(AB11,[3]enemies!$A:$B,2,FALSE)</f>
        <v>パトドッグリーダー ポチ</v>
      </c>
      <c r="AD11" s="4">
        <f ca="1">VLOOKUP(AB11,[3]enemies!$A:$E,3,FALSE)</f>
        <v>2</v>
      </c>
      <c r="AE11" s="4" t="str">
        <f>VLOOKUP(AB11,[4]characters!$A:$J,10,FALSE)</f>
        <v>Drop1T</v>
      </c>
      <c r="AF11" s="7">
        <v>1</v>
      </c>
      <c r="AG11" s="25">
        <f t="shared" ref="AG11:AG13" ca="1" si="29">AD11</f>
        <v>2</v>
      </c>
      <c r="AH11" s="8">
        <v>30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</row>
    <row r="12" spans="1:39" ht="21" customHeight="1" x14ac:dyDescent="0.15">
      <c r="A12" s="16" t="str">
        <f t="shared" ca="1" si="25"/>
        <v>30016_1-3/10&lt;lv50&gt;s2</v>
      </c>
      <c r="B12" s="23">
        <v>30016</v>
      </c>
      <c r="C12" s="73">
        <v>1</v>
      </c>
      <c r="D12" s="2" t="str">
        <f t="shared" si="26"/>
        <v>30016_1</v>
      </c>
      <c r="E12" s="4" t="str">
        <f ca="1">VLOOKUP($B12,OFFSET([2]quests!$A$1,0,0,COUNTA([2]quests!$A:$A),MATCH(E$1,[2]quests!$1:$1,0)-MATCH($B$1,[2]quests!$1:$1,0)+1),MATCH(E$1,[2]quests!$1:$1,0)-MATCH($B$1,[2]quests!$1:$1,0)+1,FALSE)</f>
        <v>私がワニの天敵よ？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【超級】私がワニの天敵よ？</v>
      </c>
      <c r="G12" s="75">
        <v>3</v>
      </c>
      <c r="H12" s="15" t="str">
        <f t="shared" si="27"/>
        <v>30016_1-3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9" t="s">
        <v>53</v>
      </c>
      <c r="L12" s="21">
        <v>10</v>
      </c>
      <c r="M12" s="17" t="str">
        <f ca="1">VLOOKUP(L12,[3]enemies!$A:$B,2,FALSE)</f>
        <v>燃える悪戯魂 ブレット</v>
      </c>
      <c r="N12" s="19" t="str">
        <f ca="1">VLOOKUP(L12,[3]enemies!$A:$D,4,FALSE)</f>
        <v>red</v>
      </c>
      <c r="O12" s="19" t="str">
        <f>VLOOKUP(L12,[4]characters!$A:$J,10,FALSE)</f>
        <v>Drop1W</v>
      </c>
      <c r="P12" s="18" t="str">
        <f>VLOOKUP(L12,[4]characters!$A:$M,13,FALSE)</f>
        <v>animal</v>
      </c>
      <c r="Q12" s="4">
        <f ca="1">VLOOKUP(L12,[3]enemies!$A:$X,24,FALSE)</f>
        <v>15</v>
      </c>
      <c r="R12" s="5">
        <v>50</v>
      </c>
      <c r="S12" s="26">
        <v>1</v>
      </c>
      <c r="T12" s="26">
        <v>0.5</v>
      </c>
      <c r="U12" s="5">
        <v>0</v>
      </c>
      <c r="V12" s="4">
        <f ca="1">VLOOKUP(L12,[3]enemies!$A:$AB,28,FALSE)</f>
        <v>0</v>
      </c>
      <c r="W12" s="4" t="str">
        <f ca="1">IFERROR(VLOOKUP(V12,[5]enemy_skill_sets!$B:$E,4,FALSE),VLOOKUP(V12,enemy_skill_sets!B:E,4,FALSE))</f>
        <v>なし</v>
      </c>
      <c r="X12" s="6">
        <v>0</v>
      </c>
      <c r="Y12" s="6">
        <v>100</v>
      </c>
      <c r="Z12" s="6">
        <v>0</v>
      </c>
      <c r="AA12" s="4">
        <f ca="1">VLOOKUP(L12,[3]enemies!$A:$V,22,FALSE)</f>
        <v>2</v>
      </c>
      <c r="AB12" s="25">
        <f t="shared" si="28"/>
        <v>10</v>
      </c>
      <c r="AC12" s="4" t="str">
        <f ca="1">VLOOKUP(AB12,[3]enemies!$A:$B,2,FALSE)</f>
        <v>燃える悪戯魂 ブレット</v>
      </c>
      <c r="AD12" s="4">
        <f ca="1">VLOOKUP(AB12,[3]enemies!$A:$E,3,FALSE)</f>
        <v>2</v>
      </c>
      <c r="AE12" s="4" t="str">
        <f>VLOOKUP(AB12,[4]characters!$A:$J,10,FALSE)</f>
        <v>Drop1W</v>
      </c>
      <c r="AF12" s="7">
        <v>1</v>
      </c>
      <c r="AG12" s="25">
        <f t="shared" ca="1" si="29"/>
        <v>2</v>
      </c>
      <c r="AH12" s="8">
        <v>30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</row>
    <row r="13" spans="1:39" ht="21" customHeight="1" x14ac:dyDescent="0.15">
      <c r="A13" s="16" t="str">
        <f t="shared" ca="1" si="25"/>
        <v>30016_1-3/12&lt;lv50&gt;s3</v>
      </c>
      <c r="B13" s="23">
        <v>30016</v>
      </c>
      <c r="C13" s="73">
        <v>1</v>
      </c>
      <c r="D13" s="2" t="str">
        <f t="shared" si="26"/>
        <v>30016_1</v>
      </c>
      <c r="E13" s="4" t="str">
        <f ca="1">VLOOKUP($B13,OFFSET([2]quests!$A$1,0,0,COUNTA([2]quests!$A:$A),MATCH(E$1,[2]quests!$1:$1,0)-MATCH($B$1,[2]quests!$1:$1,0)+1),MATCH(E$1,[2]quests!$1:$1,0)-MATCH($B$1,[2]quests!$1:$1,0)+1,FALSE)</f>
        <v>私がワニの天敵よ？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【超級】私がワニの天敵よ？</v>
      </c>
      <c r="G13" s="75">
        <v>3</v>
      </c>
      <c r="H13" s="15" t="str">
        <f t="shared" si="27"/>
        <v>30016_1-3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9" t="s">
        <v>53</v>
      </c>
      <c r="L13" s="21">
        <v>12</v>
      </c>
      <c r="M13" s="17" t="str">
        <f ca="1">VLOOKUP(L13,[3]enemies!$A:$B,2,FALSE)</f>
        <v>癒しのグラフィティ マグリット</v>
      </c>
      <c r="N13" s="19" t="str">
        <f ca="1">VLOOKUP(L13,[3]enemies!$A:$D,4,FALSE)</f>
        <v>green</v>
      </c>
      <c r="O13" s="19" t="str">
        <f>VLOOKUP(L13,[4]characters!$A:$J,10,FALSE)</f>
        <v>Drop1W</v>
      </c>
      <c r="P13" s="18" t="str">
        <f>VLOOKUP(L13,[4]characters!$A:$M,13,FALSE)</f>
        <v>animal</v>
      </c>
      <c r="Q13" s="4">
        <f ca="1">VLOOKUP(L13,[3]enemies!$A:$X,24,FALSE)</f>
        <v>15</v>
      </c>
      <c r="R13" s="5">
        <v>50</v>
      </c>
      <c r="S13" s="26">
        <v>1</v>
      </c>
      <c r="T13" s="26">
        <v>1</v>
      </c>
      <c r="U13" s="5">
        <v>0</v>
      </c>
      <c r="V13" s="4">
        <f ca="1">VLOOKUP(L13,[3]enemies!$A:$AB,28,FALSE)</f>
        <v>0</v>
      </c>
      <c r="W13" s="4" t="str">
        <f ca="1">IFERROR(VLOOKUP(V13,[5]enemy_skill_sets!$B:$E,4,FALSE),VLOOKUP(V13,enemy_skill_sets!B:E,4,FALSE))</f>
        <v>なし</v>
      </c>
      <c r="X13" s="6">
        <v>0</v>
      </c>
      <c r="Y13" s="6">
        <v>100</v>
      </c>
      <c r="Z13" s="6">
        <v>0</v>
      </c>
      <c r="AA13" s="4">
        <f ca="1">VLOOKUP(L13,[3]enemies!$A:$V,22,FALSE)</f>
        <v>3</v>
      </c>
      <c r="AB13" s="25">
        <f t="shared" si="28"/>
        <v>12</v>
      </c>
      <c r="AC13" s="4" t="str">
        <f ca="1">VLOOKUP(AB13,[3]enemies!$A:$B,2,FALSE)</f>
        <v>癒しのグラフィティ マグリット</v>
      </c>
      <c r="AD13" s="4">
        <f ca="1">VLOOKUP(AB13,[3]enemies!$A:$E,3,FALSE)</f>
        <v>2</v>
      </c>
      <c r="AE13" s="4" t="str">
        <f>VLOOKUP(AB13,[4]characters!$A:$J,10,FALSE)</f>
        <v>Drop1W</v>
      </c>
      <c r="AF13" s="7">
        <v>1</v>
      </c>
      <c r="AG13" s="25">
        <f t="shared" ca="1" si="29"/>
        <v>2</v>
      </c>
      <c r="AH13" s="8">
        <v>30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</row>
    <row r="14" spans="1:39" ht="21" customHeight="1" x14ac:dyDescent="0.15">
      <c r="A14" s="16" t="str">
        <f t="shared" ca="1" si="20"/>
        <v>30016_1-3/24&lt;lv50&gt;s4</v>
      </c>
      <c r="B14" s="23">
        <v>30016</v>
      </c>
      <c r="C14" s="73">
        <v>1</v>
      </c>
      <c r="D14" s="2" t="str">
        <f t="shared" si="21"/>
        <v>30016_1</v>
      </c>
      <c r="E14" s="4" t="str">
        <f ca="1">VLOOKUP($B14,OFFSET([2]quests!$A$1,0,0,COUNTA([2]quests!$A:$A),MATCH(E$1,[2]quests!$1:$1,0)-MATCH($B$1,[2]quests!$1:$1,0)+1),MATCH(E$1,[2]quests!$1:$1,0)-MATCH($B$1,[2]quests!$1:$1,0)+1,FALSE)</f>
        <v>私がワニの天敵よ？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【超級】私がワニの天敵よ？</v>
      </c>
      <c r="G14" s="75">
        <v>3</v>
      </c>
      <c r="H14" s="15" t="str">
        <f t="shared" si="22"/>
        <v>30016_1-3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9" t="s">
        <v>53</v>
      </c>
      <c r="L14" s="21">
        <v>24</v>
      </c>
      <c r="M14" s="17" t="str">
        <f ca="1">VLOOKUP(L14,[3]enemies!$A:$B,2,FALSE)</f>
        <v>天翔のミール</v>
      </c>
      <c r="N14" s="19" t="str">
        <f ca="1">VLOOKUP(L14,[3]enemies!$A:$D,4,FALSE)</f>
        <v>green</v>
      </c>
      <c r="O14" s="19" t="str">
        <f>VLOOKUP(L14,[4]characters!$A:$J,10,FALSE)</f>
        <v>Drop1N</v>
      </c>
      <c r="P14" s="18" t="str">
        <f>VLOOKUP(L14,[4]characters!$A:$M,13,FALSE)</f>
        <v>animal</v>
      </c>
      <c r="Q14" s="4">
        <f ca="1">VLOOKUP(L14,[3]enemies!$A:$X,24,FALSE)</f>
        <v>15</v>
      </c>
      <c r="R14" s="5">
        <v>50</v>
      </c>
      <c r="S14" s="26">
        <v>1</v>
      </c>
      <c r="T14" s="26">
        <v>1</v>
      </c>
      <c r="U14" s="5">
        <v>0</v>
      </c>
      <c r="V14" s="4">
        <f ca="1">VLOOKUP(L14,[3]enemies!$A:$AB,28,FALSE)</f>
        <v>0</v>
      </c>
      <c r="W14" s="4" t="str">
        <f ca="1">IFERROR(VLOOKUP(V14,[5]enemy_skill_sets!$B:$E,4,FALSE),VLOOKUP(V14,enemy_skill_sets!B:E,4,FALSE))</f>
        <v>なし</v>
      </c>
      <c r="X14" s="6">
        <v>0</v>
      </c>
      <c r="Y14" s="6">
        <v>100</v>
      </c>
      <c r="Z14" s="6">
        <v>0</v>
      </c>
      <c r="AA14" s="4">
        <f ca="1">VLOOKUP(L14,[3]enemies!$A:$V,22,FALSE)</f>
        <v>4</v>
      </c>
      <c r="AB14" s="25">
        <f t="shared" si="23"/>
        <v>24</v>
      </c>
      <c r="AC14" s="4" t="str">
        <f ca="1">VLOOKUP(AB14,[3]enemies!$A:$B,2,FALSE)</f>
        <v>天翔のミール</v>
      </c>
      <c r="AD14" s="4">
        <f ca="1">VLOOKUP(AB14,[3]enemies!$A:$E,3,FALSE)</f>
        <v>2</v>
      </c>
      <c r="AE14" s="4" t="str">
        <f>VLOOKUP(AB14,[4]characters!$A:$J,10,FALSE)</f>
        <v>Drop1N</v>
      </c>
      <c r="AF14" s="7">
        <v>1</v>
      </c>
      <c r="AG14" s="25">
        <f t="shared" ca="1" si="24"/>
        <v>2</v>
      </c>
      <c r="AH14" s="8">
        <v>30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</row>
    <row r="15" spans="1:39" ht="21" customHeight="1" x14ac:dyDescent="0.15">
      <c r="A15" s="16" t="str">
        <f t="shared" ca="1" si="20"/>
        <v>30016_1-3/44&lt;lv50&gt;s2</v>
      </c>
      <c r="B15" s="23">
        <v>30016</v>
      </c>
      <c r="C15" s="73">
        <v>1</v>
      </c>
      <c r="D15" s="2" t="str">
        <f t="shared" si="21"/>
        <v>30016_1</v>
      </c>
      <c r="E15" s="4" t="str">
        <f ca="1">VLOOKUP($B15,OFFSET([2]quests!$A$1,0,0,COUNTA([2]quests!$A:$A),MATCH(E$1,[2]quests!$1:$1,0)-MATCH($B$1,[2]quests!$1:$1,0)+1),MATCH(E$1,[2]quests!$1:$1,0)-MATCH($B$1,[2]quests!$1:$1,0)+1,FALSE)</f>
        <v>私がワニの天敵よ？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【超級】私がワニの天敵よ？</v>
      </c>
      <c r="G15" s="75">
        <v>3</v>
      </c>
      <c r="H15" s="15" t="str">
        <f t="shared" si="22"/>
        <v>30016_1-3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9" t="s">
        <v>53</v>
      </c>
      <c r="L15" s="21">
        <v>44</v>
      </c>
      <c r="M15" s="17" t="str">
        <f ca="1">VLOOKUP(L15,[3]enemies!$A:$B,2,FALSE)</f>
        <v>遠い星からやってきたムゥ</v>
      </c>
      <c r="N15" s="19" t="str">
        <f ca="1">VLOOKUP(L15,[3]enemies!$A:$D,4,FALSE)</f>
        <v>green</v>
      </c>
      <c r="O15" s="19" t="str">
        <f>VLOOKUP(L15,[4]characters!$A:$J,10,FALSE)</f>
        <v>Drop1N</v>
      </c>
      <c r="P15" s="18" t="str">
        <f>VLOOKUP(L15,[4]characters!$A:$M,13,FALSE)</f>
        <v>dragon</v>
      </c>
      <c r="Q15" s="4">
        <f ca="1">VLOOKUP(L15,[3]enemies!$A:$X,24,FALSE)</f>
        <v>20</v>
      </c>
      <c r="R15" s="5">
        <v>50</v>
      </c>
      <c r="S15" s="26">
        <v>0.5</v>
      </c>
      <c r="T15" s="26">
        <v>0.9</v>
      </c>
      <c r="U15" s="5">
        <v>0</v>
      </c>
      <c r="V15" s="4">
        <f ca="1">VLOOKUP(L15,[3]enemies!$A:$AB,28,FALSE)</f>
        <v>0</v>
      </c>
      <c r="W15" s="4" t="str">
        <f ca="1">IFERROR(VLOOKUP(V15,[5]enemy_skill_sets!$B:$E,4,FALSE),VLOOKUP(V15,enemy_skill_sets!B:E,4,FALSE))</f>
        <v>なし</v>
      </c>
      <c r="X15" s="6">
        <v>0</v>
      </c>
      <c r="Y15" s="6">
        <v>100</v>
      </c>
      <c r="Z15" s="6">
        <v>0</v>
      </c>
      <c r="AA15" s="4">
        <f ca="1">VLOOKUP(L15,[3]enemies!$A:$V,22,FALSE)</f>
        <v>2</v>
      </c>
      <c r="AB15" s="25">
        <f t="shared" si="23"/>
        <v>44</v>
      </c>
      <c r="AC15" s="4" t="str">
        <f ca="1">VLOOKUP(AB15,[3]enemies!$A:$B,2,FALSE)</f>
        <v>遠い星からやってきたムゥ</v>
      </c>
      <c r="AD15" s="4">
        <f ca="1">VLOOKUP(AB15,[3]enemies!$A:$E,3,FALSE)</f>
        <v>3</v>
      </c>
      <c r="AE15" s="4" t="str">
        <f>VLOOKUP(AB15,[4]characters!$A:$J,10,FALSE)</f>
        <v>Drop1N</v>
      </c>
      <c r="AF15" s="7">
        <v>1</v>
      </c>
      <c r="AG15" s="25">
        <f t="shared" ca="1" si="24"/>
        <v>3</v>
      </c>
      <c r="AH15" s="8">
        <v>30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</row>
    <row r="16" spans="1:39" ht="21" customHeight="1" x14ac:dyDescent="0.15">
      <c r="A16" s="16" t="str">
        <f t="shared" ref="A16" ca="1" si="30">B16&amp;"_"&amp;C16&amp;"-"&amp;G16&amp;"/"&amp;L16&amp;"&lt;lv"&amp;R16&amp;"&gt;s"&amp;AA16</f>
        <v>30016_1-3/62&lt;lv50&gt;s2</v>
      </c>
      <c r="B16" s="23">
        <v>30016</v>
      </c>
      <c r="C16" s="73">
        <v>1</v>
      </c>
      <c r="D16" s="2" t="str">
        <f t="shared" ref="D16" si="31">B16&amp;"_"&amp;C16</f>
        <v>30016_1</v>
      </c>
      <c r="E16" s="4" t="str">
        <f ca="1">VLOOKUP($B16,OFFSET([2]quests!$A$1,0,0,COUNTA([2]quests!$A:$A),MATCH(E$1,[2]quests!$1:$1,0)-MATCH($B$1,[2]quests!$1:$1,0)+1),MATCH(E$1,[2]quests!$1:$1,0)-MATCH($B$1,[2]quests!$1:$1,0)+1,FALSE)</f>
        <v>私がワニの天敵よ？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【超級】私がワニの天敵よ？</v>
      </c>
      <c r="G16" s="75">
        <v>3</v>
      </c>
      <c r="H16" s="15" t="str">
        <f t="shared" ref="H16" si="32">B16&amp;"_"&amp;C16&amp;"-"&amp;G16</f>
        <v>30016_1-3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9" t="s">
        <v>53</v>
      </c>
      <c r="L16" s="21">
        <v>62</v>
      </c>
      <c r="M16" s="17" t="str">
        <f ca="1">VLOOKUP(L16,[3]enemies!$A:$B,2,FALSE)</f>
        <v>脈動旋律のクロウ</v>
      </c>
      <c r="N16" s="19" t="str">
        <f ca="1">VLOOKUP(L16,[3]enemies!$A:$D,4,FALSE)</f>
        <v>blue</v>
      </c>
      <c r="O16" s="19" t="str">
        <f>VLOOKUP(L16,[4]characters!$A:$J,10,FALSE)</f>
        <v>Drop1N</v>
      </c>
      <c r="P16" s="18" t="str">
        <f>VLOOKUP(L16,[4]characters!$A:$M,13,FALSE)</f>
        <v>animal</v>
      </c>
      <c r="Q16" s="4">
        <f ca="1">VLOOKUP(L16,[3]enemies!$A:$X,24,FALSE)</f>
        <v>20</v>
      </c>
      <c r="R16" s="5">
        <v>50</v>
      </c>
      <c r="S16" s="26">
        <v>0.5</v>
      </c>
      <c r="T16" s="26">
        <v>1</v>
      </c>
      <c r="U16" s="5">
        <v>0</v>
      </c>
      <c r="V16" s="4">
        <f ca="1">VLOOKUP(L16,[3]enemies!$A:$AB,28,FALSE)</f>
        <v>0</v>
      </c>
      <c r="W16" s="4" t="str">
        <f ca="1">IFERROR(VLOOKUP(V16,[5]enemy_skill_sets!$B:$E,4,FALSE),VLOOKUP(V16,enemy_skill_sets!B:E,4,FALSE))</f>
        <v>なし</v>
      </c>
      <c r="X16" s="6">
        <v>0</v>
      </c>
      <c r="Y16" s="6">
        <v>100</v>
      </c>
      <c r="Z16" s="6">
        <v>0</v>
      </c>
      <c r="AA16" s="4">
        <f ca="1">VLOOKUP(L16,[3]enemies!$A:$V,22,FALSE)</f>
        <v>2</v>
      </c>
      <c r="AB16" s="25">
        <f t="shared" ref="AB16:AB34" si="33">L16</f>
        <v>62</v>
      </c>
      <c r="AC16" s="4" t="str">
        <f ca="1">VLOOKUP(AB16,[3]enemies!$A:$B,2,FALSE)</f>
        <v>脈動旋律のクロウ</v>
      </c>
      <c r="AD16" s="4">
        <f ca="1">VLOOKUP(AB16,[3]enemies!$A:$E,3,FALSE)</f>
        <v>3</v>
      </c>
      <c r="AE16" s="4" t="str">
        <f>VLOOKUP(AB16,[4]characters!$A:$J,10,FALSE)</f>
        <v>Drop1N</v>
      </c>
      <c r="AF16" s="7">
        <v>1</v>
      </c>
      <c r="AG16" s="25">
        <f t="shared" ref="AG16" ca="1" si="34">AD16</f>
        <v>3</v>
      </c>
      <c r="AH16" s="8">
        <v>30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</row>
    <row r="17" spans="1:39" ht="21" customHeight="1" x14ac:dyDescent="0.15">
      <c r="A17" s="16" t="str">
        <f t="shared" ref="A17:A18" ca="1" si="35">B17&amp;"_"&amp;C17&amp;"-"&amp;G17&amp;"/"&amp;L17&amp;"&lt;lv"&amp;R17&amp;"&gt;s"&amp;AA17</f>
        <v>30016_1-3/19&lt;lv50&gt;s3</v>
      </c>
      <c r="B17" s="23">
        <v>30016</v>
      </c>
      <c r="C17" s="73">
        <v>1</v>
      </c>
      <c r="D17" s="2" t="str">
        <f t="shared" ref="D17:D18" si="36">B17&amp;"_"&amp;C17</f>
        <v>30016_1</v>
      </c>
      <c r="E17" s="4" t="str">
        <f ca="1">VLOOKUP($B17,OFFSET([2]quests!$A$1,0,0,COUNTA([2]quests!$A:$A),MATCH(E$1,[2]quests!$1:$1,0)-MATCH($B$1,[2]quests!$1:$1,0)+1),MATCH(E$1,[2]quests!$1:$1,0)-MATCH($B$1,[2]quests!$1:$1,0)+1,FALSE)</f>
        <v>私がワニの天敵よ？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【超級】私がワニの天敵よ？</v>
      </c>
      <c r="G17" s="75">
        <v>3</v>
      </c>
      <c r="H17" s="15" t="str">
        <f t="shared" ref="H17:H18" si="37">B17&amp;"_"&amp;C17&amp;"-"&amp;G17</f>
        <v>30016_1-3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9" t="s">
        <v>53</v>
      </c>
      <c r="L17" s="21">
        <v>19</v>
      </c>
      <c r="M17" s="17" t="str">
        <f ca="1">VLOOKUP(L17,[3]enemies!$A:$B,2,FALSE)</f>
        <v>ティンク</v>
      </c>
      <c r="N17" s="19" t="str">
        <f ca="1">VLOOKUP(L17,[3]enemies!$A:$D,4,FALSE)</f>
        <v>yellow</v>
      </c>
      <c r="O17" s="19" t="str">
        <f>VLOOKUP(L17,[4]characters!$A:$J,10,FALSE)</f>
        <v>Drop1W</v>
      </c>
      <c r="P17" s="18" t="str">
        <f>VLOOKUP(L17,[4]characters!$A:$M,13,FALSE)</f>
        <v>human</v>
      </c>
      <c r="Q17" s="4">
        <f ca="1">VLOOKUP(L17,[3]enemies!$A:$X,24,FALSE)</f>
        <v>15</v>
      </c>
      <c r="R17" s="5">
        <v>50</v>
      </c>
      <c r="S17" s="26">
        <v>1</v>
      </c>
      <c r="T17" s="26">
        <v>1</v>
      </c>
      <c r="U17" s="5">
        <v>0</v>
      </c>
      <c r="V17" s="49">
        <v>30016005</v>
      </c>
      <c r="W17" s="4" t="str">
        <f>IFERROR(VLOOKUP(V17,[5]enemy_skill_sets!$B:$E,4,FALSE),VLOOKUP(V17,enemy_skill_sets!B:E,4,FALSE))</f>
        <v>フック船長に言いつけてやる！</v>
      </c>
      <c r="X17" s="6">
        <v>1</v>
      </c>
      <c r="Y17" s="6">
        <v>100</v>
      </c>
      <c r="Z17" s="6">
        <v>1</v>
      </c>
      <c r="AA17" s="4">
        <f ca="1">VLOOKUP(L17,[3]enemies!$A:$V,22,FALSE)</f>
        <v>3</v>
      </c>
      <c r="AB17" s="25">
        <f t="shared" ref="AB17:AB18" si="38">L17</f>
        <v>19</v>
      </c>
      <c r="AC17" s="4" t="str">
        <f ca="1">VLOOKUP(AB17,[3]enemies!$A:$B,2,FALSE)</f>
        <v>ティンク</v>
      </c>
      <c r="AD17" s="4">
        <f ca="1">VLOOKUP(AB17,[3]enemies!$A:$E,3,FALSE)</f>
        <v>1</v>
      </c>
      <c r="AE17" s="4" t="str">
        <f>VLOOKUP(AB17,[4]characters!$A:$J,10,FALSE)</f>
        <v>Drop1W</v>
      </c>
      <c r="AF17" s="7">
        <v>1</v>
      </c>
      <c r="AG17" s="25">
        <f t="shared" ref="AG17:AG18" ca="1" si="39">AD17</f>
        <v>1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</row>
    <row r="18" spans="1:39" ht="21" customHeight="1" x14ac:dyDescent="0.15">
      <c r="A18" s="16" t="str">
        <f t="shared" si="35"/>
        <v>30016_1-4/424&lt;lv60&gt;s2</v>
      </c>
      <c r="B18" s="23">
        <v>30016</v>
      </c>
      <c r="C18" s="73">
        <v>1</v>
      </c>
      <c r="D18" s="2" t="str">
        <f t="shared" si="36"/>
        <v>30016_1</v>
      </c>
      <c r="E18" s="4" t="str">
        <f ca="1">VLOOKUP($B18,OFFSET([2]quests!$A$1,0,0,COUNTA([2]quests!$A:$A),MATCH(E$1,[2]quests!$1:$1,0)-MATCH($B$1,[2]quests!$1:$1,0)+1),MATCH(E$1,[2]quests!$1:$1,0)-MATCH($B$1,[2]quests!$1:$1,0)+1,FALSE)</f>
        <v>私がワニの天敵よ？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【超級】私がワニの天敵よ？</v>
      </c>
      <c r="G18" s="76">
        <v>4</v>
      </c>
      <c r="H18" s="15" t="str">
        <f t="shared" si="37"/>
        <v>30016_1-4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9">
        <v>2</v>
      </c>
      <c r="L18" s="21">
        <v>424</v>
      </c>
      <c r="M18" s="17" t="str">
        <f ca="1">VLOOKUP(L18,[3]enemies!$A:$B,2,FALSE)</f>
        <v>フック</v>
      </c>
      <c r="N18" s="19" t="str">
        <f ca="1">VLOOKUP(L18,[3]enemies!$A:$D,4,FALSE)</f>
        <v>yellow</v>
      </c>
      <c r="O18" s="19" t="str">
        <f>VLOOKUP(L18,[4]characters!$A:$J,10,FALSE)</f>
        <v>Drop2N</v>
      </c>
      <c r="P18" s="18" t="str">
        <f>VLOOKUP(L18,[4]characters!$A:$M,13,FALSE)</f>
        <v>human</v>
      </c>
      <c r="Q18" s="4">
        <f ca="1">VLOOKUP(L18,[3]enemies!$A:$X,24,FALSE)</f>
        <v>30</v>
      </c>
      <c r="R18" s="5">
        <v>60</v>
      </c>
      <c r="S18" s="26">
        <v>2</v>
      </c>
      <c r="T18" s="26">
        <v>0.8</v>
      </c>
      <c r="U18" s="5">
        <v>0</v>
      </c>
      <c r="V18" s="49">
        <v>30016001</v>
      </c>
      <c r="W18" s="4" t="str">
        <f>IFERROR(VLOOKUP(V18,[5]enemy_skill_sets!$B:$E,4,FALSE),VLOOKUP(V18,enemy_skill_sets!B:E,4,FALSE))</f>
        <v>ドラゴンさんにはよくききますっ！</v>
      </c>
      <c r="X18" s="6">
        <v>1</v>
      </c>
      <c r="Y18" s="6">
        <v>100</v>
      </c>
      <c r="Z18" s="6">
        <v>1</v>
      </c>
      <c r="AA18" s="4">
        <v>2</v>
      </c>
      <c r="AB18" s="25">
        <f t="shared" si="38"/>
        <v>424</v>
      </c>
      <c r="AC18" s="4" t="str">
        <f ca="1">VLOOKUP(AB18,[3]enemies!$A:$B,2,FALSE)</f>
        <v>フック</v>
      </c>
      <c r="AD18" s="4">
        <f ca="1">VLOOKUP(AB18,[3]enemies!$A:$E,3,FALSE)</f>
        <v>4</v>
      </c>
      <c r="AE18" s="4" t="str">
        <f>VLOOKUP(AB18,[4]characters!$A:$J,10,FALSE)</f>
        <v>Drop2N</v>
      </c>
      <c r="AF18" s="7">
        <v>1</v>
      </c>
      <c r="AG18" s="25">
        <f t="shared" ca="1" si="39"/>
        <v>4</v>
      </c>
      <c r="AH18" s="8">
        <v>50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</row>
    <row r="19" spans="1:39" ht="21" customHeight="1" x14ac:dyDescent="0.15">
      <c r="A19" s="16" t="str">
        <f t="shared" ref="A19:A37" ca="1" si="40">B19&amp;"_"&amp;C19&amp;"-"&amp;G19&amp;"/"&amp;L19&amp;"&lt;lv"&amp;R19&amp;"&gt;s"&amp;AA19</f>
        <v>30016_1-4/19&lt;lv50&gt;s3</v>
      </c>
      <c r="B19" s="23">
        <v>30016</v>
      </c>
      <c r="C19" s="73">
        <v>1</v>
      </c>
      <c r="D19" s="2" t="str">
        <f t="shared" ref="D19:D37" si="41">B19&amp;"_"&amp;C19</f>
        <v>30016_1</v>
      </c>
      <c r="E19" s="4" t="str">
        <f ca="1">VLOOKUP($B19,OFFSET([2]quests!$A$1,0,0,COUNTA([2]quests!$A:$A),MATCH(E$1,[2]quests!$1:$1,0)-MATCH($B$1,[2]quests!$1:$1,0)+1),MATCH(E$1,[2]quests!$1:$1,0)-MATCH($B$1,[2]quests!$1:$1,0)+1,FALSE)</f>
        <v>私がワニの天敵よ？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【超級】私がワニの天敵よ？</v>
      </c>
      <c r="G19" s="76">
        <v>4</v>
      </c>
      <c r="H19" s="15" t="str">
        <f t="shared" ref="H19:H37" si="42">B19&amp;"_"&amp;C19&amp;"-"&amp;G19</f>
        <v>30016_1-4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9" t="s">
        <v>53</v>
      </c>
      <c r="L19" s="21">
        <v>19</v>
      </c>
      <c r="M19" s="17" t="str">
        <f ca="1">VLOOKUP(L19,[3]enemies!$A:$B,2,FALSE)</f>
        <v>ティンク</v>
      </c>
      <c r="N19" s="19" t="str">
        <f ca="1">VLOOKUP(L19,[3]enemies!$A:$D,4,FALSE)</f>
        <v>yellow</v>
      </c>
      <c r="O19" s="19" t="str">
        <f>VLOOKUP(L19,[4]characters!$A:$J,10,FALSE)</f>
        <v>Drop1W</v>
      </c>
      <c r="P19" s="18" t="str">
        <f>VLOOKUP(L19,[4]characters!$A:$M,13,FALSE)</f>
        <v>human</v>
      </c>
      <c r="Q19" s="4">
        <f ca="1">VLOOKUP(L19,[3]enemies!$A:$X,24,FALSE)</f>
        <v>15</v>
      </c>
      <c r="R19" s="5">
        <v>50</v>
      </c>
      <c r="S19" s="26">
        <v>1.7</v>
      </c>
      <c r="T19" s="26">
        <v>0.5</v>
      </c>
      <c r="U19" s="5">
        <v>0</v>
      </c>
      <c r="V19" s="4">
        <f ca="1">VLOOKUP(L19,[3]enemies!$A:$AB,28,FALSE)</f>
        <v>0</v>
      </c>
      <c r="W19" s="4" t="str">
        <f ca="1">IFERROR(VLOOKUP(V19,[5]enemy_skill_sets!$B:$E,4,FALSE),VLOOKUP(V19,enemy_skill_sets!B:E,4,FALSE))</f>
        <v>なし</v>
      </c>
      <c r="X19" s="6">
        <v>1</v>
      </c>
      <c r="Y19" s="6">
        <v>100</v>
      </c>
      <c r="Z19" s="6">
        <v>0</v>
      </c>
      <c r="AA19" s="4">
        <f ca="1">VLOOKUP(L19,[3]enemies!$A:$V,22,FALSE)</f>
        <v>3</v>
      </c>
      <c r="AB19" s="25">
        <f t="shared" si="33"/>
        <v>19</v>
      </c>
      <c r="AC19" s="4" t="str">
        <f ca="1">VLOOKUP(AB19,[3]enemies!$A:$B,2,FALSE)</f>
        <v>ティンク</v>
      </c>
      <c r="AD19" s="4">
        <f ca="1">VLOOKUP(AB19,[3]enemies!$A:$E,3,FALSE)</f>
        <v>1</v>
      </c>
      <c r="AE19" s="4" t="str">
        <f>VLOOKUP(AB19,[4]characters!$A:$J,10,FALSE)</f>
        <v>Drop1W</v>
      </c>
      <c r="AF19" s="7">
        <v>1</v>
      </c>
      <c r="AG19" s="25">
        <f t="shared" ref="AG19:AG37" ca="1" si="43">AD19</f>
        <v>1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</row>
    <row r="20" spans="1:39" ht="21" customHeight="1" x14ac:dyDescent="0.15">
      <c r="A20" s="16" t="str">
        <f t="shared" ca="1" si="40"/>
        <v>30016_1-4/39&lt;lv50&gt;s3</v>
      </c>
      <c r="B20" s="23">
        <v>30016</v>
      </c>
      <c r="C20" s="73">
        <v>1</v>
      </c>
      <c r="D20" s="2" t="str">
        <f t="shared" si="41"/>
        <v>30016_1</v>
      </c>
      <c r="E20" s="4" t="str">
        <f ca="1">VLOOKUP($B20,OFFSET([2]quests!$A$1,0,0,COUNTA([2]quests!$A:$A),MATCH(E$1,[2]quests!$1:$1,0)-MATCH($B$1,[2]quests!$1:$1,0)+1),MATCH(E$1,[2]quests!$1:$1,0)-MATCH($B$1,[2]quests!$1:$1,0)+1,FALSE)</f>
        <v>私がワニの天敵よ？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【超級】私がワニの天敵よ？</v>
      </c>
      <c r="G20" s="76">
        <v>4</v>
      </c>
      <c r="H20" s="15" t="str">
        <f t="shared" si="42"/>
        <v>30016_1-4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9" t="s">
        <v>53</v>
      </c>
      <c r="L20" s="21">
        <v>39</v>
      </c>
      <c r="M20" s="17" t="str">
        <f ca="1">VLOOKUP(L20,[3]enemies!$A:$B,2,FALSE)</f>
        <v>マーロン</v>
      </c>
      <c r="N20" s="19" t="str">
        <f ca="1">VLOOKUP(L20,[3]enemies!$A:$D,4,FALSE)</f>
        <v>yellow</v>
      </c>
      <c r="O20" s="19" t="str">
        <f>VLOOKUP(L20,[4]characters!$A:$J,10,FALSE)</f>
        <v>Drop1S</v>
      </c>
      <c r="P20" s="18" t="str">
        <f>VLOOKUP(L20,[4]characters!$A:$M,13,FALSE)</f>
        <v>human</v>
      </c>
      <c r="Q20" s="4">
        <f ca="1">VLOOKUP(L20,[3]enemies!$A:$X,24,FALSE)</f>
        <v>15</v>
      </c>
      <c r="R20" s="5">
        <v>50</v>
      </c>
      <c r="S20" s="26">
        <v>1.7</v>
      </c>
      <c r="T20" s="26">
        <v>0.6</v>
      </c>
      <c r="U20" s="5">
        <v>0</v>
      </c>
      <c r="V20" s="49">
        <v>0</v>
      </c>
      <c r="W20" s="4" t="str">
        <f ca="1">IFERROR(VLOOKUP(V20,[5]enemy_skill_sets!$B:$E,4,FALSE),VLOOKUP(V20,enemy_skill_sets!B:E,4,FALSE))</f>
        <v>なし</v>
      </c>
      <c r="X20" s="6">
        <v>1</v>
      </c>
      <c r="Y20" s="6">
        <v>100</v>
      </c>
      <c r="Z20" s="6">
        <v>0</v>
      </c>
      <c r="AA20" s="4">
        <f ca="1">VLOOKUP(L20,[3]enemies!$A:$V,22,FALSE)</f>
        <v>3</v>
      </c>
      <c r="AB20" s="25">
        <f t="shared" si="33"/>
        <v>39</v>
      </c>
      <c r="AC20" s="4" t="str">
        <f ca="1">VLOOKUP(AB20,[3]enemies!$A:$B,2,FALSE)</f>
        <v>マーロン</v>
      </c>
      <c r="AD20" s="4">
        <f ca="1">VLOOKUP(AB20,[3]enemies!$A:$E,3,FALSE)</f>
        <v>2</v>
      </c>
      <c r="AE20" s="4" t="str">
        <f>VLOOKUP(AB20,[4]characters!$A:$J,10,FALSE)</f>
        <v>Drop1S</v>
      </c>
      <c r="AF20" s="7">
        <v>1</v>
      </c>
      <c r="AG20" s="25">
        <f t="shared" ca="1" si="43"/>
        <v>2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</row>
    <row r="21" spans="1:39" ht="21" customHeight="1" x14ac:dyDescent="0.15">
      <c r="A21" s="16" t="str">
        <f t="shared" ca="1" si="40"/>
        <v>30016_2-1/1&lt;lv60&gt;s1</v>
      </c>
      <c r="B21" s="23">
        <v>30016</v>
      </c>
      <c r="C21" s="74">
        <v>2</v>
      </c>
      <c r="D21" s="2" t="str">
        <f t="shared" si="41"/>
        <v>30016_2</v>
      </c>
      <c r="E21" s="4" t="str">
        <f ca="1">VLOOKUP($B21,OFFSET([2]quests!$A$1,0,0,COUNTA([2]quests!$A:$A),MATCH(E$1,[2]quests!$1:$1,0)-MATCH($B$1,[2]quests!$1:$1,0)+1),MATCH(E$1,[2]quests!$1:$1,0)-MATCH($B$1,[2]quests!$1:$1,0)+1,FALSE)</f>
        <v>私がワニの天敵よ？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【超絶級】私がワニの天敵よ？</v>
      </c>
      <c r="G21" s="73">
        <v>1</v>
      </c>
      <c r="H21" s="15" t="str">
        <f t="shared" si="42"/>
        <v>30016_2-1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9" t="s">
        <v>53</v>
      </c>
      <c r="L21" s="21">
        <v>1</v>
      </c>
      <c r="M21" s="17" t="str">
        <f ca="1">VLOOKUP(L21,[3]enemies!$A:$B,2,FALSE)</f>
        <v>ジェリー</v>
      </c>
      <c r="N21" s="19" t="str">
        <f ca="1">VLOOKUP(L21,[3]enemies!$A:$D,4,FALSE)</f>
        <v>red</v>
      </c>
      <c r="O21" s="19" t="str">
        <f>VLOOKUP(L21,[4]characters!$A:$J,10,FALSE)</f>
        <v>Drop1T</v>
      </c>
      <c r="P21" s="18" t="str">
        <f>VLOOKUP(L21,[4]characters!$A:$M,13,FALSE)</f>
        <v>unknown</v>
      </c>
      <c r="Q21" s="4">
        <f ca="1">VLOOKUP(L21,[3]enemies!$A:$X,24,FALSE)</f>
        <v>15</v>
      </c>
      <c r="R21" s="5">
        <v>60</v>
      </c>
      <c r="S21" s="26">
        <v>1</v>
      </c>
      <c r="T21" s="26">
        <v>0.5</v>
      </c>
      <c r="U21" s="5">
        <v>0</v>
      </c>
      <c r="V21" s="4">
        <f ca="1">VLOOKUP(L21,[3]enemies!$A:$AB,28,FALSE)</f>
        <v>0</v>
      </c>
      <c r="W21" s="4" t="str">
        <f ca="1">IFERROR(VLOOKUP(V21,[5]enemy_skill_sets!$B:$E,4,FALSE),VLOOKUP(V21,enemy_skill_sets!B:E,4,FALSE))</f>
        <v>なし</v>
      </c>
      <c r="X21" s="6">
        <v>0</v>
      </c>
      <c r="Y21" s="6">
        <v>100</v>
      </c>
      <c r="Z21" s="6">
        <v>0</v>
      </c>
      <c r="AA21" s="4">
        <f ca="1">VLOOKUP(L21,[3]enemies!$A:$V,22,FALSE)</f>
        <v>1</v>
      </c>
      <c r="AB21" s="25">
        <f t="shared" si="33"/>
        <v>1</v>
      </c>
      <c r="AC21" s="4" t="str">
        <f ca="1">VLOOKUP(AB21,[3]enemies!$A:$B,2,FALSE)</f>
        <v>ジェリー</v>
      </c>
      <c r="AD21" s="4">
        <f ca="1">VLOOKUP(AB21,[3]enemies!$A:$E,3,FALSE)</f>
        <v>1</v>
      </c>
      <c r="AE21" s="4" t="str">
        <f>VLOOKUP(AB21,[4]characters!$A:$J,10,FALSE)</f>
        <v>Drop1T</v>
      </c>
      <c r="AF21" s="7">
        <v>1</v>
      </c>
      <c r="AG21" s="25">
        <f t="shared" ca="1" si="43"/>
        <v>1</v>
      </c>
      <c r="AH21" s="8">
        <v>30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</row>
    <row r="22" spans="1:39" ht="21" customHeight="1" x14ac:dyDescent="0.15">
      <c r="A22" s="16" t="str">
        <f t="shared" ca="1" si="40"/>
        <v>30016_2-1/5&lt;lv60&gt;s3</v>
      </c>
      <c r="B22" s="23">
        <v>30016</v>
      </c>
      <c r="C22" s="74">
        <v>2</v>
      </c>
      <c r="D22" s="2" t="str">
        <f t="shared" si="41"/>
        <v>30016_2</v>
      </c>
      <c r="E22" s="4" t="str">
        <f ca="1">VLOOKUP($B22,OFFSET([2]quests!$A$1,0,0,COUNTA([2]quests!$A:$A),MATCH(E$1,[2]quests!$1:$1,0)-MATCH($B$1,[2]quests!$1:$1,0)+1),MATCH(E$1,[2]quests!$1:$1,0)-MATCH($B$1,[2]quests!$1:$1,0)+1,FALSE)</f>
        <v>私がワニの天敵よ？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【超絶級】私がワニの天敵よ？</v>
      </c>
      <c r="G22" s="73">
        <v>1</v>
      </c>
      <c r="H22" s="15" t="str">
        <f t="shared" si="42"/>
        <v>30016_2-1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9" t="s">
        <v>53</v>
      </c>
      <c r="L22" s="21">
        <v>5</v>
      </c>
      <c r="M22" s="17" t="str">
        <f ca="1">VLOOKUP(L22,[3]enemies!$A:$B,2,FALSE)</f>
        <v>パトドッグ ポチ</v>
      </c>
      <c r="N22" s="19" t="str">
        <f ca="1">VLOOKUP(L22,[3]enemies!$A:$D,4,FALSE)</f>
        <v>blue</v>
      </c>
      <c r="O22" s="19" t="str">
        <f>VLOOKUP(L22,[4]characters!$A:$J,10,FALSE)</f>
        <v>Drop1T</v>
      </c>
      <c r="P22" s="18" t="str">
        <f>VLOOKUP(L22,[4]characters!$A:$M,13,FALSE)</f>
        <v>unknown</v>
      </c>
      <c r="Q22" s="4">
        <f ca="1">VLOOKUP(L22,[3]enemies!$A:$X,24,FALSE)</f>
        <v>15</v>
      </c>
      <c r="R22" s="5">
        <v>60</v>
      </c>
      <c r="S22" s="26">
        <v>1</v>
      </c>
      <c r="T22" s="26">
        <v>1</v>
      </c>
      <c r="U22" s="5">
        <v>0</v>
      </c>
      <c r="V22" s="4">
        <f ca="1">VLOOKUP(L22,[3]enemies!$A:$AB,28,FALSE)</f>
        <v>0</v>
      </c>
      <c r="W22" s="4" t="str">
        <f ca="1">IFERROR(VLOOKUP(V22,[5]enemy_skill_sets!$B:$E,4,FALSE),VLOOKUP(V22,enemy_skill_sets!B:E,4,FALSE))</f>
        <v>なし</v>
      </c>
      <c r="X22" s="6">
        <v>0</v>
      </c>
      <c r="Y22" s="6">
        <v>100</v>
      </c>
      <c r="Z22" s="6">
        <v>0</v>
      </c>
      <c r="AA22" s="4">
        <f ca="1">VLOOKUP(L22,[3]enemies!$A:$V,22,FALSE)</f>
        <v>3</v>
      </c>
      <c r="AB22" s="25">
        <f t="shared" si="33"/>
        <v>5</v>
      </c>
      <c r="AC22" s="4" t="str">
        <f ca="1">VLOOKUP(AB22,[3]enemies!$A:$B,2,FALSE)</f>
        <v>パトドッグ ポチ</v>
      </c>
      <c r="AD22" s="4">
        <f ca="1">VLOOKUP(AB22,[3]enemies!$A:$E,3,FALSE)</f>
        <v>1</v>
      </c>
      <c r="AE22" s="4" t="str">
        <f>VLOOKUP(AB22,[4]characters!$A:$J,10,FALSE)</f>
        <v>Drop1T</v>
      </c>
      <c r="AF22" s="7">
        <v>1</v>
      </c>
      <c r="AG22" s="25">
        <f t="shared" ca="1" si="43"/>
        <v>1</v>
      </c>
      <c r="AH22" s="8">
        <v>30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</row>
    <row r="23" spans="1:39" ht="21" customHeight="1" x14ac:dyDescent="0.15">
      <c r="A23" s="16" t="str">
        <f t="shared" ca="1" si="40"/>
        <v>30016_2-1/9&lt;lv60&gt;s2</v>
      </c>
      <c r="B23" s="23">
        <v>30016</v>
      </c>
      <c r="C23" s="74">
        <v>2</v>
      </c>
      <c r="D23" s="2" t="str">
        <f t="shared" si="41"/>
        <v>30016_2</v>
      </c>
      <c r="E23" s="4" t="str">
        <f ca="1">VLOOKUP($B23,OFFSET([2]quests!$A$1,0,0,COUNTA([2]quests!$A:$A),MATCH(E$1,[2]quests!$1:$1,0)-MATCH($B$1,[2]quests!$1:$1,0)+1),MATCH(E$1,[2]quests!$1:$1,0)-MATCH($B$1,[2]quests!$1:$1,0)+1,FALSE)</f>
        <v>私がワニの天敵よ？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【超絶級】私がワニの天敵よ？</v>
      </c>
      <c r="G23" s="73">
        <v>1</v>
      </c>
      <c r="H23" s="15" t="str">
        <f t="shared" si="42"/>
        <v>30016_2-1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9" t="s">
        <v>53</v>
      </c>
      <c r="L23" s="21">
        <v>9</v>
      </c>
      <c r="M23" s="17" t="str">
        <f ca="1">VLOOKUP(L23,[3]enemies!$A:$B,2,FALSE)</f>
        <v>ブレット</v>
      </c>
      <c r="N23" s="19" t="str">
        <f ca="1">VLOOKUP(L23,[3]enemies!$A:$D,4,FALSE)</f>
        <v>red</v>
      </c>
      <c r="O23" s="19" t="str">
        <f>VLOOKUP(L23,[4]characters!$A:$J,10,FALSE)</f>
        <v>Drop1W</v>
      </c>
      <c r="P23" s="18" t="str">
        <f>VLOOKUP(L23,[4]characters!$A:$M,13,FALSE)</f>
        <v>animal</v>
      </c>
      <c r="Q23" s="4">
        <f ca="1">VLOOKUP(L23,[3]enemies!$A:$X,24,FALSE)</f>
        <v>15</v>
      </c>
      <c r="R23" s="5">
        <v>60</v>
      </c>
      <c r="S23" s="26">
        <v>1</v>
      </c>
      <c r="T23" s="26">
        <v>0.5</v>
      </c>
      <c r="U23" s="5">
        <v>0</v>
      </c>
      <c r="V23" s="4">
        <f ca="1">VLOOKUP(L23,[3]enemies!$A:$AB,28,FALSE)</f>
        <v>0</v>
      </c>
      <c r="W23" s="4" t="str">
        <f ca="1">IFERROR(VLOOKUP(V23,[5]enemy_skill_sets!$B:$E,4,FALSE),VLOOKUP(V23,enemy_skill_sets!B:E,4,FALSE))</f>
        <v>なし</v>
      </c>
      <c r="X23" s="6">
        <v>0</v>
      </c>
      <c r="Y23" s="6">
        <v>100</v>
      </c>
      <c r="Z23" s="6">
        <v>0</v>
      </c>
      <c r="AA23" s="4">
        <f ca="1">VLOOKUP(L23,[3]enemies!$A:$V,22,FALSE)</f>
        <v>2</v>
      </c>
      <c r="AB23" s="25">
        <f t="shared" si="33"/>
        <v>9</v>
      </c>
      <c r="AC23" s="4" t="str">
        <f ca="1">VLOOKUP(AB23,[3]enemies!$A:$B,2,FALSE)</f>
        <v>ブレット</v>
      </c>
      <c r="AD23" s="4">
        <f ca="1">VLOOKUP(AB23,[3]enemies!$A:$E,3,FALSE)</f>
        <v>1</v>
      </c>
      <c r="AE23" s="4" t="str">
        <f>VLOOKUP(AB23,[4]characters!$A:$J,10,FALSE)</f>
        <v>Drop1W</v>
      </c>
      <c r="AF23" s="7">
        <v>1</v>
      </c>
      <c r="AG23" s="25">
        <f t="shared" ca="1" si="43"/>
        <v>1</v>
      </c>
      <c r="AH23" s="8">
        <v>30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</row>
    <row r="24" spans="1:39" ht="21" customHeight="1" x14ac:dyDescent="0.15">
      <c r="A24" s="16" t="str">
        <f t="shared" ca="1" si="40"/>
        <v>30016_2-1/11&lt;lv60&gt;s3</v>
      </c>
      <c r="B24" s="23">
        <v>30016</v>
      </c>
      <c r="C24" s="74">
        <v>2</v>
      </c>
      <c r="D24" s="2" t="str">
        <f t="shared" si="41"/>
        <v>30016_2</v>
      </c>
      <c r="E24" s="4" t="str">
        <f ca="1">VLOOKUP($B24,OFFSET([2]quests!$A$1,0,0,COUNTA([2]quests!$A:$A),MATCH(E$1,[2]quests!$1:$1,0)-MATCH($B$1,[2]quests!$1:$1,0)+1),MATCH(E$1,[2]quests!$1:$1,0)-MATCH($B$1,[2]quests!$1:$1,0)+1,FALSE)</f>
        <v>私がワニの天敵よ？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【超絶級】私がワニの天敵よ？</v>
      </c>
      <c r="G24" s="73">
        <v>1</v>
      </c>
      <c r="H24" s="15" t="str">
        <f t="shared" si="42"/>
        <v>30016_2-1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9" t="s">
        <v>53</v>
      </c>
      <c r="L24" s="21">
        <v>11</v>
      </c>
      <c r="M24" s="17" t="str">
        <f ca="1">VLOOKUP(L24,[3]enemies!$A:$B,2,FALSE)</f>
        <v>マグリット</v>
      </c>
      <c r="N24" s="19" t="str">
        <f ca="1">VLOOKUP(L24,[3]enemies!$A:$D,4,FALSE)</f>
        <v>green</v>
      </c>
      <c r="O24" s="19" t="str">
        <f>VLOOKUP(L24,[4]characters!$A:$J,10,FALSE)</f>
        <v>Drop1W</v>
      </c>
      <c r="P24" s="18" t="str">
        <f>VLOOKUP(L24,[4]characters!$A:$M,13,FALSE)</f>
        <v>animal</v>
      </c>
      <c r="Q24" s="4">
        <f ca="1">VLOOKUP(L24,[3]enemies!$A:$X,24,FALSE)</f>
        <v>15</v>
      </c>
      <c r="R24" s="5">
        <v>60</v>
      </c>
      <c r="S24" s="26">
        <v>1</v>
      </c>
      <c r="T24" s="26">
        <v>1</v>
      </c>
      <c r="U24" s="5">
        <v>0</v>
      </c>
      <c r="V24" s="4">
        <f ca="1">VLOOKUP(L24,[3]enemies!$A:$AB,28,FALSE)</f>
        <v>0</v>
      </c>
      <c r="W24" s="4" t="str">
        <f ca="1">IFERROR(VLOOKUP(V24,[5]enemy_skill_sets!$B:$E,4,FALSE),VLOOKUP(V24,enemy_skill_sets!B:E,4,FALSE))</f>
        <v>なし</v>
      </c>
      <c r="X24" s="6">
        <v>0</v>
      </c>
      <c r="Y24" s="6">
        <v>100</v>
      </c>
      <c r="Z24" s="6">
        <v>0</v>
      </c>
      <c r="AA24" s="4">
        <f ca="1">VLOOKUP(L24,[3]enemies!$A:$V,22,FALSE)</f>
        <v>3</v>
      </c>
      <c r="AB24" s="25">
        <f t="shared" si="33"/>
        <v>11</v>
      </c>
      <c r="AC24" s="4" t="str">
        <f ca="1">VLOOKUP(AB24,[3]enemies!$A:$B,2,FALSE)</f>
        <v>マグリット</v>
      </c>
      <c r="AD24" s="4">
        <f ca="1">VLOOKUP(AB24,[3]enemies!$A:$E,3,FALSE)</f>
        <v>1</v>
      </c>
      <c r="AE24" s="4" t="str">
        <f>VLOOKUP(AB24,[4]characters!$A:$J,10,FALSE)</f>
        <v>Drop1W</v>
      </c>
      <c r="AF24" s="7">
        <v>1</v>
      </c>
      <c r="AG24" s="25">
        <f t="shared" ca="1" si="43"/>
        <v>1</v>
      </c>
      <c r="AH24" s="8">
        <v>30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</row>
    <row r="25" spans="1:39" ht="21" customHeight="1" x14ac:dyDescent="0.15">
      <c r="A25" s="16" t="str">
        <f t="shared" ca="1" si="40"/>
        <v>30016_2-1/23&lt;lv60&gt;s4</v>
      </c>
      <c r="B25" s="23">
        <v>30016</v>
      </c>
      <c r="C25" s="74">
        <v>2</v>
      </c>
      <c r="D25" s="2" t="str">
        <f t="shared" si="41"/>
        <v>30016_2</v>
      </c>
      <c r="E25" s="4" t="str">
        <f ca="1">VLOOKUP($B25,OFFSET([2]quests!$A$1,0,0,COUNTA([2]quests!$A:$A),MATCH(E$1,[2]quests!$1:$1,0)-MATCH($B$1,[2]quests!$1:$1,0)+1),MATCH(E$1,[2]quests!$1:$1,0)-MATCH($B$1,[2]quests!$1:$1,0)+1,FALSE)</f>
        <v>私がワニの天敵よ？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【超絶級】私がワニの天敵よ？</v>
      </c>
      <c r="G25" s="73">
        <v>1</v>
      </c>
      <c r="H25" s="15" t="str">
        <f t="shared" si="42"/>
        <v>30016_2-1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9" t="s">
        <v>53</v>
      </c>
      <c r="L25" s="21">
        <v>23</v>
      </c>
      <c r="M25" s="17" t="str">
        <f ca="1">VLOOKUP(L25,[3]enemies!$A:$B,2,FALSE)</f>
        <v>ミール</v>
      </c>
      <c r="N25" s="19" t="str">
        <f ca="1">VLOOKUP(L25,[3]enemies!$A:$D,4,FALSE)</f>
        <v>green</v>
      </c>
      <c r="O25" s="19" t="str">
        <f>VLOOKUP(L25,[4]characters!$A:$J,10,FALSE)</f>
        <v>Drop1N</v>
      </c>
      <c r="P25" s="18" t="str">
        <f>VLOOKUP(L25,[4]characters!$A:$M,13,FALSE)</f>
        <v>animal</v>
      </c>
      <c r="Q25" s="4">
        <f ca="1">VLOOKUP(L25,[3]enemies!$A:$X,24,FALSE)</f>
        <v>15</v>
      </c>
      <c r="R25" s="5">
        <v>60</v>
      </c>
      <c r="S25" s="26">
        <v>1</v>
      </c>
      <c r="T25" s="26">
        <v>1</v>
      </c>
      <c r="U25" s="5">
        <v>0</v>
      </c>
      <c r="V25" s="4">
        <f ca="1">VLOOKUP(L25,[3]enemies!$A:$AB,28,FALSE)</f>
        <v>0</v>
      </c>
      <c r="W25" s="4" t="str">
        <f ca="1">IFERROR(VLOOKUP(V25,[5]enemy_skill_sets!$B:$E,4,FALSE),VLOOKUP(V25,enemy_skill_sets!B:E,4,FALSE))</f>
        <v>なし</v>
      </c>
      <c r="X25" s="6">
        <v>0</v>
      </c>
      <c r="Y25" s="6">
        <v>100</v>
      </c>
      <c r="Z25" s="6">
        <v>0</v>
      </c>
      <c r="AA25" s="4">
        <f ca="1">VLOOKUP(L25,[3]enemies!$A:$V,22,FALSE)</f>
        <v>4</v>
      </c>
      <c r="AB25" s="25">
        <f t="shared" si="33"/>
        <v>23</v>
      </c>
      <c r="AC25" s="4" t="str">
        <f ca="1">VLOOKUP(AB25,[3]enemies!$A:$B,2,FALSE)</f>
        <v>ミール</v>
      </c>
      <c r="AD25" s="4">
        <f ca="1">VLOOKUP(AB25,[3]enemies!$A:$E,3,FALSE)</f>
        <v>1</v>
      </c>
      <c r="AE25" s="4" t="str">
        <f>VLOOKUP(AB25,[4]characters!$A:$J,10,FALSE)</f>
        <v>Drop1N</v>
      </c>
      <c r="AF25" s="7">
        <v>1</v>
      </c>
      <c r="AG25" s="25">
        <f t="shared" ca="1" si="43"/>
        <v>1</v>
      </c>
      <c r="AH25" s="8">
        <v>30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</row>
    <row r="26" spans="1:39" ht="21" customHeight="1" x14ac:dyDescent="0.15">
      <c r="A26" s="16" t="str">
        <f t="shared" ca="1" si="40"/>
        <v>30016_2-1/43&lt;lv60&gt;s2</v>
      </c>
      <c r="B26" s="23">
        <v>30016</v>
      </c>
      <c r="C26" s="74">
        <v>2</v>
      </c>
      <c r="D26" s="2" t="str">
        <f t="shared" si="41"/>
        <v>30016_2</v>
      </c>
      <c r="E26" s="4" t="str">
        <f ca="1">VLOOKUP($B26,OFFSET([2]quests!$A$1,0,0,COUNTA([2]quests!$A:$A),MATCH(E$1,[2]quests!$1:$1,0)-MATCH($B$1,[2]quests!$1:$1,0)+1),MATCH(E$1,[2]quests!$1:$1,0)-MATCH($B$1,[2]quests!$1:$1,0)+1,FALSE)</f>
        <v>私がワニの天敵よ？</v>
      </c>
      <c r="F26" s="4" t="str">
        <f ca="1">VLOOKUP($D26,OFFSET([2]stages!$A$1,0,0,COUNTA([2]stages!$A:$A),MATCH(F$1,[2]stages!$2:$2,0)-MATCH($D$1,[2]stages!$2:$2,0)+1),MATCH(F$1,[2]stages!$2:$2,0)-MATCH($D$1,[2]stages!$2:$2,0)+1,FALSE)</f>
        <v>【超絶級】私がワニの天敵よ？</v>
      </c>
      <c r="G26" s="73">
        <v>1</v>
      </c>
      <c r="H26" s="15" t="str">
        <f t="shared" si="42"/>
        <v>30016_2-1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9" t="s">
        <v>53</v>
      </c>
      <c r="L26" s="21">
        <v>43</v>
      </c>
      <c r="M26" s="17" t="str">
        <f ca="1">VLOOKUP(L26,[3]enemies!$A:$B,2,FALSE)</f>
        <v>ムゥ</v>
      </c>
      <c r="N26" s="19" t="str">
        <f ca="1">VLOOKUP(L26,[3]enemies!$A:$D,4,FALSE)</f>
        <v>green</v>
      </c>
      <c r="O26" s="19" t="str">
        <f>VLOOKUP(L26,[4]characters!$A:$J,10,FALSE)</f>
        <v>Drop1N</v>
      </c>
      <c r="P26" s="18" t="str">
        <f>VLOOKUP(L26,[4]characters!$A:$M,13,FALSE)</f>
        <v>dragon</v>
      </c>
      <c r="Q26" s="4">
        <f ca="1">VLOOKUP(L26,[3]enemies!$A:$X,24,FALSE)</f>
        <v>15</v>
      </c>
      <c r="R26" s="5">
        <v>60</v>
      </c>
      <c r="S26" s="26">
        <v>1</v>
      </c>
      <c r="T26" s="26">
        <v>1</v>
      </c>
      <c r="U26" s="5">
        <v>0</v>
      </c>
      <c r="V26" s="4">
        <f ca="1">VLOOKUP(L26,[3]enemies!$A:$AB,28,FALSE)</f>
        <v>0</v>
      </c>
      <c r="W26" s="4" t="str">
        <f ca="1">IFERROR(VLOOKUP(V26,[5]enemy_skill_sets!$B:$E,4,FALSE),VLOOKUP(V26,enemy_skill_sets!B:E,4,FALSE))</f>
        <v>なし</v>
      </c>
      <c r="X26" s="6">
        <v>0</v>
      </c>
      <c r="Y26" s="6">
        <v>100</v>
      </c>
      <c r="Z26" s="6">
        <v>0</v>
      </c>
      <c r="AA26" s="4">
        <f ca="1">VLOOKUP(L26,[3]enemies!$A:$V,22,FALSE)</f>
        <v>2</v>
      </c>
      <c r="AB26" s="25">
        <f t="shared" si="33"/>
        <v>43</v>
      </c>
      <c r="AC26" s="4" t="str">
        <f ca="1">VLOOKUP(AB26,[3]enemies!$A:$B,2,FALSE)</f>
        <v>ムゥ</v>
      </c>
      <c r="AD26" s="4">
        <f ca="1">VLOOKUP(AB26,[3]enemies!$A:$E,3,FALSE)</f>
        <v>2</v>
      </c>
      <c r="AE26" s="4" t="str">
        <f>VLOOKUP(AB26,[4]characters!$A:$J,10,FALSE)</f>
        <v>Drop1N</v>
      </c>
      <c r="AF26" s="7">
        <v>1</v>
      </c>
      <c r="AG26" s="25">
        <f t="shared" ca="1" si="43"/>
        <v>2</v>
      </c>
      <c r="AH26" s="8">
        <v>30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</row>
    <row r="27" spans="1:39" ht="21" customHeight="1" x14ac:dyDescent="0.15">
      <c r="A27" s="16" t="str">
        <f t="shared" ca="1" si="40"/>
        <v>30016_2-1/61&lt;lv60&gt;s2</v>
      </c>
      <c r="B27" s="23">
        <v>30016</v>
      </c>
      <c r="C27" s="74">
        <v>2</v>
      </c>
      <c r="D27" s="2" t="str">
        <f t="shared" si="41"/>
        <v>30016_2</v>
      </c>
      <c r="E27" s="4" t="str">
        <f ca="1">VLOOKUP($B27,OFFSET([2]quests!$A$1,0,0,COUNTA([2]quests!$A:$A),MATCH(E$1,[2]quests!$1:$1,0)-MATCH($B$1,[2]quests!$1:$1,0)+1),MATCH(E$1,[2]quests!$1:$1,0)-MATCH($B$1,[2]quests!$1:$1,0)+1,FALSE)</f>
        <v>私がワニの天敵よ？</v>
      </c>
      <c r="F27" s="4" t="str">
        <f ca="1">VLOOKUP($D27,OFFSET([2]stages!$A$1,0,0,COUNTA([2]stages!$A:$A),MATCH(F$1,[2]stages!$2:$2,0)-MATCH($D$1,[2]stages!$2:$2,0)+1),MATCH(F$1,[2]stages!$2:$2,0)-MATCH($D$1,[2]stages!$2:$2,0)+1,FALSE)</f>
        <v>【超絶級】私がワニの天敵よ？</v>
      </c>
      <c r="G27" s="73">
        <v>1</v>
      </c>
      <c r="H27" s="15" t="str">
        <f t="shared" si="42"/>
        <v>30016_2-1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9" t="s">
        <v>53</v>
      </c>
      <c r="L27" s="21">
        <v>61</v>
      </c>
      <c r="M27" s="17" t="str">
        <f ca="1">VLOOKUP(L27,[3]enemies!$A:$B,2,FALSE)</f>
        <v>クロウ</v>
      </c>
      <c r="N27" s="19" t="str">
        <f ca="1">VLOOKUP(L27,[3]enemies!$A:$D,4,FALSE)</f>
        <v>blue</v>
      </c>
      <c r="O27" s="19" t="str">
        <f>VLOOKUP(L27,[4]characters!$A:$J,10,FALSE)</f>
        <v>Drop1N</v>
      </c>
      <c r="P27" s="18" t="str">
        <f>VLOOKUP(L27,[4]characters!$A:$M,13,FALSE)</f>
        <v>animal</v>
      </c>
      <c r="Q27" s="4">
        <f ca="1">VLOOKUP(L27,[3]enemies!$A:$X,24,FALSE)</f>
        <v>15</v>
      </c>
      <c r="R27" s="5">
        <v>60</v>
      </c>
      <c r="S27" s="26">
        <v>1</v>
      </c>
      <c r="T27" s="26">
        <v>1</v>
      </c>
      <c r="U27" s="5">
        <v>0</v>
      </c>
      <c r="V27" s="4">
        <f ca="1">VLOOKUP(L27,[3]enemies!$A:$AB,28,FALSE)</f>
        <v>61</v>
      </c>
      <c r="W27" s="4" t="str">
        <f ca="1">IFERROR(VLOOKUP(V27,[5]enemy_skill_sets!$B:$E,4,FALSE),VLOOKUP(V27,enemy_skill_sets!B:E,4,FALSE))</f>
        <v>回復</v>
      </c>
      <c r="X27" s="6">
        <v>0</v>
      </c>
      <c r="Y27" s="6">
        <v>100</v>
      </c>
      <c r="Z27" s="6">
        <v>0</v>
      </c>
      <c r="AA27" s="4">
        <f ca="1">VLOOKUP(L27,[3]enemies!$A:$V,22,FALSE)</f>
        <v>2</v>
      </c>
      <c r="AB27" s="25">
        <f t="shared" si="33"/>
        <v>61</v>
      </c>
      <c r="AC27" s="4" t="str">
        <f ca="1">VLOOKUP(AB27,[3]enemies!$A:$B,2,FALSE)</f>
        <v>クロウ</v>
      </c>
      <c r="AD27" s="4">
        <f ca="1">VLOOKUP(AB27,[3]enemies!$A:$E,3,FALSE)</f>
        <v>2</v>
      </c>
      <c r="AE27" s="4" t="str">
        <f>VLOOKUP(AB27,[4]characters!$A:$J,10,FALSE)</f>
        <v>Drop1N</v>
      </c>
      <c r="AF27" s="7">
        <v>1</v>
      </c>
      <c r="AG27" s="25">
        <f t="shared" ca="1" si="43"/>
        <v>2</v>
      </c>
      <c r="AH27" s="8">
        <v>30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</row>
    <row r="28" spans="1:39" ht="21" customHeight="1" x14ac:dyDescent="0.15">
      <c r="A28" s="16" t="str">
        <f t="shared" ca="1" si="40"/>
        <v>30016_2-2/174&lt;lv60&gt;s2</v>
      </c>
      <c r="B28" s="23">
        <v>30016</v>
      </c>
      <c r="C28" s="74">
        <v>2</v>
      </c>
      <c r="D28" s="2" t="str">
        <f t="shared" si="41"/>
        <v>30016_2</v>
      </c>
      <c r="E28" s="4" t="str">
        <f ca="1">VLOOKUP($B28,OFFSET([2]quests!$A$1,0,0,COUNTA([2]quests!$A:$A),MATCH(E$1,[2]quests!$1:$1,0)-MATCH($B$1,[2]quests!$1:$1,0)+1),MATCH(E$1,[2]quests!$1:$1,0)-MATCH($B$1,[2]quests!$1:$1,0)+1,FALSE)</f>
        <v>私がワニの天敵よ？</v>
      </c>
      <c r="F28" s="4" t="str">
        <f ca="1">VLOOKUP($D28,OFFSET([2]stages!$A$1,0,0,COUNTA([2]stages!$A:$A),MATCH(F$1,[2]stages!$2:$2,0)-MATCH($D$1,[2]stages!$2:$2,0)+1),MATCH(F$1,[2]stages!$2:$2,0)-MATCH($D$1,[2]stages!$2:$2,0)+1,FALSE)</f>
        <v>【超絶級】私がワニの天敵よ？</v>
      </c>
      <c r="G28" s="74">
        <v>2</v>
      </c>
      <c r="H28" s="15" t="str">
        <f t="shared" si="42"/>
        <v>30016_2-2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9" t="s">
        <v>53</v>
      </c>
      <c r="L28" s="21">
        <v>174</v>
      </c>
      <c r="M28" s="17" t="str">
        <f ca="1">VLOOKUP(L28,[3]enemies!$A:$B,2,FALSE)</f>
        <v>偽愛の大公爵 フォルネウス</v>
      </c>
      <c r="N28" s="19" t="str">
        <f ca="1">VLOOKUP(L28,[3]enemies!$A:$D,4,FALSE)</f>
        <v>blue</v>
      </c>
      <c r="O28" s="19" t="str">
        <f>VLOOKUP(L28,[4]characters!$A:$J,10,FALSE)</f>
        <v>PremiumN</v>
      </c>
      <c r="P28" s="18" t="str">
        <f>VLOOKUP(L28,[4]characters!$A:$M,13,FALSE)</f>
        <v>god</v>
      </c>
      <c r="Q28" s="4">
        <f ca="1">VLOOKUP(L28,[3]enemies!$A:$X,24,FALSE)</f>
        <v>60</v>
      </c>
      <c r="R28" s="5">
        <v>60</v>
      </c>
      <c r="S28" s="26">
        <v>1.8</v>
      </c>
      <c r="T28" s="26">
        <v>0.9</v>
      </c>
      <c r="U28" s="5">
        <v>0</v>
      </c>
      <c r="V28" s="49">
        <v>30016004</v>
      </c>
      <c r="W28" s="4" t="str">
        <f>IFERROR(VLOOKUP(V28,[5]enemy_skill_sets!$B:$E,4,FALSE),VLOOKUP(V28,enemy_skill_sets!B:E,4,FALSE))</f>
        <v>脅威の顎</v>
      </c>
      <c r="X28" s="6">
        <v>1</v>
      </c>
      <c r="Y28" s="6">
        <v>100</v>
      </c>
      <c r="Z28" s="6">
        <v>1</v>
      </c>
      <c r="AA28" s="4">
        <f ca="1">VLOOKUP(L28,[3]enemies!$A:$V,22,FALSE)</f>
        <v>2</v>
      </c>
      <c r="AB28" s="25">
        <f t="shared" si="33"/>
        <v>174</v>
      </c>
      <c r="AC28" s="4" t="str">
        <f ca="1">VLOOKUP(AB28,[3]enemies!$A:$B,2,FALSE)</f>
        <v>偽愛の大公爵 フォルネウス</v>
      </c>
      <c r="AD28" s="4">
        <f ca="1">VLOOKUP(AB28,[3]enemies!$A:$E,3,FALSE)</f>
        <v>5</v>
      </c>
      <c r="AE28" s="4" t="str">
        <f>VLOOKUP(AB28,[4]characters!$A:$J,10,FALSE)</f>
        <v>PremiumN</v>
      </c>
      <c r="AF28" s="7">
        <v>1</v>
      </c>
      <c r="AG28" s="25">
        <f t="shared" ca="1" si="43"/>
        <v>5</v>
      </c>
      <c r="AH28" s="8">
        <v>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</row>
    <row r="29" spans="1:39" ht="21" customHeight="1" x14ac:dyDescent="0.15">
      <c r="A29" s="16" t="str">
        <f t="shared" ca="1" si="40"/>
        <v>30016_2-3/2&lt;lv60&gt;s1</v>
      </c>
      <c r="B29" s="23">
        <v>30016</v>
      </c>
      <c r="C29" s="74">
        <v>2</v>
      </c>
      <c r="D29" s="2" t="str">
        <f t="shared" si="41"/>
        <v>30016_2</v>
      </c>
      <c r="E29" s="4" t="str">
        <f ca="1">VLOOKUP($B29,OFFSET([2]quests!$A$1,0,0,COUNTA([2]quests!$A:$A),MATCH(E$1,[2]quests!$1:$1,0)-MATCH($B$1,[2]quests!$1:$1,0)+1),MATCH(E$1,[2]quests!$1:$1,0)-MATCH($B$1,[2]quests!$1:$1,0)+1,FALSE)</f>
        <v>私がワニの天敵よ？</v>
      </c>
      <c r="F29" s="4" t="str">
        <f ca="1">VLOOKUP($D29,OFFSET([2]stages!$A$1,0,0,COUNTA([2]stages!$A:$A),MATCH(F$1,[2]stages!$2:$2,0)-MATCH($D$1,[2]stages!$2:$2,0)+1),MATCH(F$1,[2]stages!$2:$2,0)-MATCH($D$1,[2]stages!$2:$2,0)+1,FALSE)</f>
        <v>【超絶級】私がワニの天敵よ？</v>
      </c>
      <c r="G29" s="75">
        <v>3</v>
      </c>
      <c r="H29" s="15" t="str">
        <f t="shared" si="42"/>
        <v>30016_2-3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9" t="s">
        <v>53</v>
      </c>
      <c r="L29" s="21">
        <v>2</v>
      </c>
      <c r="M29" s="17" t="str">
        <f ca="1">VLOOKUP(L29,[3]enemies!$A:$B,2,FALSE)</f>
        <v>イレギュラー・ジェリー</v>
      </c>
      <c r="N29" s="19" t="str">
        <f ca="1">VLOOKUP(L29,[3]enemies!$A:$D,4,FALSE)</f>
        <v>red</v>
      </c>
      <c r="O29" s="19" t="str">
        <f>VLOOKUP(L29,[4]characters!$A:$J,10,FALSE)</f>
        <v>Drop1T</v>
      </c>
      <c r="P29" s="18" t="str">
        <f>VLOOKUP(L29,[4]characters!$A:$M,13,FALSE)</f>
        <v>unknown</v>
      </c>
      <c r="Q29" s="4">
        <f ca="1">VLOOKUP(L29,[3]enemies!$A:$X,24,FALSE)</f>
        <v>15</v>
      </c>
      <c r="R29" s="5">
        <v>60</v>
      </c>
      <c r="S29" s="26">
        <v>1</v>
      </c>
      <c r="T29" s="26">
        <v>0.5</v>
      </c>
      <c r="U29" s="5">
        <v>0</v>
      </c>
      <c r="V29" s="4">
        <f ca="1">VLOOKUP(L29,[3]enemies!$A:$AB,28,FALSE)</f>
        <v>0</v>
      </c>
      <c r="W29" s="4" t="str">
        <f ca="1">IFERROR(VLOOKUP(V29,[5]enemy_skill_sets!$B:$E,4,FALSE),VLOOKUP(V29,enemy_skill_sets!B:E,4,FALSE))</f>
        <v>なし</v>
      </c>
      <c r="X29" s="6">
        <v>0</v>
      </c>
      <c r="Y29" s="6">
        <v>100</v>
      </c>
      <c r="Z29" s="6">
        <v>0</v>
      </c>
      <c r="AA29" s="4">
        <f ca="1">VLOOKUP(L29,[3]enemies!$A:$V,22,FALSE)</f>
        <v>1</v>
      </c>
      <c r="AB29" s="25">
        <f t="shared" si="33"/>
        <v>2</v>
      </c>
      <c r="AC29" s="4" t="str">
        <f ca="1">VLOOKUP(AB29,[3]enemies!$A:$B,2,FALSE)</f>
        <v>イレギュラー・ジェリー</v>
      </c>
      <c r="AD29" s="4">
        <f ca="1">VLOOKUP(AB29,[3]enemies!$A:$E,3,FALSE)</f>
        <v>2</v>
      </c>
      <c r="AE29" s="4" t="str">
        <f>VLOOKUP(AB29,[4]characters!$A:$J,10,FALSE)</f>
        <v>Drop1T</v>
      </c>
      <c r="AF29" s="7">
        <v>1</v>
      </c>
      <c r="AG29" s="25">
        <f t="shared" ca="1" si="43"/>
        <v>2</v>
      </c>
      <c r="AH29" s="8">
        <v>30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</row>
    <row r="30" spans="1:39" ht="21" customHeight="1" x14ac:dyDescent="0.15">
      <c r="A30" s="16" t="str">
        <f t="shared" ca="1" si="40"/>
        <v>30016_2-3/6&lt;lv60&gt;s3</v>
      </c>
      <c r="B30" s="23">
        <v>30016</v>
      </c>
      <c r="C30" s="74">
        <v>2</v>
      </c>
      <c r="D30" s="2" t="str">
        <f t="shared" si="41"/>
        <v>30016_2</v>
      </c>
      <c r="E30" s="4" t="str">
        <f ca="1">VLOOKUP($B30,OFFSET([2]quests!$A$1,0,0,COUNTA([2]quests!$A:$A),MATCH(E$1,[2]quests!$1:$1,0)-MATCH($B$1,[2]quests!$1:$1,0)+1),MATCH(E$1,[2]quests!$1:$1,0)-MATCH($B$1,[2]quests!$1:$1,0)+1,FALSE)</f>
        <v>私がワニの天敵よ？</v>
      </c>
      <c r="F30" s="4" t="str">
        <f ca="1">VLOOKUP($D30,OFFSET([2]stages!$A$1,0,0,COUNTA([2]stages!$A:$A),MATCH(F$1,[2]stages!$2:$2,0)-MATCH($D$1,[2]stages!$2:$2,0)+1),MATCH(F$1,[2]stages!$2:$2,0)-MATCH($D$1,[2]stages!$2:$2,0)+1,FALSE)</f>
        <v>【超絶級】私がワニの天敵よ？</v>
      </c>
      <c r="G30" s="75">
        <v>3</v>
      </c>
      <c r="H30" s="15" t="str">
        <f t="shared" si="42"/>
        <v>30016_2-3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9" t="s">
        <v>53</v>
      </c>
      <c r="L30" s="21">
        <v>6</v>
      </c>
      <c r="M30" s="17" t="str">
        <f ca="1">VLOOKUP(L30,[3]enemies!$A:$B,2,FALSE)</f>
        <v>パトドッグリーダー ポチ</v>
      </c>
      <c r="N30" s="19" t="str">
        <f ca="1">VLOOKUP(L30,[3]enemies!$A:$D,4,FALSE)</f>
        <v>blue</v>
      </c>
      <c r="O30" s="19" t="str">
        <f>VLOOKUP(L30,[4]characters!$A:$J,10,FALSE)</f>
        <v>Drop1T</v>
      </c>
      <c r="P30" s="18" t="str">
        <f>VLOOKUP(L30,[4]characters!$A:$M,13,FALSE)</f>
        <v>unknown</v>
      </c>
      <c r="Q30" s="4">
        <f ca="1">VLOOKUP(L30,[3]enemies!$A:$X,24,FALSE)</f>
        <v>15</v>
      </c>
      <c r="R30" s="5">
        <v>60</v>
      </c>
      <c r="S30" s="26">
        <v>1</v>
      </c>
      <c r="T30" s="26">
        <v>1</v>
      </c>
      <c r="U30" s="5">
        <v>0</v>
      </c>
      <c r="V30" s="4">
        <f ca="1">VLOOKUP(L30,[3]enemies!$A:$AB,28,FALSE)</f>
        <v>0</v>
      </c>
      <c r="W30" s="4" t="str">
        <f ca="1">IFERROR(VLOOKUP(V30,[5]enemy_skill_sets!$B:$E,4,FALSE),VLOOKUP(V30,enemy_skill_sets!B:E,4,FALSE))</f>
        <v>なし</v>
      </c>
      <c r="X30" s="6">
        <v>0</v>
      </c>
      <c r="Y30" s="6">
        <v>100</v>
      </c>
      <c r="Z30" s="6">
        <v>0</v>
      </c>
      <c r="AA30" s="4">
        <f ca="1">VLOOKUP(L30,[3]enemies!$A:$V,22,FALSE)</f>
        <v>3</v>
      </c>
      <c r="AB30" s="25">
        <f t="shared" si="33"/>
        <v>6</v>
      </c>
      <c r="AC30" s="4" t="str">
        <f ca="1">VLOOKUP(AB30,[3]enemies!$A:$B,2,FALSE)</f>
        <v>パトドッグリーダー ポチ</v>
      </c>
      <c r="AD30" s="4">
        <f ca="1">VLOOKUP(AB30,[3]enemies!$A:$E,3,FALSE)</f>
        <v>2</v>
      </c>
      <c r="AE30" s="4" t="str">
        <f>VLOOKUP(AB30,[4]characters!$A:$J,10,FALSE)</f>
        <v>Drop1T</v>
      </c>
      <c r="AF30" s="7">
        <v>1</v>
      </c>
      <c r="AG30" s="25">
        <f t="shared" ca="1" si="43"/>
        <v>2</v>
      </c>
      <c r="AH30" s="8">
        <v>30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</row>
    <row r="31" spans="1:39" ht="21" customHeight="1" x14ac:dyDescent="0.15">
      <c r="A31" s="16" t="str">
        <f t="shared" ca="1" si="40"/>
        <v>30016_2-3/10&lt;lv60&gt;s2</v>
      </c>
      <c r="B31" s="23">
        <v>30016</v>
      </c>
      <c r="C31" s="74">
        <v>2</v>
      </c>
      <c r="D31" s="2" t="str">
        <f t="shared" si="41"/>
        <v>30016_2</v>
      </c>
      <c r="E31" s="4" t="str">
        <f ca="1">VLOOKUP($B31,OFFSET([2]quests!$A$1,0,0,COUNTA([2]quests!$A:$A),MATCH(E$1,[2]quests!$1:$1,0)-MATCH($B$1,[2]quests!$1:$1,0)+1),MATCH(E$1,[2]quests!$1:$1,0)-MATCH($B$1,[2]quests!$1:$1,0)+1,FALSE)</f>
        <v>私がワニの天敵よ？</v>
      </c>
      <c r="F31" s="4" t="str">
        <f ca="1">VLOOKUP($D31,OFFSET([2]stages!$A$1,0,0,COUNTA([2]stages!$A:$A),MATCH(F$1,[2]stages!$2:$2,0)-MATCH($D$1,[2]stages!$2:$2,0)+1),MATCH(F$1,[2]stages!$2:$2,0)-MATCH($D$1,[2]stages!$2:$2,0)+1,FALSE)</f>
        <v>【超絶級】私がワニの天敵よ？</v>
      </c>
      <c r="G31" s="75">
        <v>3</v>
      </c>
      <c r="H31" s="15" t="str">
        <f t="shared" si="42"/>
        <v>30016_2-3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9" t="s">
        <v>53</v>
      </c>
      <c r="L31" s="21">
        <v>10</v>
      </c>
      <c r="M31" s="17" t="str">
        <f ca="1">VLOOKUP(L31,[3]enemies!$A:$B,2,FALSE)</f>
        <v>燃える悪戯魂 ブレット</v>
      </c>
      <c r="N31" s="19" t="str">
        <f ca="1">VLOOKUP(L31,[3]enemies!$A:$D,4,FALSE)</f>
        <v>red</v>
      </c>
      <c r="O31" s="19" t="str">
        <f>VLOOKUP(L31,[4]characters!$A:$J,10,FALSE)</f>
        <v>Drop1W</v>
      </c>
      <c r="P31" s="18" t="str">
        <f>VLOOKUP(L31,[4]characters!$A:$M,13,FALSE)</f>
        <v>animal</v>
      </c>
      <c r="Q31" s="4">
        <f ca="1">VLOOKUP(L31,[3]enemies!$A:$X,24,FALSE)</f>
        <v>15</v>
      </c>
      <c r="R31" s="5">
        <v>60</v>
      </c>
      <c r="S31" s="26">
        <v>1</v>
      </c>
      <c r="T31" s="26">
        <v>0.5</v>
      </c>
      <c r="U31" s="5">
        <v>0</v>
      </c>
      <c r="V31" s="4">
        <f ca="1">VLOOKUP(L31,[3]enemies!$A:$AB,28,FALSE)</f>
        <v>0</v>
      </c>
      <c r="W31" s="4" t="str">
        <f ca="1">IFERROR(VLOOKUP(V31,[5]enemy_skill_sets!$B:$E,4,FALSE),VLOOKUP(V31,enemy_skill_sets!B:E,4,FALSE))</f>
        <v>なし</v>
      </c>
      <c r="X31" s="6">
        <v>0</v>
      </c>
      <c r="Y31" s="6">
        <v>100</v>
      </c>
      <c r="Z31" s="6">
        <v>0</v>
      </c>
      <c r="AA31" s="4">
        <f ca="1">VLOOKUP(L31,[3]enemies!$A:$V,22,FALSE)</f>
        <v>2</v>
      </c>
      <c r="AB31" s="25">
        <f t="shared" si="33"/>
        <v>10</v>
      </c>
      <c r="AC31" s="4" t="str">
        <f ca="1">VLOOKUP(AB31,[3]enemies!$A:$B,2,FALSE)</f>
        <v>燃える悪戯魂 ブレット</v>
      </c>
      <c r="AD31" s="4">
        <f ca="1">VLOOKUP(AB31,[3]enemies!$A:$E,3,FALSE)</f>
        <v>2</v>
      </c>
      <c r="AE31" s="4" t="str">
        <f>VLOOKUP(AB31,[4]characters!$A:$J,10,FALSE)</f>
        <v>Drop1W</v>
      </c>
      <c r="AF31" s="7">
        <v>1</v>
      </c>
      <c r="AG31" s="25">
        <f t="shared" ca="1" si="43"/>
        <v>2</v>
      </c>
      <c r="AH31" s="8">
        <v>30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</row>
    <row r="32" spans="1:39" ht="21" customHeight="1" x14ac:dyDescent="0.15">
      <c r="A32" s="16" t="str">
        <f t="shared" ca="1" si="40"/>
        <v>30016_2-3/12&lt;lv60&gt;s3</v>
      </c>
      <c r="B32" s="23">
        <v>30016</v>
      </c>
      <c r="C32" s="74">
        <v>2</v>
      </c>
      <c r="D32" s="2" t="str">
        <f t="shared" si="41"/>
        <v>30016_2</v>
      </c>
      <c r="E32" s="4" t="str">
        <f ca="1">VLOOKUP($B32,OFFSET([2]quests!$A$1,0,0,COUNTA([2]quests!$A:$A),MATCH(E$1,[2]quests!$1:$1,0)-MATCH($B$1,[2]quests!$1:$1,0)+1),MATCH(E$1,[2]quests!$1:$1,0)-MATCH($B$1,[2]quests!$1:$1,0)+1,FALSE)</f>
        <v>私がワニの天敵よ？</v>
      </c>
      <c r="F32" s="4" t="str">
        <f ca="1">VLOOKUP($D32,OFFSET([2]stages!$A$1,0,0,COUNTA([2]stages!$A:$A),MATCH(F$1,[2]stages!$2:$2,0)-MATCH($D$1,[2]stages!$2:$2,0)+1),MATCH(F$1,[2]stages!$2:$2,0)-MATCH($D$1,[2]stages!$2:$2,0)+1,FALSE)</f>
        <v>【超絶級】私がワニの天敵よ？</v>
      </c>
      <c r="G32" s="75">
        <v>3</v>
      </c>
      <c r="H32" s="15" t="str">
        <f t="shared" si="42"/>
        <v>30016_2-3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9" t="s">
        <v>53</v>
      </c>
      <c r="L32" s="21">
        <v>12</v>
      </c>
      <c r="M32" s="17" t="str">
        <f ca="1">VLOOKUP(L32,[3]enemies!$A:$B,2,FALSE)</f>
        <v>癒しのグラフィティ マグリット</v>
      </c>
      <c r="N32" s="19" t="str">
        <f ca="1">VLOOKUP(L32,[3]enemies!$A:$D,4,FALSE)</f>
        <v>green</v>
      </c>
      <c r="O32" s="19" t="str">
        <f>VLOOKUP(L32,[4]characters!$A:$J,10,FALSE)</f>
        <v>Drop1W</v>
      </c>
      <c r="P32" s="18" t="str">
        <f>VLOOKUP(L32,[4]characters!$A:$M,13,FALSE)</f>
        <v>animal</v>
      </c>
      <c r="Q32" s="4">
        <f ca="1">VLOOKUP(L32,[3]enemies!$A:$X,24,FALSE)</f>
        <v>15</v>
      </c>
      <c r="R32" s="5">
        <v>60</v>
      </c>
      <c r="S32" s="26">
        <v>1</v>
      </c>
      <c r="T32" s="26">
        <v>1</v>
      </c>
      <c r="U32" s="5">
        <v>0</v>
      </c>
      <c r="V32" s="4">
        <f ca="1">VLOOKUP(L32,[3]enemies!$A:$AB,28,FALSE)</f>
        <v>0</v>
      </c>
      <c r="W32" s="4" t="str">
        <f ca="1">IFERROR(VLOOKUP(V32,[5]enemy_skill_sets!$B:$E,4,FALSE),VLOOKUP(V32,enemy_skill_sets!B:E,4,FALSE))</f>
        <v>なし</v>
      </c>
      <c r="X32" s="6">
        <v>0</v>
      </c>
      <c r="Y32" s="6">
        <v>100</v>
      </c>
      <c r="Z32" s="6">
        <v>0</v>
      </c>
      <c r="AA32" s="4">
        <f ca="1">VLOOKUP(L32,[3]enemies!$A:$V,22,FALSE)</f>
        <v>3</v>
      </c>
      <c r="AB32" s="25">
        <f t="shared" si="33"/>
        <v>12</v>
      </c>
      <c r="AC32" s="4" t="str">
        <f ca="1">VLOOKUP(AB32,[3]enemies!$A:$B,2,FALSE)</f>
        <v>癒しのグラフィティ マグリット</v>
      </c>
      <c r="AD32" s="4">
        <f ca="1">VLOOKUP(AB32,[3]enemies!$A:$E,3,FALSE)</f>
        <v>2</v>
      </c>
      <c r="AE32" s="4" t="str">
        <f>VLOOKUP(AB32,[4]characters!$A:$J,10,FALSE)</f>
        <v>Drop1W</v>
      </c>
      <c r="AF32" s="7">
        <v>1</v>
      </c>
      <c r="AG32" s="25">
        <f t="shared" ca="1" si="43"/>
        <v>2</v>
      </c>
      <c r="AH32" s="8">
        <v>30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</row>
    <row r="33" spans="1:39" ht="21" customHeight="1" x14ac:dyDescent="0.15">
      <c r="A33" s="16" t="str">
        <f t="shared" ca="1" si="40"/>
        <v>30016_2-3/24&lt;lv60&gt;s4</v>
      </c>
      <c r="B33" s="23">
        <v>30016</v>
      </c>
      <c r="C33" s="74">
        <v>2</v>
      </c>
      <c r="D33" s="2" t="str">
        <f t="shared" si="41"/>
        <v>30016_2</v>
      </c>
      <c r="E33" s="4" t="str">
        <f ca="1">VLOOKUP($B33,OFFSET([2]quests!$A$1,0,0,COUNTA([2]quests!$A:$A),MATCH(E$1,[2]quests!$1:$1,0)-MATCH($B$1,[2]quests!$1:$1,0)+1),MATCH(E$1,[2]quests!$1:$1,0)-MATCH($B$1,[2]quests!$1:$1,0)+1,FALSE)</f>
        <v>私がワニの天敵よ？</v>
      </c>
      <c r="F33" s="4" t="str">
        <f ca="1">VLOOKUP($D33,OFFSET([2]stages!$A$1,0,0,COUNTA([2]stages!$A:$A),MATCH(F$1,[2]stages!$2:$2,0)-MATCH($D$1,[2]stages!$2:$2,0)+1),MATCH(F$1,[2]stages!$2:$2,0)-MATCH($D$1,[2]stages!$2:$2,0)+1,FALSE)</f>
        <v>【超絶級】私がワニの天敵よ？</v>
      </c>
      <c r="G33" s="75">
        <v>3</v>
      </c>
      <c r="H33" s="15" t="str">
        <f t="shared" si="42"/>
        <v>30016_2-3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39" t="s">
        <v>53</v>
      </c>
      <c r="L33" s="21">
        <v>24</v>
      </c>
      <c r="M33" s="17" t="str">
        <f ca="1">VLOOKUP(L33,[3]enemies!$A:$B,2,FALSE)</f>
        <v>天翔のミール</v>
      </c>
      <c r="N33" s="19" t="str">
        <f ca="1">VLOOKUP(L33,[3]enemies!$A:$D,4,FALSE)</f>
        <v>green</v>
      </c>
      <c r="O33" s="19" t="str">
        <f>VLOOKUP(L33,[4]characters!$A:$J,10,FALSE)</f>
        <v>Drop1N</v>
      </c>
      <c r="P33" s="18" t="str">
        <f>VLOOKUP(L33,[4]characters!$A:$M,13,FALSE)</f>
        <v>animal</v>
      </c>
      <c r="Q33" s="4">
        <f ca="1">VLOOKUP(L33,[3]enemies!$A:$X,24,FALSE)</f>
        <v>15</v>
      </c>
      <c r="R33" s="5">
        <v>60</v>
      </c>
      <c r="S33" s="26">
        <v>1</v>
      </c>
      <c r="T33" s="26">
        <v>1</v>
      </c>
      <c r="U33" s="5">
        <v>0</v>
      </c>
      <c r="V33" s="4">
        <f ca="1">VLOOKUP(L33,[3]enemies!$A:$AB,28,FALSE)</f>
        <v>0</v>
      </c>
      <c r="W33" s="4" t="str">
        <f ca="1">IFERROR(VLOOKUP(V33,[5]enemy_skill_sets!$B:$E,4,FALSE),VLOOKUP(V33,enemy_skill_sets!B:E,4,FALSE))</f>
        <v>なし</v>
      </c>
      <c r="X33" s="6">
        <v>0</v>
      </c>
      <c r="Y33" s="6">
        <v>100</v>
      </c>
      <c r="Z33" s="6">
        <v>0</v>
      </c>
      <c r="AA33" s="4">
        <f ca="1">VLOOKUP(L33,[3]enemies!$A:$V,22,FALSE)</f>
        <v>4</v>
      </c>
      <c r="AB33" s="25">
        <f t="shared" si="33"/>
        <v>24</v>
      </c>
      <c r="AC33" s="4" t="str">
        <f ca="1">VLOOKUP(AB33,[3]enemies!$A:$B,2,FALSE)</f>
        <v>天翔のミール</v>
      </c>
      <c r="AD33" s="4">
        <f ca="1">VLOOKUP(AB33,[3]enemies!$A:$E,3,FALSE)</f>
        <v>2</v>
      </c>
      <c r="AE33" s="4" t="str">
        <f>VLOOKUP(AB33,[4]characters!$A:$J,10,FALSE)</f>
        <v>Drop1N</v>
      </c>
      <c r="AF33" s="7">
        <v>1</v>
      </c>
      <c r="AG33" s="25">
        <f t="shared" ca="1" si="43"/>
        <v>2</v>
      </c>
      <c r="AH33" s="8">
        <v>30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</row>
    <row r="34" spans="1:39" ht="21" customHeight="1" x14ac:dyDescent="0.15">
      <c r="A34" s="16" t="str">
        <f t="shared" ca="1" si="40"/>
        <v>30016_2-3/44&lt;lv60&gt;s2</v>
      </c>
      <c r="B34" s="23">
        <v>30016</v>
      </c>
      <c r="C34" s="74">
        <v>2</v>
      </c>
      <c r="D34" s="2" t="str">
        <f t="shared" si="41"/>
        <v>30016_2</v>
      </c>
      <c r="E34" s="4" t="str">
        <f ca="1">VLOOKUP($B34,OFFSET([2]quests!$A$1,0,0,COUNTA([2]quests!$A:$A),MATCH(E$1,[2]quests!$1:$1,0)-MATCH($B$1,[2]quests!$1:$1,0)+1),MATCH(E$1,[2]quests!$1:$1,0)-MATCH($B$1,[2]quests!$1:$1,0)+1,FALSE)</f>
        <v>私がワニの天敵よ？</v>
      </c>
      <c r="F34" s="4" t="str">
        <f ca="1">VLOOKUP($D34,OFFSET([2]stages!$A$1,0,0,COUNTA([2]stages!$A:$A),MATCH(F$1,[2]stages!$2:$2,0)-MATCH($D$1,[2]stages!$2:$2,0)+1),MATCH(F$1,[2]stages!$2:$2,0)-MATCH($D$1,[2]stages!$2:$2,0)+1,FALSE)</f>
        <v>【超絶級】私がワニの天敵よ？</v>
      </c>
      <c r="G34" s="75">
        <v>3</v>
      </c>
      <c r="H34" s="15" t="str">
        <f t="shared" si="42"/>
        <v>30016_2-3</v>
      </c>
      <c r="I34" s="4">
        <f ca="1">VLOOKUP($H34,OFFSET(floors!$A$1,0,0,COUNTA(floors!$A:$A),MATCH(I$1,floors!$1:$1,0)-MATCH($H$1,floors!$1:$1,0)+1),MATCH(I$1,floors!$1:$1,0)-MATCH($H$1,floors!$1:$1,0)+1,FALSE)</f>
        <v>60</v>
      </c>
      <c r="J34" s="4">
        <f ca="1">VLOOKUP($H34,OFFSET(floors!$A$1,0,0,COUNTA(floors!$A:$A),MATCH(J$1,floors!$1:$1,0)-MATCH($H$1,floors!$1:$1,0)+1),MATCH(J$1,floors!$1:$1,0)-MATCH($H$1,floors!$1:$1,0)+1,FALSE)</f>
        <v>60</v>
      </c>
      <c r="K34" s="39" t="s">
        <v>53</v>
      </c>
      <c r="L34" s="21">
        <v>44</v>
      </c>
      <c r="M34" s="17" t="str">
        <f ca="1">VLOOKUP(L34,[3]enemies!$A:$B,2,FALSE)</f>
        <v>遠い星からやってきたムゥ</v>
      </c>
      <c r="N34" s="19" t="str">
        <f ca="1">VLOOKUP(L34,[3]enemies!$A:$D,4,FALSE)</f>
        <v>green</v>
      </c>
      <c r="O34" s="19" t="str">
        <f>VLOOKUP(L34,[4]characters!$A:$J,10,FALSE)</f>
        <v>Drop1N</v>
      </c>
      <c r="P34" s="18" t="str">
        <f>VLOOKUP(L34,[4]characters!$A:$M,13,FALSE)</f>
        <v>dragon</v>
      </c>
      <c r="Q34" s="4">
        <f ca="1">VLOOKUP(L34,[3]enemies!$A:$X,24,FALSE)</f>
        <v>20</v>
      </c>
      <c r="R34" s="5">
        <v>60</v>
      </c>
      <c r="S34" s="26">
        <v>0.6</v>
      </c>
      <c r="T34" s="26">
        <v>0.9</v>
      </c>
      <c r="U34" s="5">
        <v>0</v>
      </c>
      <c r="V34" s="4">
        <f ca="1">VLOOKUP(L34,[3]enemies!$A:$AB,28,FALSE)</f>
        <v>0</v>
      </c>
      <c r="W34" s="4" t="str">
        <f ca="1">IFERROR(VLOOKUP(V34,[5]enemy_skill_sets!$B:$E,4,FALSE),VLOOKUP(V34,enemy_skill_sets!B:E,4,FALSE))</f>
        <v>なし</v>
      </c>
      <c r="X34" s="6">
        <v>0</v>
      </c>
      <c r="Y34" s="6">
        <v>100</v>
      </c>
      <c r="Z34" s="6">
        <v>0</v>
      </c>
      <c r="AA34" s="4">
        <f ca="1">VLOOKUP(L34,[3]enemies!$A:$V,22,FALSE)</f>
        <v>2</v>
      </c>
      <c r="AB34" s="25">
        <f t="shared" si="33"/>
        <v>44</v>
      </c>
      <c r="AC34" s="4" t="str">
        <f ca="1">VLOOKUP(AB34,[3]enemies!$A:$B,2,FALSE)</f>
        <v>遠い星からやってきたムゥ</v>
      </c>
      <c r="AD34" s="4">
        <f ca="1">VLOOKUP(AB34,[3]enemies!$A:$E,3,FALSE)</f>
        <v>3</v>
      </c>
      <c r="AE34" s="4" t="str">
        <f>VLOOKUP(AB34,[4]characters!$A:$J,10,FALSE)</f>
        <v>Drop1N</v>
      </c>
      <c r="AF34" s="7">
        <v>1</v>
      </c>
      <c r="AG34" s="25">
        <f t="shared" ca="1" si="43"/>
        <v>3</v>
      </c>
      <c r="AH34" s="8">
        <v>30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</row>
    <row r="35" spans="1:39" ht="21" customHeight="1" x14ac:dyDescent="0.15">
      <c r="A35" s="16" t="str">
        <f t="shared" ca="1" si="40"/>
        <v>30016_2-3/62&lt;lv60&gt;s2</v>
      </c>
      <c r="B35" s="23">
        <v>30016</v>
      </c>
      <c r="C35" s="74">
        <v>2</v>
      </c>
      <c r="D35" s="2" t="str">
        <f t="shared" si="41"/>
        <v>30016_2</v>
      </c>
      <c r="E35" s="4" t="str">
        <f ca="1">VLOOKUP($B35,OFFSET([2]quests!$A$1,0,0,COUNTA([2]quests!$A:$A),MATCH(E$1,[2]quests!$1:$1,0)-MATCH($B$1,[2]quests!$1:$1,0)+1),MATCH(E$1,[2]quests!$1:$1,0)-MATCH($B$1,[2]quests!$1:$1,0)+1,FALSE)</f>
        <v>私がワニの天敵よ？</v>
      </c>
      <c r="F35" s="4" t="str">
        <f ca="1">VLOOKUP($D35,OFFSET([2]stages!$A$1,0,0,COUNTA([2]stages!$A:$A),MATCH(F$1,[2]stages!$2:$2,0)-MATCH($D$1,[2]stages!$2:$2,0)+1),MATCH(F$1,[2]stages!$2:$2,0)-MATCH($D$1,[2]stages!$2:$2,0)+1,FALSE)</f>
        <v>【超絶級】私がワニの天敵よ？</v>
      </c>
      <c r="G35" s="75">
        <v>3</v>
      </c>
      <c r="H35" s="15" t="str">
        <f t="shared" si="42"/>
        <v>30016_2-3</v>
      </c>
      <c r="I35" s="4">
        <f ca="1">VLOOKUP($H35,OFFSET(floors!$A$1,0,0,COUNTA(floors!$A:$A),MATCH(I$1,floors!$1:$1,0)-MATCH($H$1,floors!$1:$1,0)+1),MATCH(I$1,floors!$1:$1,0)-MATCH($H$1,floors!$1:$1,0)+1,FALSE)</f>
        <v>60</v>
      </c>
      <c r="J35" s="4">
        <f ca="1">VLOOKUP($H35,OFFSET(floors!$A$1,0,0,COUNTA(floors!$A:$A),MATCH(J$1,floors!$1:$1,0)-MATCH($H$1,floors!$1:$1,0)+1),MATCH(J$1,floors!$1:$1,0)-MATCH($H$1,floors!$1:$1,0)+1,FALSE)</f>
        <v>60</v>
      </c>
      <c r="K35" s="39" t="s">
        <v>53</v>
      </c>
      <c r="L35" s="21">
        <v>62</v>
      </c>
      <c r="M35" s="17" t="str">
        <f ca="1">VLOOKUP(L35,[3]enemies!$A:$B,2,FALSE)</f>
        <v>脈動旋律のクロウ</v>
      </c>
      <c r="N35" s="19" t="str">
        <f ca="1">VLOOKUP(L35,[3]enemies!$A:$D,4,FALSE)</f>
        <v>blue</v>
      </c>
      <c r="O35" s="19" t="str">
        <f>VLOOKUP(L35,[4]characters!$A:$J,10,FALSE)</f>
        <v>Drop1N</v>
      </c>
      <c r="P35" s="18" t="str">
        <f>VLOOKUP(L35,[4]characters!$A:$M,13,FALSE)</f>
        <v>animal</v>
      </c>
      <c r="Q35" s="4">
        <f ca="1">VLOOKUP(L35,[3]enemies!$A:$X,24,FALSE)</f>
        <v>20</v>
      </c>
      <c r="R35" s="5">
        <v>60</v>
      </c>
      <c r="S35" s="26">
        <v>0.6</v>
      </c>
      <c r="T35" s="26">
        <v>1</v>
      </c>
      <c r="U35" s="5">
        <v>0</v>
      </c>
      <c r="V35" s="4">
        <f ca="1">VLOOKUP(L35,[3]enemies!$A:$AB,28,FALSE)</f>
        <v>0</v>
      </c>
      <c r="W35" s="4" t="str">
        <f ca="1">IFERROR(VLOOKUP(V35,[5]enemy_skill_sets!$B:$E,4,FALSE),VLOOKUP(V35,enemy_skill_sets!B:E,4,FALSE))</f>
        <v>なし</v>
      </c>
      <c r="X35" s="6">
        <v>0</v>
      </c>
      <c r="Y35" s="6">
        <v>100</v>
      </c>
      <c r="Z35" s="6">
        <v>0</v>
      </c>
      <c r="AA35" s="4">
        <f ca="1">VLOOKUP(L35,[3]enemies!$A:$V,22,FALSE)</f>
        <v>2</v>
      </c>
      <c r="AB35" s="25">
        <f t="shared" ref="AB35:AB39" si="44">L35</f>
        <v>62</v>
      </c>
      <c r="AC35" s="4" t="str">
        <f ca="1">VLOOKUP(AB35,[3]enemies!$A:$B,2,FALSE)</f>
        <v>脈動旋律のクロウ</v>
      </c>
      <c r="AD35" s="4">
        <f ca="1">VLOOKUP(AB35,[3]enemies!$A:$E,3,FALSE)</f>
        <v>3</v>
      </c>
      <c r="AE35" s="4" t="str">
        <f>VLOOKUP(AB35,[4]characters!$A:$J,10,FALSE)</f>
        <v>Drop1N</v>
      </c>
      <c r="AF35" s="7">
        <v>1</v>
      </c>
      <c r="AG35" s="25">
        <f t="shared" ca="1" si="43"/>
        <v>3</v>
      </c>
      <c r="AH35" s="8">
        <v>30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</row>
    <row r="36" spans="1:39" ht="21" customHeight="1" x14ac:dyDescent="0.15">
      <c r="A36" s="16" t="str">
        <f t="shared" ref="A36" ca="1" si="45">B36&amp;"_"&amp;C36&amp;"-"&amp;G36&amp;"/"&amp;L36&amp;"&lt;lv"&amp;R36&amp;"&gt;s"&amp;AA36</f>
        <v>30016_2-3/19&lt;lv60&gt;s3</v>
      </c>
      <c r="B36" s="23">
        <v>30016</v>
      </c>
      <c r="C36" s="74">
        <v>2</v>
      </c>
      <c r="D36" s="2" t="str">
        <f t="shared" ref="D36" si="46">B36&amp;"_"&amp;C36</f>
        <v>30016_2</v>
      </c>
      <c r="E36" s="4" t="str">
        <f ca="1">VLOOKUP($B36,OFFSET([2]quests!$A$1,0,0,COUNTA([2]quests!$A:$A),MATCH(E$1,[2]quests!$1:$1,0)-MATCH($B$1,[2]quests!$1:$1,0)+1),MATCH(E$1,[2]quests!$1:$1,0)-MATCH($B$1,[2]quests!$1:$1,0)+1,FALSE)</f>
        <v>私がワニの天敵よ？</v>
      </c>
      <c r="F36" s="4" t="str">
        <f ca="1">VLOOKUP($D36,OFFSET([2]stages!$A$1,0,0,COUNTA([2]stages!$A:$A),MATCH(F$1,[2]stages!$2:$2,0)-MATCH($D$1,[2]stages!$2:$2,0)+1),MATCH(F$1,[2]stages!$2:$2,0)-MATCH($D$1,[2]stages!$2:$2,0)+1,FALSE)</f>
        <v>【超絶級】私がワニの天敵よ？</v>
      </c>
      <c r="G36" s="75">
        <v>3</v>
      </c>
      <c r="H36" s="15" t="str">
        <f t="shared" ref="H36" si="47">B36&amp;"_"&amp;C36&amp;"-"&amp;G36</f>
        <v>30016_2-3</v>
      </c>
      <c r="I36" s="4">
        <f ca="1">VLOOKUP($H36,OFFSET(floors!$A$1,0,0,COUNTA(floors!$A:$A),MATCH(I$1,floors!$1:$1,0)-MATCH($H$1,floors!$1:$1,0)+1),MATCH(I$1,floors!$1:$1,0)-MATCH($H$1,floors!$1:$1,0)+1,FALSE)</f>
        <v>60</v>
      </c>
      <c r="J36" s="4">
        <f ca="1">VLOOKUP($H36,OFFSET(floors!$A$1,0,0,COUNTA(floors!$A:$A),MATCH(J$1,floors!$1:$1,0)-MATCH($H$1,floors!$1:$1,0)+1),MATCH(J$1,floors!$1:$1,0)-MATCH($H$1,floors!$1:$1,0)+1,FALSE)</f>
        <v>60</v>
      </c>
      <c r="K36" s="39" t="s">
        <v>53</v>
      </c>
      <c r="L36" s="21">
        <v>19</v>
      </c>
      <c r="M36" s="17" t="str">
        <f ca="1">VLOOKUP(L36,[3]enemies!$A:$B,2,FALSE)</f>
        <v>ティンク</v>
      </c>
      <c r="N36" s="19" t="str">
        <f ca="1">VLOOKUP(L36,[3]enemies!$A:$D,4,FALSE)</f>
        <v>yellow</v>
      </c>
      <c r="O36" s="19" t="str">
        <f>VLOOKUP(L36,[4]characters!$A:$J,10,FALSE)</f>
        <v>Drop1W</v>
      </c>
      <c r="P36" s="18" t="str">
        <f>VLOOKUP(L36,[4]characters!$A:$M,13,FALSE)</f>
        <v>human</v>
      </c>
      <c r="Q36" s="4">
        <f ca="1">VLOOKUP(L36,[3]enemies!$A:$X,24,FALSE)</f>
        <v>15</v>
      </c>
      <c r="R36" s="5">
        <v>60</v>
      </c>
      <c r="S36" s="26">
        <v>0.8</v>
      </c>
      <c r="T36" s="26">
        <v>1</v>
      </c>
      <c r="U36" s="5">
        <v>0</v>
      </c>
      <c r="V36" s="49">
        <v>30016005</v>
      </c>
      <c r="W36" s="4" t="str">
        <f>IFERROR(VLOOKUP(V36,[5]enemy_skill_sets!$B:$E,4,FALSE),VLOOKUP(V36,enemy_skill_sets!B:E,4,FALSE))</f>
        <v>フック船長に言いつけてやる！</v>
      </c>
      <c r="X36" s="6">
        <v>1</v>
      </c>
      <c r="Y36" s="6">
        <v>100</v>
      </c>
      <c r="Z36" s="6">
        <v>1</v>
      </c>
      <c r="AA36" s="4">
        <f ca="1">VLOOKUP(L36,[3]enemies!$A:$V,22,FALSE)</f>
        <v>3</v>
      </c>
      <c r="AB36" s="25">
        <f t="shared" ref="AB36" si="48">L36</f>
        <v>19</v>
      </c>
      <c r="AC36" s="4" t="str">
        <f ca="1">VLOOKUP(AB36,[3]enemies!$A:$B,2,FALSE)</f>
        <v>ティンク</v>
      </c>
      <c r="AD36" s="4">
        <f ca="1">VLOOKUP(AB36,[3]enemies!$A:$E,3,FALSE)</f>
        <v>1</v>
      </c>
      <c r="AE36" s="4" t="str">
        <f>VLOOKUP(AB36,[4]characters!$A:$J,10,FALSE)</f>
        <v>Drop1W</v>
      </c>
      <c r="AF36" s="7">
        <v>1</v>
      </c>
      <c r="AG36" s="25">
        <f t="shared" ref="AG36" ca="1" si="49">AD36</f>
        <v>1</v>
      </c>
      <c r="AH36" s="8">
        <v>0</v>
      </c>
      <c r="AI36" s="7">
        <v>0</v>
      </c>
      <c r="AJ36" s="7">
        <v>0</v>
      </c>
      <c r="AK36" s="7">
        <v>0</v>
      </c>
      <c r="AL36" s="7">
        <v>0</v>
      </c>
      <c r="AM36" s="7">
        <v>1</v>
      </c>
    </row>
    <row r="37" spans="1:39" ht="21" customHeight="1" x14ac:dyDescent="0.15">
      <c r="A37" s="16" t="str">
        <f t="shared" si="40"/>
        <v>30016_2-4/424&lt;lv70&gt;s2</v>
      </c>
      <c r="B37" s="23">
        <v>30016</v>
      </c>
      <c r="C37" s="74">
        <v>2</v>
      </c>
      <c r="D37" s="2" t="str">
        <f t="shared" si="41"/>
        <v>30016_2</v>
      </c>
      <c r="E37" s="4" t="str">
        <f ca="1">VLOOKUP($B37,OFFSET([2]quests!$A$1,0,0,COUNTA([2]quests!$A:$A),MATCH(E$1,[2]quests!$1:$1,0)-MATCH($B$1,[2]quests!$1:$1,0)+1),MATCH(E$1,[2]quests!$1:$1,0)-MATCH($B$1,[2]quests!$1:$1,0)+1,FALSE)</f>
        <v>私がワニの天敵よ？</v>
      </c>
      <c r="F37" s="4" t="str">
        <f ca="1">VLOOKUP($D37,OFFSET([2]stages!$A$1,0,0,COUNTA([2]stages!$A:$A),MATCH(F$1,[2]stages!$2:$2,0)-MATCH($D$1,[2]stages!$2:$2,0)+1),MATCH(F$1,[2]stages!$2:$2,0)-MATCH($D$1,[2]stages!$2:$2,0)+1,FALSE)</f>
        <v>【超絶級】私がワニの天敵よ？</v>
      </c>
      <c r="G37" s="76">
        <v>4</v>
      </c>
      <c r="H37" s="15" t="str">
        <f t="shared" si="42"/>
        <v>30016_2-4</v>
      </c>
      <c r="I37" s="4">
        <f ca="1">VLOOKUP($H37,OFFSET(floors!$A$1,0,0,COUNTA(floors!$A:$A),MATCH(I$1,floors!$1:$1,0)-MATCH($H$1,floors!$1:$1,0)+1),MATCH(I$1,floors!$1:$1,0)-MATCH($H$1,floors!$1:$1,0)+1,FALSE)</f>
        <v>60</v>
      </c>
      <c r="J37" s="4">
        <f ca="1">VLOOKUP($H37,OFFSET(floors!$A$1,0,0,COUNTA(floors!$A:$A),MATCH(J$1,floors!$1:$1,0)-MATCH($H$1,floors!$1:$1,0)+1),MATCH(J$1,floors!$1:$1,0)-MATCH($H$1,floors!$1:$1,0)+1,FALSE)</f>
        <v>60</v>
      </c>
      <c r="K37" s="39">
        <v>1</v>
      </c>
      <c r="L37" s="21">
        <v>424</v>
      </c>
      <c r="M37" s="17" t="str">
        <f ca="1">VLOOKUP(L37,[3]enemies!$A:$B,2,FALSE)</f>
        <v>フック</v>
      </c>
      <c r="N37" s="19" t="str">
        <f ca="1">VLOOKUP(L37,[3]enemies!$A:$D,4,FALSE)</f>
        <v>yellow</v>
      </c>
      <c r="O37" s="19" t="str">
        <f>VLOOKUP(L37,[4]characters!$A:$J,10,FALSE)</f>
        <v>Drop2N</v>
      </c>
      <c r="P37" s="18" t="str">
        <f>VLOOKUP(L37,[4]characters!$A:$M,13,FALSE)</f>
        <v>human</v>
      </c>
      <c r="Q37" s="4">
        <f ca="1">VLOOKUP(L37,[3]enemies!$A:$X,24,FALSE)</f>
        <v>30</v>
      </c>
      <c r="R37" s="5">
        <v>70</v>
      </c>
      <c r="S37" s="26">
        <v>2.4</v>
      </c>
      <c r="T37" s="26">
        <v>0.8</v>
      </c>
      <c r="U37" s="5">
        <v>0</v>
      </c>
      <c r="V37" s="49">
        <v>30016001</v>
      </c>
      <c r="W37" s="4" t="str">
        <f>IFERROR(VLOOKUP(V37,[5]enemy_skill_sets!$B:$E,4,FALSE),VLOOKUP(V37,enemy_skill_sets!B:E,4,FALSE))</f>
        <v>ドラゴンさんにはよくききますっ！</v>
      </c>
      <c r="X37" s="6">
        <v>1</v>
      </c>
      <c r="Y37" s="6">
        <v>100</v>
      </c>
      <c r="Z37" s="6">
        <v>1</v>
      </c>
      <c r="AA37" s="4">
        <v>2</v>
      </c>
      <c r="AB37" s="25">
        <f t="shared" si="44"/>
        <v>424</v>
      </c>
      <c r="AC37" s="4" t="str">
        <f ca="1">VLOOKUP(AB37,[3]enemies!$A:$B,2,FALSE)</f>
        <v>フック</v>
      </c>
      <c r="AD37" s="4">
        <f ca="1">VLOOKUP(AB37,[3]enemies!$A:$E,3,FALSE)</f>
        <v>4</v>
      </c>
      <c r="AE37" s="4" t="str">
        <f>VLOOKUP(AB37,[4]characters!$A:$J,10,FALSE)</f>
        <v>Drop2N</v>
      </c>
      <c r="AF37" s="7">
        <v>1</v>
      </c>
      <c r="AG37" s="25">
        <f t="shared" ca="1" si="43"/>
        <v>4</v>
      </c>
      <c r="AH37" s="8">
        <v>0</v>
      </c>
      <c r="AI37" s="7">
        <v>0</v>
      </c>
      <c r="AJ37" s="7">
        <v>0</v>
      </c>
      <c r="AK37" s="7">
        <v>0</v>
      </c>
      <c r="AL37" s="7">
        <v>0</v>
      </c>
      <c r="AM37" s="7">
        <v>1</v>
      </c>
    </row>
    <row r="38" spans="1:39" ht="21" customHeight="1" x14ac:dyDescent="0.15">
      <c r="A38" s="16" t="str">
        <f t="shared" ref="A38:A40" si="50">B38&amp;"_"&amp;C38&amp;"-"&amp;G38&amp;"/"&amp;L38&amp;"&lt;lv"&amp;R38&amp;"&gt;s"&amp;AA38</f>
        <v>30016_2-4/19&lt;lv60&gt;s2</v>
      </c>
      <c r="B38" s="23">
        <v>30016</v>
      </c>
      <c r="C38" s="74">
        <v>2</v>
      </c>
      <c r="D38" s="2" t="str">
        <f t="shared" ref="D38:D40" si="51">B38&amp;"_"&amp;C38</f>
        <v>30016_2</v>
      </c>
      <c r="E38" s="4" t="str">
        <f ca="1">VLOOKUP($B38,OFFSET([2]quests!$A$1,0,0,COUNTA([2]quests!$A:$A),MATCH(E$1,[2]quests!$1:$1,0)-MATCH($B$1,[2]quests!$1:$1,0)+1),MATCH(E$1,[2]quests!$1:$1,0)-MATCH($B$1,[2]quests!$1:$1,0)+1,FALSE)</f>
        <v>私がワニの天敵よ？</v>
      </c>
      <c r="F38" s="4" t="str">
        <f ca="1">VLOOKUP($D38,OFFSET([2]stages!$A$1,0,0,COUNTA([2]stages!$A:$A),MATCH(F$1,[2]stages!$2:$2,0)-MATCH($D$1,[2]stages!$2:$2,0)+1),MATCH(F$1,[2]stages!$2:$2,0)-MATCH($D$1,[2]stages!$2:$2,0)+1,FALSE)</f>
        <v>【超絶級】私がワニの天敵よ？</v>
      </c>
      <c r="G38" s="76">
        <v>4</v>
      </c>
      <c r="H38" s="15" t="str">
        <f t="shared" ref="H38:H40" si="52">B38&amp;"_"&amp;C38&amp;"-"&amp;G38</f>
        <v>30016_2-4</v>
      </c>
      <c r="I38" s="4">
        <f ca="1">VLOOKUP($H38,OFFSET(floors!$A$1,0,0,COUNTA(floors!$A:$A),MATCH(I$1,floors!$1:$1,0)-MATCH($H$1,floors!$1:$1,0)+1),MATCH(I$1,floors!$1:$1,0)-MATCH($H$1,floors!$1:$1,0)+1,FALSE)</f>
        <v>60</v>
      </c>
      <c r="J38" s="4">
        <f ca="1">VLOOKUP($H38,OFFSET(floors!$A$1,0,0,COUNTA(floors!$A:$A),MATCH(J$1,floors!$1:$1,0)-MATCH($H$1,floors!$1:$1,0)+1),MATCH(J$1,floors!$1:$1,0)-MATCH($H$1,floors!$1:$1,0)+1,FALSE)</f>
        <v>60</v>
      </c>
      <c r="K38" s="39" t="s">
        <v>53</v>
      </c>
      <c r="L38" s="21">
        <v>19</v>
      </c>
      <c r="M38" s="17" t="str">
        <f ca="1">VLOOKUP(L38,[3]enemies!$A:$B,2,FALSE)</f>
        <v>ティンク</v>
      </c>
      <c r="N38" s="19" t="str">
        <f ca="1">VLOOKUP(L38,[3]enemies!$A:$D,4,FALSE)</f>
        <v>yellow</v>
      </c>
      <c r="O38" s="19" t="str">
        <f>VLOOKUP(L38,[4]characters!$A:$J,10,FALSE)</f>
        <v>Drop1W</v>
      </c>
      <c r="P38" s="18" t="str">
        <f>VLOOKUP(L38,[4]characters!$A:$M,13,FALSE)</f>
        <v>human</v>
      </c>
      <c r="Q38" s="4">
        <f ca="1">VLOOKUP(L38,[3]enemies!$A:$X,24,FALSE)</f>
        <v>15</v>
      </c>
      <c r="R38" s="5">
        <v>60</v>
      </c>
      <c r="S38" s="26">
        <v>1.5</v>
      </c>
      <c r="T38" s="26">
        <v>0.5</v>
      </c>
      <c r="U38" s="5">
        <v>0</v>
      </c>
      <c r="V38" s="4">
        <f ca="1">VLOOKUP(L38,[3]enemies!$A:$AB,28,FALSE)</f>
        <v>0</v>
      </c>
      <c r="W38" s="4" t="str">
        <f ca="1">IFERROR(VLOOKUP(V38,[5]enemy_skill_sets!$B:$E,4,FALSE),VLOOKUP(V38,enemy_skill_sets!B:E,4,FALSE))</f>
        <v>なし</v>
      </c>
      <c r="X38" s="6">
        <v>1</v>
      </c>
      <c r="Y38" s="6">
        <v>100</v>
      </c>
      <c r="Z38" s="6">
        <v>0</v>
      </c>
      <c r="AA38" s="4">
        <v>2</v>
      </c>
      <c r="AB38" s="25">
        <f t="shared" si="44"/>
        <v>19</v>
      </c>
      <c r="AC38" s="4" t="str">
        <f ca="1">VLOOKUP(AB38,[3]enemies!$A:$B,2,FALSE)</f>
        <v>ティンク</v>
      </c>
      <c r="AD38" s="4">
        <f ca="1">VLOOKUP(AB38,[3]enemies!$A:$E,3,FALSE)</f>
        <v>1</v>
      </c>
      <c r="AE38" s="4" t="str">
        <f>VLOOKUP(AB38,[4]characters!$A:$J,10,FALSE)</f>
        <v>Drop1W</v>
      </c>
      <c r="AF38" s="7">
        <v>1</v>
      </c>
      <c r="AG38" s="25">
        <f t="shared" ref="AG38:AG40" ca="1" si="53">AD38</f>
        <v>1</v>
      </c>
      <c r="AH38" s="8">
        <v>0</v>
      </c>
      <c r="AI38" s="7">
        <v>0</v>
      </c>
      <c r="AJ38" s="7">
        <v>0</v>
      </c>
      <c r="AK38" s="7">
        <v>0</v>
      </c>
      <c r="AL38" s="7">
        <v>0</v>
      </c>
      <c r="AM38" s="7">
        <v>1</v>
      </c>
    </row>
    <row r="39" spans="1:39" ht="21" customHeight="1" x14ac:dyDescent="0.15">
      <c r="A39" s="16" t="str">
        <f t="shared" ca="1" si="50"/>
        <v>30016_2-4/39&lt;lv60&gt;s3</v>
      </c>
      <c r="B39" s="23">
        <v>30016</v>
      </c>
      <c r="C39" s="74">
        <v>2</v>
      </c>
      <c r="D39" s="2" t="str">
        <f t="shared" si="51"/>
        <v>30016_2</v>
      </c>
      <c r="E39" s="4" t="str">
        <f ca="1">VLOOKUP($B39,OFFSET([2]quests!$A$1,0,0,COUNTA([2]quests!$A:$A),MATCH(E$1,[2]quests!$1:$1,0)-MATCH($B$1,[2]quests!$1:$1,0)+1),MATCH(E$1,[2]quests!$1:$1,0)-MATCH($B$1,[2]quests!$1:$1,0)+1,FALSE)</f>
        <v>私がワニの天敵よ？</v>
      </c>
      <c r="F39" s="4" t="str">
        <f ca="1">VLOOKUP($D39,OFFSET([2]stages!$A$1,0,0,COUNTA([2]stages!$A:$A),MATCH(F$1,[2]stages!$2:$2,0)-MATCH($D$1,[2]stages!$2:$2,0)+1),MATCH(F$1,[2]stages!$2:$2,0)-MATCH($D$1,[2]stages!$2:$2,0)+1,FALSE)</f>
        <v>【超絶級】私がワニの天敵よ？</v>
      </c>
      <c r="G39" s="76">
        <v>4</v>
      </c>
      <c r="H39" s="15" t="str">
        <f t="shared" si="52"/>
        <v>30016_2-4</v>
      </c>
      <c r="I39" s="4">
        <f ca="1">VLOOKUP($H39,OFFSET(floors!$A$1,0,0,COUNTA(floors!$A:$A),MATCH(I$1,floors!$1:$1,0)-MATCH($H$1,floors!$1:$1,0)+1),MATCH(I$1,floors!$1:$1,0)-MATCH($H$1,floors!$1:$1,0)+1,FALSE)</f>
        <v>60</v>
      </c>
      <c r="J39" s="4">
        <f ca="1">VLOOKUP($H39,OFFSET(floors!$A$1,0,0,COUNTA(floors!$A:$A),MATCH(J$1,floors!$1:$1,0)-MATCH($H$1,floors!$1:$1,0)+1),MATCH(J$1,floors!$1:$1,0)-MATCH($H$1,floors!$1:$1,0)+1,FALSE)</f>
        <v>60</v>
      </c>
      <c r="K39" s="39" t="s">
        <v>53</v>
      </c>
      <c r="L39" s="21">
        <v>39</v>
      </c>
      <c r="M39" s="17" t="str">
        <f ca="1">VLOOKUP(L39,[3]enemies!$A:$B,2,FALSE)</f>
        <v>マーロン</v>
      </c>
      <c r="N39" s="19" t="str">
        <f ca="1">VLOOKUP(L39,[3]enemies!$A:$D,4,FALSE)</f>
        <v>yellow</v>
      </c>
      <c r="O39" s="19" t="str">
        <f>VLOOKUP(L39,[4]characters!$A:$J,10,FALSE)</f>
        <v>Drop1S</v>
      </c>
      <c r="P39" s="18" t="str">
        <f>VLOOKUP(L39,[4]characters!$A:$M,13,FALSE)</f>
        <v>human</v>
      </c>
      <c r="Q39" s="4">
        <f ca="1">VLOOKUP(L39,[3]enemies!$A:$X,24,FALSE)</f>
        <v>15</v>
      </c>
      <c r="R39" s="5">
        <v>60</v>
      </c>
      <c r="S39" s="26">
        <v>1.5</v>
      </c>
      <c r="T39" s="26">
        <v>0.6</v>
      </c>
      <c r="U39" s="5">
        <v>0</v>
      </c>
      <c r="V39" s="49">
        <v>0</v>
      </c>
      <c r="W39" s="4" t="str">
        <f ca="1">IFERROR(VLOOKUP(V39,[5]enemy_skill_sets!$B:$E,4,FALSE),VLOOKUP(V39,enemy_skill_sets!B:E,4,FALSE))</f>
        <v>なし</v>
      </c>
      <c r="X39" s="6">
        <v>1</v>
      </c>
      <c r="Y39" s="6">
        <v>100</v>
      </c>
      <c r="Z39" s="6">
        <v>0</v>
      </c>
      <c r="AA39" s="4">
        <f ca="1">VLOOKUP(L39,[3]enemies!$A:$V,22,FALSE)</f>
        <v>3</v>
      </c>
      <c r="AB39" s="25">
        <f t="shared" si="44"/>
        <v>39</v>
      </c>
      <c r="AC39" s="4" t="str">
        <f ca="1">VLOOKUP(AB39,[3]enemies!$A:$B,2,FALSE)</f>
        <v>マーロン</v>
      </c>
      <c r="AD39" s="4">
        <f ca="1">VLOOKUP(AB39,[3]enemies!$A:$E,3,FALSE)</f>
        <v>2</v>
      </c>
      <c r="AE39" s="4" t="str">
        <f>VLOOKUP(AB39,[4]characters!$A:$J,10,FALSE)</f>
        <v>Drop1S</v>
      </c>
      <c r="AF39" s="7">
        <v>1</v>
      </c>
      <c r="AG39" s="25">
        <f t="shared" ca="1" si="53"/>
        <v>2</v>
      </c>
      <c r="AH39" s="8">
        <v>0</v>
      </c>
      <c r="AI39" s="7">
        <v>0</v>
      </c>
      <c r="AJ39" s="7">
        <v>0</v>
      </c>
      <c r="AK39" s="7">
        <v>0</v>
      </c>
      <c r="AL39" s="7">
        <v>0</v>
      </c>
      <c r="AM39" s="7">
        <v>1</v>
      </c>
    </row>
    <row r="40" spans="1:39" ht="21" customHeight="1" x14ac:dyDescent="0.15">
      <c r="A40" s="16" t="str">
        <f t="shared" si="50"/>
        <v>30016_2-5/425&lt;lv70&gt;s2</v>
      </c>
      <c r="B40" s="23">
        <v>30016</v>
      </c>
      <c r="C40" s="74">
        <v>2</v>
      </c>
      <c r="D40" s="2" t="str">
        <f t="shared" si="51"/>
        <v>30016_2</v>
      </c>
      <c r="E40" s="4" t="str">
        <f ca="1">VLOOKUP($B40,OFFSET([2]quests!$A$1,0,0,COUNTA([2]quests!$A:$A),MATCH(E$1,[2]quests!$1:$1,0)-MATCH($B$1,[2]quests!$1:$1,0)+1),MATCH(E$1,[2]quests!$1:$1,0)-MATCH($B$1,[2]quests!$1:$1,0)+1,FALSE)</f>
        <v>私がワニの天敵よ？</v>
      </c>
      <c r="F40" s="4" t="str">
        <f ca="1">VLOOKUP($D40,OFFSET([2]stages!$A$1,0,0,COUNTA([2]stages!$A:$A),MATCH(F$1,[2]stages!$2:$2,0)-MATCH($D$1,[2]stages!$2:$2,0)+1),MATCH(F$1,[2]stages!$2:$2,0)-MATCH($D$1,[2]stages!$2:$2,0)+1,FALSE)</f>
        <v>【超絶級】私がワニの天敵よ？</v>
      </c>
      <c r="G40" s="77">
        <v>5</v>
      </c>
      <c r="H40" s="15" t="str">
        <f t="shared" si="52"/>
        <v>30016_2-5</v>
      </c>
      <c r="I40" s="4">
        <f ca="1">VLOOKUP($H40,OFFSET(floors!$A$1,0,0,COUNTA(floors!$A:$A),MATCH(I$1,floors!$1:$1,0)-MATCH($H$1,floors!$1:$1,0)+1),MATCH(I$1,floors!$1:$1,0)-MATCH($H$1,floors!$1:$1,0)+1,FALSE)</f>
        <v>60</v>
      </c>
      <c r="J40" s="4">
        <f ca="1">VLOOKUP($H40,OFFSET(floors!$A$1,0,0,COUNTA(floors!$A:$A),MATCH(J$1,floors!$1:$1,0)-MATCH($H$1,floors!$1:$1,0)+1),MATCH(J$1,floors!$1:$1,0)-MATCH($H$1,floors!$1:$1,0)+1,FALSE)</f>
        <v>60</v>
      </c>
      <c r="K40" s="39" t="s">
        <v>53</v>
      </c>
      <c r="L40" s="21">
        <v>425</v>
      </c>
      <c r="M40" s="17" t="str">
        <f ca="1">VLOOKUP(L40,[3]enemies!$A:$B,2,FALSE)</f>
        <v>怒髪の海賊 フック</v>
      </c>
      <c r="N40" s="19" t="str">
        <f ca="1">VLOOKUP(L40,[3]enemies!$A:$D,4,FALSE)</f>
        <v>yellow</v>
      </c>
      <c r="O40" s="19" t="str">
        <f>VLOOKUP(L40,[4]characters!$A:$J,10,FALSE)</f>
        <v>Drop2N</v>
      </c>
      <c r="P40" s="18" t="str">
        <f>VLOOKUP(L40,[4]characters!$A:$M,13,FALSE)</f>
        <v>human</v>
      </c>
      <c r="Q40" s="4">
        <f ca="1">VLOOKUP(L40,[3]enemies!$A:$X,24,FALSE)</f>
        <v>60</v>
      </c>
      <c r="R40" s="5">
        <v>70</v>
      </c>
      <c r="S40" s="26">
        <v>2</v>
      </c>
      <c r="T40" s="26">
        <v>0.9</v>
      </c>
      <c r="U40" s="5">
        <v>0</v>
      </c>
      <c r="V40" s="49">
        <v>30016003</v>
      </c>
      <c r="W40" s="4" t="str">
        <f>IFERROR(VLOOKUP(V40,[5]enemy_skill_sets!$B:$E,4,FALSE),VLOOKUP(V40,enemy_skill_sets!B:E,4,FALSE))</f>
        <v>ぜったいにゆるさないんだからッ！！！</v>
      </c>
      <c r="X40" s="6">
        <v>1</v>
      </c>
      <c r="Y40" s="6">
        <v>100</v>
      </c>
      <c r="Z40" s="6">
        <v>1</v>
      </c>
      <c r="AA40" s="4">
        <v>2</v>
      </c>
      <c r="AB40" s="25">
        <v>424</v>
      </c>
      <c r="AC40" s="4" t="str">
        <f ca="1">VLOOKUP(AB40,[3]enemies!$A:$B,2,FALSE)</f>
        <v>フック</v>
      </c>
      <c r="AD40" s="4">
        <f ca="1">VLOOKUP(AB40,[3]enemies!$A:$E,3,FALSE)</f>
        <v>4</v>
      </c>
      <c r="AE40" s="4" t="str">
        <f>VLOOKUP(AB40,[4]characters!$A:$J,10,FALSE)</f>
        <v>Drop2N</v>
      </c>
      <c r="AF40" s="7">
        <v>1</v>
      </c>
      <c r="AG40" s="25">
        <f t="shared" ca="1" si="53"/>
        <v>4</v>
      </c>
      <c r="AH40" s="8">
        <v>100</v>
      </c>
      <c r="AI40" s="7">
        <v>0</v>
      </c>
      <c r="AJ40" s="7">
        <v>0</v>
      </c>
      <c r="AK40" s="7">
        <v>0</v>
      </c>
      <c r="AL40" s="7">
        <v>0</v>
      </c>
      <c r="AM40" s="7">
        <v>1</v>
      </c>
    </row>
  </sheetData>
  <sheetProtection selectLockedCells="1" selectUnlockedCells="1"/>
  <autoFilter ref="B1:AH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3"/>
  <sheetViews>
    <sheetView showGridLines="0" zoomScale="75" zoomScaleNormal="75" zoomScalePageLayoutView="75" workbookViewId="0">
      <pane xSplit="18" ySplit="1" topLeftCell="S2" activePane="bottomRight" state="frozen"/>
      <selection pane="topRight" activeCell="N1" sqref="N1"/>
      <selection pane="bottomLeft" activeCell="A2" sqref="A2"/>
      <selection pane="bottomRight" activeCell="E36" sqref="E36"/>
    </sheetView>
  </sheetViews>
  <sheetFormatPr baseColWidth="12" defaultColWidth="13" defaultRowHeight="21" customHeight="1" outlineLevelCol="1" x14ac:dyDescent="0.15"/>
  <cols>
    <col min="1" max="1" width="17" style="20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0" style="3" bestFit="1" customWidth="1"/>
    <col min="24" max="24" width="12.1640625" style="3" bestFit="1" customWidth="1" outlineLevel="1"/>
    <col min="25" max="25" width="9.33203125" style="3" bestFit="1" customWidth="1"/>
    <col min="26" max="16384" width="13" style="3"/>
  </cols>
  <sheetData>
    <row r="1" spans="1:25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16</v>
      </c>
      <c r="F1" s="31" t="s">
        <v>16</v>
      </c>
      <c r="G1" s="29" t="s">
        <v>19</v>
      </c>
      <c r="H1" s="30" t="s">
        <v>30</v>
      </c>
      <c r="I1" s="30" t="s">
        <v>14</v>
      </c>
      <c r="J1" s="30" t="s">
        <v>15</v>
      </c>
      <c r="K1" s="37" t="s">
        <v>54</v>
      </c>
      <c r="L1" s="37" t="s">
        <v>55</v>
      </c>
      <c r="M1" s="38" t="s">
        <v>2</v>
      </c>
      <c r="N1" s="32" t="s">
        <v>16</v>
      </c>
      <c r="O1" s="30" t="s">
        <v>24</v>
      </c>
      <c r="P1" s="30" t="s">
        <v>23</v>
      </c>
      <c r="Q1" s="33" t="s">
        <v>26</v>
      </c>
      <c r="R1" s="31" t="s">
        <v>25</v>
      </c>
      <c r="S1" s="29" t="s">
        <v>3</v>
      </c>
      <c r="T1" s="27" t="s">
        <v>48</v>
      </c>
      <c r="U1" s="27" t="s">
        <v>50</v>
      </c>
      <c r="V1" s="27" t="s">
        <v>52</v>
      </c>
      <c r="W1" s="30" t="s">
        <v>127</v>
      </c>
      <c r="X1" s="29" t="s">
        <v>128</v>
      </c>
      <c r="Y1" s="29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30016_2-4/424&lt;lv70&gt;sq1st2</v>
      </c>
      <c r="B2" s="23">
        <v>30016</v>
      </c>
      <c r="C2" s="22">
        <v>2</v>
      </c>
      <c r="D2" s="2" t="str">
        <f>B2&amp;"_"&amp;C2</f>
        <v>30016_2</v>
      </c>
      <c r="E2" s="4" t="str">
        <f ca="1">VLOOKUP($B2,OFFSET([2]quests!$A$1,0,0,COUNTA([2]quests!$A:$A),MATCH(E$1,[2]quests!$1:$1,0)-MATCH($B$1,[2]quests!$1:$1,0)+1),MATCH(E$1,[2]quests!$1:$1,0)-MATCH($B$1,[2]quests!$1:$1,0)+1,FALSE)</f>
        <v>私がワニの天敵よ？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【超絶級】私がワニの天敵よ？</v>
      </c>
      <c r="G2" s="22">
        <v>4</v>
      </c>
      <c r="H2" s="15" t="str">
        <f>B2&amp;"_"&amp;C2&amp;"-"&amp;G2</f>
        <v>30016_2-4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9">
        <v>1</v>
      </c>
      <c r="L2" s="39">
        <v>2</v>
      </c>
      <c r="M2" s="21">
        <v>424</v>
      </c>
      <c r="N2" s="17" t="str">
        <f ca="1">VLOOKUP(M2,[3]enemies!$A:$B,2,FALSE)</f>
        <v>フック</v>
      </c>
      <c r="O2" s="19" t="str">
        <f ca="1">VLOOKUP(M2,[3]enemies!$A:$D,4,FALSE)</f>
        <v>yellow</v>
      </c>
      <c r="P2" s="19" t="str">
        <f>VLOOKUP(M2,[4]characters!$A:$J,10,FALSE)</f>
        <v>Drop2N</v>
      </c>
      <c r="Q2" s="18" t="str">
        <f>VLOOKUP(M2,[4]characters!$A:$M,13,FALSE)</f>
        <v>human</v>
      </c>
      <c r="R2" s="4">
        <f ca="1">VLOOKUP(M2,[3]enemies!$A:$X,24,FALSE)</f>
        <v>30</v>
      </c>
      <c r="S2" s="5">
        <v>70</v>
      </c>
      <c r="T2" s="26">
        <v>2.4</v>
      </c>
      <c r="U2" s="26">
        <v>0.9</v>
      </c>
      <c r="V2" s="5">
        <v>0</v>
      </c>
      <c r="W2" s="49">
        <v>30016002</v>
      </c>
      <c r="X2" s="4" t="str">
        <f>IFERROR(VLOOKUP(W2,[5]enemy_skill_sets!$B:$E,4,FALSE),VLOOKUP(W2,enemy_skill_sets!C:F,3,FALSE))</f>
        <v>あぶないものはボッシュウですッ！</v>
      </c>
      <c r="Y2" s="4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30016_1-4/424&lt;lv60&gt;sq2st2</v>
      </c>
      <c r="B3" s="23">
        <v>30016</v>
      </c>
      <c r="C3" s="22">
        <v>1</v>
      </c>
      <c r="D3" s="2" t="str">
        <f>B3&amp;"_"&amp;C3</f>
        <v>30016_1</v>
      </c>
      <c r="E3" s="4" t="str">
        <f ca="1">VLOOKUP($B3,OFFSET([2]quests!$A$1,0,0,COUNTA([2]quests!$A:$A),MATCH(E$1,[2]quests!$1:$1,0)-MATCH($B$1,[2]quests!$1:$1,0)+1),MATCH(E$1,[2]quests!$1:$1,0)-MATCH($B$1,[2]quests!$1:$1,0)+1,FALSE)</f>
        <v>私がワニの天敵よ？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【超級】私がワニの天敵よ？</v>
      </c>
      <c r="G3" s="22">
        <v>4</v>
      </c>
      <c r="H3" s="15" t="str">
        <f>B3&amp;"_"&amp;C3&amp;"-"&amp;G3</f>
        <v>30016_1-4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9">
        <v>2</v>
      </c>
      <c r="L3" s="39">
        <v>2</v>
      </c>
      <c r="M3" s="21">
        <v>424</v>
      </c>
      <c r="N3" s="17" t="str">
        <f ca="1">VLOOKUP(M3,[3]enemies!$A:$B,2,FALSE)</f>
        <v>フック</v>
      </c>
      <c r="O3" s="19" t="str">
        <f ca="1">VLOOKUP(M3,[3]enemies!$A:$D,4,FALSE)</f>
        <v>yellow</v>
      </c>
      <c r="P3" s="19" t="str">
        <f>VLOOKUP(M3,[4]characters!$A:$J,10,FALSE)</f>
        <v>Drop2N</v>
      </c>
      <c r="Q3" s="18" t="str">
        <f>VLOOKUP(M3,[4]characters!$A:$M,13,FALSE)</f>
        <v>human</v>
      </c>
      <c r="R3" s="4">
        <f ca="1">VLOOKUP(M3,[3]enemies!$A:$X,24,FALSE)</f>
        <v>30</v>
      </c>
      <c r="S3" s="5">
        <v>60</v>
      </c>
      <c r="T3" s="26">
        <v>2.4</v>
      </c>
      <c r="U3" s="26">
        <v>0.9</v>
      </c>
      <c r="V3" s="5">
        <v>0</v>
      </c>
      <c r="W3" s="49">
        <v>30016002</v>
      </c>
      <c r="X3" s="4" t="str">
        <f>IFERROR(VLOOKUP(W3,[5]enemy_skill_sets!$B:$E,4,FALSE),VLOOKUP(W3,enemy_skill_sets!C:F,3,FALSE))</f>
        <v>あぶないものはボッシュウですッ！</v>
      </c>
      <c r="Y3" s="4">
        <v>2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22"/>
  <sheetViews>
    <sheetView showGridLines="0" workbookViewId="0">
      <pane ySplit="1" topLeftCell="A2" activePane="bottomLeft" state="frozenSplit"/>
      <selection activeCell="D17" sqref="D17"/>
      <selection pane="bottomLeft" activeCell="E12" sqref="E12"/>
    </sheetView>
  </sheetViews>
  <sheetFormatPr baseColWidth="12" defaultColWidth="12.83203125" defaultRowHeight="21" customHeight="1" x14ac:dyDescent="0.15"/>
  <cols>
    <col min="1" max="1" width="12.83203125" style="50"/>
    <col min="2" max="2" width="67.1640625" style="50" customWidth="1"/>
    <col min="3" max="4" width="12.83203125" style="50"/>
    <col min="5" max="5" width="23.6640625" style="50" bestFit="1" customWidth="1"/>
    <col min="6" max="6" width="44.1640625" style="50" bestFit="1" customWidth="1"/>
    <col min="7" max="8" width="12.83203125" style="50"/>
    <col min="9" max="9" width="44.5" style="50" customWidth="1"/>
    <col min="10" max="16384" width="12.83203125" style="50"/>
  </cols>
  <sheetData>
    <row r="1" spans="1:9" ht="21" customHeight="1" x14ac:dyDescent="0.15">
      <c r="A1" s="41" t="s">
        <v>79</v>
      </c>
      <c r="B1" s="41" t="s">
        <v>80</v>
      </c>
      <c r="C1" s="41" t="s">
        <v>81</v>
      </c>
      <c r="D1" s="41" t="s">
        <v>126</v>
      </c>
      <c r="E1" s="41" t="s">
        <v>82</v>
      </c>
      <c r="F1" s="41" t="s">
        <v>83</v>
      </c>
      <c r="G1" s="42" t="s">
        <v>76</v>
      </c>
      <c r="H1" s="42" t="s">
        <v>77</v>
      </c>
      <c r="I1" s="42" t="s">
        <v>78</v>
      </c>
    </row>
    <row r="2" spans="1:9" s="63" customFormat="1" ht="21" customHeight="1" x14ac:dyDescent="0.15">
      <c r="A2" s="60">
        <v>30016001</v>
      </c>
      <c r="B2" s="60" t="s">
        <v>169</v>
      </c>
      <c r="C2" s="61">
        <v>3</v>
      </c>
      <c r="D2" s="61" t="s">
        <v>132</v>
      </c>
      <c r="E2" s="60" t="s">
        <v>161</v>
      </c>
      <c r="F2" s="60" t="s">
        <v>133</v>
      </c>
      <c r="G2" s="61"/>
      <c r="H2" s="62"/>
      <c r="I2" s="61"/>
    </row>
    <row r="3" spans="1:9" s="63" customFormat="1" ht="21" customHeight="1" x14ac:dyDescent="0.15">
      <c r="A3" s="60">
        <v>30016002</v>
      </c>
      <c r="B3" s="60" t="s">
        <v>166</v>
      </c>
      <c r="C3" s="61">
        <v>3</v>
      </c>
      <c r="D3" s="61" t="s">
        <v>134</v>
      </c>
      <c r="E3" s="60" t="s">
        <v>174</v>
      </c>
      <c r="F3" s="60" t="s">
        <v>156</v>
      </c>
      <c r="G3" s="61"/>
      <c r="H3" s="62"/>
      <c r="I3" s="61"/>
    </row>
    <row r="4" spans="1:9" s="63" customFormat="1" ht="21" customHeight="1" x14ac:dyDescent="0.15">
      <c r="A4" s="48">
        <v>30016003</v>
      </c>
      <c r="B4" s="60" t="s">
        <v>183</v>
      </c>
      <c r="C4" s="61">
        <v>3</v>
      </c>
      <c r="D4" s="61" t="s">
        <v>134</v>
      </c>
      <c r="E4" s="64" t="s">
        <v>175</v>
      </c>
      <c r="F4" s="64" t="s">
        <v>135</v>
      </c>
      <c r="G4" s="61"/>
      <c r="H4" s="62"/>
      <c r="I4" s="61"/>
    </row>
    <row r="5" spans="1:9" s="63" customFormat="1" ht="21" customHeight="1" x14ac:dyDescent="0.15">
      <c r="A5" s="48">
        <v>30016004</v>
      </c>
      <c r="B5" s="60" t="s">
        <v>165</v>
      </c>
      <c r="C5" s="61">
        <v>3</v>
      </c>
      <c r="D5" s="61" t="s">
        <v>134</v>
      </c>
      <c r="E5" s="60" t="s">
        <v>176</v>
      </c>
      <c r="F5" s="60" t="s">
        <v>136</v>
      </c>
      <c r="G5" s="61"/>
      <c r="H5" s="62"/>
      <c r="I5" s="61"/>
    </row>
    <row r="6" spans="1:9" s="63" customFormat="1" ht="21" customHeight="1" x14ac:dyDescent="0.15">
      <c r="A6" s="48">
        <v>30016005</v>
      </c>
      <c r="B6" s="60" t="s">
        <v>131</v>
      </c>
      <c r="C6" s="61">
        <v>3</v>
      </c>
      <c r="D6" s="61" t="s">
        <v>132</v>
      </c>
      <c r="E6" s="60" t="s">
        <v>177</v>
      </c>
      <c r="F6" s="60" t="s">
        <v>133</v>
      </c>
      <c r="G6" s="61"/>
      <c r="H6" s="62"/>
      <c r="I6" s="61"/>
    </row>
    <row r="7" spans="1:9" s="63" customFormat="1" ht="21" customHeight="1" x14ac:dyDescent="0.15">
      <c r="A7" s="48">
        <v>30016006</v>
      </c>
      <c r="B7" s="60" t="s">
        <v>141</v>
      </c>
      <c r="C7" s="61">
        <v>3</v>
      </c>
      <c r="D7" s="61" t="s">
        <v>134</v>
      </c>
      <c r="E7" s="60" t="s">
        <v>178</v>
      </c>
      <c r="F7" s="60" t="s">
        <v>157</v>
      </c>
      <c r="G7" s="61"/>
      <c r="H7" s="62"/>
      <c r="I7" s="61"/>
    </row>
    <row r="8" spans="1:9" s="63" customFormat="1" ht="21" customHeight="1" x14ac:dyDescent="0.15">
      <c r="A8" s="48">
        <v>30016007</v>
      </c>
      <c r="B8" s="60" t="s">
        <v>168</v>
      </c>
      <c r="C8" s="61">
        <v>3</v>
      </c>
      <c r="D8" s="61" t="s">
        <v>134</v>
      </c>
      <c r="E8" s="64" t="s">
        <v>179</v>
      </c>
      <c r="F8" s="64" t="s">
        <v>164</v>
      </c>
      <c r="G8" s="61"/>
      <c r="H8" s="62"/>
      <c r="I8" s="61"/>
    </row>
    <row r="9" spans="1:9" s="63" customFormat="1" ht="21" customHeight="1" x14ac:dyDescent="0.15">
      <c r="A9" s="48">
        <v>30016008</v>
      </c>
      <c r="B9" s="60" t="s">
        <v>184</v>
      </c>
      <c r="C9" s="61">
        <v>3</v>
      </c>
      <c r="D9" s="61" t="s">
        <v>134</v>
      </c>
      <c r="E9" s="64" t="s">
        <v>175</v>
      </c>
      <c r="F9" s="64" t="s">
        <v>135</v>
      </c>
      <c r="G9" s="61"/>
      <c r="H9" s="62"/>
      <c r="I9" s="61"/>
    </row>
    <row r="10" spans="1:9" s="63" customFormat="1" ht="21" customHeight="1" x14ac:dyDescent="0.15">
      <c r="A10" s="48">
        <v>30016009</v>
      </c>
      <c r="B10" s="60" t="s">
        <v>153</v>
      </c>
      <c r="C10" s="61">
        <v>3</v>
      </c>
      <c r="D10" s="61" t="s">
        <v>134</v>
      </c>
      <c r="E10" s="60" t="s">
        <v>176</v>
      </c>
      <c r="F10" s="60" t="s">
        <v>136</v>
      </c>
      <c r="G10" s="61"/>
      <c r="H10" s="62"/>
      <c r="I10" s="61"/>
    </row>
    <row r="11" spans="1:9" s="63" customFormat="1" ht="21" customHeight="1" x14ac:dyDescent="0.15">
      <c r="A11" s="48">
        <v>30016010</v>
      </c>
      <c r="B11" s="60" t="s">
        <v>170</v>
      </c>
      <c r="C11" s="61">
        <v>3</v>
      </c>
      <c r="D11" s="61" t="s">
        <v>134</v>
      </c>
      <c r="E11" s="60" t="s">
        <v>185</v>
      </c>
      <c r="F11" s="64" t="s">
        <v>171</v>
      </c>
      <c r="G11" s="61"/>
      <c r="H11" s="62"/>
      <c r="I11" s="61"/>
    </row>
    <row r="12" spans="1:9" s="63" customFormat="1" ht="21" customHeight="1" x14ac:dyDescent="0.15">
      <c r="A12" s="48">
        <v>30016011</v>
      </c>
      <c r="B12" s="60" t="s">
        <v>142</v>
      </c>
      <c r="C12" s="61">
        <v>3</v>
      </c>
      <c r="D12" s="61" t="s">
        <v>134</v>
      </c>
      <c r="E12" s="60" t="s">
        <v>180</v>
      </c>
      <c r="F12" s="60" t="s">
        <v>158</v>
      </c>
      <c r="G12" s="61"/>
      <c r="H12" s="62"/>
      <c r="I12" s="61"/>
    </row>
    <row r="13" spans="1:9" s="63" customFormat="1" ht="21" customHeight="1" x14ac:dyDescent="0.15">
      <c r="A13" s="48">
        <v>30016012</v>
      </c>
      <c r="B13" s="60" t="s">
        <v>168</v>
      </c>
      <c r="C13" s="61">
        <v>3</v>
      </c>
      <c r="D13" s="61" t="s">
        <v>134</v>
      </c>
      <c r="E13" s="64" t="s">
        <v>182</v>
      </c>
      <c r="F13" s="64" t="s">
        <v>164</v>
      </c>
      <c r="G13" s="61"/>
      <c r="H13" s="62"/>
      <c r="I13" s="61"/>
    </row>
    <row r="14" spans="1:9" s="63" customFormat="1" ht="21" customHeight="1" x14ac:dyDescent="0.15">
      <c r="A14" s="48">
        <v>30016013</v>
      </c>
      <c r="B14" s="60" t="s">
        <v>137</v>
      </c>
      <c r="C14" s="61">
        <v>3</v>
      </c>
      <c r="D14" s="61" t="s">
        <v>134</v>
      </c>
      <c r="E14" s="60" t="s">
        <v>181</v>
      </c>
      <c r="F14" s="64" t="s">
        <v>138</v>
      </c>
      <c r="G14" s="61"/>
      <c r="H14" s="62"/>
      <c r="I14" s="61"/>
    </row>
    <row r="15" spans="1:9" s="63" customFormat="1" ht="21" customHeight="1" x14ac:dyDescent="0.15">
      <c r="A15" s="48">
        <v>30016014</v>
      </c>
      <c r="B15" s="60" t="s">
        <v>155</v>
      </c>
      <c r="C15" s="61">
        <v>3</v>
      </c>
      <c r="D15" s="61" t="s">
        <v>134</v>
      </c>
      <c r="E15" s="64" t="s">
        <v>139</v>
      </c>
      <c r="F15" s="64" t="s">
        <v>135</v>
      </c>
      <c r="G15" s="61"/>
      <c r="H15" s="62"/>
      <c r="I15" s="61"/>
    </row>
    <row r="16" spans="1:9" s="63" customFormat="1" ht="21" customHeight="1" x14ac:dyDescent="0.15">
      <c r="A16" s="48">
        <v>30016015</v>
      </c>
      <c r="B16" s="60" t="s">
        <v>154</v>
      </c>
      <c r="C16" s="61">
        <v>3</v>
      </c>
      <c r="D16" s="61" t="s">
        <v>134</v>
      </c>
      <c r="E16" s="60" t="s">
        <v>140</v>
      </c>
      <c r="F16" s="60" t="s">
        <v>136</v>
      </c>
      <c r="G16" s="61"/>
      <c r="H16" s="62"/>
      <c r="I16" s="61"/>
    </row>
    <row r="17" spans="1:9" s="70" customFormat="1" ht="21" customHeight="1" x14ac:dyDescent="0.15">
      <c r="A17" s="48">
        <v>30016016</v>
      </c>
      <c r="B17" s="66" t="s">
        <v>167</v>
      </c>
      <c r="C17" s="61">
        <v>3</v>
      </c>
      <c r="D17" s="67" t="s">
        <v>134</v>
      </c>
      <c r="E17" s="68" t="s">
        <v>144</v>
      </c>
      <c r="F17" s="82" t="s">
        <v>162</v>
      </c>
      <c r="G17" s="67"/>
      <c r="H17" s="69"/>
      <c r="I17" s="67"/>
    </row>
    <row r="18" spans="1:9" s="70" customFormat="1" ht="21" customHeight="1" x14ac:dyDescent="0.15">
      <c r="A18" s="48">
        <v>30016017</v>
      </c>
      <c r="B18" s="65" t="s">
        <v>152</v>
      </c>
      <c r="C18" s="61">
        <v>3</v>
      </c>
      <c r="D18" s="67" t="s">
        <v>134</v>
      </c>
      <c r="E18" s="65" t="s">
        <v>145</v>
      </c>
      <c r="F18" s="68" t="s">
        <v>143</v>
      </c>
      <c r="G18" s="67"/>
      <c r="H18" s="69"/>
      <c r="I18" s="67"/>
    </row>
    <row r="19" spans="1:9" s="70" customFormat="1" ht="21" customHeight="1" x14ac:dyDescent="0.15">
      <c r="A19" s="48">
        <v>30016018</v>
      </c>
      <c r="B19" s="65" t="s">
        <v>146</v>
      </c>
      <c r="C19" s="61">
        <v>3</v>
      </c>
      <c r="D19" s="67" t="s">
        <v>147</v>
      </c>
      <c r="E19" s="65" t="s">
        <v>148</v>
      </c>
      <c r="F19" s="68" t="s">
        <v>149</v>
      </c>
      <c r="G19" s="67"/>
      <c r="H19" s="69"/>
      <c r="I19" s="67"/>
    </row>
    <row r="20" spans="1:9" s="70" customFormat="1" ht="21" customHeight="1" x14ac:dyDescent="0.15">
      <c r="A20" s="48">
        <v>30016019</v>
      </c>
      <c r="B20" s="65" t="s">
        <v>150</v>
      </c>
      <c r="C20" s="61">
        <v>3</v>
      </c>
      <c r="D20" s="67" t="s">
        <v>134</v>
      </c>
      <c r="E20" s="65" t="s">
        <v>151</v>
      </c>
      <c r="F20" s="65" t="s">
        <v>163</v>
      </c>
      <c r="G20" s="67"/>
      <c r="H20" s="69"/>
      <c r="I20" s="67"/>
    </row>
    <row r="21" spans="1:9" s="70" customFormat="1" ht="21" customHeight="1" x14ac:dyDescent="0.15">
      <c r="A21" s="48">
        <v>30016020</v>
      </c>
      <c r="B21" s="78" t="s">
        <v>146</v>
      </c>
      <c r="C21" s="61">
        <v>3</v>
      </c>
      <c r="D21" s="79" t="s">
        <v>147</v>
      </c>
      <c r="E21" s="78" t="s">
        <v>159</v>
      </c>
      <c r="F21" s="80" t="s">
        <v>160</v>
      </c>
      <c r="G21" s="79"/>
      <c r="H21" s="81"/>
      <c r="I21" s="79"/>
    </row>
    <row r="22" spans="1:9" s="70" customFormat="1" ht="21" customHeight="1" x14ac:dyDescent="0.15">
      <c r="A22" s="48">
        <v>30016021</v>
      </c>
      <c r="B22" s="78" t="s">
        <v>146</v>
      </c>
      <c r="C22" s="61">
        <v>3</v>
      </c>
      <c r="D22" s="79" t="s">
        <v>132</v>
      </c>
      <c r="E22" s="78" t="s">
        <v>172</v>
      </c>
      <c r="F22" s="80" t="s">
        <v>173</v>
      </c>
      <c r="G22" s="79"/>
      <c r="H22" s="81"/>
      <c r="I22" s="79"/>
    </row>
  </sheetData>
  <autoFilter ref="A1:I1"/>
  <phoneticPr fontId="3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5"/>
  <sheetViews>
    <sheetView showGridLines="0" workbookViewId="0">
      <pane ySplit="1" topLeftCell="A2" activePane="bottomLeft" state="frozenSplit"/>
      <selection activeCell="H205" sqref="H205"/>
      <selection pane="bottomLeft" activeCell="A21" sqref="A21"/>
    </sheetView>
  </sheetViews>
  <sheetFormatPr baseColWidth="12" defaultColWidth="12.83203125" defaultRowHeight="21" customHeight="1" x14ac:dyDescent="0.15"/>
  <cols>
    <col min="1" max="1" width="16.1640625" style="50" bestFit="1" customWidth="1"/>
    <col min="2" max="2" width="13.33203125" style="50" bestFit="1" customWidth="1"/>
    <col min="3" max="3" width="11.83203125" style="50" bestFit="1" customWidth="1"/>
    <col min="4" max="4" width="14.6640625" style="50" bestFit="1" customWidth="1"/>
    <col min="5" max="5" width="15.6640625" style="50" bestFit="1" customWidth="1"/>
    <col min="6" max="6" width="17" style="50" bestFit="1" customWidth="1"/>
    <col min="7" max="7" width="15.6640625" style="50" bestFit="1" customWidth="1"/>
    <col min="8" max="9" width="14.6640625" style="50" customWidth="1"/>
    <col min="10" max="10" width="14.6640625" style="50" bestFit="1" customWidth="1"/>
    <col min="11" max="11" width="22.83203125" style="40" bestFit="1" customWidth="1"/>
    <col min="12" max="16384" width="12.83203125" style="46"/>
  </cols>
  <sheetData>
    <row r="1" spans="1:11" ht="21" customHeight="1" x14ac:dyDescent="0.15">
      <c r="A1" s="43" t="s">
        <v>84</v>
      </c>
      <c r="B1" s="43" t="s">
        <v>85</v>
      </c>
      <c r="C1" s="43" t="s">
        <v>86</v>
      </c>
      <c r="D1" s="43" t="s">
        <v>87</v>
      </c>
      <c r="E1" s="43" t="s">
        <v>70</v>
      </c>
      <c r="F1" s="51" t="s">
        <v>71</v>
      </c>
      <c r="G1" s="51" t="s">
        <v>72</v>
      </c>
      <c r="H1" s="43" t="s">
        <v>73</v>
      </c>
      <c r="I1" s="43" t="s">
        <v>74</v>
      </c>
      <c r="J1" s="43" t="s">
        <v>75</v>
      </c>
      <c r="K1" s="52" t="s">
        <v>88</v>
      </c>
    </row>
    <row r="2" spans="1:11" ht="21" customHeight="1" x14ac:dyDescent="0.15">
      <c r="A2" s="48">
        <v>30016001</v>
      </c>
      <c r="B2" s="48">
        <v>0</v>
      </c>
      <c r="C2" s="48">
        <v>1</v>
      </c>
      <c r="D2" s="48">
        <v>50</v>
      </c>
      <c r="E2" s="48" t="s">
        <v>53</v>
      </c>
      <c r="F2" s="48" t="s">
        <v>89</v>
      </c>
      <c r="G2" s="48" t="s">
        <v>89</v>
      </c>
      <c r="H2" s="48" t="s">
        <v>89</v>
      </c>
      <c r="I2" s="48" t="s">
        <v>89</v>
      </c>
      <c r="J2" s="49">
        <f t="shared" ref="J2" si="0">D2</f>
        <v>50</v>
      </c>
    </row>
    <row r="3" spans="1:11" ht="21" customHeight="1" x14ac:dyDescent="0.15">
      <c r="A3" s="48">
        <v>30016002</v>
      </c>
      <c r="B3" s="48">
        <v>0</v>
      </c>
      <c r="C3" s="48">
        <v>2</v>
      </c>
      <c r="D3" s="48">
        <v>100</v>
      </c>
      <c r="E3" s="48" t="s">
        <v>53</v>
      </c>
      <c r="F3" s="48" t="s">
        <v>89</v>
      </c>
      <c r="G3" s="48">
        <v>2</v>
      </c>
      <c r="H3" s="48">
        <v>2</v>
      </c>
      <c r="I3" s="48" t="s">
        <v>89</v>
      </c>
      <c r="J3" s="49">
        <f t="shared" ref="J3:J10" si="1">D3</f>
        <v>100</v>
      </c>
    </row>
    <row r="4" spans="1:11" ht="21" customHeight="1" x14ac:dyDescent="0.15">
      <c r="A4" s="48">
        <v>30016003</v>
      </c>
      <c r="B4" s="48">
        <v>0</v>
      </c>
      <c r="C4" s="48" t="s">
        <v>53</v>
      </c>
      <c r="D4" s="48">
        <v>100</v>
      </c>
      <c r="E4" s="48" t="s">
        <v>53</v>
      </c>
      <c r="F4" s="48" t="s">
        <v>89</v>
      </c>
      <c r="G4" s="48" t="s">
        <v>89</v>
      </c>
      <c r="H4" s="48" t="s">
        <v>89</v>
      </c>
      <c r="I4" s="48">
        <v>19</v>
      </c>
      <c r="J4" s="49">
        <f t="shared" si="1"/>
        <v>100</v>
      </c>
    </row>
    <row r="5" spans="1:11" ht="21" customHeight="1" x14ac:dyDescent="0.15">
      <c r="A5" s="48">
        <v>30016004</v>
      </c>
      <c r="B5" s="48">
        <v>0</v>
      </c>
      <c r="C5" s="48" t="s">
        <v>53</v>
      </c>
      <c r="D5" s="48">
        <v>100</v>
      </c>
      <c r="E5" s="48" t="s">
        <v>53</v>
      </c>
      <c r="F5" s="48" t="s">
        <v>89</v>
      </c>
      <c r="G5" s="48" t="s">
        <v>89</v>
      </c>
      <c r="H5" s="48" t="s">
        <v>89</v>
      </c>
      <c r="I5" s="48">
        <v>39</v>
      </c>
      <c r="J5" s="49">
        <f t="shared" si="1"/>
        <v>100</v>
      </c>
    </row>
    <row r="6" spans="1:11" ht="21" customHeight="1" x14ac:dyDescent="0.15">
      <c r="A6" s="48">
        <v>30016005</v>
      </c>
      <c r="B6" s="48">
        <v>0</v>
      </c>
      <c r="C6" s="48">
        <v>3</v>
      </c>
      <c r="D6" s="48">
        <v>100</v>
      </c>
      <c r="E6" s="48" t="s">
        <v>53</v>
      </c>
      <c r="F6" s="48" t="s">
        <v>89</v>
      </c>
      <c r="G6" s="48">
        <v>2</v>
      </c>
      <c r="H6" s="48">
        <v>2</v>
      </c>
      <c r="I6" s="48" t="s">
        <v>89</v>
      </c>
      <c r="J6" s="49">
        <f t="shared" si="1"/>
        <v>100</v>
      </c>
    </row>
    <row r="7" spans="1:11" ht="21" customHeight="1" x14ac:dyDescent="0.15">
      <c r="A7" s="48">
        <v>30016006</v>
      </c>
      <c r="B7" s="48">
        <v>0</v>
      </c>
      <c r="C7" s="48">
        <v>2</v>
      </c>
      <c r="D7" s="48">
        <v>50</v>
      </c>
      <c r="E7" s="48" t="s">
        <v>53</v>
      </c>
      <c r="F7" s="48" t="s">
        <v>89</v>
      </c>
      <c r="G7" s="48" t="s">
        <v>89</v>
      </c>
      <c r="H7" s="48" t="s">
        <v>89</v>
      </c>
      <c r="I7" s="48" t="s">
        <v>89</v>
      </c>
      <c r="J7" s="49">
        <f t="shared" si="1"/>
        <v>50</v>
      </c>
    </row>
    <row r="8" spans="1:11" ht="21" customHeight="1" x14ac:dyDescent="0.15">
      <c r="A8" s="48">
        <v>30016007</v>
      </c>
      <c r="B8" s="48">
        <v>1</v>
      </c>
      <c r="C8" s="48" t="s">
        <v>53</v>
      </c>
      <c r="D8" s="48">
        <v>100</v>
      </c>
      <c r="E8" s="48" t="s">
        <v>53</v>
      </c>
      <c r="F8" s="48" t="s">
        <v>89</v>
      </c>
      <c r="G8" s="48">
        <v>1</v>
      </c>
      <c r="H8" s="48" t="s">
        <v>89</v>
      </c>
      <c r="I8" s="48" t="s">
        <v>89</v>
      </c>
      <c r="J8" s="49">
        <f t="shared" si="1"/>
        <v>100</v>
      </c>
    </row>
    <row r="9" spans="1:11" ht="21" customHeight="1" x14ac:dyDescent="0.15">
      <c r="A9" s="48">
        <v>30016008</v>
      </c>
      <c r="B9" s="48">
        <v>0</v>
      </c>
      <c r="C9" s="48">
        <v>2</v>
      </c>
      <c r="D9" s="48">
        <v>100</v>
      </c>
      <c r="E9" s="48" t="s">
        <v>53</v>
      </c>
      <c r="F9" s="48" t="s">
        <v>89</v>
      </c>
      <c r="G9" s="48">
        <v>2</v>
      </c>
      <c r="H9" s="48">
        <v>3</v>
      </c>
      <c r="I9" s="48" t="s">
        <v>89</v>
      </c>
      <c r="J9" s="49">
        <f t="shared" si="1"/>
        <v>100</v>
      </c>
    </row>
    <row r="10" spans="1:11" ht="21" customHeight="1" x14ac:dyDescent="0.15">
      <c r="A10" s="48">
        <v>30016009</v>
      </c>
      <c r="B10" s="48">
        <v>0</v>
      </c>
      <c r="C10" s="48">
        <v>1</v>
      </c>
      <c r="D10" s="48">
        <v>50</v>
      </c>
      <c r="E10" s="48" t="s">
        <v>53</v>
      </c>
      <c r="F10" s="48" t="s">
        <v>89</v>
      </c>
      <c r="G10" s="48" t="s">
        <v>89</v>
      </c>
      <c r="H10" s="48" t="s">
        <v>89</v>
      </c>
      <c r="I10" s="48" t="s">
        <v>89</v>
      </c>
      <c r="J10" s="49">
        <f t="shared" si="1"/>
        <v>50</v>
      </c>
    </row>
    <row r="11" spans="1:11" ht="21" customHeight="1" x14ac:dyDescent="0.15">
      <c r="A11" s="48">
        <v>30016010</v>
      </c>
      <c r="B11" s="48">
        <v>0</v>
      </c>
      <c r="C11" s="48">
        <v>3</v>
      </c>
      <c r="D11" s="48">
        <v>100</v>
      </c>
      <c r="E11" s="48">
        <v>50</v>
      </c>
      <c r="F11" s="48" t="s">
        <v>89</v>
      </c>
      <c r="G11" s="48">
        <v>1</v>
      </c>
      <c r="H11" s="48" t="s">
        <v>89</v>
      </c>
      <c r="I11" s="48" t="s">
        <v>89</v>
      </c>
      <c r="J11" s="49">
        <f t="shared" ref="J11:J12" si="2">D11</f>
        <v>100</v>
      </c>
    </row>
    <row r="12" spans="1:11" ht="21" customHeight="1" x14ac:dyDescent="0.15">
      <c r="A12" s="48">
        <v>30016011</v>
      </c>
      <c r="B12" s="48">
        <v>0</v>
      </c>
      <c r="C12" s="48">
        <v>4</v>
      </c>
      <c r="D12" s="48">
        <v>100</v>
      </c>
      <c r="E12" s="48">
        <v>50</v>
      </c>
      <c r="F12" s="48" t="s">
        <v>89</v>
      </c>
      <c r="G12" s="48">
        <v>1</v>
      </c>
      <c r="H12" s="48" t="s">
        <v>89</v>
      </c>
      <c r="I12" s="48" t="s">
        <v>89</v>
      </c>
      <c r="J12" s="49">
        <f t="shared" si="2"/>
        <v>100</v>
      </c>
    </row>
    <row r="13" spans="1:11" ht="21" customHeight="1" x14ac:dyDescent="0.15">
      <c r="A13" s="48">
        <v>30016012</v>
      </c>
      <c r="B13" s="48">
        <v>0</v>
      </c>
      <c r="C13" s="48">
        <v>3</v>
      </c>
      <c r="D13" s="48">
        <v>100</v>
      </c>
      <c r="E13" s="48" t="s">
        <v>53</v>
      </c>
      <c r="F13" s="48" t="s">
        <v>53</v>
      </c>
      <c r="G13" s="48">
        <v>1</v>
      </c>
      <c r="H13" s="48">
        <v>5</v>
      </c>
      <c r="I13" s="48" t="s">
        <v>53</v>
      </c>
      <c r="J13" s="49">
        <f t="shared" ref="J13:J15" si="3">D13</f>
        <v>100</v>
      </c>
    </row>
    <row r="14" spans="1:11" ht="21" customHeight="1" x14ac:dyDescent="0.15">
      <c r="A14" s="48">
        <v>30016013</v>
      </c>
      <c r="B14" s="48">
        <v>0</v>
      </c>
      <c r="C14" s="48">
        <v>2</v>
      </c>
      <c r="D14" s="48">
        <v>40</v>
      </c>
      <c r="E14" s="48" t="s">
        <v>53</v>
      </c>
      <c r="F14" s="48" t="s">
        <v>89</v>
      </c>
      <c r="G14" s="48">
        <v>3</v>
      </c>
      <c r="H14" s="48" t="s">
        <v>89</v>
      </c>
      <c r="I14" s="48" t="s">
        <v>89</v>
      </c>
      <c r="J14" s="49">
        <f t="shared" si="3"/>
        <v>40</v>
      </c>
    </row>
    <row r="15" spans="1:11" ht="21" customHeight="1" x14ac:dyDescent="0.15">
      <c r="A15" s="48">
        <v>30016014</v>
      </c>
      <c r="B15" s="48">
        <v>0</v>
      </c>
      <c r="C15" s="48">
        <v>1</v>
      </c>
      <c r="D15" s="48">
        <v>40</v>
      </c>
      <c r="E15" s="48" t="s">
        <v>53</v>
      </c>
      <c r="F15" s="48" t="s">
        <v>89</v>
      </c>
      <c r="G15" s="48">
        <v>3</v>
      </c>
      <c r="H15" s="48" t="s">
        <v>89</v>
      </c>
      <c r="I15" s="48" t="s">
        <v>89</v>
      </c>
      <c r="J15" s="49">
        <f t="shared" si="3"/>
        <v>40</v>
      </c>
    </row>
  </sheetData>
  <autoFilter ref="A1:G1"/>
  <phoneticPr fontId="3"/>
  <conditionalFormatting sqref="K1:K10 K16:K1048576">
    <cfRule type="duplicateValues" dxfId="3" priority="4"/>
  </conditionalFormatting>
  <conditionalFormatting sqref="K11:K13">
    <cfRule type="duplicateValues" dxfId="2" priority="3"/>
  </conditionalFormatting>
  <conditionalFormatting sqref="K14">
    <cfRule type="duplicateValues" dxfId="1" priority="2"/>
  </conditionalFormatting>
  <conditionalFormatting sqref="K15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0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17" sqref="E17"/>
    </sheetView>
  </sheetViews>
  <sheetFormatPr baseColWidth="12" defaultColWidth="12.83203125" defaultRowHeight="21" customHeight="1" outlineLevelCol="1" x14ac:dyDescent="0.15"/>
  <cols>
    <col min="1" max="1" width="11.33203125" style="40" bestFit="1" customWidth="1"/>
    <col min="2" max="2" width="9.5" style="50" bestFit="1" customWidth="1"/>
    <col min="3" max="3" width="10.33203125" style="50" customWidth="1"/>
    <col min="4" max="4" width="18.5" style="50" customWidth="1" outlineLevel="1"/>
    <col min="5" max="5" width="44.1640625" style="50" bestFit="1" customWidth="1" outlineLevel="1"/>
    <col min="6" max="6" width="10.83203125" style="50" bestFit="1" customWidth="1"/>
    <col min="7" max="7" width="8.33203125" style="50" bestFit="1" customWidth="1" outlineLevel="1"/>
    <col min="8" max="9" width="12.83203125" style="50" outlineLevel="1"/>
    <col min="10" max="10" width="17.6640625" style="50" bestFit="1" customWidth="1" outlineLevel="1"/>
    <col min="11" max="15" width="12.83203125" style="50" outlineLevel="1"/>
    <col min="16" max="16" width="8.33203125" style="46" bestFit="1" customWidth="1"/>
    <col min="17" max="17" width="9.6640625" style="46" customWidth="1"/>
    <col min="18" max="18" width="56.5" style="46" bestFit="1" customWidth="1"/>
    <col min="19" max="16384" width="12.83203125" style="46"/>
  </cols>
  <sheetData>
    <row r="1" spans="1:18" ht="21" customHeight="1" x14ac:dyDescent="0.15">
      <c r="A1" s="40" t="s">
        <v>60</v>
      </c>
      <c r="B1" s="41" t="s">
        <v>61</v>
      </c>
      <c r="C1" s="41" t="s">
        <v>62</v>
      </c>
      <c r="D1" s="42" t="s">
        <v>63</v>
      </c>
      <c r="E1" s="42" t="s">
        <v>64</v>
      </c>
      <c r="F1" s="43" t="s">
        <v>65</v>
      </c>
      <c r="G1" s="44" t="s">
        <v>66</v>
      </c>
      <c r="H1" s="44" t="s">
        <v>68</v>
      </c>
      <c r="I1" s="44" t="s">
        <v>69</v>
      </c>
      <c r="J1" s="44" t="s">
        <v>70</v>
      </c>
      <c r="K1" s="45" t="s">
        <v>71</v>
      </c>
      <c r="L1" s="45" t="s">
        <v>72</v>
      </c>
      <c r="M1" s="44" t="s">
        <v>73</v>
      </c>
      <c r="N1" s="44" t="s">
        <v>74</v>
      </c>
      <c r="O1" s="44" t="s">
        <v>75</v>
      </c>
      <c r="P1" s="42" t="s">
        <v>76</v>
      </c>
      <c r="Q1" s="42" t="s">
        <v>77</v>
      </c>
      <c r="R1" s="42" t="s">
        <v>78</v>
      </c>
    </row>
    <row r="2" spans="1:18" ht="21" customHeight="1" x14ac:dyDescent="0.15">
      <c r="A2" s="40" t="str">
        <f t="shared" ref="A2" si="0">B2&amp;"_"&amp;C2</f>
        <v>30016001_30016001</v>
      </c>
      <c r="B2" s="65">
        <v>30016001</v>
      </c>
      <c r="C2" s="48">
        <v>30016001</v>
      </c>
      <c r="D2" s="47" t="str">
        <f>IFERROR(VLOOKUP(C2,enemy_skills!A:F,4,FALSE),VLOOKUP(C2,[5]enemy_skills!$A:$E,4,FALSE))</f>
        <v>ja</v>
      </c>
      <c r="E2" s="47" t="str">
        <f>IFERROR(VLOOKUP(C2,enemy_skills!A:F,5,FALSE),VLOOKUP(C2,[5]enemy_skills!$A:$E,5,FALSE))</f>
        <v>ドラゴンさんにはよくききますっ！</v>
      </c>
      <c r="F2" s="48">
        <v>30016001</v>
      </c>
      <c r="G2" s="49">
        <f>VLOOKUP($F2,enemy_skill_triggers!$A:$J,2,FALSE)</f>
        <v>0</v>
      </c>
      <c r="H2" s="49">
        <f>VLOOKUP($F2,enemy_skill_triggers!$A:$J,3,FALSE)</f>
        <v>1</v>
      </c>
      <c r="I2" s="49">
        <f>VLOOKUP($F2,enemy_skill_triggers!$A:$J,4,FALSE)</f>
        <v>50</v>
      </c>
      <c r="J2" s="49" t="str">
        <f>VLOOKUP($F2,enemy_skill_triggers!$A:$J,5,FALSE)</f>
        <v>null</v>
      </c>
      <c r="K2" s="49" t="str">
        <f>VLOOKUP($F2,enemy_skill_triggers!$A:$J,6,FALSE)</f>
        <v>null</v>
      </c>
      <c r="L2" s="49" t="str">
        <f>VLOOKUP($F2,enemy_skill_triggers!$A:$J,7,FALSE)</f>
        <v>null</v>
      </c>
      <c r="M2" s="49" t="str">
        <f>VLOOKUP($F2,enemy_skill_triggers!$A:$J,8,FALSE)</f>
        <v>null</v>
      </c>
      <c r="N2" s="49" t="str">
        <f>VLOOKUP($F2,enemy_skill_triggers!$A:$J,9,FALSE)</f>
        <v>null</v>
      </c>
      <c r="O2" s="49">
        <f>VLOOKUP($F2,enemy_skill_triggers!$A:$J,10,FALSE)</f>
        <v>50</v>
      </c>
      <c r="P2" s="48"/>
      <c r="Q2" s="48"/>
      <c r="R2" s="48"/>
    </row>
    <row r="3" spans="1:18" ht="21" customHeight="1" x14ac:dyDescent="0.15">
      <c r="A3" s="40" t="str">
        <f t="shared" ref="A3:A10" si="1">B3&amp;"_"&amp;C3</f>
        <v>30016001_30016002</v>
      </c>
      <c r="B3" s="65">
        <v>30016001</v>
      </c>
      <c r="C3" s="48">
        <v>30016002</v>
      </c>
      <c r="D3" s="47" t="str">
        <f>IFERROR(VLOOKUP(C3,enemy_skills!A:F,4,FALSE),VLOOKUP(C3,[5]enemy_skills!$A:$E,4,FALSE))</f>
        <v>ja</v>
      </c>
      <c r="E3" s="47" t="str">
        <f>IFERROR(VLOOKUP(C3,enemy_skills!A:F,5,FALSE),VLOOKUP(C3,[5]enemy_skills!$A:$E,5,FALSE))</f>
        <v>あぶないものはボッシュウですッ！</v>
      </c>
      <c r="F3" s="48">
        <v>30016002</v>
      </c>
      <c r="G3" s="49">
        <f>VLOOKUP($F3,enemy_skill_triggers!$A:$J,2,FALSE)</f>
        <v>0</v>
      </c>
      <c r="H3" s="49">
        <f>VLOOKUP($F3,enemy_skill_triggers!$A:$J,3,FALSE)</f>
        <v>2</v>
      </c>
      <c r="I3" s="49">
        <f>VLOOKUP($F3,enemy_skill_triggers!$A:$J,4,FALSE)</f>
        <v>100</v>
      </c>
      <c r="J3" s="49" t="str">
        <f>VLOOKUP($F3,enemy_skill_triggers!$A:$J,5,FALSE)</f>
        <v>null</v>
      </c>
      <c r="K3" s="49" t="str">
        <f>VLOOKUP($F3,enemy_skill_triggers!$A:$J,6,FALSE)</f>
        <v>null</v>
      </c>
      <c r="L3" s="49">
        <f>VLOOKUP($F3,enemy_skill_triggers!$A:$J,7,FALSE)</f>
        <v>2</v>
      </c>
      <c r="M3" s="49">
        <f>VLOOKUP($F3,enemy_skill_triggers!$A:$J,8,FALSE)</f>
        <v>2</v>
      </c>
      <c r="N3" s="49" t="str">
        <f>VLOOKUP($F3,enemy_skill_triggers!$A:$J,9,FALSE)</f>
        <v>null</v>
      </c>
      <c r="O3" s="49">
        <f>VLOOKUP($F3,enemy_skill_triggers!$A:$J,10,FALSE)</f>
        <v>100</v>
      </c>
      <c r="P3" s="48"/>
      <c r="Q3" s="48"/>
      <c r="R3" s="48"/>
    </row>
    <row r="4" spans="1:18" ht="21" customHeight="1" x14ac:dyDescent="0.15">
      <c r="A4" s="40" t="str">
        <f t="shared" si="1"/>
        <v>30016001_30016003</v>
      </c>
      <c r="B4" s="65">
        <v>30016001</v>
      </c>
      <c r="C4" s="48">
        <v>30016003</v>
      </c>
      <c r="D4" s="47" t="str">
        <f>IFERROR(VLOOKUP(C4,enemy_skills!A:F,4,FALSE),VLOOKUP(C4,[5]enemy_skills!$A:$E,4,FALSE))</f>
        <v>ja</v>
      </c>
      <c r="E4" s="47" t="str">
        <f>IFERROR(VLOOKUP(C4,enemy_skills!A:F,5,FALSE),VLOOKUP(C4,[5]enemy_skills!$A:$E,5,FALSE))</f>
        <v>もうゆるしませんッ！</v>
      </c>
      <c r="F4" s="48">
        <v>30016003</v>
      </c>
      <c r="G4" s="49">
        <f>VLOOKUP($F4,enemy_skill_triggers!$A:$J,2,FALSE)</f>
        <v>0</v>
      </c>
      <c r="H4" s="49" t="str">
        <f>VLOOKUP($F4,enemy_skill_triggers!$A:$J,3,FALSE)</f>
        <v>null</v>
      </c>
      <c r="I4" s="49">
        <f>VLOOKUP($F4,enemy_skill_triggers!$A:$J,4,FALSE)</f>
        <v>100</v>
      </c>
      <c r="J4" s="49" t="str">
        <f>VLOOKUP($F4,enemy_skill_triggers!$A:$J,5,FALSE)</f>
        <v>null</v>
      </c>
      <c r="K4" s="49" t="str">
        <f>VLOOKUP($F4,enemy_skill_triggers!$A:$J,6,FALSE)</f>
        <v>null</v>
      </c>
      <c r="L4" s="49" t="str">
        <f>VLOOKUP($F4,enemy_skill_triggers!$A:$J,7,FALSE)</f>
        <v>null</v>
      </c>
      <c r="M4" s="49" t="str">
        <f>VLOOKUP($F4,enemy_skill_triggers!$A:$J,8,FALSE)</f>
        <v>null</v>
      </c>
      <c r="N4" s="49">
        <f>VLOOKUP($F4,enemy_skill_triggers!$A:$J,9,FALSE)</f>
        <v>19</v>
      </c>
      <c r="O4" s="49">
        <f>VLOOKUP($F4,enemy_skill_triggers!$A:$J,10,FALSE)</f>
        <v>100</v>
      </c>
      <c r="P4" s="48"/>
      <c r="Q4" s="48"/>
      <c r="R4" s="48"/>
    </row>
    <row r="5" spans="1:18" ht="21" customHeight="1" x14ac:dyDescent="0.15">
      <c r="A5" s="40" t="str">
        <f t="shared" si="1"/>
        <v>30016001_30016004</v>
      </c>
      <c r="B5" s="65">
        <v>30016001</v>
      </c>
      <c r="C5" s="48">
        <v>30016004</v>
      </c>
      <c r="D5" s="47" t="str">
        <f>IFERROR(VLOOKUP(C5,enemy_skills!A:F,4,FALSE),VLOOKUP(C5,[5]enemy_skills!$A:$E,4,FALSE))</f>
        <v>ja</v>
      </c>
      <c r="E5" s="47" t="str">
        <f>IFERROR(VLOOKUP(C5,enemy_skills!A:F,5,FALSE),VLOOKUP(C5,[5]enemy_skills!$A:$E,5,FALSE))</f>
        <v>しっかりしてくださぃッ！</v>
      </c>
      <c r="F5" s="48">
        <v>30016004</v>
      </c>
      <c r="G5" s="49">
        <f>VLOOKUP($F5,enemy_skill_triggers!$A:$J,2,FALSE)</f>
        <v>0</v>
      </c>
      <c r="H5" s="49" t="str">
        <f>VLOOKUP($F5,enemy_skill_triggers!$A:$J,3,FALSE)</f>
        <v>null</v>
      </c>
      <c r="I5" s="49">
        <f>VLOOKUP($F5,enemy_skill_triggers!$A:$J,4,FALSE)</f>
        <v>100</v>
      </c>
      <c r="J5" s="49" t="str">
        <f>VLOOKUP($F5,enemy_skill_triggers!$A:$J,5,FALSE)</f>
        <v>null</v>
      </c>
      <c r="K5" s="49" t="str">
        <f>VLOOKUP($F5,enemy_skill_triggers!$A:$J,6,FALSE)</f>
        <v>null</v>
      </c>
      <c r="L5" s="49" t="str">
        <f>VLOOKUP($F5,enemy_skill_triggers!$A:$J,7,FALSE)</f>
        <v>null</v>
      </c>
      <c r="M5" s="49" t="str">
        <f>VLOOKUP($F5,enemy_skill_triggers!$A:$J,8,FALSE)</f>
        <v>null</v>
      </c>
      <c r="N5" s="49">
        <f>VLOOKUP($F5,enemy_skill_triggers!$A:$J,9,FALSE)</f>
        <v>39</v>
      </c>
      <c r="O5" s="49">
        <f>VLOOKUP($F5,enemy_skill_triggers!$A:$J,10,FALSE)</f>
        <v>100</v>
      </c>
      <c r="P5" s="48"/>
      <c r="Q5" s="48"/>
      <c r="R5" s="48"/>
    </row>
    <row r="6" spans="1:18" ht="21" customHeight="1" x14ac:dyDescent="0.15">
      <c r="A6" s="40" t="str">
        <f t="shared" ref="A6" si="2">B6&amp;"_"&amp;C6</f>
        <v>30016001_30016021</v>
      </c>
      <c r="B6" s="65">
        <v>30016001</v>
      </c>
      <c r="C6" s="48">
        <v>30016021</v>
      </c>
      <c r="D6" s="47" t="str">
        <f>IFERROR(VLOOKUP(C6,enemy_skills!A:F,4,FALSE),VLOOKUP(C6,[5]enemy_skills!$A:$E,4,FALSE))</f>
        <v>ja</v>
      </c>
      <c r="E6" s="47" t="str">
        <f>IFERROR(VLOOKUP(C6,enemy_skills!A:F,5,FALSE),VLOOKUP(C6,[5]enemy_skills!$A:$E,5,FALSE))</f>
        <v>これ以上の悪事は許しませんッ！</v>
      </c>
      <c r="F6" s="48">
        <v>30016007</v>
      </c>
      <c r="G6" s="49">
        <f>VLOOKUP($F6,enemy_skill_triggers!$A:$J,2,FALSE)</f>
        <v>1</v>
      </c>
      <c r="H6" s="49" t="str">
        <f>VLOOKUP($F6,enemy_skill_triggers!$A:$J,3,FALSE)</f>
        <v>null</v>
      </c>
      <c r="I6" s="49">
        <f>VLOOKUP($F6,enemy_skill_triggers!$A:$J,4,FALSE)</f>
        <v>100</v>
      </c>
      <c r="J6" s="49" t="str">
        <f>VLOOKUP($F6,enemy_skill_triggers!$A:$J,5,FALSE)</f>
        <v>null</v>
      </c>
      <c r="K6" s="49" t="str">
        <f>VLOOKUP($F6,enemy_skill_triggers!$A:$J,6,FALSE)</f>
        <v>null</v>
      </c>
      <c r="L6" s="49">
        <f>VLOOKUP($F6,enemy_skill_triggers!$A:$J,7,FALSE)</f>
        <v>1</v>
      </c>
      <c r="M6" s="49" t="str">
        <f>VLOOKUP($F6,enemy_skill_triggers!$A:$J,8,FALSE)</f>
        <v>null</v>
      </c>
      <c r="N6" s="49" t="str">
        <f>VLOOKUP($F6,enemy_skill_triggers!$A:$J,9,FALSE)</f>
        <v>null</v>
      </c>
      <c r="O6" s="49">
        <f>VLOOKUP($F6,enemy_skill_triggers!$A:$J,10,FALSE)</f>
        <v>100</v>
      </c>
      <c r="P6" s="48"/>
      <c r="Q6" s="48"/>
      <c r="R6" s="48"/>
    </row>
    <row r="7" spans="1:18" ht="21" customHeight="1" x14ac:dyDescent="0.15">
      <c r="A7" s="40" t="str">
        <f t="shared" si="1"/>
        <v>30016002_30016005</v>
      </c>
      <c r="B7" s="71">
        <v>30016002</v>
      </c>
      <c r="C7" s="48">
        <v>30016005</v>
      </c>
      <c r="D7" s="47" t="str">
        <f>IFERROR(VLOOKUP(C7,enemy_skills!A:F,4,FALSE),VLOOKUP(C7,[5]enemy_skills!$A:$E,4,FALSE))</f>
        <v>ja</v>
      </c>
      <c r="E7" s="47" t="str">
        <f>IFERROR(VLOOKUP(C7,enemy_skills!A:F,5,FALSE),VLOOKUP(C7,[5]enemy_skills!$A:$E,5,FALSE))</f>
        <v>ドラゴンさんにはよくききますッ！</v>
      </c>
      <c r="F7" s="48">
        <v>30016001</v>
      </c>
      <c r="G7" s="49">
        <f>VLOOKUP($F7,enemy_skill_triggers!$A:$J,2,FALSE)</f>
        <v>0</v>
      </c>
      <c r="H7" s="49">
        <f>VLOOKUP($F7,enemy_skill_triggers!$A:$J,3,FALSE)</f>
        <v>1</v>
      </c>
      <c r="I7" s="49">
        <f>VLOOKUP($F7,enemy_skill_triggers!$A:$J,4,FALSE)</f>
        <v>50</v>
      </c>
      <c r="J7" s="49" t="str">
        <f>VLOOKUP($F7,enemy_skill_triggers!$A:$J,5,FALSE)</f>
        <v>null</v>
      </c>
      <c r="K7" s="49" t="str">
        <f>VLOOKUP($F7,enemy_skill_triggers!$A:$J,6,FALSE)</f>
        <v>null</v>
      </c>
      <c r="L7" s="49" t="str">
        <f>VLOOKUP($F7,enemy_skill_triggers!$A:$J,7,FALSE)</f>
        <v>null</v>
      </c>
      <c r="M7" s="49" t="str">
        <f>VLOOKUP($F7,enemy_skill_triggers!$A:$J,8,FALSE)</f>
        <v>null</v>
      </c>
      <c r="N7" s="49" t="str">
        <f>VLOOKUP($F7,enemy_skill_triggers!$A:$J,9,FALSE)</f>
        <v>null</v>
      </c>
      <c r="O7" s="49">
        <f>VLOOKUP($F7,enemy_skill_triggers!$A:$J,10,FALSE)</f>
        <v>50</v>
      </c>
      <c r="P7" s="48"/>
      <c r="Q7" s="48"/>
      <c r="R7" s="48"/>
    </row>
    <row r="8" spans="1:18" ht="21" customHeight="1" x14ac:dyDescent="0.15">
      <c r="A8" s="40" t="str">
        <f t="shared" si="1"/>
        <v>30016002_30016006</v>
      </c>
      <c r="B8" s="71">
        <v>30016002</v>
      </c>
      <c r="C8" s="48">
        <v>30016006</v>
      </c>
      <c r="D8" s="47" t="str">
        <f>IFERROR(VLOOKUP(C8,enemy_skills!A:F,4,FALSE),VLOOKUP(C8,[5]enemy_skills!$A:$E,4,FALSE))</f>
        <v>ja</v>
      </c>
      <c r="E8" s="47" t="str">
        <f>IFERROR(VLOOKUP(C8,enemy_skills!A:F,5,FALSE),VLOOKUP(C8,[5]enemy_skills!$A:$E,5,FALSE))</f>
        <v>あぶないものはボッシュウですッ！</v>
      </c>
      <c r="F8" s="48">
        <v>30016005</v>
      </c>
      <c r="G8" s="49">
        <f>VLOOKUP($F8,enemy_skill_triggers!$A:$J,2,FALSE)</f>
        <v>0</v>
      </c>
      <c r="H8" s="49">
        <f>VLOOKUP($F8,enemy_skill_triggers!$A:$J,3,FALSE)</f>
        <v>3</v>
      </c>
      <c r="I8" s="49">
        <f>VLOOKUP($F8,enemy_skill_triggers!$A:$J,4,FALSE)</f>
        <v>100</v>
      </c>
      <c r="J8" s="49" t="str">
        <f>VLOOKUP($F8,enemy_skill_triggers!$A:$J,5,FALSE)</f>
        <v>null</v>
      </c>
      <c r="K8" s="49" t="str">
        <f>VLOOKUP($F8,enemy_skill_triggers!$A:$J,6,FALSE)</f>
        <v>null</v>
      </c>
      <c r="L8" s="49">
        <f>VLOOKUP($F8,enemy_skill_triggers!$A:$J,7,FALSE)</f>
        <v>2</v>
      </c>
      <c r="M8" s="49">
        <f>VLOOKUP($F8,enemy_skill_triggers!$A:$J,8,FALSE)</f>
        <v>2</v>
      </c>
      <c r="N8" s="49" t="str">
        <f>VLOOKUP($F8,enemy_skill_triggers!$A:$J,9,FALSE)</f>
        <v>null</v>
      </c>
      <c r="O8" s="49">
        <f>VLOOKUP($F8,enemy_skill_triggers!$A:$J,10,FALSE)</f>
        <v>100</v>
      </c>
      <c r="P8" s="48"/>
      <c r="Q8" s="48"/>
      <c r="R8" s="48"/>
    </row>
    <row r="9" spans="1:18" ht="21" customHeight="1" x14ac:dyDescent="0.15">
      <c r="A9" s="40" t="str">
        <f t="shared" si="1"/>
        <v>30016002_30016007</v>
      </c>
      <c r="B9" s="71">
        <v>30016002</v>
      </c>
      <c r="C9" s="48">
        <v>30016007</v>
      </c>
      <c r="D9" s="47" t="str">
        <f>IFERROR(VLOOKUP(C9,enemy_skills!A:F,4,FALSE),VLOOKUP(C9,[5]enemy_skills!$A:$E,4,FALSE))</f>
        <v>ja</v>
      </c>
      <c r="E9" s="47" t="str">
        <f>IFERROR(VLOOKUP(C9,enemy_skills!A:F,5,FALSE),VLOOKUP(C9,[5]enemy_skills!$A:$E,5,FALSE))</f>
        <v>にがしませんよッ！</v>
      </c>
      <c r="F9" s="48">
        <v>30016013</v>
      </c>
      <c r="G9" s="49">
        <f>VLOOKUP($F9,enemy_skill_triggers!$A:$J,2,FALSE)</f>
        <v>0</v>
      </c>
      <c r="H9" s="49">
        <f>VLOOKUP($F9,enemy_skill_triggers!$A:$J,3,FALSE)</f>
        <v>2</v>
      </c>
      <c r="I9" s="49">
        <f>VLOOKUP($F9,enemy_skill_triggers!$A:$J,4,FALSE)</f>
        <v>40</v>
      </c>
      <c r="J9" s="49" t="str">
        <f>VLOOKUP($F9,enemy_skill_triggers!$A:$J,5,FALSE)</f>
        <v>null</v>
      </c>
      <c r="K9" s="49" t="str">
        <f>VLOOKUP($F9,enemy_skill_triggers!$A:$J,6,FALSE)</f>
        <v>null</v>
      </c>
      <c r="L9" s="49">
        <f>VLOOKUP($F9,enemy_skill_triggers!$A:$J,7,FALSE)</f>
        <v>3</v>
      </c>
      <c r="M9" s="49" t="str">
        <f>VLOOKUP($F9,enemy_skill_triggers!$A:$J,8,FALSE)</f>
        <v>null</v>
      </c>
      <c r="N9" s="49" t="str">
        <f>VLOOKUP($F9,enemy_skill_triggers!$A:$J,9,FALSE)</f>
        <v>null</v>
      </c>
      <c r="O9" s="49">
        <f>VLOOKUP($F9,enemy_skill_triggers!$A:$J,10,FALSE)</f>
        <v>40</v>
      </c>
      <c r="P9" s="48"/>
      <c r="Q9" s="48"/>
      <c r="R9" s="48"/>
    </row>
    <row r="10" spans="1:18" ht="21" customHeight="1" x14ac:dyDescent="0.15">
      <c r="A10" s="40" t="str">
        <f t="shared" si="1"/>
        <v>30016002_30016008</v>
      </c>
      <c r="B10" s="71">
        <v>30016002</v>
      </c>
      <c r="C10" s="48">
        <v>30016008</v>
      </c>
      <c r="D10" s="47" t="str">
        <f>IFERROR(VLOOKUP(C10,enemy_skills!A:F,4,FALSE),VLOOKUP(C10,[5]enemy_skills!$A:$E,4,FALSE))</f>
        <v>ja</v>
      </c>
      <c r="E10" s="47" t="str">
        <f>IFERROR(VLOOKUP(C10,enemy_skills!A:F,5,FALSE),VLOOKUP(C10,[5]enemy_skills!$A:$E,5,FALSE))</f>
        <v>もうゆるしませんッ！</v>
      </c>
      <c r="F10" s="48">
        <v>30016003</v>
      </c>
      <c r="G10" s="49">
        <f>VLOOKUP($F10,enemy_skill_triggers!$A:$J,2,FALSE)</f>
        <v>0</v>
      </c>
      <c r="H10" s="49" t="str">
        <f>VLOOKUP($F10,enemy_skill_triggers!$A:$J,3,FALSE)</f>
        <v>null</v>
      </c>
      <c r="I10" s="49">
        <f>VLOOKUP($F10,enemy_skill_triggers!$A:$J,4,FALSE)</f>
        <v>100</v>
      </c>
      <c r="J10" s="49" t="str">
        <f>VLOOKUP($F10,enemy_skill_triggers!$A:$J,5,FALSE)</f>
        <v>null</v>
      </c>
      <c r="K10" s="49" t="str">
        <f>VLOOKUP($F10,enemy_skill_triggers!$A:$J,6,FALSE)</f>
        <v>null</v>
      </c>
      <c r="L10" s="49" t="str">
        <f>VLOOKUP($F10,enemy_skill_triggers!$A:$J,7,FALSE)</f>
        <v>null</v>
      </c>
      <c r="M10" s="49" t="str">
        <f>VLOOKUP($F10,enemy_skill_triggers!$A:$J,8,FALSE)</f>
        <v>null</v>
      </c>
      <c r="N10" s="49">
        <f>VLOOKUP($F10,enemy_skill_triggers!$A:$J,9,FALSE)</f>
        <v>19</v>
      </c>
      <c r="O10" s="49">
        <f>VLOOKUP($F10,enemy_skill_triggers!$A:$J,10,FALSE)</f>
        <v>100</v>
      </c>
      <c r="P10" s="48"/>
      <c r="Q10" s="48"/>
      <c r="R10" s="48"/>
    </row>
    <row r="11" spans="1:18" ht="21" customHeight="1" x14ac:dyDescent="0.15">
      <c r="A11" s="40" t="str">
        <f t="shared" ref="A11:A14" si="3">B11&amp;"_"&amp;C11</f>
        <v>30016002_30016009</v>
      </c>
      <c r="B11" s="71">
        <v>30016002</v>
      </c>
      <c r="C11" s="48">
        <v>30016009</v>
      </c>
      <c r="D11" s="47" t="str">
        <f>IFERROR(VLOOKUP(C11,enemy_skills!A:F,4,FALSE),VLOOKUP(C11,[5]enemy_skills!$A:$E,4,FALSE))</f>
        <v>ja</v>
      </c>
      <c r="E11" s="47" t="str">
        <f>IFERROR(VLOOKUP(C11,enemy_skills!A:F,5,FALSE),VLOOKUP(C11,[5]enemy_skills!$A:$E,5,FALSE))</f>
        <v>しっかりしてくださぃッ！</v>
      </c>
      <c r="F11" s="48">
        <v>30016004</v>
      </c>
      <c r="G11" s="49">
        <f>VLOOKUP($F11,enemy_skill_triggers!$A:$J,2,FALSE)</f>
        <v>0</v>
      </c>
      <c r="H11" s="49" t="str">
        <f>VLOOKUP($F11,enemy_skill_triggers!$A:$J,3,FALSE)</f>
        <v>null</v>
      </c>
      <c r="I11" s="49">
        <f>VLOOKUP($F11,enemy_skill_triggers!$A:$J,4,FALSE)</f>
        <v>100</v>
      </c>
      <c r="J11" s="49" t="str">
        <f>VLOOKUP($F11,enemy_skill_triggers!$A:$J,5,FALSE)</f>
        <v>null</v>
      </c>
      <c r="K11" s="49" t="str">
        <f>VLOOKUP($F11,enemy_skill_triggers!$A:$J,6,FALSE)</f>
        <v>null</v>
      </c>
      <c r="L11" s="49" t="str">
        <f>VLOOKUP($F11,enemy_skill_triggers!$A:$J,7,FALSE)</f>
        <v>null</v>
      </c>
      <c r="M11" s="49" t="str">
        <f>VLOOKUP($F11,enemy_skill_triggers!$A:$J,8,FALSE)</f>
        <v>null</v>
      </c>
      <c r="N11" s="49">
        <f>VLOOKUP($F11,enemy_skill_triggers!$A:$J,9,FALSE)</f>
        <v>39</v>
      </c>
      <c r="O11" s="49">
        <f>VLOOKUP($F11,enemy_skill_triggers!$A:$J,10,FALSE)</f>
        <v>100</v>
      </c>
      <c r="P11" s="48"/>
      <c r="Q11" s="48"/>
      <c r="R11" s="48"/>
    </row>
    <row r="12" spans="1:18" ht="21" customHeight="1" x14ac:dyDescent="0.15">
      <c r="A12" s="40" t="str">
        <f t="shared" si="3"/>
        <v>30016003_30016010</v>
      </c>
      <c r="B12" s="72">
        <v>30016003</v>
      </c>
      <c r="C12" s="48">
        <v>30016010</v>
      </c>
      <c r="D12" s="47" t="str">
        <f>IFERROR(VLOOKUP(C12,enemy_skills!A:F,4,FALSE),VLOOKUP(C12,[5]enemy_skills!$A:$E,4,FALSE))</f>
        <v>ja</v>
      </c>
      <c r="E12" s="47" t="str">
        <f>IFERROR(VLOOKUP(C12,enemy_skills!A:F,5,FALSE),VLOOKUP(C12,[5]enemy_skills!$A:$E,5,FALSE))</f>
        <v>ぜったいにゆるさないんだからッ！！！</v>
      </c>
      <c r="F12" s="48">
        <v>30016012</v>
      </c>
      <c r="G12" s="49">
        <f>VLOOKUP($F12,enemy_skill_triggers!$A:$J,2,FALSE)</f>
        <v>0</v>
      </c>
      <c r="H12" s="49">
        <f>VLOOKUP($F12,enemy_skill_triggers!$A:$J,3,FALSE)</f>
        <v>3</v>
      </c>
      <c r="I12" s="49">
        <f>VLOOKUP($F12,enemy_skill_triggers!$A:$J,4,FALSE)</f>
        <v>100</v>
      </c>
      <c r="J12" s="49" t="str">
        <f>VLOOKUP($F12,enemy_skill_triggers!$A:$J,5,FALSE)</f>
        <v>null</v>
      </c>
      <c r="K12" s="49" t="str">
        <f>VLOOKUP($F12,enemy_skill_triggers!$A:$J,6,FALSE)</f>
        <v>null</v>
      </c>
      <c r="L12" s="49">
        <f>VLOOKUP($F12,enemy_skill_triggers!$A:$J,7,FALSE)</f>
        <v>1</v>
      </c>
      <c r="M12" s="49">
        <f>VLOOKUP($F12,enemy_skill_triggers!$A:$J,8,FALSE)</f>
        <v>5</v>
      </c>
      <c r="N12" s="49" t="str">
        <f>VLOOKUP($F12,enemy_skill_triggers!$A:$J,9,FALSE)</f>
        <v>null</v>
      </c>
      <c r="O12" s="49">
        <f>VLOOKUP($F12,enemy_skill_triggers!$A:$J,10,FALSE)</f>
        <v>100</v>
      </c>
      <c r="P12" s="48"/>
      <c r="Q12" s="48"/>
      <c r="R12" s="48"/>
    </row>
    <row r="13" spans="1:18" ht="21" customHeight="1" x14ac:dyDescent="0.15">
      <c r="A13" s="40" t="str">
        <f t="shared" si="3"/>
        <v>30016003_30016011</v>
      </c>
      <c r="B13" s="72">
        <v>30016003</v>
      </c>
      <c r="C13" s="48">
        <v>30016011</v>
      </c>
      <c r="D13" s="47" t="str">
        <f>IFERROR(VLOOKUP(C13,enemy_skills!A:F,4,FALSE),VLOOKUP(C13,[5]enemy_skills!$A:$E,4,FALSE))</f>
        <v>ja</v>
      </c>
      <c r="E13" s="47" t="str">
        <f>IFERROR(VLOOKUP(C13,enemy_skills!A:F,5,FALSE),VLOOKUP(C13,[5]enemy_skills!$A:$E,5,FALSE))</f>
        <v>ぶきをよこしなさいッ！</v>
      </c>
      <c r="F13" s="48">
        <v>30016008</v>
      </c>
      <c r="G13" s="49">
        <f>VLOOKUP($F13,enemy_skill_triggers!$A:$J,2,FALSE)</f>
        <v>0</v>
      </c>
      <c r="H13" s="49">
        <f>VLOOKUP($F13,enemy_skill_triggers!$A:$J,3,FALSE)</f>
        <v>2</v>
      </c>
      <c r="I13" s="49">
        <f>VLOOKUP($F13,enemy_skill_triggers!$A:$J,4,FALSE)</f>
        <v>100</v>
      </c>
      <c r="J13" s="49" t="str">
        <f>VLOOKUP($F13,enemy_skill_triggers!$A:$J,5,FALSE)</f>
        <v>null</v>
      </c>
      <c r="K13" s="49" t="str">
        <f>VLOOKUP($F13,enemy_skill_triggers!$A:$J,6,FALSE)</f>
        <v>null</v>
      </c>
      <c r="L13" s="49">
        <f>VLOOKUP($F13,enemy_skill_triggers!$A:$J,7,FALSE)</f>
        <v>2</v>
      </c>
      <c r="M13" s="49">
        <f>VLOOKUP($F13,enemy_skill_triggers!$A:$J,8,FALSE)</f>
        <v>3</v>
      </c>
      <c r="N13" s="49" t="str">
        <f>VLOOKUP($F13,enemy_skill_triggers!$A:$J,9,FALSE)</f>
        <v>null</v>
      </c>
      <c r="O13" s="49">
        <f>VLOOKUP($F13,enemy_skill_triggers!$A:$J,10,FALSE)</f>
        <v>100</v>
      </c>
      <c r="P13" s="48"/>
      <c r="Q13" s="48"/>
      <c r="R13" s="48"/>
    </row>
    <row r="14" spans="1:18" ht="21" customHeight="1" x14ac:dyDescent="0.15">
      <c r="A14" s="40" t="str">
        <f t="shared" si="3"/>
        <v>30016003_30016012</v>
      </c>
      <c r="B14" s="72">
        <v>30016003</v>
      </c>
      <c r="C14" s="48">
        <v>30016012</v>
      </c>
      <c r="D14" s="47" t="str">
        <f>IFERROR(VLOOKUP(C14,enemy_skills!A:F,4,FALSE),VLOOKUP(C14,[5]enemy_skills!$A:$E,4,FALSE))</f>
        <v>ja</v>
      </c>
      <c r="E14" s="47" t="str">
        <f>IFERROR(VLOOKUP(C14,enemy_skills!A:F,5,FALSE),VLOOKUP(C14,[5]enemy_skills!$A:$E,5,FALSE))</f>
        <v>にがさないッ！</v>
      </c>
      <c r="F14" s="48">
        <v>30016014</v>
      </c>
      <c r="G14" s="49">
        <f>VLOOKUP($F14,enemy_skill_triggers!$A:$J,2,FALSE)</f>
        <v>0</v>
      </c>
      <c r="H14" s="49">
        <f>VLOOKUP($F14,enemy_skill_triggers!$A:$J,3,FALSE)</f>
        <v>1</v>
      </c>
      <c r="I14" s="49">
        <f>VLOOKUP($F14,enemy_skill_triggers!$A:$J,4,FALSE)</f>
        <v>40</v>
      </c>
      <c r="J14" s="49" t="str">
        <f>VLOOKUP($F14,enemy_skill_triggers!$A:$J,5,FALSE)</f>
        <v>null</v>
      </c>
      <c r="K14" s="49" t="str">
        <f>VLOOKUP($F14,enemy_skill_triggers!$A:$J,6,FALSE)</f>
        <v>null</v>
      </c>
      <c r="L14" s="49">
        <f>VLOOKUP($F14,enemy_skill_triggers!$A:$J,7,FALSE)</f>
        <v>3</v>
      </c>
      <c r="M14" s="49" t="str">
        <f>VLOOKUP($F14,enemy_skill_triggers!$A:$J,8,FALSE)</f>
        <v>null</v>
      </c>
      <c r="N14" s="49" t="str">
        <f>VLOOKUP($F14,enemy_skill_triggers!$A:$J,9,FALSE)</f>
        <v>null</v>
      </c>
      <c r="O14" s="49">
        <f>VLOOKUP($F14,enemy_skill_triggers!$A:$J,10,FALSE)</f>
        <v>40</v>
      </c>
      <c r="P14" s="48"/>
      <c r="Q14" s="48"/>
      <c r="R14" s="48"/>
    </row>
    <row r="15" spans="1:18" ht="21" customHeight="1" x14ac:dyDescent="0.15">
      <c r="A15" s="40" t="str">
        <f t="shared" ref="A15" si="4">B15&amp;"_"&amp;C15</f>
        <v>30016003_30016013</v>
      </c>
      <c r="B15" s="72">
        <v>30016003</v>
      </c>
      <c r="C15" s="48">
        <v>30016013</v>
      </c>
      <c r="D15" s="47" t="str">
        <f>IFERROR(VLOOKUP(C15,enemy_skills!A:F,4,FALSE),VLOOKUP(C15,[5]enemy_skills!$A:$E,4,FALSE))</f>
        <v>ja</v>
      </c>
      <c r="E15" s="47" t="str">
        <f>IFERROR(VLOOKUP(C15,enemy_skills!A:F,5,FALSE),VLOOKUP(C15,[5]enemy_skills!$A:$E,5,FALSE))</f>
        <v>これとこれもつかいますッ！</v>
      </c>
      <c r="F15" s="48">
        <v>30016007</v>
      </c>
      <c r="G15" s="49">
        <f>VLOOKUP($F15,enemy_skill_triggers!$A:$J,2,FALSE)</f>
        <v>1</v>
      </c>
      <c r="H15" s="49" t="str">
        <f>VLOOKUP($F15,enemy_skill_triggers!$A:$J,3,FALSE)</f>
        <v>null</v>
      </c>
      <c r="I15" s="49">
        <f>VLOOKUP($F15,enemy_skill_triggers!$A:$J,4,FALSE)</f>
        <v>100</v>
      </c>
      <c r="J15" s="49" t="str">
        <f>VLOOKUP($F15,enemy_skill_triggers!$A:$J,5,FALSE)</f>
        <v>null</v>
      </c>
      <c r="K15" s="49" t="str">
        <f>VLOOKUP($F15,enemy_skill_triggers!$A:$J,6,FALSE)</f>
        <v>null</v>
      </c>
      <c r="L15" s="49">
        <f>VLOOKUP($F15,enemy_skill_triggers!$A:$J,7,FALSE)</f>
        <v>1</v>
      </c>
      <c r="M15" s="49" t="str">
        <f>VLOOKUP($F15,enemy_skill_triggers!$A:$J,8,FALSE)</f>
        <v>null</v>
      </c>
      <c r="N15" s="49" t="str">
        <f>VLOOKUP($F15,enemy_skill_triggers!$A:$J,9,FALSE)</f>
        <v>null</v>
      </c>
      <c r="O15" s="49">
        <f>VLOOKUP($F15,enemy_skill_triggers!$A:$J,10,FALSE)</f>
        <v>100</v>
      </c>
      <c r="P15" s="48"/>
      <c r="Q15" s="48"/>
      <c r="R15" s="48"/>
    </row>
    <row r="16" spans="1:18" ht="21" customHeight="1" x14ac:dyDescent="0.15">
      <c r="A16" s="40" t="str">
        <f t="shared" ref="A16:A18" si="5">B16&amp;"_"&amp;C16</f>
        <v>30016004_30016016</v>
      </c>
      <c r="B16" s="48">
        <v>30016004</v>
      </c>
      <c r="C16" s="48">
        <v>30016016</v>
      </c>
      <c r="D16" s="47" t="str">
        <f>IFERROR(VLOOKUP(C16,enemy_skills!A:F,4,FALSE),VLOOKUP(C16,[5]enemy_skills!$A:$E,4,FALSE))</f>
        <v>ja</v>
      </c>
      <c r="E16" s="47" t="str">
        <f>IFERROR(VLOOKUP(C16,enemy_skills!A:F,5,FALSE),VLOOKUP(C16,[5]enemy_skills!$A:$E,5,FALSE))</f>
        <v>脅威の顎</v>
      </c>
      <c r="F16" s="48">
        <v>30016006</v>
      </c>
      <c r="G16" s="49">
        <f>VLOOKUP($F16,enemy_skill_triggers!$A:$J,2,FALSE)</f>
        <v>0</v>
      </c>
      <c r="H16" s="49">
        <f>VLOOKUP($F16,enemy_skill_triggers!$A:$J,3,FALSE)</f>
        <v>2</v>
      </c>
      <c r="I16" s="49">
        <f>VLOOKUP($F16,enemy_skill_triggers!$A:$J,4,FALSE)</f>
        <v>50</v>
      </c>
      <c r="J16" s="49" t="str">
        <f>VLOOKUP($F16,enemy_skill_triggers!$A:$J,5,FALSE)</f>
        <v>null</v>
      </c>
      <c r="K16" s="49" t="str">
        <f>VLOOKUP($F16,enemy_skill_triggers!$A:$J,6,FALSE)</f>
        <v>null</v>
      </c>
      <c r="L16" s="49" t="str">
        <f>VLOOKUP($F16,enemy_skill_triggers!$A:$J,7,FALSE)</f>
        <v>null</v>
      </c>
      <c r="M16" s="49" t="str">
        <f>VLOOKUP($F16,enemy_skill_triggers!$A:$J,8,FALSE)</f>
        <v>null</v>
      </c>
      <c r="N16" s="49" t="str">
        <f>VLOOKUP($F16,enemy_skill_triggers!$A:$J,9,FALSE)</f>
        <v>null</v>
      </c>
      <c r="O16" s="49">
        <f>VLOOKUP($F16,enemy_skill_triggers!$A:$J,10,FALSE)</f>
        <v>50</v>
      </c>
      <c r="P16" s="48"/>
      <c r="Q16" s="48"/>
      <c r="R16" s="48"/>
    </row>
    <row r="17" spans="1:18" ht="21" customHeight="1" x14ac:dyDescent="0.15">
      <c r="A17" s="40" t="str">
        <f t="shared" si="5"/>
        <v>30016004_30016017</v>
      </c>
      <c r="B17" s="48">
        <v>30016004</v>
      </c>
      <c r="C17" s="48">
        <v>30016017</v>
      </c>
      <c r="D17" s="47" t="str">
        <f>IFERROR(VLOOKUP(C17,enemy_skills!A:F,4,FALSE),VLOOKUP(C17,[5]enemy_skills!$A:$E,4,FALSE))</f>
        <v>ja</v>
      </c>
      <c r="E17" s="47" t="str">
        <f>IFERROR(VLOOKUP(C17,enemy_skills!A:F,5,FALSE),VLOOKUP(C17,[5]enemy_skills!$A:$E,5,FALSE))</f>
        <v>咀嚼</v>
      </c>
      <c r="F17" s="48">
        <v>30016001</v>
      </c>
      <c r="G17" s="49">
        <f>VLOOKUP($F17,enemy_skill_triggers!$A:$J,2,FALSE)</f>
        <v>0</v>
      </c>
      <c r="H17" s="49">
        <f>VLOOKUP($F17,enemy_skill_triggers!$A:$J,3,FALSE)</f>
        <v>1</v>
      </c>
      <c r="I17" s="49">
        <f>VLOOKUP($F17,enemy_skill_triggers!$A:$J,4,FALSE)</f>
        <v>50</v>
      </c>
      <c r="J17" s="49" t="str">
        <f>VLOOKUP($F17,enemy_skill_triggers!$A:$J,5,FALSE)</f>
        <v>null</v>
      </c>
      <c r="K17" s="49" t="str">
        <f>VLOOKUP($F17,enemy_skill_triggers!$A:$J,6,FALSE)</f>
        <v>null</v>
      </c>
      <c r="L17" s="49" t="str">
        <f>VLOOKUP($F17,enemy_skill_triggers!$A:$J,7,FALSE)</f>
        <v>null</v>
      </c>
      <c r="M17" s="49" t="str">
        <f>VLOOKUP($F17,enemy_skill_triggers!$A:$J,8,FALSE)</f>
        <v>null</v>
      </c>
      <c r="N17" s="49" t="str">
        <f>VLOOKUP($F17,enemy_skill_triggers!$A:$J,9,FALSE)</f>
        <v>null</v>
      </c>
      <c r="O17" s="49">
        <f>VLOOKUP($F17,enemy_skill_triggers!$A:$J,10,FALSE)</f>
        <v>50</v>
      </c>
      <c r="P17" s="48"/>
      <c r="Q17" s="48"/>
      <c r="R17" s="48"/>
    </row>
    <row r="18" spans="1:18" ht="21" customHeight="1" x14ac:dyDescent="0.15">
      <c r="A18" s="40" t="str">
        <f t="shared" si="5"/>
        <v>30016004_30016018</v>
      </c>
      <c r="B18" s="48">
        <v>30016004</v>
      </c>
      <c r="C18" s="48">
        <v>30016018</v>
      </c>
      <c r="D18" s="47" t="str">
        <f>IFERROR(VLOOKUP(C18,enemy_skills!A:F,4,FALSE),VLOOKUP(C18,[5]enemy_skills!$A:$E,4,FALSE))</f>
        <v>ja</v>
      </c>
      <c r="E18" s="47" t="str">
        <f>IFERROR(VLOOKUP(C18,enemy_skills!A:F,5,FALSE),VLOOKUP(C18,[5]enemy_skills!$A:$E,5,FALSE))</f>
        <v>大公爵たる所以</v>
      </c>
      <c r="F18" s="48">
        <v>30016011</v>
      </c>
      <c r="G18" s="49">
        <f>VLOOKUP($F18,enemy_skill_triggers!$A:$J,2,FALSE)</f>
        <v>0</v>
      </c>
      <c r="H18" s="49">
        <f>VLOOKUP($F18,enemy_skill_triggers!$A:$J,3,FALSE)</f>
        <v>4</v>
      </c>
      <c r="I18" s="49">
        <f>VLOOKUP($F18,enemy_skill_triggers!$A:$J,4,FALSE)</f>
        <v>100</v>
      </c>
      <c r="J18" s="49">
        <f>VLOOKUP($F18,enemy_skill_triggers!$A:$J,5,FALSE)</f>
        <v>50</v>
      </c>
      <c r="K18" s="49" t="str">
        <f>VLOOKUP($F18,enemy_skill_triggers!$A:$J,6,FALSE)</f>
        <v>null</v>
      </c>
      <c r="L18" s="49">
        <f>VLOOKUP($F18,enemy_skill_triggers!$A:$J,7,FALSE)</f>
        <v>1</v>
      </c>
      <c r="M18" s="49" t="str">
        <f>VLOOKUP($F18,enemy_skill_triggers!$A:$J,8,FALSE)</f>
        <v>null</v>
      </c>
      <c r="N18" s="49" t="str">
        <f>VLOOKUP($F18,enemy_skill_triggers!$A:$J,9,FALSE)</f>
        <v>null</v>
      </c>
      <c r="O18" s="49">
        <f>VLOOKUP($F18,enemy_skill_triggers!$A:$J,10,FALSE)</f>
        <v>100</v>
      </c>
      <c r="P18" s="48"/>
      <c r="Q18" s="48"/>
      <c r="R18" s="48"/>
    </row>
    <row r="19" spans="1:18" ht="21" customHeight="1" x14ac:dyDescent="0.15">
      <c r="A19" s="40" t="str">
        <f t="shared" ref="A19" si="6">B19&amp;"_"&amp;C19</f>
        <v>30016004_30016019</v>
      </c>
      <c r="B19" s="48">
        <v>30016004</v>
      </c>
      <c r="C19" s="48">
        <v>30016019</v>
      </c>
      <c r="D19" s="47" t="str">
        <f>IFERROR(VLOOKUP(C19,enemy_skills!A:F,4,FALSE),VLOOKUP(C19,[5]enemy_skills!$A:$E,4,FALSE))</f>
        <v>ja</v>
      </c>
      <c r="E19" s="47" t="str">
        <f>IFERROR(VLOOKUP(C19,enemy_skills!A:F,5,FALSE),VLOOKUP(C19,[5]enemy_skills!$A:$E,5,FALSE))</f>
        <v>ギガンティック・フォール</v>
      </c>
      <c r="F19" s="48">
        <v>30016010</v>
      </c>
      <c r="G19" s="49">
        <f>VLOOKUP($F19,enemy_skill_triggers!$A:$J,2,FALSE)</f>
        <v>0</v>
      </c>
      <c r="H19" s="49">
        <f>VLOOKUP($F19,enemy_skill_triggers!$A:$J,3,FALSE)</f>
        <v>3</v>
      </c>
      <c r="I19" s="49">
        <f>VLOOKUP($F19,enemy_skill_triggers!$A:$J,4,FALSE)</f>
        <v>100</v>
      </c>
      <c r="J19" s="49">
        <f>VLOOKUP($F19,enemy_skill_triggers!$A:$J,5,FALSE)</f>
        <v>50</v>
      </c>
      <c r="K19" s="49" t="str">
        <f>VLOOKUP($F19,enemy_skill_triggers!$A:$J,6,FALSE)</f>
        <v>null</v>
      </c>
      <c r="L19" s="49">
        <f>VLOOKUP($F19,enemy_skill_triggers!$A:$J,7,FALSE)</f>
        <v>1</v>
      </c>
      <c r="M19" s="49" t="str">
        <f>VLOOKUP($F19,enemy_skill_triggers!$A:$J,8,FALSE)</f>
        <v>null</v>
      </c>
      <c r="N19" s="49" t="str">
        <f>VLOOKUP($F19,enemy_skill_triggers!$A:$J,9,FALSE)</f>
        <v>null</v>
      </c>
      <c r="O19" s="49">
        <f>VLOOKUP($F19,enemy_skill_triggers!$A:$J,10,FALSE)</f>
        <v>100</v>
      </c>
      <c r="P19" s="48"/>
      <c r="Q19" s="48"/>
      <c r="R19" s="48"/>
    </row>
    <row r="20" spans="1:18" ht="21" customHeight="1" x14ac:dyDescent="0.15">
      <c r="A20" s="40" t="str">
        <f t="shared" ref="A20" si="7">B20&amp;"_"&amp;C20</f>
        <v>30016005_30016020</v>
      </c>
      <c r="B20" s="78">
        <v>30016005</v>
      </c>
      <c r="C20" s="48">
        <v>30016020</v>
      </c>
      <c r="D20" s="47" t="str">
        <f>IFERROR(VLOOKUP(C20,enemy_skills!A:F,4,FALSE),VLOOKUP(C20,[5]enemy_skills!$A:$E,4,FALSE))</f>
        <v>ja</v>
      </c>
      <c r="E20" s="47" t="str">
        <f>IFERROR(VLOOKUP(C20,enemy_skills!A:F,5,FALSE),VLOOKUP(C20,[5]enemy_skills!$A:$E,5,FALSE))</f>
        <v>フック船長に言いつけてやる！</v>
      </c>
      <c r="F20" s="48">
        <v>30016007</v>
      </c>
      <c r="G20" s="49">
        <f>VLOOKUP($F20,enemy_skill_triggers!$A:$J,2,FALSE)</f>
        <v>1</v>
      </c>
      <c r="H20" s="49" t="str">
        <f>VLOOKUP($F20,enemy_skill_triggers!$A:$J,3,FALSE)</f>
        <v>null</v>
      </c>
      <c r="I20" s="49">
        <f>VLOOKUP($F20,enemy_skill_triggers!$A:$J,4,FALSE)</f>
        <v>100</v>
      </c>
      <c r="J20" s="49" t="str">
        <f>VLOOKUP($F20,enemy_skill_triggers!$A:$J,5,FALSE)</f>
        <v>null</v>
      </c>
      <c r="K20" s="49" t="str">
        <f>VLOOKUP($F20,enemy_skill_triggers!$A:$J,6,FALSE)</f>
        <v>null</v>
      </c>
      <c r="L20" s="49">
        <f>VLOOKUP($F20,enemy_skill_triggers!$A:$J,7,FALSE)</f>
        <v>1</v>
      </c>
      <c r="M20" s="49" t="str">
        <f>VLOOKUP($F20,enemy_skill_triggers!$A:$J,8,FALSE)</f>
        <v>null</v>
      </c>
      <c r="N20" s="49" t="str">
        <f>VLOOKUP($F20,enemy_skill_triggers!$A:$J,9,FALSE)</f>
        <v>null</v>
      </c>
      <c r="O20" s="49">
        <f>VLOOKUP($F20,enemy_skill_triggers!$A:$J,10,FALSE)</f>
        <v>100</v>
      </c>
      <c r="P20" s="48"/>
      <c r="Q20" s="48"/>
      <c r="R20" s="48"/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2017-03-08T03:43:32Z</dcterms:modified>
</cp:coreProperties>
</file>