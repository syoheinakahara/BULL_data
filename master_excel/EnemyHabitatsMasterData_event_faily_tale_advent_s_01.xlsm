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0900" yWindow="1080" windowWidth="21820" windowHeight="17300" tabRatio="740" firstSheet="1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0" i="11" l="1"/>
  <c r="O58" i="9"/>
  <c r="N58" i="9"/>
  <c r="M58" i="9"/>
  <c r="L58" i="9"/>
  <c r="K58" i="9"/>
  <c r="J58" i="9"/>
  <c r="I58" i="9"/>
  <c r="H58" i="9"/>
  <c r="G58" i="9"/>
  <c r="E58" i="9"/>
  <c r="D58" i="9"/>
  <c r="A58" i="9"/>
  <c r="J59" i="11"/>
  <c r="O57" i="9"/>
  <c r="N57" i="9"/>
  <c r="M57" i="9"/>
  <c r="L57" i="9"/>
  <c r="K57" i="9"/>
  <c r="J57" i="9"/>
  <c r="I57" i="9"/>
  <c r="H57" i="9"/>
  <c r="G57" i="9"/>
  <c r="E57" i="9"/>
  <c r="D57" i="9"/>
  <c r="A57" i="9"/>
  <c r="J43" i="11"/>
  <c r="O41" i="9"/>
  <c r="N41" i="9"/>
  <c r="M41" i="9"/>
  <c r="L41" i="9"/>
  <c r="K41" i="9"/>
  <c r="J41" i="9"/>
  <c r="I41" i="9"/>
  <c r="H41" i="9"/>
  <c r="G41" i="9"/>
  <c r="E41" i="9"/>
  <c r="D41" i="9"/>
  <c r="A41" i="9"/>
  <c r="J42" i="11"/>
  <c r="O40" i="9"/>
  <c r="N40" i="9"/>
  <c r="M40" i="9"/>
  <c r="L40" i="9"/>
  <c r="K40" i="9"/>
  <c r="J40" i="9"/>
  <c r="I40" i="9"/>
  <c r="H40" i="9"/>
  <c r="G40" i="9"/>
  <c r="E40" i="9"/>
  <c r="D40" i="9"/>
  <c r="A40" i="9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41" i="10"/>
  <c r="T41" i="10"/>
  <c r="W41" i="10"/>
  <c r="V41" i="10"/>
  <c r="X41" i="10"/>
  <c r="U41" i="10"/>
  <c r="Y41" i="10"/>
  <c r="M54" i="10"/>
  <c r="N54" i="10"/>
  <c r="Q54" i="10"/>
  <c r="P54" i="10"/>
  <c r="R54" i="10"/>
  <c r="O54" i="10"/>
  <c r="S54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J58" i="11"/>
  <c r="O56" i="9"/>
  <c r="N56" i="9"/>
  <c r="M56" i="9"/>
  <c r="L56" i="9"/>
  <c r="K56" i="9"/>
  <c r="J56" i="9"/>
  <c r="I56" i="9"/>
  <c r="H56" i="9"/>
  <c r="G56" i="9"/>
  <c r="E56" i="9"/>
  <c r="D56" i="9"/>
  <c r="A56" i="9"/>
  <c r="J41" i="11"/>
  <c r="O39" i="9"/>
  <c r="N39" i="9"/>
  <c r="M39" i="9"/>
  <c r="L39" i="9"/>
  <c r="K39" i="9"/>
  <c r="J39" i="9"/>
  <c r="I39" i="9"/>
  <c r="H39" i="9"/>
  <c r="G39" i="9"/>
  <c r="E39" i="9"/>
  <c r="D39" i="9"/>
  <c r="A39" i="9"/>
  <c r="J44" i="11"/>
  <c r="J57" i="11"/>
  <c r="J40" i="11"/>
  <c r="O38" i="9"/>
  <c r="N38" i="9"/>
  <c r="M38" i="9"/>
  <c r="L38" i="9"/>
  <c r="K38" i="9"/>
  <c r="J38" i="9"/>
  <c r="I38" i="9"/>
  <c r="H38" i="9"/>
  <c r="G38" i="9"/>
  <c r="E38" i="9"/>
  <c r="D38" i="9"/>
  <c r="A38" i="9"/>
  <c r="O55" i="9"/>
  <c r="N55" i="9"/>
  <c r="M55" i="9"/>
  <c r="L55" i="9"/>
  <c r="K55" i="9"/>
  <c r="J55" i="9"/>
  <c r="I55" i="9"/>
  <c r="H55" i="9"/>
  <c r="G55" i="9"/>
  <c r="E55" i="9"/>
  <c r="D55" i="9"/>
  <c r="A55" i="9"/>
  <c r="M40" i="10"/>
  <c r="T40" i="10"/>
  <c r="W40" i="10"/>
  <c r="V40" i="10"/>
  <c r="X40" i="10"/>
  <c r="U40" i="10"/>
  <c r="Y40" i="10"/>
  <c r="M53" i="10"/>
  <c r="N53" i="10"/>
  <c r="Q53" i="10"/>
  <c r="P53" i="10"/>
  <c r="R53" i="10"/>
  <c r="O53" i="10"/>
  <c r="S53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G33" i="10"/>
  <c r="H33" i="10"/>
  <c r="I33" i="10"/>
  <c r="J33" i="10"/>
  <c r="K33" i="10"/>
  <c r="L33" i="10"/>
  <c r="M33" i="10"/>
  <c r="M46" i="10"/>
  <c r="N46" i="10"/>
  <c r="Q46" i="10"/>
  <c r="P46" i="10"/>
  <c r="R46" i="10"/>
  <c r="O46" i="10"/>
  <c r="S46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J56" i="11"/>
  <c r="O54" i="9"/>
  <c r="N54" i="9"/>
  <c r="M54" i="9"/>
  <c r="L54" i="9"/>
  <c r="K54" i="9"/>
  <c r="J54" i="9"/>
  <c r="I54" i="9"/>
  <c r="H54" i="9"/>
  <c r="G54" i="9"/>
  <c r="E54" i="9"/>
  <c r="D54" i="9"/>
  <c r="A54" i="9"/>
  <c r="T54" i="10"/>
  <c r="W54" i="10"/>
  <c r="V54" i="10"/>
  <c r="X54" i="10"/>
  <c r="U54" i="10"/>
  <c r="Y54" i="10"/>
  <c r="G54" i="10"/>
  <c r="J54" i="10"/>
  <c r="I54" i="10"/>
  <c r="K54" i="10"/>
  <c r="H54" i="10"/>
  <c r="L54" i="10"/>
  <c r="O3" i="21"/>
  <c r="O4" i="21"/>
  <c r="O5" i="21"/>
  <c r="O6" i="21"/>
  <c r="O7" i="21"/>
  <c r="O8" i="21"/>
  <c r="O9" i="21"/>
  <c r="O10" i="21"/>
  <c r="O11" i="21"/>
  <c r="O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J34" i="11"/>
  <c r="O32" i="9"/>
  <c r="N32" i="9"/>
  <c r="M32" i="9"/>
  <c r="L32" i="9"/>
  <c r="K32" i="9"/>
  <c r="J32" i="9"/>
  <c r="I32" i="9"/>
  <c r="H32" i="9"/>
  <c r="G32" i="9"/>
  <c r="E32" i="9"/>
  <c r="D32" i="9"/>
  <c r="A32" i="9"/>
  <c r="M34" i="10"/>
  <c r="T34" i="10"/>
  <c r="W34" i="10"/>
  <c r="V34" i="10"/>
  <c r="X34" i="10"/>
  <c r="U34" i="10"/>
  <c r="Y34" i="10"/>
  <c r="M47" i="10"/>
  <c r="N47" i="10"/>
  <c r="Q47" i="10"/>
  <c r="P47" i="10"/>
  <c r="R47" i="10"/>
  <c r="O47" i="10"/>
  <c r="S47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M15" i="10"/>
  <c r="T15" i="10"/>
  <c r="W15" i="10"/>
  <c r="V15" i="10"/>
  <c r="X15" i="10"/>
  <c r="U15" i="10"/>
  <c r="Y15" i="10"/>
  <c r="M25" i="10"/>
  <c r="M48" i="10"/>
  <c r="N48" i="10"/>
  <c r="Q48" i="10"/>
  <c r="P48" i="10"/>
  <c r="R48" i="10"/>
  <c r="O48" i="10"/>
  <c r="S48" i="10"/>
  <c r="M36" i="10"/>
  <c r="N36" i="10"/>
  <c r="Q36" i="10"/>
  <c r="P36" i="10"/>
  <c r="R36" i="10"/>
  <c r="O36" i="10"/>
  <c r="S36" i="10"/>
  <c r="N25" i="10"/>
  <c r="Q25" i="10"/>
  <c r="P25" i="10"/>
  <c r="R25" i="10"/>
  <c r="O25" i="10"/>
  <c r="S2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G28" i="10"/>
  <c r="H28" i="10"/>
  <c r="I28" i="10"/>
  <c r="J28" i="10"/>
  <c r="K28" i="10"/>
  <c r="L28" i="10"/>
  <c r="M28" i="10"/>
  <c r="M39" i="10"/>
  <c r="M51" i="10"/>
  <c r="N51" i="10"/>
  <c r="Q51" i="10"/>
  <c r="P51" i="10"/>
  <c r="R51" i="10"/>
  <c r="O51" i="10"/>
  <c r="S51" i="10"/>
  <c r="N39" i="10"/>
  <c r="Q39" i="10"/>
  <c r="P39" i="10"/>
  <c r="R39" i="10"/>
  <c r="O39" i="10"/>
  <c r="S39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J4" i="11"/>
  <c r="Y6" i="7"/>
  <c r="W6" i="7"/>
  <c r="U6" i="7"/>
  <c r="R6" i="7"/>
  <c r="Q6" i="7"/>
  <c r="P6" i="7"/>
  <c r="O6" i="7"/>
  <c r="N6" i="7"/>
  <c r="H6" i="7"/>
  <c r="G2" i="2"/>
  <c r="A2" i="2"/>
  <c r="G3" i="2"/>
  <c r="A3" i="2"/>
  <c r="G4" i="2"/>
  <c r="A4" i="2"/>
  <c r="G5" i="2"/>
  <c r="A5" i="2"/>
  <c r="J6" i="7"/>
  <c r="I6" i="7"/>
  <c r="D6" i="7"/>
  <c r="F6" i="7"/>
  <c r="E6" i="7"/>
  <c r="A6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0" i="9"/>
  <c r="H20" i="9"/>
  <c r="I20" i="9"/>
  <c r="J20" i="9"/>
  <c r="K20" i="9"/>
  <c r="L20" i="9"/>
  <c r="M20" i="9"/>
  <c r="N20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J31" i="9"/>
  <c r="K31" i="9"/>
  <c r="L31" i="9"/>
  <c r="M31" i="9"/>
  <c r="N31" i="9"/>
  <c r="G33" i="9"/>
  <c r="H33" i="9"/>
  <c r="I33" i="9"/>
  <c r="J33" i="9"/>
  <c r="K33" i="9"/>
  <c r="L33" i="9"/>
  <c r="M33" i="9"/>
  <c r="N33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36" i="9"/>
  <c r="H36" i="9"/>
  <c r="I36" i="9"/>
  <c r="J36" i="9"/>
  <c r="K36" i="9"/>
  <c r="L36" i="9"/>
  <c r="M36" i="9"/>
  <c r="N36" i="9"/>
  <c r="G37" i="9"/>
  <c r="H37" i="9"/>
  <c r="I37" i="9"/>
  <c r="J37" i="9"/>
  <c r="K37" i="9"/>
  <c r="L37" i="9"/>
  <c r="M37" i="9"/>
  <c r="N37" i="9"/>
  <c r="G42" i="9"/>
  <c r="H42" i="9"/>
  <c r="I42" i="9"/>
  <c r="J42" i="9"/>
  <c r="K42" i="9"/>
  <c r="L42" i="9"/>
  <c r="M42" i="9"/>
  <c r="N42" i="9"/>
  <c r="G43" i="9"/>
  <c r="H43" i="9"/>
  <c r="I43" i="9"/>
  <c r="J43" i="9"/>
  <c r="K43" i="9"/>
  <c r="L43" i="9"/>
  <c r="M43" i="9"/>
  <c r="N43" i="9"/>
  <c r="G44" i="9"/>
  <c r="H44" i="9"/>
  <c r="I44" i="9"/>
  <c r="J44" i="9"/>
  <c r="K44" i="9"/>
  <c r="L44" i="9"/>
  <c r="M44" i="9"/>
  <c r="N44" i="9"/>
  <c r="G45" i="9"/>
  <c r="H45" i="9"/>
  <c r="I45" i="9"/>
  <c r="J45" i="9"/>
  <c r="K45" i="9"/>
  <c r="L45" i="9"/>
  <c r="M45" i="9"/>
  <c r="N45" i="9"/>
  <c r="G46" i="9"/>
  <c r="H46" i="9"/>
  <c r="I46" i="9"/>
  <c r="J46" i="9"/>
  <c r="K46" i="9"/>
  <c r="L46" i="9"/>
  <c r="M46" i="9"/>
  <c r="N46" i="9"/>
  <c r="G47" i="9"/>
  <c r="H47" i="9"/>
  <c r="I47" i="9"/>
  <c r="J47" i="9"/>
  <c r="K47" i="9"/>
  <c r="L47" i="9"/>
  <c r="M47" i="9"/>
  <c r="N47" i="9"/>
  <c r="G48" i="9"/>
  <c r="H48" i="9"/>
  <c r="I48" i="9"/>
  <c r="J48" i="9"/>
  <c r="K48" i="9"/>
  <c r="L48" i="9"/>
  <c r="M48" i="9"/>
  <c r="N48" i="9"/>
  <c r="G49" i="9"/>
  <c r="H49" i="9"/>
  <c r="I49" i="9"/>
  <c r="J49" i="9"/>
  <c r="K49" i="9"/>
  <c r="L49" i="9"/>
  <c r="M49" i="9"/>
  <c r="N49" i="9"/>
  <c r="G50" i="9"/>
  <c r="H50" i="9"/>
  <c r="I50" i="9"/>
  <c r="J50" i="9"/>
  <c r="K50" i="9"/>
  <c r="L50" i="9"/>
  <c r="M50" i="9"/>
  <c r="N50" i="9"/>
  <c r="G51" i="9"/>
  <c r="H51" i="9"/>
  <c r="I51" i="9"/>
  <c r="J51" i="9"/>
  <c r="K51" i="9"/>
  <c r="L51" i="9"/>
  <c r="M51" i="9"/>
  <c r="N51" i="9"/>
  <c r="G52" i="9"/>
  <c r="H52" i="9"/>
  <c r="I52" i="9"/>
  <c r="J52" i="9"/>
  <c r="K52" i="9"/>
  <c r="L52" i="9"/>
  <c r="M52" i="9"/>
  <c r="N52" i="9"/>
  <c r="G53" i="9"/>
  <c r="H53" i="9"/>
  <c r="I53" i="9"/>
  <c r="J53" i="9"/>
  <c r="K53" i="9"/>
  <c r="L53" i="9"/>
  <c r="M53" i="9"/>
  <c r="N53" i="9"/>
  <c r="J3" i="11"/>
  <c r="J5" i="11"/>
  <c r="J6" i="11"/>
  <c r="J7" i="11"/>
  <c r="J8" i="11"/>
  <c r="J9" i="11"/>
  <c r="J10" i="11"/>
  <c r="J11" i="11"/>
  <c r="J12" i="11"/>
  <c r="J13" i="11"/>
  <c r="J14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5" i="11"/>
  <c r="J36" i="11"/>
  <c r="J37" i="11"/>
  <c r="J38" i="11"/>
  <c r="J39" i="11"/>
  <c r="J45" i="11"/>
  <c r="J46" i="11"/>
  <c r="J47" i="11"/>
  <c r="J48" i="11"/>
  <c r="J49" i="11"/>
  <c r="J50" i="11"/>
  <c r="J51" i="11"/>
  <c r="J52" i="11"/>
  <c r="J53" i="11"/>
  <c r="J54" i="11"/>
  <c r="J55" i="11"/>
  <c r="O3" i="9"/>
  <c r="O4" i="9"/>
  <c r="O5" i="9"/>
  <c r="O6" i="9"/>
  <c r="O7" i="9"/>
  <c r="O8" i="9"/>
  <c r="O9" i="9"/>
  <c r="O10" i="9"/>
  <c r="O11" i="9"/>
  <c r="O12" i="9"/>
  <c r="O13" i="9"/>
  <c r="O14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3" i="9"/>
  <c r="O34" i="9"/>
  <c r="O35" i="9"/>
  <c r="O36" i="9"/>
  <c r="O37" i="9"/>
  <c r="O42" i="9"/>
  <c r="O43" i="9"/>
  <c r="O44" i="9"/>
  <c r="O45" i="9"/>
  <c r="O46" i="9"/>
  <c r="O47" i="9"/>
  <c r="O48" i="9"/>
  <c r="O49" i="9"/>
  <c r="O50" i="9"/>
  <c r="O51" i="9"/>
  <c r="O52" i="9"/>
  <c r="O53" i="9"/>
  <c r="E53" i="9"/>
  <c r="D53" i="9"/>
  <c r="A53" i="9"/>
  <c r="E52" i="9"/>
  <c r="D52" i="9"/>
  <c r="A52" i="9"/>
  <c r="E51" i="9"/>
  <c r="D51" i="9"/>
  <c r="A51" i="9"/>
  <c r="E50" i="9"/>
  <c r="D50" i="9"/>
  <c r="A50" i="9"/>
  <c r="E49" i="9"/>
  <c r="D49" i="9"/>
  <c r="A49" i="9"/>
  <c r="E48" i="9"/>
  <c r="D48" i="9"/>
  <c r="A48" i="9"/>
  <c r="E47" i="9"/>
  <c r="D47" i="9"/>
  <c r="A47" i="9"/>
  <c r="E46" i="9"/>
  <c r="D46" i="9"/>
  <c r="A46" i="9"/>
  <c r="E45" i="9"/>
  <c r="D45" i="9"/>
  <c r="A45" i="9"/>
  <c r="E44" i="9"/>
  <c r="D44" i="9"/>
  <c r="A44" i="9"/>
  <c r="E43" i="9"/>
  <c r="D43" i="9"/>
  <c r="A43" i="9"/>
  <c r="E42" i="9"/>
  <c r="D42" i="9"/>
  <c r="A42" i="9"/>
  <c r="E37" i="9"/>
  <c r="D37" i="9"/>
  <c r="A37" i="9"/>
  <c r="E36" i="9"/>
  <c r="D36" i="9"/>
  <c r="A36" i="9"/>
  <c r="E35" i="9"/>
  <c r="D35" i="9"/>
  <c r="A35" i="9"/>
  <c r="E34" i="9"/>
  <c r="D34" i="9"/>
  <c r="A34" i="9"/>
  <c r="E33" i="9"/>
  <c r="D33" i="9"/>
  <c r="A33" i="9"/>
  <c r="E31" i="9"/>
  <c r="D31" i="9"/>
  <c r="A31" i="9"/>
  <c r="E30" i="9"/>
  <c r="D30" i="9"/>
  <c r="A30" i="9"/>
  <c r="E29" i="9"/>
  <c r="D29" i="9"/>
  <c r="A29" i="9"/>
  <c r="E28" i="9"/>
  <c r="D28" i="9"/>
  <c r="A28" i="9"/>
  <c r="E27" i="9"/>
  <c r="D27" i="9"/>
  <c r="A27" i="9"/>
  <c r="E26" i="9"/>
  <c r="D26" i="9"/>
  <c r="A26" i="9"/>
  <c r="E25" i="9"/>
  <c r="D25" i="9"/>
  <c r="A25" i="9"/>
  <c r="E24" i="9"/>
  <c r="D24" i="9"/>
  <c r="A24" i="9"/>
  <c r="E23" i="9"/>
  <c r="D23" i="9"/>
  <c r="A23" i="9"/>
  <c r="E22" i="9"/>
  <c r="D22" i="9"/>
  <c r="A22" i="9"/>
  <c r="E21" i="9"/>
  <c r="D21" i="9"/>
  <c r="A21" i="9"/>
  <c r="E20" i="9"/>
  <c r="D20" i="9"/>
  <c r="A20" i="9"/>
  <c r="E19" i="9"/>
  <c r="D19" i="9"/>
  <c r="A19" i="9"/>
  <c r="E18" i="9"/>
  <c r="D18" i="9"/>
  <c r="A18" i="9"/>
  <c r="E17" i="9"/>
  <c r="D17" i="9"/>
  <c r="A17" i="9"/>
  <c r="E16" i="9"/>
  <c r="D16" i="9"/>
  <c r="A16" i="9"/>
  <c r="E14" i="9"/>
  <c r="D14" i="9"/>
  <c r="A14" i="9"/>
  <c r="E13" i="9"/>
  <c r="D13" i="9"/>
  <c r="A13" i="9"/>
  <c r="E12" i="9"/>
  <c r="D12" i="9"/>
  <c r="A12" i="9"/>
  <c r="E11" i="9"/>
  <c r="D11" i="9"/>
  <c r="A11" i="9"/>
  <c r="E10" i="9"/>
  <c r="D10" i="9"/>
  <c r="A10" i="9"/>
  <c r="E9" i="9"/>
  <c r="D9" i="9"/>
  <c r="A9" i="9"/>
  <c r="E8" i="9"/>
  <c r="D8" i="9"/>
  <c r="A8" i="9"/>
  <c r="E7" i="9"/>
  <c r="D7" i="9"/>
  <c r="A7" i="9"/>
  <c r="E6" i="9"/>
  <c r="D6" i="9"/>
  <c r="A6" i="9"/>
  <c r="E5" i="9"/>
  <c r="D5" i="9"/>
  <c r="A5" i="9"/>
  <c r="E4" i="9"/>
  <c r="D4" i="9"/>
  <c r="A4" i="9"/>
  <c r="E3" i="9"/>
  <c r="D3" i="9"/>
  <c r="A3" i="9"/>
  <c r="M3" i="10"/>
  <c r="T3" i="10"/>
  <c r="W3" i="10"/>
  <c r="V3" i="10"/>
  <c r="X3" i="10"/>
  <c r="U3" i="10"/>
  <c r="Y3" i="10"/>
  <c r="M13" i="10"/>
  <c r="M24" i="10"/>
  <c r="M35" i="10"/>
  <c r="N35" i="10"/>
  <c r="Q35" i="10"/>
  <c r="P35" i="10"/>
  <c r="R35" i="10"/>
  <c r="O35" i="10"/>
  <c r="S35" i="10"/>
  <c r="N24" i="10"/>
  <c r="Q24" i="10"/>
  <c r="P24" i="10"/>
  <c r="R24" i="10"/>
  <c r="O24" i="10"/>
  <c r="S24" i="10"/>
  <c r="N13" i="10"/>
  <c r="Q13" i="10"/>
  <c r="P13" i="10"/>
  <c r="R13" i="10"/>
  <c r="O13" i="10"/>
  <c r="S13" i="10"/>
  <c r="N3" i="10"/>
  <c r="Q3" i="10"/>
  <c r="P3" i="10"/>
  <c r="R3" i="10"/>
  <c r="O3" i="10"/>
  <c r="S3" i="10"/>
  <c r="G3" i="10"/>
  <c r="J3" i="10"/>
  <c r="I3" i="10"/>
  <c r="K3" i="10"/>
  <c r="H3" i="10"/>
  <c r="L3" i="10"/>
  <c r="T53" i="10"/>
  <c r="W53" i="10"/>
  <c r="V53" i="10"/>
  <c r="X53" i="10"/>
  <c r="U53" i="10"/>
  <c r="Y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T51" i="10"/>
  <c r="W51" i="10"/>
  <c r="V51" i="10"/>
  <c r="X51" i="10"/>
  <c r="U51" i="10"/>
  <c r="Y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T48" i="10"/>
  <c r="W48" i="10"/>
  <c r="V48" i="10"/>
  <c r="X48" i="10"/>
  <c r="U48" i="10"/>
  <c r="Y48" i="10"/>
  <c r="G48" i="10"/>
  <c r="J48" i="10"/>
  <c r="I48" i="10"/>
  <c r="K48" i="10"/>
  <c r="H48" i="10"/>
  <c r="L48" i="10"/>
  <c r="T47" i="10"/>
  <c r="W47" i="10"/>
  <c r="V47" i="10"/>
  <c r="X47" i="10"/>
  <c r="U47" i="10"/>
  <c r="Y47" i="10"/>
  <c r="G47" i="10"/>
  <c r="J47" i="10"/>
  <c r="I47" i="10"/>
  <c r="K47" i="10"/>
  <c r="H47" i="10"/>
  <c r="L47" i="10"/>
  <c r="T46" i="10"/>
  <c r="W46" i="10"/>
  <c r="V46" i="10"/>
  <c r="X46" i="10"/>
  <c r="U46" i="10"/>
  <c r="Y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T39" i="10"/>
  <c r="W39" i="10"/>
  <c r="V39" i="10"/>
  <c r="X39" i="10"/>
  <c r="U39" i="10"/>
  <c r="Y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T36" i="10"/>
  <c r="W36" i="10"/>
  <c r="V36" i="10"/>
  <c r="X36" i="10"/>
  <c r="U36" i="10"/>
  <c r="Y36" i="10"/>
  <c r="G36" i="10"/>
  <c r="J36" i="10"/>
  <c r="I36" i="10"/>
  <c r="K36" i="10"/>
  <c r="H36" i="10"/>
  <c r="L36" i="10"/>
  <c r="T35" i="10"/>
  <c r="W35" i="10"/>
  <c r="V35" i="10"/>
  <c r="X35" i="10"/>
  <c r="U35" i="10"/>
  <c r="Y35" i="10"/>
  <c r="G35" i="10"/>
  <c r="J35" i="10"/>
  <c r="I35" i="10"/>
  <c r="K35" i="10"/>
  <c r="H35" i="10"/>
  <c r="L35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T25" i="10"/>
  <c r="W25" i="10"/>
  <c r="V25" i="10"/>
  <c r="X25" i="10"/>
  <c r="U25" i="10"/>
  <c r="Y25" i="10"/>
  <c r="G25" i="10"/>
  <c r="J25" i="10"/>
  <c r="I25" i="10"/>
  <c r="K25" i="10"/>
  <c r="H25" i="10"/>
  <c r="L25" i="10"/>
  <c r="T24" i="10"/>
  <c r="W24" i="10"/>
  <c r="V24" i="10"/>
  <c r="X24" i="10"/>
  <c r="U24" i="10"/>
  <c r="Y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T13" i="10"/>
  <c r="W13" i="10"/>
  <c r="V13" i="10"/>
  <c r="X13" i="10"/>
  <c r="U13" i="10"/>
  <c r="Y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E2" i="9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5" i="2"/>
  <c r="E5" i="2"/>
  <c r="D5" i="2"/>
  <c r="H2" i="1"/>
  <c r="H3" i="1"/>
  <c r="B5" i="2"/>
  <c r="H4" i="2"/>
  <c r="E4" i="2"/>
  <c r="D4" i="2"/>
  <c r="B4" i="2"/>
  <c r="H3" i="2"/>
  <c r="E3" i="2"/>
  <c r="D3" i="2"/>
  <c r="B3" i="2"/>
  <c r="W2" i="7"/>
  <c r="U2" i="7"/>
  <c r="V3" i="1"/>
  <c r="V2" i="1"/>
  <c r="T3" i="1"/>
  <c r="T2" i="1"/>
  <c r="E13" i="16"/>
  <c r="N2" i="22"/>
  <c r="G2" i="22"/>
  <c r="F2" i="22"/>
  <c r="D2" i="22"/>
  <c r="C2" i="22"/>
  <c r="A2" i="22"/>
  <c r="B2" i="21"/>
  <c r="I2" i="21"/>
  <c r="J2" i="21"/>
  <c r="G2" i="21"/>
  <c r="F2" i="21"/>
  <c r="D2" i="21"/>
  <c r="C2" i="21"/>
  <c r="E12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D2" i="9"/>
  <c r="E9" i="16"/>
  <c r="Y2" i="7"/>
  <c r="X2" i="1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<sst xmlns="http://schemas.openxmlformats.org/spreadsheetml/2006/main" count="875" uniqueCount="437">
  <si>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</si>
  <si>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</si>
  <si>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</si>
  <si>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</si>
  <si>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</si>
  <si>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</si>
  <si>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</si>
  <si>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</si>
  <si>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</si>
  <si>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</si>
  <si>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</si>
  <si>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</si>
  <si>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</si>
  <si>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</si>
  <si>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</si>
  <si>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</si>
  <si>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</si>
  <si>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</si>
  <si>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</si>
  <si>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</si>
  <si>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</si>
  <si>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</si>
  <si>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</si>
  <si>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</si>
  <si>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</si>
  <si>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</si>
  <si>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</si>
  <si>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</si>
  <si>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</si>
  <si>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</si>
  <si>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</si>
  <si>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</si>
  <si>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</si>
  <si>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</si>
  <si>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</si>
  <si>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</si>
  <si>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</si>
  <si>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</si>
  <si>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</si>
  <si>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</si>
  <si>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</si>
  <si>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</si>
  <si>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</si>
  <si>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</si>
  <si>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</si>
  <si>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</si>
  <si>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</si>
  <si>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</si>
  <si>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</si>
  <si>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</si>
  <si>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</si>
  <si>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</si>
  <si>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</si>
  <si>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</si>
  <si>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</si>
  <si>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</si>
  <si>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</si>
  <si>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</si>
  <si>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</si>
  <si>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</si>
  <si>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</si>
  <si>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</si>
  <si>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</si>
  <si>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</si>
  <si>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</si>
  <si>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</si>
  <si>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</si>
  <si>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</si>
  <si>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</si>
  <si>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</si>
  <si>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</si>
  <si>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</si>
  <si>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</si>
  <si>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</si>
  <si>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</si>
  <si>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</si>
  <si>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</si>
  <si>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</si>
  <si>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</si>
  <si>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</si>
  <si>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</si>
  <si>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</si>
  <si>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</si>
  <si>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</si>
  <si>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</si>
  <si>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</si>
  <si>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</si>
  <si>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</si>
  <si>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</si>
  <si>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</si>
  <si>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</si>
  <si>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</si>
  <si>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</si>
  <si>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</si>
  <si>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</si>
  <si>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</si>
  <si>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</si>
  <si>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</si>
  <si>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</si>
  <si>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</si>
  <si>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</si>
  <si>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</si>
  <si>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</si>
  <si>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</si>
  <si>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</si>
  <si>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</si>
  <si>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</si>
  <si>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</si>
  <si>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</si>
  <si>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</si>
  <si>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</si>
  <si>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</si>
  <si>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</si>
  <si>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</si>
  <si>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</si>
  <si>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</si>
  <si>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</si>
  <si>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</si>
  <si>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</si>
  <si>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</si>
  <si>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</si>
  <si>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</si>
  <si>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</si>
  <si>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</si>
  <si>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</si>
  <si>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</si>
  <si>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</si>
  <si>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</si>
  <si>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</si>
  <si>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</si>
  <si>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</si>
  <si>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</si>
  <si>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</si>
  <si>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</si>
  <si>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</si>
  <si>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</si>
  <si>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</si>
  <si>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</si>
  <si>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</si>
  <si>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</si>
  <si>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</si>
  <si>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</si>
  <si>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</si>
  <si>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</si>
  <si>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</si>
  <si>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</si>
  <si>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</si>
  <si>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</si>
  <si>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</si>
  <si>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</si>
  <si>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</si>
  <si>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</si>
  <si>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</si>
  <si>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</si>
  <si>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</si>
  <si>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</si>
  <si>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</si>
  <si>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</si>
  <si>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</si>
  <si>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</si>
  <si>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</si>
  <si>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</si>
  <si>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</si>
  <si>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</si>
  <si>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</si>
  <si>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</si>
  <si>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</si>
  <si>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</si>
  <si>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</si>
  <si>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</si>
  <si>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</si>
  <si>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</si>
  <si>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</si>
  <si>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</si>
  <si>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</si>
  <si>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</si>
  <si>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</si>
  <si>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</si>
  <si>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</si>
  <si>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</si>
  <si>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</si>
  <si>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</si>
  <si>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</si>
  <si>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</si>
  <si>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</si>
  <si>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</si>
  <si>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</si>
  <si>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</si>
  <si>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</si>
  <si>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</si>
  <si>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</si>
  <si>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</si>
  <si>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</si>
  <si>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</si>
  <si>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</si>
  <si>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</si>
  <si>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</si>
  <si>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</si>
  <si>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</si>
  <si>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</si>
  <si>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</si>
  <si>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</si>
  <si>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</si>
  <si>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</si>
  <si>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</si>
  <si>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</si>
  <si>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</si>
  <si>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</si>
  <si>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</si>
  <si>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</si>
  <si>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</si>
  <si>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</si>
  <si>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</si>
  <si>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</si>
  <si>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</si>
  <si>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</si>
  <si>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</si>
  <si>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</si>
  <si>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</si>
  <si>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</si>
  <si>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</si>
  <si>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</si>
  <si>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</si>
  <si>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</si>
  <si>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</si>
  <si>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</si>
  <si>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</si>
  <si>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</si>
  <si>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</si>
  <si>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</si>
  <si>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</si>
  <si>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</si>
  <si>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</si>
  <si>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</si>
  <si>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</si>
  <si>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</si>
  <si>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</si>
  <si>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</si>
  <si>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</si>
  <si>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</si>
  <si>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</si>
  <si>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</si>
  <si>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</si>
  <si>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</si>
  <si>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</si>
  <si>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</si>
  <si>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</si>
  <si>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</si>
  <si>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</si>
  <si>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</si>
  <si>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</si>
  <si>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</si>
  <si>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</si>
  <si>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</si>
  <si>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状態異常耐性</t>
    <rPh sb="0" eb="6">
      <t>ジョウタイイジョウタイセイ</t>
    </rPh>
    <phoneticPr fontId="5"/>
  </si>
  <si>
    <t>親指姫3ターン毎</t>
    <rPh sb="0" eb="3">
      <t>オヤユビヒメ</t>
    </rPh>
    <phoneticPr fontId="5"/>
  </si>
  <si>
    <t>親指姫HP80%以下</t>
    <rPh sb="0" eb="3">
      <t>オヤユビヒメ</t>
    </rPh>
    <rPh sb="8" eb="10">
      <t>イカ</t>
    </rPh>
    <phoneticPr fontId="5"/>
  </si>
  <si>
    <t>お邪魔パネルを吸収して攻撃</t>
    <rPh sb="7" eb="9">
      <t>キュウシュウシテ</t>
    </rPh>
    <rPh sb="11" eb="13">
      <t>コウゲキ</t>
    </rPh>
    <phoneticPr fontId="5"/>
  </si>
  <si>
    <t>フィーバーゲージ減少</t>
    <rPh sb="8" eb="10">
      <t>ゲンショウ</t>
    </rPh>
    <phoneticPr fontId="5"/>
  </si>
  <si>
    <t>ダメージパネルを吸収して攻撃</t>
    <rPh sb="8" eb="10">
      <t>キュウシュウシテ</t>
    </rPh>
    <rPh sb="12" eb="14">
      <t>コウゲキ</t>
    </rPh>
    <phoneticPr fontId="5"/>
  </si>
  <si>
    <t>緑パネルを赤パネルに変換+単体攻撃</t>
    <rPh sb="0" eb="1">
      <t>ミドリパネル</t>
    </rPh>
    <rPh sb="5" eb="6">
      <t>アカパネル</t>
    </rPh>
    <rPh sb="10" eb="12">
      <t>ヘンカン</t>
    </rPh>
    <rPh sb="13" eb="17">
      <t>タンタイコウゲキ</t>
    </rPh>
    <phoneticPr fontId="5"/>
  </si>
  <si>
    <t>属性パネルを吸収して攻撃</t>
    <rPh sb="0" eb="2">
      <t>ゾクセイ</t>
    </rPh>
    <rPh sb="6" eb="8">
      <t>キュウシュウシテ</t>
    </rPh>
    <rPh sb="10" eb="12">
      <t>コウゲキ</t>
    </rPh>
    <phoneticPr fontId="5"/>
  </si>
  <si>
    <t>緑パネルを赤のダメージパネルに変換+単体攻撃</t>
    <rPh sb="0" eb="1">
      <t>ミドリパネル</t>
    </rPh>
    <rPh sb="5" eb="6">
      <t>アカノ</t>
    </rPh>
    <rPh sb="15" eb="17">
      <t>ヘンカン</t>
    </rPh>
    <rPh sb="18" eb="22">
      <t>タンタイコウゲキ</t>
    </rPh>
    <phoneticPr fontId="5"/>
  </si>
  <si>
    <t>種族ゴッドのユニットに大ダメージ</t>
    <rPh sb="0" eb="2">
      <t>シュゾク</t>
    </rPh>
    <rPh sb="11" eb="12">
      <t>ダイダメージ</t>
    </rPh>
    <phoneticPr fontId="5"/>
  </si>
  <si>
    <t>3ターン全ユニットのタップ回数1DOWN</t>
    <rPh sb="4" eb="5">
      <t>ゼンユニット</t>
    </rPh>
    <phoneticPr fontId="5"/>
  </si>
  <si>
    <t>攻撃力大UP</t>
    <rPh sb="0" eb="3">
      <t>コウゲキリョク</t>
    </rPh>
    <rPh sb="3" eb="4">
      <t>ダイ</t>
    </rPh>
    <phoneticPr fontId="5"/>
  </si>
  <si>
    <t>赤パネルを吸収して攻撃</t>
    <rPh sb="0" eb="1">
      <t>アカパネル</t>
    </rPh>
    <rPh sb="5" eb="7">
      <t>キュウシュウ</t>
    </rPh>
    <rPh sb="9" eb="11">
      <t>コウゲキ</t>
    </rPh>
    <phoneticPr fontId="5"/>
  </si>
  <si>
    <t>赤パネルを吸収して回復</t>
    <rPh sb="0" eb="1">
      <t>アカパネル</t>
    </rPh>
    <rPh sb="5" eb="7">
      <t>キュウシュウシテ</t>
    </rPh>
    <rPh sb="9" eb="11">
      <t>カイフク</t>
    </rPh>
    <phoneticPr fontId="5"/>
  </si>
  <si>
    <t>残りHPの300%ダメージ</t>
    <rPh sb="0" eb="1">
      <t>ノコリ</t>
    </rPh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</si>
  <si>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</si>
  <si>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</si>
  <si>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</si>
  <si>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</si>
  <si>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</si>
  <si>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</si>
  <si>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</si>
  <si>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old</t>
    <phoneticPr fontId="5"/>
  </si>
  <si>
    <t>null</t>
    <phoneticPr fontId="5"/>
  </si>
  <si>
    <t>5ターンCパネル生成延長(効果特大)</t>
    <rPh sb="8" eb="10">
      <t>セイセイ</t>
    </rPh>
    <rPh sb="10" eb="12">
      <t>エンチョウ</t>
    </rPh>
    <rPh sb="13" eb="17">
      <t>コウカトクダイ</t>
    </rPh>
    <phoneticPr fontId="5"/>
  </si>
  <si>
    <t>10000固定ダメージ</t>
    <rPh sb="5" eb="7">
      <t>コテイ</t>
    </rPh>
    <phoneticPr fontId="5"/>
  </si>
  <si>
    <t>状態異常耐性+
5ターン全ユニットのボムの爆風を50%DOWN</t>
    <rPh sb="0" eb="6">
      <t>ジョウタイイジョウタイセイ</t>
    </rPh>
    <rPh sb="12" eb="13">
      <t>ゼンユニット</t>
    </rPh>
    <phoneticPr fontId="5"/>
  </si>
  <si>
    <t>5ターン全ユニットのCパネル生成延長(効果激烈)</t>
    <rPh sb="4" eb="5">
      <t>ゼンユニット</t>
    </rPh>
    <rPh sb="14" eb="18">
      <t>セイセイエンチョウ</t>
    </rPh>
    <rPh sb="19" eb="21">
      <t>コウカ</t>
    </rPh>
    <rPh sb="21" eb="23">
      <t>ゲキレツ</t>
    </rPh>
    <phoneticPr fontId="5"/>
  </si>
  <si>
    <t>種族ゴッドのユニットに大ダメージ</t>
    <phoneticPr fontId="5"/>
  </si>
  <si>
    <t>属性パネルを青のダメージパネルに15個変換</t>
    <rPh sb="0" eb="2">
      <t>ゾクセイパネル</t>
    </rPh>
    <rPh sb="6" eb="7">
      <t>アオノ</t>
    </rPh>
    <rPh sb="18" eb="19">
      <t>コ</t>
    </rPh>
    <rPh sb="19" eb="21">
      <t>ヘンカン</t>
    </rPh>
    <phoneticPr fontId="5"/>
  </si>
  <si>
    <t>緑パネルを青のダメージパネルに10個変換+
単体攻撃</t>
    <rPh sb="0" eb="1">
      <t>ミドリ</t>
    </rPh>
    <rPh sb="5" eb="6">
      <t>アオノ</t>
    </rPh>
    <rPh sb="17" eb="18">
      <t>コ</t>
    </rPh>
    <rPh sb="18" eb="20">
      <t>ヘンカン</t>
    </rPh>
    <rPh sb="22" eb="26">
      <t>タンタイコウゲキ</t>
    </rPh>
    <phoneticPr fontId="5"/>
  </si>
  <si>
    <t>状態異常耐性+
確率でCパネルがドロップ</t>
    <rPh sb="0" eb="6">
      <t>ジョウタイイジョウタイセイ</t>
    </rPh>
    <rPh sb="8" eb="10">
      <t>カクリツ</t>
    </rPh>
    <phoneticPr fontId="5"/>
  </si>
  <si>
    <t>クリティカル！</t>
    <phoneticPr fontId="5"/>
  </si>
  <si>
    <t>ハートパネルを青のダメージパネルに変換+
ハートパネルドロップ率DOWN</t>
    <rPh sb="7" eb="8">
      <t>アオノ</t>
    </rPh>
    <rPh sb="17" eb="19">
      <t>ヘンカン</t>
    </rPh>
    <phoneticPr fontId="5"/>
  </si>
  <si>
    <t>状態異常耐性+
3ターン全ユニットのタップ回数1DOWN</t>
    <rPh sb="0" eb="6">
      <t>ジョウタイ</t>
    </rPh>
    <phoneticPr fontId="5"/>
  </si>
  <si>
    <t>…あぁ…王子様に会いたい</t>
    <rPh sb="4" eb="7">
      <t>オウジサマニ</t>
    </rPh>
    <rPh sb="8" eb="9">
      <t>アイタイナァ</t>
    </rPh>
    <phoneticPr fontId="5"/>
  </si>
  <si>
    <t>どんな障害も乗り越えるの！</t>
    <rPh sb="3" eb="5">
      <t>ショウガイ</t>
    </rPh>
    <rPh sb="6" eb="7">
      <t>ノリコエル</t>
    </rPh>
    <phoneticPr fontId="5"/>
  </si>
  <si>
    <t>…また…悲しい夢ね</t>
    <rPh sb="4" eb="5">
      <t>カナシイ</t>
    </rPh>
    <phoneticPr fontId="5"/>
  </si>
  <si>
    <t>神様に祈っている暇はないわ！</t>
    <rPh sb="0" eb="2">
      <t>カミサマ</t>
    </rPh>
    <rPh sb="3" eb="4">
      <t>イノッテ</t>
    </rPh>
    <rPh sb="8" eb="9">
      <t>ヒマ</t>
    </rPh>
    <phoneticPr fontId="5"/>
  </si>
  <si>
    <t>この気持ちは抑えられないの</t>
    <rPh sb="6" eb="7">
      <t>オサエラレナイノ</t>
    </rPh>
    <phoneticPr fontId="5"/>
  </si>
  <si>
    <t>声を失ったとしても…</t>
    <rPh sb="2" eb="3">
      <t>ウシナッタ</t>
    </rPh>
    <phoneticPr fontId="5"/>
  </si>
  <si>
    <t>(待っていて王子様…)</t>
    <rPh sb="1" eb="2">
      <t>マッテイテ</t>
    </rPh>
    <rPh sb="6" eb="9">
      <t>オウジサマ</t>
    </rPh>
    <phoneticPr fontId="5"/>
  </si>
  <si>
    <t>(見つけたわ！)</t>
    <rPh sb="1" eb="2">
      <t>ミツケタワ</t>
    </rPh>
    <phoneticPr fontId="5"/>
  </si>
  <si>
    <t>(そんな…あの女の人…誰？)</t>
    <rPh sb="11" eb="12">
      <t>ダレ</t>
    </rPh>
    <phoneticPr fontId="5"/>
  </si>
  <si>
    <t>(声さえ出れば…)</t>
    <rPh sb="1" eb="2">
      <t>コエ</t>
    </rPh>
    <rPh sb="4" eb="5">
      <t>デレバ</t>
    </rPh>
    <phoneticPr fontId="5"/>
  </si>
  <si>
    <t>(王子様を助けたのは私なのに…)</t>
    <rPh sb="1" eb="4">
      <t>オウジサマヲ</t>
    </rPh>
    <rPh sb="5" eb="6">
      <t>タスケタノハ</t>
    </rPh>
    <rPh sb="10" eb="11">
      <t>ワタシ</t>
    </rPh>
    <phoneticPr fontId="5"/>
  </si>
  <si>
    <t>(お願い…気付いて…)</t>
    <rPh sb="5" eb="7">
      <t>kiduite</t>
    </rPh>
    <phoneticPr fontId="5"/>
  </si>
  <si>
    <t>(王子様…どうして…)</t>
    <rPh sb="1" eb="4">
      <t>オウジサマ</t>
    </rPh>
    <phoneticPr fontId="5"/>
  </si>
  <si>
    <t>(表示しない)</t>
    <rPh sb="1" eb="3">
      <t>ヒョウジシナイ</t>
    </rPh>
    <phoneticPr fontId="5"/>
  </si>
  <si>
    <t>勝負は俺の勝ちだな！</t>
    <rPh sb="0" eb="2">
      <t>ショウブ</t>
    </rPh>
    <rPh sb="3" eb="4">
      <t>オレノカチ</t>
    </rPh>
    <phoneticPr fontId="5"/>
  </si>
  <si>
    <t>こっちこそ願い下げよ！</t>
    <rPh sb="5" eb="6">
      <t>negaisage</t>
    </rPh>
    <phoneticPr fontId="5"/>
  </si>
  <si>
    <t>上等じゃない！</t>
    <rPh sb="0" eb="2">
      <t>ジョウトウヨ</t>
    </rPh>
    <phoneticPr fontId="5"/>
  </si>
  <si>
    <t>この結婚は無しだ！</t>
    <rPh sb="2" eb="4">
      <t>ケッコン</t>
    </rPh>
    <phoneticPr fontId="5"/>
  </si>
  <si>
    <t>勝手にすれば！</t>
    <rPh sb="0" eb="2">
      <t>カッテニ</t>
    </rPh>
    <phoneticPr fontId="5"/>
  </si>
  <si>
    <t>もう知らない！</t>
    <rPh sb="2" eb="3">
      <t>シラナインダカラ</t>
    </rPh>
    <phoneticPr fontId="5"/>
  </si>
  <si>
    <t>相手は別に決まってる！</t>
    <rPh sb="0" eb="2">
      <t>アイテハ</t>
    </rPh>
    <rPh sb="3" eb="4">
      <t>ベツニ</t>
    </rPh>
    <rPh sb="5" eb="6">
      <t>キマッテル</t>
    </rPh>
    <phoneticPr fontId="5"/>
  </si>
  <si>
    <t>お前と会うのもこれっきりだ！じゃあな！</t>
    <rPh sb="3" eb="4">
      <t>アウノモ</t>
    </rPh>
    <phoneticPr fontId="5"/>
  </si>
  <si>
    <t>騙されればいいのよ…</t>
    <rPh sb="0" eb="1">
      <t>ダマサレレバ</t>
    </rPh>
    <phoneticPr fontId="5"/>
  </si>
  <si>
    <t>ほんと最低！</t>
    <rPh sb="3" eb="5">
      <t>サイテイ</t>
    </rPh>
    <phoneticPr fontId="5"/>
  </si>
  <si>
    <t>どうしてこうなるのよ…</t>
    <phoneticPr fontId="5"/>
  </si>
  <si>
    <t>さっさと忘れなくちゃ…</t>
    <rPh sb="4" eb="5">
      <t>ワスレナクチャ</t>
    </rPh>
    <phoneticPr fontId="5"/>
  </si>
  <si>
    <t>もういいのよ…</t>
    <phoneticPr fontId="5"/>
  </si>
  <si>
    <t>嫌いよ！あんな奴…</t>
    <rPh sb="0" eb="1">
      <t>キライヨ</t>
    </rPh>
    <rPh sb="7" eb="8">
      <t>ヤツ</t>
    </rPh>
    <phoneticPr fontId="5"/>
  </si>
  <si>
    <t>カエデ…行かないで…</t>
    <rPh sb="4" eb="5">
      <t>イカナイデ</t>
    </rPh>
    <phoneticPr fontId="5"/>
  </si>
  <si>
    <t>…日記に書かなきゃ</t>
    <rPh sb="1" eb="3">
      <t>ニッキ</t>
    </rPh>
    <rPh sb="4" eb="5">
      <t>カカナキャ</t>
    </rPh>
    <phoneticPr fontId="5"/>
  </si>
  <si>
    <t>あたしが何をしたって言うの？</t>
    <rPh sb="4" eb="5">
      <t>ナニヲ</t>
    </rPh>
    <rPh sb="10" eb="11">
      <t>イウノ</t>
    </rPh>
    <phoneticPr fontId="5"/>
  </si>
  <si>
    <t>あたしは書きたいものを書いているだけよ</t>
    <rPh sb="4" eb="5">
      <t>kakitaiモノ</t>
    </rPh>
    <rPh sb="11" eb="12">
      <t>カイテイル</t>
    </rPh>
    <phoneticPr fontId="5"/>
  </si>
  <si>
    <t>事件なんて知らないの！</t>
    <rPh sb="0" eb="2">
      <t>ジケン</t>
    </rPh>
    <rPh sb="5" eb="6">
      <t>シラナイ</t>
    </rPh>
    <phoneticPr fontId="5"/>
  </si>
  <si>
    <t>来ないで！放っておいて！</t>
    <rPh sb="0" eb="1">
      <t>コナイデ</t>
    </rPh>
    <rPh sb="5" eb="6">
      <t>ホオッテオイテ</t>
    </rPh>
    <phoneticPr fontId="5"/>
  </si>
  <si>
    <t>属性パネルをハートパネルに10個変換+
クリティカル！</t>
    <rPh sb="0" eb="2">
      <t>ゾクセイ</t>
    </rPh>
    <rPh sb="15" eb="16">
      <t>コ</t>
    </rPh>
    <rPh sb="16" eb="18">
      <t>ヘンカン</t>
    </rPh>
    <phoneticPr fontId="5"/>
  </si>
  <si>
    <t>属性パネルを赤のダメージパネルに7個変換+単体攻撃</t>
    <rPh sb="0" eb="2">
      <t>ゾクセイパネル</t>
    </rPh>
    <rPh sb="6" eb="7">
      <t>アカノダメージ</t>
    </rPh>
    <rPh sb="21" eb="25">
      <t>タンタイコウゲキ</t>
    </rPh>
    <phoneticPr fontId="5"/>
  </si>
  <si>
    <t>エンドレス・ナイトメア</t>
    <phoneticPr fontId="5"/>
  </si>
  <si>
    <t>あなた達が悪いのよ…</t>
    <rPh sb="3" eb="4">
      <t>タチ</t>
    </rPh>
    <rPh sb="5" eb="6">
      <t>ワルイノヨ</t>
    </rPh>
    <phoneticPr fontId="5"/>
  </si>
  <si>
    <t>ミラージュスピア</t>
    <phoneticPr fontId="5"/>
  </si>
  <si>
    <t>どうでもいいんだから！</t>
    <phoneticPr fontId="5"/>
  </si>
  <si>
    <t>あ〜ムカつくっ！</t>
    <phoneticPr fontId="5"/>
  </si>
  <si>
    <t>カエデなんてッ！</t>
    <phoneticPr fontId="5"/>
  </si>
  <si>
    <t>ファントム・ブレイク</t>
    <phoneticPr fontId="5"/>
  </si>
  <si>
    <t>早く帰って…</t>
    <phoneticPr fontId="5"/>
  </si>
  <si>
    <t>あなた…夢に出てきた人？</t>
    <rPh sb="4" eb="5">
      <t>ユメニ</t>
    </rPh>
    <rPh sb="6" eb="7">
      <t>デテキタ</t>
    </rPh>
    <rPh sb="10" eb="11">
      <t>ヒト</t>
    </rPh>
    <phoneticPr fontId="5"/>
  </si>
  <si>
    <t>ファントム・ブレイク</t>
    <phoneticPr fontId="5"/>
  </si>
  <si>
    <t>邪魔しないで…</t>
    <rPh sb="0" eb="2">
      <t>ジャマシナイデ</t>
    </rPh>
    <phoneticPr fontId="5"/>
  </si>
  <si>
    <t>調査されるような事はしてないわ</t>
    <rPh sb="0" eb="2">
      <t>チョウササレ</t>
    </rPh>
    <rPh sb="8" eb="9">
      <t>コト</t>
    </rPh>
    <phoneticPr fontId="5"/>
  </si>
  <si>
    <t>諦めて帰って！</t>
    <rPh sb="0" eb="1">
      <t>アキラメテ</t>
    </rPh>
    <rPh sb="3" eb="4">
      <t>カエッテ</t>
    </rPh>
    <phoneticPr fontId="5"/>
  </si>
  <si>
    <t>あたしは書きたいものを書く、誰にも文句は言わせない</t>
    <phoneticPr fontId="5"/>
  </si>
  <si>
    <t>あなたにも悲劇が訪れるわ</t>
    <rPh sb="5" eb="7">
      <t>ヒゲキ</t>
    </rPh>
    <rPh sb="8" eb="9">
      <t>オトズレルワ</t>
    </rPh>
    <phoneticPr fontId="5"/>
  </si>
  <si>
    <t>…ふふっ…眠りなさい</t>
    <rPh sb="5" eb="6">
      <t>ネムリナサイ</t>
    </rPh>
    <phoneticPr fontId="5"/>
  </si>
  <si>
    <t>…近づかないで</t>
    <phoneticPr fontId="5"/>
  </si>
  <si>
    <t>悪夢を見せてあげる</t>
    <rPh sb="3" eb="4">
      <t>ミセテ</t>
    </rPh>
    <phoneticPr fontId="5"/>
  </si>
  <si>
    <t>調査…？嫌よ、忙しいの</t>
    <rPh sb="0" eb="2">
      <t>チョウサ</t>
    </rPh>
    <rPh sb="4" eb="5">
      <t>イヤヨ</t>
    </rPh>
    <rPh sb="7" eb="8">
      <t>イソガシイノ</t>
    </rPh>
    <phoneticPr fontId="5"/>
  </si>
  <si>
    <t>帰って…悲劇に巻き込まれたく無いから
【状態異常耐性+解除するまでハートパネル無効】</t>
    <rPh sb="0" eb="1">
      <t>カエッテ</t>
    </rPh>
    <rPh sb="4" eb="6">
      <t>ヒゲキ</t>
    </rPh>
    <rPh sb="7" eb="8">
      <t>マキコマレタクナイノ</t>
    </rPh>
    <rPh sb="27" eb="29">
      <t>カイジョスルマデ</t>
    </rPh>
    <rPh sb="39" eb="41">
      <t>ムコウ</t>
    </rPh>
    <phoneticPr fontId="5"/>
  </si>
  <si>
    <t>マーメイドは2ゲージ目に移行すると
ハートパネル出現率をDOWNさせます
スキルやフィーバーによる回復を
用いると良いでしょう</t>
    <phoneticPr fontId="5"/>
  </si>
  <si>
    <t>親指姫は一定のターンダメージパネルを
ドロップさせる攻撃を使用します
ダメージパネルブレイクを
持つユニットが有効でしょう</t>
    <phoneticPr fontId="5"/>
  </si>
  <si>
    <t>親指姫は2ゲージ目に移行し
一定のターンが経過すると
攻撃力がUPします
スキルを使用して素早く切り抜けましょう</t>
    <phoneticPr fontId="5"/>
  </si>
  <si>
    <t>アンデルセンは出会うとすぐに
永続効果のハートパネル無効を使用します
スキルによる回復が重要になるでしょう</t>
    <phoneticPr fontId="5"/>
  </si>
  <si>
    <t>アンデルセンはスリープ後に
攻撃力UP状態のユニットが居ないと
大ダメージを与える攻撃を使用します
スキルによる対処が有効です</t>
    <phoneticPr fontId="5"/>
  </si>
  <si>
    <t>3ゲージ目で行うダメージ軽減は
徐々に弱くなります
しかし軽減状態が無くなった直後に
即死級の攻撃を行うので注意しましょう</t>
    <phoneticPr fontId="5"/>
  </si>
  <si>
    <t>アンデルセンの力</t>
    <phoneticPr fontId="5"/>
  </si>
  <si>
    <t>アンデルセンの夢</t>
    <phoneticPr fontId="5"/>
  </si>
  <si>
    <t>アンデルセンは夢の中で一度物語が
始まるとその物語が終わるまで連続で
同じ夢を見続けるという不思議な特技を
持っています</t>
    <phoneticPr fontId="5"/>
  </si>
  <si>
    <t>アンデルセンは自分の見た夢を
日記に記録しています
ピクリスに投稿する作品はこの日記を
元に作成されているようです</t>
    <phoneticPr fontId="5"/>
  </si>
  <si>
    <t>夢日記</t>
    <phoneticPr fontId="5"/>
  </si>
  <si>
    <t>old</t>
  </si>
  <si>
    <t>old</t>
    <phoneticPr fontId="5"/>
  </si>
  <si>
    <t>日記に書いた事が現実に…？</t>
    <rPh sb="0" eb="2">
      <t>ニッキ</t>
    </rPh>
    <rPh sb="3" eb="4">
      <t>カイタコトガ</t>
    </rPh>
    <rPh sb="8" eb="10">
      <t>ゲンジツニ</t>
    </rPh>
    <phoneticPr fontId="5"/>
  </si>
  <si>
    <t>…わかったわ…調査に付き合うわよ</t>
    <rPh sb="7" eb="9">
      <t>チョウサニ</t>
    </rPh>
    <rPh sb="10" eb="11">
      <t>ツキ</t>
    </rPh>
    <rPh sb="12" eb="13">
      <t>au</t>
    </rPh>
    <phoneticPr fontId="5"/>
  </si>
  <si>
    <t>null</t>
  </si>
  <si>
    <t>unit</t>
  </si>
  <si>
    <t>full_member</t>
    <phoneticPr fontId="5"/>
  </si>
  <si>
    <t>old</t>
    <phoneticPr fontId="7"/>
  </si>
  <si>
    <t>胡散臭い人は信じないわ
【状態異常耐性+解除するまでハートパネル無効】</t>
    <rPh sb="0" eb="3">
      <t>ウサンクサイ</t>
    </rPh>
    <rPh sb="4" eb="5">
      <t>ヒト</t>
    </rPh>
    <rPh sb="6" eb="7">
      <t>シンジナイワ</t>
    </rPh>
    <rPh sb="20" eb="22">
      <t>カイジョスルマデ</t>
    </rPh>
    <rPh sb="32" eb="34">
      <t>ムコウ</t>
    </rPh>
    <phoneticPr fontId="5"/>
  </si>
  <si>
    <t>諜報員組織「三銃士」…？</t>
    <rPh sb="0" eb="3">
      <t>チョウホウイン</t>
    </rPh>
    <rPh sb="3" eb="5">
      <t>ソシキ</t>
    </rPh>
    <rPh sb="6" eb="9">
      <t>サンジュウ</t>
    </rPh>
    <phoneticPr fontId="5"/>
  </si>
  <si>
    <t>諜報の腕は確かみたいね…</t>
    <rPh sb="0" eb="2">
      <t>tyouhouno</t>
    </rPh>
    <rPh sb="3" eb="4">
      <t>ウデハ</t>
    </rPh>
    <rPh sb="5" eb="6">
      <t>タシカ</t>
    </rPh>
    <phoneticPr fontId="5"/>
  </si>
  <si>
    <t>あなたみたいなガサツで声の大きい人が一番嫌いなの
【状態異常耐性+解除するまでハートパネル無効】</t>
    <rPh sb="11" eb="12">
      <t>コエノ</t>
    </rPh>
    <rPh sb="13" eb="14">
      <t>オオキイ</t>
    </rPh>
    <rPh sb="16" eb="17">
      <t>ヒト</t>
    </rPh>
    <rPh sb="18" eb="20">
      <t>イチバン</t>
    </rPh>
    <rPh sb="20" eb="21">
      <t>キライナノ</t>
    </rPh>
    <rPh sb="33" eb="35">
      <t>カイジョスルマデ</t>
    </rPh>
    <rPh sb="45" eb="47">
      <t>ムコウ</t>
    </rPh>
    <phoneticPr fontId="5"/>
  </si>
  <si>
    <t>…今回は協力してあげる</t>
    <rPh sb="1" eb="3">
      <t>コンカイハ</t>
    </rPh>
    <rPh sb="4" eb="6">
      <t>kyouryoku</t>
    </rPh>
    <phoneticPr fontId="5"/>
  </si>
  <si>
    <t>…無理…帰って</t>
    <rPh sb="1" eb="3">
      <t>ムリ</t>
    </rPh>
    <rPh sb="4" eb="5">
      <t>カエッテ</t>
    </rPh>
    <phoneticPr fontId="5"/>
  </si>
  <si>
    <t>見た目ほど悪い人じゃないのは分かったわ…</t>
    <rPh sb="0" eb="1">
      <t>ミタメ</t>
    </rPh>
    <rPh sb="5" eb="6">
      <t>ワルイ</t>
    </rPh>
    <rPh sb="7" eb="8">
      <t>ヒト</t>
    </rPh>
    <rPh sb="14" eb="15">
      <t>ワカッタワ</t>
    </rPh>
    <phoneticPr fontId="5"/>
  </si>
  <si>
    <t>…でも、やっぱり苦手ね</t>
    <phoneticPr fontId="5"/>
  </si>
  <si>
    <t>[effect:enemy_message, val1:1.4, val2:3.5],[effect:force_change_block, new_block:damage, target:block_heart, count:0, val:0.3],[effect:change_panel_ratio, turn:-1, block_type:heal, val:0.07, animation:block_incidence04]</t>
  </si>
  <si>
    <t>[effect:enemy_message, val1:1.6, val2:1.4],[effect:break_attack_fix, target:unit_one, val:1500, lowest_val:10000, count:-1, block01:damage]</t>
  </si>
  <si>
    <t>[effect:enemy_message, val1:1.2, val2:1.8],[effect:crash_condition, target:unit_all, turn:5, val:4, animation:enemy_crash_extend]</t>
  </si>
  <si>
    <t>[effect:enemy_message, val1:1.2, val2:1.2],[effect:ability_lock, target:unit_all, turn:1],[effect:sleep, target:unit_all, turn:1, rate:1],[effect:set_background, turn:-1, background_id:23, switching_mode:cross_fade, duration:2],[effect:fix_speed, target:myself, turn:1]</t>
  </si>
  <si>
    <t>[effect:enemy_message, val1:1.2, val2:1.9],[effect:suicide, target:myself, val:1, dead_type:escape]</t>
  </si>
  <si>
    <t>[effect:enemy_message, val1:1.2, val2:1.2],[effect:ability_lock, target:unit_all, turn:1],[effect:sleep, target:unit_all, turn:1, rate:1],[effect:fix_speed, target:myself, turn:1]</t>
  </si>
  <si>
    <t>[effect:enemy_message, val1:1.2, val2:1.2],[effect:suicide, target:myself, val:1]</t>
  </si>
  <si>
    <t>[effect:enemy_message, val1:1.2, val2:3.0],[effect:tolerance, target:myself, turn:-1, count:-1, tolerance_effect:all, animation:enemy_tolerance],[effect:change_bomb_range, target:unit_all, val:0.5, rate:1, turn:5, animation:bomb_small],[effect:fix_speed, target:myself, turn:1]</t>
  </si>
  <si>
    <t>[effect:enemy_message, val1:1.2, val2:1.7],[effect:force_change_block, new_block:block_red, target:block_green, count:0, val:0],[effect:rush, count:1, val:0.8]</t>
  </si>
  <si>
    <t>[effect:enemy_message, val1:1.2, val2:1.2],[effect:break_attack_fix, target:unit_one, val:400, lowest_val:7000, count:-1, block01:normal]</t>
  </si>
  <si>
    <t>[effect:enemy_message, val1:1.2, val2:2.7],[effect:tolerance, target:myself, turn:-1, count:-1, tolerance_effect:all, animation:enemy_tolerance],[effect:degrade_unit, target:unit_all, turn:3, status:action, val:1, calc:add, animation:enemy_tap_down],[effect:fix_speed, target:myself, turn:1]</t>
  </si>
  <si>
    <t>[effect:enemy_message, val1:1.2, val2:2.2],[effect:force_change_block, new_block:damage, target:block_green, color:block_red, count:0, val:0.3],[effect:rush, count:1, val:0.7]</t>
  </si>
  <si>
    <t>[effect:enemy_message, val1:1.2, val2:1.6],[effect:damage_anti_tribe, target:unit_one, tribe:god, val1:3, val2:1]</t>
  </si>
  <si>
    <t>[effect:enemy_message, val1:1.2, val2:2.0],[effect:degrade_unit, target:unit_all, turn:3, status:action, val:1, calc:add, animation:enemy_tap_down]</t>
  </si>
  <si>
    <t>[effect:enemy_message, val1:1.2, val2:1.2],[effect:enhance_enemy, target:myself, turn:-1, status:attack, val:0.5, calc:mul, animation:enemy_enhance_attack]</t>
  </si>
  <si>
    <t>[effect:enemy_message, val1:1.2, val2:1.2],[effect:break_attack_fix, target:unit_one, val:700, lowest_val:10000, count:-1, block01:block_red]</t>
  </si>
  <si>
    <t>[effect:enemy_message, val1:1.2, val2:1.2],[effect:damage_fix_absolute, target:unit_one, val:10000]</t>
  </si>
  <si>
    <t>[effect:enemy_message, val1:1.2, val2:1.3],[effect:break_attack_fix, target:unit_one, val:1000, lowest_val:8000, count:-1, block01:jammer]</t>
  </si>
  <si>
    <t>[effect:enemy_message, val1:1.2, val2:2.1],[effect:force_change_block, new_block:damage, target:normal, count:15, val:0.3]</t>
  </si>
  <si>
    <t>[effect:enemy_message, val1:1.2, val2:1.9],[effect:sleep, target:unit_all, turn:1, rate:1],[effect:spread, val:0.3]</t>
  </si>
  <si>
    <t>[effect:enemy_message, val1:1.2, val2:6.3],[effect:force_change_block, new_block:damage, target:normal, color:block_red, count:10, val:0.3],[effect:damage_anti_abnormal, target:unit_one, target_effect01:enhance/attack, val1:1.2, val2:2]</t>
  </si>
  <si>
    <t>[effect:enemy_message, val1:1.2, val2:2.5],[effect:force_change_block, new_block:damage, target:normal, color:block_red, count:7, val:0.3],[effect:rush, count:1, val:1.0]</t>
  </si>
  <si>
    <t>[effect:enemy_message, val1:1.2, val2:1.2],[effect:critical, val:1.5, animation:enemy_critical]</t>
  </si>
  <si>
    <t>[effect:enemy_message, val1:1.4, val2:2.4],[effect:crash_condition, target:unit_all, turn:5, val:11, animation:enemy_crash_extend]</t>
  </si>
  <si>
    <t>[effect:enemy_message, val1:1.2, val2:1.2],[effect:tolerance, target:myself, turn:-1, count:-1, tolerance_effect:all, animation:enemy_tolerance],[effect:set_background, turn:-1, background_id:17, switching_mode:cross_fade, duration:2],[effect:fix_speed, target:myself, turn:1]</t>
  </si>
  <si>
    <t>[effect:enemy_message, val1:1.3, val2:1.2],[effect:dark, target:unit_all, turn:3, animation:enemy_dark]</t>
  </si>
  <si>
    <t>[effect:enemy_message, val1:1.4, val2:1.6],[effect:damage_anti_tribe, target:unit_one, tribe:god, val1:3, val2:1]</t>
  </si>
  <si>
    <t>[effect:enemy_message, val1:1.3, val2:1.3],[effect:break_attack_fix, target:unit_one, val:1000, lowest_val:10000, count:-1, block01:jammer]</t>
  </si>
  <si>
    <t>[effect:enemy_message, val1:1.2, val2:1.2],[effect:degrade_fever, val:1000, animation:fevergauge_down]</t>
  </si>
  <si>
    <t>[effect:enemy_message, val1:1.2, val2:1.9],[effect:tolerance, target:myself, turn:-1, count:-1, tolerance_effect:all, animation:enemy_tolerance],[effect:drop_block, block_type:crash, color:block_all, val:8, rate:0.12, turn:-1, animation:crash_influence04],[effect:set_background, turn:-1, background_id:5, switching_mode:cross_fade, duration:2],[effect:fix_speed, target:myself, turn:1]</t>
  </si>
  <si>
    <t>[effect:enemy_message, val1:1.2, val2:2.6],[effect:critical, val:1.1, animation:enemy_critical],[effect:force_change_block, new_block:block_heart, target:normal, count:10, val:0]</t>
  </si>
  <si>
    <t>[effect:enemy_message, val1:1.2, val2:1.2],[effect:break_heal_fix, target:myself, val:30000, lowest_val:10000, count:-1, block01:block_red, animation:enemy_heal]</t>
  </si>
  <si>
    <t>[effect:enemy_message, val1:1.5, val2:5.8],[effect:reduction, target:myself, color:all, turn:1, val:0.6, animation:reduction_one01],[effect:damage_anti_abnormal, target:unit_one, target_effect01:enhance/attack, val1:1.2, val2:2.5]</t>
  </si>
  <si>
    <t>[effect:enemy_message, val1:1.2, val2:5.8],[effect:reduction, target:myself, color:all, turn:1, val:0.4, animation:reduction_one01],[effect:damage_anti_abnormal, target:unit_one, target_effect01:enhance/attack, val1:1.2, val2:2.5]</t>
  </si>
  <si>
    <t>[effect:enemy_message, val1:1.2, val2:5.8],[effect:reduction, target:myself, color:all, turn:1, val:0.2, animation:reduction_one01],[effect:damage_anti_abnormal, target:unit_one, target_effect01:enhance/attack, val1:1.2, val2:2.5]</t>
  </si>
  <si>
    <t>[effect:enemy_message, val1:1.2, val2:6.7],[effect:damage_anti_abnormal, target:unit_one, target_effect01:enhance/attack, val1:1.2, val2:2.5]</t>
  </si>
  <si>
    <t>[effect:enemy_message, val1:1.2, val2:1.3],[effect:damage_gravity, val:3, animation:fevergauge_down]</t>
  </si>
  <si>
    <t>[effect:enemy_message, val1:2.1, val2:2.4, dead_type:escape]</t>
    <phoneticPr fontId="5"/>
  </si>
  <si>
    <t>[effect:enemy_message, val1:2.0, val2:2.0, dead_type:escape]</t>
    <phoneticPr fontId="5"/>
  </si>
  <si>
    <t>[effect:enemy_message, val1:2.8, val2:2.0, dead_type:escape]</t>
    <phoneticPr fontId="5"/>
  </si>
  <si>
    <t>[effect:enemy_message, val1:1.7, val2:0.0]</t>
    <phoneticPr fontId="5"/>
  </si>
  <si>
    <t>[effect:enemy_message, val1:1.7, val2:1.2],[effect:fix_speed, target:myself, turn:1],[effect:tolerance, target:myself, turn:-1, count:-1, tolerance_effect:all, animation:enemy_tolerance]</t>
    <phoneticPr fontId="5"/>
  </si>
  <si>
    <t xml:space="preserve">[effect:enemy_message, val1:1.7, val2:3.6],[effect:drop_block, block_type:jammer, color:block_all, val:0, rate:0.08, turn:-1, animation:jammer_influence04],[effect:suicide, target:myself, val:1, dead_type:escape]    </t>
    <phoneticPr fontId="5"/>
  </si>
  <si>
    <t>[effect:enemy_message, val1:1.7, val2:3.4],[effect:tolerance, target:myself, turn:-1, count:-1, tolerance_effect:all, animation:enemy_tolerance],[effect:fix_speed, target:myself, turn:1],[effect:dis_heart, turn:-1, animation:enemy_dis_heart],[effect:set_background, turn:-1, background_id:974, switching_mode:cross_fade, duration:2]</t>
    <phoneticPr fontId="5"/>
  </si>
  <si>
    <t>[effect:enemy_message, val1:1.7, val2:4.7],[effect:tolerance, target:myself, turn:-1, count:-1, tolerance_effect:all, animation:enemy_tolerance],[effect:fix_speed, target:myself, turn:1],[effect:dis_heart, turn:-1, animation:enemy_dis_heart],[effect:set_background, turn:-1, background_id:974, switching_mode:cross_fade, duration:2]</t>
    <phoneticPr fontId="5"/>
  </si>
  <si>
    <t>[effect:enemy_message, val1:1.7, val2:4.1],[effect:tolerance, target:myself, turn:-1, count:-1, tolerance_effect:all, animation:enemy_tolerance],[effect:fix_speed, target:myself, turn:1],[effect:dis_heart, turn:-1, animation:enemy_dis_heart],[effect:set_background, turn:-1, background_id:974, switching_mode:cross_fade, duration:2]</t>
    <phoneticPr fontId="5"/>
  </si>
  <si>
    <t>[effect:enemy_message, val1:1.2, val2:2.5],[effect:rush, count:1, val:1.0],[effect:force_change_block, new_block:damage, target:block_green, count:10, val:0.3]</t>
    <phoneticPr fontId="5"/>
  </si>
  <si>
    <t>[effect:enemy_message, val1:2.5, val2:7.6],[effect:tolerance, target:myself, turn:-1, count:-1, tolerance_effect:all, animation:enemy_tolerance],[effect:drop_block, block_type:jammer, color:block_heart, val:0, rate:1, turn:-1, animation:jammer_influence04],[effect:reduction, target:myself, color:all, turn:1, val:0.8, animation:reduction_one01],[effect:fix_speed, target:myself, turn:1]</t>
    <phoneticPr fontId="5"/>
  </si>
  <si>
    <t>[effect:enemy_message, val1:1.9, val2:2.5],[effect:tolerance, target:myself, turn:-1, count:-1, tolerance_effect:all, animation:enemy_tolerance],[effect:fix_speed, target:myself, turn:1],[effect:change_bomb_range, target:unit_all, val:0.5, rate:1, turn:5, animation:bomb_small]</t>
    <phoneticPr fontId="5"/>
  </si>
  <si>
    <t>緑属性のユニットに大ダメージ</t>
    <rPh sb="0" eb="3">
      <t>ミドリゾクセイノ</t>
    </rPh>
    <rPh sb="9" eb="10">
      <t>ダイダメージ</t>
    </rPh>
    <phoneticPr fontId="5"/>
  </si>
  <si>
    <t>状態異常耐性+5ターン全ユニットの爆風を50%軽減</t>
    <rPh sb="0" eb="6">
      <t>ジョウタイイジョウタイセイ</t>
    </rPh>
    <rPh sb="11" eb="12">
      <t>ゼンユニットノ</t>
    </rPh>
    <rPh sb="17" eb="19">
      <t>バクフウ</t>
    </rPh>
    <rPh sb="23" eb="25">
      <t>ケイゲン</t>
    </rPh>
    <phoneticPr fontId="5"/>
  </si>
  <si>
    <t>[effect:enemy_message, val1:1.2, val2:1.4],[effect:damage_anti_color, target:unit_one, color:green, val1:3.0, val2:1.0]</t>
    <phoneticPr fontId="5"/>
  </si>
  <si>
    <t>アンデルセンには夢日記に書かれた内容を
無意識の内に現実に起こしてしまうという
能力があり本人に自覚は無かったようです</t>
    <rPh sb="45" eb="47">
      <t>ホンニン</t>
    </rPh>
    <rPh sb="48" eb="50">
      <t>ジカク</t>
    </rPh>
    <rPh sb="51" eb="52">
      <t>ナイ</t>
    </rPh>
    <phoneticPr fontId="5"/>
  </si>
  <si>
    <t>親指姫は緑属性のユニットに
大ダメージを与える攻撃を使用します
パーティの編成に注意しましょう</t>
    <phoneticPr fontId="5"/>
  </si>
  <si>
    <t>3ターン暗闇</t>
    <phoneticPr fontId="5"/>
  </si>
  <si>
    <t>(動きづらい…夢の中にいるかのようだ…)
【低確率でお邪魔パネルがドロップ】</t>
    <rPh sb="1" eb="2">
      <t>ウゴキヅライ</t>
    </rPh>
    <rPh sb="7" eb="8">
      <t>ユメノナカニ</t>
    </rPh>
    <rPh sb="22" eb="23">
      <t>テイ</t>
    </rPh>
    <rPh sb="23" eb="25">
      <t>カクリツデ</t>
    </rPh>
    <phoneticPr fontId="5"/>
  </si>
  <si>
    <t>状態異常耐性+1ターン全属性ダメージ80%軽減+
ハートパネルがお邪魔パネルとしてドロップ
【次のターンから
　攻撃力UP状態のユニットがいないと大ダメージ】</t>
    <rPh sb="0" eb="6">
      <t>ジョウタイイジョウタイセイ</t>
    </rPh>
    <rPh sb="47" eb="48">
      <t>ツギノターンカラ</t>
    </rPh>
    <rPh sb="56" eb="58">
      <t>コウゲキ</t>
    </rPh>
    <rPh sb="58" eb="59">
      <t>リョク</t>
    </rPh>
    <rPh sb="61" eb="63">
      <t>ジョウタイノ</t>
    </rPh>
    <rPh sb="73" eb="74">
      <t>ダイダメージ</t>
    </rPh>
    <phoneticPr fontId="5"/>
  </si>
  <si>
    <t>1ターン全ユニットにスリープ+全体攻撃</t>
    <rPh sb="4" eb="5">
      <t>ゼンユニット</t>
    </rPh>
    <rPh sb="15" eb="17">
      <t>ゼンタイ</t>
    </rPh>
    <rPh sb="17" eb="19">
      <t>タンタイコウゲキ</t>
    </rPh>
    <phoneticPr fontId="5"/>
  </si>
  <si>
    <t>1ターン全属性ダメージ60%軽減+
攻撃力UP状態でないユニットに大ダメージ
(攻撃力UP状態のユニットを優先して攻撃)</t>
    <phoneticPr fontId="5"/>
  </si>
  <si>
    <t>1ターン全属性ダメージ40%軽減+
攻撃力UP状態でないユニットに大ダメージ
(攻撃力UP状態のユニットを優先して攻撃)</t>
    <rPh sb="4" eb="7">
      <t>ゼンゾクセイノ</t>
    </rPh>
    <rPh sb="14" eb="16">
      <t>ケイゲン</t>
    </rPh>
    <phoneticPr fontId="5"/>
  </si>
  <si>
    <t>1ターン全属性ダメージ20%軽減+
攻撃力UP状態でないユニットに大ダメージ
(攻撃力UP状態のユニットを優先して攻撃)</t>
    <rPh sb="4" eb="7">
      <t>ゼンゾクセイノ</t>
    </rPh>
    <rPh sb="14" eb="16">
      <t>ケイゲン</t>
    </rPh>
    <phoneticPr fontId="5"/>
  </si>
  <si>
    <t>攻撃力UP状態でないユニットに大ダメージ
(攻撃力UP状態のユニットを優先して攻撃)
【！】次のターンに残りHPの300%ダメージ！【！】</t>
    <rPh sb="46" eb="47">
      <t>ツギノターン</t>
    </rPh>
    <rPh sb="52" eb="53">
      <t>ノコリ</t>
    </rPh>
    <phoneticPr fontId="5"/>
  </si>
  <si>
    <t>5ターン低確率で赤のダメージパネルがドロップ</t>
    <rPh sb="4" eb="5">
      <t>テイ</t>
    </rPh>
    <rPh sb="5" eb="7">
      <t>カクリツデ</t>
    </rPh>
    <rPh sb="8" eb="9">
      <t>アカノダメージ</t>
    </rPh>
    <phoneticPr fontId="5"/>
  </si>
  <si>
    <t>属性パネルを赤のダメージパネルに10個変換+
攻撃力UP状態でないユニットに大ダメージ
(攻撃力UP状態のユニットを優先して攻撃)</t>
    <phoneticPr fontId="5"/>
  </si>
  <si>
    <t>[effect:enemy_message, val1:1.2, val2:2.1],[effect:drop_block, block_type:damage, color:block_all, block_color:block_red, val:0.3, rate:0.08, turn:5, animation:damage_influence04]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</si>
</sst>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24"/>
      </patternFill>
    </fill>
    <fill>
      <patternFill patternType="solid">
        <fgColor theme="6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vertical="center"/>
    </xf>
    <xf numFmtId="0" fontId="16" fillId="38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39" borderId="7" xfId="0" applyFont="1" applyFill="1" applyBorder="1" applyAlignment="1">
      <alignment vertical="center"/>
    </xf>
    <xf numFmtId="0" fontId="16" fillId="40" borderId="7" xfId="0" applyFont="1" applyFill="1" applyBorder="1" applyAlignment="1">
      <alignment vertical="center"/>
    </xf>
    <xf numFmtId="0" fontId="16" fillId="41" borderId="7" xfId="0" applyFont="1" applyFill="1" applyBorder="1" applyAlignment="1">
      <alignment vertical="center"/>
    </xf>
    <xf numFmtId="0" fontId="6" fillId="42" borderId="3" xfId="0" applyFont="1" applyFill="1" applyBorder="1" applyAlignment="1">
      <alignment vertical="center"/>
    </xf>
    <xf numFmtId="0" fontId="6" fillId="35" borderId="3" xfId="0" applyFont="1" applyFill="1" applyBorder="1" applyAlignment="1">
      <alignment vertical="center"/>
    </xf>
    <xf numFmtId="0" fontId="16" fillId="43" borderId="7" xfId="0" applyFont="1" applyFill="1" applyBorder="1" applyAlignment="1">
      <alignment vertical="center"/>
    </xf>
    <xf numFmtId="0" fontId="16" fillId="43" borderId="7" xfId="0" applyFont="1" applyFill="1" applyBorder="1" applyAlignment="1">
      <alignment horizontal="left" vertical="center"/>
    </xf>
    <xf numFmtId="0" fontId="16" fillId="43" borderId="7" xfId="0" applyFont="1" applyFill="1" applyBorder="1" applyAlignment="1">
      <alignment horizontal="left" vertical="center" wrapText="1"/>
    </xf>
    <xf numFmtId="14" fontId="16" fillId="43" borderId="7" xfId="0" applyNumberFormat="1" applyFont="1" applyFill="1" applyBorder="1" applyAlignment="1">
      <alignment horizontal="left" vertical="center"/>
    </xf>
    <xf numFmtId="0" fontId="16" fillId="43" borderId="0" xfId="0" applyFont="1" applyFill="1" applyAlignment="1">
      <alignment vertical="center"/>
    </xf>
    <xf numFmtId="38" fontId="16" fillId="0" borderId="7" xfId="628" applyFont="1" applyFill="1" applyBorder="1" applyAlignment="1">
      <alignment wrapText="1"/>
    </xf>
    <xf numFmtId="0" fontId="24" fillId="0" borderId="7" xfId="615" applyFont="1" applyBorder="1"/>
    <xf numFmtId="0" fontId="16" fillId="13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/>
    </xf>
    <xf numFmtId="0" fontId="16" fillId="13" borderId="7" xfId="0" applyFont="1" applyFill="1" applyBorder="1" applyAlignment="1">
      <alignment horizontal="left" vertical="center"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48501_1</v>
          </cell>
        </row>
        <row r="903">
          <cell r="A903" t="str">
            <v>48501_2</v>
          </cell>
        </row>
        <row r="904">
          <cell r="A904" t="str">
            <v>48502_1</v>
          </cell>
        </row>
        <row r="905">
          <cell r="A905" t="str">
            <v>48502_2</v>
          </cell>
        </row>
        <row r="906">
          <cell r="A906" t="str">
            <v>48503_1</v>
          </cell>
        </row>
        <row r="907">
          <cell r="A907" t="str">
            <v>48503_2</v>
          </cell>
        </row>
        <row r="908">
          <cell r="A908" t="str">
            <v>48701_1</v>
          </cell>
        </row>
        <row r="909">
          <cell r="A909" t="str">
            <v>48701_2</v>
          </cell>
        </row>
        <row r="910">
          <cell r="A910" t="str">
            <v>48702_1</v>
          </cell>
        </row>
        <row r="911">
          <cell r="A911" t="str">
            <v>48702_2</v>
          </cell>
        </row>
        <row r="912">
          <cell r="A912" t="str">
            <v>49001_1</v>
          </cell>
        </row>
        <row r="913">
          <cell r="A913" t="str">
            <v>49002_1</v>
          </cell>
        </row>
        <row r="914">
          <cell r="A914" t="str">
            <v>49002_2</v>
          </cell>
        </row>
        <row r="915">
          <cell r="A915" t="str">
            <v>49003_1</v>
          </cell>
        </row>
        <row r="916">
          <cell r="A916" t="str">
            <v>49003_2</v>
          </cell>
        </row>
        <row r="917">
          <cell r="A917" t="str">
            <v>49004_1</v>
          </cell>
        </row>
        <row r="918">
          <cell r="A918" t="str">
            <v>49004_2</v>
          </cell>
        </row>
        <row r="919">
          <cell r="A919" t="str">
            <v>49004_3</v>
          </cell>
        </row>
        <row r="920">
          <cell r="A920" t="str">
            <v>49005_1</v>
          </cell>
        </row>
        <row r="921">
          <cell r="A921" t="str">
            <v>49006_1</v>
          </cell>
        </row>
        <row r="922">
          <cell r="A922" t="str">
            <v>49006_2</v>
          </cell>
        </row>
        <row r="923">
          <cell r="A923" t="str">
            <v>49007_1</v>
          </cell>
        </row>
        <row r="924">
          <cell r="A924" t="str">
            <v>49007_2</v>
          </cell>
        </row>
        <row r="925">
          <cell r="A925" t="str">
            <v>49007_3</v>
          </cell>
        </row>
        <row r="926">
          <cell r="A926" t="str">
            <v>49008_1</v>
          </cell>
        </row>
        <row r="927">
          <cell r="A927" t="str">
            <v>49009_1</v>
          </cell>
        </row>
        <row r="928">
          <cell r="A928" t="str">
            <v>49010_1</v>
          </cell>
        </row>
        <row r="929">
          <cell r="A929" t="str">
            <v>49011_1</v>
          </cell>
        </row>
        <row r="930">
          <cell r="A930" t="str">
            <v>49012_1</v>
          </cell>
        </row>
        <row r="931">
          <cell r="A931" t="str">
            <v>49013_1</v>
          </cell>
        </row>
        <row r="932">
          <cell r="A932" t="str">
            <v>49014_1</v>
          </cell>
        </row>
        <row r="933">
          <cell r="A933" t="str">
            <v>49014_2</v>
          </cell>
        </row>
        <row r="934">
          <cell r="A934" t="str">
            <v>49015_1</v>
          </cell>
        </row>
        <row r="935">
          <cell r="A935" t="str">
            <v>49015_2</v>
          </cell>
        </row>
        <row r="936">
          <cell r="A936" t="str">
            <v>49015_3</v>
          </cell>
        </row>
        <row r="937">
          <cell r="A937" t="str">
            <v>49016_1</v>
          </cell>
        </row>
        <row r="938">
          <cell r="A938" t="str">
            <v>49016_2</v>
          </cell>
        </row>
        <row r="939">
          <cell r="A939" t="str">
            <v>50001_1</v>
          </cell>
        </row>
        <row r="940">
          <cell r="A940" t="str">
            <v>50002_1</v>
          </cell>
        </row>
        <row r="941">
          <cell r="A941" t="str">
            <v>50003_1</v>
          </cell>
        </row>
        <row r="942">
          <cell r="A942" t="str">
            <v>50004_1</v>
          </cell>
        </row>
        <row r="943">
          <cell r="A943" t="str">
            <v>50005_1</v>
          </cell>
        </row>
        <row r="944">
          <cell r="A944" t="str">
            <v>50006_1</v>
          </cell>
        </row>
        <row r="945">
          <cell r="A945" t="str">
            <v>50007_1</v>
          </cell>
        </row>
        <row r="946">
          <cell r="A946" t="str">
            <v>50008_1</v>
          </cell>
        </row>
        <row r="947">
          <cell r="A947" t="str">
            <v>50009_1</v>
          </cell>
        </row>
        <row r="948">
          <cell r="A948" t="str">
            <v>50010_1</v>
          </cell>
        </row>
        <row r="949">
          <cell r="A949" t="str">
            <v>50011_1</v>
          </cell>
        </row>
        <row r="950">
          <cell r="A950" t="str">
            <v>50012_1</v>
          </cell>
        </row>
        <row r="951">
          <cell r="A951" t="str">
            <v>50013_1</v>
          </cell>
        </row>
        <row r="952">
          <cell r="A952" t="str">
            <v>50014_1</v>
          </cell>
        </row>
        <row r="953">
          <cell r="A953" t="str">
            <v>50015_1</v>
          </cell>
        </row>
        <row r="954">
          <cell r="A954" t="str">
            <v>50016_1</v>
          </cell>
        </row>
        <row r="955">
          <cell r="A955" t="str">
            <v>51001_1</v>
          </cell>
        </row>
        <row r="956">
          <cell r="A956" t="str">
            <v>51002_1</v>
          </cell>
        </row>
        <row r="957">
          <cell r="A957" t="str">
            <v>58001_1</v>
          </cell>
        </row>
        <row r="958">
          <cell r="A958" t="str">
            <v>58002_1</v>
          </cell>
        </row>
        <row r="959">
          <cell r="A959" t="str">
            <v>59001_1</v>
          </cell>
        </row>
        <row r="960">
          <cell r="A960" t="str">
            <v>59002_1</v>
          </cell>
        </row>
        <row r="961">
          <cell r="A961" t="str">
            <v>59003_1</v>
          </cell>
        </row>
        <row r="962">
          <cell r="A962" t="str">
            <v>59003_2</v>
          </cell>
        </row>
        <row r="963">
          <cell r="A963" t="str">
            <v>60001_1</v>
          </cell>
        </row>
        <row r="964">
          <cell r="A964" t="str">
            <v>60002_1</v>
          </cell>
        </row>
        <row r="965">
          <cell r="A965" t="str">
            <v>60002_2</v>
          </cell>
        </row>
        <row r="966">
          <cell r="A966" t="str">
            <v>60003_1</v>
          </cell>
        </row>
        <row r="967">
          <cell r="A967" t="str">
            <v>60003_2</v>
          </cell>
        </row>
        <row r="968">
          <cell r="A968" t="str">
            <v>60003_3</v>
          </cell>
        </row>
        <row r="969">
          <cell r="A969" t="str">
            <v>60004_1</v>
          </cell>
        </row>
        <row r="970">
          <cell r="A970" t="str">
            <v>60005_1</v>
          </cell>
        </row>
        <row r="971">
          <cell r="A971" t="str">
            <v>60006_1</v>
          </cell>
        </row>
        <row r="972">
          <cell r="A972" t="str">
            <v>60006_2</v>
          </cell>
        </row>
        <row r="973">
          <cell r="A973" t="str">
            <v>60006_3</v>
          </cell>
        </row>
        <row r="974">
          <cell r="A974" t="str">
            <v>60007_1</v>
          </cell>
        </row>
        <row r="975">
          <cell r="A975" t="str">
            <v>60007_2</v>
          </cell>
        </row>
        <row r="976">
          <cell r="A976" t="str">
            <v>60007_3</v>
          </cell>
        </row>
        <row r="977">
          <cell r="A977" t="str">
            <v>60010_1</v>
          </cell>
        </row>
        <row r="978">
          <cell r="A978" t="str">
            <v>60011_1</v>
          </cell>
        </row>
        <row r="979">
          <cell r="A979" t="str">
            <v>60011_2</v>
          </cell>
        </row>
        <row r="980">
          <cell r="A980" t="str">
            <v>60012_1</v>
          </cell>
        </row>
        <row r="981">
          <cell r="A981" t="str">
            <v>60013_1</v>
          </cell>
        </row>
        <row r="982">
          <cell r="A982" t="str">
            <v>60013_2</v>
          </cell>
        </row>
        <row r="983">
          <cell r="A983" t="str">
            <v>60013_3</v>
          </cell>
        </row>
        <row r="984">
          <cell r="A984" t="str">
            <v>60014_1</v>
          </cell>
        </row>
        <row r="985">
          <cell r="A985" t="str">
            <v>60015_1</v>
          </cell>
        </row>
        <row r="986">
          <cell r="A986" t="str">
            <v>60016_1</v>
          </cell>
        </row>
        <row r="987">
          <cell r="A987" t="str">
            <v>60017_1</v>
          </cell>
        </row>
        <row r="988">
          <cell r="A988" t="str">
            <v>60018_1</v>
          </cell>
        </row>
        <row r="989">
          <cell r="A989" t="str">
            <v>60019_1</v>
          </cell>
        </row>
        <row r="990">
          <cell r="A990" t="str">
            <v>60020_1</v>
          </cell>
        </row>
        <row r="991">
          <cell r="A991" t="str">
            <v>60021_3</v>
          </cell>
        </row>
        <row r="992">
          <cell r="A992" t="str">
            <v>60022_3</v>
          </cell>
        </row>
        <row r="993">
          <cell r="A993" t="str">
            <v>60023_3</v>
          </cell>
        </row>
        <row r="994">
          <cell r="A994" t="str">
            <v>60024_3</v>
          </cell>
        </row>
        <row r="995">
          <cell r="A995" t="str">
            <v>60025_1</v>
          </cell>
        </row>
        <row r="996">
          <cell r="A996" t="str">
            <v>60026_1</v>
          </cell>
        </row>
        <row r="997">
          <cell r="A997" t="str">
            <v>61011_1</v>
          </cell>
        </row>
        <row r="998">
          <cell r="A998" t="str">
            <v>60027_1</v>
          </cell>
        </row>
        <row r="999">
          <cell r="A999" t="str">
            <v>60028_1</v>
          </cell>
        </row>
        <row r="1000">
          <cell r="A1000" t="str">
            <v>60029_1</v>
          </cell>
        </row>
        <row r="1001">
          <cell r="A1001" t="str">
            <v>60030_1</v>
          </cell>
        </row>
        <row r="1002">
          <cell r="A1002" t="str">
            <v>60031_1</v>
          </cell>
        </row>
        <row r="1003">
          <cell r="A1003" t="str">
            <v>65523_1</v>
          </cell>
        </row>
        <row r="1004">
          <cell r="A1004" t="str">
            <v>65523_2</v>
          </cell>
        </row>
        <row r="1005">
          <cell r="A1005" t="str">
            <v>65523_3</v>
          </cell>
        </row>
        <row r="1006">
          <cell r="A1006" t="str">
            <v>65524_1</v>
          </cell>
        </row>
        <row r="1007">
          <cell r="A1007" t="str">
            <v>65524_2</v>
          </cell>
        </row>
        <row r="1008">
          <cell r="A1008" t="str">
            <v>65525_1</v>
          </cell>
        </row>
        <row r="1009">
          <cell r="A1009" t="str">
            <v>65526_1</v>
          </cell>
        </row>
        <row r="1010">
          <cell r="A1010" t="str">
            <v>65526_2</v>
          </cell>
        </row>
        <row r="1011">
          <cell r="A1011" t="str">
            <v>65527_1</v>
          </cell>
        </row>
        <row r="1012">
          <cell r="A1012" t="str">
            <v>65528_1</v>
          </cell>
        </row>
        <row r="1013">
          <cell r="A1013" t="str">
            <v>65529_1</v>
          </cell>
        </row>
        <row r="1014">
          <cell r="A1014" t="str">
            <v>65530_1</v>
          </cell>
        </row>
        <row r="1015">
          <cell r="A1015" t="str">
            <v>65531_1</v>
          </cell>
        </row>
        <row r="1016">
          <cell r="A1016" t="str">
            <v>65531_2</v>
          </cell>
        </row>
        <row r="1017">
          <cell r="A1017" t="str">
            <v>65532_1</v>
          </cell>
        </row>
        <row r="1018">
          <cell r="A1018" t="str">
            <v>65532_2</v>
          </cell>
        </row>
        <row r="1019">
          <cell r="A1019" t="str">
            <v>65533_1</v>
          </cell>
        </row>
        <row r="1020">
          <cell r="A1020" t="str">
            <v>65533_2</v>
          </cell>
        </row>
        <row r="1021">
          <cell r="A1021" t="str">
            <v>65534_1</v>
          </cell>
        </row>
        <row r="1022">
          <cell r="A1022" t="str">
            <v>65534_2</v>
          </cell>
        </row>
        <row r="1023">
          <cell r="A1023" t="str">
            <v>65535_1</v>
          </cell>
        </row>
        <row r="1024">
          <cell r="A1024" t="str">
            <v>65535_2</v>
          </cell>
        </row>
        <row r="1025">
          <cell r="A1025" t="str">
            <v>65535_3</v>
          </cell>
        </row>
        <row r="1026">
          <cell r="A1026" t="str">
            <v>65535_4</v>
          </cell>
        </row>
        <row r="1027">
          <cell r="A1027" t="str">
            <v>65535_5</v>
          </cell>
        </row>
        <row r="1028">
          <cell r="A1028" t="str">
            <v>65535_6</v>
          </cell>
        </row>
        <row r="1029">
          <cell r="A1029" t="str">
            <v>65535_7</v>
          </cell>
        </row>
        <row r="1030">
          <cell r="A1030" t="str">
            <v>65535_8</v>
          </cell>
        </row>
        <row r="1031">
          <cell r="A1031" t="str">
            <v>65535_9</v>
          </cell>
        </row>
        <row r="1032">
          <cell r="A103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4" sqref="A1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276</v>
      </c>
      <c r="B2" s="57" t="s">
        <v>105</v>
      </c>
      <c r="C2" s="62">
        <v>50015</v>
      </c>
      <c r="D2" s="57" t="s">
        <v>106</v>
      </c>
      <c r="E2" s="56" t="str">
        <f>B2&amp;C2&amp;D2</f>
        <v>floors_50015.tmp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276</v>
      </c>
      <c r="B3" s="57" t="s">
        <v>108</v>
      </c>
      <c r="C3" s="62">
        <v>50015</v>
      </c>
      <c r="D3" s="57" t="s">
        <v>106</v>
      </c>
      <c r="E3" s="56" t="str">
        <f>B3&amp;C3&amp;D3</f>
        <v>enemy_habitats_50015.tmp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178</v>
      </c>
    </row>
    <row r="4" spans="1:30" x14ac:dyDescent="0.15">
      <c r="A4" s="61" t="s">
        <v>276</v>
      </c>
      <c r="B4" s="57" t="s">
        <v>110</v>
      </c>
      <c r="C4" s="62">
        <v>50015</v>
      </c>
      <c r="D4" s="57" t="s">
        <v>106</v>
      </c>
      <c r="E4" s="56" t="str">
        <f>B4&amp;C4&amp;D4</f>
        <v>enemy_habitat_S_50015.tmp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276</v>
      </c>
      <c r="B5" s="57" t="s">
        <v>112</v>
      </c>
      <c r="C5" s="62">
        <v>50015</v>
      </c>
      <c r="D5" s="57" t="s">
        <v>106</v>
      </c>
      <c r="E5" s="56" t="str">
        <f>B5&amp;C5&amp;D5</f>
        <v>enemy_skill_sets_50015.tmp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276</v>
      </c>
      <c r="B6" s="57" t="s">
        <v>114</v>
      </c>
      <c r="C6" s="62">
        <v>50015</v>
      </c>
      <c r="D6" s="57" t="s">
        <v>115</v>
      </c>
      <c r="E6" s="56" t="str">
        <f t="shared" ref="E6:E10" si="0">B6&amp;C6&amp;D6</f>
        <v>enemy_skills_tmp_50015.tmp</v>
      </c>
      <c r="F6" s="57" t="s">
        <v>89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276</v>
      </c>
      <c r="B7" s="57" t="s">
        <v>116</v>
      </c>
      <c r="C7" s="62">
        <v>50015</v>
      </c>
      <c r="D7" s="57" t="s">
        <v>106</v>
      </c>
      <c r="E7" s="56" t="str">
        <f>B7&amp;C7&amp;D7</f>
        <v>enemy_skills_i18n_50015.tmp</v>
      </c>
      <c r="F7" s="57" t="s">
        <v>117</v>
      </c>
      <c r="G7" s="58" t="s">
        <v>79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276</v>
      </c>
      <c r="B8" s="57" t="s">
        <v>118</v>
      </c>
      <c r="C8" s="62">
        <v>50015</v>
      </c>
      <c r="D8" s="57" t="s">
        <v>119</v>
      </c>
      <c r="E8" s="56" t="str">
        <f t="shared" si="0"/>
        <v>enemy_skill_triggers_50015.tmp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356</v>
      </c>
      <c r="B9" s="67" t="s">
        <v>177</v>
      </c>
      <c r="C9" s="62">
        <v>50015</v>
      </c>
      <c r="D9" s="67" t="s">
        <v>171</v>
      </c>
      <c r="E9" s="68" t="str">
        <f t="shared" si="0"/>
        <v>stage_bug_bonuses_50015.tmp</v>
      </c>
      <c r="F9" s="67" t="s">
        <v>172</v>
      </c>
      <c r="G9" s="64" t="s">
        <v>149</v>
      </c>
      <c r="H9" s="64" t="s">
        <v>173</v>
      </c>
      <c r="I9" s="64" t="s">
        <v>174</v>
      </c>
      <c r="J9" s="66" t="s">
        <v>175</v>
      </c>
      <c r="K9" s="64" t="s">
        <v>176</v>
      </c>
      <c r="L9" s="64" t="s">
        <v>155</v>
      </c>
      <c r="M9" s="64" t="s">
        <v>156</v>
      </c>
      <c r="N9" s="64" t="s">
        <v>157</v>
      </c>
      <c r="O9" s="64" t="s">
        <v>158</v>
      </c>
      <c r="P9" s="64" t="s">
        <v>159</v>
      </c>
      <c r="Q9" s="64" t="s">
        <v>160</v>
      </c>
      <c r="R9" s="64" t="s">
        <v>161</v>
      </c>
      <c r="S9" s="64" t="s">
        <v>162</v>
      </c>
      <c r="T9" s="64" t="s">
        <v>163</v>
      </c>
      <c r="U9" s="64" t="s">
        <v>164</v>
      </c>
      <c r="V9" s="64" t="s">
        <v>165</v>
      </c>
      <c r="W9" s="64" t="s">
        <v>166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187</v>
      </c>
      <c r="B10" s="67" t="s">
        <v>201</v>
      </c>
      <c r="C10" s="62">
        <v>50015</v>
      </c>
      <c r="D10" s="67" t="s">
        <v>180</v>
      </c>
      <c r="E10" s="68" t="str">
        <f t="shared" si="0"/>
        <v>stage_hints_data_c_50015.tmp</v>
      </c>
      <c r="F10" s="67" t="s">
        <v>209</v>
      </c>
      <c r="G10" s="73" t="s">
        <v>181</v>
      </c>
      <c r="H10" s="73" t="s">
        <v>173</v>
      </c>
      <c r="I10" s="74" t="s">
        <v>182</v>
      </c>
      <c r="J10" s="66" t="s">
        <v>183</v>
      </c>
      <c r="K10" s="66" t="s">
        <v>184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1" t="s">
        <v>357</v>
      </c>
      <c r="B11" s="67" t="s">
        <v>202</v>
      </c>
      <c r="C11" s="62">
        <v>50015</v>
      </c>
      <c r="D11" s="67" t="s">
        <v>171</v>
      </c>
      <c r="E11" s="68" t="str">
        <f t="shared" ref="E11:E13" si="1">B11&amp;C11&amp;D11</f>
        <v>stage_hints_data_f_50015.tmp</v>
      </c>
      <c r="F11" s="67" t="s">
        <v>210</v>
      </c>
      <c r="G11" s="73" t="s">
        <v>181</v>
      </c>
      <c r="H11" s="73" t="s">
        <v>173</v>
      </c>
      <c r="I11" s="74" t="s">
        <v>182</v>
      </c>
      <c r="J11" s="66" t="s">
        <v>183</v>
      </c>
      <c r="K11" s="66" t="s">
        <v>184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124" t="s">
        <v>357</v>
      </c>
      <c r="B12" s="67" t="s">
        <v>203</v>
      </c>
      <c r="C12" s="62">
        <v>50015</v>
      </c>
      <c r="D12" s="67" t="s">
        <v>171</v>
      </c>
      <c r="E12" s="68" t="str">
        <f t="shared" si="1"/>
        <v>stage_hints_i18n_50015.tmp</v>
      </c>
      <c r="F12" s="67" t="s">
        <v>211</v>
      </c>
      <c r="G12" s="74" t="s">
        <v>204</v>
      </c>
      <c r="H12" s="93" t="s">
        <v>205</v>
      </c>
      <c r="I12" s="73" t="s">
        <v>206</v>
      </c>
      <c r="J12" s="101" t="s">
        <v>207</v>
      </c>
      <c r="K12" s="66" t="s">
        <v>208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67" t="s">
        <v>363</v>
      </c>
      <c r="B13" s="67" t="s">
        <v>250</v>
      </c>
      <c r="C13" s="62">
        <v>50015</v>
      </c>
      <c r="D13" s="67" t="s">
        <v>231</v>
      </c>
      <c r="E13" s="68" t="str">
        <f t="shared" si="1"/>
        <v>stage_bonuses_50015.tmp</v>
      </c>
      <c r="F13" s="67" t="s">
        <v>230</v>
      </c>
      <c r="G13" s="73" t="s">
        <v>232</v>
      </c>
      <c r="H13" s="73" t="s">
        <v>233</v>
      </c>
      <c r="I13" s="73" t="s">
        <v>234</v>
      </c>
      <c r="J13" s="73" t="s">
        <v>235</v>
      </c>
      <c r="K13" s="73" t="s">
        <v>236</v>
      </c>
      <c r="L13" s="73" t="s">
        <v>237</v>
      </c>
      <c r="M13" s="73" t="s">
        <v>238</v>
      </c>
      <c r="N13" s="73" t="s">
        <v>239</v>
      </c>
      <c r="O13" s="73" t="s">
        <v>240</v>
      </c>
      <c r="P13" s="73" t="s">
        <v>241</v>
      </c>
      <c r="Q13" s="73" t="s">
        <v>242</v>
      </c>
      <c r="R13" s="73" t="s">
        <v>243</v>
      </c>
      <c r="S13" s="73" t="s">
        <v>244</v>
      </c>
      <c r="T13" s="73" t="s">
        <v>245</v>
      </c>
      <c r="U13" s="73" t="s">
        <v>246</v>
      </c>
      <c r="V13" s="73" t="s">
        <v>247</v>
      </c>
      <c r="W13" s="73" t="s">
        <v>248</v>
      </c>
      <c r="X13" s="73" t="s">
        <v>249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E36" sqref="E3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50015_1-1</v>
      </c>
      <c r="B2" s="16" t="str">
        <f>IF(COUNTIF(enemy_habitats!$H:$H,A2),"OK","NG")</f>
        <v>OK</v>
      </c>
      <c r="C2" s="7">
        <v>50015</v>
      </c>
      <c r="D2" s="11" t="str">
        <f ca="1">VLOOKUP($C2,OFFSET([2]quests!$A$1,0,0,COUNTA([2]quests!$A:$A),MATCH(D$1,[2]quests!$1:$1,0)-MATCH($C$1,[2]quests!$1:$1,0)+1),MATCH(D$1,[2]quests!$1:$1,0)-MATCH($C$1,[2]quests!$1:$1,0)+1,FALSE)</f>
        <v>アンデルセン襲来！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超降臨14</v>
      </c>
      <c r="F2" s="21">
        <v>1</v>
      </c>
      <c r="G2" s="23" t="str">
        <f>C2&amp;"_"&amp;F2</f>
        <v>50015_1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【超ウィザード級】アンデルセン襲来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50015_1-2</v>
      </c>
      <c r="B3" s="16" t="str">
        <f>IF(COUNTIF(enemy_habitats!$H:$H,A3),"OK","NG")</f>
        <v>OK</v>
      </c>
      <c r="C3" s="7">
        <v>50015</v>
      </c>
      <c r="D3" s="11" t="str">
        <f ca="1">VLOOKUP($C3,OFFSET([2]quests!$A$1,0,0,COUNTA([2]quests!$A:$A),MATCH(D$1,[2]quests!$1:$1,0)-MATCH($C$1,[2]quests!$1:$1,0)+1),MATCH(D$1,[2]quests!$1:$1,0)-MATCH($C$1,[2]quests!$1:$1,0)+1,FALSE)</f>
        <v>アンデルセン襲来！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超降臨14</v>
      </c>
      <c r="F3" s="21">
        <v>1</v>
      </c>
      <c r="G3" s="23" t="str">
        <f>C3&amp;"_"&amp;F3</f>
        <v>50015_1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【超ウィザード級】アンデルセン襲来</v>
      </c>
      <c r="I3" s="21">
        <v>2</v>
      </c>
      <c r="J3" s="12">
        <v>30</v>
      </c>
      <c r="K3" s="12">
        <v>30</v>
      </c>
    </row>
    <row r="4" spans="1:11" ht="21" customHeight="1" x14ac:dyDescent="0.15">
      <c r="A4" s="16" t="str">
        <f>G4&amp;"-"&amp;I4</f>
        <v>50015_1-3</v>
      </c>
      <c r="B4" s="16" t="str">
        <f>IF(COUNTIF(enemy_habitats!$H:$H,A4),"OK","NG")</f>
        <v>OK</v>
      </c>
      <c r="C4" s="7">
        <v>50015</v>
      </c>
      <c r="D4" s="11" t="str">
        <f ca="1">VLOOKUP($C4,OFFSET([2]quests!$A$1,0,0,COUNTA([2]quests!$A:$A),MATCH(D$1,[2]quests!$1:$1,0)-MATCH($C$1,[2]quests!$1:$1,0)+1),MATCH(D$1,[2]quests!$1:$1,0)-MATCH($C$1,[2]quests!$1:$1,0)+1,FALSE)</f>
        <v>アンデルセン襲来！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超降臨14</v>
      </c>
      <c r="F4" s="21">
        <v>1</v>
      </c>
      <c r="G4" s="23" t="str">
        <f>C4&amp;"_"&amp;F4</f>
        <v>50015_1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【超ウィザード級】アンデルセン襲来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>G5&amp;"-"&amp;I5</f>
        <v>50015_1-4</v>
      </c>
      <c r="B5" s="16" t="str">
        <f>IF(COUNTIF(enemy_habitats!$H:$H,A5),"OK","NG")</f>
        <v>OK</v>
      </c>
      <c r="C5" s="7">
        <v>50015</v>
      </c>
      <c r="D5" s="11" t="str">
        <f ca="1">VLOOKUP($C5,OFFSET([2]quests!$A$1,0,0,COUNTA([2]quests!$A:$A),MATCH(D$1,[2]quests!$1:$1,0)-MATCH($C$1,[2]quests!$1:$1,0)+1),MATCH(D$1,[2]quests!$1:$1,0)-MATCH($C$1,[2]quests!$1:$1,0)+1,FALSE)</f>
        <v>アンデルセン襲来！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超降臨14</v>
      </c>
      <c r="F5" s="21">
        <v>1</v>
      </c>
      <c r="G5" s="23" t="str">
        <f>C5&amp;"_"&amp;F5</f>
        <v>50015_1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【超ウィザード級】アンデルセン襲来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6"/>
  <sheetViews>
    <sheetView showGridLines="0" tabSelected="1" workbookViewId="0">
      <pane xSplit="17" ySplit="1" topLeftCell="AD2" activePane="bottomRight" state="frozen"/>
      <selection pane="topRight" activeCell="N1" sqref="N1"/>
      <selection pane="bottomLeft" activeCell="A2" sqref="A2"/>
      <selection pane="bottomRight" activeCell="AJ7" sqref="AJ7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2" t="s">
        <v>251</v>
      </c>
      <c r="U1" s="26" t="s">
        <v>50</v>
      </c>
      <c r="V1" s="102" t="s">
        <v>252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>B2&amp;"_"&amp;C2&amp;"-"&amp;G2&amp;"/"&amp;L2&amp;"&lt;lv"&amp;R2&amp;"&gt;s"&amp;AC2</f>
        <v>50015_1-1/1379&lt;lv80&gt;s1</v>
      </c>
      <c r="B2" s="22">
        <v>50015</v>
      </c>
      <c r="C2" s="21">
        <v>1</v>
      </c>
      <c r="D2" s="2" t="str">
        <f>B2&amp;"_"&amp;C2</f>
        <v>50015_1</v>
      </c>
      <c r="E2" s="4" t="str">
        <f ca="1">VLOOKUP($B2,OFFSET([2]quests!$A$1,0,0,COUNTA([2]quests!$A:$A),MATCH(E$1,[2]quests!$1:$1,0)-MATCH($B$1,[2]quests!$1:$1,0)+1),MATCH(E$1,[2]quests!$1:$1,0)-MATCH($B$1,[2]quests!$1:$1,0)+1,FALSE)</f>
        <v>アンデルセン襲来！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【超ウィザード級】アンデルセン襲来</v>
      </c>
      <c r="G2" s="21">
        <v>1</v>
      </c>
      <c r="H2" s="15" t="str">
        <f>B2&amp;"_"&amp;C2&amp;"-"&amp;G2</f>
        <v>50015_1-1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1379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アンデルセン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DropWizSS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fantasy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80</v>
      </c>
      <c r="S2" s="25">
        <v>8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652000</v>
      </c>
      <c r="U2" s="25">
        <v>1.2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7780.7999999999993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116">
        <v>50015000</v>
      </c>
      <c r="Z2" s="6">
        <v>1</v>
      </c>
      <c r="AA2" s="6">
        <v>100</v>
      </c>
      <c r="AB2" s="6">
        <v>0</v>
      </c>
      <c r="AC2" s="17">
        <v>1</v>
      </c>
      <c r="AD2" s="24">
        <f>L2</f>
        <v>1379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アンデルセン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2" s="7">
        <v>1</v>
      </c>
      <c r="AI2" s="24">
        <f ca="1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>B3&amp;"_"&amp;C3&amp;"-"&amp;G3&amp;"/"&amp;L3&amp;"&lt;lv"&amp;R3&amp;"&gt;s"&amp;AC3</f>
        <v>50015_1-2/146&lt;lv80&gt;s1</v>
      </c>
      <c r="B3" s="22">
        <v>50015</v>
      </c>
      <c r="C3" s="21">
        <v>1</v>
      </c>
      <c r="D3" s="2" t="str">
        <f>B3&amp;"_"&amp;C3</f>
        <v>50015_1</v>
      </c>
      <c r="E3" s="4" t="str">
        <f ca="1">VLOOKUP($B3,OFFSET([2]quests!$A$1,0,0,COUNTA([2]quests!$A:$A),MATCH(E$1,[2]quests!$1:$1,0)-MATCH($B$1,[2]quests!$1:$1,0)+1),MATCH(E$1,[2]quests!$1:$1,0)-MATCH($B$1,[2]quests!$1:$1,0)+1,FALSE)</f>
        <v>アンデルセン襲来！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【超ウィザード級】アンデルセン襲来</v>
      </c>
      <c r="G3" s="21">
        <v>2</v>
      </c>
      <c r="H3" s="15" t="str">
        <f>B3&amp;"_"&amp;C3&amp;"-"&amp;G3</f>
        <v>50015_1-2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8">
        <v>1</v>
      </c>
      <c r="L3" s="20">
        <v>146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マーメイド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80</v>
      </c>
      <c r="S3" s="25">
        <v>7</v>
      </c>
      <c r="T3" s="10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855351</v>
      </c>
      <c r="U3" s="25">
        <v>1.8</v>
      </c>
      <c r="V3" s="10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11323.800000000001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3" s="117">
        <v>50015100</v>
      </c>
      <c r="Z3" s="6">
        <v>1</v>
      </c>
      <c r="AA3" s="6">
        <v>100</v>
      </c>
      <c r="AB3" s="6">
        <v>0</v>
      </c>
      <c r="AC3" s="17">
        <v>1</v>
      </c>
      <c r="AD3" s="24">
        <f>L3</f>
        <v>146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マーメイド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3" s="7">
        <v>1</v>
      </c>
      <c r="AI3" s="24">
        <f ca="1">AF3</f>
        <v>3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>B4&amp;"_"&amp;C4&amp;"-"&amp;G4&amp;"/"&amp;L4&amp;"&lt;lv"&amp;R4&amp;"&gt;s"&amp;AC4</f>
        <v>50015_1-3/420&lt;lv80&gt;s1</v>
      </c>
      <c r="B4" s="22">
        <v>50015</v>
      </c>
      <c r="C4" s="21">
        <v>1</v>
      </c>
      <c r="D4" s="2" t="str">
        <f>B4&amp;"_"&amp;C4</f>
        <v>50015_1</v>
      </c>
      <c r="E4" s="4" t="str">
        <f ca="1">VLOOKUP($B4,OFFSET([2]quests!$A$1,0,0,COUNTA([2]quests!$A:$A),MATCH(E$1,[2]quests!$1:$1,0)-MATCH($B$1,[2]quests!$1:$1,0)+1),MATCH(E$1,[2]quests!$1:$1,0)-MATCH($B$1,[2]quests!$1:$1,0)+1,FALSE)</f>
        <v>アンデルセン襲来！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【超ウィザード級】アンデルセン襲来</v>
      </c>
      <c r="G4" s="21">
        <v>3</v>
      </c>
      <c r="H4" s="15" t="str">
        <f>B4&amp;"_"&amp;C4&amp;"-"&amp;G4</f>
        <v>50015_1-3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420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カエデ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80</v>
      </c>
      <c r="S4" s="25">
        <v>20</v>
      </c>
      <c r="T4" s="103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1625360</v>
      </c>
      <c r="U4" s="25">
        <v>1.7</v>
      </c>
      <c r="V4" s="103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10631.8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116">
        <v>50015300</v>
      </c>
      <c r="Z4" s="6">
        <v>1</v>
      </c>
      <c r="AA4" s="6">
        <v>100</v>
      </c>
      <c r="AB4" s="6">
        <v>0</v>
      </c>
      <c r="AC4" s="17">
        <v>1</v>
      </c>
      <c r="AD4" s="24">
        <f>L4</f>
        <v>420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カエデ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7">
        <v>1</v>
      </c>
      <c r="AI4" s="24">
        <f ca="1">AF4</f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>B5&amp;"_"&amp;C5&amp;"-"&amp;G5&amp;"/"&amp;L5&amp;"&lt;lv"&amp;R5&amp;"&gt;s"&amp;AC5</f>
        <v>50015_1-3/390&lt;lv80&gt;s1</v>
      </c>
      <c r="B5" s="22">
        <v>50015</v>
      </c>
      <c r="C5" s="21">
        <v>1</v>
      </c>
      <c r="D5" s="2" t="str">
        <f>B5&amp;"_"&amp;C5</f>
        <v>50015_1</v>
      </c>
      <c r="E5" s="4" t="str">
        <f ca="1">VLOOKUP($B5,OFFSET([2]quests!$A$1,0,0,COUNTA([2]quests!$A:$A),MATCH(E$1,[2]quests!$1:$1,0)-MATCH($B$1,[2]quests!$1:$1,0)+1),MATCH(E$1,[2]quests!$1:$1,0)-MATCH($B$1,[2]quests!$1:$1,0)+1,FALSE)</f>
        <v>アンデルセン襲来！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【超ウィザード級】アンデルセン襲来</v>
      </c>
      <c r="G5" s="21">
        <v>3</v>
      </c>
      <c r="H5" s="15" t="str">
        <f>B5&amp;"_"&amp;C5&amp;"-"&amp;G5</f>
        <v>50015_1-3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20">
        <v>390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華環の旅客 親指姫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80</v>
      </c>
      <c r="S5" s="25">
        <v>20</v>
      </c>
      <c r="T5" s="103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1593480</v>
      </c>
      <c r="U5" s="25">
        <v>1.7</v>
      </c>
      <c r="V5" s="103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11065.3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こっちこそ願い下げよ！</v>
      </c>
      <c r="Y5" s="117">
        <v>50015400</v>
      </c>
      <c r="Z5" s="6">
        <v>1</v>
      </c>
      <c r="AA5" s="6">
        <v>100</v>
      </c>
      <c r="AB5" s="6">
        <v>1</v>
      </c>
      <c r="AC5" s="17">
        <v>1</v>
      </c>
      <c r="AD5" s="24">
        <f>L5</f>
        <v>390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華環の旅客 親指姫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5" s="7">
        <v>1</v>
      </c>
      <c r="AI5" s="24">
        <f ca="1">AF5</f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>B6&amp;"_"&amp;C6&amp;"-"&amp;G6&amp;"/"&amp;L6&amp;"&lt;lv"&amp;R6&amp;"&gt;s"&amp;AC6</f>
        <v>50015_1-4/1379&lt;lv80&gt;s1</v>
      </c>
      <c r="B6" s="22">
        <v>50015</v>
      </c>
      <c r="C6" s="21">
        <v>1</v>
      </c>
      <c r="D6" s="2" t="str">
        <f>B6&amp;"_"&amp;C6</f>
        <v>50015_1</v>
      </c>
      <c r="E6" s="4" t="str">
        <f ca="1">VLOOKUP($B6,OFFSET([2]quests!$A$1,0,0,COUNTA([2]quests!$A:$A),MATCH(E$1,[2]quests!$1:$1,0)-MATCH($B$1,[2]quests!$1:$1,0)+1),MATCH(E$1,[2]quests!$1:$1,0)-MATCH($B$1,[2]quests!$1:$1,0)+1,FALSE)</f>
        <v>アンデルセン襲来！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【超ウィザード級】アンデルセン襲来</v>
      </c>
      <c r="G6" s="21">
        <v>4</v>
      </c>
      <c r="H6" s="15" t="str">
        <f>B6&amp;"_"&amp;C6&amp;"-"&amp;G6</f>
        <v>50015_1-4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3</v>
      </c>
      <c r="L6" s="20">
        <v>1379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アンデルセン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fantasy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80</v>
      </c>
      <c r="S6" s="25">
        <v>11</v>
      </c>
      <c r="T6" s="103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896500</v>
      </c>
      <c r="U6" s="25">
        <v>1.3</v>
      </c>
      <c r="V6" s="103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8429.2000000000007</v>
      </c>
      <c r="W6" s="5">
        <v>0</v>
      </c>
      <c r="X6" s="4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116">
        <v>50015700</v>
      </c>
      <c r="Z6" s="6">
        <v>1</v>
      </c>
      <c r="AA6" s="6">
        <v>100</v>
      </c>
      <c r="AB6" s="6">
        <v>0</v>
      </c>
      <c r="AC6" s="17">
        <v>1</v>
      </c>
      <c r="AD6" s="24">
        <f>L6</f>
        <v>1379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アンデルセン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6" s="7">
        <v>1</v>
      </c>
      <c r="AI6" s="24">
        <f ca="1">AF6</f>
        <v>5</v>
      </c>
      <c r="AJ6" s="8">
        <v>85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6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W6" sqref="W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251</v>
      </c>
      <c r="V1" s="26" t="s">
        <v>50</v>
      </c>
      <c r="W1" s="102" t="s">
        <v>252</v>
      </c>
      <c r="X1" s="26" t="s">
        <v>52</v>
      </c>
      <c r="Y1" s="28" t="s">
        <v>128</v>
      </c>
      <c r="Z1" s="29" t="s">
        <v>127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50015_1-2/147&lt;lv80&gt;sq1st2</v>
      </c>
      <c r="B2" s="22">
        <v>50015</v>
      </c>
      <c r="C2" s="21">
        <v>1</v>
      </c>
      <c r="D2" s="2" t="str">
        <f>B2&amp;"_"&amp;C2</f>
        <v>50015_1</v>
      </c>
      <c r="E2" s="4" t="str">
        <f ca="1">VLOOKUP($B2,OFFSET([2]quests!$A$1,0,0,COUNTA([2]quests!$A:$A),MATCH(E$1,[2]quests!$1:$1,0)-MATCH($B$1,[2]quests!$1:$1,0)+1),MATCH(E$1,[2]quests!$1:$1,0)-MATCH($B$1,[2]quests!$1:$1,0)+1,FALSE)</f>
        <v>アンデルセン襲来！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【超ウィザード級】アンデルセン襲来</v>
      </c>
      <c r="G2" s="21">
        <v>2</v>
      </c>
      <c r="H2" s="15" t="str">
        <f>B2&amp;"_"&amp;C2&amp;"-"&amp;G2</f>
        <v>50015_1-2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>
        <v>1</v>
      </c>
      <c r="L2" s="38">
        <v>2</v>
      </c>
      <c r="M2" s="20">
        <v>147</v>
      </c>
      <c r="N2" s="17" t="str">
        <f ca="1">VLOOKUP($M2,OFFSET([3]enemies!$A$1,0,0,COUNTA([3]enemies!$A:$A),MATCH(N$1,[3]enemies!$1:$1,0)-MATCH($M$1,[3]enemies!$1:$1,0)+1),MATCH(N$1,[3]enemies!$1:$1,0)-MATCH($M$1,[3]enemies!$1:$1,0)+1,FALSE)</f>
        <v>蒼き閃光 元マーメイド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PremiumW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80</v>
      </c>
      <c r="T2" s="25">
        <v>10</v>
      </c>
      <c r="U2" s="103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1444100</v>
      </c>
      <c r="V2" s="25">
        <v>2.4</v>
      </c>
      <c r="W2" s="103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16356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116">
        <v>50015200</v>
      </c>
      <c r="AA2" s="70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50015_1-3/391&lt;lv80&gt;sq2st2</v>
      </c>
      <c r="B3" s="22">
        <v>50015</v>
      </c>
      <c r="C3" s="21">
        <v>1</v>
      </c>
      <c r="D3" s="2" t="str">
        <f>B3&amp;"_"&amp;C3</f>
        <v>50015_1</v>
      </c>
      <c r="E3" s="4" t="str">
        <f ca="1">VLOOKUP($B3,OFFSET([2]quests!$A$1,0,0,COUNTA([2]quests!$A:$A),MATCH(E$1,[2]quests!$1:$1,0)-MATCH($B$1,[2]quests!$1:$1,0)+1),MATCH(E$1,[2]quests!$1:$1,0)-MATCH($B$1,[2]quests!$1:$1,0)+1,FALSE)</f>
        <v>アンデルセン襲来！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【超ウィザード級】アンデルセン襲来</v>
      </c>
      <c r="G3" s="21">
        <v>3</v>
      </c>
      <c r="H3" s="15" t="str">
        <f>B3&amp;"_"&amp;C3&amp;"-"&amp;G3</f>
        <v>50015_1-3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391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燕翼の旅人 親指姫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11</v>
      </c>
      <c r="U3" s="10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1146090</v>
      </c>
      <c r="V3" s="25">
        <v>1.6</v>
      </c>
      <c r="W3" s="10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11216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116">
        <v>50015500</v>
      </c>
      <c r="AA3" s="70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50015_1-3/391&lt;lv80&gt;sq2st3</v>
      </c>
      <c r="B4" s="22">
        <v>50015</v>
      </c>
      <c r="C4" s="21">
        <v>1</v>
      </c>
      <c r="D4" s="2" t="str">
        <f>B4&amp;"_"&amp;C4</f>
        <v>50015_1</v>
      </c>
      <c r="E4" s="4" t="str">
        <f ca="1">VLOOKUP($B4,OFFSET([2]quests!$A$1,0,0,COUNTA([2]quests!$A:$A),MATCH(E$1,[2]quests!$1:$1,0)-MATCH($B$1,[2]quests!$1:$1,0)+1),MATCH(E$1,[2]quests!$1:$1,0)-MATCH($B$1,[2]quests!$1:$1,0)+1,FALSE)</f>
        <v>アンデルセン襲来！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【超ウィザード級】アンデルセン襲来</v>
      </c>
      <c r="G4" s="21">
        <v>3</v>
      </c>
      <c r="H4" s="15" t="str">
        <f>B4&amp;"_"&amp;C4&amp;"-"&amp;G4</f>
        <v>50015_1-3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391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燕翼の旅人 親指姫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11</v>
      </c>
      <c r="U4" s="103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1146090</v>
      </c>
      <c r="V4" s="25">
        <v>1.6</v>
      </c>
      <c r="W4" s="103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11216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116">
        <v>50015600</v>
      </c>
      <c r="AA4" s="70">
        <v>1</v>
      </c>
    </row>
    <row r="5" spans="1:27" ht="21" customHeight="1" x14ac:dyDescent="0.15">
      <c r="A5" s="16" t="str">
        <f>B5&amp;"_"&amp;C5&amp;"-"&amp;G5&amp;"/"&amp;M5&amp;"&lt;lv"&amp;S5&amp;"&gt;sq"&amp;K5&amp;"st"&amp;L5</f>
        <v>50015_1-4/1380&lt;lv80&gt;sq3st2</v>
      </c>
      <c r="B5" s="22">
        <v>50015</v>
      </c>
      <c r="C5" s="21">
        <v>1</v>
      </c>
      <c r="D5" s="2" t="str">
        <f>B5&amp;"_"&amp;C5</f>
        <v>50015_1</v>
      </c>
      <c r="E5" s="4" t="str">
        <f ca="1">VLOOKUP($B5,OFFSET([2]quests!$A$1,0,0,COUNTA([2]quests!$A:$A),MATCH(E$1,[2]quests!$1:$1,0)-MATCH($B$1,[2]quests!$1:$1,0)+1),MATCH(E$1,[2]quests!$1:$1,0)-MATCH($B$1,[2]quests!$1:$1,0)+1,FALSE)</f>
        <v>アンデルセン襲来！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【超ウィザード級】アンデルセン襲来</v>
      </c>
      <c r="G5" s="21">
        <v>4</v>
      </c>
      <c r="H5" s="15" t="str">
        <f>B5&amp;"_"&amp;C5&amp;"-"&amp;G5</f>
        <v>50015_1-4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2</v>
      </c>
      <c r="M5" s="20">
        <v>1380</v>
      </c>
      <c r="N5" s="17" t="str">
        <f ca="1">VLOOKUP($M5,OFFSET([3]enemies!$A$1,0,0,COUNTA([3]enemies!$A:$A),MATCH(N$1,[3]enemies!$1:$1,0)-MATCH($M$1,[3]enemies!$1:$1,0)+1),MATCH(N$1,[3]enemies!$1:$1,0)-MATCH($M$1,[3]enemies!$1:$1,0)+1,FALSE)</f>
        <v>詩線上の導話 アンデルセン</v>
      </c>
      <c r="O5" s="17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fantasy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80</v>
      </c>
      <c r="T5" s="25">
        <v>12</v>
      </c>
      <c r="U5" s="103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1446468</v>
      </c>
      <c r="V5" s="25">
        <v>1.3</v>
      </c>
      <c r="W5" s="103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6883.5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116">
        <v>50015800</v>
      </c>
      <c r="AA5" s="70">
        <v>1</v>
      </c>
    </row>
    <row r="6" spans="1:27" ht="21" customHeight="1" x14ac:dyDescent="0.15">
      <c r="A6" s="16" t="str">
        <f>B6&amp;"_"&amp;C6&amp;"-"&amp;G6&amp;"/"&amp;M6&amp;"&lt;lv"&amp;S6&amp;"&gt;sq"&amp;K6&amp;"st"&amp;L6</f>
        <v>50015_1-4/1380&lt;lv80&gt;sq3st3</v>
      </c>
      <c r="B6" s="22">
        <v>50015</v>
      </c>
      <c r="C6" s="21">
        <v>1</v>
      </c>
      <c r="D6" s="2" t="str">
        <f>B6&amp;"_"&amp;C6</f>
        <v>50015_1</v>
      </c>
      <c r="E6" s="4" t="str">
        <f ca="1">VLOOKUP($B6,OFFSET([2]quests!$A$1,0,0,COUNTA([2]quests!$A:$A),MATCH(E$1,[2]quests!$1:$1,0)-MATCH($B$1,[2]quests!$1:$1,0)+1),MATCH(E$1,[2]quests!$1:$1,0)-MATCH($B$1,[2]quests!$1:$1,0)+1,FALSE)</f>
        <v>アンデルセン襲来！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【超ウィザード級】アンデルセン襲来</v>
      </c>
      <c r="G6" s="21">
        <v>4</v>
      </c>
      <c r="H6" s="15" t="str">
        <f>B6&amp;"_"&amp;C6&amp;"-"&amp;G6</f>
        <v>50015_1-4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3</v>
      </c>
      <c r="L6" s="38">
        <v>3</v>
      </c>
      <c r="M6" s="20">
        <v>1380</v>
      </c>
      <c r="N6" s="17" t="str">
        <f ca="1">VLOOKUP($M6,OFFSET([3]enemies!$A$1,0,0,COUNTA([3]enemies!$A:$A),MATCH(N$1,[3]enemies!$1:$1,0)-MATCH($M$1,[3]enemies!$1:$1,0)+1),MATCH(N$1,[3]enemies!$1:$1,0)-MATCH($M$1,[3]enemies!$1:$1,0)+1,FALSE)</f>
        <v>詩線上の導話 アンデルセン</v>
      </c>
      <c r="O6" s="17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fantasy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80</v>
      </c>
      <c r="T6" s="25">
        <v>9</v>
      </c>
      <c r="U6" s="103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1084851</v>
      </c>
      <c r="V6" s="25">
        <v>1.3</v>
      </c>
      <c r="W6" s="103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6883.5</v>
      </c>
      <c r="X6" s="5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116">
        <v>50015900</v>
      </c>
      <c r="AA6" s="70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8"/>
  <sheetViews>
    <sheetView showGridLines="0" workbookViewId="0">
      <pane xSplit="5" ySplit="1" topLeftCell="F35" activePane="bottomRight" state="frozen"/>
      <selection pane="topRight"/>
      <selection pane="bottomLeft"/>
      <selection pane="bottomRight" activeCell="F54" sqref="F54:F58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50015000_50015000</v>
      </c>
      <c r="B2" s="105">
        <v>50015000</v>
      </c>
      <c r="C2" s="105">
        <v>50015000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…また…悲しい夢ね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" s="105">
        <v>50015000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4" si="1">B3&amp;"_"&amp;C3</f>
        <v>50015000_50015001</v>
      </c>
      <c r="B3" s="105">
        <v>50015000</v>
      </c>
      <c r="C3" s="105">
        <v>50015001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…日記に書かなきゃ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(動きづらい…夢の中にいるかのようだ…)_x000D_【低確率でお邪魔パネルがドロップ】</v>
      </c>
      <c r="F3" s="105">
        <v>50015001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50015100_50015100</v>
      </c>
      <c r="B4" s="106">
        <v>50015100</v>
      </c>
      <c r="C4" s="106">
        <v>50015100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…あぁ…王子様に会いたい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" s="106">
        <v>50015100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:A8" si="2">B5&amp;"_"&amp;C5</f>
        <v>50015100_50015101</v>
      </c>
      <c r="B5" s="106">
        <v>50015100</v>
      </c>
      <c r="C5" s="106">
        <v>50015101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どんな障害も乗り越えるの！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3ターン暗闇</v>
      </c>
      <c r="F5" s="106">
        <v>50015101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2"/>
        <v>50015100_50015102</v>
      </c>
      <c r="B6" s="106">
        <v>50015100</v>
      </c>
      <c r="C6" s="106">
        <v>50015102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神様に祈っている暇はないわ！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</v>
      </c>
      <c r="F6" s="106">
        <v>50015102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2"/>
        <v>50015100_50015103</v>
      </c>
      <c r="B7" s="106">
        <v>50015100</v>
      </c>
      <c r="C7" s="106">
        <v>50015103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この気持ちは抑えられないの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お邪魔パネルを吸収して攻撃</v>
      </c>
      <c r="F7" s="106">
        <v>50015103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2"/>
        <v>50015100_50015104</v>
      </c>
      <c r="B8" s="106">
        <v>50015100</v>
      </c>
      <c r="C8" s="106">
        <v>50015104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声を失ったとしても…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フィーバーゲージ減少</v>
      </c>
      <c r="F8" s="106">
        <v>50015104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ref="A9:A17" si="3">B9&amp;"_"&amp;C9</f>
        <v>50015200_50015200</v>
      </c>
      <c r="B9" s="107">
        <v>50015200</v>
      </c>
      <c r="C9" s="107">
        <v>50015200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(待っていて王子様…)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状態異常耐性+_x000D_確率でCパネルがドロップ</v>
      </c>
      <c r="F9" s="107">
        <v>50015200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3"/>
        <v>50015200_50015201</v>
      </c>
      <c r="B10" s="107">
        <v>50015200</v>
      </c>
      <c r="C10" s="107">
        <v>50015201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(見つけたわ！)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属性パネルをハートパネルに10個変換+_x000D_クリティカル！</v>
      </c>
      <c r="F10" s="107">
        <v>50015201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3"/>
        <v>50015200_50015202</v>
      </c>
      <c r="B11" s="107">
        <v>50015200</v>
      </c>
      <c r="C11" s="107">
        <v>50015202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(そんな…あの女の人…誰？)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ハートパネルを青のダメージパネルに変換+_x000D_ハートパネルドロップ率DOWN</v>
      </c>
      <c r="F11" s="107">
        <v>50015202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3"/>
        <v>50015200_50015203</v>
      </c>
      <c r="B12" s="107">
        <v>50015200</v>
      </c>
      <c r="C12" s="107">
        <v>50015203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(王子様を助けたのは私なのに…)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ダメージパネルを吸収して攻撃</v>
      </c>
      <c r="F12" s="107">
        <v>50015203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3"/>
        <v>50015200_50015204</v>
      </c>
      <c r="B13" s="107">
        <v>50015200</v>
      </c>
      <c r="C13" s="107">
        <v>50015204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(お願い…気付いて…)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緑パネルを青のダメージパネルに10個変換+_x000D_単体攻撃</v>
      </c>
      <c r="F13" s="107">
        <v>50015204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3"/>
        <v>50015200_50015205</v>
      </c>
      <c r="B14" s="107">
        <v>50015200</v>
      </c>
      <c r="C14" s="107">
        <v>50015205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(声さえ出れば…)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5ターンCパネル生成延長(効果特大)</v>
      </c>
      <c r="F14" s="107">
        <v>50015205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ref="A15" si="4">B15&amp;"_"&amp;C15</f>
        <v>50015200_50015206</v>
      </c>
      <c r="B15" s="107">
        <v>50015200</v>
      </c>
      <c r="C15" s="107">
        <v>50015206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(王子様…どうして…)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5" s="107">
        <v>50015206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3"/>
        <v>50015300_50015300</v>
      </c>
      <c r="B16" s="108">
        <v>50015300</v>
      </c>
      <c r="C16" s="108">
        <v>50015300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勝負は俺の勝ちだな！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この結婚は無しだ！</v>
      </c>
      <c r="F16" s="108">
        <v>50015300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3"/>
        <v>50015300_50015301</v>
      </c>
      <c r="B17" s="108">
        <v>50015300</v>
      </c>
      <c r="C17" s="108">
        <v>50015301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相手は別に決まってる！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お前と会うのもこれっきりだ！じゃあな！</v>
      </c>
      <c r="F17" s="108">
        <v>50015301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ref="A18:A31" si="5">B18&amp;"_"&amp;C18</f>
        <v>50015400_50015400</v>
      </c>
      <c r="B18" s="109">
        <v>50015400</v>
      </c>
      <c r="C18" s="109">
        <v>50015400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上等じゃない！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こっちこそ願い下げよ！</v>
      </c>
      <c r="F18" s="109">
        <v>50015400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5"/>
        <v>50015400_50015401</v>
      </c>
      <c r="B19" s="109">
        <v>50015400</v>
      </c>
      <c r="C19" s="109">
        <v>50015401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勝手にすれば！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もう知らない！</v>
      </c>
      <c r="F19" s="109">
        <v>50015401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5"/>
        <v>50015500_50015500</v>
      </c>
      <c r="B20" s="110">
        <v>50015500</v>
      </c>
      <c r="C20" s="110">
        <v>50015500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どうでもいいんだから！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状態異常耐性+_x000D_5ターン全ユニットのボムの爆風を50%DOWN</v>
      </c>
      <c r="F20" s="110">
        <v>50015500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5"/>
        <v>50015500_50015501</v>
      </c>
      <c r="B21" s="110">
        <v>50015500</v>
      </c>
      <c r="C21" s="110">
        <v>50015501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ほんと最低！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5ターン低確率で赤のダメージパネルがドロップ</v>
      </c>
      <c r="F21" s="110">
        <v>50015501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5"/>
        <v>50015500_50015502</v>
      </c>
      <c r="B22" s="110">
        <v>50015500</v>
      </c>
      <c r="C22" s="110">
        <v>50015502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あ〜ムカつくっ！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緑パネルを赤パネルに変換+単体攻撃</v>
      </c>
      <c r="F22" s="110">
        <v>50015502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5"/>
        <v>50015500_50015503</v>
      </c>
      <c r="B23" s="110">
        <v>50015500</v>
      </c>
      <c r="C23" s="110">
        <v>50015503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騙されればいいのよ…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属性パネルを吸収して攻撃</v>
      </c>
      <c r="F23" s="110">
        <v>50015503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5"/>
        <v>50015500_50015504</v>
      </c>
      <c r="B24" s="110">
        <v>50015500</v>
      </c>
      <c r="C24" s="110">
        <v>50015504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カエデなんてッ！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</v>
      </c>
      <c r="F24" s="110">
        <v>50015504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5"/>
        <v>50015600_50015600</v>
      </c>
      <c r="B25" s="111">
        <v>50015600</v>
      </c>
      <c r="C25" s="111">
        <v>50015600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どうしてこうなるのよ…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状態異常耐性+_x000D_3ターン全ユニットのタップ回数1DOWN</v>
      </c>
      <c r="F25" s="111">
        <v>50015600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5"/>
        <v>50015600_50015601</v>
      </c>
      <c r="B26" s="111">
        <v>50015600</v>
      </c>
      <c r="C26" s="111">
        <v>50015601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さっさと忘れなくちゃ…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緑パネルを赤のダメージパネルに変換+単体攻撃</v>
      </c>
      <c r="F26" s="111">
        <v>50015601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5"/>
        <v>50015600_50015602</v>
      </c>
      <c r="B27" s="111">
        <v>50015600</v>
      </c>
      <c r="C27" s="111">
        <v>50015602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嫌いよ！あんな奴…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</v>
      </c>
      <c r="F27" s="111">
        <v>50015602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5"/>
        <v>50015600_50015605</v>
      </c>
      <c r="B28" s="111">
        <v>50015600</v>
      </c>
      <c r="C28" s="111">
        <v>50015605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もういいのよ…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攻撃力大UP</v>
      </c>
      <c r="F28" s="111">
        <v>50015605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5"/>
        <v>50015600_50015606</v>
      </c>
      <c r="B29" s="111">
        <v>50015600</v>
      </c>
      <c r="C29" s="111">
        <v>50015606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カエデ…行かないで…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29" s="111">
        <v>50015606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5"/>
        <v>50015700_50015700</v>
      </c>
      <c r="B30" s="112">
        <v>50015700</v>
      </c>
      <c r="C30" s="112">
        <v>50015700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あなた…夢に出てきた人？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帰って…悲劇に巻き込まれたく無いから_x000D_【状態異常耐性+解除するまでハートパネル無効】</v>
      </c>
      <c r="F30" s="112">
        <v>50015700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5"/>
        <v>50015700_50015701</v>
      </c>
      <c r="B31" s="112">
        <v>50015700</v>
      </c>
      <c r="C31" s="112">
        <v>50015701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調査…？嫌よ、忙しいの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赤パネルを吸収して攻撃</v>
      </c>
      <c r="F31" s="112">
        <v>50015701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ref="A32" si="6">B32&amp;"_"&amp;C32</f>
        <v>50015700_50015702</v>
      </c>
      <c r="B32" s="112">
        <v>50015700</v>
      </c>
      <c r="C32" s="112">
        <v>50015702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…近づかないで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赤パネルを吸収して攻撃</v>
      </c>
      <c r="F32" s="112">
        <v>50015702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ref="A33:A52" si="7">B33&amp;"_"&amp;C33</f>
        <v>50015700_50015703</v>
      </c>
      <c r="B33" s="112">
        <v>50015700</v>
      </c>
      <c r="C33" s="112">
        <v>50015703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早く帰って…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10000固定ダメージ</v>
      </c>
      <c r="F33" s="112">
        <v>50015703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7"/>
        <v>50015700_50015704</v>
      </c>
      <c r="B34" s="112">
        <v>50015700</v>
      </c>
      <c r="C34" s="112">
        <v>50015704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ファントム・ブレイク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お邪魔パネルを吸収して攻撃</v>
      </c>
      <c r="F34" s="112">
        <v>50015704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7"/>
        <v>50015700_50015705</v>
      </c>
      <c r="B35" s="112">
        <v>50015700</v>
      </c>
      <c r="C35" s="112">
        <v>50015705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あなたにも悲劇が訪れるわ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属性パネルを青のダメージパネルに15個変換</v>
      </c>
      <c r="F35" s="112">
        <v>50015705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7"/>
        <v>50015700_50015706</v>
      </c>
      <c r="B36" s="112">
        <v>50015700</v>
      </c>
      <c r="C36" s="112">
        <v>50015706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…ふふっ…眠りなさい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1ターン全ユニットにスリープ+全体攻撃</v>
      </c>
      <c r="F36" s="112">
        <v>50015706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7"/>
        <v>50015700_50015707</v>
      </c>
      <c r="B37" s="112">
        <v>50015700</v>
      </c>
      <c r="C37" s="112">
        <v>50015707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悪夢を見せてあげる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属性パネルを赤のダメージパネルに10個変換+_x000D_攻撃力UP状態でないユニットに大ダメージ_x000D_(攻撃力UP状態のユニットを優先して攻撃)</v>
      </c>
      <c r="F37" s="112">
        <v>50015707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ref="A38" si="8">B38&amp;"_"&amp;C38</f>
        <v>50015700_50015708</v>
      </c>
      <c r="B38" s="112">
        <v>50015700</v>
      </c>
      <c r="C38" s="112">
        <v>50015708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諜報員組織「三銃士」…？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胡散臭い人は信じないわ_x000D_【状態異常耐性+解除するまでハートパネル無効】</v>
      </c>
      <c r="F38" s="112">
        <v>50015708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1387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ref="A39:A40" si="9">B39&amp;"_"&amp;C39</f>
        <v>50015700_50015708</v>
      </c>
      <c r="B39" s="112">
        <v>50015700</v>
      </c>
      <c r="C39" s="112">
        <v>50015708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諜報員組織「三銃士」…？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胡散臭い人は信じないわ_x000D_【状態異常耐性+解除するまでハートパネル無効】</v>
      </c>
      <c r="F39" s="112">
        <v>50015709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1388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9"/>
        <v>50015700_50015710</v>
      </c>
      <c r="B40" s="112">
        <v>50015700</v>
      </c>
      <c r="C40" s="112">
        <v>50015710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…無理…帰って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あなたみたいなガサツで声の大きい人が一番嫌いなの_x000D_【状態異常耐性+解除するまでハートパネル無効】</v>
      </c>
      <c r="F40" s="112">
        <v>50015710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1330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ref="A41" si="10">B41&amp;"_"&amp;C41</f>
        <v>50015700_50015710</v>
      </c>
      <c r="B41" s="112">
        <v>50015700</v>
      </c>
      <c r="C41" s="112">
        <v>50015710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…無理…帰って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あなたみたいなガサツで声の大きい人が一番嫌いなの_x000D_【状態異常耐性+解除するまでハートパネル無効】</v>
      </c>
      <c r="F41" s="112">
        <v>50015711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1331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7"/>
        <v>50015800_50015800</v>
      </c>
      <c r="B42" s="113">
        <v>50015800</v>
      </c>
      <c r="C42" s="113">
        <v>50015800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あたしは書きたいものを書いているだけよ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状態異常耐性+5ターン全ユニットの爆風を50%軽減</v>
      </c>
      <c r="F42" s="113">
        <v>50015800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7"/>
        <v>50015800_50015801</v>
      </c>
      <c r="B43" s="113">
        <v>50015800</v>
      </c>
      <c r="C43" s="113">
        <v>50015801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邪魔しないで…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属性パネルを赤のダメージパネルに7個変換+単体攻撃</v>
      </c>
      <c r="F43" s="113">
        <v>50015801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7"/>
        <v>50015800_50015802</v>
      </c>
      <c r="B44" s="113">
        <v>50015800</v>
      </c>
      <c r="C44" s="113">
        <v>50015802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ミラージュスピア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4" s="113">
        <v>50015802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7"/>
        <v>50015800_50015803</v>
      </c>
      <c r="B45" s="113">
        <v>50015800</v>
      </c>
      <c r="C45" s="113">
        <v>50015803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ファントム・ブレイク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お邪魔パネルを吸収して攻撃</v>
      </c>
      <c r="F45" s="113">
        <v>50015803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7"/>
        <v>50015800_50015804</v>
      </c>
      <c r="B46" s="113">
        <v>50015800</v>
      </c>
      <c r="C46" s="113">
        <v>50015804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あたしが何をしたって言うの？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5ターン全ユニットのCパネル生成延長(効果激烈)</v>
      </c>
      <c r="F46" s="113">
        <v>50015804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7"/>
        <v>50015800_50015805</v>
      </c>
      <c r="B47" s="113">
        <v>50015800</v>
      </c>
      <c r="C47" s="113">
        <v>50015805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諦めて帰って！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赤パネルを吸収して回復</v>
      </c>
      <c r="F47" s="113">
        <v>50015805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7"/>
        <v>50015900_50015900</v>
      </c>
      <c r="B48" s="114">
        <v>50015900</v>
      </c>
      <c r="C48" s="114">
        <v>50015900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あたしは書きたいものを書く、誰にも文句は言わせない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状態異常耐性+1ターン全属性ダメージ80%軽減+_x000D_ハートパネルがお邪魔パネルとしてドロップ_x000D_【次のターンから_x000D_　攻撃力UP状態のユニットがいないと大ダメージ】</v>
      </c>
      <c r="F48" s="114">
        <v>50015900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7"/>
        <v>50015900_50015901</v>
      </c>
      <c r="B49" s="114">
        <v>50015900</v>
      </c>
      <c r="C49" s="114">
        <v>50015901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調査されるような事はしてないわ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1ターン全属性ダメージ60%軽減+_x000D_攻撃力UP状態でないユニットに大ダメージ_x000D_(攻撃力UP状態のユニットを優先して攻撃)</v>
      </c>
      <c r="F49" s="114">
        <v>50015901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7"/>
        <v>50015900_50015902</v>
      </c>
      <c r="B50" s="114">
        <v>50015900</v>
      </c>
      <c r="C50" s="114">
        <v>50015902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事件なんて知らないの！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1ターン全属性ダメージ40%軽減+_x000D_攻撃力UP状態でないユニットに大ダメージ_x000D_(攻撃力UP状態のユニットを優先して攻撃)</v>
      </c>
      <c r="F50" s="114">
        <v>50015902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7"/>
        <v>50015900_50015903</v>
      </c>
      <c r="B51" s="114">
        <v>50015900</v>
      </c>
      <c r="C51" s="114">
        <v>50015903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来ないで！放っておいて！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1ターン全属性ダメージ20%軽減+_x000D_攻撃力UP状態でないユニットに大ダメージ_x000D_(攻撃力UP状態のユニットを優先して攻撃)</v>
      </c>
      <c r="F51" s="114">
        <v>50015903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7"/>
        <v>50015900_50015904</v>
      </c>
      <c r="B52" s="114">
        <v>50015900</v>
      </c>
      <c r="C52" s="114">
        <v>50015904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あなた達が悪いのよ…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攻撃力UP状態でないユニットに大ダメージ_x000D_(攻撃力UP状態のユニットを優先して攻撃)_x000D_【！】次のターンに残りHPの300%ダメージ！【！】</v>
      </c>
      <c r="F52" s="114">
        <v>50015904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ref="A53" si="11">B53&amp;"_"&amp;C53</f>
        <v>50015900_50015905</v>
      </c>
      <c r="B53" s="114">
        <v>50015900</v>
      </c>
      <c r="C53" s="114">
        <v>50015905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エンドレス・ナイトメア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残りHPの300%ダメージ</v>
      </c>
      <c r="F53" s="114">
        <v>50015905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ref="A54" si="12">B54&amp;"_"&amp;C54</f>
        <v>50015900_50015906</v>
      </c>
      <c r="B54" s="114">
        <v>50015900</v>
      </c>
      <c r="C54" s="114">
        <v>50015906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日記に書いた事が現実に…？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…わかったわ…調査に付き合うわよ</v>
      </c>
      <c r="F54" s="114">
        <v>50015906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ref="A55" si="13">B55&amp;"_"&amp;C55</f>
        <v>50015900_50015907</v>
      </c>
      <c r="B55" s="114">
        <v>50015900</v>
      </c>
      <c r="C55" s="114">
        <v>50015907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諜報の腕は確かみたいね…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…今回は協力してあげる</v>
      </c>
      <c r="F55" s="114">
        <v>50015907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1387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ref="A56:A57" si="14">B56&amp;"_"&amp;C56</f>
        <v>50015900_50015907</v>
      </c>
      <c r="B56" s="114">
        <v>50015900</v>
      </c>
      <c r="C56" s="114">
        <v>50015907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諜報の腕は確かみたいね…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…今回は協力してあげる</v>
      </c>
      <c r="F56" s="114">
        <v>50015908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1388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14"/>
        <v>50015900_50015909</v>
      </c>
      <c r="B57" s="114">
        <v>50015900</v>
      </c>
      <c r="C57" s="114">
        <v>50015909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見た目ほど悪い人じゃないのは分かったわ…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…でも、やっぱり苦手ね</v>
      </c>
      <c r="F57" s="114">
        <v>50015909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1330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ref="A58" si="15">B58&amp;"_"&amp;C58</f>
        <v>50015900_50015909</v>
      </c>
      <c r="B58" s="114">
        <v>50015900</v>
      </c>
      <c r="C58" s="114">
        <v>50015909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見た目ほど悪い人じゃないのは分かったわ…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…でも、やっぱり苦手ね</v>
      </c>
      <c r="F58" s="114">
        <v>50015910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1331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6"/>
  <sheetViews>
    <sheetView showGridLines="0" workbookViewId="0">
      <pane ySplit="1" topLeftCell="A4" activePane="bottomLeft" state="frozenSplit"/>
      <selection pane="bottomLeft" activeCell="B21" sqref="B21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125</v>
      </c>
      <c r="E1" s="40" t="s">
        <v>82</v>
      </c>
      <c r="F1" s="40" t="s">
        <v>83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105">
        <v>50015000</v>
      </c>
      <c r="B2" s="47" t="s">
        <v>413</v>
      </c>
      <c r="C2" s="50">
        <v>3</v>
      </c>
      <c r="D2" s="50" t="s">
        <v>126</v>
      </c>
      <c r="E2" s="51" t="s">
        <v>291</v>
      </c>
      <c r="F2" s="51" t="s">
        <v>254</v>
      </c>
      <c r="G2" s="63" t="str">
        <f t="shared" ref="G2:G35" si="0">IFERROR(LEFT(B2,FIND("],",B2)),B2)</f>
        <v>[effect:enemy_message, val1:1.7, val2:1.2]</v>
      </c>
      <c r="H2" s="63">
        <f t="shared" ref="H2:H35" si="1">FIND("effect:",G2)+7</f>
        <v>9</v>
      </c>
      <c r="I2" s="63">
        <f t="shared" ref="I2:I35" si="2">IFERROR(FIND(",",G2),LEN(G2))</f>
        <v>22</v>
      </c>
      <c r="J2" s="63" t="e">
        <f t="shared" ref="J2:J35" si="3">FIND("target:",G2)+7</f>
        <v>#VALUE!</v>
      </c>
      <c r="K2" s="63">
        <f t="shared" ref="K2:K35" si="4">FIND(",",G2,I2+1)</f>
        <v>32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 t="shared" ref="M2:M35" si="5">IFERROR(RIGHT(B2,LEN(B2)-FIND("],",B2)-1),"none")</f>
        <v>[effect:fix_speed, target:myself, turn:1],[effect:tolerance, target:myself, turn:-1, count:-1, tolerance_effect:all, animation:enemy_tolerance]</v>
      </c>
      <c r="N2" s="48" t="str">
        <f>IFERROR(LEFT(M2,FIND("],",M2)+S12),M2)</f>
        <v>[effect:fix_speed, target:myself, turn:1],[effect:tolerance, target:myself, turn:-1, count:-1, tolerance_effect:all, animation:enemy_tolerance]</v>
      </c>
      <c r="O2" s="63">
        <f t="shared" ref="O2:O35" si="6">FIND("effect:",N2)+7</f>
        <v>9</v>
      </c>
      <c r="P2" s="63">
        <f t="shared" ref="P2:P35" si="7">IFERROR(FIND(",",N2),LEN(N2))</f>
        <v>18</v>
      </c>
      <c r="Q2" s="63">
        <f t="shared" ref="Q2:Q35" si="8">FIND("target:",N2)+7</f>
        <v>27</v>
      </c>
      <c r="R2" s="63">
        <f t="shared" ref="R2:R35" si="9">FIND(",",N2,P2+1)</f>
        <v>33</v>
      </c>
      <c r="S2" s="63" t="str">
        <f>IFERROR(VLOOKUP(MID(N2,Q2,R2-Q2),[6]skilldef!$C:$D,2,FALSE),"-") &amp; " / " &amp; IFERROR(VLOOKUP(MID(N2,O2,P2-O2),[6]skilldef!$A:$B,2,FALSE),"-")</f>
        <v>自分自身に / 行動値設定</v>
      </c>
      <c r="T2" s="48" t="str">
        <f t="shared" ref="T2:T35" si="10">IFERROR(RIGHT(M2,LEN(M2)-FIND("],",M2)-1),"none")</f>
        <v>[effect:tolerance, target:myself, turn:-1, count:-1, tolerance_effect:all, animation:enemy_tolerance]</v>
      </c>
      <c r="U2" s="63">
        <f t="shared" ref="U2:U35" si="11">FIND("effect:",T2)+7</f>
        <v>9</v>
      </c>
      <c r="V2" s="63">
        <f t="shared" ref="V2:V35" si="12">IFERROR(FIND(",",T2),LEN(T2))</f>
        <v>18</v>
      </c>
      <c r="W2" s="63">
        <f t="shared" ref="W2:W35" si="13">FIND("target:",T2)+7</f>
        <v>27</v>
      </c>
      <c r="X2" s="63">
        <f t="shared" ref="X2:X35" si="14">FIND(",",T2,V2+1)</f>
        <v>33</v>
      </c>
      <c r="Y2" s="63" t="str">
        <f>IFERROR(VLOOKUP(MID(T2,W2,X2-W2),[6]skilldef!$C:$D,2,FALSE),"-") &amp; " / " &amp; IFERROR(VLOOKUP(MID(T2,U2,V2-U2),[6]skilldef!$A:$B,2,FALSE),"-")</f>
        <v>自分自身に / 状態異常耐性</v>
      </c>
      <c r="Z2" s="50"/>
      <c r="AA2" s="52"/>
      <c r="AB2" s="50"/>
    </row>
    <row r="3" spans="1:28" ht="53" customHeight="1" x14ac:dyDescent="0.15">
      <c r="A3" s="105">
        <v>50015001</v>
      </c>
      <c r="B3" s="47" t="s">
        <v>414</v>
      </c>
      <c r="C3" s="50">
        <v>3</v>
      </c>
      <c r="D3" s="50" t="s">
        <v>126</v>
      </c>
      <c r="E3" s="51" t="s">
        <v>318</v>
      </c>
      <c r="F3" s="51" t="s">
        <v>427</v>
      </c>
      <c r="G3" s="63" t="str">
        <f t="shared" ref="G3" si="15">IFERROR(LEFT(B3,FIND("],",B3)),B3)</f>
        <v>[effect:enemy_message, val1:1.7, val2:3.6]</v>
      </c>
      <c r="H3" s="63">
        <f t="shared" si="1"/>
        <v>9</v>
      </c>
      <c r="I3" s="63">
        <f t="shared" ref="I3" si="16">IFERROR(FIND(",",G3),LEN(G3))</f>
        <v>22</v>
      </c>
      <c r="J3" s="63" t="e">
        <f t="shared" ref="J3" si="17">FIND("target:",G3)+7</f>
        <v>#VALUE!</v>
      </c>
      <c r="K3" s="63">
        <f t="shared" ref="K3" si="18">FIND(",",G3,I3+1)</f>
        <v>32</v>
      </c>
      <c r="L3" s="63" t="str">
        <f>IFERROR(VLOOKUP(MID(G3,J3,K3-J3),[6]skilldef!$C:$D,2,FALSE),"-") &amp; " / " &amp; IFERROR(VLOOKUP(MID(G3,H3,I3-H3),[6]skilldef!$A:$B,2,FALSE),"-")</f>
        <v>- / -</v>
      </c>
      <c r="M3" s="63" t="str">
        <f t="shared" ref="M3" si="19">IFERROR(RIGHT(B3,LEN(B3)-FIND("],",B3)-1),"none")</f>
        <v xml:space="preserve">[effect:drop_block, block_type:jammer, color:block_all, val:0, rate:0.08, turn:-1, animation:jammer_influence04],[effect:suicide, target:myself, val:1, dead_type:escape]    </v>
      </c>
      <c r="N3" s="48" t="str">
        <f>IFERROR(LEFT(M3,FIND("],",M3)+S13),M3)</f>
        <v xml:space="preserve">[effect:drop_block, block_type:jammer, color:block_all, val:0, rate:0.08, turn:-1, animation:jammer_influence04],[effect:suicide, target:myself, val:1, dead_type:escape]    </v>
      </c>
      <c r="O3" s="63">
        <f t="shared" si="6"/>
        <v>9</v>
      </c>
      <c r="P3" s="63">
        <f t="shared" ref="P3" si="20">IFERROR(FIND(",",N3),LEN(N3))</f>
        <v>19</v>
      </c>
      <c r="Q3" s="63">
        <f t="shared" ref="Q3" si="21">FIND("target:",N3)+7</f>
        <v>138</v>
      </c>
      <c r="R3" s="63">
        <f t="shared" ref="R3" si="22">FIND(",",N3,P3+1)</f>
        <v>38</v>
      </c>
      <c r="S3" s="63" t="str">
        <f>IFERROR(VLOOKUP(MID(N3,Q3,R3-Q3),[6]skilldef!$C:$D,2,FALSE),"-") &amp; " / " &amp; IFERROR(VLOOKUP(MID(N3,O3,P3-O3),[6]skilldef!$A:$B,2,FALSE),"-")</f>
        <v>- / 特定ブロックの割合ドロップ</v>
      </c>
      <c r="T3" s="48" t="str">
        <f t="shared" ref="T3" si="23">IFERROR(RIGHT(M3,LEN(M3)-FIND("],",M3)-1),"none")</f>
        <v xml:space="preserve">[effect:suicide, target:myself, val:1, dead_type:escape]    </v>
      </c>
      <c r="U3" s="63">
        <f t="shared" si="11"/>
        <v>9</v>
      </c>
      <c r="V3" s="63">
        <f t="shared" ref="V3" si="24">IFERROR(FIND(",",T3),LEN(T3))</f>
        <v>16</v>
      </c>
      <c r="W3" s="63">
        <f t="shared" ref="W3" si="25">FIND("target:",T3)+7</f>
        <v>25</v>
      </c>
      <c r="X3" s="63">
        <f t="shared" ref="X3" si="26">FIND(",",T3,V3+1)</f>
        <v>31</v>
      </c>
      <c r="Y3" s="63" t="str">
        <f>IFERROR(VLOOKUP(MID(T3,W3,X3-W3),[6]skilldef!$C:$D,2,FALSE),"-") &amp; " / " &amp; IFERROR(VLOOKUP(MID(T3,U3,V3-U3),[6]skilldef!$A:$B,2,FALSE),"-")</f>
        <v>自分自身に / -</v>
      </c>
      <c r="Z3" s="50"/>
      <c r="AA3" s="52"/>
      <c r="AB3" s="50"/>
    </row>
    <row r="4" spans="1:28" ht="21" customHeight="1" x14ac:dyDescent="0.15">
      <c r="A4" s="106">
        <v>50015100</v>
      </c>
      <c r="B4" s="47" t="s">
        <v>396</v>
      </c>
      <c r="C4" s="50">
        <v>3</v>
      </c>
      <c r="D4" s="50" t="s">
        <v>126</v>
      </c>
      <c r="E4" s="51" t="s">
        <v>289</v>
      </c>
      <c r="F4" s="51" t="s">
        <v>254</v>
      </c>
      <c r="G4" s="63" t="str">
        <f t="shared" si="0"/>
        <v>[effect:enemy_message, val1:1.2, val2:1.2]</v>
      </c>
      <c r="H4" s="63">
        <f t="shared" si="1"/>
        <v>9</v>
      </c>
      <c r="I4" s="63">
        <f t="shared" si="2"/>
        <v>22</v>
      </c>
      <c r="J4" s="63" t="e">
        <f t="shared" si="3"/>
        <v>#VALUE!</v>
      </c>
      <c r="K4" s="63">
        <f t="shared" si="4"/>
        <v>32</v>
      </c>
      <c r="L4" s="63" t="str">
        <f>IFERROR(VLOOKUP(MID(G4,J4,K4-J4),[6]skilldef!$C:$D,2,FALSE),"-") &amp; " / " &amp; IFERROR(VLOOKUP(MID(G4,H4,I4-H4),[6]skilldef!$A:$B,2,FALSE),"-")</f>
        <v>- / -</v>
      </c>
      <c r="M4" s="63" t="str">
        <f t="shared" si="5"/>
        <v>[effect:tolerance, target:myself, turn:-1, count:-1, tolerance_effect:all, animation:enemy_tolerance],[effect:set_background, turn:-1, background_id:17, switching_mode:cross_fade, duration:2],[effect:fix_speed, target:myself, turn:1]</v>
      </c>
      <c r="N4" s="48" t="str">
        <f t="shared" ref="N4:N5" si="27">IFERROR(LEFT(M4,FIND("],",M4)+S13),M4)</f>
        <v>[effect:tolerance, target:myself, turn:-1, count:-1, tolerance_effect:all, animation:enemy_tolerance],[effect:set_background, turn:-1, background_id:17, switching_mode:cross_fade, duration:2],[effect:fix_speed, target:myself, turn:1]</v>
      </c>
      <c r="O4" s="63">
        <f t="shared" si="6"/>
        <v>9</v>
      </c>
      <c r="P4" s="63">
        <f t="shared" si="7"/>
        <v>18</v>
      </c>
      <c r="Q4" s="63">
        <f t="shared" si="8"/>
        <v>27</v>
      </c>
      <c r="R4" s="63">
        <f t="shared" si="9"/>
        <v>33</v>
      </c>
      <c r="S4" s="63" t="str">
        <f>IFERROR(VLOOKUP(MID(N4,Q4,R4-Q4),[6]skilldef!$C:$D,2,FALSE),"-") &amp; " / " &amp; IFERROR(VLOOKUP(MID(N4,O4,P4-O4),[6]skilldef!$A:$B,2,FALSE),"-")</f>
        <v>自分自身に / 状態異常耐性</v>
      </c>
      <c r="T4" s="48" t="str">
        <f t="shared" si="10"/>
        <v>[effect:set_background, turn:-1, background_id:17, switching_mode:cross_fade, duration:2],[effect:fix_speed, target:myself, turn:1]</v>
      </c>
      <c r="U4" s="63">
        <f t="shared" si="11"/>
        <v>9</v>
      </c>
      <c r="V4" s="63">
        <f t="shared" si="12"/>
        <v>23</v>
      </c>
      <c r="W4" s="63">
        <f t="shared" si="13"/>
        <v>117</v>
      </c>
      <c r="X4" s="63">
        <f t="shared" si="14"/>
        <v>32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106">
        <v>50015101</v>
      </c>
      <c r="B5" s="47" t="s">
        <v>397</v>
      </c>
      <c r="C5" s="50">
        <v>3</v>
      </c>
      <c r="D5" s="50" t="s">
        <v>126</v>
      </c>
      <c r="E5" s="51" t="s">
        <v>290</v>
      </c>
      <c r="F5" s="51" t="s">
        <v>426</v>
      </c>
      <c r="G5" s="63" t="str">
        <f t="shared" si="0"/>
        <v>[effect:enemy_message, val1:1.3, val2:1.2]</v>
      </c>
      <c r="H5" s="63">
        <f t="shared" si="1"/>
        <v>9</v>
      </c>
      <c r="I5" s="63">
        <f t="shared" si="2"/>
        <v>22</v>
      </c>
      <c r="J5" s="63" t="e">
        <f t="shared" si="3"/>
        <v>#VALUE!</v>
      </c>
      <c r="K5" s="63">
        <f t="shared" si="4"/>
        <v>32</v>
      </c>
      <c r="L5" s="63" t="str">
        <f>IFERROR(VLOOKUP(MID(G5,J5,K5-J5),[6]skilldef!$C:$D,2,FALSE),"-") &amp; " / " &amp; IFERROR(VLOOKUP(MID(G5,H5,I5-H5),[6]skilldef!$A:$B,2,FALSE),"-")</f>
        <v>- / -</v>
      </c>
      <c r="M5" s="63" t="str">
        <f t="shared" si="5"/>
        <v>[effect:dark, target:unit_all, turn:3, animation:enemy_dark]</v>
      </c>
      <c r="N5" s="48" t="str">
        <f t="shared" si="27"/>
        <v>[effect:dark, target:unit_all, turn:3, animation:enemy_dark]</v>
      </c>
      <c r="O5" s="63">
        <f t="shared" si="6"/>
        <v>9</v>
      </c>
      <c r="P5" s="63">
        <f t="shared" si="7"/>
        <v>13</v>
      </c>
      <c r="Q5" s="63">
        <f t="shared" si="8"/>
        <v>22</v>
      </c>
      <c r="R5" s="63">
        <f t="shared" si="9"/>
        <v>30</v>
      </c>
      <c r="S5" s="63" t="str">
        <f>IFERROR(VLOOKUP(MID(N5,Q5,R5-Q5),[6]skilldef!$C:$D,2,FALSE),"-") &amp; " / " &amp; IFERROR(VLOOKUP(MID(N5,O5,P5-O5),[6]skilldef!$A:$B,2,FALSE),"-")</f>
        <v>味方全体に / 暗黒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106">
        <v>50015102</v>
      </c>
      <c r="B6" s="47" t="s">
        <v>398</v>
      </c>
      <c r="C6" s="50">
        <v>3</v>
      </c>
      <c r="D6" s="50" t="s">
        <v>126</v>
      </c>
      <c r="E6" s="51" t="s">
        <v>292</v>
      </c>
      <c r="F6" s="51" t="s">
        <v>282</v>
      </c>
      <c r="G6" s="63" t="str">
        <f t="shared" si="0"/>
        <v>[effect:enemy_message, val1:1.4, val2:1.6]</v>
      </c>
      <c r="H6" s="63">
        <f t="shared" si="1"/>
        <v>9</v>
      </c>
      <c r="I6" s="63">
        <f t="shared" si="2"/>
        <v>22</v>
      </c>
      <c r="J6" s="63" t="e">
        <f t="shared" si="3"/>
        <v>#VALUE!</v>
      </c>
      <c r="K6" s="63">
        <f t="shared" si="4"/>
        <v>32</v>
      </c>
      <c r="L6" s="63" t="str">
        <f>IFERROR(VLOOKUP(MID(G6,J6,K6-J6),[6]skilldef!$C:$D,2,FALSE),"-") &amp; " / " &amp; IFERROR(VLOOKUP(MID(G6,H6,I6-H6),[6]skilldef!$A:$B,2,FALSE),"-")</f>
        <v>- / -</v>
      </c>
      <c r="M6" s="63" t="str">
        <f t="shared" si="5"/>
        <v>[effect:damage_anti_tribe, target:unit_one, tribe:god, val1:3, val2:1]</v>
      </c>
      <c r="N6" s="48" t="str">
        <f>IFERROR(LEFT(M6,FIND("],",M6)+S16),M6)</f>
        <v>[effect:damage_anti_tribe, target:unit_one, tribe:god, val1:3, val2:1]</v>
      </c>
      <c r="O6" s="63">
        <f t="shared" si="6"/>
        <v>9</v>
      </c>
      <c r="P6" s="63">
        <f t="shared" si="7"/>
        <v>26</v>
      </c>
      <c r="Q6" s="63">
        <f t="shared" si="8"/>
        <v>35</v>
      </c>
      <c r="R6" s="63">
        <f t="shared" si="9"/>
        <v>43</v>
      </c>
      <c r="S6" s="63" t="str">
        <f>IFERROR(VLOOKUP(MID(N6,Q6,R6-Q6),[6]skilldef!$C:$D,2,FALSE),"-") &amp; " / " &amp; IFERROR(VLOOKUP(MID(N6,O6,P6-O6),[6]skilldef!$A:$B,2,FALSE),"-")</f>
        <v>味方単体に / 種族キラー</v>
      </c>
      <c r="T6" s="48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106">
        <v>50015103</v>
      </c>
      <c r="B7" s="47" t="s">
        <v>399</v>
      </c>
      <c r="C7" s="50">
        <v>3</v>
      </c>
      <c r="D7" s="50" t="s">
        <v>126</v>
      </c>
      <c r="E7" s="51" t="s">
        <v>293</v>
      </c>
      <c r="F7" s="51" t="s">
        <v>257</v>
      </c>
      <c r="G7" s="63" t="str">
        <f t="shared" si="0"/>
        <v>[effect:enemy_message, val1:1.3, val2:1.3]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>
        <f t="shared" si="4"/>
        <v>32</v>
      </c>
      <c r="L7" s="63" t="str">
        <f>IFERROR(VLOOKUP(MID(G7,J7,K7-J7),[6]skilldef!$C:$D,2,FALSE),"-") &amp; " / " &amp; IFERROR(VLOOKUP(MID(G7,H7,I7-H7),[6]skilldef!$A:$B,2,FALSE),"-")</f>
        <v>- / -</v>
      </c>
      <c r="M7" s="63" t="str">
        <f t="shared" si="5"/>
        <v>[effect:break_attack_fix, target:unit_one, val:1000, lowest_val:10000, count:-1, block01:jammer]</v>
      </c>
      <c r="N7" s="48" t="str">
        <f>IFERROR(LEFT(M7,FIND("],",M7)+S17),M7)</f>
        <v>[effect:break_attack_fix, target:unit_one, val:1000, lowest_val:10000, count:-1, block01:jammer]</v>
      </c>
      <c r="O7" s="63">
        <f t="shared" si="6"/>
        <v>9</v>
      </c>
      <c r="P7" s="63">
        <f t="shared" si="7"/>
        <v>25</v>
      </c>
      <c r="Q7" s="63">
        <f t="shared" si="8"/>
        <v>34</v>
      </c>
      <c r="R7" s="63">
        <f t="shared" si="9"/>
        <v>42</v>
      </c>
      <c r="S7" s="63" t="str">
        <f>IFERROR(VLOOKUP(MID(N7,Q7,R7-Q7),[6]skilldef!$C:$D,2,FALSE),"-") &amp; " / " &amp; IFERROR(VLOOKUP(MID(N7,O7,P7-O7),[6]skilldef!$A:$B,2,FALSE),"-")</f>
        <v>味方単体に / -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106">
        <v>50015104</v>
      </c>
      <c r="B8" s="47" t="s">
        <v>400</v>
      </c>
      <c r="C8" s="50">
        <v>3</v>
      </c>
      <c r="D8" s="50" t="s">
        <v>126</v>
      </c>
      <c r="E8" s="51" t="s">
        <v>294</v>
      </c>
      <c r="F8" s="51" t="s">
        <v>258</v>
      </c>
      <c r="G8" s="63" t="str">
        <f t="shared" si="0"/>
        <v>[effect:enemy_message, val1:1.2, val2:1.2]</v>
      </c>
      <c r="H8" s="63">
        <f t="shared" si="1"/>
        <v>9</v>
      </c>
      <c r="I8" s="63">
        <f t="shared" si="2"/>
        <v>22</v>
      </c>
      <c r="J8" s="63" t="e">
        <f t="shared" si="3"/>
        <v>#VALUE!</v>
      </c>
      <c r="K8" s="63">
        <f t="shared" si="4"/>
        <v>32</v>
      </c>
      <c r="L8" s="63" t="str">
        <f>IFERROR(VLOOKUP(MID(G8,J8,K8-J8),[6]skilldef!$C:$D,2,FALSE),"-") &amp; " / " &amp; IFERROR(VLOOKUP(MID(G8,H8,I8-H8),[6]skilldef!$A:$B,2,FALSE),"-")</f>
        <v>- / -</v>
      </c>
      <c r="M8" s="63" t="str">
        <f t="shared" si="5"/>
        <v>[effect:degrade_fever, val:1000, animation:fevergauge_down]</v>
      </c>
      <c r="N8" s="48" t="str">
        <f>IFERROR(LEFT(M8,FIND("],",M8)+S18),M8)</f>
        <v>[effect:degrade_fever, val:1000, animation:fevergauge_down]</v>
      </c>
      <c r="O8" s="63">
        <f t="shared" si="6"/>
        <v>9</v>
      </c>
      <c r="P8" s="63">
        <f t="shared" si="7"/>
        <v>22</v>
      </c>
      <c r="Q8" s="63" t="e">
        <f t="shared" si="8"/>
        <v>#VALUE!</v>
      </c>
      <c r="R8" s="63">
        <f t="shared" si="9"/>
        <v>32</v>
      </c>
      <c r="S8" s="63" t="str">
        <f>IFERROR(VLOOKUP(MID(N8,Q8,R8-Q8),[6]skilldef!$C:$D,2,FALSE),"-") &amp; " / " &amp; IFERROR(VLOOKUP(MID(N8,O8,P8-O8),[6]skilldef!$A:$B,2,FALSE),"-")</f>
        <v>- / フィーバーゲージ減少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36" customHeight="1" x14ac:dyDescent="0.15">
      <c r="A9" s="107">
        <v>50015200</v>
      </c>
      <c r="B9" s="47" t="s">
        <v>401</v>
      </c>
      <c r="C9" s="50">
        <v>3</v>
      </c>
      <c r="D9" s="50" t="s">
        <v>126</v>
      </c>
      <c r="E9" s="51" t="s">
        <v>295</v>
      </c>
      <c r="F9" s="51" t="s">
        <v>285</v>
      </c>
      <c r="G9" s="63" t="str">
        <f t="shared" si="0"/>
        <v>[effect:enemy_message, val1:1.2, val2:1.9]</v>
      </c>
      <c r="H9" s="63">
        <f t="shared" si="1"/>
        <v>9</v>
      </c>
      <c r="I9" s="63">
        <f t="shared" si="2"/>
        <v>22</v>
      </c>
      <c r="J9" s="63" t="e">
        <f t="shared" si="3"/>
        <v>#VALUE!</v>
      </c>
      <c r="K9" s="63">
        <f t="shared" si="4"/>
        <v>32</v>
      </c>
      <c r="L9" s="63" t="str">
        <f>IFERROR(VLOOKUP(MID(G9,J9,K9-J9),[6]skilldef!$C:$D,2,FALSE),"-") &amp; " / " &amp; IFERROR(VLOOKUP(MID(G9,H9,I9-H9),[6]skilldef!$A:$B,2,FALSE),"-")</f>
        <v>- / -</v>
      </c>
      <c r="M9" s="63" t="str">
        <f t="shared" si="5"/>
        <v>[effect:tolerance, target:myself, turn:-1, count:-1, tolerance_effect:all, animation:enemy_tolerance],[effect:drop_block, block_type:crash, color:block_all, val:8, rate:0.12, turn:-1, animation:crash_influence04],[effect:set_background, turn:-1, background_id:5, switching_mode:cross_fade, duration:2],[effect:fix_speed, target:myself, turn:1]</v>
      </c>
      <c r="N9" s="48" t="str">
        <f>IFERROR(LEFT(M9,FIND("],",M9)+S19),M9)</f>
        <v>[effect:tolerance, target:myself, turn:-1, count:-1, tolerance_effect:all, animation:enemy_tolerance],[effect:drop_block, block_type:crash, color:block_all, val:8, rate:0.12, turn:-1, animation:crash_influence04],[effect:set_background, turn:-1, background_id:5, switching_mode:cross_fade, duration:2],[effect:fix_speed, target:myself, turn:1]</v>
      </c>
      <c r="O9" s="63">
        <f t="shared" si="6"/>
        <v>9</v>
      </c>
      <c r="P9" s="63">
        <f t="shared" si="7"/>
        <v>18</v>
      </c>
      <c r="Q9" s="63">
        <f t="shared" si="8"/>
        <v>27</v>
      </c>
      <c r="R9" s="63">
        <f t="shared" si="9"/>
        <v>33</v>
      </c>
      <c r="S9" s="63" t="str">
        <f>IFERROR(VLOOKUP(MID(N9,Q9,R9-Q9),[6]skilldef!$C:$D,2,FALSE),"-") &amp; " / " &amp; IFERROR(VLOOKUP(MID(N9,O9,P9-O9),[6]skilldef!$A:$B,2,FALSE),"-")</f>
        <v>自分自身に / 状態異常耐性</v>
      </c>
      <c r="T9" s="48" t="str">
        <f t="shared" si="10"/>
        <v>[effect:drop_block, block_type:crash, color:block_all, val:8, rate:0.12, turn:-1, animation:crash_influence04],[effect:set_background, turn:-1, background_id:5, switching_mode:cross_fade, duration:2],[effect:fix_speed, target:myself, turn:1]</v>
      </c>
      <c r="U9" s="63">
        <f t="shared" si="11"/>
        <v>9</v>
      </c>
      <c r="V9" s="63">
        <f t="shared" si="12"/>
        <v>19</v>
      </c>
      <c r="W9" s="63">
        <f t="shared" si="13"/>
        <v>227</v>
      </c>
      <c r="X9" s="63">
        <f t="shared" si="14"/>
        <v>37</v>
      </c>
      <c r="Y9" s="63" t="str">
        <f>IFERROR(VLOOKUP(MID(T9,W9,X9-W9),[6]skilldef!$C:$D,2,FALSE),"-") &amp; " / " &amp; IFERROR(VLOOKUP(MID(T9,U9,V9-U9),[6]skilldef!$A:$B,2,FALSE),"-")</f>
        <v>- / 特定ブロックの割合ドロップ</v>
      </c>
      <c r="Z9" s="50"/>
      <c r="AA9" s="52"/>
      <c r="AB9" s="50"/>
    </row>
    <row r="10" spans="1:28" ht="35" customHeight="1" x14ac:dyDescent="0.15">
      <c r="A10" s="107">
        <v>50015201</v>
      </c>
      <c r="B10" s="47" t="s">
        <v>402</v>
      </c>
      <c r="C10" s="50">
        <v>3</v>
      </c>
      <c r="D10" s="50" t="s">
        <v>126</v>
      </c>
      <c r="E10" s="51" t="s">
        <v>296</v>
      </c>
      <c r="F10" s="51" t="s">
        <v>323</v>
      </c>
      <c r="G10" s="63" t="str">
        <f t="shared" si="0"/>
        <v>[effect:enemy_message, val1:1.2, val2:2.6]</v>
      </c>
      <c r="H10" s="63">
        <f t="shared" si="1"/>
        <v>9</v>
      </c>
      <c r="I10" s="63">
        <f t="shared" si="2"/>
        <v>22</v>
      </c>
      <c r="J10" s="63" t="e">
        <f t="shared" si="3"/>
        <v>#VALUE!</v>
      </c>
      <c r="K10" s="63">
        <f t="shared" si="4"/>
        <v>32</v>
      </c>
      <c r="L10" s="63" t="str">
        <f>IFERROR(VLOOKUP(MID(G10,J10,K10-J10),[6]skilldef!$C:$D,2,FALSE),"-") &amp; " / " &amp; IFERROR(VLOOKUP(MID(G10,H10,I10-H10),[6]skilldef!$A:$B,2,FALSE),"-")</f>
        <v>- / -</v>
      </c>
      <c r="M10" s="63" t="str">
        <f t="shared" si="5"/>
        <v>[effect:critical, val:1.1, animation:enemy_critical],[effect:force_change_block, new_block:block_heart, target:normal, count:10, val:0]</v>
      </c>
      <c r="N10" s="48" t="str">
        <f>IFERROR(LEFT(M10,FIND("],",M10)+S21),M10)</f>
        <v>[effect:critical, val:1.1, animation:enemy_critical],[effect:force_change_block, new_block:block_heart, target:normal, count:10, val:0]</v>
      </c>
      <c r="O10" s="63">
        <f t="shared" si="6"/>
        <v>9</v>
      </c>
      <c r="P10" s="63">
        <f t="shared" si="7"/>
        <v>17</v>
      </c>
      <c r="Q10" s="63">
        <f t="shared" si="8"/>
        <v>112</v>
      </c>
      <c r="R10" s="63">
        <f t="shared" si="9"/>
        <v>26</v>
      </c>
      <c r="S10" s="63" t="str">
        <f>IFERROR(VLOOKUP(MID(N10,Q10,R10-Q10),[6]skilldef!$C:$D,2,FALSE),"-") &amp; " / " &amp; IFERROR(VLOOKUP(MID(N10,O10,P10-O10),[6]skilldef!$A:$B,2,FALSE),"-")</f>
        <v>- / 大攻撃</v>
      </c>
      <c r="T10" s="48" t="str">
        <f t="shared" si="10"/>
        <v>[effect:force_change_block, new_block:block_heart, target:normal, count:10, val:0]</v>
      </c>
      <c r="U10" s="63">
        <f t="shared" si="11"/>
        <v>9</v>
      </c>
      <c r="V10" s="63">
        <f t="shared" si="12"/>
        <v>27</v>
      </c>
      <c r="W10" s="63">
        <f t="shared" si="13"/>
        <v>59</v>
      </c>
      <c r="X10" s="63">
        <f t="shared" si="14"/>
        <v>50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35" customHeight="1" x14ac:dyDescent="0.15">
      <c r="A11" s="107">
        <v>50015202</v>
      </c>
      <c r="B11" s="47" t="s">
        <v>372</v>
      </c>
      <c r="C11" s="50">
        <v>3</v>
      </c>
      <c r="D11" s="50" t="s">
        <v>126</v>
      </c>
      <c r="E11" s="51" t="s">
        <v>297</v>
      </c>
      <c r="F11" s="51" t="s">
        <v>287</v>
      </c>
      <c r="G11" s="63" t="str">
        <f t="shared" si="0"/>
        <v>[effect:enemy_message, val1:1.4, val2:3.5]</v>
      </c>
      <c r="H11" s="63">
        <f t="shared" si="1"/>
        <v>9</v>
      </c>
      <c r="I11" s="63">
        <f t="shared" si="2"/>
        <v>22</v>
      </c>
      <c r="J11" s="63" t="e">
        <f t="shared" si="3"/>
        <v>#VALUE!</v>
      </c>
      <c r="K11" s="63">
        <f t="shared" si="4"/>
        <v>32</v>
      </c>
      <c r="L11" s="63" t="str">
        <f>IFERROR(VLOOKUP(MID(G11,J11,K11-J11),[6]skilldef!$C:$D,2,FALSE),"-") &amp; " / " &amp; IFERROR(VLOOKUP(MID(G11,H11,I11-H11),[6]skilldef!$A:$B,2,FALSE),"-")</f>
        <v>- / -</v>
      </c>
      <c r="M11" s="63" t="str">
        <f t="shared" si="5"/>
        <v>[effect:force_change_block, new_block:damage, target:block_heart, count:0, val:0.3],[effect:change_panel_ratio, turn:-1, block_type:heal, val:0.07, animation:block_incidence04]</v>
      </c>
      <c r="N11" s="48" t="str">
        <f>IFERROR(LEFT(M11,FIND("],",M11)+S22),M11)</f>
        <v>[effect:force_change_block, new_block:damage, target:block_heart, count:0, val:0.3],[effect:change_panel_ratio, turn:-1, block_type:heal, val:0.07, animation:block_incidence04]</v>
      </c>
      <c r="O11" s="63">
        <f t="shared" si="6"/>
        <v>9</v>
      </c>
      <c r="P11" s="63">
        <f t="shared" si="7"/>
        <v>27</v>
      </c>
      <c r="Q11" s="63">
        <f t="shared" si="8"/>
        <v>54</v>
      </c>
      <c r="R11" s="63">
        <f t="shared" si="9"/>
        <v>45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0"/>
        <v>[effect:change_panel_ratio, turn:-1, block_type:heal, val:0.07, animation:block_incidence04]</v>
      </c>
      <c r="U11" s="63">
        <f t="shared" si="11"/>
        <v>9</v>
      </c>
      <c r="V11" s="63">
        <f t="shared" si="12"/>
        <v>27</v>
      </c>
      <c r="W11" s="63" t="e">
        <f t="shared" si="13"/>
        <v>#VALUE!</v>
      </c>
      <c r="X11" s="63">
        <f t="shared" si="14"/>
        <v>36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34" customHeight="1" x14ac:dyDescent="0.15">
      <c r="A12" s="107">
        <v>50015203</v>
      </c>
      <c r="B12" s="47" t="s">
        <v>373</v>
      </c>
      <c r="C12" s="50">
        <v>3</v>
      </c>
      <c r="D12" s="50" t="s">
        <v>126</v>
      </c>
      <c r="E12" s="51" t="s">
        <v>299</v>
      </c>
      <c r="F12" s="51" t="s">
        <v>259</v>
      </c>
      <c r="G12" s="63" t="str">
        <f t="shared" si="0"/>
        <v>[effect:enemy_message, val1:1.6, val2:1.4]</v>
      </c>
      <c r="H12" s="63">
        <f t="shared" si="1"/>
        <v>9</v>
      </c>
      <c r="I12" s="63">
        <f t="shared" si="2"/>
        <v>22</v>
      </c>
      <c r="J12" s="63" t="e">
        <f t="shared" si="3"/>
        <v>#VALUE!</v>
      </c>
      <c r="K12" s="63">
        <f t="shared" si="4"/>
        <v>32</v>
      </c>
      <c r="L12" s="63" t="str">
        <f>IFERROR(VLOOKUP(MID(G12,J12,K12-J12),[6]skilldef!$C:$D,2,FALSE),"-") &amp; " / " &amp; IFERROR(VLOOKUP(MID(G12,H12,I12-H12),[6]skilldef!$A:$B,2,FALSE),"-")</f>
        <v>- / -</v>
      </c>
      <c r="M12" s="63" t="str">
        <f t="shared" si="5"/>
        <v>[effect:break_attack_fix, target:unit_one, val:1500, lowest_val:10000, count:-1, block01:damage]</v>
      </c>
      <c r="N12" s="48" t="str">
        <f>IFERROR(LEFT(M12,FIND("],",M12)+S23),M12)</f>
        <v>[effect:break_attack_fix, target:unit_one, val:1500, lowest_val:10000, count:-1, block01:damage]</v>
      </c>
      <c r="O12" s="63">
        <f t="shared" si="6"/>
        <v>9</v>
      </c>
      <c r="P12" s="63">
        <f t="shared" si="7"/>
        <v>25</v>
      </c>
      <c r="Q12" s="63">
        <f t="shared" si="8"/>
        <v>34</v>
      </c>
      <c r="R12" s="63">
        <f t="shared" si="9"/>
        <v>42</v>
      </c>
      <c r="S12" s="63" t="str">
        <f>IFERROR(VLOOKUP(MID(N12,Q12,R12-Q12),[6]skilldef!$C:$D,2,FALSE),"-") &amp; " / " &amp; IFERROR(VLOOKUP(MID(N12,O12,P12-O12),[6]skilldef!$A:$B,2,FALSE),"-")</f>
        <v>味方単体に / -</v>
      </c>
      <c r="T12" s="48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36" customHeight="1" x14ac:dyDescent="0.15">
      <c r="A13" s="107">
        <v>50015204</v>
      </c>
      <c r="B13" s="47" t="s">
        <v>418</v>
      </c>
      <c r="C13" s="50">
        <v>3</v>
      </c>
      <c r="D13" s="50" t="s">
        <v>126</v>
      </c>
      <c r="E13" s="51" t="s">
        <v>300</v>
      </c>
      <c r="F13" s="51" t="s">
        <v>284</v>
      </c>
      <c r="G13" s="63" t="str">
        <f t="shared" si="0"/>
        <v>[effect:enemy_message, val1:1.2, val2:2.5]</v>
      </c>
      <c r="H13" s="63">
        <f t="shared" si="1"/>
        <v>9</v>
      </c>
      <c r="I13" s="63">
        <f t="shared" si="2"/>
        <v>22</v>
      </c>
      <c r="J13" s="63" t="e">
        <f t="shared" si="3"/>
        <v>#VALUE!</v>
      </c>
      <c r="K13" s="63">
        <f t="shared" si="4"/>
        <v>32</v>
      </c>
      <c r="L13" s="63" t="str">
        <f>IFERROR(VLOOKUP(MID(G13,J13,K13-J13),[6]skilldef!$C:$D,2,FALSE),"-") &amp; " / " &amp; IFERROR(VLOOKUP(MID(G13,H13,I13-H13),[6]skilldef!$A:$B,2,FALSE),"-")</f>
        <v>- / -</v>
      </c>
      <c r="M13" s="63" t="str">
        <f t="shared" si="5"/>
        <v>[effect:rush, count:1, val:1.0],[effect:force_change_block, new_block:damage, target:block_green, count:10, val:0.3]</v>
      </c>
      <c r="N13" s="48" t="str">
        <f>IFERROR(LEFT(M13,FIND("],",M13)+S24),M13)</f>
        <v>[effect:rush, count:1, val:1.0],[effect:force_change_block, new_block:damage, target:block_green, count:10, val:0.3]</v>
      </c>
      <c r="O13" s="63">
        <f t="shared" si="6"/>
        <v>9</v>
      </c>
      <c r="P13" s="63">
        <f t="shared" si="7"/>
        <v>13</v>
      </c>
      <c r="Q13" s="63">
        <f t="shared" si="8"/>
        <v>86</v>
      </c>
      <c r="R13" s="63">
        <f t="shared" si="9"/>
        <v>22</v>
      </c>
      <c r="S13" s="63" t="str">
        <f>IFERROR(VLOOKUP(MID(N13,Q13,R13-Q13),[6]skilldef!$C:$D,2,FALSE),"-") &amp; " / " &amp; IFERROR(VLOOKUP(MID(N13,O13,P13-O13),[6]skilldef!$A:$B,2,FALSE),"-")</f>
        <v>- / 連続攻撃</v>
      </c>
      <c r="T13" s="48" t="str">
        <f t="shared" si="10"/>
        <v>[effect:force_change_block, new_block:damage, target:block_green, count:10, val:0.3]</v>
      </c>
      <c r="U13" s="63">
        <f t="shared" si="11"/>
        <v>9</v>
      </c>
      <c r="V13" s="63">
        <f t="shared" si="12"/>
        <v>27</v>
      </c>
      <c r="W13" s="63">
        <f t="shared" si="13"/>
        <v>54</v>
      </c>
      <c r="X13" s="63">
        <f t="shared" si="14"/>
        <v>45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107">
        <v>50015205</v>
      </c>
      <c r="B14" s="47" t="s">
        <v>374</v>
      </c>
      <c r="C14" s="50">
        <v>3</v>
      </c>
      <c r="D14" s="50" t="s">
        <v>126</v>
      </c>
      <c r="E14" s="51" t="s">
        <v>298</v>
      </c>
      <c r="F14" s="51" t="s">
        <v>278</v>
      </c>
      <c r="G14" s="63" t="str">
        <f t="shared" si="0"/>
        <v>[effect:enemy_message, val1:1.2, val2:1.8]</v>
      </c>
      <c r="H14" s="63">
        <f t="shared" si="1"/>
        <v>9</v>
      </c>
      <c r="I14" s="63">
        <f t="shared" si="2"/>
        <v>22</v>
      </c>
      <c r="J14" s="63" t="e">
        <f t="shared" si="3"/>
        <v>#VALUE!</v>
      </c>
      <c r="K14" s="63">
        <f t="shared" si="4"/>
        <v>32</v>
      </c>
      <c r="L14" s="63" t="str">
        <f>IFERROR(VLOOKUP(MID(G14,J14,K14-J14),[6]skilldef!$C:$D,2,FALSE),"-") &amp; " / " &amp; IFERROR(VLOOKUP(MID(G14,H14,I14-H14),[6]skilldef!$A:$B,2,FALSE),"-")</f>
        <v>- / -</v>
      </c>
      <c r="M14" s="63" t="str">
        <f t="shared" si="5"/>
        <v>[effect:crash_condition, target:unit_all, turn:5, val:4, animation:enemy_crash_extend]</v>
      </c>
      <c r="N14" s="48" t="str">
        <f>IFERROR(LEFT(M14,FIND("],",M14)+S25),M14)</f>
        <v>[effect:crash_condition, target:unit_all, turn:5, val:4, animation:enemy_crash_extend]</v>
      </c>
      <c r="O14" s="63">
        <f t="shared" si="6"/>
        <v>9</v>
      </c>
      <c r="P14" s="63">
        <f t="shared" si="7"/>
        <v>24</v>
      </c>
      <c r="Q14" s="63">
        <f t="shared" si="8"/>
        <v>33</v>
      </c>
      <c r="R14" s="63">
        <f t="shared" si="9"/>
        <v>41</v>
      </c>
      <c r="S14" s="63" t="str">
        <f>IFERROR(VLOOKUP(MID(N14,Q14,R14-Q14),[6]skilldef!$C:$D,2,FALSE),"-") &amp; " / " &amp; IFERROR(VLOOKUP(MID(N14,O14,P14-O14),[6]skilldef!$A:$B,2,FALSE),"-")</f>
        <v>味方全体に / -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107">
        <v>50015206</v>
      </c>
      <c r="B15" s="47" t="s">
        <v>412</v>
      </c>
      <c r="C15" s="50">
        <v>3</v>
      </c>
      <c r="D15" s="50" t="s">
        <v>126</v>
      </c>
      <c r="E15" s="51" t="s">
        <v>301</v>
      </c>
      <c r="F15" s="51" t="s">
        <v>302</v>
      </c>
      <c r="G15" s="63" t="str">
        <f t="shared" ref="G15" si="28">IFERROR(LEFT(B15,FIND("],",B15)),B15)</f>
        <v>[effect:enemy_message, val1:1.7, val2:0.0]</v>
      </c>
      <c r="H15" s="63">
        <f t="shared" ref="H15" si="29">FIND("effect:",G15)+7</f>
        <v>9</v>
      </c>
      <c r="I15" s="63">
        <f t="shared" ref="I15" si="30">IFERROR(FIND(",",G15),LEN(G15))</f>
        <v>22</v>
      </c>
      <c r="J15" s="63" t="e">
        <f t="shared" ref="J15" si="31">FIND("target:",G15)+7</f>
        <v>#VALUE!</v>
      </c>
      <c r="K15" s="63">
        <f t="shared" ref="K15" si="32">FIND(",",G15,I15+1)</f>
        <v>32</v>
      </c>
      <c r="L15" s="63" t="str">
        <f>IFERROR(VLOOKUP(MID(G15,J15,K15-J15),[6]skilldef!$C:$D,2,FALSE),"-") &amp; " / " &amp; IFERROR(VLOOKUP(MID(G15,H15,I15-H15),[6]skilldef!$A:$B,2,FALSE),"-")</f>
        <v>- / -</v>
      </c>
      <c r="M15" s="63" t="str">
        <f t="shared" ref="M15" si="33">IFERROR(RIGHT(B15,LEN(B15)-FIND("],",B15)-1),"none")</f>
        <v>none</v>
      </c>
      <c r="N15" s="48" t="str">
        <f t="shared" ref="N15" si="34">IFERROR(LEFT(M15,FIND("],",M15)+S25),M15)</f>
        <v>none</v>
      </c>
      <c r="O15" s="63" t="e">
        <f t="shared" ref="O15" si="35">FIND("effect:",N15)+7</f>
        <v>#VALUE!</v>
      </c>
      <c r="P15" s="63">
        <f t="shared" ref="P15" si="36">IFERROR(FIND(",",N15),LEN(N15))</f>
        <v>4</v>
      </c>
      <c r="Q15" s="63" t="e">
        <f t="shared" ref="Q15" si="37">FIND("target:",N15)+7</f>
        <v>#VALUE!</v>
      </c>
      <c r="R15" s="63" t="e">
        <f t="shared" ref="R15" si="38">FIND(",",N15,P15+1)</f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ref="T15" si="39">IFERROR(RIGHT(M15,LEN(M15)-FIND("],",M15)-1),"none")</f>
        <v>none</v>
      </c>
      <c r="U15" s="63" t="e">
        <f t="shared" ref="U15" si="40">FIND("effect:",T15)+7</f>
        <v>#VALUE!</v>
      </c>
      <c r="V15" s="63">
        <f t="shared" ref="V15" si="41">IFERROR(FIND(",",T15),LEN(T15))</f>
        <v>4</v>
      </c>
      <c r="W15" s="63" t="e">
        <f t="shared" ref="W15" si="42">FIND("target:",T15)+7</f>
        <v>#VALUE!</v>
      </c>
      <c r="X15" s="63" t="e">
        <f t="shared" ref="X15" si="43">FIND(",",T15,V15+1)</f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108">
        <v>50015300</v>
      </c>
      <c r="B16" s="47" t="s">
        <v>375</v>
      </c>
      <c r="C16" s="50">
        <v>3</v>
      </c>
      <c r="D16" s="50" t="s">
        <v>126</v>
      </c>
      <c r="E16" s="51" t="s">
        <v>303</v>
      </c>
      <c r="F16" s="51" t="s">
        <v>306</v>
      </c>
      <c r="G16" s="63" t="str">
        <f t="shared" si="0"/>
        <v>[effect:enemy_message, val1:1.2, val2:1.2]</v>
      </c>
      <c r="H16" s="63">
        <f t="shared" si="1"/>
        <v>9</v>
      </c>
      <c r="I16" s="63">
        <f t="shared" si="2"/>
        <v>22</v>
      </c>
      <c r="J16" s="63" t="e">
        <f t="shared" si="3"/>
        <v>#VALUE!</v>
      </c>
      <c r="K16" s="63">
        <f t="shared" si="4"/>
        <v>32</v>
      </c>
      <c r="L16" s="63" t="str">
        <f>IFERROR(VLOOKUP(MID(G16,J16,K16-J16),[6]skilldef!$C:$D,2,FALSE),"-") &amp; " / " &amp; IFERROR(VLOOKUP(MID(G16,H16,I16-H16),[6]skilldef!$A:$B,2,FALSE),"-")</f>
        <v>- / -</v>
      </c>
      <c r="M16" s="63" t="str">
        <f t="shared" si="5"/>
        <v>[effect:ability_lock, target:unit_all, turn:1],[effect:sleep, target:unit_all, turn:1, rate:1],[effect:set_background, turn:-1, background_id:23, switching_mode:cross_fade, duration:2],[effect:fix_speed, target:myself, turn:1]</v>
      </c>
      <c r="N16" s="48" t="str">
        <f t="shared" ref="N16:N17" si="44">IFERROR(LEFT(M16,FIND("],",M16)+S26),M16)</f>
        <v>[effect:ability_lock, target:unit_all, turn:1],[effect:sleep, target:unit_all, turn:1, rate:1],[effect:set_background, turn:-1, background_id:23, switching_mode:cross_fade, duration:2],[effect:fix_speed, target:myself, turn:1]</v>
      </c>
      <c r="O16" s="63">
        <f t="shared" si="6"/>
        <v>9</v>
      </c>
      <c r="P16" s="63">
        <f t="shared" si="7"/>
        <v>21</v>
      </c>
      <c r="Q16" s="63">
        <f t="shared" si="8"/>
        <v>30</v>
      </c>
      <c r="R16" s="63">
        <f t="shared" si="9"/>
        <v>38</v>
      </c>
      <c r="S16" s="63" t="str">
        <f>IFERROR(VLOOKUP(MID(N16,Q16,R16-Q16),[6]skilldef!$C:$D,2,FALSE),"-") &amp; " / " &amp; IFERROR(VLOOKUP(MID(N16,O16,P16-O16),[6]skilldef!$A:$B,2,FALSE),"-")</f>
        <v>味方全体に / -</v>
      </c>
      <c r="T16" s="48" t="str">
        <f t="shared" si="10"/>
        <v>[effect:sleep, target:unit_all, turn:1, rate:1],[effect:set_background, turn:-1, background_id:23, switching_mode:cross_fade, duration:2],[effect:fix_speed, target:myself, turn:1]</v>
      </c>
      <c r="U16" s="63">
        <f t="shared" si="11"/>
        <v>9</v>
      </c>
      <c r="V16" s="63">
        <f t="shared" si="12"/>
        <v>14</v>
      </c>
      <c r="W16" s="63">
        <f t="shared" si="13"/>
        <v>23</v>
      </c>
      <c r="X16" s="63">
        <f t="shared" si="14"/>
        <v>31</v>
      </c>
      <c r="Y16" s="63" t="str">
        <f>IFERROR(VLOOKUP(MID(T16,W16,X16-W16),[6]skilldef!$C:$D,2,FALSE),"-") &amp; " / " &amp; IFERROR(VLOOKUP(MID(T16,U16,V16-U16),[6]skilldef!$A:$B,2,FALSE),"-")</f>
        <v>味方全体に / スリープ</v>
      </c>
      <c r="Z16" s="50"/>
      <c r="AA16" s="52"/>
      <c r="AB16" s="50"/>
    </row>
    <row r="17" spans="1:28" ht="21" customHeight="1" x14ac:dyDescent="0.15">
      <c r="A17" s="108">
        <v>50015301</v>
      </c>
      <c r="B17" s="47" t="s">
        <v>376</v>
      </c>
      <c r="C17" s="50">
        <v>3</v>
      </c>
      <c r="D17" s="50" t="s">
        <v>126</v>
      </c>
      <c r="E17" s="51" t="s">
        <v>309</v>
      </c>
      <c r="F17" s="51" t="s">
        <v>310</v>
      </c>
      <c r="G17" s="63" t="str">
        <f t="shared" si="0"/>
        <v>[effect:enemy_message, val1:1.2, val2:1.9]</v>
      </c>
      <c r="H17" s="63">
        <f t="shared" si="1"/>
        <v>9</v>
      </c>
      <c r="I17" s="63">
        <f t="shared" si="2"/>
        <v>22</v>
      </c>
      <c r="J17" s="63" t="e">
        <f t="shared" si="3"/>
        <v>#VALUE!</v>
      </c>
      <c r="K17" s="63">
        <f t="shared" si="4"/>
        <v>32</v>
      </c>
      <c r="L17" s="63" t="str">
        <f>IFERROR(VLOOKUP(MID(G17,J17,K17-J17),[6]skilldef!$C:$D,2,FALSE),"-") &amp; " / " &amp; IFERROR(VLOOKUP(MID(G17,H17,I17-H17),[6]skilldef!$A:$B,2,FALSE),"-")</f>
        <v>- / -</v>
      </c>
      <c r="M17" s="63" t="str">
        <f t="shared" si="5"/>
        <v>[effect:suicide, target:myself, val:1, dead_type:escape]</v>
      </c>
      <c r="N17" s="48" t="str">
        <f t="shared" si="44"/>
        <v>[effect:suicide, target:myself, val:1, dead_type:escape]</v>
      </c>
      <c r="O17" s="63">
        <f t="shared" si="6"/>
        <v>9</v>
      </c>
      <c r="P17" s="63">
        <f t="shared" si="7"/>
        <v>16</v>
      </c>
      <c r="Q17" s="63">
        <f t="shared" si="8"/>
        <v>25</v>
      </c>
      <c r="R17" s="63">
        <f t="shared" si="9"/>
        <v>31</v>
      </c>
      <c r="S17" s="63" t="str">
        <f>IFERROR(VLOOKUP(MID(N17,Q17,R17-Q17),[6]skilldef!$C:$D,2,FALSE),"-") &amp; " / " &amp; IFERROR(VLOOKUP(MID(N17,O17,P17-O17),[6]skilldef!$A:$B,2,FALSE),"-")</f>
        <v>自分自身に / -</v>
      </c>
      <c r="T17" s="48" t="str">
        <f t="shared" si="10"/>
        <v>none</v>
      </c>
      <c r="U17" s="63" t="e">
        <f t="shared" si="11"/>
        <v>#VALUE!</v>
      </c>
      <c r="V17" s="63">
        <f t="shared" si="12"/>
        <v>4</v>
      </c>
      <c r="W17" s="63" t="e">
        <f t="shared" si="13"/>
        <v>#VALUE!</v>
      </c>
      <c r="X17" s="63" t="e">
        <f t="shared" si="14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109">
        <v>50015400</v>
      </c>
      <c r="B18" s="47" t="s">
        <v>377</v>
      </c>
      <c r="C18" s="50">
        <v>3</v>
      </c>
      <c r="D18" s="50" t="s">
        <v>126</v>
      </c>
      <c r="E18" s="51" t="s">
        <v>305</v>
      </c>
      <c r="F18" s="51" t="s">
        <v>304</v>
      </c>
      <c r="G18" s="63" t="str">
        <f t="shared" si="0"/>
        <v>[effect:enemy_message, val1:1.2, val2:1.2]</v>
      </c>
      <c r="H18" s="63">
        <f t="shared" si="1"/>
        <v>9</v>
      </c>
      <c r="I18" s="63">
        <f t="shared" si="2"/>
        <v>22</v>
      </c>
      <c r="J18" s="63" t="e">
        <f t="shared" si="3"/>
        <v>#VALUE!</v>
      </c>
      <c r="K18" s="63">
        <f t="shared" si="4"/>
        <v>32</v>
      </c>
      <c r="L18" s="63" t="str">
        <f>IFERROR(VLOOKUP(MID(G18,J18,K18-J18),[6]skilldef!$C:$D,2,FALSE),"-") &amp; " / " &amp; IFERROR(VLOOKUP(MID(G18,H18,I18-H18),[6]skilldef!$A:$B,2,FALSE),"-")</f>
        <v>- / -</v>
      </c>
      <c r="M18" s="63" t="str">
        <f t="shared" si="5"/>
        <v>[effect:ability_lock, target:unit_all, turn:1],[effect:sleep, target:unit_all, turn:1, rate:1],[effect:fix_speed, target:myself, turn:1]</v>
      </c>
      <c r="N18" s="48" t="str">
        <f t="shared" ref="N18:N23" si="45">IFERROR(LEFT(M18,FIND("],",M18)+S28),M18)</f>
        <v>[effect:ability_lock, target:unit_all, turn:1],[effect:sleep, target:unit_all, turn:1, rate:1],[effect:fix_speed, target:myself, turn:1]</v>
      </c>
      <c r="O18" s="63">
        <f t="shared" si="6"/>
        <v>9</v>
      </c>
      <c r="P18" s="63">
        <f t="shared" si="7"/>
        <v>21</v>
      </c>
      <c r="Q18" s="63">
        <f t="shared" si="8"/>
        <v>30</v>
      </c>
      <c r="R18" s="63">
        <f t="shared" si="9"/>
        <v>38</v>
      </c>
      <c r="S18" s="63" t="str">
        <f>IFERROR(VLOOKUP(MID(N18,Q18,R18-Q18),[6]skilldef!$C:$D,2,FALSE),"-") &amp; " / " &amp; IFERROR(VLOOKUP(MID(N18,O18,P18-O18),[6]skilldef!$A:$B,2,FALSE),"-")</f>
        <v>味方全体に / -</v>
      </c>
      <c r="T18" s="48" t="str">
        <f t="shared" si="10"/>
        <v>[effect:sleep, target:unit_all, turn:1, rate:1],[effect:fix_speed, target:myself, turn:1]</v>
      </c>
      <c r="U18" s="63">
        <f t="shared" si="11"/>
        <v>9</v>
      </c>
      <c r="V18" s="63">
        <f t="shared" si="12"/>
        <v>14</v>
      </c>
      <c r="W18" s="63">
        <f t="shared" si="13"/>
        <v>23</v>
      </c>
      <c r="X18" s="63">
        <f t="shared" si="14"/>
        <v>31</v>
      </c>
      <c r="Y18" s="63" t="str">
        <f>IFERROR(VLOOKUP(MID(T18,W18,X18-W18),[6]skilldef!$C:$D,2,FALSE),"-") &amp; " / " &amp; IFERROR(VLOOKUP(MID(T18,U18,V18-U18),[6]skilldef!$A:$B,2,FALSE),"-")</f>
        <v>味方全体に / スリープ</v>
      </c>
      <c r="Z18" s="50"/>
      <c r="AA18" s="52"/>
      <c r="AB18" s="50"/>
    </row>
    <row r="19" spans="1:28" ht="21" customHeight="1" x14ac:dyDescent="0.15">
      <c r="A19" s="109">
        <v>50015401</v>
      </c>
      <c r="B19" s="47" t="s">
        <v>378</v>
      </c>
      <c r="C19" s="50">
        <v>3</v>
      </c>
      <c r="D19" s="50" t="s">
        <v>126</v>
      </c>
      <c r="E19" s="51" t="s">
        <v>307</v>
      </c>
      <c r="F19" s="51" t="s">
        <v>308</v>
      </c>
      <c r="G19" s="63" t="str">
        <f t="shared" si="0"/>
        <v>[effect:enemy_message, val1:1.2, val2:1.2]</v>
      </c>
      <c r="H19" s="63">
        <f t="shared" si="1"/>
        <v>9</v>
      </c>
      <c r="I19" s="63">
        <f t="shared" si="2"/>
        <v>22</v>
      </c>
      <c r="J19" s="63" t="e">
        <f t="shared" si="3"/>
        <v>#VALUE!</v>
      </c>
      <c r="K19" s="63">
        <f t="shared" si="4"/>
        <v>32</v>
      </c>
      <c r="L19" s="63" t="str">
        <f>IFERROR(VLOOKUP(MID(G19,J19,K19-J19),[6]skilldef!$C:$D,2,FALSE),"-") &amp; " / " &amp; IFERROR(VLOOKUP(MID(G19,H19,I19-H19),[6]skilldef!$A:$B,2,FALSE),"-")</f>
        <v>- / -</v>
      </c>
      <c r="M19" s="63" t="str">
        <f t="shared" si="5"/>
        <v>[effect:suicide, target:myself, val:1]</v>
      </c>
      <c r="N19" s="48" t="str">
        <f t="shared" si="45"/>
        <v>[effect:suicide, target:myself, val:1]</v>
      </c>
      <c r="O19" s="63">
        <f t="shared" si="6"/>
        <v>9</v>
      </c>
      <c r="P19" s="63">
        <f t="shared" si="7"/>
        <v>16</v>
      </c>
      <c r="Q19" s="63">
        <f t="shared" si="8"/>
        <v>25</v>
      </c>
      <c r="R19" s="63">
        <f t="shared" si="9"/>
        <v>31</v>
      </c>
      <c r="S19" s="63" t="str">
        <f>IFERROR(VLOOKUP(MID(N19,Q19,R19-Q19),[6]skilldef!$C:$D,2,FALSE),"-") &amp; " / " &amp; IFERROR(VLOOKUP(MID(N19,O19,P19-O19),[6]skilldef!$A:$B,2,FALSE),"-")</f>
        <v>自分自身に / -</v>
      </c>
      <c r="T19" s="48" t="str">
        <f t="shared" si="10"/>
        <v>none</v>
      </c>
      <c r="U19" s="63" t="e">
        <f t="shared" si="11"/>
        <v>#VALUE!</v>
      </c>
      <c r="V19" s="63">
        <f t="shared" si="12"/>
        <v>4</v>
      </c>
      <c r="W19" s="63" t="e">
        <f t="shared" si="13"/>
        <v>#VALUE!</v>
      </c>
      <c r="X19" s="63" t="e">
        <f t="shared" si="14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39" customHeight="1" x14ac:dyDescent="0.15">
      <c r="A20" s="110">
        <v>50015500</v>
      </c>
      <c r="B20" s="47" t="s">
        <v>379</v>
      </c>
      <c r="C20" s="50">
        <v>3</v>
      </c>
      <c r="D20" s="50" t="s">
        <v>126</v>
      </c>
      <c r="E20" s="51" t="s">
        <v>328</v>
      </c>
      <c r="F20" s="51" t="s">
        <v>280</v>
      </c>
      <c r="G20" s="63" t="str">
        <f t="shared" si="0"/>
        <v>[effect:enemy_message, val1:1.2, val2:3.0]</v>
      </c>
      <c r="H20" s="63">
        <f t="shared" si="1"/>
        <v>9</v>
      </c>
      <c r="I20" s="63">
        <f t="shared" si="2"/>
        <v>22</v>
      </c>
      <c r="J20" s="63" t="e">
        <f t="shared" si="3"/>
        <v>#VALUE!</v>
      </c>
      <c r="K20" s="63">
        <f t="shared" si="4"/>
        <v>32</v>
      </c>
      <c r="L20" s="63" t="str">
        <f>IFERROR(VLOOKUP(MID(G20,J20,K20-J20),[6]skilldef!$C:$D,2,FALSE),"-") &amp; " / " &amp; IFERROR(VLOOKUP(MID(G20,H20,I20-H20),[6]skilldef!$A:$B,2,FALSE),"-")</f>
        <v>- / -</v>
      </c>
      <c r="M20" s="63" t="str">
        <f t="shared" si="5"/>
        <v>[effect:tolerance, target:myself, turn:-1, count:-1, tolerance_effect:all, animation:enemy_tolerance],[effect:change_bomb_range, target:unit_all, val:0.5, rate:1, turn:5, animation:bomb_small],[effect:fix_speed, target:myself, turn:1]</v>
      </c>
      <c r="N20" s="48" t="str">
        <f t="shared" si="45"/>
        <v>[effect:tolerance, target:myself, turn:-1, count:-1, tolerance_effect:all, animation:enemy_tolerance],[effect:change_bomb_range, target:unit_all, val:0.5, rate:1, turn:5, animation:bomb_small],[effect:fix_speed, target:myself, turn:1]</v>
      </c>
      <c r="O20" s="63">
        <f t="shared" si="6"/>
        <v>9</v>
      </c>
      <c r="P20" s="63">
        <f t="shared" si="7"/>
        <v>18</v>
      </c>
      <c r="Q20" s="63">
        <f t="shared" si="8"/>
        <v>27</v>
      </c>
      <c r="R20" s="63">
        <f t="shared" si="9"/>
        <v>33</v>
      </c>
      <c r="S20" s="63" t="str">
        <f>IFERROR(VLOOKUP(MID(N20,Q20,R20-Q20),[6]skilldef!$C:$D,2,FALSE),"-") &amp; " / " &amp; IFERROR(VLOOKUP(MID(N20,O20,P20-O20),[6]skilldef!$A:$B,2,FALSE),"-")</f>
        <v>自分自身に / 状態異常耐性</v>
      </c>
      <c r="T20" s="48" t="str">
        <f t="shared" si="10"/>
        <v>[effect:change_bomb_range, target:unit_all, val:0.5, rate:1, turn:5, animation:bomb_small],[effect:fix_speed, target:myself, turn:1]</v>
      </c>
      <c r="U20" s="63">
        <f t="shared" si="11"/>
        <v>9</v>
      </c>
      <c r="V20" s="63">
        <f t="shared" si="12"/>
        <v>26</v>
      </c>
      <c r="W20" s="63">
        <f t="shared" si="13"/>
        <v>35</v>
      </c>
      <c r="X20" s="63">
        <f t="shared" si="14"/>
        <v>43</v>
      </c>
      <c r="Y20" s="63" t="str">
        <f>IFERROR(VLOOKUP(MID(T20,W20,X20-W20),[6]skilldef!$C:$D,2,FALSE),"-") &amp; " / " &amp; IFERROR(VLOOKUP(MID(T20,U20,V20-U20),[6]skilldef!$A:$B,2,FALSE),"-")</f>
        <v>味方全体に / -</v>
      </c>
      <c r="Z20" s="50"/>
      <c r="AA20" s="52"/>
      <c r="AB20" s="50"/>
    </row>
    <row r="21" spans="1:28" ht="21" customHeight="1" x14ac:dyDescent="0.15">
      <c r="A21" s="110">
        <v>50015501</v>
      </c>
      <c r="B21" s="47" t="s">
        <v>436</v>
      </c>
      <c r="C21" s="50">
        <v>3</v>
      </c>
      <c r="D21" s="50" t="s">
        <v>126</v>
      </c>
      <c r="E21" s="51" t="s">
        <v>312</v>
      </c>
      <c r="F21" s="51" t="s">
        <v>434</v>
      </c>
      <c r="G21" s="63" t="str">
        <f t="shared" si="0"/>
        <v>[effect:enemy_message, val1:1.2, val2:2.1]</v>
      </c>
      <c r="H21" s="63">
        <f t="shared" si="1"/>
        <v>9</v>
      </c>
      <c r="I21" s="63">
        <f t="shared" si="2"/>
        <v>22</v>
      </c>
      <c r="J21" s="63" t="e">
        <f t="shared" si="3"/>
        <v>#VALUE!</v>
      </c>
      <c r="K21" s="63">
        <f t="shared" si="4"/>
        <v>32</v>
      </c>
      <c r="L21" s="63" t="str">
        <f>IFERROR(VLOOKUP(MID(G21,J21,K21-J21),[6]skilldef!$C:$D,2,FALSE),"-") &amp; " / " &amp; IFERROR(VLOOKUP(MID(G21,H21,I21-H21),[6]skilldef!$A:$B,2,FALSE),"-")</f>
        <v>- / -</v>
      </c>
      <c r="M21" s="63" t="str">
        <f t="shared" si="5"/>
        <v>[effect:drop_block, block_type:damage, color:block_all, block_color:block_red, val:0.3, rate:0.08, turn:5, animation:damage_influence04]</v>
      </c>
      <c r="N21" s="48" t="str">
        <f t="shared" si="45"/>
        <v>[effect:drop_block, block_type:damage, color:block_all, block_color:block_red, val:0.3, rate:0.08, turn:5, animation:damage_influence04]</v>
      </c>
      <c r="O21" s="63">
        <f t="shared" si="6"/>
        <v>9</v>
      </c>
      <c r="P21" s="63">
        <f t="shared" si="7"/>
        <v>19</v>
      </c>
      <c r="Q21" s="63" t="e">
        <f t="shared" si="8"/>
        <v>#VALUE!</v>
      </c>
      <c r="R21" s="63">
        <f t="shared" si="9"/>
        <v>38</v>
      </c>
      <c r="S21" s="63" t="str">
        <f>IFERROR(VLOOKUP(MID(N21,Q21,R21-Q21),[6]skilldef!$C:$D,2,FALSE),"-") &amp; " / " &amp; IFERROR(VLOOKUP(MID(N21,O21,P21-O21),[6]skilldef!$A:$B,2,FALSE),"-")</f>
        <v>- / 特定ブロックの割合ドロップ</v>
      </c>
      <c r="T21" s="48" t="str">
        <f t="shared" si="10"/>
        <v>none</v>
      </c>
      <c r="U21" s="63" t="e">
        <f t="shared" si="11"/>
        <v>#VALUE!</v>
      </c>
      <c r="V21" s="63">
        <f t="shared" si="12"/>
        <v>4</v>
      </c>
      <c r="W21" s="63" t="e">
        <f t="shared" si="13"/>
        <v>#VALUE!</v>
      </c>
      <c r="X21" s="63" t="e">
        <f t="shared" si="14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110">
        <v>50015502</v>
      </c>
      <c r="B22" s="47" t="s">
        <v>380</v>
      </c>
      <c r="C22" s="50">
        <v>3</v>
      </c>
      <c r="D22" s="50" t="s">
        <v>126</v>
      </c>
      <c r="E22" s="51" t="s">
        <v>329</v>
      </c>
      <c r="F22" s="51" t="s">
        <v>260</v>
      </c>
      <c r="G22" s="63" t="str">
        <f t="shared" si="0"/>
        <v>[effect:enemy_message, val1:1.2, val2:1.7]</v>
      </c>
      <c r="H22" s="63">
        <f t="shared" si="1"/>
        <v>9</v>
      </c>
      <c r="I22" s="63">
        <f t="shared" si="2"/>
        <v>22</v>
      </c>
      <c r="J22" s="63" t="e">
        <f t="shared" si="3"/>
        <v>#VALUE!</v>
      </c>
      <c r="K22" s="63">
        <f t="shared" si="4"/>
        <v>32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5"/>
        <v>[effect:force_change_block, new_block:block_red, target:block_green, count:0, val:0],[effect:rush, count:1, val:0.8]</v>
      </c>
      <c r="N22" s="48" t="str">
        <f t="shared" si="45"/>
        <v>[effect:force_change_block, new_block:block_red, target:block_green, count:0, val:0],[effect:rush, count:1, val:0.8]</v>
      </c>
      <c r="O22" s="63">
        <f t="shared" si="6"/>
        <v>9</v>
      </c>
      <c r="P22" s="63">
        <f t="shared" si="7"/>
        <v>27</v>
      </c>
      <c r="Q22" s="63">
        <f t="shared" si="8"/>
        <v>57</v>
      </c>
      <c r="R22" s="63">
        <f t="shared" si="9"/>
        <v>48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0"/>
        <v>[effect:rush, count:1, val:0.8]</v>
      </c>
      <c r="U22" s="63">
        <f t="shared" si="11"/>
        <v>9</v>
      </c>
      <c r="V22" s="63">
        <f t="shared" si="12"/>
        <v>13</v>
      </c>
      <c r="W22" s="63" t="e">
        <f t="shared" si="13"/>
        <v>#VALUE!</v>
      </c>
      <c r="X22" s="63">
        <f t="shared" si="14"/>
        <v>22</v>
      </c>
      <c r="Y22" s="63" t="str">
        <f>IFERROR(VLOOKUP(MID(T22,W22,X22-W22),[6]skilldef!$C:$D,2,FALSE),"-") &amp; " / " &amp; IFERROR(VLOOKUP(MID(T22,U22,V22-U22),[6]skilldef!$A:$B,2,FALSE),"-")</f>
        <v>- / 連続攻撃</v>
      </c>
      <c r="Z22" s="50"/>
      <c r="AA22" s="52"/>
      <c r="AB22" s="50"/>
    </row>
    <row r="23" spans="1:28" ht="21" customHeight="1" x14ac:dyDescent="0.15">
      <c r="A23" s="110">
        <v>50015503</v>
      </c>
      <c r="B23" s="47" t="s">
        <v>381</v>
      </c>
      <c r="C23" s="50">
        <v>3</v>
      </c>
      <c r="D23" s="50" t="s">
        <v>126</v>
      </c>
      <c r="E23" s="51" t="s">
        <v>311</v>
      </c>
      <c r="F23" s="51" t="s">
        <v>261</v>
      </c>
      <c r="G23" s="63" t="str">
        <f t="shared" si="0"/>
        <v>[effect:enemy_message, val1:1.2, val2:1.2]</v>
      </c>
      <c r="H23" s="63">
        <f t="shared" si="1"/>
        <v>9</v>
      </c>
      <c r="I23" s="63">
        <f t="shared" si="2"/>
        <v>22</v>
      </c>
      <c r="J23" s="63" t="e">
        <f t="shared" si="3"/>
        <v>#VALUE!</v>
      </c>
      <c r="K23" s="63">
        <f t="shared" si="4"/>
        <v>32</v>
      </c>
      <c r="L23" s="63" t="str">
        <f>IFERROR(VLOOKUP(MID(G23,J23,K23-J23),[6]skilldef!$C:$D,2,FALSE),"-") &amp; " / " &amp; IFERROR(VLOOKUP(MID(G23,H23,I23-H23),[6]skilldef!$A:$B,2,FALSE),"-")</f>
        <v>- / -</v>
      </c>
      <c r="M23" s="63" t="str">
        <f t="shared" si="5"/>
        <v>[effect:break_attack_fix, target:unit_one, val:400, lowest_val:7000, count:-1, block01:normal]</v>
      </c>
      <c r="N23" s="48" t="str">
        <f t="shared" si="45"/>
        <v>[effect:break_attack_fix, target:unit_one, val:400, lowest_val:7000, count:-1, block01:normal]</v>
      </c>
      <c r="O23" s="63">
        <f t="shared" si="6"/>
        <v>9</v>
      </c>
      <c r="P23" s="63">
        <f t="shared" si="7"/>
        <v>25</v>
      </c>
      <c r="Q23" s="63">
        <f t="shared" si="8"/>
        <v>34</v>
      </c>
      <c r="R23" s="63">
        <f t="shared" si="9"/>
        <v>42</v>
      </c>
      <c r="S23" s="63" t="str">
        <f>IFERROR(VLOOKUP(MID(N23,Q23,R23-Q23),[6]skilldef!$C:$D,2,FALSE),"-") &amp; " / " &amp; IFERROR(VLOOKUP(MID(N23,O23,P23-O23),[6]skilldef!$A:$B,2,FALSE),"-")</f>
        <v>味方単体に / -</v>
      </c>
      <c r="T23" s="48" t="str">
        <f t="shared" si="10"/>
        <v>none</v>
      </c>
      <c r="U23" s="63" t="e">
        <f t="shared" si="11"/>
        <v>#VALUE!</v>
      </c>
      <c r="V23" s="63">
        <f t="shared" si="12"/>
        <v>4</v>
      </c>
      <c r="W23" s="63" t="e">
        <f t="shared" si="13"/>
        <v>#VALUE!</v>
      </c>
      <c r="X23" s="63" t="e">
        <f t="shared" si="14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46" customHeight="1" x14ac:dyDescent="0.15">
      <c r="A24" s="110">
        <v>50015504</v>
      </c>
      <c r="B24" s="47" t="s">
        <v>423</v>
      </c>
      <c r="C24" s="50">
        <v>3</v>
      </c>
      <c r="D24" s="50" t="s">
        <v>126</v>
      </c>
      <c r="E24" s="51" t="s">
        <v>330</v>
      </c>
      <c r="F24" s="51" t="s">
        <v>421</v>
      </c>
      <c r="G24" s="63" t="str">
        <f t="shared" si="0"/>
        <v>[effect:enemy_message, val1:1.2, val2:1.4]</v>
      </c>
      <c r="H24" s="63">
        <f t="shared" si="1"/>
        <v>9</v>
      </c>
      <c r="I24" s="63">
        <f t="shared" si="2"/>
        <v>22</v>
      </c>
      <c r="J24" s="63" t="e">
        <f t="shared" si="3"/>
        <v>#VALUE!</v>
      </c>
      <c r="K24" s="63">
        <f t="shared" si="4"/>
        <v>32</v>
      </c>
      <c r="L24" s="63" t="str">
        <f>IFERROR(VLOOKUP(MID(G24,J24,K24-J24),[6]skilldef!$C:$D,2,FALSE),"-") &amp; " / " &amp; IFERROR(VLOOKUP(MID(G24,H24,I24-H24),[6]skilldef!$A:$B,2,FALSE),"-")</f>
        <v>- / -</v>
      </c>
      <c r="M24" s="63" t="str">
        <f t="shared" si="5"/>
        <v>[effect:damage_anti_color, target:unit_one, color:green, val1:3.0, val2:1.0]</v>
      </c>
      <c r="N24" s="48" t="str">
        <f t="shared" ref="N24:N28" si="46">IFERROR(LEFT(M24,FIND("],",M24)+S35),M24)</f>
        <v>[effect:damage_anti_color, target:unit_one, color:green, val1:3.0, val2:1.0]</v>
      </c>
      <c r="O24" s="63">
        <f t="shared" si="6"/>
        <v>9</v>
      </c>
      <c r="P24" s="63">
        <f t="shared" si="7"/>
        <v>26</v>
      </c>
      <c r="Q24" s="63">
        <f t="shared" si="8"/>
        <v>35</v>
      </c>
      <c r="R24" s="63">
        <f t="shared" si="9"/>
        <v>43</v>
      </c>
      <c r="S24" s="63" t="str">
        <f>IFERROR(VLOOKUP(MID(N24,Q24,R24-Q24),[6]skilldef!$C:$D,2,FALSE),"-") &amp; " / " &amp; IFERROR(VLOOKUP(MID(N24,O24,P24-O24),[6]skilldef!$A:$B,2,FALSE),"-")</f>
        <v>味方単体に / 属性キラー</v>
      </c>
      <c r="T24" s="48" t="str">
        <f t="shared" si="10"/>
        <v>none</v>
      </c>
      <c r="U24" s="63" t="e">
        <f t="shared" si="11"/>
        <v>#VALUE!</v>
      </c>
      <c r="V24" s="63">
        <f t="shared" si="12"/>
        <v>4</v>
      </c>
      <c r="W24" s="63" t="e">
        <f t="shared" si="13"/>
        <v>#VALUE!</v>
      </c>
      <c r="X24" s="63" t="e">
        <f t="shared" si="14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36" customHeight="1" x14ac:dyDescent="0.15">
      <c r="A25" s="111">
        <v>50015600</v>
      </c>
      <c r="B25" s="47" t="s">
        <v>382</v>
      </c>
      <c r="C25" s="50">
        <v>3</v>
      </c>
      <c r="D25" s="50" t="s">
        <v>126</v>
      </c>
      <c r="E25" s="51" t="s">
        <v>313</v>
      </c>
      <c r="F25" s="51" t="s">
        <v>288</v>
      </c>
      <c r="G25" s="63" t="str">
        <f t="shared" si="0"/>
        <v>[effect:enemy_message, val1:1.2, val2:2.7]</v>
      </c>
      <c r="H25" s="63">
        <f t="shared" si="1"/>
        <v>9</v>
      </c>
      <c r="I25" s="63">
        <f t="shared" si="2"/>
        <v>22</v>
      </c>
      <c r="J25" s="63" t="e">
        <f t="shared" si="3"/>
        <v>#VALUE!</v>
      </c>
      <c r="K25" s="63">
        <f t="shared" si="4"/>
        <v>32</v>
      </c>
      <c r="L25" s="63" t="str">
        <f>IFERROR(VLOOKUP(MID(G25,J25,K25-J25),[6]skilldef!$C:$D,2,FALSE),"-") &amp; " / " &amp; IFERROR(VLOOKUP(MID(G25,H25,I25-H25),[6]skilldef!$A:$B,2,FALSE),"-")</f>
        <v>- / -</v>
      </c>
      <c r="M25" s="63" t="str">
        <f t="shared" si="5"/>
        <v>[effect:tolerance, target:myself, turn:-1, count:-1, tolerance_effect:all, animation:enemy_tolerance],[effect:degrade_unit, target:unit_all, turn:3, status:action, val:1, calc:add, animation:enemy_tap_down],[effect:fix_speed, target:myself, turn:1]</v>
      </c>
      <c r="N25" s="48" t="str">
        <f t="shared" si="46"/>
        <v>[effect:tolerance, target:myself, turn:-1, count:-1, tolerance_effect:all, animation:enemy_tolerance],[effect:degrade_unit, target:unit_all, turn:3, status:action, val:1, calc:add, animation:enemy_tap_down],[effect:fix_speed, target:myself, turn:1]</v>
      </c>
      <c r="O25" s="63">
        <f t="shared" si="6"/>
        <v>9</v>
      </c>
      <c r="P25" s="63">
        <f t="shared" si="7"/>
        <v>18</v>
      </c>
      <c r="Q25" s="63">
        <f t="shared" si="8"/>
        <v>27</v>
      </c>
      <c r="R25" s="63">
        <f t="shared" si="9"/>
        <v>33</v>
      </c>
      <c r="S25" s="63" t="str">
        <f>IFERROR(VLOOKUP(MID(N25,Q25,R25-Q25),[6]skilldef!$C:$D,2,FALSE),"-") &amp; " / " &amp; IFERROR(VLOOKUP(MID(N25,O25,P25-O25),[6]skilldef!$A:$B,2,FALSE),"-")</f>
        <v>自分自身に / 状態異常耐性</v>
      </c>
      <c r="T25" s="48" t="str">
        <f t="shared" si="10"/>
        <v>[effect:degrade_unit, target:unit_all, turn:3, status:action, val:1, calc:add, animation:enemy_tap_down],[effect:fix_speed, target:myself, turn:1]</v>
      </c>
      <c r="U25" s="63">
        <f t="shared" si="11"/>
        <v>9</v>
      </c>
      <c r="V25" s="63">
        <f t="shared" si="12"/>
        <v>21</v>
      </c>
      <c r="W25" s="63">
        <f t="shared" si="13"/>
        <v>30</v>
      </c>
      <c r="X25" s="63">
        <f t="shared" si="14"/>
        <v>38</v>
      </c>
      <c r="Y25" s="63" t="str">
        <f>IFERROR(VLOOKUP(MID(T25,W25,X25-W25),[6]skilldef!$C:$D,2,FALSE),"-") &amp; " / " &amp; IFERROR(VLOOKUP(MID(T25,U25,V25-U25),[6]skilldef!$A:$B,2,FALSE),"-")</f>
        <v>味方全体に / ステータスDOWN</v>
      </c>
      <c r="Z25" s="50"/>
      <c r="AA25" s="52"/>
      <c r="AB25" s="50"/>
    </row>
    <row r="26" spans="1:28" ht="21" customHeight="1" x14ac:dyDescent="0.15">
      <c r="A26" s="111">
        <v>50015601</v>
      </c>
      <c r="B26" s="47" t="s">
        <v>383</v>
      </c>
      <c r="C26" s="50">
        <v>3</v>
      </c>
      <c r="D26" s="50" t="s">
        <v>126</v>
      </c>
      <c r="E26" s="51" t="s">
        <v>314</v>
      </c>
      <c r="F26" s="51" t="s">
        <v>262</v>
      </c>
      <c r="G26" s="63" t="str">
        <f t="shared" si="0"/>
        <v>[effect:enemy_message, val1:1.2, val2:2.2]</v>
      </c>
      <c r="H26" s="63">
        <f t="shared" si="1"/>
        <v>9</v>
      </c>
      <c r="I26" s="63">
        <f t="shared" si="2"/>
        <v>22</v>
      </c>
      <c r="J26" s="63" t="e">
        <f t="shared" si="3"/>
        <v>#VALUE!</v>
      </c>
      <c r="K26" s="63">
        <f t="shared" si="4"/>
        <v>32</v>
      </c>
      <c r="L26" s="63" t="str">
        <f>IFERROR(VLOOKUP(MID(G26,J26,K26-J26),[6]skilldef!$C:$D,2,FALSE),"-") &amp; " / " &amp; IFERROR(VLOOKUP(MID(G26,H26,I26-H26),[6]skilldef!$A:$B,2,FALSE),"-")</f>
        <v>- / -</v>
      </c>
      <c r="M26" s="63" t="str">
        <f t="shared" si="5"/>
        <v>[effect:force_change_block, new_block:damage, target:block_green, color:block_red, count:0, val:0.3],[effect:rush, count:1, val:0.7]</v>
      </c>
      <c r="N26" s="48" t="str">
        <f t="shared" si="46"/>
        <v>[effect:force_change_block, new_block:damage, target:block_green, color:block_red, count:0, val:0.3],[effect:rush, count:1, val:0.7]</v>
      </c>
      <c r="O26" s="63">
        <f t="shared" si="6"/>
        <v>9</v>
      </c>
      <c r="P26" s="63">
        <f t="shared" si="7"/>
        <v>27</v>
      </c>
      <c r="Q26" s="63">
        <f t="shared" si="8"/>
        <v>54</v>
      </c>
      <c r="R26" s="63">
        <f t="shared" si="9"/>
        <v>45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0"/>
        <v>[effect:rush, count:1, val:0.7]</v>
      </c>
      <c r="U26" s="63">
        <f t="shared" si="11"/>
        <v>9</v>
      </c>
      <c r="V26" s="63">
        <f t="shared" si="12"/>
        <v>13</v>
      </c>
      <c r="W26" s="63" t="e">
        <f t="shared" si="13"/>
        <v>#VALUE!</v>
      </c>
      <c r="X26" s="63">
        <f t="shared" si="14"/>
        <v>22</v>
      </c>
      <c r="Y26" s="63" t="str">
        <f>IFERROR(VLOOKUP(MID(T26,W26,X26-W26),[6]skilldef!$C:$D,2,FALSE),"-") &amp; " / " &amp; IFERROR(VLOOKUP(MID(T26,U26,V26-U26),[6]skilldef!$A:$B,2,FALSE),"-")</f>
        <v>- / 連続攻撃</v>
      </c>
      <c r="Z26" s="50"/>
      <c r="AA26" s="52"/>
      <c r="AB26" s="50"/>
    </row>
    <row r="27" spans="1:28" ht="36" customHeight="1" x14ac:dyDescent="0.15">
      <c r="A27" s="111">
        <v>50015602</v>
      </c>
      <c r="B27" s="47" t="s">
        <v>423</v>
      </c>
      <c r="C27" s="50">
        <v>3</v>
      </c>
      <c r="D27" s="50" t="s">
        <v>126</v>
      </c>
      <c r="E27" s="51" t="s">
        <v>316</v>
      </c>
      <c r="F27" s="51" t="s">
        <v>421</v>
      </c>
      <c r="G27" s="63" t="str">
        <f t="shared" si="0"/>
        <v>[effect:enemy_message, val1:1.2, val2:1.4]</v>
      </c>
      <c r="H27" s="63">
        <f t="shared" si="1"/>
        <v>9</v>
      </c>
      <c r="I27" s="63">
        <f t="shared" si="2"/>
        <v>22</v>
      </c>
      <c r="J27" s="63" t="e">
        <f t="shared" si="3"/>
        <v>#VALUE!</v>
      </c>
      <c r="K27" s="63">
        <f t="shared" si="4"/>
        <v>32</v>
      </c>
      <c r="L27" s="63" t="str">
        <f>IFERROR(VLOOKUP(MID(G27,J27,K27-J27),[6]skilldef!$C:$D,2,FALSE),"-") &amp; " / " &amp; IFERROR(VLOOKUP(MID(G27,H27,I27-H27),[6]skilldef!$A:$B,2,FALSE),"-")</f>
        <v>- / -</v>
      </c>
      <c r="M27" s="63" t="str">
        <f t="shared" si="5"/>
        <v>[effect:damage_anti_color, target:unit_one, color:green, val1:3.0, val2:1.0]</v>
      </c>
      <c r="N27" s="48" t="str">
        <f t="shared" si="46"/>
        <v>[effect:damage_anti_color, target:unit_one, color:green, val1:3.0, val2:1.0]</v>
      </c>
      <c r="O27" s="63">
        <f t="shared" si="6"/>
        <v>9</v>
      </c>
      <c r="P27" s="63">
        <f t="shared" si="7"/>
        <v>26</v>
      </c>
      <c r="Q27" s="63">
        <f t="shared" si="8"/>
        <v>35</v>
      </c>
      <c r="R27" s="63">
        <f t="shared" si="9"/>
        <v>43</v>
      </c>
      <c r="S27" s="63" t="str">
        <f>IFERROR(VLOOKUP(MID(N27,Q27,R27-Q27),[6]skilldef!$C:$D,2,FALSE),"-") &amp; " / " &amp; IFERROR(VLOOKUP(MID(N27,O27,P27-O27),[6]skilldef!$A:$B,2,FALSE),"-")</f>
        <v>味方単体に / 属性キラー</v>
      </c>
      <c r="T27" s="48" t="str">
        <f t="shared" si="10"/>
        <v>none</v>
      </c>
      <c r="U27" s="63" t="e">
        <f t="shared" si="11"/>
        <v>#VALUE!</v>
      </c>
      <c r="V27" s="63">
        <f t="shared" si="12"/>
        <v>4</v>
      </c>
      <c r="W27" s="63" t="e">
        <f t="shared" si="13"/>
        <v>#VALUE!</v>
      </c>
      <c r="X27" s="63" t="e">
        <f t="shared" si="14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s="122" customFormat="1" ht="21" customHeight="1" x14ac:dyDescent="0.15">
      <c r="A28" s="118">
        <v>50015603</v>
      </c>
      <c r="B28" s="118" t="s">
        <v>384</v>
      </c>
      <c r="C28" s="119">
        <v>3</v>
      </c>
      <c r="D28" s="119" t="s">
        <v>126</v>
      </c>
      <c r="E28" s="120" t="s">
        <v>255</v>
      </c>
      <c r="F28" s="120" t="s">
        <v>263</v>
      </c>
      <c r="G28" s="120" t="str">
        <f t="shared" si="0"/>
        <v>[effect:enemy_message, val1:1.2, val2:1.6]</v>
      </c>
      <c r="H28" s="120">
        <f t="shared" si="1"/>
        <v>9</v>
      </c>
      <c r="I28" s="120">
        <f t="shared" si="2"/>
        <v>22</v>
      </c>
      <c r="J28" s="120" t="e">
        <f t="shared" si="3"/>
        <v>#VALUE!</v>
      </c>
      <c r="K28" s="120">
        <f t="shared" si="4"/>
        <v>32</v>
      </c>
      <c r="L28" s="120" t="str">
        <f>IFERROR(VLOOKUP(MID(G28,J28,K28-J28),[6]skilldef!$C:$D,2,FALSE),"-") &amp; " / " &amp; IFERROR(VLOOKUP(MID(G28,H28,I28-H28),[6]skilldef!$A:$B,2,FALSE),"-")</f>
        <v>- / -</v>
      </c>
      <c r="M28" s="120" t="str">
        <f t="shared" si="5"/>
        <v>[effect:damage_anti_tribe, target:unit_one, tribe:god, val1:3, val2:1]</v>
      </c>
      <c r="N28" s="118" t="str">
        <f t="shared" si="46"/>
        <v>[effect:damage_anti_tribe, target:unit_one, tribe:god, val1:3, val2:1]</v>
      </c>
      <c r="O28" s="120">
        <f t="shared" si="6"/>
        <v>9</v>
      </c>
      <c r="P28" s="120">
        <f t="shared" si="7"/>
        <v>26</v>
      </c>
      <c r="Q28" s="120">
        <f t="shared" si="8"/>
        <v>35</v>
      </c>
      <c r="R28" s="120">
        <f t="shared" si="9"/>
        <v>43</v>
      </c>
      <c r="S28" s="120" t="str">
        <f>IFERROR(VLOOKUP(MID(N28,Q28,R28-Q28),[6]skilldef!$C:$D,2,FALSE),"-") &amp; " / " &amp; IFERROR(VLOOKUP(MID(N28,O28,P28-O28),[6]skilldef!$A:$B,2,FALSE),"-")</f>
        <v>味方単体に / 種族キラー</v>
      </c>
      <c r="T28" s="118" t="str">
        <f t="shared" si="10"/>
        <v>none</v>
      </c>
      <c r="U28" s="120" t="e">
        <f t="shared" si="11"/>
        <v>#VALUE!</v>
      </c>
      <c r="V28" s="120">
        <f t="shared" si="12"/>
        <v>4</v>
      </c>
      <c r="W28" s="120" t="e">
        <f t="shared" si="13"/>
        <v>#VALUE!</v>
      </c>
      <c r="X28" s="120" t="e">
        <f t="shared" si="14"/>
        <v>#VALUE!</v>
      </c>
      <c r="Y28" s="120" t="str">
        <f>IFERROR(VLOOKUP(MID(T28,W28,X28-W28),[6]skilldef!$C:$D,2,FALSE),"-") &amp; " / " &amp; IFERROR(VLOOKUP(MID(T28,U28,V28-U28),[6]skilldef!$A:$B,2,FALSE),"-")</f>
        <v>- / -</v>
      </c>
      <c r="Z28" s="119"/>
      <c r="AA28" s="121"/>
      <c r="AB28" s="119"/>
    </row>
    <row r="29" spans="1:28" s="122" customFormat="1" ht="21" customHeight="1" x14ac:dyDescent="0.15">
      <c r="A29" s="118">
        <v>50015604</v>
      </c>
      <c r="B29" s="118" t="s">
        <v>385</v>
      </c>
      <c r="C29" s="119">
        <v>3</v>
      </c>
      <c r="D29" s="119" t="s">
        <v>126</v>
      </c>
      <c r="E29" s="120" t="s">
        <v>256</v>
      </c>
      <c r="F29" s="120" t="s">
        <v>264</v>
      </c>
      <c r="G29" s="120" t="str">
        <f t="shared" si="0"/>
        <v>[effect:enemy_message, val1:1.2, val2:2.0]</v>
      </c>
      <c r="H29" s="120">
        <f t="shared" si="1"/>
        <v>9</v>
      </c>
      <c r="I29" s="120">
        <f t="shared" si="2"/>
        <v>22</v>
      </c>
      <c r="J29" s="120" t="e">
        <f t="shared" si="3"/>
        <v>#VALUE!</v>
      </c>
      <c r="K29" s="120">
        <f t="shared" si="4"/>
        <v>32</v>
      </c>
      <c r="L29" s="120" t="str">
        <f>IFERROR(VLOOKUP(MID(G29,J29,K29-J29),[6]skilldef!$C:$D,2,FALSE),"-") &amp; " / " &amp; IFERROR(VLOOKUP(MID(G29,H29,I29-H29),[6]skilldef!$A:$B,2,FALSE),"-")</f>
        <v>- / -</v>
      </c>
      <c r="M29" s="120" t="str">
        <f t="shared" si="5"/>
        <v>[effect:degrade_unit, target:unit_all, turn:3, status:action, val:1, calc:add, animation:enemy_tap_down]</v>
      </c>
      <c r="N29" s="118" t="str">
        <f t="shared" ref="N29:N34" si="47">IFERROR(LEFT(M29,FIND("],",M29)+S42),M29)</f>
        <v>[effect:degrade_unit, target:unit_all, turn:3, status:action, val:1, calc:add, animation:enemy_tap_down]</v>
      </c>
      <c r="O29" s="120">
        <f t="shared" si="6"/>
        <v>9</v>
      </c>
      <c r="P29" s="120">
        <f t="shared" si="7"/>
        <v>21</v>
      </c>
      <c r="Q29" s="120">
        <f t="shared" si="8"/>
        <v>30</v>
      </c>
      <c r="R29" s="120">
        <f t="shared" si="9"/>
        <v>38</v>
      </c>
      <c r="S29" s="120" t="str">
        <f>IFERROR(VLOOKUP(MID(N29,Q29,R29-Q29),[6]skilldef!$C:$D,2,FALSE),"-") &amp; " / " &amp; IFERROR(VLOOKUP(MID(N29,O29,P29-O29),[6]skilldef!$A:$B,2,FALSE),"-")</f>
        <v>味方全体に / ステータスDOWN</v>
      </c>
      <c r="T29" s="118" t="str">
        <f t="shared" si="10"/>
        <v>none</v>
      </c>
      <c r="U29" s="120" t="e">
        <f t="shared" si="11"/>
        <v>#VALUE!</v>
      </c>
      <c r="V29" s="120">
        <f t="shared" si="12"/>
        <v>4</v>
      </c>
      <c r="W29" s="120" t="e">
        <f t="shared" si="13"/>
        <v>#VALUE!</v>
      </c>
      <c r="X29" s="120" t="e">
        <f t="shared" si="14"/>
        <v>#VALUE!</v>
      </c>
      <c r="Y29" s="120" t="str">
        <f>IFERROR(VLOOKUP(MID(T29,W29,X29-W29),[6]skilldef!$C:$D,2,FALSE),"-") &amp; " / " &amp; IFERROR(VLOOKUP(MID(T29,U29,V29-U29),[6]skilldef!$A:$B,2,FALSE),"-")</f>
        <v>- / -</v>
      </c>
      <c r="Z29" s="119"/>
      <c r="AA29" s="121"/>
      <c r="AB29" s="119"/>
    </row>
    <row r="30" spans="1:28" ht="21" customHeight="1" x14ac:dyDescent="0.15">
      <c r="A30" s="111">
        <v>50015605</v>
      </c>
      <c r="B30" s="47" t="s">
        <v>386</v>
      </c>
      <c r="C30" s="50">
        <v>3</v>
      </c>
      <c r="D30" s="50" t="s">
        <v>126</v>
      </c>
      <c r="E30" s="51" t="s">
        <v>315</v>
      </c>
      <c r="F30" s="51" t="s">
        <v>265</v>
      </c>
      <c r="G30" s="63" t="str">
        <f t="shared" si="0"/>
        <v>[effect:enemy_message, val1:1.2, val2:1.2]</v>
      </c>
      <c r="H30" s="63">
        <f t="shared" si="1"/>
        <v>9</v>
      </c>
      <c r="I30" s="63">
        <f t="shared" si="2"/>
        <v>22</v>
      </c>
      <c r="J30" s="63" t="e">
        <f t="shared" si="3"/>
        <v>#VALUE!</v>
      </c>
      <c r="K30" s="63">
        <f t="shared" si="4"/>
        <v>32</v>
      </c>
      <c r="L30" s="63" t="str">
        <f>IFERROR(VLOOKUP(MID(G30,J30,K30-J30),[6]skilldef!$C:$D,2,FALSE),"-") &amp; " / " &amp; IFERROR(VLOOKUP(MID(G30,H30,I30-H30),[6]skilldef!$A:$B,2,FALSE),"-")</f>
        <v>- / -</v>
      </c>
      <c r="M30" s="63" t="str">
        <f t="shared" si="5"/>
        <v>[effect:enhance_enemy, target:myself, turn:-1, status:attack, val:0.5, calc:mul, animation:enemy_enhance_attack]</v>
      </c>
      <c r="N30" s="48" t="str">
        <f t="shared" si="47"/>
        <v>[effect:enhance_enemy, target:myself, turn:-1, status:attack, val:0.5, calc:mul, animation:enemy_enhance_attack]</v>
      </c>
      <c r="O30" s="63">
        <f t="shared" si="6"/>
        <v>9</v>
      </c>
      <c r="P30" s="63">
        <f t="shared" si="7"/>
        <v>22</v>
      </c>
      <c r="Q30" s="63">
        <f t="shared" si="8"/>
        <v>31</v>
      </c>
      <c r="R30" s="63">
        <f t="shared" si="9"/>
        <v>37</v>
      </c>
      <c r="S30" s="63" t="str">
        <f>IFERROR(VLOOKUP(MID(N30,Q30,R30-Q30),[6]skilldef!$C:$D,2,FALSE),"-") &amp; " / " &amp; IFERROR(VLOOKUP(MID(N30,O30,P30-O30),[6]skilldef!$A:$B,2,FALSE),"-")</f>
        <v>自分自身に / ステータス強化</v>
      </c>
      <c r="T30" s="48" t="str">
        <f t="shared" si="10"/>
        <v>none</v>
      </c>
      <c r="U30" s="63" t="e">
        <f t="shared" si="11"/>
        <v>#VALUE!</v>
      </c>
      <c r="V30" s="63">
        <f t="shared" si="12"/>
        <v>4</v>
      </c>
      <c r="W30" s="63" t="e">
        <f t="shared" si="13"/>
        <v>#VALUE!</v>
      </c>
      <c r="X30" s="63" t="e">
        <f t="shared" si="14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111">
        <v>50015606</v>
      </c>
      <c r="B31" s="47" t="s">
        <v>412</v>
      </c>
      <c r="C31" s="50">
        <v>3</v>
      </c>
      <c r="D31" s="50" t="s">
        <v>126</v>
      </c>
      <c r="E31" s="51" t="s">
        <v>317</v>
      </c>
      <c r="F31" s="51" t="s">
        <v>302</v>
      </c>
      <c r="G31" s="63" t="str">
        <f t="shared" si="0"/>
        <v>[effect:enemy_message, val1:1.7, val2:0.0]</v>
      </c>
      <c r="H31" s="63">
        <f t="shared" si="1"/>
        <v>9</v>
      </c>
      <c r="I31" s="63">
        <f t="shared" si="2"/>
        <v>22</v>
      </c>
      <c r="J31" s="63" t="e">
        <f t="shared" si="3"/>
        <v>#VALUE!</v>
      </c>
      <c r="K31" s="63">
        <f t="shared" si="4"/>
        <v>32</v>
      </c>
      <c r="L31" s="63" t="str">
        <f>IFERROR(VLOOKUP(MID(G31,J31,K31-J31),[6]skilldef!$C:$D,2,FALSE),"-") &amp; " / " &amp; IFERROR(VLOOKUP(MID(G31,H31,I31-H31),[6]skilldef!$A:$B,2,FALSE),"-")</f>
        <v>- / -</v>
      </c>
      <c r="M31" s="63" t="str">
        <f t="shared" si="5"/>
        <v>none</v>
      </c>
      <c r="N31" s="48" t="str">
        <f t="shared" si="47"/>
        <v>none</v>
      </c>
      <c r="O31" s="63" t="e">
        <f t="shared" si="6"/>
        <v>#VALUE!</v>
      </c>
      <c r="P31" s="63">
        <f t="shared" si="7"/>
        <v>4</v>
      </c>
      <c r="Q31" s="63" t="e">
        <f t="shared" si="8"/>
        <v>#VALUE!</v>
      </c>
      <c r="R31" s="63" t="e">
        <f t="shared" si="9"/>
        <v>#VALUE!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10"/>
        <v>none</v>
      </c>
      <c r="U31" s="63" t="e">
        <f t="shared" si="11"/>
        <v>#VALUE!</v>
      </c>
      <c r="V31" s="63">
        <f t="shared" si="12"/>
        <v>4</v>
      </c>
      <c r="W31" s="63" t="e">
        <f t="shared" si="13"/>
        <v>#VALUE!</v>
      </c>
      <c r="X31" s="63" t="e">
        <f t="shared" si="14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54" customHeight="1" x14ac:dyDescent="0.15">
      <c r="A32" s="112">
        <v>50015700</v>
      </c>
      <c r="B32" s="47" t="s">
        <v>417</v>
      </c>
      <c r="C32" s="50">
        <v>3</v>
      </c>
      <c r="D32" s="50" t="s">
        <v>126</v>
      </c>
      <c r="E32" s="51" t="s">
        <v>333</v>
      </c>
      <c r="F32" s="51" t="s">
        <v>344</v>
      </c>
      <c r="G32" s="63" t="str">
        <f t="shared" si="0"/>
        <v>[effect:enemy_message, val1:1.7, val2:4.1]</v>
      </c>
      <c r="H32" s="63">
        <f t="shared" si="1"/>
        <v>9</v>
      </c>
      <c r="I32" s="63">
        <f t="shared" si="2"/>
        <v>22</v>
      </c>
      <c r="J32" s="63" t="e">
        <f t="shared" si="3"/>
        <v>#VALUE!</v>
      </c>
      <c r="K32" s="63">
        <f t="shared" si="4"/>
        <v>32</v>
      </c>
      <c r="L32" s="63" t="str">
        <f>IFERROR(VLOOKUP(MID(G32,J32,K32-J32),[6]skilldef!$C:$D,2,FALSE),"-") &amp; " / " &amp; IFERROR(VLOOKUP(MID(G32,H32,I32-H32),[6]skilldef!$A:$B,2,FALSE),"-")</f>
        <v>- / -</v>
      </c>
      <c r="M32" s="63" t="str">
        <f t="shared" si="5"/>
        <v>[effect:tolerance, target:myself, turn:-1, count:-1, tolerance_effect:all, animation:enemy_tolerance],[effect:fix_speed, target:myself, turn:1],[effect:dis_heart, turn:-1, animation:enemy_dis_heart],[effect:set_background, turn:-1, background_id:974, switching_mode:cross_fade, duration:2]</v>
      </c>
      <c r="N32" s="48" t="str">
        <f t="shared" si="47"/>
        <v>[effect:tolerance, target:myself, turn:-1, count:-1, tolerance_effect:all, animation:enemy_tolerance],[effect:fix_speed, target:myself, turn:1],[effect:dis_heart, turn:-1, animation:enemy_dis_heart],[effect:set_background, turn:-1, background_id:974, switching_mode:cross_fade, duration:2]</v>
      </c>
      <c r="O32" s="63">
        <f t="shared" si="6"/>
        <v>9</v>
      </c>
      <c r="P32" s="63">
        <f t="shared" si="7"/>
        <v>18</v>
      </c>
      <c r="Q32" s="63">
        <f t="shared" si="8"/>
        <v>27</v>
      </c>
      <c r="R32" s="63">
        <f t="shared" si="9"/>
        <v>33</v>
      </c>
      <c r="S32" s="63" t="str">
        <f>IFERROR(VLOOKUP(MID(N32,Q32,R32-Q32),[6]skilldef!$C:$D,2,FALSE),"-") &amp; " / " &amp; IFERROR(VLOOKUP(MID(N32,O32,P32-O32),[6]skilldef!$A:$B,2,FALSE),"-")</f>
        <v>自分自身に / 状態異常耐性</v>
      </c>
      <c r="T32" s="48" t="str">
        <f t="shared" si="10"/>
        <v>[effect:fix_speed, target:myself, turn:1],[effect:dis_heart, turn:-1, animation:enemy_dis_heart],[effect:set_background, turn:-1, background_id:974, switching_mode:cross_fade, duration:2]</v>
      </c>
      <c r="U32" s="63">
        <f t="shared" si="11"/>
        <v>9</v>
      </c>
      <c r="V32" s="63">
        <f t="shared" si="12"/>
        <v>18</v>
      </c>
      <c r="W32" s="63">
        <f t="shared" si="13"/>
        <v>27</v>
      </c>
      <c r="X32" s="63">
        <f t="shared" si="14"/>
        <v>33</v>
      </c>
      <c r="Y32" s="63" t="str">
        <f>IFERROR(VLOOKUP(MID(T32,W32,X32-W32),[6]skilldef!$C:$D,2,FALSE),"-") &amp; " / " &amp; IFERROR(VLOOKUP(MID(T32,U32,V32-U32),[6]skilldef!$A:$B,2,FALSE),"-")</f>
        <v>自分自身に / 行動値設定</v>
      </c>
      <c r="Z32" s="50"/>
      <c r="AA32" s="52"/>
      <c r="AB32" s="50"/>
    </row>
    <row r="33" spans="1:28" ht="36" customHeight="1" x14ac:dyDescent="0.15">
      <c r="A33" s="112">
        <v>50015701</v>
      </c>
      <c r="B33" s="47" t="s">
        <v>387</v>
      </c>
      <c r="C33" s="50">
        <v>3</v>
      </c>
      <c r="D33" s="50" t="s">
        <v>126</v>
      </c>
      <c r="E33" s="51" t="s">
        <v>343</v>
      </c>
      <c r="F33" s="51" t="s">
        <v>266</v>
      </c>
      <c r="G33" s="63" t="str">
        <f t="shared" si="0"/>
        <v>[effect:enemy_message, val1:1.2, val2:1.2]</v>
      </c>
      <c r="H33" s="63">
        <f t="shared" si="1"/>
        <v>9</v>
      </c>
      <c r="I33" s="63">
        <f t="shared" si="2"/>
        <v>22</v>
      </c>
      <c r="J33" s="63" t="e">
        <f t="shared" si="3"/>
        <v>#VALUE!</v>
      </c>
      <c r="K33" s="63">
        <f t="shared" si="4"/>
        <v>32</v>
      </c>
      <c r="L33" s="63" t="str">
        <f>IFERROR(VLOOKUP(MID(G33,J33,K33-J33),[6]skilldef!$C:$D,2,FALSE),"-") &amp; " / " &amp; IFERROR(VLOOKUP(MID(G33,H33,I33-H33),[6]skilldef!$A:$B,2,FALSE),"-")</f>
        <v>- / -</v>
      </c>
      <c r="M33" s="63" t="str">
        <f t="shared" si="5"/>
        <v>[effect:break_attack_fix, target:unit_one, val:700, lowest_val:10000, count:-1, block01:block_red]</v>
      </c>
      <c r="N33" s="48" t="str">
        <f t="shared" si="47"/>
        <v>[effect:break_attack_fix, target:unit_one, val:700, lowest_val:10000, count:-1, block01:block_red]</v>
      </c>
      <c r="O33" s="63">
        <f t="shared" si="6"/>
        <v>9</v>
      </c>
      <c r="P33" s="63">
        <f t="shared" si="7"/>
        <v>25</v>
      </c>
      <c r="Q33" s="63">
        <f t="shared" si="8"/>
        <v>34</v>
      </c>
      <c r="R33" s="63">
        <f t="shared" si="9"/>
        <v>42</v>
      </c>
      <c r="S33" s="63" t="str">
        <f>IFERROR(VLOOKUP(MID(N33,Q33,R33-Q33),[6]skilldef!$C:$D,2,FALSE),"-") &amp; " / " &amp; IFERROR(VLOOKUP(MID(N33,O33,P33-O33),[6]skilldef!$A:$B,2,FALSE),"-")</f>
        <v>味方単体に / -</v>
      </c>
      <c r="T33" s="48" t="str">
        <f t="shared" si="10"/>
        <v>none</v>
      </c>
      <c r="U33" s="63" t="e">
        <f t="shared" si="11"/>
        <v>#VALUE!</v>
      </c>
      <c r="V33" s="63">
        <f t="shared" si="12"/>
        <v>4</v>
      </c>
      <c r="W33" s="63" t="e">
        <f t="shared" si="13"/>
        <v>#VALUE!</v>
      </c>
      <c r="X33" s="63" t="e">
        <f t="shared" si="14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36" customHeight="1" x14ac:dyDescent="0.15">
      <c r="A34" s="112">
        <v>50015702</v>
      </c>
      <c r="B34" s="47" t="s">
        <v>387</v>
      </c>
      <c r="C34" s="50">
        <v>3</v>
      </c>
      <c r="D34" s="50" t="s">
        <v>126</v>
      </c>
      <c r="E34" s="51" t="s">
        <v>341</v>
      </c>
      <c r="F34" s="51" t="s">
        <v>266</v>
      </c>
      <c r="G34" s="63" t="str">
        <f t="shared" ref="G34" si="48">IFERROR(LEFT(B34,FIND("],",B34)),B34)</f>
        <v>[effect:enemy_message, val1:1.2, val2:1.2]</v>
      </c>
      <c r="H34" s="63">
        <f t="shared" ref="H34" si="49">FIND("effect:",G34)+7</f>
        <v>9</v>
      </c>
      <c r="I34" s="63">
        <f t="shared" ref="I34" si="50">IFERROR(FIND(",",G34),LEN(G34))</f>
        <v>22</v>
      </c>
      <c r="J34" s="63" t="e">
        <f t="shared" ref="J34" si="51">FIND("target:",G34)+7</f>
        <v>#VALUE!</v>
      </c>
      <c r="K34" s="63">
        <f t="shared" ref="K34" si="52">FIND(",",G34,I34+1)</f>
        <v>32</v>
      </c>
      <c r="L34" s="63" t="str">
        <f>IFERROR(VLOOKUP(MID(G34,J34,K34-J34),[6]skilldef!$C:$D,2,FALSE),"-") &amp; " / " &amp; IFERROR(VLOOKUP(MID(G34,H34,I34-H34),[6]skilldef!$A:$B,2,FALSE),"-")</f>
        <v>- / -</v>
      </c>
      <c r="M34" s="63" t="str">
        <f t="shared" ref="M34" si="53">IFERROR(RIGHT(B34,LEN(B34)-FIND("],",B34)-1),"none")</f>
        <v>[effect:break_attack_fix, target:unit_one, val:700, lowest_val:10000, count:-1, block01:block_red]</v>
      </c>
      <c r="N34" s="48" t="str">
        <f t="shared" si="47"/>
        <v>[effect:break_attack_fix, target:unit_one, val:700, lowest_val:10000, count:-1, block01:block_red]</v>
      </c>
      <c r="O34" s="63">
        <f t="shared" ref="O34" si="54">FIND("effect:",N34)+7</f>
        <v>9</v>
      </c>
      <c r="P34" s="63">
        <f t="shared" ref="P34" si="55">IFERROR(FIND(",",N34),LEN(N34))</f>
        <v>25</v>
      </c>
      <c r="Q34" s="63">
        <f t="shared" ref="Q34" si="56">FIND("target:",N34)+7</f>
        <v>34</v>
      </c>
      <c r="R34" s="63">
        <f t="shared" ref="R34" si="57">FIND(",",N34,P34+1)</f>
        <v>42</v>
      </c>
      <c r="S34" s="63" t="str">
        <f>IFERROR(VLOOKUP(MID(N34,Q34,R34-Q34),[6]skilldef!$C:$D,2,FALSE),"-") &amp; " / " &amp; IFERROR(VLOOKUP(MID(N34,O34,P34-O34),[6]skilldef!$A:$B,2,FALSE),"-")</f>
        <v>味方単体に / -</v>
      </c>
      <c r="T34" s="48" t="str">
        <f t="shared" ref="T34" si="58">IFERROR(RIGHT(M34,LEN(M34)-FIND("],",M34)-1),"none")</f>
        <v>none</v>
      </c>
      <c r="U34" s="63" t="e">
        <f t="shared" ref="U34" si="59">FIND("effect:",T34)+7</f>
        <v>#VALUE!</v>
      </c>
      <c r="V34" s="63">
        <f t="shared" ref="V34" si="60">IFERROR(FIND(",",T34),LEN(T34))</f>
        <v>4</v>
      </c>
      <c r="W34" s="63" t="e">
        <f t="shared" ref="W34" si="61">FIND("target:",T34)+7</f>
        <v>#VALUE!</v>
      </c>
      <c r="X34" s="63" t="e">
        <f t="shared" ref="X34" si="62">FIND(",",T34,V34+1)</f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112">
        <v>50015703</v>
      </c>
      <c r="B35" s="47" t="s">
        <v>388</v>
      </c>
      <c r="C35" s="50">
        <v>3</v>
      </c>
      <c r="D35" s="50" t="s">
        <v>126</v>
      </c>
      <c r="E35" s="51" t="s">
        <v>332</v>
      </c>
      <c r="F35" s="51" t="s">
        <v>279</v>
      </c>
      <c r="G35" s="63" t="str">
        <f t="shared" si="0"/>
        <v>[effect:enemy_message, val1:1.2, val2:1.2]</v>
      </c>
      <c r="H35" s="63">
        <f t="shared" si="1"/>
        <v>9</v>
      </c>
      <c r="I35" s="63">
        <f t="shared" si="2"/>
        <v>22</v>
      </c>
      <c r="J35" s="63" t="e">
        <f t="shared" si="3"/>
        <v>#VALUE!</v>
      </c>
      <c r="K35" s="63">
        <f t="shared" si="4"/>
        <v>32</v>
      </c>
      <c r="L35" s="63" t="str">
        <f>IFERROR(VLOOKUP(MID(G35,J35,K35-J35),[6]skilldef!$C:$D,2,FALSE),"-") &amp; " / " &amp; IFERROR(VLOOKUP(MID(G35,H35,I35-H35),[6]skilldef!$A:$B,2,FALSE),"-")</f>
        <v>- / -</v>
      </c>
      <c r="M35" s="63" t="str">
        <f t="shared" si="5"/>
        <v>[effect:damage_fix_absolute, target:unit_one, val:10000]</v>
      </c>
      <c r="N35" s="48" t="str">
        <f>IFERROR(LEFT(M35,FIND("],",M35)+S47),M35)</f>
        <v>[effect:damage_fix_absolute, target:unit_one, val:10000]</v>
      </c>
      <c r="O35" s="63">
        <f t="shared" si="6"/>
        <v>9</v>
      </c>
      <c r="P35" s="63">
        <f t="shared" si="7"/>
        <v>28</v>
      </c>
      <c r="Q35" s="63">
        <f t="shared" si="8"/>
        <v>37</v>
      </c>
      <c r="R35" s="63">
        <f t="shared" si="9"/>
        <v>45</v>
      </c>
      <c r="S35" s="63" t="str">
        <f>IFERROR(VLOOKUP(MID(N35,Q35,R35-Q35),[6]skilldef!$C:$D,2,FALSE),"-") &amp; " / " &amp; IFERROR(VLOOKUP(MID(N35,O35,P35-O35),[6]skilldef!$A:$B,2,FALSE),"-")</f>
        <v>味方単体に / -</v>
      </c>
      <c r="T35" s="48" t="str">
        <f t="shared" si="10"/>
        <v>none</v>
      </c>
      <c r="U35" s="63" t="e">
        <f t="shared" si="11"/>
        <v>#VALUE!</v>
      </c>
      <c r="V35" s="63">
        <f t="shared" si="12"/>
        <v>4</v>
      </c>
      <c r="W35" s="63" t="e">
        <f t="shared" si="13"/>
        <v>#VALUE!</v>
      </c>
      <c r="X35" s="63" t="e">
        <f t="shared" si="14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112">
        <v>50015704</v>
      </c>
      <c r="B36" s="47" t="s">
        <v>389</v>
      </c>
      <c r="C36" s="50">
        <v>3</v>
      </c>
      <c r="D36" s="50" t="s">
        <v>126</v>
      </c>
      <c r="E36" s="51" t="s">
        <v>334</v>
      </c>
      <c r="F36" s="51" t="s">
        <v>257</v>
      </c>
      <c r="G36" s="63" t="str">
        <f t="shared" ref="G36:G54" si="63">IFERROR(LEFT(B36,FIND("],",B36)),B36)</f>
        <v>[effect:enemy_message, val1:1.2, val2:1.3]</v>
      </c>
      <c r="H36" s="63">
        <f t="shared" ref="H36:H54" si="64">FIND("effect:",G36)+7</f>
        <v>9</v>
      </c>
      <c r="I36" s="63">
        <f t="shared" ref="I36:I54" si="65">IFERROR(FIND(",",G36),LEN(G36))</f>
        <v>22</v>
      </c>
      <c r="J36" s="63" t="e">
        <f t="shared" ref="J36:J54" si="66">FIND("target:",G36)+7</f>
        <v>#VALUE!</v>
      </c>
      <c r="K36" s="63">
        <f t="shared" ref="K36:K54" si="67">FIND(",",G36,I36+1)</f>
        <v>32</v>
      </c>
      <c r="L36" s="63" t="str">
        <f>IFERROR(VLOOKUP(MID(G36,J36,K36-J36),[6]skilldef!$C:$D,2,FALSE),"-") &amp; " / " &amp; IFERROR(VLOOKUP(MID(G36,H36,I36-H36),[6]skilldef!$A:$B,2,FALSE),"-")</f>
        <v>- / -</v>
      </c>
      <c r="M36" s="63" t="str">
        <f t="shared" ref="M36:M54" si="68">IFERROR(RIGHT(B36,LEN(B36)-FIND("],",B36)-1),"none")</f>
        <v>[effect:break_attack_fix, target:unit_one, val:1000, lowest_val:8000, count:-1, block01:jammer]</v>
      </c>
      <c r="N36" s="48" t="str">
        <f>IFERROR(LEFT(M36,FIND("],",M36)+S48),M36)</f>
        <v>[effect:break_attack_fix, target:unit_one, val:1000, lowest_val:8000, count:-1, block01:jammer]</v>
      </c>
      <c r="O36" s="63">
        <f t="shared" ref="O36:O54" si="69">FIND("effect:",N36)+7</f>
        <v>9</v>
      </c>
      <c r="P36" s="63">
        <f t="shared" ref="P36:P54" si="70">IFERROR(FIND(",",N36),LEN(N36))</f>
        <v>25</v>
      </c>
      <c r="Q36" s="63">
        <f t="shared" ref="Q36:Q54" si="71">FIND("target:",N36)+7</f>
        <v>34</v>
      </c>
      <c r="R36" s="63">
        <f t="shared" ref="R36:R54" si="72">FIND(",",N36,P36+1)</f>
        <v>42</v>
      </c>
      <c r="S36" s="63" t="str">
        <f>IFERROR(VLOOKUP(MID(N36,Q36,R36-Q36),[6]skilldef!$C:$D,2,FALSE),"-") &amp; " / " &amp; IFERROR(VLOOKUP(MID(N36,O36,P36-O36),[6]skilldef!$A:$B,2,FALSE),"-")</f>
        <v>味方単体に / -</v>
      </c>
      <c r="T36" s="48" t="str">
        <f t="shared" ref="T36:T54" si="73">IFERROR(RIGHT(M36,LEN(M36)-FIND("],",M36)-1),"none")</f>
        <v>none</v>
      </c>
      <c r="U36" s="63" t="e">
        <f t="shared" ref="U36:U54" si="74">FIND("effect:",T36)+7</f>
        <v>#VALUE!</v>
      </c>
      <c r="V36" s="63">
        <f t="shared" ref="V36:V54" si="75">IFERROR(FIND(",",T36),LEN(T36))</f>
        <v>4</v>
      </c>
      <c r="W36" s="63" t="e">
        <f t="shared" ref="W36:W54" si="76">FIND("target:",T36)+7</f>
        <v>#VALUE!</v>
      </c>
      <c r="X36" s="63" t="e">
        <f t="shared" ref="X36:X54" si="77">FIND(",",T36,V36+1)</f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112">
        <v>50015705</v>
      </c>
      <c r="B37" s="47" t="s">
        <v>390</v>
      </c>
      <c r="C37" s="50">
        <v>3</v>
      </c>
      <c r="D37" s="50" t="s">
        <v>126</v>
      </c>
      <c r="E37" s="51" t="s">
        <v>339</v>
      </c>
      <c r="F37" s="51" t="s">
        <v>283</v>
      </c>
      <c r="G37" s="63" t="str">
        <f t="shared" si="63"/>
        <v>[effect:enemy_message, val1:1.2, val2:2.1]</v>
      </c>
      <c r="H37" s="63">
        <f t="shared" si="64"/>
        <v>9</v>
      </c>
      <c r="I37" s="63">
        <f t="shared" si="65"/>
        <v>22</v>
      </c>
      <c r="J37" s="63" t="e">
        <f t="shared" si="66"/>
        <v>#VALUE!</v>
      </c>
      <c r="K37" s="63">
        <f t="shared" si="67"/>
        <v>32</v>
      </c>
      <c r="L37" s="63" t="str">
        <f>IFERROR(VLOOKUP(MID(G37,J37,K37-J37),[6]skilldef!$C:$D,2,FALSE),"-") &amp; " / " &amp; IFERROR(VLOOKUP(MID(G37,H37,I37-H37),[6]skilldef!$A:$B,2,FALSE),"-")</f>
        <v>- / -</v>
      </c>
      <c r="M37" s="63" t="str">
        <f t="shared" si="68"/>
        <v>[effect:force_change_block, new_block:damage, target:normal, count:15, val:0.3]</v>
      </c>
      <c r="N37" s="48" t="str">
        <f>IFERROR(LEFT(M37,FIND("],",M37)+S49),M37)</f>
        <v>[effect:force_change_block, new_block:damage, target:normal, count:15, val:0.3]</v>
      </c>
      <c r="O37" s="63">
        <f t="shared" si="69"/>
        <v>9</v>
      </c>
      <c r="P37" s="63">
        <f t="shared" si="70"/>
        <v>27</v>
      </c>
      <c r="Q37" s="63">
        <f t="shared" si="71"/>
        <v>54</v>
      </c>
      <c r="R37" s="63">
        <f t="shared" si="72"/>
        <v>45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si="73"/>
        <v>none</v>
      </c>
      <c r="U37" s="63" t="e">
        <f t="shared" si="74"/>
        <v>#VALUE!</v>
      </c>
      <c r="V37" s="63">
        <f t="shared" si="75"/>
        <v>4</v>
      </c>
      <c r="W37" s="63" t="e">
        <f t="shared" si="76"/>
        <v>#VALUE!</v>
      </c>
      <c r="X37" s="63" t="e">
        <f t="shared" si="77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112">
        <v>50015706</v>
      </c>
      <c r="B38" s="47" t="s">
        <v>391</v>
      </c>
      <c r="C38" s="50">
        <v>3</v>
      </c>
      <c r="D38" s="50" t="s">
        <v>126</v>
      </c>
      <c r="E38" s="51" t="s">
        <v>340</v>
      </c>
      <c r="F38" s="51" t="s">
        <v>429</v>
      </c>
      <c r="G38" s="63" t="str">
        <f t="shared" si="63"/>
        <v>[effect:enemy_message, val1:1.2, val2:1.9]</v>
      </c>
      <c r="H38" s="63">
        <f t="shared" si="64"/>
        <v>9</v>
      </c>
      <c r="I38" s="63">
        <f t="shared" si="65"/>
        <v>22</v>
      </c>
      <c r="J38" s="63" t="e">
        <f t="shared" si="66"/>
        <v>#VALUE!</v>
      </c>
      <c r="K38" s="63">
        <f t="shared" si="67"/>
        <v>32</v>
      </c>
      <c r="L38" s="63" t="str">
        <f>IFERROR(VLOOKUP(MID(G38,J38,K38-J38),[6]skilldef!$C:$D,2,FALSE),"-") &amp; " / " &amp; IFERROR(VLOOKUP(MID(G38,H38,I38-H38),[6]skilldef!$A:$B,2,FALSE),"-")</f>
        <v>- / -</v>
      </c>
      <c r="M38" s="63" t="str">
        <f t="shared" si="68"/>
        <v>[effect:sleep, target:unit_all, turn:1, rate:1],[effect:spread, val:0.3]</v>
      </c>
      <c r="N38" s="48" t="str">
        <f>IFERROR(LEFT(M38,FIND("],",M38)+S50),M38)</f>
        <v>[effect:sleep, target:unit_all, turn:1, rate:1],[effect:spread, val:0.3]</v>
      </c>
      <c r="O38" s="63">
        <f t="shared" si="69"/>
        <v>9</v>
      </c>
      <c r="P38" s="63">
        <f t="shared" si="70"/>
        <v>14</v>
      </c>
      <c r="Q38" s="63">
        <f t="shared" si="71"/>
        <v>23</v>
      </c>
      <c r="R38" s="63">
        <f t="shared" si="72"/>
        <v>31</v>
      </c>
      <c r="S38" s="63" t="str">
        <f>IFERROR(VLOOKUP(MID(N38,Q38,R38-Q38),[6]skilldef!$C:$D,2,FALSE),"-") &amp; " / " &amp; IFERROR(VLOOKUP(MID(N38,O38,P38-O38),[6]skilldef!$A:$B,2,FALSE),"-")</f>
        <v>味方全体に / スリープ</v>
      </c>
      <c r="T38" s="48" t="str">
        <f t="shared" si="73"/>
        <v>[effect:spread, val:0.3]</v>
      </c>
      <c r="U38" s="63">
        <f t="shared" si="74"/>
        <v>9</v>
      </c>
      <c r="V38" s="63">
        <f t="shared" si="75"/>
        <v>15</v>
      </c>
      <c r="W38" s="63" t="e">
        <f t="shared" si="76"/>
        <v>#VALUE!</v>
      </c>
      <c r="X38" s="63" t="e">
        <f t="shared" si="77"/>
        <v>#VALUE!</v>
      </c>
      <c r="Y38" s="63" t="str">
        <f>IFERROR(VLOOKUP(MID(T38,W38,X38-W38),[6]skilldef!$C:$D,2,FALSE),"-") &amp; " / " &amp; IFERROR(VLOOKUP(MID(T38,U38,V38-U38),[6]skilldef!$A:$B,2,FALSE),"-")</f>
        <v>- / 全体攻撃</v>
      </c>
      <c r="Z38" s="50"/>
      <c r="AA38" s="52"/>
      <c r="AB38" s="50"/>
    </row>
    <row r="39" spans="1:28" ht="40" customHeight="1" x14ac:dyDescent="0.15">
      <c r="A39" s="112">
        <v>50015707</v>
      </c>
      <c r="B39" s="47" t="s">
        <v>392</v>
      </c>
      <c r="C39" s="50">
        <v>3</v>
      </c>
      <c r="D39" s="50" t="s">
        <v>126</v>
      </c>
      <c r="E39" s="51" t="s">
        <v>342</v>
      </c>
      <c r="F39" s="51" t="s">
        <v>435</v>
      </c>
      <c r="G39" s="63" t="str">
        <f t="shared" si="63"/>
        <v>[effect:enemy_message, val1:1.2, val2:6.3]</v>
      </c>
      <c r="H39" s="63">
        <f t="shared" si="64"/>
        <v>9</v>
      </c>
      <c r="I39" s="63">
        <f t="shared" si="65"/>
        <v>22</v>
      </c>
      <c r="J39" s="63" t="e">
        <f t="shared" si="66"/>
        <v>#VALUE!</v>
      </c>
      <c r="K39" s="63">
        <f t="shared" si="67"/>
        <v>32</v>
      </c>
      <c r="L39" s="63" t="str">
        <f>IFERROR(VLOOKUP(MID(G39,J39,K39-J39),[6]skilldef!$C:$D,2,FALSE),"-") &amp; " / " &amp; IFERROR(VLOOKUP(MID(G39,H39,I39-H39),[6]skilldef!$A:$B,2,FALSE),"-")</f>
        <v>- / -</v>
      </c>
      <c r="M39" s="63" t="str">
        <f t="shared" si="68"/>
        <v>[effect:force_change_block, new_block:damage, target:normal, color:block_red, count:10, val:0.3],[effect:damage_anti_abnormal, target:unit_one, target_effect01:enhance/attack, val1:1.2, val2:2]</v>
      </c>
      <c r="N39" s="48" t="str">
        <f>IFERROR(LEFT(M39,FIND("],",M39)+S51),M39)</f>
        <v>[effect:force_change_block, new_block:damage, target:normal, color:block_red, count:10, val:0.3],[effect:damage_anti_abnormal, target:unit_one, target_effect01:enhance/attack, val1:1.2, val2:2]</v>
      </c>
      <c r="O39" s="63">
        <f t="shared" si="69"/>
        <v>9</v>
      </c>
      <c r="P39" s="63">
        <f t="shared" si="70"/>
        <v>27</v>
      </c>
      <c r="Q39" s="63">
        <f t="shared" si="71"/>
        <v>54</v>
      </c>
      <c r="R39" s="63">
        <f t="shared" si="72"/>
        <v>45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si="73"/>
        <v>[effect:damage_anti_abnormal, target:unit_one, target_effect01:enhance/attack, val1:1.2, val2:2]</v>
      </c>
      <c r="U39" s="63">
        <f t="shared" si="74"/>
        <v>9</v>
      </c>
      <c r="V39" s="63">
        <f t="shared" si="75"/>
        <v>29</v>
      </c>
      <c r="W39" s="63">
        <f t="shared" si="76"/>
        <v>38</v>
      </c>
      <c r="X39" s="63">
        <f t="shared" si="77"/>
        <v>46</v>
      </c>
      <c r="Y39" s="63" t="str">
        <f>IFERROR(VLOOKUP(MID(T39,W39,X39-W39),[6]skilldef!$C:$D,2,FALSE),"-") &amp; " / " &amp; IFERROR(VLOOKUP(MID(T39,U39,V39-U39),[6]skilldef!$A:$B,2,FALSE),"-")</f>
        <v>味方単体に / -</v>
      </c>
      <c r="Z39" s="50"/>
      <c r="AA39" s="52"/>
      <c r="AB39" s="50"/>
    </row>
    <row r="40" spans="1:28" ht="54" customHeight="1" x14ac:dyDescent="0.15">
      <c r="A40" s="112">
        <v>50015708</v>
      </c>
      <c r="B40" s="125" t="s">
        <v>415</v>
      </c>
      <c r="C40" s="126">
        <v>3</v>
      </c>
      <c r="D40" s="126" t="s">
        <v>126</v>
      </c>
      <c r="E40" s="127" t="s">
        <v>365</v>
      </c>
      <c r="F40" s="127" t="s">
        <v>364</v>
      </c>
      <c r="G40" s="63" t="str">
        <f t="shared" si="63"/>
        <v>[effect:enemy_message, val1:1.7, val2:3.4]</v>
      </c>
      <c r="H40" s="63">
        <f t="shared" si="64"/>
        <v>9</v>
      </c>
      <c r="I40" s="63">
        <f t="shared" si="65"/>
        <v>22</v>
      </c>
      <c r="J40" s="63" t="e">
        <f t="shared" si="66"/>
        <v>#VALUE!</v>
      </c>
      <c r="K40" s="63">
        <f t="shared" si="67"/>
        <v>32</v>
      </c>
      <c r="L40" s="63" t="str">
        <f>IFERROR(VLOOKUP(MID(G40,J40,K40-J40),[6]skilldef!$C:$D,2,FALSE),"-") &amp; " / " &amp; IFERROR(VLOOKUP(MID(G40,H40,I40-H40),[6]skilldef!$A:$B,2,FALSE),"-")</f>
        <v>- / -</v>
      </c>
      <c r="M40" s="63" t="str">
        <f t="shared" si="68"/>
        <v>[effect:tolerance, target:myself, turn:-1, count:-1, tolerance_effect:all, animation:enemy_tolerance],[effect:fix_speed, target:myself, turn:1],[effect:dis_heart, turn:-1, animation:enemy_dis_heart],[effect:set_background, turn:-1, background_id:974, switching_mode:cross_fade, duration:2]</v>
      </c>
      <c r="N40" s="48" t="str">
        <f>IFERROR(LEFT(M40,FIND("],",M40)+S53),M40)</f>
        <v>[effect:tolerance, target:myself, turn:-1, count:-1, tolerance_effect:all, animation:enemy_tolerance],[effect:fix_speed, target:myself, turn:1],[effect:dis_heart, turn:-1, animation:enemy_dis_heart],[effect:set_background, turn:-1, background_id:974, switching_mode:cross_fade, duration:2]</v>
      </c>
      <c r="O40" s="63">
        <f t="shared" si="69"/>
        <v>9</v>
      </c>
      <c r="P40" s="63">
        <f t="shared" si="70"/>
        <v>18</v>
      </c>
      <c r="Q40" s="63">
        <f t="shared" si="71"/>
        <v>27</v>
      </c>
      <c r="R40" s="63">
        <f t="shared" si="72"/>
        <v>33</v>
      </c>
      <c r="S40" s="63" t="str">
        <f>IFERROR(VLOOKUP(MID(N40,Q40,R40-Q40),[6]skilldef!$C:$D,2,FALSE),"-") &amp; " / " &amp; IFERROR(VLOOKUP(MID(N40,O40,P40-O40),[6]skilldef!$A:$B,2,FALSE),"-")</f>
        <v>自分自身に / 状態異常耐性</v>
      </c>
      <c r="T40" s="48" t="str">
        <f t="shared" si="73"/>
        <v>[effect:fix_speed, target:myself, turn:1],[effect:dis_heart, turn:-1, animation:enemy_dis_heart],[effect:set_background, turn:-1, background_id:974, switching_mode:cross_fade, duration:2]</v>
      </c>
      <c r="U40" s="63">
        <f t="shared" si="74"/>
        <v>9</v>
      </c>
      <c r="V40" s="63">
        <f t="shared" si="75"/>
        <v>18</v>
      </c>
      <c r="W40" s="63">
        <f t="shared" si="76"/>
        <v>27</v>
      </c>
      <c r="X40" s="63">
        <f t="shared" si="77"/>
        <v>33</v>
      </c>
      <c r="Y40" s="63" t="str">
        <f>IFERROR(VLOOKUP(MID(T40,W40,X40-W40),[6]skilldef!$C:$D,2,FALSE),"-") &amp; " / " &amp; IFERROR(VLOOKUP(MID(T40,U40,V40-U40),[6]skilldef!$A:$B,2,FALSE),"-")</f>
        <v>自分自身に / 行動値設定</v>
      </c>
      <c r="Z40" s="50"/>
      <c r="AA40" s="52"/>
      <c r="AB40" s="50"/>
    </row>
    <row r="41" spans="1:28" ht="54" customHeight="1" x14ac:dyDescent="0.15">
      <c r="A41" s="112">
        <v>50015710</v>
      </c>
      <c r="B41" s="125" t="s">
        <v>416</v>
      </c>
      <c r="C41" s="126">
        <v>3</v>
      </c>
      <c r="D41" s="126" t="s">
        <v>126</v>
      </c>
      <c r="E41" s="127" t="s">
        <v>369</v>
      </c>
      <c r="F41" s="127" t="s">
        <v>367</v>
      </c>
      <c r="G41" s="63" t="str">
        <f t="shared" ref="G41" si="78">IFERROR(LEFT(B41,FIND("],",B41)),B41)</f>
        <v>[effect:enemy_message, val1:1.7, val2:4.7]</v>
      </c>
      <c r="H41" s="63">
        <f t="shared" ref="H41" si="79">FIND("effect:",G41)+7</f>
        <v>9</v>
      </c>
      <c r="I41" s="63">
        <f t="shared" ref="I41" si="80">IFERROR(FIND(",",G41),LEN(G41))</f>
        <v>22</v>
      </c>
      <c r="J41" s="63" t="e">
        <f t="shared" ref="J41" si="81">FIND("target:",G41)+7</f>
        <v>#VALUE!</v>
      </c>
      <c r="K41" s="63">
        <f t="shared" ref="K41" si="82">FIND(",",G41,I41+1)</f>
        <v>32</v>
      </c>
      <c r="L41" s="63" t="str">
        <f>IFERROR(VLOOKUP(MID(G41,J41,K41-J41),[6]skilldef!$C:$D,2,FALSE),"-") &amp; " / " &amp; IFERROR(VLOOKUP(MID(G41,H41,I41-H41),[6]skilldef!$A:$B,2,FALSE),"-")</f>
        <v>- / -</v>
      </c>
      <c r="M41" s="63" t="str">
        <f t="shared" ref="M41" si="83">IFERROR(RIGHT(B41,LEN(B41)-FIND("],",B41)-1),"none")</f>
        <v>[effect:tolerance, target:myself, turn:-1, count:-1, tolerance_effect:all, animation:enemy_tolerance],[effect:fix_speed, target:myself, turn:1],[effect:dis_heart, turn:-1, animation:enemy_dis_heart],[effect:set_background, turn:-1, background_id:974, switching_mode:cross_fade, duration:2]</v>
      </c>
      <c r="N41" s="48" t="str">
        <f>IFERROR(LEFT(M41,FIND("],",M41)+S54),M41)</f>
        <v>[effect:tolerance, target:myself, turn:-1, count:-1, tolerance_effect:all, animation:enemy_tolerance],[effect:fix_speed, target:myself, turn:1],[effect:dis_heart, turn:-1, animation:enemy_dis_heart],[effect:set_background, turn:-1, background_id:974, switching_mode:cross_fade, duration:2]</v>
      </c>
      <c r="O41" s="63">
        <f t="shared" ref="O41" si="84">FIND("effect:",N41)+7</f>
        <v>9</v>
      </c>
      <c r="P41" s="63">
        <f t="shared" ref="P41" si="85">IFERROR(FIND(",",N41),LEN(N41))</f>
        <v>18</v>
      </c>
      <c r="Q41" s="63">
        <f t="shared" ref="Q41" si="86">FIND("target:",N41)+7</f>
        <v>27</v>
      </c>
      <c r="R41" s="63">
        <f t="shared" ref="R41" si="87">FIND(",",N41,P41+1)</f>
        <v>33</v>
      </c>
      <c r="S41" s="63" t="str">
        <f>IFERROR(VLOOKUP(MID(N41,Q41,R41-Q41),[6]skilldef!$C:$D,2,FALSE),"-") &amp; " / " &amp; IFERROR(VLOOKUP(MID(N41,O41,P41-O41),[6]skilldef!$A:$B,2,FALSE),"-")</f>
        <v>自分自身に / 状態異常耐性</v>
      </c>
      <c r="T41" s="48" t="str">
        <f t="shared" ref="T41" si="88">IFERROR(RIGHT(M41,LEN(M41)-FIND("],",M41)-1),"none")</f>
        <v>[effect:fix_speed, target:myself, turn:1],[effect:dis_heart, turn:-1, animation:enemy_dis_heart],[effect:set_background, turn:-1, background_id:974, switching_mode:cross_fade, duration:2]</v>
      </c>
      <c r="U41" s="63">
        <f t="shared" ref="U41" si="89">FIND("effect:",T41)+7</f>
        <v>9</v>
      </c>
      <c r="V41" s="63">
        <f t="shared" ref="V41" si="90">IFERROR(FIND(",",T41),LEN(T41))</f>
        <v>18</v>
      </c>
      <c r="W41" s="63">
        <f t="shared" ref="W41" si="91">FIND("target:",T41)+7</f>
        <v>27</v>
      </c>
      <c r="X41" s="63">
        <f t="shared" ref="X41" si="92">FIND(",",T41,V41+1)</f>
        <v>33</v>
      </c>
      <c r="Y41" s="63" t="str">
        <f>IFERROR(VLOOKUP(MID(T41,W41,X41-W41),[6]skilldef!$C:$D,2,FALSE),"-") &amp; " / " &amp; IFERROR(VLOOKUP(MID(T41,U41,V41-U41),[6]skilldef!$A:$B,2,FALSE),"-")</f>
        <v>自分自身に / 行動値設定</v>
      </c>
      <c r="Z41" s="50"/>
      <c r="AA41" s="52"/>
      <c r="AB41" s="50"/>
    </row>
    <row r="42" spans="1:28" ht="48" customHeight="1" x14ac:dyDescent="0.15">
      <c r="A42" s="113">
        <v>50015800</v>
      </c>
      <c r="B42" s="47" t="s">
        <v>420</v>
      </c>
      <c r="C42" s="50">
        <v>3</v>
      </c>
      <c r="D42" s="50" t="s">
        <v>126</v>
      </c>
      <c r="E42" s="51" t="s">
        <v>320</v>
      </c>
      <c r="F42" s="51" t="s">
        <v>422</v>
      </c>
      <c r="G42" s="63" t="str">
        <f t="shared" si="63"/>
        <v>[effect:enemy_message, val1:1.9, val2:2.5]</v>
      </c>
      <c r="H42" s="63">
        <f t="shared" si="64"/>
        <v>9</v>
      </c>
      <c r="I42" s="63">
        <f t="shared" si="65"/>
        <v>22</v>
      </c>
      <c r="J42" s="63" t="e">
        <f t="shared" si="66"/>
        <v>#VALUE!</v>
      </c>
      <c r="K42" s="63">
        <f t="shared" si="67"/>
        <v>32</v>
      </c>
      <c r="L42" s="63" t="str">
        <f>IFERROR(VLOOKUP(MID(G42,J42,K42-J42),[6]skilldef!$C:$D,2,FALSE),"-") &amp; " / " &amp; IFERROR(VLOOKUP(MID(G42,H42,I42-H42),[6]skilldef!$A:$B,2,FALSE),"-")</f>
        <v>- / -</v>
      </c>
      <c r="M42" s="63" t="str">
        <f t="shared" si="68"/>
        <v>[effect:tolerance, target:myself, turn:-1, count:-1, tolerance_effect:all, animation:enemy_tolerance],[effect:fix_speed, target:myself, turn:1],[effect:change_bomb_range, target:unit_all, val:0.5, rate:1, turn:5, animation:bomb_small]</v>
      </c>
      <c r="N42" s="48" t="str">
        <f t="shared" ref="N42:N43" si="93">IFERROR(LEFT(M42,FIND("],",M42)+S52),M42)</f>
        <v>[effect:tolerance, target:myself, turn:-1, count:-1, tolerance_effect:all, animation:enemy_tolerance],[effect:fix_speed, target:myself, turn:1],[effect:change_bomb_range, target:unit_all, val:0.5, rate:1, turn:5, animation:bomb_small]</v>
      </c>
      <c r="O42" s="63">
        <f t="shared" si="69"/>
        <v>9</v>
      </c>
      <c r="P42" s="63">
        <f t="shared" si="70"/>
        <v>18</v>
      </c>
      <c r="Q42" s="63">
        <f t="shared" si="71"/>
        <v>27</v>
      </c>
      <c r="R42" s="63">
        <f t="shared" si="72"/>
        <v>33</v>
      </c>
      <c r="S42" s="63" t="str">
        <f>IFERROR(VLOOKUP(MID(N42,Q42,R42-Q42),[6]skilldef!$C:$D,2,FALSE),"-") &amp; " / " &amp; IFERROR(VLOOKUP(MID(N42,O42,P42-O42),[6]skilldef!$A:$B,2,FALSE),"-")</f>
        <v>自分自身に / 状態異常耐性</v>
      </c>
      <c r="T42" s="48" t="str">
        <f t="shared" si="73"/>
        <v>[effect:fix_speed, target:myself, turn:1],[effect:change_bomb_range, target:unit_all, val:0.5, rate:1, turn:5, animation:bomb_small]</v>
      </c>
      <c r="U42" s="63">
        <f t="shared" si="74"/>
        <v>9</v>
      </c>
      <c r="V42" s="63">
        <f t="shared" si="75"/>
        <v>18</v>
      </c>
      <c r="W42" s="63">
        <f t="shared" si="76"/>
        <v>27</v>
      </c>
      <c r="X42" s="63">
        <f t="shared" si="77"/>
        <v>33</v>
      </c>
      <c r="Y42" s="63" t="str">
        <f>IFERROR(VLOOKUP(MID(T42,W42,X42-W42),[6]skilldef!$C:$D,2,FALSE),"-") &amp; " / " &amp; IFERROR(VLOOKUP(MID(T42,U42,V42-U42),[6]skilldef!$A:$B,2,FALSE),"-")</f>
        <v>自分自身に / 行動値設定</v>
      </c>
      <c r="Z42" s="50"/>
      <c r="AA42" s="52"/>
      <c r="AB42" s="50"/>
    </row>
    <row r="43" spans="1:28" ht="21" customHeight="1" x14ac:dyDescent="0.15">
      <c r="A43" s="113">
        <v>50015801</v>
      </c>
      <c r="B43" s="47" t="s">
        <v>393</v>
      </c>
      <c r="C43" s="50">
        <v>3</v>
      </c>
      <c r="D43" s="50" t="s">
        <v>126</v>
      </c>
      <c r="E43" s="51" t="s">
        <v>335</v>
      </c>
      <c r="F43" s="51" t="s">
        <v>324</v>
      </c>
      <c r="G43" s="63" t="str">
        <f t="shared" si="63"/>
        <v>[effect:enemy_message, val1:1.2, val2:2.5]</v>
      </c>
      <c r="H43" s="63">
        <f t="shared" si="64"/>
        <v>9</v>
      </c>
      <c r="I43" s="63">
        <f t="shared" si="65"/>
        <v>22</v>
      </c>
      <c r="J43" s="63" t="e">
        <f t="shared" si="66"/>
        <v>#VALUE!</v>
      </c>
      <c r="K43" s="63">
        <f t="shared" si="67"/>
        <v>32</v>
      </c>
      <c r="L43" s="63" t="str">
        <f>IFERROR(VLOOKUP(MID(G43,J43,K43-J43),[6]skilldef!$C:$D,2,FALSE),"-") &amp; " / " &amp; IFERROR(VLOOKUP(MID(G43,H43,I43-H43),[6]skilldef!$A:$B,2,FALSE),"-")</f>
        <v>- / -</v>
      </c>
      <c r="M43" s="63" t="str">
        <f t="shared" si="68"/>
        <v>[effect:force_change_block, new_block:damage, target:normal, color:block_red, count:7, val:0.3],[effect:rush, count:1, val:1.0]</v>
      </c>
      <c r="N43" s="48" t="str">
        <f t="shared" si="93"/>
        <v>[effect:force_change_block, new_block:damage, target:normal, color:block_red, count:7, val:0.3],[effect:rush, count:1, val:1.0]</v>
      </c>
      <c r="O43" s="63">
        <f t="shared" si="69"/>
        <v>9</v>
      </c>
      <c r="P43" s="63">
        <f t="shared" si="70"/>
        <v>27</v>
      </c>
      <c r="Q43" s="63">
        <f t="shared" si="71"/>
        <v>54</v>
      </c>
      <c r="R43" s="63">
        <f t="shared" si="72"/>
        <v>45</v>
      </c>
      <c r="S43" s="63" t="str">
        <f>IFERROR(VLOOKUP(MID(N43,Q43,R43-Q43),[6]skilldef!$C:$D,2,FALSE),"-") &amp; " / " &amp; IFERROR(VLOOKUP(MID(N43,O43,P43-O43),[6]skilldef!$A:$B,2,FALSE),"-")</f>
        <v>- / -</v>
      </c>
      <c r="T43" s="48" t="str">
        <f t="shared" si="73"/>
        <v>[effect:rush, count:1, val:1.0]</v>
      </c>
      <c r="U43" s="63">
        <f t="shared" si="74"/>
        <v>9</v>
      </c>
      <c r="V43" s="63">
        <f t="shared" si="75"/>
        <v>13</v>
      </c>
      <c r="W43" s="63" t="e">
        <f t="shared" si="76"/>
        <v>#VALUE!</v>
      </c>
      <c r="X43" s="63">
        <f t="shared" si="77"/>
        <v>22</v>
      </c>
      <c r="Y43" s="63" t="str">
        <f>IFERROR(VLOOKUP(MID(T43,W43,X43-W43),[6]skilldef!$C:$D,2,FALSE),"-") &amp; " / " &amp; IFERROR(VLOOKUP(MID(T43,U43,V43-U43),[6]skilldef!$A:$B,2,FALSE),"-")</f>
        <v>- / 連続攻撃</v>
      </c>
      <c r="Z43" s="50"/>
      <c r="AA43" s="52"/>
      <c r="AB43" s="50"/>
    </row>
    <row r="44" spans="1:28" ht="39" customHeight="1" x14ac:dyDescent="0.15">
      <c r="A44" s="113">
        <v>50015802</v>
      </c>
      <c r="B44" s="47" t="s">
        <v>394</v>
      </c>
      <c r="C44" s="50">
        <v>3</v>
      </c>
      <c r="D44" s="50" t="s">
        <v>126</v>
      </c>
      <c r="E44" s="51" t="s">
        <v>327</v>
      </c>
      <c r="F44" s="51" t="s">
        <v>286</v>
      </c>
      <c r="G44" s="63" t="str">
        <f t="shared" si="63"/>
        <v>[effect:enemy_message, val1:1.2, val2:1.2]</v>
      </c>
      <c r="H44" s="63">
        <f t="shared" si="64"/>
        <v>9</v>
      </c>
      <c r="I44" s="63">
        <f t="shared" si="65"/>
        <v>22</v>
      </c>
      <c r="J44" s="63" t="e">
        <f t="shared" si="66"/>
        <v>#VALUE!</v>
      </c>
      <c r="K44" s="63">
        <f t="shared" si="67"/>
        <v>32</v>
      </c>
      <c r="L44" s="63" t="str">
        <f>IFERROR(VLOOKUP(MID(G44,J44,K44-J44),[6]skilldef!$C:$D,2,FALSE),"-") &amp; " / " &amp; IFERROR(VLOOKUP(MID(G44,H44,I44-H44),[6]skilldef!$A:$B,2,FALSE),"-")</f>
        <v>- / -</v>
      </c>
      <c r="M44" s="63" t="str">
        <f t="shared" si="68"/>
        <v>[effect:critical, val:1.5, animation:enemy_critical]</v>
      </c>
      <c r="N44" s="48" t="str">
        <f>IFERROR(LEFT(M44,FIND("],",M44)+#REF!),M44)</f>
        <v>[effect:critical, val:1.5, animation:enemy_critical]</v>
      </c>
      <c r="O44" s="63">
        <f t="shared" si="69"/>
        <v>9</v>
      </c>
      <c r="P44" s="63">
        <f t="shared" si="70"/>
        <v>17</v>
      </c>
      <c r="Q44" s="63" t="e">
        <f t="shared" si="71"/>
        <v>#VALUE!</v>
      </c>
      <c r="R44" s="63">
        <f t="shared" si="72"/>
        <v>26</v>
      </c>
      <c r="S44" s="63" t="str">
        <f>IFERROR(VLOOKUP(MID(N44,Q44,R44-Q44),[6]skilldef!$C:$D,2,FALSE),"-") &amp; " / " &amp; IFERROR(VLOOKUP(MID(N44,O44,P44-O44),[6]skilldef!$A:$B,2,FALSE),"-")</f>
        <v>- / 大攻撃</v>
      </c>
      <c r="T44" s="48" t="str">
        <f t="shared" si="73"/>
        <v>none</v>
      </c>
      <c r="U44" s="63" t="e">
        <f t="shared" si="74"/>
        <v>#VALUE!</v>
      </c>
      <c r="V44" s="63">
        <f t="shared" si="75"/>
        <v>4</v>
      </c>
      <c r="W44" s="63" t="e">
        <f t="shared" si="76"/>
        <v>#VALUE!</v>
      </c>
      <c r="X44" s="63" t="e">
        <f t="shared" si="77"/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 x14ac:dyDescent="0.15">
      <c r="A45" s="113">
        <v>50015803</v>
      </c>
      <c r="B45" s="47" t="s">
        <v>389</v>
      </c>
      <c r="C45" s="50">
        <v>3</v>
      </c>
      <c r="D45" s="50" t="s">
        <v>126</v>
      </c>
      <c r="E45" s="51" t="s">
        <v>331</v>
      </c>
      <c r="F45" s="51" t="s">
        <v>257</v>
      </c>
      <c r="G45" s="63" t="str">
        <f t="shared" si="63"/>
        <v>[effect:enemy_message, val1:1.2, val2:1.3]</v>
      </c>
      <c r="H45" s="63">
        <f t="shared" si="64"/>
        <v>9</v>
      </c>
      <c r="I45" s="63">
        <f t="shared" si="65"/>
        <v>22</v>
      </c>
      <c r="J45" s="63" t="e">
        <f t="shared" si="66"/>
        <v>#VALUE!</v>
      </c>
      <c r="K45" s="63">
        <f t="shared" si="67"/>
        <v>32</v>
      </c>
      <c r="L45" s="63" t="str">
        <f>IFERROR(VLOOKUP(MID(G45,J45,K45-J45),[6]skilldef!$C:$D,2,FALSE),"-") &amp; " / " &amp; IFERROR(VLOOKUP(MID(G45,H45,I45-H45),[6]skilldef!$A:$B,2,FALSE),"-")</f>
        <v>- / -</v>
      </c>
      <c r="M45" s="63" t="str">
        <f t="shared" si="68"/>
        <v>[effect:break_attack_fix, target:unit_one, val:1000, lowest_val:8000, count:-1, block01:jammer]</v>
      </c>
      <c r="N45" s="48" t="str">
        <f>IFERROR(LEFT(M45,FIND("],",M45)+#REF!),M45)</f>
        <v>[effect:break_attack_fix, target:unit_one, val:1000, lowest_val:8000, count:-1, block01:jammer]</v>
      </c>
      <c r="O45" s="63">
        <f t="shared" si="69"/>
        <v>9</v>
      </c>
      <c r="P45" s="63">
        <f t="shared" si="70"/>
        <v>25</v>
      </c>
      <c r="Q45" s="63">
        <f t="shared" si="71"/>
        <v>34</v>
      </c>
      <c r="R45" s="63">
        <f t="shared" si="72"/>
        <v>42</v>
      </c>
      <c r="S45" s="63" t="str">
        <f>IFERROR(VLOOKUP(MID(N45,Q45,R45-Q45),[6]skilldef!$C:$D,2,FALSE),"-") &amp; " / " &amp; IFERROR(VLOOKUP(MID(N45,O45,P45-O45),[6]skilldef!$A:$B,2,FALSE),"-")</f>
        <v>味方単体に / -</v>
      </c>
      <c r="T45" s="48" t="str">
        <f t="shared" si="73"/>
        <v>none</v>
      </c>
      <c r="U45" s="63" t="e">
        <f t="shared" si="74"/>
        <v>#VALUE!</v>
      </c>
      <c r="V45" s="63">
        <f t="shared" si="75"/>
        <v>4</v>
      </c>
      <c r="W45" s="63" t="e">
        <f t="shared" si="76"/>
        <v>#VALUE!</v>
      </c>
      <c r="X45" s="63" t="e">
        <f t="shared" si="77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 x14ac:dyDescent="0.15">
      <c r="A46" s="113">
        <v>50015804</v>
      </c>
      <c r="B46" s="47" t="s">
        <v>395</v>
      </c>
      <c r="C46" s="50">
        <v>3</v>
      </c>
      <c r="D46" s="50" t="s">
        <v>126</v>
      </c>
      <c r="E46" s="51" t="s">
        <v>319</v>
      </c>
      <c r="F46" s="51" t="s">
        <v>281</v>
      </c>
      <c r="G46" s="63" t="str">
        <f t="shared" si="63"/>
        <v>[effect:enemy_message, val1:1.4, val2:2.4]</v>
      </c>
      <c r="H46" s="63">
        <f t="shared" si="64"/>
        <v>9</v>
      </c>
      <c r="I46" s="63">
        <f t="shared" si="65"/>
        <v>22</v>
      </c>
      <c r="J46" s="63" t="e">
        <f t="shared" si="66"/>
        <v>#VALUE!</v>
      </c>
      <c r="K46" s="63">
        <f t="shared" si="67"/>
        <v>32</v>
      </c>
      <c r="L46" s="63" t="str">
        <f>IFERROR(VLOOKUP(MID(G46,J46,K46-J46),[6]skilldef!$C:$D,2,FALSE),"-") &amp; " / " &amp; IFERROR(VLOOKUP(MID(G46,H46,I46-H46),[6]skilldef!$A:$B,2,FALSE),"-")</f>
        <v>- / -</v>
      </c>
      <c r="M46" s="63" t="str">
        <f t="shared" si="68"/>
        <v>[effect:crash_condition, target:unit_all, turn:5, val:11, animation:enemy_crash_extend]</v>
      </c>
      <c r="N46" s="48" t="str">
        <f>IFERROR(LEFT(M46,FIND("],",M46)+#REF!),M46)</f>
        <v>[effect:crash_condition, target:unit_all, turn:5, val:11, animation:enemy_crash_extend]</v>
      </c>
      <c r="O46" s="63">
        <f t="shared" si="69"/>
        <v>9</v>
      </c>
      <c r="P46" s="63">
        <f t="shared" si="70"/>
        <v>24</v>
      </c>
      <c r="Q46" s="63">
        <f t="shared" si="71"/>
        <v>33</v>
      </c>
      <c r="R46" s="63">
        <f t="shared" si="72"/>
        <v>41</v>
      </c>
      <c r="S46" s="63" t="str">
        <f>IFERROR(VLOOKUP(MID(N46,Q46,R46-Q46),[6]skilldef!$C:$D,2,FALSE),"-") &amp; " / " &amp; IFERROR(VLOOKUP(MID(N46,O46,P46-O46),[6]skilldef!$A:$B,2,FALSE),"-")</f>
        <v>味方全体に / -</v>
      </c>
      <c r="T46" s="48" t="str">
        <f t="shared" si="73"/>
        <v>none</v>
      </c>
      <c r="U46" s="63" t="e">
        <f t="shared" si="74"/>
        <v>#VALUE!</v>
      </c>
      <c r="V46" s="63">
        <f t="shared" si="75"/>
        <v>4</v>
      </c>
      <c r="W46" s="63" t="e">
        <f t="shared" si="76"/>
        <v>#VALUE!</v>
      </c>
      <c r="X46" s="63" t="e">
        <f t="shared" si="77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113">
        <v>50015805</v>
      </c>
      <c r="B47" s="47" t="s">
        <v>403</v>
      </c>
      <c r="C47" s="50">
        <v>3</v>
      </c>
      <c r="D47" s="50" t="s">
        <v>126</v>
      </c>
      <c r="E47" s="51" t="s">
        <v>337</v>
      </c>
      <c r="F47" s="51" t="s">
        <v>267</v>
      </c>
      <c r="G47" s="63" t="str">
        <f t="shared" si="63"/>
        <v>[effect:enemy_message, val1:1.2, val2:1.2]</v>
      </c>
      <c r="H47" s="63">
        <f t="shared" si="64"/>
        <v>9</v>
      </c>
      <c r="I47" s="63">
        <f t="shared" si="65"/>
        <v>22</v>
      </c>
      <c r="J47" s="63" t="e">
        <f t="shared" si="66"/>
        <v>#VALUE!</v>
      </c>
      <c r="K47" s="63">
        <f t="shared" si="67"/>
        <v>32</v>
      </c>
      <c r="L47" s="63" t="str">
        <f>IFERROR(VLOOKUP(MID(G47,J47,K47-J47),[6]skilldef!$C:$D,2,FALSE),"-") &amp; " / " &amp; IFERROR(VLOOKUP(MID(G47,H47,I47-H47),[6]skilldef!$A:$B,2,FALSE),"-")</f>
        <v>- / -</v>
      </c>
      <c r="M47" s="63" t="str">
        <f t="shared" si="68"/>
        <v>[effect:break_heal_fix, target:myself, val:30000, lowest_val:10000, count:-1, block01:block_red, animation:enemy_heal]</v>
      </c>
      <c r="N47" s="48" t="str">
        <f>IFERROR(LEFT(M47,FIND("],",M47)+#REF!),M47)</f>
        <v>[effect:break_heal_fix, target:myself, val:30000, lowest_val:10000, count:-1, block01:block_red, animation:enemy_heal]</v>
      </c>
      <c r="O47" s="63">
        <f t="shared" si="69"/>
        <v>9</v>
      </c>
      <c r="P47" s="63">
        <f t="shared" si="70"/>
        <v>23</v>
      </c>
      <c r="Q47" s="63">
        <f t="shared" si="71"/>
        <v>32</v>
      </c>
      <c r="R47" s="63">
        <f t="shared" si="72"/>
        <v>38</v>
      </c>
      <c r="S47" s="63" t="str">
        <f>IFERROR(VLOOKUP(MID(N47,Q47,R47-Q47),[6]skilldef!$C:$D,2,FALSE),"-") &amp; " / " &amp; IFERROR(VLOOKUP(MID(N47,O47,P47-O47),[6]skilldef!$A:$B,2,FALSE),"-")</f>
        <v>自分自身に / -</v>
      </c>
      <c r="T47" s="48" t="str">
        <f t="shared" si="73"/>
        <v>none</v>
      </c>
      <c r="U47" s="63" t="e">
        <f t="shared" si="74"/>
        <v>#VALUE!</v>
      </c>
      <c r="V47" s="63">
        <f t="shared" si="75"/>
        <v>4</v>
      </c>
      <c r="W47" s="63" t="e">
        <f t="shared" si="76"/>
        <v>#VALUE!</v>
      </c>
      <c r="X47" s="63" t="e">
        <f t="shared" si="77"/>
        <v>#VALUE!</v>
      </c>
      <c r="Y47" s="63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65" customHeight="1" x14ac:dyDescent="0.15">
      <c r="A48" s="114">
        <v>50015900</v>
      </c>
      <c r="B48" s="47" t="s">
        <v>419</v>
      </c>
      <c r="C48" s="50">
        <v>3</v>
      </c>
      <c r="D48" s="50" t="s">
        <v>126</v>
      </c>
      <c r="E48" s="51" t="s">
        <v>338</v>
      </c>
      <c r="F48" s="51" t="s">
        <v>428</v>
      </c>
      <c r="G48" s="63" t="str">
        <f t="shared" si="63"/>
        <v>[effect:enemy_message, val1:2.5, val2:7.6]</v>
      </c>
      <c r="H48" s="63">
        <f t="shared" si="64"/>
        <v>9</v>
      </c>
      <c r="I48" s="63">
        <f t="shared" si="65"/>
        <v>22</v>
      </c>
      <c r="J48" s="63" t="e">
        <f t="shared" si="66"/>
        <v>#VALUE!</v>
      </c>
      <c r="K48" s="63">
        <f t="shared" si="67"/>
        <v>32</v>
      </c>
      <c r="L48" s="63" t="str">
        <f>IFERROR(VLOOKUP(MID(G48,J48,K48-J48),[6]skilldef!$C:$D,2,FALSE),"-") &amp; " / " &amp; IFERROR(VLOOKUP(MID(G48,H48,I48-H48),[6]skilldef!$A:$B,2,FALSE),"-")</f>
        <v>- / -</v>
      </c>
      <c r="M48" s="63" t="str">
        <f t="shared" si="68"/>
        <v>[effect:tolerance, target:myself, turn:-1, count:-1, tolerance_effect:all, animation:enemy_tolerance],[effect:drop_block, block_type:jammer, color:block_heart, val:0, rate:1, turn:-1, animation:jammer_influence04],[effect:reduction, target:myself, color:all, turn:1, val:0.8, animation:reduction_one01],[effect:fix_speed, target:myself, turn:1]</v>
      </c>
      <c r="N48" s="48" t="str">
        <f>IFERROR(LEFT(M48,FIND("],",M48)+#REF!),M48)</f>
        <v>[effect:tolerance, target:myself, turn:-1, count:-1, tolerance_effect:all, animation:enemy_tolerance],[effect:drop_block, block_type:jammer, color:block_heart, val:0, rate:1, turn:-1, animation:jammer_influence04],[effect:reduction, target:myself, color:all, turn:1, val:0.8, animation:reduction_one01],[effect:fix_speed, target:myself, turn:1]</v>
      </c>
      <c r="O48" s="63">
        <f t="shared" si="69"/>
        <v>9</v>
      </c>
      <c r="P48" s="63">
        <f t="shared" si="70"/>
        <v>18</v>
      </c>
      <c r="Q48" s="63">
        <f t="shared" si="71"/>
        <v>27</v>
      </c>
      <c r="R48" s="63">
        <f t="shared" si="72"/>
        <v>33</v>
      </c>
      <c r="S48" s="63" t="str">
        <f>IFERROR(VLOOKUP(MID(N48,Q48,R48-Q48),[6]skilldef!$C:$D,2,FALSE),"-") &amp; " / " &amp; IFERROR(VLOOKUP(MID(N48,O48,P48-O48),[6]skilldef!$A:$B,2,FALSE),"-")</f>
        <v>自分自身に / 状態異常耐性</v>
      </c>
      <c r="T48" s="48" t="str">
        <f t="shared" si="73"/>
        <v>[effect:drop_block, block_type:jammer, color:block_heart, val:0, rate:1, turn:-1, animation:jammer_influence04],[effect:reduction, target:myself, color:all, turn:1, val:0.8, animation:reduction_one01],[effect:fix_speed, target:myself, turn:1]</v>
      </c>
      <c r="U48" s="63">
        <f t="shared" si="74"/>
        <v>9</v>
      </c>
      <c r="V48" s="63">
        <f t="shared" si="75"/>
        <v>19</v>
      </c>
      <c r="W48" s="63">
        <f t="shared" si="76"/>
        <v>139</v>
      </c>
      <c r="X48" s="63">
        <f t="shared" si="77"/>
        <v>38</v>
      </c>
      <c r="Y48" s="63" t="str">
        <f>IFERROR(VLOOKUP(MID(T48,W48,X48-W48),[6]skilldef!$C:$D,2,FALSE),"-") &amp; " / " &amp; IFERROR(VLOOKUP(MID(T48,U48,V48-U48),[6]skilldef!$A:$B,2,FALSE),"-")</f>
        <v>- / 特定ブロックの割合ドロップ</v>
      </c>
      <c r="Z48" s="50"/>
      <c r="AA48" s="52"/>
      <c r="AB48" s="50"/>
    </row>
    <row r="49" spans="1:28" ht="47" customHeight="1" x14ac:dyDescent="0.15">
      <c r="A49" s="114">
        <v>50015901</v>
      </c>
      <c r="B49" s="47" t="s">
        <v>404</v>
      </c>
      <c r="C49" s="50">
        <v>3</v>
      </c>
      <c r="D49" s="50" t="s">
        <v>126</v>
      </c>
      <c r="E49" s="51" t="s">
        <v>336</v>
      </c>
      <c r="F49" s="51" t="s">
        <v>430</v>
      </c>
      <c r="G49" s="63" t="str">
        <f t="shared" si="63"/>
        <v>[effect:enemy_message, val1:1.5, val2:5.8]</v>
      </c>
      <c r="H49" s="63">
        <f t="shared" si="64"/>
        <v>9</v>
      </c>
      <c r="I49" s="63">
        <f t="shared" si="65"/>
        <v>22</v>
      </c>
      <c r="J49" s="63" t="e">
        <f t="shared" si="66"/>
        <v>#VALUE!</v>
      </c>
      <c r="K49" s="63">
        <f t="shared" si="67"/>
        <v>32</v>
      </c>
      <c r="L49" s="63" t="str">
        <f>IFERROR(VLOOKUP(MID(G49,J49,K49-J49),[6]skilldef!$C:$D,2,FALSE),"-") &amp; " / " &amp; IFERROR(VLOOKUP(MID(G49,H49,I49-H49),[6]skilldef!$A:$B,2,FALSE),"-")</f>
        <v>- / -</v>
      </c>
      <c r="M49" s="63" t="str">
        <f t="shared" si="68"/>
        <v>[effect:reduction, target:myself, color:all, turn:1, val:0.6, animation:reduction_one01],[effect:damage_anti_abnormal, target:unit_one, target_effect01:enhance/attack, val1:1.2, val2:2.5]</v>
      </c>
      <c r="N49" s="48" t="str">
        <f>IFERROR(LEFT(M49,FIND("],",M49)+#REF!),M49)</f>
        <v>[effect:reduction, target:myself, color:all, turn:1, val:0.6, animation:reduction_one01],[effect:damage_anti_abnormal, target:unit_one, target_effect01:enhance/attack, val1:1.2, val2:2.5]</v>
      </c>
      <c r="O49" s="63">
        <f t="shared" si="69"/>
        <v>9</v>
      </c>
      <c r="P49" s="63">
        <f t="shared" si="70"/>
        <v>18</v>
      </c>
      <c r="Q49" s="63">
        <f t="shared" si="71"/>
        <v>27</v>
      </c>
      <c r="R49" s="63">
        <f t="shared" si="72"/>
        <v>33</v>
      </c>
      <c r="S49" s="63" t="str">
        <f>IFERROR(VLOOKUP(MID(N49,Q49,R49-Q49),[6]skilldef!$C:$D,2,FALSE),"-") &amp; " / " &amp; IFERROR(VLOOKUP(MID(N49,O49,P49-O49),[6]skilldef!$A:$B,2,FALSE),"-")</f>
        <v>自分自身に / -</v>
      </c>
      <c r="T49" s="48" t="str">
        <f t="shared" si="73"/>
        <v>[effect:damage_anti_abnormal, target:unit_one, target_effect01:enhance/attack, val1:1.2, val2:2.5]</v>
      </c>
      <c r="U49" s="63">
        <f t="shared" si="74"/>
        <v>9</v>
      </c>
      <c r="V49" s="63">
        <f t="shared" si="75"/>
        <v>29</v>
      </c>
      <c r="W49" s="63">
        <f t="shared" si="76"/>
        <v>38</v>
      </c>
      <c r="X49" s="63">
        <f t="shared" si="77"/>
        <v>46</v>
      </c>
      <c r="Y49" s="63" t="str">
        <f>IFERROR(VLOOKUP(MID(T49,W49,X49-W49),[6]skilldef!$C:$D,2,FALSE),"-") &amp; " / " &amp; IFERROR(VLOOKUP(MID(T49,U49,V49-U49),[6]skilldef!$A:$B,2,FALSE),"-")</f>
        <v>味方単体に / -</v>
      </c>
      <c r="Z49" s="50"/>
      <c r="AA49" s="52"/>
      <c r="AB49" s="50"/>
    </row>
    <row r="50" spans="1:28" ht="58" customHeight="1" x14ac:dyDescent="0.15">
      <c r="A50" s="114">
        <v>50015902</v>
      </c>
      <c r="B50" s="47" t="s">
        <v>405</v>
      </c>
      <c r="C50" s="50">
        <v>3</v>
      </c>
      <c r="D50" s="50" t="s">
        <v>126</v>
      </c>
      <c r="E50" s="51" t="s">
        <v>321</v>
      </c>
      <c r="F50" s="51" t="s">
        <v>431</v>
      </c>
      <c r="G50" s="63" t="str">
        <f t="shared" si="63"/>
        <v>[effect:enemy_message, val1:1.2, val2:5.8]</v>
      </c>
      <c r="H50" s="63">
        <f t="shared" si="64"/>
        <v>9</v>
      </c>
      <c r="I50" s="63">
        <f t="shared" si="65"/>
        <v>22</v>
      </c>
      <c r="J50" s="63" t="e">
        <f t="shared" si="66"/>
        <v>#VALUE!</v>
      </c>
      <c r="K50" s="63">
        <f t="shared" si="67"/>
        <v>32</v>
      </c>
      <c r="L50" s="63" t="str">
        <f>IFERROR(VLOOKUP(MID(G50,J50,K50-J50),[6]skilldef!$C:$D,2,FALSE),"-") &amp; " / " &amp; IFERROR(VLOOKUP(MID(G50,H50,I50-H50),[6]skilldef!$A:$B,2,FALSE),"-")</f>
        <v>- / -</v>
      </c>
      <c r="M50" s="63" t="str">
        <f t="shared" si="68"/>
        <v>[effect:reduction, target:myself, color:all, turn:1, val:0.4, animation:reduction_one01],[effect:damage_anti_abnormal, target:unit_one, target_effect01:enhance/attack, val1:1.2, val2:2.5]</v>
      </c>
      <c r="N50" s="48" t="str">
        <f>IFERROR(LEFT(M50,FIND("],",M50)+#REF!),M50)</f>
        <v>[effect:reduction, target:myself, color:all, turn:1, val:0.4, animation:reduction_one01],[effect:damage_anti_abnormal, target:unit_one, target_effect01:enhance/attack, val1:1.2, val2:2.5]</v>
      </c>
      <c r="O50" s="63">
        <f t="shared" si="69"/>
        <v>9</v>
      </c>
      <c r="P50" s="63">
        <f t="shared" si="70"/>
        <v>18</v>
      </c>
      <c r="Q50" s="63">
        <f t="shared" si="71"/>
        <v>27</v>
      </c>
      <c r="R50" s="63">
        <f t="shared" si="72"/>
        <v>33</v>
      </c>
      <c r="S50" s="63" t="str">
        <f>IFERROR(VLOOKUP(MID(N50,Q50,R50-Q50),[6]skilldef!$C:$D,2,FALSE),"-") &amp; " / " &amp; IFERROR(VLOOKUP(MID(N50,O50,P50-O50),[6]skilldef!$A:$B,2,FALSE),"-")</f>
        <v>自分自身に / -</v>
      </c>
      <c r="T50" s="48" t="str">
        <f t="shared" si="73"/>
        <v>[effect:damage_anti_abnormal, target:unit_one, target_effect01:enhance/attack, val1:1.2, val2:2.5]</v>
      </c>
      <c r="U50" s="63">
        <f t="shared" si="74"/>
        <v>9</v>
      </c>
      <c r="V50" s="63">
        <f t="shared" si="75"/>
        <v>29</v>
      </c>
      <c r="W50" s="63">
        <f t="shared" si="76"/>
        <v>38</v>
      </c>
      <c r="X50" s="63">
        <f t="shared" si="77"/>
        <v>46</v>
      </c>
      <c r="Y50" s="63" t="str">
        <f>IFERROR(VLOOKUP(MID(T50,W50,X50-W50),[6]skilldef!$C:$D,2,FALSE),"-") &amp; " / " &amp; IFERROR(VLOOKUP(MID(T50,U50,V50-U50),[6]skilldef!$A:$B,2,FALSE),"-")</f>
        <v>味方単体に / -</v>
      </c>
      <c r="Z50" s="50"/>
      <c r="AA50" s="52"/>
      <c r="AB50" s="50"/>
    </row>
    <row r="51" spans="1:28" ht="41" customHeight="1" x14ac:dyDescent="0.15">
      <c r="A51" s="114">
        <v>50015903</v>
      </c>
      <c r="B51" s="47" t="s">
        <v>406</v>
      </c>
      <c r="C51" s="50">
        <v>3</v>
      </c>
      <c r="D51" s="50" t="s">
        <v>126</v>
      </c>
      <c r="E51" s="51" t="s">
        <v>322</v>
      </c>
      <c r="F51" s="51" t="s">
        <v>432</v>
      </c>
      <c r="G51" s="63" t="str">
        <f t="shared" si="63"/>
        <v>[effect:enemy_message, val1:1.2, val2:5.8]</v>
      </c>
      <c r="H51" s="63">
        <f t="shared" si="64"/>
        <v>9</v>
      </c>
      <c r="I51" s="63">
        <f t="shared" si="65"/>
        <v>22</v>
      </c>
      <c r="J51" s="63" t="e">
        <f t="shared" si="66"/>
        <v>#VALUE!</v>
      </c>
      <c r="K51" s="63">
        <f t="shared" si="67"/>
        <v>32</v>
      </c>
      <c r="L51" s="63" t="str">
        <f>IFERROR(VLOOKUP(MID(G51,J51,K51-J51),[6]skilldef!$C:$D,2,FALSE),"-") &amp; " / " &amp; IFERROR(VLOOKUP(MID(G51,H51,I51-H51),[6]skilldef!$A:$B,2,FALSE),"-")</f>
        <v>- / -</v>
      </c>
      <c r="M51" s="63" t="str">
        <f t="shared" si="68"/>
        <v>[effect:reduction, target:myself, color:all, turn:1, val:0.2, animation:reduction_one01],[effect:damage_anti_abnormal, target:unit_one, target_effect01:enhance/attack, val1:1.2, val2:2.5]</v>
      </c>
      <c r="N51" s="48" t="str">
        <f>IFERROR(LEFT(M51,FIND("],",M51)+#REF!),M51)</f>
        <v>[effect:reduction, target:myself, color:all, turn:1, val:0.2, animation:reduction_one01],[effect:damage_anti_abnormal, target:unit_one, target_effect01:enhance/attack, val1:1.2, val2:2.5]</v>
      </c>
      <c r="O51" s="63">
        <f t="shared" si="69"/>
        <v>9</v>
      </c>
      <c r="P51" s="63">
        <f t="shared" si="70"/>
        <v>18</v>
      </c>
      <c r="Q51" s="63">
        <f t="shared" si="71"/>
        <v>27</v>
      </c>
      <c r="R51" s="63">
        <f t="shared" si="72"/>
        <v>33</v>
      </c>
      <c r="S51" s="63" t="str">
        <f>IFERROR(VLOOKUP(MID(N51,Q51,R51-Q51),[6]skilldef!$C:$D,2,FALSE),"-") &amp; " / " &amp; IFERROR(VLOOKUP(MID(N51,O51,P51-O51),[6]skilldef!$A:$B,2,FALSE),"-")</f>
        <v>自分自身に / -</v>
      </c>
      <c r="T51" s="48" t="str">
        <f t="shared" si="73"/>
        <v>[effect:damage_anti_abnormal, target:unit_one, target_effect01:enhance/attack, val1:1.2, val2:2.5]</v>
      </c>
      <c r="U51" s="63">
        <f t="shared" si="74"/>
        <v>9</v>
      </c>
      <c r="V51" s="63">
        <f t="shared" si="75"/>
        <v>29</v>
      </c>
      <c r="W51" s="63">
        <f t="shared" si="76"/>
        <v>38</v>
      </c>
      <c r="X51" s="63">
        <f t="shared" si="77"/>
        <v>46</v>
      </c>
      <c r="Y51" s="63" t="str">
        <f>IFERROR(VLOOKUP(MID(T51,W51,X51-W51),[6]skilldef!$C:$D,2,FALSE),"-") &amp; " / " &amp; IFERROR(VLOOKUP(MID(T51,U51,V51-U51),[6]skilldef!$A:$B,2,FALSE),"-")</f>
        <v>味方単体に / -</v>
      </c>
      <c r="Z51" s="50"/>
      <c r="AA51" s="52"/>
      <c r="AB51" s="50"/>
    </row>
    <row r="52" spans="1:28" ht="58" customHeight="1" x14ac:dyDescent="0.15">
      <c r="A52" s="114">
        <v>50015904</v>
      </c>
      <c r="B52" s="47" t="s">
        <v>407</v>
      </c>
      <c r="C52" s="50">
        <v>3</v>
      </c>
      <c r="D52" s="50" t="s">
        <v>126</v>
      </c>
      <c r="E52" s="51" t="s">
        <v>326</v>
      </c>
      <c r="F52" s="51" t="s">
        <v>433</v>
      </c>
      <c r="G52" s="63" t="str">
        <f t="shared" si="63"/>
        <v>[effect:enemy_message, val1:1.2, val2:6.7]</v>
      </c>
      <c r="H52" s="63">
        <f t="shared" si="64"/>
        <v>9</v>
      </c>
      <c r="I52" s="63">
        <f t="shared" si="65"/>
        <v>22</v>
      </c>
      <c r="J52" s="63" t="e">
        <f t="shared" si="66"/>
        <v>#VALUE!</v>
      </c>
      <c r="K52" s="63">
        <f t="shared" si="67"/>
        <v>32</v>
      </c>
      <c r="L52" s="63" t="str">
        <f>IFERROR(VLOOKUP(MID(G52,J52,K52-J52),[6]skilldef!$C:$D,2,FALSE),"-") &amp; " / " &amp; IFERROR(VLOOKUP(MID(G52,H52,I52-H52),[6]skilldef!$A:$B,2,FALSE),"-")</f>
        <v>- / -</v>
      </c>
      <c r="M52" s="63" t="str">
        <f t="shared" si="68"/>
        <v>[effect:damage_anti_abnormal, target:unit_one, target_effect01:enhance/attack, val1:1.2, val2:2.5]</v>
      </c>
      <c r="N52" s="48" t="str">
        <f>IFERROR(LEFT(M52,FIND("],",M52)+#REF!),M52)</f>
        <v>[effect:damage_anti_abnormal, target:unit_one, target_effect01:enhance/attack, val1:1.2, val2:2.5]</v>
      </c>
      <c r="O52" s="63">
        <f t="shared" si="69"/>
        <v>9</v>
      </c>
      <c r="P52" s="63">
        <f t="shared" si="70"/>
        <v>29</v>
      </c>
      <c r="Q52" s="63">
        <f t="shared" si="71"/>
        <v>38</v>
      </c>
      <c r="R52" s="63">
        <f t="shared" si="72"/>
        <v>46</v>
      </c>
      <c r="S52" s="63" t="str">
        <f>IFERROR(VLOOKUP(MID(N52,Q52,R52-Q52),[6]skilldef!$C:$D,2,FALSE),"-") &amp; " / " &amp; IFERROR(VLOOKUP(MID(N52,O52,P52-O52),[6]skilldef!$A:$B,2,FALSE),"-")</f>
        <v>味方単体に / -</v>
      </c>
      <c r="T52" s="48" t="str">
        <f t="shared" si="73"/>
        <v>none</v>
      </c>
      <c r="U52" s="63" t="e">
        <f t="shared" si="74"/>
        <v>#VALUE!</v>
      </c>
      <c r="V52" s="63">
        <f t="shared" si="75"/>
        <v>4</v>
      </c>
      <c r="W52" s="63" t="e">
        <f t="shared" si="76"/>
        <v>#VALUE!</v>
      </c>
      <c r="X52" s="63" t="e">
        <f t="shared" si="77"/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21" customHeight="1" x14ac:dyDescent="0.15">
      <c r="A53" s="114">
        <v>50015905</v>
      </c>
      <c r="B53" s="47" t="s">
        <v>408</v>
      </c>
      <c r="C53" s="50">
        <v>3</v>
      </c>
      <c r="D53" s="50" t="s">
        <v>126</v>
      </c>
      <c r="E53" s="51" t="s">
        <v>325</v>
      </c>
      <c r="F53" s="51" t="s">
        <v>268</v>
      </c>
      <c r="G53" s="63" t="str">
        <f t="shared" si="63"/>
        <v>[effect:enemy_message, val1:1.2, val2:1.3]</v>
      </c>
      <c r="H53" s="63">
        <f t="shared" si="64"/>
        <v>9</v>
      </c>
      <c r="I53" s="63">
        <f t="shared" si="65"/>
        <v>22</v>
      </c>
      <c r="J53" s="63" t="e">
        <f t="shared" si="66"/>
        <v>#VALUE!</v>
      </c>
      <c r="K53" s="63">
        <f t="shared" si="67"/>
        <v>32</v>
      </c>
      <c r="L53" s="63" t="str">
        <f>IFERROR(VLOOKUP(MID(G53,J53,K53-J53),[6]skilldef!$C:$D,2,FALSE),"-") &amp; " / " &amp; IFERROR(VLOOKUP(MID(G53,H53,I53-H53),[6]skilldef!$A:$B,2,FALSE),"-")</f>
        <v>- / -</v>
      </c>
      <c r="M53" s="63" t="str">
        <f t="shared" si="68"/>
        <v>[effect:damage_gravity, val:3, animation:fevergauge_down]</v>
      </c>
      <c r="N53" s="48" t="str">
        <f>IFERROR(LEFT(M53,FIND("],",M53)+#REF!),M53)</f>
        <v>[effect:damage_gravity, val:3, animation:fevergauge_down]</v>
      </c>
      <c r="O53" s="63">
        <f t="shared" si="69"/>
        <v>9</v>
      </c>
      <c r="P53" s="63">
        <f t="shared" si="70"/>
        <v>23</v>
      </c>
      <c r="Q53" s="63" t="e">
        <f t="shared" si="71"/>
        <v>#VALUE!</v>
      </c>
      <c r="R53" s="63">
        <f t="shared" si="72"/>
        <v>30</v>
      </c>
      <c r="S53" s="63" t="str">
        <f>IFERROR(VLOOKUP(MID(N53,Q53,R53-Q53),[6]skilldef!$C:$D,2,FALSE),"-") &amp; " / " &amp; IFERROR(VLOOKUP(MID(N53,O53,P53-O53),[6]skilldef!$A:$B,2,FALSE),"-")</f>
        <v>- / 割合ダメージ</v>
      </c>
      <c r="T53" s="48" t="str">
        <f t="shared" si="73"/>
        <v>none</v>
      </c>
      <c r="U53" s="63" t="e">
        <f t="shared" si="74"/>
        <v>#VALUE!</v>
      </c>
      <c r="V53" s="63">
        <f t="shared" si="75"/>
        <v>4</v>
      </c>
      <c r="W53" s="63" t="e">
        <f t="shared" si="76"/>
        <v>#VALUE!</v>
      </c>
      <c r="X53" s="63" t="e">
        <f t="shared" si="77"/>
        <v>#VALUE!</v>
      </c>
      <c r="Y53" s="63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 x14ac:dyDescent="0.15">
      <c r="A54" s="114">
        <v>50015906</v>
      </c>
      <c r="B54" s="47" t="s">
        <v>409</v>
      </c>
      <c r="C54" s="50">
        <v>3</v>
      </c>
      <c r="D54" s="50" t="s">
        <v>126</v>
      </c>
      <c r="E54" s="51" t="s">
        <v>358</v>
      </c>
      <c r="F54" s="51" t="s">
        <v>359</v>
      </c>
      <c r="G54" s="63" t="str">
        <f t="shared" si="63"/>
        <v>[effect:enemy_message, val1:2.1, val2:2.4, dead_type:escape]</v>
      </c>
      <c r="H54" s="63">
        <f t="shared" si="64"/>
        <v>9</v>
      </c>
      <c r="I54" s="63">
        <f t="shared" si="65"/>
        <v>22</v>
      </c>
      <c r="J54" s="63" t="e">
        <f t="shared" si="66"/>
        <v>#VALUE!</v>
      </c>
      <c r="K54" s="63">
        <f t="shared" si="67"/>
        <v>32</v>
      </c>
      <c r="L54" s="63" t="str">
        <f>IFERROR(VLOOKUP(MID(G54,J54,K54-J54),[6]skilldef!$C:$D,2,FALSE),"-") &amp; " / " &amp; IFERROR(VLOOKUP(MID(G54,H54,I54-H54),[6]skilldef!$A:$B,2,FALSE),"-")</f>
        <v>- / -</v>
      </c>
      <c r="M54" s="63" t="str">
        <f t="shared" si="68"/>
        <v>none</v>
      </c>
      <c r="N54" s="48" t="str">
        <f t="shared" ref="N54" si="94">IFERROR(LEFT(M54,FIND("],",M54)+S65),M54)</f>
        <v>none</v>
      </c>
      <c r="O54" s="63" t="e">
        <f t="shared" si="69"/>
        <v>#VALUE!</v>
      </c>
      <c r="P54" s="63">
        <f t="shared" si="70"/>
        <v>4</v>
      </c>
      <c r="Q54" s="63" t="e">
        <f t="shared" si="71"/>
        <v>#VALUE!</v>
      </c>
      <c r="R54" s="63" t="e">
        <f t="shared" si="72"/>
        <v>#VALUE!</v>
      </c>
      <c r="S54" s="63" t="str">
        <f>IFERROR(VLOOKUP(MID(N54,Q54,R54-Q54),[6]skilldef!$C:$D,2,FALSE),"-") &amp; " / " &amp; IFERROR(VLOOKUP(MID(N54,O54,P54-O54),[6]skilldef!$A:$B,2,FALSE),"-")</f>
        <v>- / -</v>
      </c>
      <c r="T54" s="48" t="str">
        <f t="shared" si="73"/>
        <v>none</v>
      </c>
      <c r="U54" s="63" t="e">
        <f t="shared" si="74"/>
        <v>#VALUE!</v>
      </c>
      <c r="V54" s="63">
        <f t="shared" si="75"/>
        <v>4</v>
      </c>
      <c r="W54" s="63" t="e">
        <f t="shared" si="76"/>
        <v>#VALUE!</v>
      </c>
      <c r="X54" s="63" t="e">
        <f t="shared" si="77"/>
        <v>#VALUE!</v>
      </c>
      <c r="Y54" s="63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21" customHeight="1" x14ac:dyDescent="0.15">
      <c r="A55" s="114">
        <v>50015907</v>
      </c>
      <c r="B55" s="125" t="s">
        <v>410</v>
      </c>
      <c r="C55" s="126">
        <v>3</v>
      </c>
      <c r="D55" s="126" t="s">
        <v>126</v>
      </c>
      <c r="E55" s="127" t="s">
        <v>366</v>
      </c>
      <c r="F55" s="127" t="s">
        <v>368</v>
      </c>
      <c r="G55" s="63" t="str">
        <f t="shared" ref="G55" si="95">IFERROR(LEFT(B55,FIND("],",B55)),B55)</f>
        <v>[effect:enemy_message, val1:2.0, val2:2.0, dead_type:escape]</v>
      </c>
      <c r="H55" s="63">
        <f t="shared" ref="H55" si="96">FIND("effect:",G55)+7</f>
        <v>9</v>
      </c>
      <c r="I55" s="63">
        <f t="shared" ref="I55" si="97">IFERROR(FIND(",",G55),LEN(G55))</f>
        <v>22</v>
      </c>
      <c r="J55" s="63" t="e">
        <f t="shared" ref="J55" si="98">FIND("target:",G55)+7</f>
        <v>#VALUE!</v>
      </c>
      <c r="K55" s="63">
        <f t="shared" ref="K55" si="99">FIND(",",G55,I55+1)</f>
        <v>32</v>
      </c>
      <c r="L55" s="63" t="str">
        <f>IFERROR(VLOOKUP(MID(G55,J55,K55-J55),[6]skilldef!$C:$D,2,FALSE),"-") &amp; " / " &amp; IFERROR(VLOOKUP(MID(G55,H55,I55-H55),[6]skilldef!$A:$B,2,FALSE),"-")</f>
        <v>- / -</v>
      </c>
      <c r="M55" s="63" t="str">
        <f t="shared" ref="M55" si="100">IFERROR(RIGHT(B55,LEN(B55)-FIND("],",B55)-1),"none")</f>
        <v>none</v>
      </c>
      <c r="N55" s="48" t="str">
        <f t="shared" ref="N55" si="101">IFERROR(LEFT(M55,FIND("],",M55)+S66),M55)</f>
        <v>none</v>
      </c>
      <c r="O55" s="63" t="e">
        <f t="shared" ref="O55" si="102">FIND("effect:",N55)+7</f>
        <v>#VALUE!</v>
      </c>
      <c r="P55" s="63">
        <f t="shared" ref="P55" si="103">IFERROR(FIND(",",N55),LEN(N55))</f>
        <v>4</v>
      </c>
      <c r="Q55" s="63" t="e">
        <f t="shared" ref="Q55" si="104">FIND("target:",N55)+7</f>
        <v>#VALUE!</v>
      </c>
      <c r="R55" s="63" t="e">
        <f t="shared" ref="R55" si="105">FIND(",",N55,P55+1)</f>
        <v>#VALUE!</v>
      </c>
      <c r="S55" s="63" t="str">
        <f>IFERROR(VLOOKUP(MID(N55,Q55,R55-Q55),[6]skilldef!$C:$D,2,FALSE),"-") &amp; " / " &amp; IFERROR(VLOOKUP(MID(N55,O55,P55-O55),[6]skilldef!$A:$B,2,FALSE),"-")</f>
        <v>- / -</v>
      </c>
      <c r="T55" s="48" t="str">
        <f t="shared" ref="T55" si="106">IFERROR(RIGHT(M55,LEN(M55)-FIND("],",M55)-1),"none")</f>
        <v>none</v>
      </c>
      <c r="U55" s="63" t="e">
        <f t="shared" ref="U55" si="107">FIND("effect:",T55)+7</f>
        <v>#VALUE!</v>
      </c>
      <c r="V55" s="63">
        <f t="shared" ref="V55" si="108">IFERROR(FIND(",",T55),LEN(T55))</f>
        <v>4</v>
      </c>
      <c r="W55" s="63" t="e">
        <f t="shared" ref="W55" si="109">FIND("target:",T55)+7</f>
        <v>#VALUE!</v>
      </c>
      <c r="X55" s="63" t="e">
        <f t="shared" ref="X55" si="110">FIND(",",T55,V55+1)</f>
        <v>#VALUE!</v>
      </c>
      <c r="Y55" s="63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21" customHeight="1" x14ac:dyDescent="0.15">
      <c r="A56" s="114">
        <v>50015909</v>
      </c>
      <c r="B56" s="125" t="s">
        <v>411</v>
      </c>
      <c r="C56" s="126">
        <v>3</v>
      </c>
      <c r="D56" s="126" t="s">
        <v>126</v>
      </c>
      <c r="E56" s="127" t="s">
        <v>370</v>
      </c>
      <c r="F56" s="127" t="s">
        <v>371</v>
      </c>
      <c r="G56" s="63" t="str">
        <f t="shared" ref="G56" si="111">IFERROR(LEFT(B56,FIND("],",B56)),B56)</f>
        <v>[effect:enemy_message, val1:2.8, val2:2.0, dead_type:escape]</v>
      </c>
      <c r="H56" s="63">
        <f t="shared" ref="H56" si="112">FIND("effect:",G56)+7</f>
        <v>9</v>
      </c>
      <c r="I56" s="63">
        <f t="shared" ref="I56" si="113">IFERROR(FIND(",",G56),LEN(G56))</f>
        <v>22</v>
      </c>
      <c r="J56" s="63" t="e">
        <f t="shared" ref="J56" si="114">FIND("target:",G56)+7</f>
        <v>#VALUE!</v>
      </c>
      <c r="K56" s="63">
        <f t="shared" ref="K56" si="115">FIND(",",G56,I56+1)</f>
        <v>32</v>
      </c>
      <c r="L56" s="63" t="str">
        <f>IFERROR(VLOOKUP(MID(G56,J56,K56-J56),[6]skilldef!$C:$D,2,FALSE),"-") &amp; " / " &amp; IFERROR(VLOOKUP(MID(G56,H56,I56-H56),[6]skilldef!$A:$B,2,FALSE),"-")</f>
        <v>- / -</v>
      </c>
      <c r="M56" s="63" t="str">
        <f t="shared" ref="M56" si="116">IFERROR(RIGHT(B56,LEN(B56)-FIND("],",B56)-1),"none")</f>
        <v>none</v>
      </c>
      <c r="N56" s="48" t="str">
        <f t="shared" ref="N56" si="117">IFERROR(LEFT(M56,FIND("],",M56)+S67),M56)</f>
        <v>none</v>
      </c>
      <c r="O56" s="63" t="e">
        <f t="shared" ref="O56" si="118">FIND("effect:",N56)+7</f>
        <v>#VALUE!</v>
      </c>
      <c r="P56" s="63">
        <f t="shared" ref="P56" si="119">IFERROR(FIND(",",N56),LEN(N56))</f>
        <v>4</v>
      </c>
      <c r="Q56" s="63" t="e">
        <f t="shared" ref="Q56" si="120">FIND("target:",N56)+7</f>
        <v>#VALUE!</v>
      </c>
      <c r="R56" s="63" t="e">
        <f t="shared" ref="R56" si="121">FIND(",",N56,P56+1)</f>
        <v>#VALUE!</v>
      </c>
      <c r="S56" s="63" t="str">
        <f>IFERROR(VLOOKUP(MID(N56,Q56,R56-Q56),[6]skilldef!$C:$D,2,FALSE),"-") &amp; " / " &amp; IFERROR(VLOOKUP(MID(N56,O56,P56-O56),[6]skilldef!$A:$B,2,FALSE),"-")</f>
        <v>- / -</v>
      </c>
      <c r="T56" s="48" t="str">
        <f t="shared" ref="T56" si="122">IFERROR(RIGHT(M56,LEN(M56)-FIND("],",M56)-1),"none")</f>
        <v>none</v>
      </c>
      <c r="U56" s="63" t="e">
        <f t="shared" ref="U56" si="123">FIND("effect:",T56)+7</f>
        <v>#VALUE!</v>
      </c>
      <c r="V56" s="63">
        <f t="shared" ref="V56" si="124">IFERROR(FIND(",",T56),LEN(T56))</f>
        <v>4</v>
      </c>
      <c r="W56" s="63" t="e">
        <f t="shared" ref="W56" si="125">FIND("target:",T56)+7</f>
        <v>#VALUE!</v>
      </c>
      <c r="X56" s="63" t="e">
        <f t="shared" ref="X56" si="126">FIND(",",T56,V56+1)</f>
        <v>#VALUE!</v>
      </c>
      <c r="Y56" s="63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60"/>
  <sheetViews>
    <sheetView showGridLines="0" workbookViewId="0">
      <pane ySplit="1" topLeftCell="A28" activePane="bottomLeft" state="frozenSplit"/>
      <selection pane="bottomLeft" activeCell="C61" sqref="C61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105">
        <v>50015000</v>
      </c>
      <c r="B2" s="115">
        <v>1</v>
      </c>
      <c r="C2" s="115" t="s">
        <v>277</v>
      </c>
      <c r="D2" s="115">
        <v>100</v>
      </c>
      <c r="E2" s="115" t="s">
        <v>269</v>
      </c>
      <c r="F2" s="115" t="s">
        <v>53</v>
      </c>
      <c r="G2" s="115">
        <v>1</v>
      </c>
      <c r="H2" s="115">
        <v>1</v>
      </c>
      <c r="I2" s="115" t="s">
        <v>269</v>
      </c>
      <c r="J2" s="48">
        <f t="shared" ref="J2" si="0">D2</f>
        <v>100</v>
      </c>
    </row>
    <row r="3" spans="1:11" ht="21" customHeight="1" x14ac:dyDescent="0.15">
      <c r="A3" s="105">
        <v>50015001</v>
      </c>
      <c r="B3" s="115">
        <v>0</v>
      </c>
      <c r="C3" s="115">
        <v>10</v>
      </c>
      <c r="D3" s="115">
        <v>100</v>
      </c>
      <c r="E3" s="115" t="s">
        <v>53</v>
      </c>
      <c r="F3" s="115" t="s">
        <v>53</v>
      </c>
      <c r="G3" s="115">
        <v>1</v>
      </c>
      <c r="H3" s="115">
        <v>1</v>
      </c>
      <c r="I3" s="115" t="s">
        <v>53</v>
      </c>
      <c r="J3" s="48">
        <f t="shared" ref="J3:J55" si="1">D3</f>
        <v>100</v>
      </c>
    </row>
    <row r="4" spans="1:11" ht="21" customHeight="1" x14ac:dyDescent="0.15">
      <c r="A4" s="106">
        <v>50015100</v>
      </c>
      <c r="B4" s="115">
        <v>1</v>
      </c>
      <c r="C4" s="115" t="s">
        <v>277</v>
      </c>
      <c r="D4" s="115">
        <v>100</v>
      </c>
      <c r="E4" s="115" t="s">
        <v>269</v>
      </c>
      <c r="F4" s="115" t="s">
        <v>53</v>
      </c>
      <c r="G4" s="115">
        <v>1</v>
      </c>
      <c r="H4" s="115">
        <v>1</v>
      </c>
      <c r="I4" s="115" t="s">
        <v>269</v>
      </c>
      <c r="J4" s="48">
        <f t="shared" si="1"/>
        <v>100</v>
      </c>
    </row>
    <row r="5" spans="1:11" ht="21" customHeight="1" x14ac:dyDescent="0.15">
      <c r="A5" s="106">
        <v>50015101</v>
      </c>
      <c r="B5" s="115">
        <v>0</v>
      </c>
      <c r="C5" s="115">
        <v>30</v>
      </c>
      <c r="D5" s="115">
        <v>100</v>
      </c>
      <c r="E5" s="115" t="s">
        <v>53</v>
      </c>
      <c r="F5" s="115" t="s">
        <v>271</v>
      </c>
      <c r="G5" s="115">
        <v>1</v>
      </c>
      <c r="H5" s="115">
        <v>3</v>
      </c>
      <c r="I5" s="115" t="s">
        <v>53</v>
      </c>
      <c r="J5" s="48">
        <f t="shared" si="1"/>
        <v>100</v>
      </c>
    </row>
    <row r="6" spans="1:11" ht="21" customHeight="1" x14ac:dyDescent="0.15">
      <c r="A6" s="106">
        <v>50015102</v>
      </c>
      <c r="B6" s="115">
        <v>0</v>
      </c>
      <c r="C6" s="115">
        <v>10</v>
      </c>
      <c r="D6" s="115">
        <v>100</v>
      </c>
      <c r="E6" s="115" t="s">
        <v>272</v>
      </c>
      <c r="F6" s="115" t="s">
        <v>53</v>
      </c>
      <c r="G6" s="115" t="s">
        <v>273</v>
      </c>
      <c r="H6" s="115">
        <v>2</v>
      </c>
      <c r="I6" s="115" t="s">
        <v>53</v>
      </c>
      <c r="J6" s="48">
        <f t="shared" si="1"/>
        <v>100</v>
      </c>
    </row>
    <row r="7" spans="1:11" ht="21" customHeight="1" x14ac:dyDescent="0.15">
      <c r="A7" s="106">
        <v>50015103</v>
      </c>
      <c r="B7" s="115">
        <v>0</v>
      </c>
      <c r="C7" s="115">
        <v>20</v>
      </c>
      <c r="D7" s="115">
        <v>100</v>
      </c>
      <c r="E7" s="115" t="s">
        <v>274</v>
      </c>
      <c r="F7" s="115" t="s">
        <v>53</v>
      </c>
      <c r="G7" s="115" t="s">
        <v>53</v>
      </c>
      <c r="H7" s="115">
        <v>5</v>
      </c>
      <c r="I7" s="115" t="s">
        <v>53</v>
      </c>
      <c r="J7" s="48">
        <f t="shared" si="1"/>
        <v>100</v>
      </c>
    </row>
    <row r="8" spans="1:11" ht="21" customHeight="1" x14ac:dyDescent="0.15">
      <c r="A8" s="106">
        <v>50015104</v>
      </c>
      <c r="B8" s="115">
        <v>0</v>
      </c>
      <c r="C8" s="115">
        <v>50</v>
      </c>
      <c r="D8" s="115">
        <v>100</v>
      </c>
      <c r="E8" s="115">
        <v>30</v>
      </c>
      <c r="F8" s="115" t="s">
        <v>53</v>
      </c>
      <c r="G8" s="115">
        <v>1</v>
      </c>
      <c r="H8" s="115">
        <v>1</v>
      </c>
      <c r="I8" s="115" t="s">
        <v>275</v>
      </c>
      <c r="J8" s="48">
        <f t="shared" si="1"/>
        <v>100</v>
      </c>
    </row>
    <row r="9" spans="1:11" ht="21" customHeight="1" x14ac:dyDescent="0.15">
      <c r="A9" s="107">
        <v>50015200</v>
      </c>
      <c r="B9" s="115">
        <v>1</v>
      </c>
      <c r="C9" s="115" t="s">
        <v>270</v>
      </c>
      <c r="D9" s="115">
        <v>100</v>
      </c>
      <c r="E9" s="115" t="s">
        <v>53</v>
      </c>
      <c r="F9" s="115" t="s">
        <v>53</v>
      </c>
      <c r="G9" s="115">
        <v>1</v>
      </c>
      <c r="H9" s="115">
        <v>1</v>
      </c>
      <c r="I9" s="115" t="s">
        <v>53</v>
      </c>
      <c r="J9" s="48">
        <f t="shared" si="1"/>
        <v>100</v>
      </c>
    </row>
    <row r="10" spans="1:11" ht="21" customHeight="1" x14ac:dyDescent="0.15">
      <c r="A10" s="107">
        <v>50015201</v>
      </c>
      <c r="B10" s="115">
        <v>0</v>
      </c>
      <c r="C10" s="115">
        <v>50</v>
      </c>
      <c r="D10" s="115">
        <v>100</v>
      </c>
      <c r="E10" s="115" t="s">
        <v>53</v>
      </c>
      <c r="F10" s="115" t="s">
        <v>271</v>
      </c>
      <c r="G10" s="115">
        <v>1</v>
      </c>
      <c r="H10" s="115">
        <v>1</v>
      </c>
      <c r="I10" s="115" t="s">
        <v>53</v>
      </c>
      <c r="J10" s="48">
        <f t="shared" si="1"/>
        <v>100</v>
      </c>
    </row>
    <row r="11" spans="1:11" ht="21" customHeight="1" x14ac:dyDescent="0.15">
      <c r="A11" s="107">
        <v>50015202</v>
      </c>
      <c r="B11" s="115">
        <v>0</v>
      </c>
      <c r="C11" s="115">
        <v>40</v>
      </c>
      <c r="D11" s="115">
        <v>100</v>
      </c>
      <c r="E11" s="115" t="s">
        <v>53</v>
      </c>
      <c r="F11" s="115" t="s">
        <v>271</v>
      </c>
      <c r="G11" s="115">
        <v>1</v>
      </c>
      <c r="H11" s="115">
        <v>2</v>
      </c>
      <c r="I11" s="115" t="s">
        <v>53</v>
      </c>
      <c r="J11" s="48">
        <f t="shared" si="1"/>
        <v>100</v>
      </c>
    </row>
    <row r="12" spans="1:11" ht="21" customHeight="1" x14ac:dyDescent="0.15">
      <c r="A12" s="107">
        <v>50015203</v>
      </c>
      <c r="B12" s="115">
        <v>0</v>
      </c>
      <c r="C12" s="115">
        <v>30</v>
      </c>
      <c r="D12" s="115">
        <v>100</v>
      </c>
      <c r="E12" s="115" t="s">
        <v>272</v>
      </c>
      <c r="F12" s="115" t="s">
        <v>53</v>
      </c>
      <c r="G12" s="115" t="s">
        <v>273</v>
      </c>
      <c r="H12" s="115">
        <v>3</v>
      </c>
      <c r="I12" s="115" t="s">
        <v>53</v>
      </c>
      <c r="J12" s="48">
        <f t="shared" si="1"/>
        <v>100</v>
      </c>
    </row>
    <row r="13" spans="1:11" ht="21" customHeight="1" x14ac:dyDescent="0.15">
      <c r="A13" s="107">
        <v>50015204</v>
      </c>
      <c r="B13" s="115">
        <v>0</v>
      </c>
      <c r="C13" s="115">
        <v>10</v>
      </c>
      <c r="D13" s="115">
        <v>100</v>
      </c>
      <c r="E13" s="115" t="s">
        <v>272</v>
      </c>
      <c r="F13" s="115" t="s">
        <v>53</v>
      </c>
      <c r="G13" s="115" t="s">
        <v>273</v>
      </c>
      <c r="H13" s="115">
        <v>1</v>
      </c>
      <c r="I13" s="115" t="s">
        <v>53</v>
      </c>
      <c r="J13" s="48">
        <f t="shared" si="1"/>
        <v>100</v>
      </c>
    </row>
    <row r="14" spans="1:11" ht="21" customHeight="1" x14ac:dyDescent="0.15">
      <c r="A14" s="107">
        <v>50015205</v>
      </c>
      <c r="B14" s="115">
        <v>0</v>
      </c>
      <c r="C14" s="115">
        <v>70</v>
      </c>
      <c r="D14" s="115">
        <v>100</v>
      </c>
      <c r="E14" s="115">
        <v>40</v>
      </c>
      <c r="F14" s="115" t="s">
        <v>53</v>
      </c>
      <c r="G14" s="115">
        <v>1</v>
      </c>
      <c r="H14" s="115">
        <v>1</v>
      </c>
      <c r="I14" s="115" t="s">
        <v>275</v>
      </c>
      <c r="J14" s="48">
        <f t="shared" si="1"/>
        <v>100</v>
      </c>
    </row>
    <row r="15" spans="1:11" ht="21" customHeight="1" x14ac:dyDescent="0.15">
      <c r="A15" s="107">
        <v>50015206</v>
      </c>
      <c r="B15" s="115">
        <v>0</v>
      </c>
      <c r="C15" s="115">
        <v>100</v>
      </c>
      <c r="D15" s="115">
        <v>100</v>
      </c>
      <c r="E15" s="115" t="s">
        <v>53</v>
      </c>
      <c r="F15" s="115" t="s">
        <v>53</v>
      </c>
      <c r="G15" s="115">
        <v>0</v>
      </c>
      <c r="H15" s="115">
        <v>1</v>
      </c>
      <c r="I15" s="115">
        <v>0</v>
      </c>
      <c r="J15" s="48">
        <f t="shared" ref="J15" si="2">D15</f>
        <v>100</v>
      </c>
    </row>
    <row r="16" spans="1:11" ht="21" customHeight="1" x14ac:dyDescent="0.15">
      <c r="A16" s="108">
        <v>50015300</v>
      </c>
      <c r="B16" s="115">
        <v>1</v>
      </c>
      <c r="C16" s="115" t="s">
        <v>270</v>
      </c>
      <c r="D16" s="115">
        <v>100</v>
      </c>
      <c r="E16" s="115" t="s">
        <v>53</v>
      </c>
      <c r="F16" s="115" t="s">
        <v>53</v>
      </c>
      <c r="G16" s="115">
        <v>1</v>
      </c>
      <c r="H16" s="115">
        <v>1</v>
      </c>
      <c r="I16" s="115" t="s">
        <v>53</v>
      </c>
      <c r="J16" s="48">
        <f t="shared" si="1"/>
        <v>100</v>
      </c>
    </row>
    <row r="17" spans="1:10" ht="21" customHeight="1" x14ac:dyDescent="0.15">
      <c r="A17" s="108">
        <v>50015301</v>
      </c>
      <c r="B17" s="115">
        <v>0</v>
      </c>
      <c r="C17" s="115">
        <v>50</v>
      </c>
      <c r="D17" s="115">
        <v>100</v>
      </c>
      <c r="E17" s="115" t="s">
        <v>53</v>
      </c>
      <c r="F17" s="115" t="s">
        <v>271</v>
      </c>
      <c r="G17" s="115">
        <v>1</v>
      </c>
      <c r="H17" s="115">
        <v>1</v>
      </c>
      <c r="I17" s="115" t="s">
        <v>53</v>
      </c>
      <c r="J17" s="48">
        <f t="shared" si="1"/>
        <v>100</v>
      </c>
    </row>
    <row r="18" spans="1:10" ht="21" customHeight="1" x14ac:dyDescent="0.15">
      <c r="A18" s="109">
        <v>50015400</v>
      </c>
      <c r="B18" s="115">
        <v>1</v>
      </c>
      <c r="C18" s="115" t="s">
        <v>270</v>
      </c>
      <c r="D18" s="115">
        <v>100</v>
      </c>
      <c r="E18" s="115" t="s">
        <v>53</v>
      </c>
      <c r="F18" s="115" t="s">
        <v>53</v>
      </c>
      <c r="G18" s="115">
        <v>1</v>
      </c>
      <c r="H18" s="115">
        <v>1</v>
      </c>
      <c r="I18" s="115" t="s">
        <v>53</v>
      </c>
      <c r="J18" s="48">
        <f t="shared" si="1"/>
        <v>100</v>
      </c>
    </row>
    <row r="19" spans="1:10" ht="21" customHeight="1" x14ac:dyDescent="0.15">
      <c r="A19" s="109">
        <v>50015401</v>
      </c>
      <c r="B19" s="115">
        <v>0</v>
      </c>
      <c r="C19" s="115">
        <v>50</v>
      </c>
      <c r="D19" s="115">
        <v>100</v>
      </c>
      <c r="E19" s="115" t="s">
        <v>53</v>
      </c>
      <c r="F19" s="115" t="s">
        <v>271</v>
      </c>
      <c r="G19" s="115">
        <v>1</v>
      </c>
      <c r="H19" s="115">
        <v>1</v>
      </c>
      <c r="I19" s="115" t="s">
        <v>53</v>
      </c>
      <c r="J19" s="48">
        <f t="shared" si="1"/>
        <v>100</v>
      </c>
    </row>
    <row r="20" spans="1:10" ht="21" customHeight="1" x14ac:dyDescent="0.15">
      <c r="A20" s="110">
        <v>50015500</v>
      </c>
      <c r="B20" s="115">
        <v>1</v>
      </c>
      <c r="C20" s="115" t="s">
        <v>270</v>
      </c>
      <c r="D20" s="115">
        <v>100</v>
      </c>
      <c r="E20" s="115" t="s">
        <v>53</v>
      </c>
      <c r="F20" s="115" t="s">
        <v>53</v>
      </c>
      <c r="G20" s="115">
        <v>1</v>
      </c>
      <c r="H20" s="115">
        <v>1</v>
      </c>
      <c r="I20" s="115" t="s">
        <v>53</v>
      </c>
      <c r="J20" s="48">
        <f t="shared" si="1"/>
        <v>100</v>
      </c>
    </row>
    <row r="21" spans="1:10" ht="21" customHeight="1" x14ac:dyDescent="0.15">
      <c r="A21" s="110">
        <v>50015501</v>
      </c>
      <c r="B21" s="115">
        <v>0</v>
      </c>
      <c r="C21" s="115">
        <v>50</v>
      </c>
      <c r="D21" s="115">
        <v>100</v>
      </c>
      <c r="E21" s="115" t="s">
        <v>53</v>
      </c>
      <c r="F21" s="115" t="s">
        <v>271</v>
      </c>
      <c r="G21" s="115">
        <v>1</v>
      </c>
      <c r="H21" s="115">
        <v>1</v>
      </c>
      <c r="I21" s="115" t="s">
        <v>53</v>
      </c>
      <c r="J21" s="48">
        <f t="shared" si="1"/>
        <v>100</v>
      </c>
    </row>
    <row r="22" spans="1:10" ht="21" customHeight="1" x14ac:dyDescent="0.15">
      <c r="A22" s="110">
        <v>50015502</v>
      </c>
      <c r="B22" s="115">
        <v>0</v>
      </c>
      <c r="C22" s="115">
        <v>10</v>
      </c>
      <c r="D22" s="115">
        <v>100</v>
      </c>
      <c r="E22" s="115" t="s">
        <v>272</v>
      </c>
      <c r="F22" s="115" t="s">
        <v>53</v>
      </c>
      <c r="G22" s="115" t="s">
        <v>273</v>
      </c>
      <c r="H22" s="115">
        <v>1</v>
      </c>
      <c r="I22" s="115" t="s">
        <v>53</v>
      </c>
      <c r="J22" s="48">
        <f t="shared" si="1"/>
        <v>100</v>
      </c>
    </row>
    <row r="23" spans="1:10" ht="21" customHeight="1" x14ac:dyDescent="0.15">
      <c r="A23" s="110">
        <v>50015503</v>
      </c>
      <c r="B23" s="115">
        <v>0</v>
      </c>
      <c r="C23" s="115">
        <v>40</v>
      </c>
      <c r="D23" s="115">
        <v>100</v>
      </c>
      <c r="E23" s="115">
        <v>50</v>
      </c>
      <c r="F23" s="115" t="s">
        <v>53</v>
      </c>
      <c r="G23" s="115">
        <v>1</v>
      </c>
      <c r="H23" s="115">
        <v>1</v>
      </c>
      <c r="I23" s="115" t="s">
        <v>275</v>
      </c>
      <c r="J23" s="48">
        <f t="shared" si="1"/>
        <v>100</v>
      </c>
    </row>
    <row r="24" spans="1:10" ht="21" customHeight="1" x14ac:dyDescent="0.15">
      <c r="A24" s="110">
        <v>50015504</v>
      </c>
      <c r="B24" s="115">
        <v>0</v>
      </c>
      <c r="C24" s="115">
        <v>30</v>
      </c>
      <c r="D24" s="115">
        <v>100</v>
      </c>
      <c r="E24" s="115" t="s">
        <v>272</v>
      </c>
      <c r="F24" s="115" t="s">
        <v>53</v>
      </c>
      <c r="G24" s="115" t="s">
        <v>273</v>
      </c>
      <c r="H24" s="115">
        <v>2</v>
      </c>
      <c r="I24" s="115" t="s">
        <v>53</v>
      </c>
      <c r="J24" s="48">
        <f t="shared" si="1"/>
        <v>100</v>
      </c>
    </row>
    <row r="25" spans="1:10" ht="21" customHeight="1" x14ac:dyDescent="0.15">
      <c r="A25" s="111">
        <v>50015600</v>
      </c>
      <c r="B25" s="115">
        <v>1</v>
      </c>
      <c r="C25" s="115" t="s">
        <v>270</v>
      </c>
      <c r="D25" s="115">
        <v>100</v>
      </c>
      <c r="E25" s="115" t="s">
        <v>53</v>
      </c>
      <c r="F25" s="115" t="s">
        <v>53</v>
      </c>
      <c r="G25" s="115">
        <v>1</v>
      </c>
      <c r="H25" s="115">
        <v>1</v>
      </c>
      <c r="I25" s="115" t="s">
        <v>53</v>
      </c>
      <c r="J25" s="48">
        <f t="shared" si="1"/>
        <v>100</v>
      </c>
    </row>
    <row r="26" spans="1:10" ht="21" customHeight="1" x14ac:dyDescent="0.15">
      <c r="A26" s="111">
        <v>50015601</v>
      </c>
      <c r="B26" s="115">
        <v>0</v>
      </c>
      <c r="C26" s="115">
        <v>10</v>
      </c>
      <c r="D26" s="115">
        <v>100</v>
      </c>
      <c r="E26" s="115" t="s">
        <v>272</v>
      </c>
      <c r="F26" s="115" t="s">
        <v>53</v>
      </c>
      <c r="G26" s="115" t="s">
        <v>273</v>
      </c>
      <c r="H26" s="115">
        <v>1</v>
      </c>
      <c r="I26" s="115" t="s">
        <v>53</v>
      </c>
      <c r="J26" s="48">
        <f t="shared" si="1"/>
        <v>100</v>
      </c>
    </row>
    <row r="27" spans="1:10" ht="21" customHeight="1" x14ac:dyDescent="0.15">
      <c r="A27" s="111">
        <v>50015602</v>
      </c>
      <c r="B27" s="115">
        <v>0</v>
      </c>
      <c r="C27" s="115">
        <v>20</v>
      </c>
      <c r="D27" s="115">
        <v>100</v>
      </c>
      <c r="E27" s="115" t="s">
        <v>272</v>
      </c>
      <c r="F27" s="115" t="s">
        <v>53</v>
      </c>
      <c r="G27" s="115" t="s">
        <v>273</v>
      </c>
      <c r="H27" s="115">
        <v>2</v>
      </c>
      <c r="I27" s="115" t="s">
        <v>53</v>
      </c>
      <c r="J27" s="48">
        <f t="shared" si="1"/>
        <v>100</v>
      </c>
    </row>
    <row r="28" spans="1:10" ht="21" customHeight="1" x14ac:dyDescent="0.15">
      <c r="A28" s="111">
        <v>50015603</v>
      </c>
      <c r="B28" s="115">
        <v>0</v>
      </c>
      <c r="C28" s="115">
        <v>30</v>
      </c>
      <c r="D28" s="115">
        <v>100</v>
      </c>
      <c r="E28" s="115" t="s">
        <v>272</v>
      </c>
      <c r="F28" s="115" t="s">
        <v>53</v>
      </c>
      <c r="G28" s="115" t="s">
        <v>273</v>
      </c>
      <c r="H28" s="115">
        <v>3</v>
      </c>
      <c r="I28" s="115" t="s">
        <v>53</v>
      </c>
      <c r="J28" s="48">
        <f t="shared" si="1"/>
        <v>100</v>
      </c>
    </row>
    <row r="29" spans="1:10" ht="21" customHeight="1" x14ac:dyDescent="0.15">
      <c r="A29" s="111">
        <v>50015604</v>
      </c>
      <c r="B29" s="115">
        <v>0</v>
      </c>
      <c r="C29" s="115">
        <v>60</v>
      </c>
      <c r="D29" s="115">
        <v>100</v>
      </c>
      <c r="E29" s="115">
        <v>80</v>
      </c>
      <c r="F29" s="115" t="s">
        <v>53</v>
      </c>
      <c r="G29" s="115">
        <v>1</v>
      </c>
      <c r="H29" s="115">
        <v>1</v>
      </c>
      <c r="I29" s="115" t="s">
        <v>275</v>
      </c>
      <c r="J29" s="48">
        <f t="shared" si="1"/>
        <v>100</v>
      </c>
    </row>
    <row r="30" spans="1:10" ht="21" customHeight="1" x14ac:dyDescent="0.15">
      <c r="A30" s="111">
        <v>50015605</v>
      </c>
      <c r="B30" s="115">
        <v>0</v>
      </c>
      <c r="C30" s="115">
        <v>70</v>
      </c>
      <c r="D30" s="115">
        <v>100</v>
      </c>
      <c r="E30" s="115" t="s">
        <v>168</v>
      </c>
      <c r="F30" s="115" t="s">
        <v>53</v>
      </c>
      <c r="G30" s="115">
        <v>1</v>
      </c>
      <c r="H30" s="115">
        <v>4</v>
      </c>
      <c r="I30" s="115" t="s">
        <v>275</v>
      </c>
      <c r="J30" s="48">
        <f t="shared" si="1"/>
        <v>100</v>
      </c>
    </row>
    <row r="31" spans="1:10" ht="21" customHeight="1" x14ac:dyDescent="0.15">
      <c r="A31" s="111">
        <v>50015606</v>
      </c>
      <c r="B31" s="115">
        <v>0</v>
      </c>
      <c r="C31" s="115">
        <v>100</v>
      </c>
      <c r="D31" s="115">
        <v>100</v>
      </c>
      <c r="E31" s="115" t="s">
        <v>269</v>
      </c>
      <c r="F31" s="115" t="s">
        <v>53</v>
      </c>
      <c r="G31" s="115">
        <v>0</v>
      </c>
      <c r="H31" s="115">
        <v>1</v>
      </c>
      <c r="I31" s="115">
        <v>0</v>
      </c>
      <c r="J31" s="48">
        <f t="shared" si="1"/>
        <v>100</v>
      </c>
    </row>
    <row r="32" spans="1:10" ht="21" customHeight="1" x14ac:dyDescent="0.15">
      <c r="A32" s="112">
        <v>50015700</v>
      </c>
      <c r="B32" s="115">
        <v>1</v>
      </c>
      <c r="C32" s="115" t="s">
        <v>270</v>
      </c>
      <c r="D32" s="115">
        <v>100</v>
      </c>
      <c r="E32" s="115" t="s">
        <v>53</v>
      </c>
      <c r="F32" s="115" t="s">
        <v>53</v>
      </c>
      <c r="G32" s="115">
        <v>1</v>
      </c>
      <c r="H32" s="115">
        <v>1</v>
      </c>
      <c r="I32" s="115" t="s">
        <v>53</v>
      </c>
      <c r="J32" s="48">
        <f t="shared" si="1"/>
        <v>100</v>
      </c>
    </row>
    <row r="33" spans="1:10" ht="21" customHeight="1" x14ac:dyDescent="0.15">
      <c r="A33" s="112">
        <v>50015701</v>
      </c>
      <c r="B33" s="115">
        <v>0</v>
      </c>
      <c r="C33" s="115">
        <v>11</v>
      </c>
      <c r="D33" s="115">
        <v>100</v>
      </c>
      <c r="E33" s="115" t="s">
        <v>272</v>
      </c>
      <c r="F33" s="115" t="s">
        <v>53</v>
      </c>
      <c r="G33" s="115">
        <v>1</v>
      </c>
      <c r="H33" s="115">
        <v>1</v>
      </c>
      <c r="I33" s="115" t="s">
        <v>53</v>
      </c>
      <c r="J33" s="48">
        <f t="shared" si="1"/>
        <v>100</v>
      </c>
    </row>
    <row r="34" spans="1:10" ht="21" customHeight="1" x14ac:dyDescent="0.15">
      <c r="A34" s="112">
        <v>50015702</v>
      </c>
      <c r="B34" s="115">
        <v>0</v>
      </c>
      <c r="C34" s="115">
        <v>10</v>
      </c>
      <c r="D34" s="115">
        <v>100</v>
      </c>
      <c r="E34" s="115" t="s">
        <v>53</v>
      </c>
      <c r="F34" s="115" t="s">
        <v>53</v>
      </c>
      <c r="G34" s="115" t="s">
        <v>53</v>
      </c>
      <c r="H34" s="115">
        <v>1</v>
      </c>
      <c r="I34" s="115" t="s">
        <v>53</v>
      </c>
      <c r="J34" s="48">
        <f t="shared" ref="J34" si="3">D34</f>
        <v>100</v>
      </c>
    </row>
    <row r="35" spans="1:10" ht="21" customHeight="1" x14ac:dyDescent="0.15">
      <c r="A35" s="112">
        <v>50015703</v>
      </c>
      <c r="B35" s="115">
        <v>0</v>
      </c>
      <c r="C35" s="115">
        <v>20</v>
      </c>
      <c r="D35" s="115">
        <v>100</v>
      </c>
      <c r="E35" s="115" t="s">
        <v>272</v>
      </c>
      <c r="F35" s="115" t="s">
        <v>53</v>
      </c>
      <c r="G35" s="115" t="s">
        <v>273</v>
      </c>
      <c r="H35" s="115">
        <v>2</v>
      </c>
      <c r="I35" s="115" t="s">
        <v>53</v>
      </c>
      <c r="J35" s="48">
        <f t="shared" si="1"/>
        <v>100</v>
      </c>
    </row>
    <row r="36" spans="1:10" ht="21" customHeight="1" x14ac:dyDescent="0.15">
      <c r="A36" s="112">
        <v>50015704</v>
      </c>
      <c r="B36" s="115">
        <v>0</v>
      </c>
      <c r="C36" s="115">
        <v>30</v>
      </c>
      <c r="D36" s="115">
        <v>100</v>
      </c>
      <c r="E36" s="115" t="s">
        <v>272</v>
      </c>
      <c r="F36" s="115" t="s">
        <v>53</v>
      </c>
      <c r="G36" s="115" t="s">
        <v>273</v>
      </c>
      <c r="H36" s="115">
        <v>3</v>
      </c>
      <c r="I36" s="115" t="s">
        <v>53</v>
      </c>
      <c r="J36" s="48">
        <f t="shared" si="1"/>
        <v>100</v>
      </c>
    </row>
    <row r="37" spans="1:10" ht="21" customHeight="1" x14ac:dyDescent="0.15">
      <c r="A37" s="112">
        <v>50015705</v>
      </c>
      <c r="B37" s="115">
        <v>0</v>
      </c>
      <c r="C37" s="115">
        <v>40</v>
      </c>
      <c r="D37" s="115">
        <v>100</v>
      </c>
      <c r="E37" s="115" t="s">
        <v>272</v>
      </c>
      <c r="F37" s="115" t="s">
        <v>53</v>
      </c>
      <c r="G37" s="115">
        <v>1</v>
      </c>
      <c r="H37" s="115">
        <v>3</v>
      </c>
      <c r="I37" s="115" t="s">
        <v>53</v>
      </c>
      <c r="J37" s="48">
        <f t="shared" si="1"/>
        <v>100</v>
      </c>
    </row>
    <row r="38" spans="1:10" ht="21" customHeight="1" x14ac:dyDescent="0.15">
      <c r="A38" s="112">
        <v>50015706</v>
      </c>
      <c r="B38" s="115">
        <v>0</v>
      </c>
      <c r="C38" s="115">
        <v>60</v>
      </c>
      <c r="D38" s="115">
        <v>100</v>
      </c>
      <c r="E38" s="115">
        <v>70</v>
      </c>
      <c r="F38" s="115" t="s">
        <v>53</v>
      </c>
      <c r="G38" s="115">
        <v>1</v>
      </c>
      <c r="H38" s="115">
        <v>1</v>
      </c>
      <c r="I38" s="115" t="s">
        <v>275</v>
      </c>
      <c r="J38" s="48">
        <f t="shared" si="1"/>
        <v>100</v>
      </c>
    </row>
    <row r="39" spans="1:10" ht="21" customHeight="1" x14ac:dyDescent="0.15">
      <c r="A39" s="112">
        <v>50015707</v>
      </c>
      <c r="B39" s="115">
        <v>0</v>
      </c>
      <c r="C39" s="115">
        <v>50</v>
      </c>
      <c r="D39" s="115">
        <v>100</v>
      </c>
      <c r="E39" s="115">
        <v>70</v>
      </c>
      <c r="F39" s="115" t="s">
        <v>53</v>
      </c>
      <c r="G39" s="115">
        <v>1</v>
      </c>
      <c r="H39" s="115">
        <v>1</v>
      </c>
      <c r="I39" s="115" t="s">
        <v>275</v>
      </c>
      <c r="J39" s="48">
        <f t="shared" si="1"/>
        <v>100</v>
      </c>
    </row>
    <row r="40" spans="1:10" ht="21" customHeight="1" x14ac:dyDescent="0.15">
      <c r="A40" s="112">
        <v>50015708</v>
      </c>
      <c r="B40" s="115">
        <v>1</v>
      </c>
      <c r="C40" s="115">
        <v>400</v>
      </c>
      <c r="D40" s="115">
        <v>100</v>
      </c>
      <c r="E40" s="115" t="s">
        <v>53</v>
      </c>
      <c r="F40" s="115" t="s">
        <v>53</v>
      </c>
      <c r="G40" s="115">
        <v>1</v>
      </c>
      <c r="H40" s="115">
        <v>1</v>
      </c>
      <c r="I40" s="115">
        <v>1387</v>
      </c>
      <c r="J40" s="48">
        <f t="shared" ref="J40" si="4">D40</f>
        <v>100</v>
      </c>
    </row>
    <row r="41" spans="1:10" ht="21" customHeight="1" x14ac:dyDescent="0.15">
      <c r="A41" s="112">
        <v>50015709</v>
      </c>
      <c r="B41" s="115">
        <v>1</v>
      </c>
      <c r="C41" s="115">
        <v>500</v>
      </c>
      <c r="D41" s="115">
        <v>100</v>
      </c>
      <c r="E41" s="115" t="s">
        <v>53</v>
      </c>
      <c r="F41" s="115" t="s">
        <v>53</v>
      </c>
      <c r="G41" s="115">
        <v>1</v>
      </c>
      <c r="H41" s="115">
        <v>1</v>
      </c>
      <c r="I41" s="115">
        <v>1388</v>
      </c>
      <c r="J41" s="48">
        <f t="shared" ref="J41:J42" si="5">D41</f>
        <v>100</v>
      </c>
    </row>
    <row r="42" spans="1:10" ht="21" customHeight="1" x14ac:dyDescent="0.15">
      <c r="A42" s="112">
        <v>50015710</v>
      </c>
      <c r="B42" s="115">
        <v>1</v>
      </c>
      <c r="C42" s="115">
        <v>200</v>
      </c>
      <c r="D42" s="115">
        <v>100</v>
      </c>
      <c r="E42" s="115" t="s">
        <v>53</v>
      </c>
      <c r="F42" s="115" t="s">
        <v>53</v>
      </c>
      <c r="G42" s="115">
        <v>1</v>
      </c>
      <c r="H42" s="115">
        <v>1</v>
      </c>
      <c r="I42" s="115">
        <v>1330</v>
      </c>
      <c r="J42" s="48">
        <f t="shared" si="5"/>
        <v>100</v>
      </c>
    </row>
    <row r="43" spans="1:10" ht="21" customHeight="1" x14ac:dyDescent="0.15">
      <c r="A43" s="112">
        <v>50015711</v>
      </c>
      <c r="B43" s="115">
        <v>1</v>
      </c>
      <c r="C43" s="115">
        <v>300</v>
      </c>
      <c r="D43" s="115">
        <v>100</v>
      </c>
      <c r="E43" s="115" t="s">
        <v>53</v>
      </c>
      <c r="F43" s="115" t="s">
        <v>53</v>
      </c>
      <c r="G43" s="115">
        <v>1</v>
      </c>
      <c r="H43" s="115">
        <v>1</v>
      </c>
      <c r="I43" s="115">
        <v>1331</v>
      </c>
      <c r="J43" s="48">
        <f t="shared" ref="J43" si="6">D43</f>
        <v>100</v>
      </c>
    </row>
    <row r="44" spans="1:10" ht="21" customHeight="1" x14ac:dyDescent="0.15">
      <c r="A44" s="113">
        <v>50015800</v>
      </c>
      <c r="B44" s="115">
        <v>1</v>
      </c>
      <c r="C44" s="115" t="s">
        <v>270</v>
      </c>
      <c r="D44" s="115">
        <v>100</v>
      </c>
      <c r="E44" s="115" t="s">
        <v>53</v>
      </c>
      <c r="F44" s="115" t="s">
        <v>53</v>
      </c>
      <c r="G44" s="115">
        <v>1</v>
      </c>
      <c r="H44" s="115">
        <v>1</v>
      </c>
      <c r="I44" s="115" t="s">
        <v>53</v>
      </c>
      <c r="J44" s="48">
        <f t="shared" si="1"/>
        <v>100</v>
      </c>
    </row>
    <row r="45" spans="1:10" ht="21" customHeight="1" x14ac:dyDescent="0.15">
      <c r="A45" s="113">
        <v>50015801</v>
      </c>
      <c r="B45" s="115">
        <v>0</v>
      </c>
      <c r="C45" s="115">
        <v>10</v>
      </c>
      <c r="D45" s="115">
        <v>100</v>
      </c>
      <c r="E45" s="115" t="s">
        <v>272</v>
      </c>
      <c r="F45" s="115" t="s">
        <v>53</v>
      </c>
      <c r="G45" s="115" t="s">
        <v>273</v>
      </c>
      <c r="H45" s="115">
        <v>1</v>
      </c>
      <c r="I45" s="115" t="s">
        <v>53</v>
      </c>
      <c r="J45" s="48">
        <f t="shared" si="1"/>
        <v>100</v>
      </c>
    </row>
    <row r="46" spans="1:10" ht="21" customHeight="1" x14ac:dyDescent="0.15">
      <c r="A46" s="113">
        <v>50015802</v>
      </c>
      <c r="B46" s="115">
        <v>0</v>
      </c>
      <c r="C46" s="115">
        <v>20</v>
      </c>
      <c r="D46" s="115">
        <v>100</v>
      </c>
      <c r="E46" s="115" t="s">
        <v>272</v>
      </c>
      <c r="F46" s="115" t="s">
        <v>53</v>
      </c>
      <c r="G46" s="115" t="s">
        <v>273</v>
      </c>
      <c r="H46" s="115">
        <v>2</v>
      </c>
      <c r="I46" s="115" t="s">
        <v>53</v>
      </c>
      <c r="J46" s="48">
        <f t="shared" si="1"/>
        <v>100</v>
      </c>
    </row>
    <row r="47" spans="1:10" ht="21" customHeight="1" x14ac:dyDescent="0.15">
      <c r="A47" s="113">
        <v>50015803</v>
      </c>
      <c r="B47" s="115">
        <v>0</v>
      </c>
      <c r="C47" s="115">
        <v>30</v>
      </c>
      <c r="D47" s="115">
        <v>100</v>
      </c>
      <c r="E47" s="115" t="s">
        <v>272</v>
      </c>
      <c r="F47" s="115" t="s">
        <v>53</v>
      </c>
      <c r="G47" s="115" t="s">
        <v>273</v>
      </c>
      <c r="H47" s="115">
        <v>3</v>
      </c>
      <c r="I47" s="115" t="s">
        <v>53</v>
      </c>
      <c r="J47" s="48">
        <f t="shared" si="1"/>
        <v>100</v>
      </c>
    </row>
    <row r="48" spans="1:10" ht="21" customHeight="1" x14ac:dyDescent="0.15">
      <c r="A48" s="113">
        <v>50015804</v>
      </c>
      <c r="B48" s="115">
        <v>0</v>
      </c>
      <c r="C48" s="115">
        <v>60</v>
      </c>
      <c r="D48" s="115">
        <v>100</v>
      </c>
      <c r="E48" s="115">
        <v>70</v>
      </c>
      <c r="F48" s="115" t="s">
        <v>53</v>
      </c>
      <c r="G48" s="115">
        <v>1</v>
      </c>
      <c r="H48" s="115">
        <v>1</v>
      </c>
      <c r="I48" s="115" t="s">
        <v>275</v>
      </c>
      <c r="J48" s="48">
        <f t="shared" si="1"/>
        <v>100</v>
      </c>
    </row>
    <row r="49" spans="1:10" ht="21" customHeight="1" x14ac:dyDescent="0.15">
      <c r="A49" s="113">
        <v>50015805</v>
      </c>
      <c r="B49" s="115">
        <v>0</v>
      </c>
      <c r="C49" s="115">
        <v>50</v>
      </c>
      <c r="D49" s="115">
        <v>100</v>
      </c>
      <c r="E49" s="115">
        <v>40</v>
      </c>
      <c r="F49" s="115" t="s">
        <v>53</v>
      </c>
      <c r="G49" s="115">
        <v>1</v>
      </c>
      <c r="H49" s="115">
        <v>1</v>
      </c>
      <c r="I49" s="115" t="s">
        <v>275</v>
      </c>
      <c r="J49" s="48">
        <f t="shared" si="1"/>
        <v>100</v>
      </c>
    </row>
    <row r="50" spans="1:10" ht="21" customHeight="1" x14ac:dyDescent="0.15">
      <c r="A50" s="114">
        <v>50015900</v>
      </c>
      <c r="B50" s="115">
        <v>1</v>
      </c>
      <c r="C50" s="115" t="s">
        <v>270</v>
      </c>
      <c r="D50" s="115">
        <v>100</v>
      </c>
      <c r="E50" s="115" t="s">
        <v>53</v>
      </c>
      <c r="F50" s="115" t="s">
        <v>53</v>
      </c>
      <c r="G50" s="115">
        <v>1</v>
      </c>
      <c r="H50" s="115">
        <v>1</v>
      </c>
      <c r="I50" s="115" t="s">
        <v>53</v>
      </c>
      <c r="J50" s="48">
        <f t="shared" si="1"/>
        <v>100</v>
      </c>
    </row>
    <row r="51" spans="1:10" ht="21" customHeight="1" x14ac:dyDescent="0.15">
      <c r="A51" s="114">
        <v>50015901</v>
      </c>
      <c r="B51" s="115">
        <v>0</v>
      </c>
      <c r="C51" s="115">
        <v>50</v>
      </c>
      <c r="D51" s="115">
        <v>100</v>
      </c>
      <c r="E51" s="115" t="s">
        <v>272</v>
      </c>
      <c r="F51" s="115" t="s">
        <v>53</v>
      </c>
      <c r="G51" s="115">
        <v>1</v>
      </c>
      <c r="H51" s="115">
        <v>1</v>
      </c>
      <c r="I51" s="115" t="s">
        <v>53</v>
      </c>
      <c r="J51" s="48">
        <f t="shared" si="1"/>
        <v>100</v>
      </c>
    </row>
    <row r="52" spans="1:10" ht="21" customHeight="1" x14ac:dyDescent="0.15">
      <c r="A52" s="114">
        <v>50015902</v>
      </c>
      <c r="B52" s="115">
        <v>0</v>
      </c>
      <c r="C52" s="115">
        <v>40</v>
      </c>
      <c r="D52" s="115">
        <v>100</v>
      </c>
      <c r="E52" s="115" t="s">
        <v>272</v>
      </c>
      <c r="F52" s="115" t="s">
        <v>53</v>
      </c>
      <c r="G52" s="115">
        <v>1</v>
      </c>
      <c r="H52" s="115">
        <v>2</v>
      </c>
      <c r="I52" s="115" t="s">
        <v>53</v>
      </c>
      <c r="J52" s="48">
        <f t="shared" si="1"/>
        <v>100</v>
      </c>
    </row>
    <row r="53" spans="1:10" ht="21" customHeight="1" x14ac:dyDescent="0.15">
      <c r="A53" s="114">
        <v>50015903</v>
      </c>
      <c r="B53" s="115">
        <v>0</v>
      </c>
      <c r="C53" s="115">
        <v>30</v>
      </c>
      <c r="D53" s="115">
        <v>100</v>
      </c>
      <c r="E53" s="115" t="s">
        <v>272</v>
      </c>
      <c r="F53" s="115" t="s">
        <v>53</v>
      </c>
      <c r="G53" s="115">
        <v>1</v>
      </c>
      <c r="H53" s="115">
        <v>3</v>
      </c>
      <c r="I53" s="115" t="s">
        <v>53</v>
      </c>
      <c r="J53" s="48">
        <f t="shared" si="1"/>
        <v>100</v>
      </c>
    </row>
    <row r="54" spans="1:10" ht="21" customHeight="1" x14ac:dyDescent="0.15">
      <c r="A54" s="114">
        <v>50015904</v>
      </c>
      <c r="B54" s="115">
        <v>0</v>
      </c>
      <c r="C54" s="115">
        <v>20</v>
      </c>
      <c r="D54" s="115">
        <v>100</v>
      </c>
      <c r="E54" s="115" t="s">
        <v>272</v>
      </c>
      <c r="F54" s="115" t="s">
        <v>53</v>
      </c>
      <c r="G54" s="115">
        <v>1</v>
      </c>
      <c r="H54" s="115">
        <v>4</v>
      </c>
      <c r="I54" s="115" t="s">
        <v>53</v>
      </c>
      <c r="J54" s="48">
        <f t="shared" si="1"/>
        <v>100</v>
      </c>
    </row>
    <row r="55" spans="1:10" ht="21" customHeight="1" x14ac:dyDescent="0.15">
      <c r="A55" s="114">
        <v>50015905</v>
      </c>
      <c r="B55" s="115">
        <v>0</v>
      </c>
      <c r="C55" s="115">
        <v>10</v>
      </c>
      <c r="D55" s="115">
        <v>100</v>
      </c>
      <c r="E55" s="115" t="s">
        <v>272</v>
      </c>
      <c r="F55" s="115" t="s">
        <v>53</v>
      </c>
      <c r="G55" s="115">
        <v>1</v>
      </c>
      <c r="H55" s="115">
        <v>5</v>
      </c>
      <c r="I55" s="115" t="s">
        <v>53</v>
      </c>
      <c r="J55" s="48">
        <f t="shared" si="1"/>
        <v>100</v>
      </c>
    </row>
    <row r="56" spans="1:10" ht="21" customHeight="1" x14ac:dyDescent="0.15">
      <c r="A56" s="114">
        <v>50015906</v>
      </c>
      <c r="B56" s="115">
        <v>0</v>
      </c>
      <c r="C56" s="115">
        <v>100</v>
      </c>
      <c r="D56" s="115">
        <v>100</v>
      </c>
      <c r="E56" s="115" t="s">
        <v>168</v>
      </c>
      <c r="F56" s="115" t="s">
        <v>53</v>
      </c>
      <c r="G56" s="115">
        <v>0</v>
      </c>
      <c r="H56" s="115">
        <v>1</v>
      </c>
      <c r="I56" s="115">
        <v>0</v>
      </c>
      <c r="J56" s="48">
        <f t="shared" ref="J56" si="7">D56</f>
        <v>100</v>
      </c>
    </row>
    <row r="57" spans="1:10" ht="21" customHeight="1" x14ac:dyDescent="0.15">
      <c r="A57" s="114">
        <v>50015907</v>
      </c>
      <c r="B57" s="115">
        <v>0</v>
      </c>
      <c r="C57" s="115">
        <v>400</v>
      </c>
      <c r="D57" s="115">
        <v>100</v>
      </c>
      <c r="E57" s="115" t="s">
        <v>168</v>
      </c>
      <c r="F57" s="115" t="s">
        <v>53</v>
      </c>
      <c r="G57" s="115">
        <v>0</v>
      </c>
      <c r="H57" s="115">
        <v>1</v>
      </c>
      <c r="I57" s="115">
        <v>1387</v>
      </c>
      <c r="J57" s="48">
        <f t="shared" ref="J57" si="8">D57</f>
        <v>100</v>
      </c>
    </row>
    <row r="58" spans="1:10" ht="21" customHeight="1" x14ac:dyDescent="0.15">
      <c r="A58" s="114">
        <v>50015908</v>
      </c>
      <c r="B58" s="115">
        <v>0</v>
      </c>
      <c r="C58" s="115">
        <v>500</v>
      </c>
      <c r="D58" s="115">
        <v>100</v>
      </c>
      <c r="E58" s="115" t="s">
        <v>168</v>
      </c>
      <c r="F58" s="115" t="s">
        <v>53</v>
      </c>
      <c r="G58" s="115">
        <v>0</v>
      </c>
      <c r="H58" s="115">
        <v>1</v>
      </c>
      <c r="I58" s="115">
        <v>1388</v>
      </c>
      <c r="J58" s="48">
        <f t="shared" ref="J58:J59" si="9">D58</f>
        <v>100</v>
      </c>
    </row>
    <row r="59" spans="1:10" ht="21" customHeight="1" x14ac:dyDescent="0.15">
      <c r="A59" s="114">
        <v>50015909</v>
      </c>
      <c r="B59" s="115">
        <v>0</v>
      </c>
      <c r="C59" s="115">
        <v>200</v>
      </c>
      <c r="D59" s="115">
        <v>100</v>
      </c>
      <c r="E59" s="115" t="s">
        <v>168</v>
      </c>
      <c r="F59" s="115" t="s">
        <v>53</v>
      </c>
      <c r="G59" s="115">
        <v>0</v>
      </c>
      <c r="H59" s="115">
        <v>1</v>
      </c>
      <c r="I59" s="115">
        <v>1330</v>
      </c>
      <c r="J59" s="48">
        <f t="shared" si="9"/>
        <v>100</v>
      </c>
    </row>
    <row r="60" spans="1:10" ht="21" customHeight="1" x14ac:dyDescent="0.15">
      <c r="A60" s="114">
        <v>50015910</v>
      </c>
      <c r="B60" s="115">
        <v>0</v>
      </c>
      <c r="C60" s="115">
        <v>300</v>
      </c>
      <c r="D60" s="115">
        <v>100</v>
      </c>
      <c r="E60" s="115" t="s">
        <v>168</v>
      </c>
      <c r="F60" s="115" t="s">
        <v>53</v>
      </c>
      <c r="G60" s="115">
        <v>0</v>
      </c>
      <c r="H60" s="115">
        <v>1</v>
      </c>
      <c r="I60" s="115">
        <v>1331</v>
      </c>
      <c r="J60" s="48">
        <f t="shared" ref="J60" si="10">D60</f>
        <v>100</v>
      </c>
    </row>
  </sheetData>
  <autoFilter ref="A1:G1"/>
  <phoneticPr fontId="5"/>
  <conditionalFormatting sqref="K61:K1048576 K1:K3 K5:K14 K16:K33 K35:K39 K44:K55">
    <cfRule type="duplicateValues" dxfId="12" priority="13"/>
  </conditionalFormatting>
  <conditionalFormatting sqref="K4">
    <cfRule type="duplicateValues" dxfId="11" priority="12"/>
  </conditionalFormatting>
  <conditionalFormatting sqref="K15">
    <cfRule type="duplicateValues" dxfId="10" priority="11"/>
  </conditionalFormatting>
  <conditionalFormatting sqref="K34">
    <cfRule type="duplicateValues" dxfId="9" priority="10"/>
  </conditionalFormatting>
  <conditionalFormatting sqref="K56">
    <cfRule type="duplicateValues" dxfId="8" priority="9"/>
  </conditionalFormatting>
  <conditionalFormatting sqref="K40">
    <cfRule type="duplicateValues" dxfId="7" priority="8"/>
  </conditionalFormatting>
  <conditionalFormatting sqref="K57">
    <cfRule type="duplicateValues" dxfId="6" priority="7"/>
  </conditionalFormatting>
  <conditionalFormatting sqref="K58">
    <cfRule type="duplicateValues" dxfId="5" priority="6"/>
  </conditionalFormatting>
  <conditionalFormatting sqref="K41">
    <cfRule type="duplicateValues" dxfId="4" priority="5"/>
  </conditionalFormatting>
  <conditionalFormatting sqref="K42">
    <cfRule type="duplicateValues" dxfId="3" priority="4"/>
  </conditionalFormatting>
  <conditionalFormatting sqref="K43">
    <cfRule type="duplicateValues" dxfId="2" priority="3"/>
  </conditionalFormatting>
  <conditionalFormatting sqref="K59">
    <cfRule type="duplicateValues" dxfId="1" priority="2"/>
  </conditionalFormatting>
  <conditionalFormatting sqref="K60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5"/>
  <sheetViews>
    <sheetView workbookViewId="0">
      <selection activeCell="G16" sqref="G16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149</v>
      </c>
      <c r="B1" s="64" t="s">
        <v>150</v>
      </c>
      <c r="C1" s="65" t="s">
        <v>151</v>
      </c>
      <c r="D1" s="72" t="s">
        <v>152</v>
      </c>
      <c r="E1" s="66" t="s">
        <v>153</v>
      </c>
      <c r="F1" s="64" t="s">
        <v>154</v>
      </c>
      <c r="G1" s="64" t="s">
        <v>155</v>
      </c>
      <c r="H1" s="64" t="s">
        <v>156</v>
      </c>
      <c r="I1" s="64" t="s">
        <v>157</v>
      </c>
      <c r="J1" s="64" t="s">
        <v>158</v>
      </c>
      <c r="K1" s="64" t="s">
        <v>159</v>
      </c>
      <c r="L1" s="64" t="s">
        <v>160</v>
      </c>
      <c r="M1" s="64" t="s">
        <v>161</v>
      </c>
      <c r="N1" s="64" t="s">
        <v>162</v>
      </c>
      <c r="O1" s="64" t="s">
        <v>163</v>
      </c>
      <c r="P1" s="64" t="s">
        <v>164</v>
      </c>
      <c r="Q1" s="64" t="s">
        <v>165</v>
      </c>
      <c r="R1" s="64" t="s">
        <v>166</v>
      </c>
    </row>
    <row r="2" spans="1:18" x14ac:dyDescent="0.15">
      <c r="A2" s="57">
        <v>50015</v>
      </c>
      <c r="B2" s="57">
        <v>1</v>
      </c>
      <c r="C2" s="71" t="str">
        <f t="shared" ref="C2:C15" si="0">A2&amp; "_"&amp;B2</f>
        <v>50015_1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167</v>
      </c>
      <c r="G2" s="57">
        <v>65000</v>
      </c>
      <c r="H2" s="57" t="s">
        <v>360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50</v>
      </c>
      <c r="Q2" s="57" t="s">
        <v>169</v>
      </c>
      <c r="R2" s="57" t="s">
        <v>170</v>
      </c>
    </row>
    <row r="3" spans="1:18" x14ac:dyDescent="0.15">
      <c r="A3" s="57">
        <v>50015</v>
      </c>
      <c r="B3" s="57">
        <v>1</v>
      </c>
      <c r="C3" s="71" t="str">
        <f t="shared" si="0"/>
        <v>50015_1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361</v>
      </c>
      <c r="G3" s="57">
        <v>343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250</v>
      </c>
      <c r="Q3" s="57" t="s">
        <v>169</v>
      </c>
      <c r="R3" s="57" t="s">
        <v>170</v>
      </c>
    </row>
    <row r="4" spans="1:18" x14ac:dyDescent="0.15">
      <c r="A4" s="57">
        <v>50015</v>
      </c>
      <c r="B4" s="57">
        <v>1</v>
      </c>
      <c r="C4" s="71" t="str">
        <f t="shared" si="0"/>
        <v>50015_1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361</v>
      </c>
      <c r="G4" s="57">
        <v>353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50</v>
      </c>
      <c r="Q4" s="57" t="s">
        <v>169</v>
      </c>
      <c r="R4" s="57" t="s">
        <v>170</v>
      </c>
    </row>
    <row r="5" spans="1:18" x14ac:dyDescent="0.15">
      <c r="A5" s="57">
        <v>50015</v>
      </c>
      <c r="B5" s="57">
        <v>1</v>
      </c>
      <c r="C5" s="71" t="str">
        <f t="shared" si="0"/>
        <v>50015_1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361</v>
      </c>
      <c r="G5" s="57">
        <v>125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30</v>
      </c>
      <c r="Q5" s="57" t="s">
        <v>169</v>
      </c>
      <c r="R5" s="57" t="s">
        <v>170</v>
      </c>
    </row>
    <row r="6" spans="1:18" x14ac:dyDescent="0.15">
      <c r="A6" s="57">
        <v>50015</v>
      </c>
      <c r="B6" s="57">
        <v>1</v>
      </c>
      <c r="C6" s="71" t="str">
        <f t="shared" si="0"/>
        <v>50015_1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361</v>
      </c>
      <c r="G6" s="57">
        <v>607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80</v>
      </c>
      <c r="Q6" s="57" t="s">
        <v>169</v>
      </c>
      <c r="R6" s="57" t="s">
        <v>170</v>
      </c>
    </row>
    <row r="7" spans="1:18" x14ac:dyDescent="0.15">
      <c r="A7" s="57">
        <v>50015</v>
      </c>
      <c r="B7" s="57">
        <v>1</v>
      </c>
      <c r="C7" s="71" t="str">
        <f t="shared" si="0"/>
        <v>50015_1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361</v>
      </c>
      <c r="G7" s="57">
        <v>608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80</v>
      </c>
      <c r="Q7" s="57" t="s">
        <v>169</v>
      </c>
      <c r="R7" s="57" t="s">
        <v>170</v>
      </c>
    </row>
    <row r="8" spans="1:18" x14ac:dyDescent="0.15">
      <c r="A8" s="57">
        <v>50015</v>
      </c>
      <c r="B8" s="57">
        <v>1</v>
      </c>
      <c r="C8" s="71" t="str">
        <f t="shared" si="0"/>
        <v>50015_1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361</v>
      </c>
      <c r="G8" s="57">
        <v>609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80</v>
      </c>
      <c r="Q8" s="57" t="s">
        <v>169</v>
      </c>
      <c r="R8" s="57" t="s">
        <v>170</v>
      </c>
    </row>
    <row r="9" spans="1:18" x14ac:dyDescent="0.15">
      <c r="A9" s="57">
        <v>50015</v>
      </c>
      <c r="B9" s="57">
        <v>1</v>
      </c>
      <c r="C9" s="71" t="str">
        <f t="shared" si="0"/>
        <v>50015_1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361</v>
      </c>
      <c r="G9" s="57">
        <v>610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20</v>
      </c>
      <c r="Q9" s="57" t="s">
        <v>169</v>
      </c>
      <c r="R9" s="57" t="s">
        <v>170</v>
      </c>
    </row>
    <row r="10" spans="1:18" x14ac:dyDescent="0.15">
      <c r="A10" s="57">
        <v>50015</v>
      </c>
      <c r="B10" s="57">
        <v>1</v>
      </c>
      <c r="C10" s="71" t="str">
        <f t="shared" si="0"/>
        <v>50015_1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361</v>
      </c>
      <c r="G10" s="57">
        <v>611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30</v>
      </c>
      <c r="Q10" s="57" t="s">
        <v>169</v>
      </c>
      <c r="R10" s="57" t="s">
        <v>170</v>
      </c>
    </row>
    <row r="11" spans="1:18" x14ac:dyDescent="0.15">
      <c r="A11" s="57">
        <v>50015</v>
      </c>
      <c r="B11" s="57">
        <v>1</v>
      </c>
      <c r="C11" s="71" t="str">
        <f t="shared" si="0"/>
        <v>50015_1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361</v>
      </c>
      <c r="G11" s="57">
        <v>612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30</v>
      </c>
      <c r="Q11" s="57" t="s">
        <v>169</v>
      </c>
      <c r="R11" s="57" t="s">
        <v>170</v>
      </c>
    </row>
    <row r="12" spans="1:18" x14ac:dyDescent="0.15">
      <c r="A12" s="57">
        <v>50015</v>
      </c>
      <c r="B12" s="57">
        <v>1</v>
      </c>
      <c r="C12" s="71" t="str">
        <f t="shared" si="0"/>
        <v>50015_1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57" t="s">
        <v>361</v>
      </c>
      <c r="G12" s="57">
        <v>613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30</v>
      </c>
      <c r="Q12" s="57" t="s">
        <v>169</v>
      </c>
      <c r="R12" s="57" t="s">
        <v>170</v>
      </c>
    </row>
    <row r="13" spans="1:18" x14ac:dyDescent="0.15">
      <c r="A13" s="57">
        <v>50015</v>
      </c>
      <c r="B13" s="57">
        <v>1</v>
      </c>
      <c r="C13" s="71" t="str">
        <f t="shared" si="0"/>
        <v>50015_1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57" t="s">
        <v>361</v>
      </c>
      <c r="G13" s="57">
        <v>614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10</v>
      </c>
      <c r="Q13" s="57" t="s">
        <v>169</v>
      </c>
      <c r="R13" s="57" t="s">
        <v>170</v>
      </c>
    </row>
    <row r="14" spans="1:18" x14ac:dyDescent="0.15">
      <c r="A14" s="57">
        <v>50015</v>
      </c>
      <c r="B14" s="57">
        <v>1</v>
      </c>
      <c r="C14" s="71" t="str">
        <f t="shared" si="0"/>
        <v>50015_1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57" t="s">
        <v>361</v>
      </c>
      <c r="G14" s="57">
        <v>837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10</v>
      </c>
      <c r="Q14" s="57" t="s">
        <v>169</v>
      </c>
      <c r="R14" s="57" t="s">
        <v>170</v>
      </c>
    </row>
    <row r="15" spans="1:18" x14ac:dyDescent="0.15">
      <c r="A15" s="57">
        <v>50015</v>
      </c>
      <c r="B15" s="57">
        <v>1</v>
      </c>
      <c r="C15" s="71" t="str">
        <f t="shared" si="0"/>
        <v>50015_1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57" t="s">
        <v>361</v>
      </c>
      <c r="G15" s="57">
        <v>1379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250</v>
      </c>
      <c r="Q15" s="57" t="s">
        <v>169</v>
      </c>
      <c r="R15" s="57" t="s">
        <v>170</v>
      </c>
    </row>
  </sheetData>
  <phoneticPr fontId="5"/>
  <dataValidations disablePrompts="1" count="1">
    <dataValidation type="list" allowBlank="1" showInputMessage="1" showErrorMessage="1" sqref="F2:F15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S13" sqref="S13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188</v>
      </c>
      <c r="B1" s="73" t="s">
        <v>189</v>
      </c>
      <c r="C1" s="77" t="s">
        <v>190</v>
      </c>
      <c r="D1" s="77" t="s">
        <v>33</v>
      </c>
      <c r="E1" s="73" t="s">
        <v>191</v>
      </c>
      <c r="F1" s="77" t="s">
        <v>192</v>
      </c>
      <c r="G1" s="77" t="s">
        <v>33</v>
      </c>
      <c r="H1" s="73" t="s">
        <v>193</v>
      </c>
      <c r="I1" s="91" t="s">
        <v>195</v>
      </c>
      <c r="J1" s="79" t="s">
        <v>125</v>
      </c>
      <c r="K1" s="78" t="s">
        <v>186</v>
      </c>
      <c r="L1" s="92" t="s">
        <v>185</v>
      </c>
      <c r="M1" s="80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1"/>
  <sheetViews>
    <sheetView showGridLines="0" workbookViewId="0">
      <pane ySplit="1" topLeftCell="A2" activePane="bottomLeft" state="frozen"/>
      <selection pane="bottomLeft" activeCell="M5" sqref="M5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6" t="s">
        <v>188</v>
      </c>
      <c r="B1" s="73" t="s">
        <v>149</v>
      </c>
      <c r="C1" s="77" t="s">
        <v>190</v>
      </c>
      <c r="D1" s="77" t="s">
        <v>33</v>
      </c>
      <c r="E1" s="73" t="s">
        <v>191</v>
      </c>
      <c r="F1" s="77" t="s">
        <v>18</v>
      </c>
      <c r="G1" s="77" t="s">
        <v>33</v>
      </c>
      <c r="H1" s="73" t="s">
        <v>193</v>
      </c>
      <c r="I1" s="89" t="s">
        <v>194</v>
      </c>
      <c r="J1" s="91" t="s">
        <v>195</v>
      </c>
      <c r="K1" s="79" t="s">
        <v>125</v>
      </c>
      <c r="L1" s="78" t="s">
        <v>186</v>
      </c>
      <c r="M1" s="92" t="s">
        <v>185</v>
      </c>
      <c r="N1" s="80" t="s">
        <v>196</v>
      </c>
    </row>
    <row r="2" spans="1:15" ht="70" x14ac:dyDescent="0.15">
      <c r="A2" s="81" t="s">
        <v>197</v>
      </c>
      <c r="B2" s="82">
        <f>floors!$C$2</f>
        <v>50015</v>
      </c>
      <c r="C2" s="83" t="str">
        <f ca="1">VLOOKUP($B2,OFFSET([2]quests!$A$1,0,0,COUNTA([2]quests!$A:$A),MATCH(C$1,[2]quests!$1:$1,0)-MATCH($B$1,[2]quests!$1:$1,0)+1),MATCH(C$1,[2]quests!$1:$1,0)-MATCH($B$1,[2]quests!$1:$1,0)+1,FALSE)</f>
        <v>アンデルセン襲来！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超降臨14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【超ウィザード級】アンデルセン襲来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超降臨14</v>
      </c>
      <c r="H2" s="85">
        <v>2</v>
      </c>
      <c r="I2" s="90">
        <f t="shared" ref="I2:I11" si="0">ROW()-1</f>
        <v>1</v>
      </c>
      <c r="J2" s="86" t="str">
        <f t="shared" ref="J2:J11" si="1">B2&amp;TEXT(I2,"00")</f>
        <v>5001501</v>
      </c>
      <c r="K2" s="84" t="s">
        <v>198</v>
      </c>
      <c r="L2" s="87" t="s">
        <v>253</v>
      </c>
      <c r="M2" s="123" t="s">
        <v>345</v>
      </c>
      <c r="N2" s="57" t="s">
        <v>199</v>
      </c>
      <c r="O2">
        <f>LEN(M2)</f>
        <v>64</v>
      </c>
    </row>
    <row r="3" spans="1:15" ht="56" x14ac:dyDescent="0.15">
      <c r="A3" s="81" t="s">
        <v>197</v>
      </c>
      <c r="B3" s="82">
        <f>floors!$C$2</f>
        <v>50015</v>
      </c>
      <c r="C3" s="83" t="str">
        <f ca="1">VLOOKUP($B3,OFFSET([2]quests!$A$1,0,0,COUNTA([2]quests!$A:$A),MATCH(C$1,[2]quests!$1:$1,0)-MATCH($B$1,[2]quests!$1:$1,0)+1),MATCH(C$1,[2]quests!$1:$1,0)-MATCH($B$1,[2]quests!$1:$1,0)+1,FALSE)</f>
        <v>アンデルセン襲来！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超降臨14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【超ウィザード級】アンデルセン襲来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超降臨14</v>
      </c>
      <c r="H3" s="85">
        <v>3</v>
      </c>
      <c r="I3" s="90">
        <f t="shared" si="0"/>
        <v>2</v>
      </c>
      <c r="J3" s="86" t="str">
        <f t="shared" si="1"/>
        <v>5001502</v>
      </c>
      <c r="K3" s="84" t="s">
        <v>126</v>
      </c>
      <c r="L3" s="87" t="s">
        <v>253</v>
      </c>
      <c r="M3" s="123" t="s">
        <v>425</v>
      </c>
      <c r="N3" s="57" t="s">
        <v>199</v>
      </c>
      <c r="O3">
        <f t="shared" ref="O3:O11" si="2">LEN(M3)</f>
        <v>48</v>
      </c>
    </row>
    <row r="4" spans="1:15" ht="70" x14ac:dyDescent="0.15">
      <c r="A4" s="81" t="s">
        <v>197</v>
      </c>
      <c r="B4" s="82">
        <f>floors!$C$2</f>
        <v>50015</v>
      </c>
      <c r="C4" s="83" t="str">
        <f ca="1">VLOOKUP($B4,OFFSET([2]quests!$A$1,0,0,COUNTA([2]quests!$A:$A),MATCH(C$1,[2]quests!$1:$1,0)-MATCH($B$1,[2]quests!$1:$1,0)+1),MATCH(C$1,[2]quests!$1:$1,0)-MATCH($B$1,[2]quests!$1:$1,0)+1,FALSE)</f>
        <v>アンデルセン襲来！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超降臨14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【超ウィザード級】アンデルセン襲来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超降臨14</v>
      </c>
      <c r="H4" s="85">
        <v>3</v>
      </c>
      <c r="I4" s="90">
        <f t="shared" si="0"/>
        <v>3</v>
      </c>
      <c r="J4" s="86" t="str">
        <f t="shared" si="1"/>
        <v>5001503</v>
      </c>
      <c r="K4" s="84" t="s">
        <v>126</v>
      </c>
      <c r="L4" s="87" t="s">
        <v>253</v>
      </c>
      <c r="M4" s="123" t="s">
        <v>346</v>
      </c>
      <c r="N4" s="57" t="s">
        <v>199</v>
      </c>
      <c r="O4">
        <f t="shared" si="2"/>
        <v>62</v>
      </c>
    </row>
    <row r="5" spans="1:15" ht="70" x14ac:dyDescent="0.15">
      <c r="A5" s="81" t="s">
        <v>197</v>
      </c>
      <c r="B5" s="82">
        <f>floors!$C$2</f>
        <v>50015</v>
      </c>
      <c r="C5" s="83" t="str">
        <f ca="1">VLOOKUP($B5,OFFSET([2]quests!$A$1,0,0,COUNTA([2]quests!$A:$A),MATCH(C$1,[2]quests!$1:$1,0)-MATCH($B$1,[2]quests!$1:$1,0)+1),MATCH(C$1,[2]quests!$1:$1,0)-MATCH($B$1,[2]quests!$1:$1,0)+1,FALSE)</f>
        <v>アンデルセン襲来！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超降臨14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【超ウィザード級】アンデルセン襲来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超降臨14</v>
      </c>
      <c r="H5" s="85">
        <v>3</v>
      </c>
      <c r="I5" s="90">
        <f t="shared" si="0"/>
        <v>4</v>
      </c>
      <c r="J5" s="86" t="str">
        <f t="shared" si="1"/>
        <v>5001504</v>
      </c>
      <c r="K5" s="84" t="s">
        <v>126</v>
      </c>
      <c r="L5" s="87" t="s">
        <v>253</v>
      </c>
      <c r="M5" s="123" t="s">
        <v>347</v>
      </c>
      <c r="N5" s="57" t="s">
        <v>199</v>
      </c>
      <c r="O5">
        <f t="shared" si="2"/>
        <v>57</v>
      </c>
    </row>
    <row r="6" spans="1:15" ht="56" x14ac:dyDescent="0.15">
      <c r="A6" s="81" t="s">
        <v>197</v>
      </c>
      <c r="B6" s="82">
        <f>floors!$C$2</f>
        <v>50015</v>
      </c>
      <c r="C6" s="83" t="str">
        <f ca="1">VLOOKUP($B6,OFFSET([2]quests!$A$1,0,0,COUNTA([2]quests!$A:$A),MATCH(C$1,[2]quests!$1:$1,0)-MATCH($B$1,[2]quests!$1:$1,0)+1),MATCH(C$1,[2]quests!$1:$1,0)-MATCH($B$1,[2]quests!$1:$1,0)+1,FALSE)</f>
        <v>アンデルセン襲来！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超降臨14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【超ウィザード級】アンデルセン襲来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超降臨14</v>
      </c>
      <c r="H6" s="85">
        <v>4</v>
      </c>
      <c r="I6" s="90">
        <f t="shared" si="0"/>
        <v>5</v>
      </c>
      <c r="J6" s="86" t="str">
        <f t="shared" si="1"/>
        <v>5001505</v>
      </c>
      <c r="K6" s="84" t="s">
        <v>126</v>
      </c>
      <c r="L6" s="87" t="s">
        <v>253</v>
      </c>
      <c r="M6" s="123" t="s">
        <v>348</v>
      </c>
      <c r="N6" s="57" t="s">
        <v>199</v>
      </c>
      <c r="O6">
        <f t="shared" si="2"/>
        <v>54</v>
      </c>
    </row>
    <row r="7" spans="1:15" ht="70" x14ac:dyDescent="0.15">
      <c r="A7" s="81" t="s">
        <v>197</v>
      </c>
      <c r="B7" s="82">
        <f>floors!$C$2</f>
        <v>50015</v>
      </c>
      <c r="C7" s="83" t="str">
        <f ca="1">VLOOKUP($B7,OFFSET([2]quests!$A$1,0,0,COUNTA([2]quests!$A:$A),MATCH(C$1,[2]quests!$1:$1,0)-MATCH($B$1,[2]quests!$1:$1,0)+1),MATCH(C$1,[2]quests!$1:$1,0)-MATCH($B$1,[2]quests!$1:$1,0)+1,FALSE)</f>
        <v>アンデルセン襲来！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超降臨14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【超ウィザード級】アンデルセン襲来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超降臨14</v>
      </c>
      <c r="H7" s="85">
        <v>4</v>
      </c>
      <c r="I7" s="90">
        <f t="shared" si="0"/>
        <v>6</v>
      </c>
      <c r="J7" s="86" t="str">
        <f t="shared" si="1"/>
        <v>5001506</v>
      </c>
      <c r="K7" s="84" t="s">
        <v>126</v>
      </c>
      <c r="L7" s="87" t="s">
        <v>253</v>
      </c>
      <c r="M7" s="123" t="s">
        <v>349</v>
      </c>
      <c r="N7" s="57" t="s">
        <v>199</v>
      </c>
      <c r="O7">
        <f t="shared" si="2"/>
        <v>64</v>
      </c>
    </row>
    <row r="8" spans="1:15" ht="70" x14ac:dyDescent="0.15">
      <c r="A8" s="81" t="s">
        <v>197</v>
      </c>
      <c r="B8" s="82">
        <f>floors!$C$2</f>
        <v>50015</v>
      </c>
      <c r="C8" s="83" t="str">
        <f ca="1">VLOOKUP($B8,OFFSET([2]quests!$A$1,0,0,COUNTA([2]quests!$A:$A),MATCH(C$1,[2]quests!$1:$1,0)-MATCH($B$1,[2]quests!$1:$1,0)+1),MATCH(C$1,[2]quests!$1:$1,0)-MATCH($B$1,[2]quests!$1:$1,0)+1,FALSE)</f>
        <v>アンデルセン襲来！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超降臨14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【超ウィザード級】アンデルセン襲来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超降臨14</v>
      </c>
      <c r="H8" s="85">
        <v>4</v>
      </c>
      <c r="I8" s="90">
        <f t="shared" si="0"/>
        <v>7</v>
      </c>
      <c r="J8" s="86" t="str">
        <f t="shared" si="1"/>
        <v>5001507</v>
      </c>
      <c r="K8" s="84" t="s">
        <v>126</v>
      </c>
      <c r="L8" s="87" t="s">
        <v>253</v>
      </c>
      <c r="M8" s="123" t="s">
        <v>350</v>
      </c>
      <c r="N8" s="57" t="s">
        <v>199</v>
      </c>
      <c r="O8">
        <f t="shared" si="2"/>
        <v>62</v>
      </c>
    </row>
    <row r="9" spans="1:15" ht="42" x14ac:dyDescent="0.15">
      <c r="A9" s="81" t="s">
        <v>200</v>
      </c>
      <c r="B9" s="82">
        <f>floors!$C$2</f>
        <v>50015</v>
      </c>
      <c r="C9" s="83" t="str">
        <f ca="1">VLOOKUP($B9,OFFSET([2]quests!$A$1,0,0,COUNTA([2]quests!$A:$A),MATCH(C$1,[2]quests!$1:$1,0)-MATCH($B$1,[2]quests!$1:$1,0)+1),MATCH(C$1,[2]quests!$1:$1,0)-MATCH($B$1,[2]quests!$1:$1,0)+1,FALSE)</f>
        <v>アンデルセン襲来！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超降臨14</v>
      </c>
      <c r="E9" s="84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【超ウィザード級】アンデルセン襲来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超降臨14</v>
      </c>
      <c r="H9" s="85">
        <v>0</v>
      </c>
      <c r="I9" s="90">
        <f t="shared" si="0"/>
        <v>8</v>
      </c>
      <c r="J9" s="86" t="str">
        <f t="shared" si="1"/>
        <v>5001508</v>
      </c>
      <c r="K9" s="84" t="s">
        <v>126</v>
      </c>
      <c r="L9" s="87" t="s">
        <v>351</v>
      </c>
      <c r="M9" s="123" t="s">
        <v>424</v>
      </c>
      <c r="N9" s="57" t="s">
        <v>199</v>
      </c>
      <c r="O9">
        <f t="shared" si="2"/>
        <v>59</v>
      </c>
    </row>
    <row r="10" spans="1:15" ht="56" x14ac:dyDescent="0.15">
      <c r="A10" s="81" t="s">
        <v>200</v>
      </c>
      <c r="B10" s="82">
        <f>floors!$C$2</f>
        <v>50015</v>
      </c>
      <c r="C10" s="83" t="str">
        <f ca="1">VLOOKUP($B10,OFFSET([2]quests!$A$1,0,0,COUNTA([2]quests!$A:$A),MATCH(C$1,[2]quests!$1:$1,0)-MATCH($B$1,[2]quests!$1:$1,0)+1),MATCH(C$1,[2]quests!$1:$1,0)-MATCH($B$1,[2]quests!$1:$1,0)+1,FALSE)</f>
        <v>アンデルセン襲来！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超降臨14</v>
      </c>
      <c r="E10" s="84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【超ウィザード級】アンデルセン襲来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超降臨14</v>
      </c>
      <c r="H10" s="85">
        <v>0</v>
      </c>
      <c r="I10" s="90">
        <f t="shared" si="0"/>
        <v>9</v>
      </c>
      <c r="J10" s="86" t="str">
        <f t="shared" si="1"/>
        <v>5001509</v>
      </c>
      <c r="K10" s="84" t="s">
        <v>126</v>
      </c>
      <c r="L10" s="87" t="s">
        <v>352</v>
      </c>
      <c r="M10" s="123" t="s">
        <v>353</v>
      </c>
      <c r="N10" s="57" t="s">
        <v>199</v>
      </c>
      <c r="O10">
        <f t="shared" si="2"/>
        <v>60</v>
      </c>
    </row>
    <row r="11" spans="1:15" ht="56" x14ac:dyDescent="0.15">
      <c r="A11" s="81" t="s">
        <v>200</v>
      </c>
      <c r="B11" s="82">
        <f>floors!$C$2</f>
        <v>50015</v>
      </c>
      <c r="C11" s="83" t="str">
        <f ca="1">VLOOKUP($B11,OFFSET([2]quests!$A$1,0,0,COUNTA([2]quests!$A:$A),MATCH(C$1,[2]quests!$1:$1,0)-MATCH($B$1,[2]quests!$1:$1,0)+1),MATCH(C$1,[2]quests!$1:$1,0)-MATCH($B$1,[2]quests!$1:$1,0)+1,FALSE)</f>
        <v>アンデルセン襲来！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超降臨14</v>
      </c>
      <c r="E11" s="84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【超ウィザード級】アンデルセン襲来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超降臨14</v>
      </c>
      <c r="H11" s="85">
        <v>0</v>
      </c>
      <c r="I11" s="90">
        <f t="shared" si="0"/>
        <v>10</v>
      </c>
      <c r="J11" s="86" t="str">
        <f t="shared" si="1"/>
        <v>5001510</v>
      </c>
      <c r="K11" s="84" t="s">
        <v>126</v>
      </c>
      <c r="L11" s="87" t="s">
        <v>355</v>
      </c>
      <c r="M11" s="123" t="s">
        <v>354</v>
      </c>
      <c r="N11" s="57" t="s">
        <v>199</v>
      </c>
      <c r="O11">
        <f t="shared" si="2"/>
        <v>57</v>
      </c>
    </row>
  </sheetData>
  <phoneticPr fontId="5"/>
  <dataValidations count="1">
    <dataValidation type="list" allowBlank="1" showInputMessage="1" showErrorMessage="1" sqref="A2:A1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I2" sqref="I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212</v>
      </c>
      <c r="B1" s="95" t="s">
        <v>213</v>
      </c>
      <c r="C1" s="77" t="s">
        <v>214</v>
      </c>
      <c r="D1" s="77" t="s">
        <v>33</v>
      </c>
      <c r="E1" s="95" t="s">
        <v>215</v>
      </c>
      <c r="F1" s="77" t="s">
        <v>216</v>
      </c>
      <c r="G1" s="77" t="s">
        <v>33</v>
      </c>
      <c r="H1" s="95" t="s">
        <v>217</v>
      </c>
      <c r="I1" s="95" t="s">
        <v>218</v>
      </c>
      <c r="J1" s="95" t="s">
        <v>219</v>
      </c>
      <c r="K1" s="73" t="s">
        <v>220</v>
      </c>
      <c r="L1" s="73" t="s">
        <v>221</v>
      </c>
      <c r="M1" s="73" t="s">
        <v>155</v>
      </c>
      <c r="N1" s="77" t="s">
        <v>16</v>
      </c>
      <c r="O1" s="73" t="s">
        <v>222</v>
      </c>
      <c r="P1" s="73" t="s">
        <v>57</v>
      </c>
      <c r="Q1" s="73" t="s">
        <v>223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224</v>
      </c>
      <c r="X1" s="73" t="s">
        <v>225</v>
      </c>
    </row>
    <row r="2" spans="1:24" x14ac:dyDescent="0.15">
      <c r="A2" s="96" t="str">
        <f>B2&amp;"_"&amp;E2&amp;"_"&amp;H2&amp;"_"&amp;I2&amp;"_"&amp;J2</f>
        <v>50015_1_everyone_full_member_1</v>
      </c>
      <c r="B2" s="82">
        <v>50015</v>
      </c>
      <c r="C2" s="83" t="str">
        <f ca="1">VLOOKUP($B2,OFFSET([2]quests!$A$1,0,0,COUNTA([2]quests!$A:$A),MATCH(C$1,[2]quests!$1:$1,0)-MATCH($B$1,[2]quests!$1:$1,0)+1),MATCH(C$1,[2]quests!$1:$1,0)-MATCH($B$1,[2]quests!$1:$1,0)+1,FALSE)</f>
        <v>アンデルセン襲来！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超降臨14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【超ウィザード級】アンデルセン襲来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超降臨14</v>
      </c>
      <c r="H2" s="85" t="s">
        <v>226</v>
      </c>
      <c r="I2" s="84" t="s">
        <v>362</v>
      </c>
      <c r="J2" s="84">
        <v>1</v>
      </c>
      <c r="K2" s="84">
        <v>100</v>
      </c>
      <c r="L2" s="84" t="s">
        <v>227</v>
      </c>
      <c r="M2" s="84">
        <v>1379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アンデルセン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8" t="s">
        <v>228</v>
      </c>
      <c r="X2" s="99" t="s">
        <v>229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2017-05-08T08:23:30Z</dcterms:modified>
</cp:coreProperties>
</file>