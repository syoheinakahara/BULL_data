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tables_7312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tables_7312!$A$1:$V$95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6" i="159" l="1"/>
  <c r="D96" i="159"/>
  <c r="J96" i="159"/>
  <c r="E96" i="159"/>
  <c r="F96" i="159"/>
  <c r="C96" i="159"/>
  <c r="H96" i="159"/>
  <c r="K96" i="159"/>
  <c r="L96" i="159"/>
  <c r="M96" i="159"/>
  <c r="N96" i="159"/>
  <c r="P96" i="159"/>
  <c r="I97" i="159"/>
  <c r="D97" i="159"/>
  <c r="J97" i="159"/>
  <c r="E97" i="159"/>
  <c r="F97" i="159"/>
  <c r="C97" i="159"/>
  <c r="H97" i="159"/>
  <c r="K97" i="159"/>
  <c r="L97" i="159"/>
  <c r="M97" i="159"/>
  <c r="N97" i="159"/>
  <c r="P97" i="159"/>
  <c r="I98" i="159"/>
  <c r="D98" i="159"/>
  <c r="J98" i="159"/>
  <c r="E98" i="159"/>
  <c r="F98" i="159"/>
  <c r="C98" i="159"/>
  <c r="H98" i="159"/>
  <c r="K98" i="159"/>
  <c r="L98" i="159"/>
  <c r="M98" i="159"/>
  <c r="N98" i="159"/>
  <c r="P98" i="159"/>
  <c r="I92" i="159"/>
  <c r="D92" i="159"/>
  <c r="J92" i="159"/>
  <c r="E92" i="159"/>
  <c r="F92" i="159"/>
  <c r="C92" i="159"/>
  <c r="H92" i="159"/>
  <c r="K92" i="159"/>
  <c r="L92" i="159"/>
  <c r="M92" i="159"/>
  <c r="N92" i="159"/>
  <c r="P92" i="159"/>
  <c r="I93" i="159"/>
  <c r="D93" i="159"/>
  <c r="J93" i="159"/>
  <c r="E93" i="159"/>
  <c r="F93" i="159"/>
  <c r="C93" i="159"/>
  <c r="H93" i="159"/>
  <c r="K93" i="159"/>
  <c r="L93" i="159"/>
  <c r="M93" i="159"/>
  <c r="N93" i="159"/>
  <c r="P93" i="159"/>
  <c r="I94" i="159"/>
  <c r="D94" i="159"/>
  <c r="J94" i="159"/>
  <c r="E94" i="159"/>
  <c r="F94" i="159"/>
  <c r="C94" i="159"/>
  <c r="H94" i="159"/>
  <c r="K94" i="159"/>
  <c r="L94" i="159"/>
  <c r="M94" i="159"/>
  <c r="N94" i="159"/>
  <c r="P94" i="159"/>
  <c r="I95" i="159"/>
  <c r="D95" i="159"/>
  <c r="J95" i="159"/>
  <c r="E95" i="159"/>
  <c r="F95" i="159"/>
  <c r="C95" i="159"/>
  <c r="H95" i="159"/>
  <c r="K95" i="159"/>
  <c r="L95" i="159"/>
  <c r="M95" i="159"/>
  <c r="N95" i="159"/>
  <c r="P95" i="159"/>
  <c r="I84" i="159"/>
  <c r="D84" i="159"/>
  <c r="J84" i="159"/>
  <c r="E84" i="159"/>
  <c r="F84" i="159"/>
  <c r="C84" i="159"/>
  <c r="H84" i="159"/>
  <c r="K84" i="159"/>
  <c r="L84" i="159"/>
  <c r="M84" i="159"/>
  <c r="N84" i="159"/>
  <c r="P84" i="159"/>
  <c r="I85" i="159"/>
  <c r="D85" i="159"/>
  <c r="J85" i="159"/>
  <c r="E85" i="159"/>
  <c r="F85" i="159"/>
  <c r="C85" i="159"/>
  <c r="H85" i="159"/>
  <c r="K85" i="159"/>
  <c r="L85" i="159"/>
  <c r="M85" i="159"/>
  <c r="N85" i="159"/>
  <c r="P85" i="159"/>
  <c r="I86" i="159"/>
  <c r="D86" i="159"/>
  <c r="J86" i="159"/>
  <c r="E86" i="159"/>
  <c r="F86" i="159"/>
  <c r="C86" i="159"/>
  <c r="H86" i="159"/>
  <c r="K86" i="159"/>
  <c r="L86" i="159"/>
  <c r="M86" i="159"/>
  <c r="N86" i="159"/>
  <c r="P86" i="159"/>
  <c r="I87" i="159"/>
  <c r="D87" i="159"/>
  <c r="J87" i="159"/>
  <c r="E87" i="159"/>
  <c r="F87" i="159"/>
  <c r="C87" i="159"/>
  <c r="H87" i="159"/>
  <c r="K87" i="159"/>
  <c r="L87" i="159"/>
  <c r="M87" i="159"/>
  <c r="N87" i="159"/>
  <c r="P87" i="159"/>
  <c r="I88" i="159"/>
  <c r="D88" i="159"/>
  <c r="J88" i="159"/>
  <c r="E88" i="159"/>
  <c r="F88" i="159"/>
  <c r="C88" i="159"/>
  <c r="H88" i="159"/>
  <c r="K88" i="159"/>
  <c r="L88" i="159"/>
  <c r="M88" i="159"/>
  <c r="N88" i="159"/>
  <c r="P88" i="159"/>
  <c r="I89" i="159"/>
  <c r="D89" i="159"/>
  <c r="J89" i="159"/>
  <c r="E89" i="159"/>
  <c r="F89" i="159"/>
  <c r="C89" i="159"/>
  <c r="H89" i="159"/>
  <c r="K89" i="159"/>
  <c r="L89" i="159"/>
  <c r="M89" i="159"/>
  <c r="N89" i="159"/>
  <c r="P89" i="159"/>
  <c r="I90" i="159"/>
  <c r="D90" i="159"/>
  <c r="J90" i="159"/>
  <c r="E90" i="159"/>
  <c r="F90" i="159"/>
  <c r="C90" i="159"/>
  <c r="H90" i="159"/>
  <c r="K90" i="159"/>
  <c r="L90" i="159"/>
  <c r="M90" i="159"/>
  <c r="N90" i="159"/>
  <c r="P90" i="159"/>
  <c r="I91" i="159"/>
  <c r="D91" i="159"/>
  <c r="J91" i="159"/>
  <c r="E91" i="159"/>
  <c r="F91" i="159"/>
  <c r="C91" i="159"/>
  <c r="H91" i="159"/>
  <c r="K91" i="159"/>
  <c r="L91" i="159"/>
  <c r="M91" i="159"/>
  <c r="N91" i="159"/>
  <c r="P91" i="159"/>
  <c r="I81" i="159"/>
  <c r="D81" i="159"/>
  <c r="J81" i="159"/>
  <c r="E81" i="159"/>
  <c r="F81" i="159"/>
  <c r="C81" i="159"/>
  <c r="H81" i="159"/>
  <c r="K81" i="159"/>
  <c r="L81" i="159"/>
  <c r="M81" i="159"/>
  <c r="N81" i="159"/>
  <c r="P81" i="159"/>
  <c r="I82" i="159"/>
  <c r="D82" i="159"/>
  <c r="J82" i="159"/>
  <c r="E82" i="159"/>
  <c r="F82" i="159"/>
  <c r="C82" i="159"/>
  <c r="H82" i="159"/>
  <c r="K82" i="159"/>
  <c r="L82" i="159"/>
  <c r="M82" i="159"/>
  <c r="N82" i="159"/>
  <c r="P82" i="159"/>
  <c r="I83" i="159"/>
  <c r="D83" i="159"/>
  <c r="J83" i="159"/>
  <c r="E83" i="159"/>
  <c r="F83" i="159"/>
  <c r="C83" i="159"/>
  <c r="H83" i="159"/>
  <c r="K83" i="159"/>
  <c r="L83" i="159"/>
  <c r="M83" i="159"/>
  <c r="N83" i="159"/>
  <c r="P83" i="159"/>
  <c r="I78" i="159"/>
  <c r="D78" i="159"/>
  <c r="J78" i="159"/>
  <c r="E78" i="159"/>
  <c r="F78" i="159"/>
  <c r="C78" i="159"/>
  <c r="H78" i="159"/>
  <c r="K78" i="159"/>
  <c r="L78" i="159"/>
  <c r="M78" i="159"/>
  <c r="N78" i="159"/>
  <c r="P78" i="159"/>
  <c r="I79" i="159"/>
  <c r="D79" i="159"/>
  <c r="J79" i="159"/>
  <c r="E79" i="159"/>
  <c r="F79" i="159"/>
  <c r="C79" i="159"/>
  <c r="H79" i="159"/>
  <c r="K79" i="159"/>
  <c r="L79" i="159"/>
  <c r="M79" i="159"/>
  <c r="N79" i="159"/>
  <c r="P79" i="159"/>
  <c r="I80" i="159"/>
  <c r="D80" i="159"/>
  <c r="J80" i="159"/>
  <c r="E80" i="159"/>
  <c r="F80" i="159"/>
  <c r="C80" i="159"/>
  <c r="H80" i="159"/>
  <c r="K80" i="159"/>
  <c r="L80" i="159"/>
  <c r="M80" i="159"/>
  <c r="N80" i="159"/>
  <c r="P80" i="159"/>
  <c r="I75" i="159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C4" i="103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<sst xmlns="http://schemas.openxmlformats.org/spreadsheetml/2006/main" count="290" uniqueCount="176">
  <si>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</si>
  <si>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</si>
  <si>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</si>
  <si>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</si>
  <si>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</si>
  <si>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</si>
  <si>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</si>
  <si>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</si>
  <si>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</si>
  <si>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</si>
  <si>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</si>
  <si>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</si>
  <si>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</si>
  <si>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</si>
  <si>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</si>
  <si>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</si>
  <si>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</si>
  <si>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</si>
  <si>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</si>
  <si>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</si>
  <si>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</si>
  <si>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</si>
  <si>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</si>
  <si>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</si>
  <si>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</si>
  <si>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</si>
  <si>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</si>
  <si>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</si>
  <si>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</si>
  <si>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</si>
  <si>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</si>
  <si>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</si>
  <si>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</si>
  <si>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</si>
  <si>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</si>
  <si>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</si>
  <si>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</si>
  <si>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</si>
  <si>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</si>
  <si>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</si>
  <si>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</si>
  <si>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</si>
  <si>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</si>
  <si>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</si>
  <si>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</si>
  <si>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性別</t>
    <rPh sb="0" eb="2">
      <t>セイベツ</t>
    </rPh>
    <phoneticPr fontId="21"/>
  </si>
  <si>
    <t>ピックアップ確率</t>
    <rPh sb="6" eb="8">
      <t>カクリツ</t>
    </rPh>
    <phoneticPr fontId="21"/>
  </si>
  <si>
    <t>確率</t>
    <rPh sb="0" eb="2">
      <t>カクリツ</t>
    </rPh>
    <phoneticPr fontId="21"/>
  </si>
  <si>
    <t>名前</t>
    <rPh sb="0" eb="2">
      <t>ナマエ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</si>
  <si>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</si>
  <si>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</si>
  <si>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</si>
  <si>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</si>
  <si>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table_no</t>
    <phoneticPr fontId="21"/>
  </si>
  <si>
    <t>table_no</t>
    <phoneticPr fontId="21"/>
  </si>
  <si>
    <t>skill_level</t>
  </si>
  <si>
    <t>level</t>
  </si>
  <si>
    <t>drop_label2</t>
    <phoneticPr fontId="21"/>
  </si>
  <si>
    <t>color2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</si>
  <si>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</si>
  <si>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</si>
  <si>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</si>
  <si>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</si>
  <si>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</si>
  <si>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</si>
  <si>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</si>
  <si>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</si>
  <si>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</si>
  <si>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</si>
  <si>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</si>
  <si>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</si>
  <si>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</si>
  <si>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</si>
  <si>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</si>
  <si>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</si>
  <si>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</si>
  <si>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</si>
  <si>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</si>
  <si>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</si>
  <si>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</si>
  <si>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</si>
  <si>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</si>
  <si>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</si>
  <si>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</si>
  <si>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</si>
  <si>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</si>
  <si>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</si>
  <si>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</si>
  <si>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</si>
  <si>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</si>
  <si>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</si>
  <si>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</si>
  <si>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</si>
  <si>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</si>
  <si>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</si>
  <si>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</si>
  <si>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</si>
  <si>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</si>
  <si>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</si>
  <si>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</si>
  <si>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</si>
  <si>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</si>
  <si>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</si>
  <si>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</si>
  <si>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</si>
  <si>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</si>
  <si>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</si>
  <si>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</si>
  <si>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</si>
  <si>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</si>
  <si>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</si>
  <si>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</si>
  <si>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</si>
  <si>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</si>
  <si>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</si>
  <si>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</si>
  <si>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</si>
  <si>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</si>
  <si>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</si>
  <si>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</si>
  <si>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</si>
  <si>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</si>
  <si>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</si>
  <si>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</si>
  <si>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</si>
  <si>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</si>
  <si>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</si>
  <si>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</si>
  <si>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</si>
  <si>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</si>
  <si>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</si>
  <si>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</si>
  <si>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</si>
  <si>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</si>
  <si>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</si>
  <si>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</si>
  <si>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</si>
  <si>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</si>
  <si>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</si>
  <si>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</si>
  <si>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</si>
  <si>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</si>
  <si>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</si>
  <si>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</si>
  <si>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</si>
  <si>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</si>
  <si>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</si>
  <si>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</si>
  <si>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</si>
  <si>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</si>
  <si>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</si>
  <si>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</si>
  <si>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</si>
  <si>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</si>
  <si>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</si>
  <si>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</si>
  <si>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</si>
  <si>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</si>
  <si>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</si>
  <si>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</si>
  <si>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</si>
  <si>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</si>
  <si>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</si>
  <si>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</si>
  <si>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</si>
  <si>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</si>
  <si>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skip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</si>
  <si>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</si>
  <si>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</si>
  <si>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</si>
  <si>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</si>
  <si>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</si>
  <si>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tables_settle_426104</t>
    <phoneticPr fontId="21"/>
  </si>
  <si>
    <t>tables_settle_426105</t>
    <phoneticPr fontId="21"/>
  </si>
  <si>
    <t>tables_426101</t>
    <phoneticPr fontId="21"/>
  </si>
  <si>
    <t>tables_7312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</si>
</sst>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5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3" xfId="0" applyFont="1" applyFill="1" applyBorder="1" applyAlignment="1">
      <alignment horizontal="right" vertical="center"/>
    </xf>
    <xf numFmtId="0" fontId="26" fillId="2" borderId="1" xfId="2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1" borderId="1" xfId="2978" applyFont="1" applyFill="1" applyBorder="1"/>
    <xf numFmtId="0" fontId="14" fillId="21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1" borderId="1" xfId="0" applyFont="1" applyFill="1" applyBorder="1"/>
    <xf numFmtId="0" fontId="53" fillId="22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11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25" fillId="23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0" fontId="7" fillId="0" borderId="0" xfId="3662" applyFont="1"/>
    <xf numFmtId="0" fontId="6" fillId="0" borderId="1" xfId="3036" applyFont="1" applyBorder="1"/>
    <xf numFmtId="0" fontId="5" fillId="4" borderId="1" xfId="2978" applyFont="1" applyFill="1" applyBorder="1"/>
    <xf numFmtId="0" fontId="5" fillId="0" borderId="1" xfId="3036" applyFont="1" applyBorder="1"/>
    <xf numFmtId="0" fontId="26" fillId="3" borderId="13" xfId="2" applyFont="1" applyFill="1" applyBorder="1" applyAlignment="1">
      <alignment vertical="center"/>
    </xf>
    <xf numFmtId="176" fontId="0" fillId="25" borderId="13" xfId="3575" applyNumberFormat="1" applyFont="1" applyFill="1" applyBorder="1"/>
    <xf numFmtId="0" fontId="53" fillId="3" borderId="13" xfId="0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26" fillId="4" borderId="0" xfId="2" applyFont="1" applyFill="1" applyAlignment="1">
      <alignment vertical="center"/>
    </xf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8" t="s">
        <v>169</v>
      </c>
      <c r="B2" s="38" t="s">
        <v>59</v>
      </c>
      <c r="C2" s="35">
        <v>7312</v>
      </c>
      <c r="D2" s="16" t="s">
        <v>37</v>
      </c>
      <c r="E2" s="14" t="str">
        <f t="shared" ref="E2:E3" si="0">B2&amp;C2&amp;D2</f>
        <v>gacha_select_tables_7312.tmp</v>
      </c>
      <c r="F2" s="55" t="s">
        <v>175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6" t="s">
        <v>166</v>
      </c>
      <c r="B3" s="52" t="s">
        <v>170</v>
      </c>
      <c r="C3" s="53" t="str">
        <f t="shared" ref="C3" si="1">RIGHT(F3,6)</f>
        <v>426104</v>
      </c>
      <c r="D3" s="16" t="s">
        <v>171</v>
      </c>
      <c r="E3" s="14" t="str">
        <f t="shared" si="0"/>
        <v>gacha_settle_tables_426104.tmp</v>
      </c>
      <c r="F3" s="53" t="s">
        <v>172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6" t="s">
        <v>166</v>
      </c>
      <c r="B4" s="52" t="s">
        <v>170</v>
      </c>
      <c r="C4" s="53" t="str">
        <f t="shared" ref="C4" si="2">RIGHT(F4,6)</f>
        <v>426105</v>
      </c>
      <c r="D4" s="16" t="s">
        <v>171</v>
      </c>
      <c r="E4" s="14" t="str">
        <f t="shared" ref="E4" si="3">B4&amp;C4&amp;D4</f>
        <v>gacha_settle_tables_426105.tmp</v>
      </c>
      <c r="F4" s="53" t="s">
        <v>173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6" t="s">
        <v>166</v>
      </c>
      <c r="B5" s="38" t="s">
        <v>59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4" t="s">
        <v>174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6" t="s">
        <v>166</v>
      </c>
      <c r="B6" s="38" t="s">
        <v>59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7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6" t="s">
        <v>166</v>
      </c>
      <c r="B7" s="38" t="s">
        <v>59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7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6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6" t="s">
        <v>166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6" t="s">
        <v>166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8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7312010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2">
        <v>19</v>
      </c>
      <c r="P2" s="33">
        <f t="shared" ref="P2:P33" si="1">O2/SUM(O:O)</f>
        <v>1.3768115942028985E-2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7312010</v>
      </c>
      <c r="B3" s="5">
        <v>321</v>
      </c>
      <c r="C3" s="7" t="str">
        <f t="shared" si="0"/>
        <v>PremiumSS5</v>
      </c>
      <c r="D3" s="7" t="str">
        <f t="shared" ref="D3:D6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2">
        <v>1</v>
      </c>
      <c r="P3" s="33">
        <f t="shared" si="1"/>
        <v>7.246376811594203E-4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7312010</v>
      </c>
      <c r="B4" s="5">
        <v>324</v>
      </c>
      <c r="C4" s="7" t="str">
        <f t="shared" si="0"/>
        <v>PremiumSS4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2">
        <v>19</v>
      </c>
      <c r="P4" s="33">
        <f t="shared" si="1"/>
        <v>1.3768115942028985E-2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7312010</v>
      </c>
      <c r="B5" s="5">
        <v>325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32">
        <v>1</v>
      </c>
      <c r="P5" s="33">
        <f t="shared" si="1"/>
        <v>7.246376811594203E-4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7312010</v>
      </c>
      <c r="B6" s="5">
        <v>383</v>
      </c>
      <c r="C6" s="7" t="str">
        <f t="shared" si="0"/>
        <v>PremiumSS4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2">
        <v>19</v>
      </c>
      <c r="P6" s="33">
        <f t="shared" si="1"/>
        <v>1.3768115942028985E-2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7312010</v>
      </c>
      <c r="B7" s="2">
        <v>384</v>
      </c>
      <c r="C7" s="7" t="str">
        <f t="shared" ref="C7:C70" si="3">D7&amp;J7&amp;E7&amp;F7&amp;G7</f>
        <v>PremiumSS5</v>
      </c>
      <c r="D7" s="7" t="str">
        <f t="shared" ref="D7:D70" si="4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32">
        <v>1</v>
      </c>
      <c r="P7" s="33">
        <f t="shared" si="1"/>
        <v>7.246376811594203E-4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7312010</v>
      </c>
      <c r="B8" s="2">
        <v>385</v>
      </c>
      <c r="C8" s="7" t="str">
        <f t="shared" si="3"/>
        <v>PremiumSS4</v>
      </c>
      <c r="D8" s="7" t="str">
        <f t="shared" si="4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32">
        <v>19</v>
      </c>
      <c r="P8" s="33">
        <f t="shared" si="1"/>
        <v>1.3768115942028985E-2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7312010</v>
      </c>
      <c r="B9" s="2">
        <v>386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2">
        <v>1</v>
      </c>
      <c r="P9" s="33">
        <f t="shared" si="1"/>
        <v>7.246376811594203E-4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7312010</v>
      </c>
      <c r="B10" s="2">
        <v>390</v>
      </c>
      <c r="C10" s="7" t="str">
        <f t="shared" si="3"/>
        <v>PremiumSS4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2">
        <v>19</v>
      </c>
      <c r="P10" s="33">
        <f t="shared" si="1"/>
        <v>1.3768115942028985E-2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7312010</v>
      </c>
      <c r="B11" s="2">
        <v>391</v>
      </c>
      <c r="C11" s="7" t="str">
        <f t="shared" si="3"/>
        <v>PremiumSS5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32">
        <v>1</v>
      </c>
      <c r="P11" s="33">
        <f t="shared" si="1"/>
        <v>7.246376811594203E-4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7312010</v>
      </c>
      <c r="B12" s="2">
        <v>398</v>
      </c>
      <c r="C12" s="7" t="str">
        <f t="shared" si="3"/>
        <v>PremiumSS4</v>
      </c>
      <c r="D12" s="7" t="str">
        <f t="shared" si="4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2">
        <v>19</v>
      </c>
      <c r="P12" s="33">
        <f t="shared" si="1"/>
        <v>1.3768115942028985E-2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7312010</v>
      </c>
      <c r="B13" s="2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2">
        <v>1</v>
      </c>
      <c r="P13" s="33">
        <f t="shared" si="1"/>
        <v>7.246376811594203E-4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7312010</v>
      </c>
      <c r="B14" s="2">
        <v>403</v>
      </c>
      <c r="C14" s="7" t="str">
        <f t="shared" si="3"/>
        <v>PremiumSS4</v>
      </c>
      <c r="D14" s="7" t="str">
        <f t="shared" si="4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32">
        <v>19</v>
      </c>
      <c r="P14" s="33">
        <f t="shared" si="1"/>
        <v>1.3768115942028985E-2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7312010</v>
      </c>
      <c r="B15" s="2">
        <v>404</v>
      </c>
      <c r="C15" s="7" t="str">
        <f t="shared" si="3"/>
        <v>PremiumSS5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32">
        <v>1</v>
      </c>
      <c r="P15" s="33">
        <f t="shared" si="1"/>
        <v>7.246376811594203E-4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7312010</v>
      </c>
      <c r="B16" s="2">
        <v>434</v>
      </c>
      <c r="C16" s="7" t="str">
        <f t="shared" si="3"/>
        <v>PremiumSS4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32">
        <v>19</v>
      </c>
      <c r="P16" s="33">
        <f t="shared" si="1"/>
        <v>1.3768115942028985E-2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7312010</v>
      </c>
      <c r="B17" s="2">
        <v>435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32">
        <v>1</v>
      </c>
      <c r="P17" s="33">
        <f t="shared" si="1"/>
        <v>7.246376811594203E-4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7312010</v>
      </c>
      <c r="B18" s="2">
        <v>465</v>
      </c>
      <c r="C18" s="7" t="str">
        <f t="shared" si="3"/>
        <v>PremiumSS4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32">
        <v>19</v>
      </c>
      <c r="P18" s="33">
        <f t="shared" si="1"/>
        <v>1.3768115942028985E-2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7312010</v>
      </c>
      <c r="B19" s="2">
        <v>466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32">
        <v>1</v>
      </c>
      <c r="P19" s="33">
        <f t="shared" si="1"/>
        <v>7.246376811594203E-4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7312010</v>
      </c>
      <c r="B20" s="2">
        <v>467</v>
      </c>
      <c r="C20" s="7" t="str">
        <f t="shared" si="3"/>
        <v>PremiumSS4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32">
        <v>19</v>
      </c>
      <c r="P20" s="33">
        <f t="shared" si="1"/>
        <v>1.3768115942028985E-2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7312010</v>
      </c>
      <c r="B21" s="2">
        <v>468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32">
        <v>1</v>
      </c>
      <c r="P21" s="33">
        <f t="shared" si="1"/>
        <v>7.246376811594203E-4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7312010</v>
      </c>
      <c r="B22" s="2">
        <v>474</v>
      </c>
      <c r="C22" s="7" t="str">
        <f t="shared" si="3"/>
        <v>PremiumSS4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2">
        <v>19</v>
      </c>
      <c r="P22" s="33">
        <f t="shared" si="1"/>
        <v>1.3768115942028985E-2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7312010</v>
      </c>
      <c r="B23" s="2">
        <v>475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32">
        <v>1</v>
      </c>
      <c r="P23" s="33">
        <f t="shared" si="1"/>
        <v>7.246376811594203E-4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7312010</v>
      </c>
      <c r="B24" s="2">
        <v>492</v>
      </c>
      <c r="C24" s="7" t="str">
        <f t="shared" si="3"/>
        <v>PremiumSS4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32">
        <v>19</v>
      </c>
      <c r="P24" s="33">
        <f t="shared" si="1"/>
        <v>1.3768115942028985E-2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7312010</v>
      </c>
      <c r="B25" s="2">
        <v>493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32">
        <v>1</v>
      </c>
      <c r="P25" s="33">
        <f t="shared" si="1"/>
        <v>7.246376811594203E-4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7312010</v>
      </c>
      <c r="B26" s="2">
        <v>494</v>
      </c>
      <c r="C26" s="7" t="str">
        <f t="shared" si="3"/>
        <v>PremiumSS4</v>
      </c>
      <c r="D26" s="7" t="str">
        <f t="shared" si="4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32">
        <v>19</v>
      </c>
      <c r="P26" s="33">
        <f t="shared" si="1"/>
        <v>1.3768115942028985E-2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7312010</v>
      </c>
      <c r="B27" s="2">
        <v>495</v>
      </c>
      <c r="C27" s="7" t="str">
        <f t="shared" si="3"/>
        <v>PremiumSS5</v>
      </c>
      <c r="D27" s="7" t="str">
        <f t="shared" si="4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32">
        <v>1</v>
      </c>
      <c r="P27" s="33">
        <f t="shared" si="1"/>
        <v>7.246376811594203E-4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7312010</v>
      </c>
      <c r="B28" s="2">
        <v>499</v>
      </c>
      <c r="C28" s="7" t="str">
        <f t="shared" si="3"/>
        <v>PremiumSS4</v>
      </c>
      <c r="D28" s="7" t="str">
        <f t="shared" si="4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32">
        <v>19</v>
      </c>
      <c r="P28" s="33">
        <f t="shared" si="1"/>
        <v>1.3768115942028985E-2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7312010</v>
      </c>
      <c r="B29" s="2">
        <v>500</v>
      </c>
      <c r="C29" s="7" t="str">
        <f t="shared" si="3"/>
        <v>PremiumSS5</v>
      </c>
      <c r="D29" s="7" t="str">
        <f t="shared" si="4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32">
        <v>1</v>
      </c>
      <c r="P29" s="33">
        <f t="shared" si="1"/>
        <v>7.246376811594203E-4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7312010</v>
      </c>
      <c r="B30" s="2">
        <v>594</v>
      </c>
      <c r="C30" s="7" t="str">
        <f t="shared" si="3"/>
        <v>PremiumSS4</v>
      </c>
      <c r="D30" s="7" t="str">
        <f t="shared" si="4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32">
        <v>19</v>
      </c>
      <c r="P30" s="33">
        <f t="shared" si="1"/>
        <v>1.3768115942028985E-2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7312010</v>
      </c>
      <c r="B31" s="2">
        <v>595</v>
      </c>
      <c r="C31" s="7" t="str">
        <f t="shared" si="3"/>
        <v>PremiumSS5</v>
      </c>
      <c r="D31" s="7" t="str">
        <f t="shared" si="4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32">
        <v>1</v>
      </c>
      <c r="P31" s="33">
        <f t="shared" si="1"/>
        <v>7.246376811594203E-4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7312010</v>
      </c>
      <c r="B32" s="2">
        <v>602</v>
      </c>
      <c r="C32" s="7" t="str">
        <f t="shared" si="3"/>
        <v>PremiumSS4</v>
      </c>
      <c r="D32" s="7" t="str">
        <f t="shared" si="4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2">
        <v>19</v>
      </c>
      <c r="P32" s="33">
        <f t="shared" si="1"/>
        <v>1.3768115942028985E-2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7312010</v>
      </c>
      <c r="B33" s="2">
        <v>603</v>
      </c>
      <c r="C33" s="7" t="str">
        <f t="shared" si="3"/>
        <v>PremiumSS5</v>
      </c>
      <c r="D33" s="7" t="str">
        <f t="shared" si="4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2">
        <v>1</v>
      </c>
      <c r="P33" s="33">
        <f t="shared" si="1"/>
        <v>7.246376811594203E-4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7312010</v>
      </c>
      <c r="B34" s="2">
        <v>658</v>
      </c>
      <c r="C34" s="7" t="str">
        <f t="shared" si="3"/>
        <v>PremiumSS4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32">
        <v>19</v>
      </c>
      <c r="P34" s="33">
        <f t="shared" ref="P34:P65" si="5">O34/SUM(O:O)</f>
        <v>1.3768115942028985E-2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7312010</v>
      </c>
      <c r="B35" s="2">
        <v>659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32">
        <v>1</v>
      </c>
      <c r="P35" s="33">
        <f t="shared" si="5"/>
        <v>7.246376811594203E-4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7312010</v>
      </c>
      <c r="B36" s="2">
        <v>660</v>
      </c>
      <c r="C36" s="7" t="str">
        <f t="shared" si="3"/>
        <v>PremiumSS4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32">
        <v>19</v>
      </c>
      <c r="P36" s="33">
        <f t="shared" si="5"/>
        <v>1.3768115942028985E-2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7312010</v>
      </c>
      <c r="B37" s="2">
        <v>661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32">
        <v>1</v>
      </c>
      <c r="P37" s="33">
        <f t="shared" si="5"/>
        <v>7.246376811594203E-4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7312010</v>
      </c>
      <c r="B38" s="2">
        <v>674</v>
      </c>
      <c r="C38" s="7" t="str">
        <f t="shared" si="3"/>
        <v>PremiumSS4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32">
        <v>19</v>
      </c>
      <c r="P38" s="33">
        <f t="shared" si="5"/>
        <v>1.3768115942028985E-2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7312010</v>
      </c>
      <c r="B39" s="2">
        <v>675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32">
        <v>1</v>
      </c>
      <c r="P39" s="33">
        <f t="shared" si="5"/>
        <v>7.246376811594203E-4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7312010</v>
      </c>
      <c r="B40" s="2">
        <v>676</v>
      </c>
      <c r="C40" s="7" t="str">
        <f t="shared" si="3"/>
        <v>PremiumSS4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32">
        <v>19</v>
      </c>
      <c r="P40" s="33">
        <f t="shared" si="5"/>
        <v>1.3768115942028985E-2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7312010</v>
      </c>
      <c r="B41" s="2">
        <v>677</v>
      </c>
      <c r="C41" s="7" t="str">
        <f t="shared" si="3"/>
        <v>PremiumSS5</v>
      </c>
      <c r="D41" s="7" t="str">
        <f t="shared" si="4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32">
        <v>1</v>
      </c>
      <c r="P41" s="33">
        <f t="shared" si="5"/>
        <v>7.246376811594203E-4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7312010</v>
      </c>
      <c r="B42" s="2">
        <v>732</v>
      </c>
      <c r="C42" s="7" t="str">
        <f t="shared" si="3"/>
        <v>PremiumSS5R5only</v>
      </c>
      <c r="D42" s="7" t="str">
        <f t="shared" si="4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32">
        <v>20</v>
      </c>
      <c r="P42" s="33">
        <f t="shared" si="5"/>
        <v>1.4492753623188406E-2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7312010</v>
      </c>
      <c r="B43" s="2">
        <v>734</v>
      </c>
      <c r="C43" s="7" t="str">
        <f t="shared" si="3"/>
        <v>PremiumSS5R5only</v>
      </c>
      <c r="D43" s="7" t="str">
        <f t="shared" si="4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32">
        <v>20</v>
      </c>
      <c r="P43" s="33">
        <f t="shared" si="5"/>
        <v>1.4492753623188406E-2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7312010</v>
      </c>
      <c r="B44" s="2">
        <v>770</v>
      </c>
      <c r="C44" s="7" t="str">
        <f t="shared" si="3"/>
        <v>PremiumSS4</v>
      </c>
      <c r="D44" s="7" t="str">
        <f t="shared" si="4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32">
        <v>19</v>
      </c>
      <c r="P44" s="33">
        <f t="shared" si="5"/>
        <v>1.3768115942028985E-2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7312010</v>
      </c>
      <c r="B45" s="2">
        <v>771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32">
        <v>1</v>
      </c>
      <c r="P45" s="33">
        <f t="shared" si="5"/>
        <v>7.246376811594203E-4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7312010</v>
      </c>
      <c r="B46" s="2">
        <v>772</v>
      </c>
      <c r="C46" s="7" t="str">
        <f t="shared" si="3"/>
        <v>PremiumSS4</v>
      </c>
      <c r="D46" s="7" t="str">
        <f t="shared" si="4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2">
        <v>19</v>
      </c>
      <c r="P46" s="33">
        <f t="shared" si="5"/>
        <v>1.3768115942028985E-2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7312010</v>
      </c>
      <c r="B47" s="2">
        <v>773</v>
      </c>
      <c r="C47" s="7" t="str">
        <f t="shared" si="3"/>
        <v>PremiumSS5</v>
      </c>
      <c r="D47" s="7" t="str">
        <f t="shared" si="4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2">
        <v>1</v>
      </c>
      <c r="P47" s="33">
        <f t="shared" si="5"/>
        <v>7.246376811594203E-4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7312010</v>
      </c>
      <c r="B48" s="2">
        <v>848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32">
        <v>20</v>
      </c>
      <c r="P48" s="33">
        <f t="shared" si="5"/>
        <v>1.4492753623188406E-2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7312010</v>
      </c>
      <c r="B49" s="2">
        <v>850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2">
        <v>20</v>
      </c>
      <c r="P49" s="33">
        <f t="shared" si="5"/>
        <v>1.4492753623188406E-2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7312010</v>
      </c>
      <c r="B50" s="2">
        <v>866</v>
      </c>
      <c r="C50" s="7" t="str">
        <f t="shared" si="3"/>
        <v>PremiumSS5R5only</v>
      </c>
      <c r="D50" s="7" t="str">
        <f t="shared" si="4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32">
        <v>20</v>
      </c>
      <c r="P50" s="33">
        <f t="shared" si="5"/>
        <v>1.4492753623188406E-2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7312010</v>
      </c>
      <c r="B51" s="2">
        <v>868</v>
      </c>
      <c r="C51" s="7" t="str">
        <f t="shared" si="3"/>
        <v>PremiumSS5R5only</v>
      </c>
      <c r="D51" s="7" t="str">
        <f t="shared" si="4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32">
        <v>20</v>
      </c>
      <c r="P51" s="33">
        <f t="shared" si="5"/>
        <v>1.4492753623188406E-2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7312010</v>
      </c>
      <c r="B52" s="2">
        <v>742</v>
      </c>
      <c r="C52" s="7" t="str">
        <f t="shared" si="3"/>
        <v>PremiumSS5R5only</v>
      </c>
      <c r="D52" s="7" t="str">
        <f t="shared" si="4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32">
        <v>20</v>
      </c>
      <c r="P52" s="33">
        <f t="shared" si="5"/>
        <v>1.4492753623188406E-2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7312010</v>
      </c>
      <c r="B53" s="2">
        <v>744</v>
      </c>
      <c r="C53" s="7" t="str">
        <f t="shared" si="3"/>
        <v>PremiumSS5R5only</v>
      </c>
      <c r="D53" s="7" t="str">
        <f t="shared" si="4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32">
        <v>20</v>
      </c>
      <c r="P53" s="33">
        <f t="shared" si="5"/>
        <v>1.4492753623188406E-2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7312010</v>
      </c>
      <c r="B54" s="2">
        <v>937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32">
        <v>20</v>
      </c>
      <c r="P54" s="33">
        <f t="shared" si="5"/>
        <v>1.4492753623188406E-2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7312010</v>
      </c>
      <c r="B55" s="2">
        <v>941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32">
        <v>20</v>
      </c>
      <c r="P55" s="33">
        <f t="shared" si="5"/>
        <v>1.4492753623188406E-2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7312010</v>
      </c>
      <c r="B56" s="2">
        <v>943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32">
        <v>20</v>
      </c>
      <c r="P56" s="33">
        <f t="shared" si="5"/>
        <v>1.4492753623188406E-2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7312010</v>
      </c>
      <c r="B57" s="2">
        <v>1012</v>
      </c>
      <c r="C57" s="7" t="str">
        <f t="shared" si="3"/>
        <v>PremiumSS5R5only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32">
        <v>20</v>
      </c>
      <c r="P57" s="33">
        <f t="shared" si="5"/>
        <v>1.4492753623188406E-2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7312010</v>
      </c>
      <c r="B58" s="2">
        <v>1014</v>
      </c>
      <c r="C58" s="7" t="str">
        <f t="shared" si="3"/>
        <v>PremiumSS5R5only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32">
        <v>20</v>
      </c>
      <c r="P58" s="33">
        <f t="shared" si="5"/>
        <v>1.4492753623188406E-2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7312010</v>
      </c>
      <c r="B59" s="2">
        <v>1018</v>
      </c>
      <c r="C59" s="7" t="str">
        <f t="shared" si="3"/>
        <v>PremiumSS5R5only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32">
        <v>20</v>
      </c>
      <c r="P59" s="33">
        <f t="shared" si="5"/>
        <v>1.4492753623188406E-2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7312010</v>
      </c>
      <c r="B60" s="2">
        <v>1028</v>
      </c>
      <c r="C60" s="7" t="str">
        <f t="shared" si="3"/>
        <v>PremiumSS5R5only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32">
        <v>20</v>
      </c>
      <c r="P60" s="33">
        <f t="shared" si="5"/>
        <v>1.4492753623188406E-2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7312010</v>
      </c>
      <c r="B61" s="2">
        <v>1031</v>
      </c>
      <c r="C61" s="7" t="str">
        <f t="shared" si="3"/>
        <v>PremiumSS5R5only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32">
        <v>20</v>
      </c>
      <c r="P61" s="33">
        <f t="shared" si="5"/>
        <v>1.4492753623188406E-2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7312010</v>
      </c>
      <c r="B62" s="2">
        <v>1033</v>
      </c>
      <c r="C62" s="7" t="str">
        <f t="shared" si="3"/>
        <v>PremiumSS5R5only</v>
      </c>
      <c r="D62" s="7" t="str">
        <f t="shared" si="4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32">
        <v>20</v>
      </c>
      <c r="P62" s="33">
        <f t="shared" si="5"/>
        <v>1.4492753623188406E-2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7312010</v>
      </c>
      <c r="B63" s="2">
        <v>1072</v>
      </c>
      <c r="C63" s="7" t="str">
        <f t="shared" si="3"/>
        <v>PremiumSS5R5only</v>
      </c>
      <c r="D63" s="7" t="str">
        <f t="shared" si="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32">
        <v>20</v>
      </c>
      <c r="P63" s="33">
        <f t="shared" si="5"/>
        <v>1.4492753623188406E-2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7312010</v>
      </c>
      <c r="B64" s="2">
        <v>1074</v>
      </c>
      <c r="C64" s="7" t="str">
        <f t="shared" si="3"/>
        <v>PremiumSS5R5only</v>
      </c>
      <c r="D64" s="7" t="str">
        <f t="shared" si="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32">
        <v>20</v>
      </c>
      <c r="P64" s="33">
        <f t="shared" si="5"/>
        <v>1.4492753623188406E-2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7312010</v>
      </c>
      <c r="B65" s="2">
        <v>1069</v>
      </c>
      <c r="C65" s="7" t="str">
        <f t="shared" si="3"/>
        <v>PremiumSS5R5only</v>
      </c>
      <c r="D65" s="7" t="str">
        <f t="shared" si="4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32">
        <v>20</v>
      </c>
      <c r="P65" s="33">
        <f t="shared" si="5"/>
        <v>1.4492753623188406E-2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7312010</v>
      </c>
      <c r="B66" s="2">
        <v>1100</v>
      </c>
      <c r="C66" s="7" t="str">
        <f t="shared" si="3"/>
        <v>PremiumSS5R5only</v>
      </c>
      <c r="D66" s="7" t="str">
        <f t="shared" si="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32">
        <v>20</v>
      </c>
      <c r="P66" s="33">
        <f t="shared" ref="P66:P98" si="6">O66/SUM(O:O)</f>
        <v>1.4492753623188406E-2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7312010</v>
      </c>
      <c r="B67" s="2">
        <v>1102</v>
      </c>
      <c r="C67" s="7" t="str">
        <f t="shared" si="3"/>
        <v>PremiumSS5R5only</v>
      </c>
      <c r="D67" s="7" t="str">
        <f t="shared" si="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32">
        <v>20</v>
      </c>
      <c r="P67" s="33">
        <f t="shared" si="6"/>
        <v>1.4492753623188406E-2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7312010</v>
      </c>
      <c r="B68" s="2">
        <v>1106</v>
      </c>
      <c r="C68" s="7" t="str">
        <f t="shared" si="3"/>
        <v>PremiumSS5R5only</v>
      </c>
      <c r="D68" s="7" t="str">
        <f t="shared" si="4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32">
        <v>20</v>
      </c>
      <c r="P68" s="33">
        <f t="shared" si="6"/>
        <v>1.4492753623188406E-2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7312010</v>
      </c>
      <c r="B69" s="2">
        <v>1137</v>
      </c>
      <c r="C69" s="7" t="str">
        <f t="shared" si="3"/>
        <v>PremiumSS5R5only</v>
      </c>
      <c r="D69" s="7" t="str">
        <f t="shared" si="4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32">
        <v>20</v>
      </c>
      <c r="P69" s="33">
        <f t="shared" si="6"/>
        <v>1.4492753623188406E-2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7312010</v>
      </c>
      <c r="B70" s="2">
        <v>1141</v>
      </c>
      <c r="C70" s="49" t="str">
        <f t="shared" si="3"/>
        <v>PremiumSS5R5only</v>
      </c>
      <c r="D70" s="49" t="str">
        <f t="shared" si="4"/>
        <v>PremiumSS</v>
      </c>
      <c r="E70" s="49" t="str">
        <f>IF(COUNTIF('R6追加前'!A:A,B70)=0,IF(OR(I70="PremiumSS",I70="PremiumSSw"),"R5only","R3less"),"")</f>
        <v>R5only</v>
      </c>
      <c r="F70" s="49" t="str">
        <f>IF(COUNTIF('R6開放'!A:A,B70)&gt;0,"R6release","")</f>
        <v/>
      </c>
      <c r="G70" s="49"/>
      <c r="H70" s="49" t="str">
        <f>VLOOKUP(B70,[1]characters!$A:$C,3,FALSE)</f>
        <v>月英</v>
      </c>
      <c r="I70" s="49" t="str">
        <f>VLOOKUP(B70,[1]characters!$A:$J,10,FALSE)</f>
        <v>PremiumSS</v>
      </c>
      <c r="J70" s="49">
        <f>VLOOKUP(B70,[1]characters!$A:$I,9,FALSE)</f>
        <v>5</v>
      </c>
      <c r="K70" s="49" t="str">
        <f>VLOOKUP(B70,[1]characters!$A:$H,8,FALSE)</f>
        <v>blue</v>
      </c>
      <c r="L70" s="49" t="str">
        <f>VLOOKUP(B70,[1]characters!$A:$K,11,FALSE)</f>
        <v>balance</v>
      </c>
      <c r="M70" s="49" t="str">
        <f>VLOOKUP(B70,[1]characters!$A:$M,13,FALSE)</f>
        <v>human</v>
      </c>
      <c r="N70" s="49" t="str">
        <f>VLOOKUP(B70,[1]characters!$A:$G,7,FALSE)</f>
        <v>不明</v>
      </c>
      <c r="O70" s="32">
        <v>20</v>
      </c>
      <c r="P70" s="50">
        <f t="shared" si="6"/>
        <v>1.4492753623188406E-2</v>
      </c>
      <c r="Q70" s="51">
        <v>1</v>
      </c>
      <c r="R70" s="51">
        <v>0</v>
      </c>
      <c r="S70" s="51">
        <v>0</v>
      </c>
      <c r="T70" s="51">
        <v>0</v>
      </c>
      <c r="U70" s="51">
        <v>0</v>
      </c>
      <c r="V70" s="51">
        <v>1</v>
      </c>
    </row>
    <row r="71" spans="1:22" ht="21" customHeight="1" x14ac:dyDescent="0.15">
      <c r="A71" s="2">
        <v>7312010</v>
      </c>
      <c r="B71" s="2">
        <v>1139</v>
      </c>
      <c r="C71" s="7" t="str">
        <f t="shared" ref="C71" si="7">D71&amp;J71&amp;E71&amp;F71&amp;G71</f>
        <v>PremiumSS5R5only</v>
      </c>
      <c r="D71" s="7" t="str">
        <f t="shared" ref="D71" si="8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32">
        <v>20</v>
      </c>
      <c r="P71" s="33">
        <f t="shared" si="6"/>
        <v>1.4492753623188406E-2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7312010</v>
      </c>
      <c r="B72" s="2">
        <v>1153</v>
      </c>
      <c r="C72" s="7" t="str">
        <f t="shared" ref="C72:C74" si="9">D72&amp;J72&amp;E72&amp;F72&amp;G72</f>
        <v>PremiumSS5R5only</v>
      </c>
      <c r="D72" s="7" t="str">
        <f t="shared" ref="D72:D74" si="10">IF(OR(I72="PremiumSS",I72="PremiumSSw"),"PremiumSS",IF(I72="PremiumSSS",I72,IF(I72="PremiumW",I72,"Premium")))</f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32">
        <v>20</v>
      </c>
      <c r="P72" s="33">
        <f t="shared" si="6"/>
        <v>1.4492753623188406E-2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7312010</v>
      </c>
      <c r="B73" s="2">
        <v>1155</v>
      </c>
      <c r="C73" s="7" t="str">
        <f t="shared" si="9"/>
        <v>PremiumSS5R5only</v>
      </c>
      <c r="D73" s="7" t="str">
        <f t="shared" si="10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32">
        <v>20</v>
      </c>
      <c r="P73" s="33">
        <f t="shared" si="6"/>
        <v>1.4492753623188406E-2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A74" s="2">
        <v>7312010</v>
      </c>
      <c r="B74" s="2">
        <v>1157</v>
      </c>
      <c r="C74" s="7" t="str">
        <f t="shared" si="9"/>
        <v>PremiumSS5R5only</v>
      </c>
      <c r="D74" s="7" t="str">
        <f t="shared" si="10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32">
        <v>20</v>
      </c>
      <c r="P74" s="33">
        <f t="shared" si="6"/>
        <v>1.4492753623188406E-2</v>
      </c>
      <c r="Q74" s="27">
        <v>1</v>
      </c>
      <c r="R74" s="27">
        <v>0</v>
      </c>
      <c r="S74" s="27">
        <v>0</v>
      </c>
      <c r="T74" s="27">
        <v>0</v>
      </c>
      <c r="U74" s="27">
        <v>0</v>
      </c>
      <c r="V74" s="27">
        <v>1</v>
      </c>
    </row>
    <row r="75" spans="1:22" ht="21" customHeight="1" x14ac:dyDescent="0.15">
      <c r="A75" s="2">
        <v>7312010</v>
      </c>
      <c r="B75" s="37">
        <v>1214</v>
      </c>
      <c r="C75" s="7" t="str">
        <f t="shared" ref="C75:C77" si="11">D75&amp;J75&amp;E75&amp;F75&amp;G75</f>
        <v>PremiumSS5R5only</v>
      </c>
      <c r="D75" s="7" t="str">
        <f t="shared" ref="D75:D77" si="12">IF(OR(I75="PremiumSS",I75="PremiumSSw"),"PremiumSS",IF(I75="PremiumSSS",I75,IF(I75="PremiumW",I75,"Premium")))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アルテミス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balance</v>
      </c>
      <c r="M75" s="7" t="str">
        <f>VLOOKUP(B75,[1]characters!$A:$M,13,FALSE)</f>
        <v>god</v>
      </c>
      <c r="N75" s="7">
        <f>VLOOKUP(B75,[1]characters!$A:$G,7,FALSE)</f>
        <v>0</v>
      </c>
      <c r="O75" s="32">
        <v>20</v>
      </c>
      <c r="P75" s="33">
        <f t="shared" si="6"/>
        <v>1.4492753623188406E-2</v>
      </c>
      <c r="Q75" s="27">
        <v>1</v>
      </c>
      <c r="R75" s="27">
        <v>0</v>
      </c>
      <c r="S75" s="27">
        <v>0</v>
      </c>
      <c r="T75" s="27">
        <v>0</v>
      </c>
      <c r="U75" s="27">
        <v>0</v>
      </c>
      <c r="V75" s="27">
        <v>1</v>
      </c>
    </row>
    <row r="76" spans="1:22" ht="21" customHeight="1" x14ac:dyDescent="0.15">
      <c r="A76" s="2">
        <v>7312010</v>
      </c>
      <c r="B76" s="37">
        <v>1212</v>
      </c>
      <c r="C76" s="7" t="str">
        <f t="shared" si="11"/>
        <v>PremiumSS5R5only</v>
      </c>
      <c r="D76" s="7" t="str">
        <f t="shared" si="12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32">
        <v>20</v>
      </c>
      <c r="P76" s="33">
        <f t="shared" si="6"/>
        <v>1.4492753623188406E-2</v>
      </c>
      <c r="Q76" s="27">
        <v>1</v>
      </c>
      <c r="R76" s="27">
        <v>0</v>
      </c>
      <c r="S76" s="27">
        <v>0</v>
      </c>
      <c r="T76" s="27">
        <v>0</v>
      </c>
      <c r="U76" s="27">
        <v>0</v>
      </c>
      <c r="V76" s="27">
        <v>1</v>
      </c>
    </row>
    <row r="77" spans="1:22" ht="21" customHeight="1" x14ac:dyDescent="0.15">
      <c r="A77" s="2">
        <v>7312010</v>
      </c>
      <c r="B77" s="37">
        <v>1208</v>
      </c>
      <c r="C77" s="7" t="str">
        <f t="shared" si="11"/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ネメシス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>
        <f>VLOOKUP(B77,[1]characters!$A:$G,7,FALSE)</f>
        <v>0</v>
      </c>
      <c r="O77" s="32">
        <v>20</v>
      </c>
      <c r="P77" s="33">
        <f t="shared" si="6"/>
        <v>1.4492753623188406E-2</v>
      </c>
      <c r="Q77" s="27">
        <v>1</v>
      </c>
      <c r="R77" s="27">
        <v>0</v>
      </c>
      <c r="S77" s="27">
        <v>0</v>
      </c>
      <c r="T77" s="27">
        <v>0</v>
      </c>
      <c r="U77" s="27">
        <v>0</v>
      </c>
      <c r="V77" s="27">
        <v>1</v>
      </c>
    </row>
    <row r="78" spans="1:22" ht="21" customHeight="1" x14ac:dyDescent="0.15">
      <c r="A78" s="2">
        <v>7312010</v>
      </c>
      <c r="B78" s="37">
        <v>1244</v>
      </c>
      <c r="C78" s="7" t="str">
        <f t="shared" ref="C78:C80" si="13">D78&amp;J78&amp;E78&amp;F78&amp;G78</f>
        <v>PremiumSS5R5only</v>
      </c>
      <c r="D78" s="7" t="str">
        <f t="shared" ref="D78:D80" si="14">IF(OR(I78="PremiumSS",I78="PremiumSSw"),"PremiumSS",IF(I78="PremiumSSS",I78,IF(I78="PremiumW",I78,"Premium")))</f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猿飛佐助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attack</v>
      </c>
      <c r="M78" s="7" t="str">
        <f>VLOOKUP(B78,[1]characters!$A:$M,13,FALSE)</f>
        <v>human</v>
      </c>
      <c r="N78" s="7">
        <f>VLOOKUP(B78,[1]characters!$A:$G,7,FALSE)</f>
        <v>0</v>
      </c>
      <c r="O78" s="32">
        <v>20</v>
      </c>
      <c r="P78" s="33">
        <f t="shared" si="6"/>
        <v>1.4492753623188406E-2</v>
      </c>
      <c r="Q78" s="27">
        <v>1</v>
      </c>
      <c r="R78" s="27">
        <v>0</v>
      </c>
      <c r="S78" s="27">
        <v>0</v>
      </c>
      <c r="T78" s="27">
        <v>0</v>
      </c>
      <c r="U78" s="27">
        <v>0</v>
      </c>
      <c r="V78" s="27">
        <v>1</v>
      </c>
    </row>
    <row r="79" spans="1:22" ht="21" customHeight="1" x14ac:dyDescent="0.15">
      <c r="A79" s="2">
        <v>7312010</v>
      </c>
      <c r="B79" s="37">
        <v>1246</v>
      </c>
      <c r="C79" s="7" t="str">
        <f t="shared" si="13"/>
        <v>PremiumSS5R5only</v>
      </c>
      <c r="D79" s="7" t="str">
        <f t="shared" si="14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望月千代女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heal</v>
      </c>
      <c r="M79" s="7" t="str">
        <f>VLOOKUP(B79,[1]characters!$A:$M,13,FALSE)</f>
        <v>human</v>
      </c>
      <c r="N79" s="7">
        <f>VLOOKUP(B79,[1]characters!$A:$G,7,FALSE)</f>
        <v>0</v>
      </c>
      <c r="O79" s="32">
        <v>20</v>
      </c>
      <c r="P79" s="33">
        <f t="shared" si="6"/>
        <v>1.4492753623188406E-2</v>
      </c>
      <c r="Q79" s="27">
        <v>1</v>
      </c>
      <c r="R79" s="27">
        <v>0</v>
      </c>
      <c r="S79" s="27">
        <v>0</v>
      </c>
      <c r="T79" s="27">
        <v>0</v>
      </c>
      <c r="U79" s="27">
        <v>0</v>
      </c>
      <c r="V79" s="27">
        <v>1</v>
      </c>
    </row>
    <row r="80" spans="1:22" ht="21" customHeight="1" x14ac:dyDescent="0.15">
      <c r="A80" s="2">
        <v>7312010</v>
      </c>
      <c r="B80" s="37">
        <v>1250</v>
      </c>
      <c r="C80" s="7" t="str">
        <f t="shared" si="13"/>
        <v>PremiumSS5R5only</v>
      </c>
      <c r="D80" s="7" t="str">
        <f t="shared" si="14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真田幸村</v>
      </c>
      <c r="I80" s="7" t="str">
        <f>VLOOKUP(B80,[1]characters!$A:$J,10,FALSE)</f>
        <v>PremiumSSw</v>
      </c>
      <c r="J80" s="7">
        <f>VLOOKUP(B80,[1]characters!$A:$I,9,FALSE)</f>
        <v>5</v>
      </c>
      <c r="K80" s="7" t="str">
        <f>VLOOKUP(B80,[1]characters!$A:$H,8,FALSE)</f>
        <v>yellow</v>
      </c>
      <c r="L80" s="7" t="str">
        <f>VLOOKUP(B80,[1]characters!$A:$K,11,FALSE)</f>
        <v>attack</v>
      </c>
      <c r="M80" s="7" t="str">
        <f>VLOOKUP(B80,[1]characters!$A:$M,13,FALSE)</f>
        <v>human</v>
      </c>
      <c r="N80" s="7">
        <f>VLOOKUP(B80,[1]characters!$A:$G,7,FALSE)</f>
        <v>0</v>
      </c>
      <c r="O80" s="32">
        <v>20</v>
      </c>
      <c r="P80" s="33">
        <f t="shared" si="6"/>
        <v>1.4492753623188406E-2</v>
      </c>
      <c r="Q80" s="27">
        <v>1</v>
      </c>
      <c r="R80" s="27">
        <v>0</v>
      </c>
      <c r="S80" s="27">
        <v>0</v>
      </c>
      <c r="T80" s="27">
        <v>0</v>
      </c>
      <c r="U80" s="27">
        <v>0</v>
      </c>
      <c r="V80" s="27">
        <v>1</v>
      </c>
    </row>
    <row r="81" spans="1:22" ht="21" customHeight="1" x14ac:dyDescent="0.15">
      <c r="A81" s="2">
        <v>7312010</v>
      </c>
      <c r="B81" s="37">
        <v>1226</v>
      </c>
      <c r="C81" s="7" t="str">
        <f t="shared" ref="C81:C83" si="15">D81&amp;J81&amp;E81&amp;F81&amp;G81</f>
        <v>PremiumSS5R5only</v>
      </c>
      <c r="D81" s="7" t="str">
        <f t="shared" ref="D81:D83" si="16">IF(OR(I81="PremiumSS",I81="PremiumSSw"),"PremiumSS",IF(I81="PremiumSSS",I81,IF(I81="PremiumW",I81,"Premium")))</f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トルストイ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attack</v>
      </c>
      <c r="M81" s="7" t="str">
        <f>VLOOKUP(B81,[1]characters!$A:$M,13,FALSE)</f>
        <v>human</v>
      </c>
      <c r="N81" s="7">
        <f>VLOOKUP(B81,[1]characters!$A:$G,7,FALSE)</f>
        <v>0</v>
      </c>
      <c r="O81" s="32">
        <v>20</v>
      </c>
      <c r="P81" s="33">
        <f t="shared" si="6"/>
        <v>1.4492753623188406E-2</v>
      </c>
      <c r="Q81" s="27">
        <v>1</v>
      </c>
      <c r="R81" s="27">
        <v>0</v>
      </c>
      <c r="S81" s="27">
        <v>0</v>
      </c>
      <c r="T81" s="27">
        <v>0</v>
      </c>
      <c r="U81" s="27">
        <v>0</v>
      </c>
      <c r="V81" s="27">
        <v>1</v>
      </c>
    </row>
    <row r="82" spans="1:22" ht="21" customHeight="1" x14ac:dyDescent="0.15">
      <c r="A82" s="2">
        <v>7312010</v>
      </c>
      <c r="B82" s="37">
        <v>1228</v>
      </c>
      <c r="C82" s="7" t="str">
        <f t="shared" si="15"/>
        <v>PremiumSS5R5only</v>
      </c>
      <c r="D82" s="7" t="str">
        <f t="shared" si="16"/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芥川龍之介</v>
      </c>
      <c r="I82" s="7" t="str">
        <f>VLOOKUP(B82,[1]characters!$A:$J,10,FALSE)</f>
        <v>PremiumSSw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attack</v>
      </c>
      <c r="M82" s="7" t="str">
        <f>VLOOKUP(B82,[1]characters!$A:$M,13,FALSE)</f>
        <v>human</v>
      </c>
      <c r="N82" s="7">
        <f>VLOOKUP(B82,[1]characters!$A:$G,7,FALSE)</f>
        <v>0</v>
      </c>
      <c r="O82" s="32">
        <v>20</v>
      </c>
      <c r="P82" s="33">
        <f t="shared" si="6"/>
        <v>1.4492753623188406E-2</v>
      </c>
      <c r="Q82" s="27">
        <v>1</v>
      </c>
      <c r="R82" s="27">
        <v>0</v>
      </c>
      <c r="S82" s="27">
        <v>0</v>
      </c>
      <c r="T82" s="27">
        <v>0</v>
      </c>
      <c r="U82" s="27">
        <v>0</v>
      </c>
      <c r="V82" s="27">
        <v>1</v>
      </c>
    </row>
    <row r="83" spans="1:22" ht="21" customHeight="1" x14ac:dyDescent="0.15">
      <c r="A83" s="2">
        <v>7312010</v>
      </c>
      <c r="B83" s="37">
        <v>1230</v>
      </c>
      <c r="C83" s="7" t="str">
        <f t="shared" si="15"/>
        <v>PremiumSS5R5only</v>
      </c>
      <c r="D83" s="7" t="str">
        <f t="shared" si="16"/>
        <v>PremiumSS</v>
      </c>
      <c r="E83" s="7" t="str">
        <f>IF(COUNTIF('R6追加前'!A:A,B83)=0,IF(OR(I83="PremiumSS",I83="PremiumSSw"),"R5only","R3less"),"")</f>
        <v>R5only</v>
      </c>
      <c r="F83" s="7" t="str">
        <f>IF(COUNTIF('R6開放'!A:A,B83)&gt;0,"R6release","")</f>
        <v/>
      </c>
      <c r="G83" s="7"/>
      <c r="H83" s="7" t="str">
        <f>VLOOKUP(B83,[1]characters!$A:$C,3,FALSE)</f>
        <v>夏目漱石</v>
      </c>
      <c r="I83" s="7" t="str">
        <f>VLOOKUP(B83,[1]characters!$A:$J,10,FALSE)</f>
        <v>PremiumSS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heal</v>
      </c>
      <c r="M83" s="7" t="str">
        <f>VLOOKUP(B83,[1]characters!$A:$M,13,FALSE)</f>
        <v>animal</v>
      </c>
      <c r="N83" s="7">
        <f>VLOOKUP(B83,[1]characters!$A:$G,7,FALSE)</f>
        <v>0</v>
      </c>
      <c r="O83" s="32">
        <v>20</v>
      </c>
      <c r="P83" s="33">
        <f t="shared" si="6"/>
        <v>1.4492753623188406E-2</v>
      </c>
      <c r="Q83" s="27">
        <v>1</v>
      </c>
      <c r="R83" s="27">
        <v>0</v>
      </c>
      <c r="S83" s="27">
        <v>0</v>
      </c>
      <c r="T83" s="27">
        <v>0</v>
      </c>
      <c r="U83" s="27">
        <v>0</v>
      </c>
      <c r="V83" s="27">
        <v>1</v>
      </c>
    </row>
    <row r="84" spans="1:22" ht="21" customHeight="1" x14ac:dyDescent="0.15">
      <c r="A84" s="2">
        <v>7312010</v>
      </c>
      <c r="B84" s="37">
        <v>408</v>
      </c>
      <c r="C84" s="7" t="str">
        <f t="shared" ref="C84:C91" si="17">D84&amp;J84&amp;E84&amp;F84&amp;G84</f>
        <v>PremiumSS4</v>
      </c>
      <c r="D84" s="7" t="str">
        <f t="shared" ref="D84:D91" si="18">IF(OR(I84="PremiumSS",I84="PremiumSSw"),"PremiumSS",IF(I84="PremiumSSS",I84,IF(I84="PremiumW",I84,"Premium")))</f>
        <v>PremiumSS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皇魔 アスタロト</v>
      </c>
      <c r="I84" s="7" t="str">
        <f>VLOOKUP(B84,[1]characters!$A:$J,10,FALSE)</f>
        <v>PremiumSS</v>
      </c>
      <c r="J84" s="7">
        <f>VLOOKUP(B84,[1]characters!$A:$I,9,FALSE)</f>
        <v>4</v>
      </c>
      <c r="K84" s="7" t="str">
        <f>VLOOKUP(B84,[1]characters!$A:$H,8,FALSE)</f>
        <v>yellow</v>
      </c>
      <c r="L84" s="7" t="str">
        <f>VLOOKUP(B84,[1]characters!$A:$K,11,FALSE)</f>
        <v>attack</v>
      </c>
      <c r="M84" s="7" t="str">
        <f>VLOOKUP(B84,[1]characters!$A:$M,13,FALSE)</f>
        <v>god</v>
      </c>
      <c r="N84" s="7" t="str">
        <f>VLOOKUP(B84,[1]characters!$A:$G,7,FALSE)</f>
        <v>男性</v>
      </c>
      <c r="O84" s="32">
        <v>19</v>
      </c>
      <c r="P84" s="33">
        <f t="shared" si="6"/>
        <v>1.3768115942028985E-2</v>
      </c>
      <c r="Q84" s="27">
        <v>1</v>
      </c>
      <c r="R84" s="27">
        <v>0</v>
      </c>
      <c r="S84" s="27">
        <v>0</v>
      </c>
      <c r="T84" s="27">
        <v>0</v>
      </c>
      <c r="U84" s="27">
        <v>0</v>
      </c>
      <c r="V84" s="27">
        <v>1</v>
      </c>
    </row>
    <row r="85" spans="1:22" ht="21" customHeight="1" x14ac:dyDescent="0.15">
      <c r="A85" s="2">
        <v>7312010</v>
      </c>
      <c r="B85" s="37">
        <v>409</v>
      </c>
      <c r="C85" s="7" t="str">
        <f t="shared" si="17"/>
        <v>PremiumSS5</v>
      </c>
      <c r="D85" s="7" t="str">
        <f t="shared" si="18"/>
        <v>PremiumSS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天眼の皇貴魔 アスタロト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attack</v>
      </c>
      <c r="M85" s="7" t="str">
        <f>VLOOKUP(B85,[1]characters!$A:$M,13,FALSE)</f>
        <v>god</v>
      </c>
      <c r="N85" s="7" t="str">
        <f>VLOOKUP(B85,[1]characters!$A:$G,7,FALSE)</f>
        <v>男性</v>
      </c>
      <c r="O85" s="32">
        <v>1</v>
      </c>
      <c r="P85" s="33">
        <f t="shared" si="6"/>
        <v>7.246376811594203E-4</v>
      </c>
      <c r="Q85" s="27">
        <v>1</v>
      </c>
      <c r="R85" s="27">
        <v>0</v>
      </c>
      <c r="S85" s="27">
        <v>0</v>
      </c>
      <c r="T85" s="27">
        <v>0</v>
      </c>
      <c r="U85" s="27">
        <v>0</v>
      </c>
      <c r="V85" s="27">
        <v>1</v>
      </c>
    </row>
    <row r="86" spans="1:22" ht="21" customHeight="1" x14ac:dyDescent="0.15">
      <c r="A86" s="2">
        <v>7312010</v>
      </c>
      <c r="B86" s="37">
        <v>442</v>
      </c>
      <c r="C86" s="7" t="str">
        <f t="shared" si="17"/>
        <v>PremiumSS4</v>
      </c>
      <c r="D86" s="7" t="str">
        <f t="shared" si="1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ブレイブリー・ライオン</v>
      </c>
      <c r="I86" s="7" t="str">
        <f>VLOOKUP(B86,[1]characters!$A:$J,10,FALSE)</f>
        <v>PremiumSS</v>
      </c>
      <c r="J86" s="7">
        <f>VLOOKUP(B86,[1]characters!$A:$I,9,FALSE)</f>
        <v>4</v>
      </c>
      <c r="K86" s="7" t="str">
        <f>VLOOKUP(B86,[1]characters!$A:$H,8,FALSE)</f>
        <v>yellow</v>
      </c>
      <c r="L86" s="7" t="str">
        <f>VLOOKUP(B86,[1]characters!$A:$K,11,FALSE)</f>
        <v>hp</v>
      </c>
      <c r="M86" s="7" t="str">
        <f>VLOOKUP(B86,[1]characters!$A:$M,13,FALSE)</f>
        <v>animal</v>
      </c>
      <c r="N86" s="7" t="str">
        <f>VLOOKUP(B86,[1]characters!$A:$G,7,FALSE)</f>
        <v>不明</v>
      </c>
      <c r="O86" s="32">
        <v>19</v>
      </c>
      <c r="P86" s="33">
        <f t="shared" si="6"/>
        <v>1.3768115942028985E-2</v>
      </c>
      <c r="Q86" s="27">
        <v>1</v>
      </c>
      <c r="R86" s="27">
        <v>0</v>
      </c>
      <c r="S86" s="27">
        <v>0</v>
      </c>
      <c r="T86" s="27">
        <v>0</v>
      </c>
      <c r="U86" s="27">
        <v>0</v>
      </c>
      <c r="V86" s="27">
        <v>1</v>
      </c>
    </row>
    <row r="87" spans="1:22" ht="21" customHeight="1" x14ac:dyDescent="0.15">
      <c r="A87" s="2">
        <v>7312010</v>
      </c>
      <c r="B87" s="37">
        <v>443</v>
      </c>
      <c r="C87" s="7" t="str">
        <f t="shared" si="17"/>
        <v>PremiumSS5</v>
      </c>
      <c r="D87" s="7" t="str">
        <f t="shared" si="1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勇機結集 ブレイブリー・ライオン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hp</v>
      </c>
      <c r="M87" s="7" t="str">
        <f>VLOOKUP(B87,[1]characters!$A:$M,13,FALSE)</f>
        <v>animal</v>
      </c>
      <c r="N87" s="7" t="str">
        <f>VLOOKUP(B87,[1]characters!$A:$G,7,FALSE)</f>
        <v>不明</v>
      </c>
      <c r="O87" s="32">
        <v>1</v>
      </c>
      <c r="P87" s="33">
        <f t="shared" si="6"/>
        <v>7.246376811594203E-4</v>
      </c>
      <c r="Q87" s="27">
        <v>1</v>
      </c>
      <c r="R87" s="27">
        <v>0</v>
      </c>
      <c r="S87" s="27">
        <v>0</v>
      </c>
      <c r="T87" s="27">
        <v>0</v>
      </c>
      <c r="U87" s="27">
        <v>0</v>
      </c>
      <c r="V87" s="27">
        <v>1</v>
      </c>
    </row>
    <row r="88" spans="1:22" ht="21" customHeight="1" x14ac:dyDescent="0.15">
      <c r="A88" s="2">
        <v>7312010</v>
      </c>
      <c r="B88" s="37">
        <v>479</v>
      </c>
      <c r="C88" s="7" t="str">
        <f t="shared" si="17"/>
        <v>PremiumSS4</v>
      </c>
      <c r="D88" s="7" t="str">
        <f t="shared" si="18"/>
        <v>PremiumSS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フール</v>
      </c>
      <c r="I88" s="7" t="str">
        <f>VLOOKUP(B88,[1]characters!$A:$J,10,FALSE)</f>
        <v>PremiumSS</v>
      </c>
      <c r="J88" s="7">
        <f>VLOOKUP(B88,[1]characters!$A:$I,9,FALSE)</f>
        <v>4</v>
      </c>
      <c r="K88" s="7" t="str">
        <f>VLOOKUP(B88,[1]characters!$A:$H,8,FALSE)</f>
        <v>blue</v>
      </c>
      <c r="L88" s="7" t="str">
        <f>VLOOKUP(B88,[1]characters!$A:$K,11,FALSE)</f>
        <v>technical</v>
      </c>
      <c r="M88" s="7" t="str">
        <f>VLOOKUP(B88,[1]characters!$A:$M,13,FALSE)</f>
        <v>god</v>
      </c>
      <c r="N88" s="7" t="str">
        <f>VLOOKUP(B88,[1]characters!$A:$G,7,FALSE)</f>
        <v>男性</v>
      </c>
      <c r="O88" s="32">
        <v>19</v>
      </c>
      <c r="P88" s="33">
        <f t="shared" si="6"/>
        <v>1.3768115942028985E-2</v>
      </c>
      <c r="Q88" s="27">
        <v>1</v>
      </c>
      <c r="R88" s="27">
        <v>0</v>
      </c>
      <c r="S88" s="27">
        <v>0</v>
      </c>
      <c r="T88" s="27">
        <v>0</v>
      </c>
      <c r="U88" s="27">
        <v>0</v>
      </c>
      <c r="V88" s="27">
        <v>1</v>
      </c>
    </row>
    <row r="89" spans="1:22" ht="21" customHeight="1" x14ac:dyDescent="0.15">
      <c r="A89" s="2">
        <v>7312010</v>
      </c>
      <c r="B89" s="37">
        <v>480</v>
      </c>
      <c r="C89" s="7" t="str">
        <f t="shared" si="17"/>
        <v>PremiumSS5</v>
      </c>
      <c r="D89" s="7" t="str">
        <f t="shared" si="18"/>
        <v>PremiumSS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夢幻の愚者フール</v>
      </c>
      <c r="I89" s="7" t="str">
        <f>VLOOKUP(B89,[1]characters!$A:$J,10,FALSE)</f>
        <v>PremiumSS</v>
      </c>
      <c r="J89" s="7">
        <f>VLOOKUP(B89,[1]characters!$A:$I,9,FALSE)</f>
        <v>5</v>
      </c>
      <c r="K89" s="7" t="str">
        <f>VLOOKUP(B89,[1]characters!$A:$H,8,FALSE)</f>
        <v>blue</v>
      </c>
      <c r="L89" s="7" t="str">
        <f>VLOOKUP(B89,[1]characters!$A:$K,11,FALSE)</f>
        <v>technical</v>
      </c>
      <c r="M89" s="7" t="str">
        <f>VLOOKUP(B89,[1]characters!$A:$M,13,FALSE)</f>
        <v>god</v>
      </c>
      <c r="N89" s="7" t="str">
        <f>VLOOKUP(B89,[1]characters!$A:$G,7,FALSE)</f>
        <v>男性</v>
      </c>
      <c r="O89" s="32">
        <v>1</v>
      </c>
      <c r="P89" s="33">
        <f t="shared" si="6"/>
        <v>7.246376811594203E-4</v>
      </c>
      <c r="Q89" s="27">
        <v>1</v>
      </c>
      <c r="R89" s="27">
        <v>0</v>
      </c>
      <c r="S89" s="27">
        <v>0</v>
      </c>
      <c r="T89" s="27">
        <v>0</v>
      </c>
      <c r="U89" s="27">
        <v>0</v>
      </c>
      <c r="V89" s="27">
        <v>1</v>
      </c>
    </row>
    <row r="90" spans="1:22" ht="21" customHeight="1" x14ac:dyDescent="0.15">
      <c r="A90" s="2">
        <v>7312010</v>
      </c>
      <c r="B90" s="37">
        <v>586</v>
      </c>
      <c r="C90" s="7" t="str">
        <f t="shared" si="17"/>
        <v>PremiumSS4</v>
      </c>
      <c r="D90" s="7" t="str">
        <f t="shared" si="18"/>
        <v>PremiumSS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ユミル</v>
      </c>
      <c r="I90" s="7" t="str">
        <f>VLOOKUP(B90,[1]characters!$A:$J,10,FALSE)</f>
        <v>PremiumSS</v>
      </c>
      <c r="J90" s="7">
        <f>VLOOKUP(B90,[1]characters!$A:$I,9,FALSE)</f>
        <v>4</v>
      </c>
      <c r="K90" s="7" t="str">
        <f>VLOOKUP(B90,[1]characters!$A:$H,8,FALSE)</f>
        <v>red</v>
      </c>
      <c r="L90" s="7" t="str">
        <f>VLOOKUP(B90,[1]characters!$A:$K,11,FALSE)</f>
        <v>hp</v>
      </c>
      <c r="M90" s="7" t="str">
        <f>VLOOKUP(B90,[1]characters!$A:$M,13,FALSE)</f>
        <v>machine</v>
      </c>
      <c r="N90" s="7" t="str">
        <f>VLOOKUP(B90,[1]characters!$A:$G,7,FALSE)</f>
        <v>不明</v>
      </c>
      <c r="O90" s="32">
        <v>19</v>
      </c>
      <c r="P90" s="33">
        <f t="shared" si="6"/>
        <v>1.3768115942028985E-2</v>
      </c>
      <c r="Q90" s="27">
        <v>1</v>
      </c>
      <c r="R90" s="27">
        <v>0</v>
      </c>
      <c r="S90" s="27">
        <v>0</v>
      </c>
      <c r="T90" s="27">
        <v>0</v>
      </c>
      <c r="U90" s="27">
        <v>0</v>
      </c>
      <c r="V90" s="27">
        <v>1</v>
      </c>
    </row>
    <row r="91" spans="1:22" ht="21" customHeight="1" x14ac:dyDescent="0.15">
      <c r="A91" s="2">
        <v>7312010</v>
      </c>
      <c r="B91" s="37">
        <v>587</v>
      </c>
      <c r="C91" s="7" t="str">
        <f t="shared" si="17"/>
        <v>PremiumSS5</v>
      </c>
      <c r="D91" s="7" t="str">
        <f t="shared" si="18"/>
        <v>PremiumSS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原初の煉鋼巨刃 ユミル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red</v>
      </c>
      <c r="L91" s="7" t="str">
        <f>VLOOKUP(B91,[1]characters!$A:$K,11,FALSE)</f>
        <v>hp</v>
      </c>
      <c r="M91" s="7" t="str">
        <f>VLOOKUP(B91,[1]characters!$A:$M,13,FALSE)</f>
        <v>machine</v>
      </c>
      <c r="N91" s="7" t="str">
        <f>VLOOKUP(B91,[1]characters!$A:$G,7,FALSE)</f>
        <v>不明</v>
      </c>
      <c r="O91" s="32">
        <v>1</v>
      </c>
      <c r="P91" s="33">
        <f t="shared" si="6"/>
        <v>7.246376811594203E-4</v>
      </c>
      <c r="Q91" s="27">
        <v>1</v>
      </c>
      <c r="R91" s="27">
        <v>0</v>
      </c>
      <c r="S91" s="27">
        <v>0</v>
      </c>
      <c r="T91" s="27">
        <v>0</v>
      </c>
      <c r="U91" s="27">
        <v>0</v>
      </c>
      <c r="V91" s="27">
        <v>1</v>
      </c>
    </row>
    <row r="92" spans="1:22" ht="21" customHeight="1" x14ac:dyDescent="0.15">
      <c r="A92" s="2">
        <v>7312010</v>
      </c>
      <c r="B92" s="37">
        <v>322</v>
      </c>
      <c r="C92" s="7" t="str">
        <f t="shared" ref="C92:C95" si="19">D92&amp;J92&amp;E92&amp;F92&amp;G92</f>
        <v>PremiumSS4</v>
      </c>
      <c r="D92" s="7" t="str">
        <f t="shared" ref="D92:D95" si="20">IF(OR(I92="PremiumSS",I92="PremiumSSw"),"PremiumSS",IF(I92="PremiumSSS",I92,IF(I92="PremiumW",I92,"Premium")))</f>
        <v>PremiumSS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愛志士 土方歳三</v>
      </c>
      <c r="I92" s="7" t="str">
        <f>VLOOKUP(B92,[1]characters!$A:$J,10,FALSE)</f>
        <v>PremiumSS</v>
      </c>
      <c r="J92" s="7">
        <f>VLOOKUP(B92,[1]characters!$A:$I,9,FALSE)</f>
        <v>4</v>
      </c>
      <c r="K92" s="7" t="str">
        <f>VLOOKUP(B92,[1]characters!$A:$H,8,FALSE)</f>
        <v>green</v>
      </c>
      <c r="L92" s="7" t="str">
        <f>VLOOKUP(B92,[1]characters!$A:$K,11,FALSE)</f>
        <v>attack</v>
      </c>
      <c r="M92" s="7" t="str">
        <f>VLOOKUP(B92,[1]characters!$A:$M,13,FALSE)</f>
        <v>human</v>
      </c>
      <c r="N92" s="7" t="str">
        <f>VLOOKUP(B92,[1]characters!$A:$G,7,FALSE)</f>
        <v>女性</v>
      </c>
      <c r="O92" s="32">
        <v>19</v>
      </c>
      <c r="P92" s="33">
        <f t="shared" si="6"/>
        <v>1.3768115942028985E-2</v>
      </c>
      <c r="Q92" s="27">
        <v>1</v>
      </c>
      <c r="R92" s="27">
        <v>0</v>
      </c>
      <c r="S92" s="27">
        <v>0</v>
      </c>
      <c r="T92" s="27">
        <v>0</v>
      </c>
      <c r="U92" s="27">
        <v>0</v>
      </c>
      <c r="V92" s="27">
        <v>1</v>
      </c>
    </row>
    <row r="93" spans="1:22" ht="21" customHeight="1" x14ac:dyDescent="0.15">
      <c r="A93" s="2">
        <v>7312010</v>
      </c>
      <c r="B93" s="37">
        <v>323</v>
      </c>
      <c r="C93" s="7" t="str">
        <f t="shared" si="19"/>
        <v>PremiumSS5</v>
      </c>
      <c r="D93" s="7" t="str">
        <f t="shared" si="20"/>
        <v>PremiumSS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流麗の愛志士 土方歳三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attack</v>
      </c>
      <c r="M93" s="7" t="str">
        <f>VLOOKUP(B93,[1]characters!$A:$M,13,FALSE)</f>
        <v>human</v>
      </c>
      <c r="N93" s="7" t="str">
        <f>VLOOKUP(B93,[1]characters!$A:$G,7,FALSE)</f>
        <v>女性</v>
      </c>
      <c r="O93" s="32">
        <v>1</v>
      </c>
      <c r="P93" s="33">
        <f t="shared" si="6"/>
        <v>7.246376811594203E-4</v>
      </c>
      <c r="Q93" s="27">
        <v>1</v>
      </c>
      <c r="R93" s="27">
        <v>0</v>
      </c>
      <c r="S93" s="27">
        <v>0</v>
      </c>
      <c r="T93" s="27">
        <v>0</v>
      </c>
      <c r="U93" s="27">
        <v>0</v>
      </c>
      <c r="V93" s="27">
        <v>1</v>
      </c>
    </row>
    <row r="94" spans="1:22" ht="21" customHeight="1" x14ac:dyDescent="0.15">
      <c r="A94" s="2">
        <v>7312010</v>
      </c>
      <c r="B94" s="37">
        <v>326</v>
      </c>
      <c r="C94" s="7" t="str">
        <f t="shared" si="19"/>
        <v>PremiumSS4</v>
      </c>
      <c r="D94" s="7" t="str">
        <f t="shared" si="20"/>
        <v>PremiumSS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妖志士 斎藤一</v>
      </c>
      <c r="I94" s="7" t="str">
        <f>VLOOKUP(B94,[1]characters!$A:$J,10,FALSE)</f>
        <v>PremiumSS</v>
      </c>
      <c r="J94" s="7">
        <f>VLOOKUP(B94,[1]characters!$A:$I,9,FALSE)</f>
        <v>4</v>
      </c>
      <c r="K94" s="7" t="str">
        <f>VLOOKUP(B94,[1]characters!$A:$H,8,FALSE)</f>
        <v>yellow</v>
      </c>
      <c r="L94" s="7" t="str">
        <f>VLOOKUP(B94,[1]characters!$A:$K,11,FALSE)</f>
        <v>technical</v>
      </c>
      <c r="M94" s="7" t="str">
        <f>VLOOKUP(B94,[1]characters!$A:$M,13,FALSE)</f>
        <v>human</v>
      </c>
      <c r="N94" s="7" t="str">
        <f>VLOOKUP(B94,[1]characters!$A:$G,7,FALSE)</f>
        <v>女性</v>
      </c>
      <c r="O94" s="32">
        <v>19</v>
      </c>
      <c r="P94" s="33">
        <f t="shared" si="6"/>
        <v>1.3768115942028985E-2</v>
      </c>
      <c r="Q94" s="27">
        <v>1</v>
      </c>
      <c r="R94" s="27">
        <v>0</v>
      </c>
      <c r="S94" s="27">
        <v>0</v>
      </c>
      <c r="T94" s="27">
        <v>0</v>
      </c>
      <c r="U94" s="27">
        <v>0</v>
      </c>
      <c r="V94" s="27">
        <v>1</v>
      </c>
    </row>
    <row r="95" spans="1:22" ht="21" customHeight="1" x14ac:dyDescent="0.15">
      <c r="A95" s="2">
        <v>7312010</v>
      </c>
      <c r="B95" s="37">
        <v>327</v>
      </c>
      <c r="C95" s="7" t="str">
        <f t="shared" si="19"/>
        <v>PremiumSS5</v>
      </c>
      <c r="D95" s="7" t="str">
        <f t="shared" si="20"/>
        <v>PremiumSS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千殺の妖志士 斎藤一</v>
      </c>
      <c r="I95" s="7" t="str">
        <f>VLOOKUP(B95,[1]characters!$A:$J,10,FALSE)</f>
        <v>PremiumSS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technical</v>
      </c>
      <c r="M95" s="7" t="str">
        <f>VLOOKUP(B95,[1]characters!$A:$M,13,FALSE)</f>
        <v>human</v>
      </c>
      <c r="N95" s="7" t="str">
        <f>VLOOKUP(B95,[1]characters!$A:$G,7,FALSE)</f>
        <v>女性</v>
      </c>
      <c r="O95" s="32">
        <v>1</v>
      </c>
      <c r="P95" s="33">
        <f t="shared" si="6"/>
        <v>7.246376811594203E-4</v>
      </c>
      <c r="Q95" s="27">
        <v>1</v>
      </c>
      <c r="R95" s="27">
        <v>0</v>
      </c>
      <c r="S95" s="27">
        <v>0</v>
      </c>
      <c r="T95" s="27">
        <v>0</v>
      </c>
      <c r="U95" s="27">
        <v>0</v>
      </c>
      <c r="V95" s="27">
        <v>1</v>
      </c>
    </row>
    <row r="96" spans="1:22" ht="21" customHeight="1" x14ac:dyDescent="0.15">
      <c r="A96" s="2">
        <v>7312010</v>
      </c>
      <c r="B96" s="56">
        <v>1332</v>
      </c>
      <c r="C96" s="7" t="str">
        <f t="shared" ref="C96:C98" si="21">D96&amp;J96&amp;E96&amp;F96&amp;G96</f>
        <v>Premium4R3less</v>
      </c>
      <c r="D96" s="7" t="str">
        <f t="shared" ref="D96:D98" si="22">IF(OR(I96="PremiumSS",I96="PremiumSSw"),"PremiumSS",IF(I96="PremiumSSS",I96,IF(I96="PremiumW",I96,"Premium")))</f>
        <v>Premium</v>
      </c>
      <c r="E96" s="7" t="str">
        <f>IF(COUNTIF('R6追加前'!A:A,B96)=0,IF(OR(I96="PremiumSS",I96="PremiumSSw"),"R5only","R3less"),"")</f>
        <v>R3less</v>
      </c>
      <c r="F96" s="7" t="str">
        <f>IF(COUNTIF('R6開放'!A:A,B96)&gt;0,"R6release","")</f>
        <v/>
      </c>
      <c r="G96" s="7"/>
      <c r="H96" s="7" t="str">
        <f>VLOOKUP(B96,[1]characters!$A:$C,3,FALSE)</f>
        <v>クシナダヒメ</v>
      </c>
      <c r="I96" s="7" t="str">
        <f>VLOOKUP(B96,[1]characters!$A:$J,10,FALSE)</f>
        <v>PremiumS</v>
      </c>
      <c r="J96" s="7">
        <f>VLOOKUP(B96,[1]characters!$A:$I,9,FALSE)</f>
        <v>4</v>
      </c>
      <c r="K96" s="7" t="str">
        <f>VLOOKUP(B96,[1]characters!$A:$H,8,FALSE)</f>
        <v>green</v>
      </c>
      <c r="L96" s="7" t="str">
        <f>VLOOKUP(B96,[1]characters!$A:$K,11,FALSE)</f>
        <v>heal</v>
      </c>
      <c r="M96" s="7" t="str">
        <f>VLOOKUP(B96,[1]characters!$A:$M,13,FALSE)</f>
        <v>god</v>
      </c>
      <c r="N96" s="7">
        <f>VLOOKUP(B96,[1]characters!$A:$G,7,FALSE)</f>
        <v>0</v>
      </c>
      <c r="O96" s="32">
        <v>20</v>
      </c>
      <c r="P96" s="33">
        <f t="shared" si="6"/>
        <v>1.4492753623188406E-2</v>
      </c>
      <c r="Q96" s="27">
        <v>1</v>
      </c>
      <c r="R96" s="27">
        <v>0</v>
      </c>
      <c r="S96" s="27">
        <v>0</v>
      </c>
      <c r="T96" s="27">
        <v>0</v>
      </c>
      <c r="U96" s="27">
        <v>0</v>
      </c>
      <c r="V96" s="27">
        <v>1</v>
      </c>
    </row>
    <row r="97" spans="1:22" ht="21" customHeight="1" x14ac:dyDescent="0.15">
      <c r="A97" s="2">
        <v>7312010</v>
      </c>
      <c r="B97" s="56">
        <v>1336</v>
      </c>
      <c r="C97" s="7" t="str">
        <f t="shared" si="21"/>
        <v>PremiumSS5R5only</v>
      </c>
      <c r="D97" s="7" t="str">
        <f t="shared" si="22"/>
        <v>PremiumSS</v>
      </c>
      <c r="E97" s="7" t="str">
        <f>IF(COUNTIF('R6追加前'!A:A,B97)=0,IF(OR(I97="PremiumSS",I97="PremiumSSw"),"R5only","R3less"),"")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イザナギ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blue</v>
      </c>
      <c r="L97" s="7" t="str">
        <f>VLOOKUP(B97,[1]characters!$A:$K,11,FALSE)</f>
        <v>technical</v>
      </c>
      <c r="M97" s="7" t="str">
        <f>VLOOKUP(B97,[1]characters!$A:$M,13,FALSE)</f>
        <v>god</v>
      </c>
      <c r="N97" s="7">
        <f>VLOOKUP(B97,[1]characters!$A:$G,7,FALSE)</f>
        <v>0</v>
      </c>
      <c r="O97" s="32">
        <v>20</v>
      </c>
      <c r="P97" s="33">
        <f t="shared" si="6"/>
        <v>1.4492753623188406E-2</v>
      </c>
      <c r="Q97" s="27">
        <v>1</v>
      </c>
      <c r="R97" s="27">
        <v>0</v>
      </c>
      <c r="S97" s="27">
        <v>0</v>
      </c>
      <c r="T97" s="27">
        <v>0</v>
      </c>
      <c r="U97" s="27">
        <v>0</v>
      </c>
      <c r="V97" s="27">
        <v>1</v>
      </c>
    </row>
    <row r="98" spans="1:22" ht="21" customHeight="1" x14ac:dyDescent="0.15">
      <c r="A98" s="2">
        <v>7312010</v>
      </c>
      <c r="B98" s="56">
        <v>1338</v>
      </c>
      <c r="C98" s="7" t="str">
        <f t="shared" si="21"/>
        <v>Premium5R3less</v>
      </c>
      <c r="D98" s="7" t="str">
        <f t="shared" si="22"/>
        <v>Premium</v>
      </c>
      <c r="E98" s="7" t="str">
        <f>IF(COUNTIF('R6追加前'!A:A,B98)=0,IF(OR(I98="PremiumSS",I98="PremiumSSw"),"R5only","R3less"),"")</f>
        <v>R3less</v>
      </c>
      <c r="F98" s="7" t="str">
        <f>IF(COUNTIF('R6開放'!A:A,B98)&gt;0,"R6release","")</f>
        <v/>
      </c>
      <c r="G98" s="7"/>
      <c r="H98" s="7" t="str">
        <f>VLOOKUP(B98,[1]characters!$A:$C,3,FALSE)</f>
        <v>アメノウズメ</v>
      </c>
      <c r="I98" s="7" t="str">
        <f>VLOOKUP(B98,[1]characters!$A:$J,10,FALSE)</f>
        <v>DropWizS</v>
      </c>
      <c r="J98" s="7">
        <f>VLOOKUP(B98,[1]characters!$A:$I,9,FALSE)</f>
        <v>5</v>
      </c>
      <c r="K98" s="7" t="str">
        <f>VLOOKUP(B98,[1]characters!$A:$H,8,FALSE)</f>
        <v>yellow</v>
      </c>
      <c r="L98" s="7" t="str">
        <f>VLOOKUP(B98,[1]characters!$A:$K,11,FALSE)</f>
        <v>attack</v>
      </c>
      <c r="M98" s="7" t="str">
        <f>VLOOKUP(B98,[1]characters!$A:$M,13,FALSE)</f>
        <v>human</v>
      </c>
      <c r="N98" s="7">
        <f>VLOOKUP(B98,[1]characters!$A:$G,7,FALSE)</f>
        <v>0</v>
      </c>
      <c r="O98" s="32">
        <v>20</v>
      </c>
      <c r="P98" s="33">
        <f t="shared" si="6"/>
        <v>1.4492753623188406E-2</v>
      </c>
      <c r="Q98" s="27">
        <v>1</v>
      </c>
      <c r="R98" s="27">
        <v>0</v>
      </c>
      <c r="S98" s="27">
        <v>0</v>
      </c>
      <c r="T98" s="27">
        <v>0</v>
      </c>
      <c r="U98" s="27">
        <v>0</v>
      </c>
      <c r="V98" s="27">
        <v>1</v>
      </c>
    </row>
  </sheetData>
  <autoFilter ref="A1:V9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tables_7312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2017-02-17T06:49:15Z</dcterms:modified>
</cp:coreProperties>
</file>