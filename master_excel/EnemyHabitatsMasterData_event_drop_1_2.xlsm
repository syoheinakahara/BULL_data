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519" activeTab="3"/>
  </bookViews>
  <sheets>
    <sheet name="floors_drop_1_2" sheetId="2" r:id="rId1"/>
    <sheet name="enemy_habitats_drop_1_2" sheetId="1" r:id="rId2"/>
    <sheet name="floors_drop_1_2.tmp" sheetId="5" r:id="rId3"/>
    <sheet name="enemy_habitats_drop_1_2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enemy_habitats_drop_1_2!$B$1:$AE$7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3" i="6" l="1"/>
  <c r="R63" i="6"/>
  <c r="A24" i="6"/>
  <c r="R37" i="6"/>
  <c r="R21" i="6"/>
  <c r="R22" i="6"/>
  <c r="R23" i="6"/>
  <c r="R26" i="6"/>
  <c r="R62" i="6"/>
  <c r="R61" i="6"/>
  <c r="R60" i="6"/>
  <c r="R59" i="6"/>
  <c r="R44" i="6"/>
  <c r="R45" i="6"/>
  <c r="R46" i="6"/>
  <c r="R47" i="6"/>
  <c r="R48" i="6"/>
  <c r="R49" i="6"/>
  <c r="R50" i="6"/>
  <c r="R51" i="6"/>
  <c r="R52" i="6"/>
  <c r="R53" i="6"/>
  <c r="R54" i="6"/>
  <c r="R41" i="6"/>
  <c r="R5" i="6"/>
  <c r="R4" i="6"/>
  <c r="R3" i="6"/>
  <c r="R55" i="6"/>
  <c r="R56" i="6"/>
  <c r="R57" i="6"/>
  <c r="R58" i="6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AB2" i="1"/>
  <c r="AA2" i="1"/>
  <c r="Z2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43" i="1"/>
  <c r="X37" i="1"/>
  <c r="X38" i="1"/>
  <c r="X39" i="1"/>
  <c r="X40" i="1"/>
  <c r="X41" i="1"/>
  <c r="X36" i="1"/>
  <c r="X24" i="1"/>
  <c r="X25" i="1"/>
  <c r="X26" i="1"/>
  <c r="X27" i="1"/>
  <c r="X28" i="1"/>
  <c r="X29" i="1"/>
  <c r="X30" i="1"/>
  <c r="X31" i="1"/>
  <c r="X32" i="1"/>
  <c r="X33" i="1"/>
  <c r="X34" i="1"/>
  <c r="X23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" i="1"/>
  <c r="T61" i="1"/>
  <c r="S61" i="1"/>
  <c r="T60" i="1"/>
  <c r="S60" i="1"/>
  <c r="T59" i="1"/>
  <c r="S59" i="1"/>
  <c r="T58" i="1"/>
  <c r="S58" i="1"/>
  <c r="T57" i="1"/>
  <c r="S57" i="1"/>
  <c r="T44" i="1"/>
  <c r="S44" i="1"/>
  <c r="T45" i="1"/>
  <c r="S45" i="1"/>
  <c r="T46" i="1"/>
  <c r="S46" i="1"/>
  <c r="T47" i="1"/>
  <c r="S47" i="1"/>
  <c r="T48" i="1"/>
  <c r="S48" i="1"/>
  <c r="T49" i="1"/>
  <c r="S49" i="1"/>
  <c r="T50" i="1"/>
  <c r="S50" i="1"/>
  <c r="T51" i="1"/>
  <c r="S51" i="1"/>
  <c r="T52" i="1"/>
  <c r="S52" i="1"/>
  <c r="T53" i="1"/>
  <c r="S53" i="1"/>
  <c r="T54" i="1"/>
  <c r="S54" i="1"/>
  <c r="T55" i="1"/>
  <c r="S55" i="1"/>
  <c r="T43" i="1"/>
  <c r="S43" i="1"/>
  <c r="T38" i="1"/>
  <c r="S38" i="1"/>
  <c r="T39" i="1"/>
  <c r="S39" i="1"/>
  <c r="T40" i="1"/>
  <c r="S40" i="1"/>
  <c r="T41" i="1"/>
  <c r="S41" i="1"/>
  <c r="T37" i="1"/>
  <c r="S37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" i="1"/>
  <c r="S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N2" i="1"/>
  <c r="M2" i="1"/>
  <c r="L2" i="1"/>
  <c r="K2" i="1"/>
  <c r="J2" i="1"/>
  <c r="C1" i="6"/>
  <c r="A1" i="6"/>
  <c r="A63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3" i="1"/>
  <c r="A24" i="1"/>
  <c r="A25" i="1"/>
  <c r="A26" i="1"/>
  <c r="A27" i="1"/>
  <c r="A28" i="1"/>
  <c r="A29" i="1"/>
  <c r="A30" i="1"/>
  <c r="A31" i="1"/>
  <c r="A32" i="1"/>
  <c r="A33" i="1"/>
  <c r="A34" i="1"/>
  <c r="A36" i="1"/>
  <c r="A37" i="1"/>
  <c r="A38" i="1"/>
  <c r="A39" i="1"/>
  <c r="A40" i="1"/>
  <c r="A41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B1" i="6"/>
  <c r="W63" i="6"/>
  <c r="V63" i="6"/>
  <c r="U63" i="6"/>
  <c r="T63" i="6"/>
  <c r="S63" i="6"/>
  <c r="AD62" i="1"/>
  <c r="Q63" i="6"/>
  <c r="P63" i="6"/>
  <c r="O63" i="6"/>
  <c r="N63" i="6"/>
  <c r="M63" i="6"/>
  <c r="L63" i="6"/>
  <c r="K63" i="6"/>
  <c r="J63" i="6"/>
  <c r="I63" i="6"/>
  <c r="H63" i="6"/>
  <c r="F63" i="6"/>
  <c r="E63" i="6"/>
  <c r="D63" i="6"/>
  <c r="C63" i="6"/>
  <c r="B63" i="6"/>
  <c r="A62" i="6"/>
  <c r="W62" i="6"/>
  <c r="V62" i="6"/>
  <c r="U62" i="6"/>
  <c r="T62" i="6"/>
  <c r="S62" i="6"/>
  <c r="AD61" i="1"/>
  <c r="Q62" i="6"/>
  <c r="P62" i="6"/>
  <c r="O62" i="6"/>
  <c r="N62" i="6"/>
  <c r="M62" i="6"/>
  <c r="L62" i="6"/>
  <c r="K62" i="6"/>
  <c r="J62" i="6"/>
  <c r="I62" i="6"/>
  <c r="H62" i="6"/>
  <c r="F62" i="6"/>
  <c r="E62" i="6"/>
  <c r="D62" i="6"/>
  <c r="C62" i="6"/>
  <c r="B62" i="6"/>
  <c r="A61" i="6"/>
  <c r="W61" i="6"/>
  <c r="V61" i="6"/>
  <c r="U61" i="6"/>
  <c r="T61" i="6"/>
  <c r="S61" i="6"/>
  <c r="AD60" i="1"/>
  <c r="Q61" i="6"/>
  <c r="P61" i="6"/>
  <c r="O61" i="6"/>
  <c r="N61" i="6"/>
  <c r="M61" i="6"/>
  <c r="L61" i="6"/>
  <c r="K61" i="6"/>
  <c r="J61" i="6"/>
  <c r="I61" i="6"/>
  <c r="H61" i="6"/>
  <c r="F61" i="6"/>
  <c r="E61" i="6"/>
  <c r="D61" i="6"/>
  <c r="C61" i="6"/>
  <c r="B61" i="6"/>
  <c r="A60" i="6"/>
  <c r="W60" i="6"/>
  <c r="V60" i="6"/>
  <c r="U60" i="6"/>
  <c r="T60" i="6"/>
  <c r="S60" i="6"/>
  <c r="AD59" i="1"/>
  <c r="Q60" i="6"/>
  <c r="P60" i="6"/>
  <c r="O60" i="6"/>
  <c r="N60" i="6"/>
  <c r="M60" i="6"/>
  <c r="L60" i="6"/>
  <c r="K60" i="6"/>
  <c r="J60" i="6"/>
  <c r="I60" i="6"/>
  <c r="H60" i="6"/>
  <c r="F60" i="6"/>
  <c r="E60" i="6"/>
  <c r="D60" i="6"/>
  <c r="C60" i="6"/>
  <c r="B60" i="6"/>
  <c r="A59" i="6"/>
  <c r="W59" i="6"/>
  <c r="V59" i="6"/>
  <c r="U59" i="6"/>
  <c r="T59" i="6"/>
  <c r="S59" i="6"/>
  <c r="AD58" i="1"/>
  <c r="Q59" i="6"/>
  <c r="P59" i="6"/>
  <c r="O59" i="6"/>
  <c r="N59" i="6"/>
  <c r="M59" i="6"/>
  <c r="L59" i="6"/>
  <c r="K59" i="6"/>
  <c r="J59" i="6"/>
  <c r="I59" i="6"/>
  <c r="H59" i="6"/>
  <c r="F59" i="6"/>
  <c r="E59" i="6"/>
  <c r="D59" i="6"/>
  <c r="C59" i="6"/>
  <c r="B59" i="6"/>
  <c r="A58" i="6"/>
  <c r="W58" i="6"/>
  <c r="V58" i="6"/>
  <c r="U58" i="6"/>
  <c r="T58" i="6"/>
  <c r="S58" i="6"/>
  <c r="AD57" i="1"/>
  <c r="Q58" i="6"/>
  <c r="P58" i="6"/>
  <c r="O58" i="6"/>
  <c r="N58" i="6"/>
  <c r="M58" i="6"/>
  <c r="L58" i="6"/>
  <c r="K58" i="6"/>
  <c r="J58" i="6"/>
  <c r="I58" i="6"/>
  <c r="H58" i="6"/>
  <c r="F58" i="6"/>
  <c r="E58" i="6"/>
  <c r="D58" i="6"/>
  <c r="C58" i="6"/>
  <c r="B58" i="6"/>
  <c r="A57" i="6"/>
  <c r="W57" i="6"/>
  <c r="V57" i="6"/>
  <c r="U57" i="6"/>
  <c r="T57" i="6"/>
  <c r="S57" i="6"/>
  <c r="AD56" i="1"/>
  <c r="Q57" i="6"/>
  <c r="P57" i="6"/>
  <c r="O57" i="6"/>
  <c r="N57" i="6"/>
  <c r="M57" i="6"/>
  <c r="L57" i="6"/>
  <c r="K57" i="6"/>
  <c r="J57" i="6"/>
  <c r="I57" i="6"/>
  <c r="H57" i="6"/>
  <c r="F57" i="6"/>
  <c r="E57" i="6"/>
  <c r="D57" i="6"/>
  <c r="C57" i="6"/>
  <c r="B57" i="6"/>
  <c r="A56" i="6"/>
  <c r="W56" i="6"/>
  <c r="V56" i="6"/>
  <c r="U56" i="6"/>
  <c r="T56" i="6"/>
  <c r="S56" i="6"/>
  <c r="AD55" i="1"/>
  <c r="Q56" i="6"/>
  <c r="P56" i="6"/>
  <c r="O56" i="6"/>
  <c r="N56" i="6"/>
  <c r="M56" i="6"/>
  <c r="L56" i="6"/>
  <c r="K56" i="6"/>
  <c r="J56" i="6"/>
  <c r="I56" i="6"/>
  <c r="H56" i="6"/>
  <c r="F56" i="6"/>
  <c r="E56" i="6"/>
  <c r="D56" i="6"/>
  <c r="C56" i="6"/>
  <c r="B56" i="6"/>
  <c r="A55" i="6"/>
  <c r="W55" i="6"/>
  <c r="V55" i="6"/>
  <c r="U55" i="6"/>
  <c r="T55" i="6"/>
  <c r="S55" i="6"/>
  <c r="AD54" i="1"/>
  <c r="Q55" i="6"/>
  <c r="P55" i="6"/>
  <c r="O55" i="6"/>
  <c r="N55" i="6"/>
  <c r="M55" i="6"/>
  <c r="L55" i="6"/>
  <c r="K55" i="6"/>
  <c r="J55" i="6"/>
  <c r="I55" i="6"/>
  <c r="H55" i="6"/>
  <c r="F55" i="6"/>
  <c r="E55" i="6"/>
  <c r="D55" i="6"/>
  <c r="C55" i="6"/>
  <c r="B55" i="6"/>
  <c r="A54" i="6"/>
  <c r="W54" i="6"/>
  <c r="V54" i="6"/>
  <c r="U54" i="6"/>
  <c r="T54" i="6"/>
  <c r="S54" i="6"/>
  <c r="AD53" i="1"/>
  <c r="Q54" i="6"/>
  <c r="P54" i="6"/>
  <c r="O54" i="6"/>
  <c r="N54" i="6"/>
  <c r="M54" i="6"/>
  <c r="L54" i="6"/>
  <c r="K54" i="6"/>
  <c r="J54" i="6"/>
  <c r="I54" i="6"/>
  <c r="H54" i="6"/>
  <c r="F54" i="6"/>
  <c r="E54" i="6"/>
  <c r="D54" i="6"/>
  <c r="C54" i="6"/>
  <c r="B54" i="6"/>
  <c r="A53" i="6"/>
  <c r="W53" i="6"/>
  <c r="V53" i="6"/>
  <c r="U53" i="6"/>
  <c r="T53" i="6"/>
  <c r="S53" i="6"/>
  <c r="AD52" i="1"/>
  <c r="Q53" i="6"/>
  <c r="P53" i="6"/>
  <c r="O53" i="6"/>
  <c r="N53" i="6"/>
  <c r="M53" i="6"/>
  <c r="L53" i="6"/>
  <c r="K53" i="6"/>
  <c r="J53" i="6"/>
  <c r="I53" i="6"/>
  <c r="H53" i="6"/>
  <c r="F53" i="6"/>
  <c r="E53" i="6"/>
  <c r="D53" i="6"/>
  <c r="C53" i="6"/>
  <c r="B53" i="6"/>
  <c r="A52" i="6"/>
  <c r="W52" i="6"/>
  <c r="V52" i="6"/>
  <c r="U52" i="6"/>
  <c r="T52" i="6"/>
  <c r="S52" i="6"/>
  <c r="AD51" i="1"/>
  <c r="Q52" i="6"/>
  <c r="P52" i="6"/>
  <c r="O52" i="6"/>
  <c r="N52" i="6"/>
  <c r="M52" i="6"/>
  <c r="L52" i="6"/>
  <c r="K52" i="6"/>
  <c r="J52" i="6"/>
  <c r="I52" i="6"/>
  <c r="H52" i="6"/>
  <c r="F52" i="6"/>
  <c r="E52" i="6"/>
  <c r="D52" i="6"/>
  <c r="C52" i="6"/>
  <c r="B52" i="6"/>
  <c r="A51" i="6"/>
  <c r="W51" i="6"/>
  <c r="V51" i="6"/>
  <c r="U51" i="6"/>
  <c r="T51" i="6"/>
  <c r="S51" i="6"/>
  <c r="AD50" i="1"/>
  <c r="Q51" i="6"/>
  <c r="P51" i="6"/>
  <c r="O51" i="6"/>
  <c r="N51" i="6"/>
  <c r="M51" i="6"/>
  <c r="L51" i="6"/>
  <c r="K51" i="6"/>
  <c r="J51" i="6"/>
  <c r="I51" i="6"/>
  <c r="H51" i="6"/>
  <c r="F51" i="6"/>
  <c r="E51" i="6"/>
  <c r="D51" i="6"/>
  <c r="C51" i="6"/>
  <c r="B51" i="6"/>
  <c r="A50" i="6"/>
  <c r="W50" i="6"/>
  <c r="V50" i="6"/>
  <c r="U50" i="6"/>
  <c r="T50" i="6"/>
  <c r="S50" i="6"/>
  <c r="AD49" i="1"/>
  <c r="Q50" i="6"/>
  <c r="P50" i="6"/>
  <c r="O50" i="6"/>
  <c r="N50" i="6"/>
  <c r="M50" i="6"/>
  <c r="L50" i="6"/>
  <c r="K50" i="6"/>
  <c r="J50" i="6"/>
  <c r="I50" i="6"/>
  <c r="H50" i="6"/>
  <c r="F50" i="6"/>
  <c r="E50" i="6"/>
  <c r="D50" i="6"/>
  <c r="C50" i="6"/>
  <c r="B50" i="6"/>
  <c r="A49" i="6"/>
  <c r="W49" i="6"/>
  <c r="V49" i="6"/>
  <c r="U49" i="6"/>
  <c r="T49" i="6"/>
  <c r="S49" i="6"/>
  <c r="AD48" i="1"/>
  <c r="Q49" i="6"/>
  <c r="P49" i="6"/>
  <c r="O49" i="6"/>
  <c r="N49" i="6"/>
  <c r="M49" i="6"/>
  <c r="L49" i="6"/>
  <c r="K49" i="6"/>
  <c r="J49" i="6"/>
  <c r="I49" i="6"/>
  <c r="H49" i="6"/>
  <c r="F49" i="6"/>
  <c r="E49" i="6"/>
  <c r="D49" i="6"/>
  <c r="C49" i="6"/>
  <c r="B49" i="6"/>
  <c r="A48" i="6"/>
  <c r="W48" i="6"/>
  <c r="V48" i="6"/>
  <c r="U48" i="6"/>
  <c r="T48" i="6"/>
  <c r="S48" i="6"/>
  <c r="AD47" i="1"/>
  <c r="Q48" i="6"/>
  <c r="P48" i="6"/>
  <c r="O48" i="6"/>
  <c r="N48" i="6"/>
  <c r="M48" i="6"/>
  <c r="L48" i="6"/>
  <c r="K48" i="6"/>
  <c r="J48" i="6"/>
  <c r="I48" i="6"/>
  <c r="H48" i="6"/>
  <c r="F48" i="6"/>
  <c r="E48" i="6"/>
  <c r="D48" i="6"/>
  <c r="C48" i="6"/>
  <c r="B48" i="6"/>
  <c r="A47" i="6"/>
  <c r="W47" i="6"/>
  <c r="V47" i="6"/>
  <c r="U47" i="6"/>
  <c r="T47" i="6"/>
  <c r="S47" i="6"/>
  <c r="AD46" i="1"/>
  <c r="Q47" i="6"/>
  <c r="P47" i="6"/>
  <c r="O47" i="6"/>
  <c r="N47" i="6"/>
  <c r="M47" i="6"/>
  <c r="L47" i="6"/>
  <c r="K47" i="6"/>
  <c r="J47" i="6"/>
  <c r="I47" i="6"/>
  <c r="H47" i="6"/>
  <c r="F47" i="6"/>
  <c r="E47" i="6"/>
  <c r="D47" i="6"/>
  <c r="C47" i="6"/>
  <c r="B47" i="6"/>
  <c r="A46" i="6"/>
  <c r="W46" i="6"/>
  <c r="V46" i="6"/>
  <c r="U46" i="6"/>
  <c r="T46" i="6"/>
  <c r="S46" i="6"/>
  <c r="AD45" i="1"/>
  <c r="Q46" i="6"/>
  <c r="P46" i="6"/>
  <c r="O46" i="6"/>
  <c r="N46" i="6"/>
  <c r="M46" i="6"/>
  <c r="L46" i="6"/>
  <c r="K46" i="6"/>
  <c r="J46" i="6"/>
  <c r="I46" i="6"/>
  <c r="H46" i="6"/>
  <c r="F46" i="6"/>
  <c r="E46" i="6"/>
  <c r="D46" i="6"/>
  <c r="C46" i="6"/>
  <c r="B46" i="6"/>
  <c r="A45" i="6"/>
  <c r="W45" i="6"/>
  <c r="V45" i="6"/>
  <c r="U45" i="6"/>
  <c r="T45" i="6"/>
  <c r="S45" i="6"/>
  <c r="AD44" i="1"/>
  <c r="Q45" i="6"/>
  <c r="P45" i="6"/>
  <c r="O45" i="6"/>
  <c r="N45" i="6"/>
  <c r="M45" i="6"/>
  <c r="L45" i="6"/>
  <c r="K45" i="6"/>
  <c r="J45" i="6"/>
  <c r="I45" i="6"/>
  <c r="H45" i="6"/>
  <c r="F45" i="6"/>
  <c r="E45" i="6"/>
  <c r="D45" i="6"/>
  <c r="C45" i="6"/>
  <c r="B45" i="6"/>
  <c r="A44" i="6"/>
  <c r="W44" i="6"/>
  <c r="V44" i="6"/>
  <c r="U44" i="6"/>
  <c r="T44" i="6"/>
  <c r="S44" i="6"/>
  <c r="AD43" i="1"/>
  <c r="Q44" i="6"/>
  <c r="P44" i="6"/>
  <c r="O44" i="6"/>
  <c r="N44" i="6"/>
  <c r="M44" i="6"/>
  <c r="L44" i="6"/>
  <c r="K44" i="6"/>
  <c r="J44" i="6"/>
  <c r="I44" i="6"/>
  <c r="H44" i="6"/>
  <c r="F44" i="6"/>
  <c r="E44" i="6"/>
  <c r="D44" i="6"/>
  <c r="C44" i="6"/>
  <c r="B44" i="6"/>
  <c r="A43" i="6"/>
  <c r="W43" i="6"/>
  <c r="V43" i="6"/>
  <c r="U43" i="6"/>
  <c r="T43" i="6"/>
  <c r="S43" i="6"/>
  <c r="AD42" i="1"/>
  <c r="Q43" i="6"/>
  <c r="P43" i="6"/>
  <c r="O43" i="6"/>
  <c r="N43" i="6"/>
  <c r="M43" i="6"/>
  <c r="L43" i="6"/>
  <c r="K43" i="6"/>
  <c r="J43" i="6"/>
  <c r="I43" i="6"/>
  <c r="H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F42" i="6"/>
  <c r="E42" i="6"/>
  <c r="D42" i="6"/>
  <c r="C42" i="6"/>
  <c r="B42" i="6"/>
  <c r="A41" i="6"/>
  <c r="W41" i="6"/>
  <c r="V41" i="6"/>
  <c r="U41" i="6"/>
  <c r="T41" i="6"/>
  <c r="S41" i="6"/>
  <c r="AD40" i="1"/>
  <c r="Q41" i="6"/>
  <c r="P41" i="6"/>
  <c r="O41" i="6"/>
  <c r="N41" i="6"/>
  <c r="M41" i="6"/>
  <c r="L41" i="6"/>
  <c r="K41" i="6"/>
  <c r="J41" i="6"/>
  <c r="I41" i="6"/>
  <c r="H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F38" i="6"/>
  <c r="E38" i="6"/>
  <c r="D38" i="6"/>
  <c r="C38" i="6"/>
  <c r="B38" i="6"/>
  <c r="A37" i="6"/>
  <c r="W37" i="6"/>
  <c r="V37" i="6"/>
  <c r="U37" i="6"/>
  <c r="T37" i="6"/>
  <c r="S37" i="6"/>
  <c r="AD36" i="1"/>
  <c r="Q37" i="6"/>
  <c r="P37" i="6"/>
  <c r="O37" i="6"/>
  <c r="N37" i="6"/>
  <c r="M37" i="6"/>
  <c r="L37" i="6"/>
  <c r="K37" i="6"/>
  <c r="J37" i="6"/>
  <c r="I37" i="6"/>
  <c r="H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F27" i="6"/>
  <c r="E27" i="6"/>
  <c r="D27" i="6"/>
  <c r="C27" i="6"/>
  <c r="B27" i="6"/>
  <c r="A26" i="6"/>
  <c r="W26" i="6"/>
  <c r="V26" i="6"/>
  <c r="U26" i="6"/>
  <c r="T26" i="6"/>
  <c r="S26" i="6"/>
  <c r="AD25" i="1"/>
  <c r="Q26" i="6"/>
  <c r="P26" i="6"/>
  <c r="O26" i="6"/>
  <c r="N26" i="6"/>
  <c r="M26" i="6"/>
  <c r="L26" i="6"/>
  <c r="K26" i="6"/>
  <c r="J26" i="6"/>
  <c r="I26" i="6"/>
  <c r="H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F25" i="6"/>
  <c r="E25" i="6"/>
  <c r="D25" i="6"/>
  <c r="C25" i="6"/>
  <c r="B25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F24" i="6"/>
  <c r="E24" i="6"/>
  <c r="D24" i="6"/>
  <c r="C24" i="6"/>
  <c r="B24" i="6"/>
  <c r="A23" i="6"/>
  <c r="W23" i="6"/>
  <c r="V23" i="6"/>
  <c r="U23" i="6"/>
  <c r="T23" i="6"/>
  <c r="S23" i="6"/>
  <c r="AD22" i="1"/>
  <c r="Q23" i="6"/>
  <c r="P23" i="6"/>
  <c r="O23" i="6"/>
  <c r="N23" i="6"/>
  <c r="M23" i="6"/>
  <c r="L23" i="6"/>
  <c r="K23" i="6"/>
  <c r="J23" i="6"/>
  <c r="I23" i="6"/>
  <c r="H23" i="6"/>
  <c r="F23" i="6"/>
  <c r="E23" i="6"/>
  <c r="D23" i="6"/>
  <c r="C23" i="6"/>
  <c r="B23" i="6"/>
  <c r="A22" i="6"/>
  <c r="W22" i="6"/>
  <c r="V22" i="6"/>
  <c r="U22" i="6"/>
  <c r="T22" i="6"/>
  <c r="S22" i="6"/>
  <c r="AD21" i="1"/>
  <c r="Q22" i="6"/>
  <c r="P22" i="6"/>
  <c r="O22" i="6"/>
  <c r="N22" i="6"/>
  <c r="M22" i="6"/>
  <c r="L22" i="6"/>
  <c r="K22" i="6"/>
  <c r="J22" i="6"/>
  <c r="I22" i="6"/>
  <c r="H22" i="6"/>
  <c r="F22" i="6"/>
  <c r="E22" i="6"/>
  <c r="D22" i="6"/>
  <c r="C22" i="6"/>
  <c r="B22" i="6"/>
  <c r="A21" i="6"/>
  <c r="W21" i="6"/>
  <c r="V21" i="6"/>
  <c r="U21" i="6"/>
  <c r="T21" i="6"/>
  <c r="S21" i="6"/>
  <c r="AD20" i="1"/>
  <c r="Q21" i="6"/>
  <c r="P21" i="6"/>
  <c r="O21" i="6"/>
  <c r="N21" i="6"/>
  <c r="M21" i="6"/>
  <c r="L21" i="6"/>
  <c r="K21" i="6"/>
  <c r="J21" i="6"/>
  <c r="I21" i="6"/>
  <c r="H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F6" i="6"/>
  <c r="E6" i="6"/>
  <c r="D6" i="6"/>
  <c r="C6" i="6"/>
  <c r="B6" i="6"/>
  <c r="A5" i="6"/>
  <c r="W5" i="6"/>
  <c r="V5" i="6"/>
  <c r="U5" i="6"/>
  <c r="T5" i="6"/>
  <c r="S5" i="6"/>
  <c r="AD4" i="1"/>
  <c r="Q5" i="6"/>
  <c r="P5" i="6"/>
  <c r="O5" i="6"/>
  <c r="N5" i="6"/>
  <c r="M5" i="6"/>
  <c r="L5" i="6"/>
  <c r="K5" i="6"/>
  <c r="J5" i="6"/>
  <c r="I5" i="6"/>
  <c r="H5" i="6"/>
  <c r="F5" i="6"/>
  <c r="E5" i="6"/>
  <c r="D5" i="6"/>
  <c r="C5" i="6"/>
  <c r="B5" i="6"/>
  <c r="A4" i="6"/>
  <c r="W4" i="6"/>
  <c r="V4" i="6"/>
  <c r="U4" i="6"/>
  <c r="T4" i="6"/>
  <c r="S4" i="6"/>
  <c r="AD3" i="1"/>
  <c r="Q4" i="6"/>
  <c r="P4" i="6"/>
  <c r="O4" i="6"/>
  <c r="N4" i="6"/>
  <c r="M4" i="6"/>
  <c r="L4" i="6"/>
  <c r="K4" i="6"/>
  <c r="J4" i="6"/>
  <c r="I4" i="6"/>
  <c r="H4" i="6"/>
  <c r="F4" i="6"/>
  <c r="E4" i="6"/>
  <c r="D4" i="6"/>
  <c r="C4" i="6"/>
  <c r="B4" i="6"/>
  <c r="A22" i="1"/>
  <c r="A35" i="1"/>
  <c r="E2" i="1"/>
  <c r="D2" i="1"/>
  <c r="F2" i="1"/>
  <c r="AD2" i="1"/>
  <c r="E3" i="1"/>
  <c r="D3" i="1"/>
  <c r="F3" i="1"/>
  <c r="E4" i="1"/>
  <c r="D4" i="1"/>
  <c r="F4" i="1"/>
  <c r="E5" i="1"/>
  <c r="D5" i="1"/>
  <c r="F5" i="1"/>
  <c r="E6" i="1"/>
  <c r="D6" i="1"/>
  <c r="F6" i="1"/>
  <c r="E7" i="1"/>
  <c r="D7" i="1"/>
  <c r="F7" i="1"/>
  <c r="E8" i="1"/>
  <c r="D8" i="1"/>
  <c r="F8" i="1"/>
  <c r="E9" i="1"/>
  <c r="D9" i="1"/>
  <c r="F9" i="1"/>
  <c r="E10" i="1"/>
  <c r="D10" i="1"/>
  <c r="F10" i="1"/>
  <c r="E11" i="1"/>
  <c r="D11" i="1"/>
  <c r="F11" i="1"/>
  <c r="E12" i="1"/>
  <c r="D12" i="1"/>
  <c r="F12" i="1"/>
  <c r="E13" i="1"/>
  <c r="D13" i="1"/>
  <c r="F13" i="1"/>
  <c r="E14" i="1"/>
  <c r="D14" i="1"/>
  <c r="F14" i="1"/>
  <c r="E15" i="1"/>
  <c r="D15" i="1"/>
  <c r="F15" i="1"/>
  <c r="E16" i="1"/>
  <c r="D16" i="1"/>
  <c r="F16" i="1"/>
  <c r="E17" i="1"/>
  <c r="D17" i="1"/>
  <c r="F17" i="1"/>
  <c r="E18" i="1"/>
  <c r="D18" i="1"/>
  <c r="F18" i="1"/>
  <c r="E19" i="1"/>
  <c r="D19" i="1"/>
  <c r="F19" i="1"/>
  <c r="E20" i="1"/>
  <c r="D20" i="1"/>
  <c r="F20" i="1"/>
  <c r="E21" i="1"/>
  <c r="D21" i="1"/>
  <c r="F21" i="1"/>
  <c r="E22" i="1"/>
  <c r="D22" i="1"/>
  <c r="F22" i="1"/>
  <c r="S22" i="1"/>
  <c r="E23" i="1"/>
  <c r="D23" i="1"/>
  <c r="F23" i="1"/>
  <c r="E24" i="1"/>
  <c r="D24" i="1"/>
  <c r="F24" i="1"/>
  <c r="E25" i="1"/>
  <c r="D25" i="1"/>
  <c r="F25" i="1"/>
  <c r="E26" i="1"/>
  <c r="D26" i="1"/>
  <c r="F26" i="1"/>
  <c r="E27" i="1"/>
  <c r="D27" i="1"/>
  <c r="F27" i="1"/>
  <c r="E28" i="1"/>
  <c r="D28" i="1"/>
  <c r="F28" i="1"/>
  <c r="E29" i="1"/>
  <c r="D29" i="1"/>
  <c r="F29" i="1"/>
  <c r="E30" i="1"/>
  <c r="D30" i="1"/>
  <c r="F30" i="1"/>
  <c r="E31" i="1"/>
  <c r="D31" i="1"/>
  <c r="F31" i="1"/>
  <c r="E32" i="1"/>
  <c r="D32" i="1"/>
  <c r="F32" i="1"/>
  <c r="E33" i="1"/>
  <c r="D33" i="1"/>
  <c r="F33" i="1"/>
  <c r="E34" i="1"/>
  <c r="D34" i="1"/>
  <c r="F34" i="1"/>
  <c r="E35" i="1"/>
  <c r="D35" i="1"/>
  <c r="F35" i="1"/>
  <c r="E36" i="1"/>
  <c r="D36" i="1"/>
  <c r="F36" i="1"/>
  <c r="S36" i="1"/>
  <c r="E37" i="1"/>
  <c r="D37" i="1"/>
  <c r="F37" i="1"/>
  <c r="E38" i="1"/>
  <c r="D38" i="1"/>
  <c r="F38" i="1"/>
  <c r="E39" i="1"/>
  <c r="D39" i="1"/>
  <c r="F39" i="1"/>
  <c r="E40" i="1"/>
  <c r="D40" i="1"/>
  <c r="F40" i="1"/>
  <c r="E41" i="1"/>
  <c r="D41" i="1"/>
  <c r="F41" i="1"/>
  <c r="E42" i="1"/>
  <c r="D42" i="1"/>
  <c r="F42" i="1"/>
  <c r="S42" i="1"/>
  <c r="E43" i="1"/>
  <c r="D43" i="1"/>
  <c r="F43" i="1"/>
  <c r="E44" i="1"/>
  <c r="D44" i="1"/>
  <c r="F44" i="1"/>
  <c r="E45" i="1"/>
  <c r="D45" i="1"/>
  <c r="F45" i="1"/>
  <c r="E46" i="1"/>
  <c r="D46" i="1"/>
  <c r="F46" i="1"/>
  <c r="E47" i="1"/>
  <c r="D47" i="1"/>
  <c r="F47" i="1"/>
  <c r="E48" i="1"/>
  <c r="D48" i="1"/>
  <c r="F48" i="1"/>
  <c r="E49" i="1"/>
  <c r="D49" i="1"/>
  <c r="F49" i="1"/>
  <c r="E50" i="1"/>
  <c r="D50" i="1"/>
  <c r="F50" i="1"/>
  <c r="E51" i="1"/>
  <c r="D51" i="1"/>
  <c r="F51" i="1"/>
  <c r="E52" i="1"/>
  <c r="D52" i="1"/>
  <c r="F52" i="1"/>
  <c r="E53" i="1"/>
  <c r="D53" i="1"/>
  <c r="F53" i="1"/>
  <c r="E54" i="1"/>
  <c r="D54" i="1"/>
  <c r="F54" i="1"/>
  <c r="E55" i="1"/>
  <c r="D55" i="1"/>
  <c r="F55" i="1"/>
  <c r="E56" i="1"/>
  <c r="D56" i="1"/>
  <c r="F56" i="1"/>
  <c r="S56" i="1"/>
  <c r="E57" i="1"/>
  <c r="D57" i="1"/>
  <c r="F57" i="1"/>
  <c r="E58" i="1"/>
  <c r="D58" i="1"/>
  <c r="F58" i="1"/>
  <c r="E59" i="1"/>
  <c r="D59" i="1"/>
  <c r="F59" i="1"/>
  <c r="E60" i="1"/>
  <c r="D60" i="1"/>
  <c r="F60" i="1"/>
  <c r="E61" i="1"/>
  <c r="D61" i="1"/>
  <c r="F61" i="1"/>
  <c r="E62" i="1"/>
  <c r="D62" i="1"/>
  <c r="F62" i="1"/>
  <c r="S62" i="1"/>
  <c r="A42" i="1"/>
  <c r="A62" i="1"/>
  <c r="A3" i="6"/>
  <c r="B3" i="6"/>
  <c r="I3" i="6"/>
  <c r="H3" i="6"/>
  <c r="C1" i="5"/>
  <c r="A1" i="5"/>
  <c r="G16" i="2"/>
  <c r="A16" i="2"/>
  <c r="A17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36" i="1"/>
  <c r="H41" i="1"/>
  <c r="H40" i="1"/>
  <c r="H39" i="1"/>
  <c r="H38" i="1"/>
  <c r="H37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16" i="2"/>
  <c r="E16" i="2"/>
  <c r="D16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3" i="5"/>
  <c r="B3" i="5"/>
  <c r="H2" i="2"/>
  <c r="W3" i="6"/>
  <c r="V3" i="6"/>
  <c r="U3" i="6"/>
  <c r="T3" i="6"/>
  <c r="S3" i="6"/>
  <c r="B2" i="2"/>
  <c r="E2" i="2"/>
  <c r="D2" i="2"/>
  <c r="F3" i="5"/>
  <c r="E3" i="5"/>
  <c r="D3" i="5"/>
  <c r="C3" i="5"/>
  <c r="C3" i="6"/>
  <c r="D3" i="6"/>
  <c r="E3" i="6"/>
  <c r="F3" i="6"/>
  <c r="J3" i="6"/>
  <c r="K3" i="6"/>
  <c r="L3" i="6"/>
  <c r="M3" i="6"/>
  <c r="N3" i="6"/>
  <c r="O3" i="6"/>
  <c r="P3" i="6"/>
  <c r="Q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<sst xmlns="http://schemas.openxmlformats.org/spreadsheetml/2006/main" count="76" uniqueCount="55">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</sst>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</borders>
  <cellStyleXfs count="964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10" fillId="0" borderId="7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" fillId="6" borderId="0" xfId="11" applyFont="1" applyFill="1"/>
    <xf numFmtId="0" fontId="3" fillId="7" borderId="1" xfId="0" applyFont="1" applyFill="1" applyBorder="1" applyAlignment="1">
      <alignment horizontal="center" vertical="center"/>
    </xf>
    <xf numFmtId="177" fontId="10" fillId="0" borderId="12" xfId="0" applyNumberFormat="1" applyFont="1" applyBorder="1" applyAlignment="1">
      <alignment vertical="center"/>
    </xf>
    <xf numFmtId="0" fontId="5" fillId="13" borderId="3" xfId="0" applyFont="1" applyFill="1" applyBorder="1" applyAlignment="1">
      <alignment vertical="center"/>
    </xf>
    <xf numFmtId="0" fontId="3" fillId="14" borderId="6" xfId="0" applyFont="1" applyFill="1" applyBorder="1" applyAlignment="1">
      <alignment vertical="center"/>
    </xf>
  </cellXfs>
  <cellStyles count="964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J11" sqref="J11"/>
    </sheetView>
  </sheetViews>
  <sheetFormatPr baseColWidth="12" defaultColWidth="13" defaultRowHeight="21" customHeight="1" outlineLevelCol="1" x14ac:dyDescent="0.15"/>
  <cols>
    <col min="1" max="1" width="8.83203125" style="30" bestFit="1" customWidth="1"/>
    <col min="2" max="2" width="5" style="30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30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22" t="s">
        <v>31</v>
      </c>
      <c r="B1" s="22" t="s">
        <v>38</v>
      </c>
      <c r="C1" s="1" t="s">
        <v>0</v>
      </c>
      <c r="D1" s="2" t="s">
        <v>18</v>
      </c>
      <c r="E1" s="21" t="s">
        <v>35</v>
      </c>
      <c r="F1" s="1" t="s">
        <v>1</v>
      </c>
      <c r="G1" s="33" t="s">
        <v>34</v>
      </c>
      <c r="H1" s="21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2" t="str">
        <f t="shared" ref="A2:A16" ca="1" si="0">G2&amp;"-"&amp;I2</f>
        <v>20002_1-1</v>
      </c>
      <c r="B2" s="22" t="str">
        <f ca="1">IF(COUNTIF(enemy_habitats_drop_1_2!$H:$H,A2),"OK","NG")</f>
        <v>OK</v>
      </c>
      <c r="C2" s="9">
        <v>20002</v>
      </c>
      <c r="D2" s="13" t="str">
        <f ca="1">VLOOKUP($C2,OFFSET([1]quests!$A$1,0,0,COUNTA([1]quests!$A:$A),MATCH(D$1,[1]quests!$1:$1,0)-MATCH($C$1,[1]quests!$1:$1,0)+1),MATCH(D$1,[1]quests!$1:$1,0)-MATCH($C$1,[1]quests!$1:$1,0)+1,FALSE)</f>
        <v>孤高の一角獣</v>
      </c>
      <c r="E2" s="29" t="str">
        <f ca="1">VLOOKUP($C2,OFFSET([1]quests!$A$1,0,0,COUNTA([1]quests!$A:$A),MATCH(E$1,[1]quests!$1:$1,0)-MATCH($C$1,[1]quests!$1:$1,0)+1),MATCH(E$1,[1]quests!$1:$1,0)-MATCH($C$1,[1]quests!$1:$1,0)+1,FALSE)</f>
        <v>ドロップイベント1-2</v>
      </c>
      <c r="F2" s="32">
        <v>1</v>
      </c>
      <c r="G2" s="33" t="str">
        <f t="shared" ref="G2:G16" ca="1" si="1">C2&amp;"_"&amp;F2</f>
        <v>20002_1</v>
      </c>
      <c r="H2" s="21" t="str">
        <f ca="1">VLOOKUP($G2,OFFSET([1]stages!$A$1,0,0,COUNTA([1]stages!$A:$A),MATCH(H$1,[1]stages!$2:$2,0)-MATCH($G$1,[1]stages!$2:$2,0)+1),MATCH(H$1,[1]stages!$2:$2,0)-MATCH($G$1,[1]stages!$2:$2,0)+1,FALSE)</f>
        <v>【初級】孤高の一角獣</v>
      </c>
      <c r="I2" s="32">
        <v>1</v>
      </c>
      <c r="J2" s="14">
        <v>30</v>
      </c>
      <c r="K2" s="14">
        <v>30</v>
      </c>
    </row>
    <row r="3" spans="1:11" ht="21" customHeight="1" x14ac:dyDescent="0.15">
      <c r="A3" s="22" t="str">
        <f t="shared" ca="1" si="0"/>
        <v>20002_1-2</v>
      </c>
      <c r="B3" s="22" t="str">
        <f ca="1">IF(COUNTIF(enemy_habitats_drop_1_2!$H:$H,A3),"OK","NG")</f>
        <v>OK</v>
      </c>
      <c r="C3" s="9">
        <v>20002</v>
      </c>
      <c r="D3" s="13" t="str">
        <f ca="1">VLOOKUP($C3,OFFSET([1]quests!$A$1,0,0,COUNTA([1]quests!$A:$A),MATCH(D$1,[1]quests!$1:$1,0)-MATCH($C$1,[1]quests!$1:$1,0)+1),MATCH(D$1,[1]quests!$1:$1,0)-MATCH($C$1,[1]quests!$1:$1,0)+1,FALSE)</f>
        <v>孤高の一角獣</v>
      </c>
      <c r="E3" s="29" t="str">
        <f ca="1">VLOOKUP($C3,OFFSET([1]quests!$A$1,0,0,COUNTA([1]quests!$A:$A),MATCH(E$1,[1]quests!$1:$1,0)-MATCH($C$1,[1]quests!$1:$1,0)+1),MATCH(E$1,[1]quests!$1:$1,0)-MATCH($C$1,[1]quests!$1:$1,0)+1,FALSE)</f>
        <v>ドロップイベント1-2</v>
      </c>
      <c r="F3" s="32">
        <v>1</v>
      </c>
      <c r="G3" s="33" t="str">
        <f t="shared" ca="1" si="1"/>
        <v>20002_1</v>
      </c>
      <c r="H3" s="21" t="str">
        <f ca="1">VLOOKUP($G3,OFFSET([1]stages!$A$1,0,0,COUNTA([1]stages!$A:$A),MATCH(H$1,[1]stages!$2:$2,0)-MATCH($G$1,[1]stages!$2:$2,0)+1),MATCH(H$1,[1]stages!$2:$2,0)-MATCH($G$1,[1]stages!$2:$2,0)+1,FALSE)</f>
        <v>【初級】孤高の一角獣</v>
      </c>
      <c r="I3" s="32">
        <v>2</v>
      </c>
      <c r="J3" s="14">
        <v>45</v>
      </c>
      <c r="K3" s="14">
        <v>45</v>
      </c>
    </row>
    <row r="4" spans="1:11" ht="21" customHeight="1" x14ac:dyDescent="0.15">
      <c r="A4" s="22" t="str">
        <f t="shared" ca="1" si="0"/>
        <v>20002_1-3</v>
      </c>
      <c r="B4" s="22" t="str">
        <f ca="1">IF(COUNTIF(enemy_habitats_drop_1_2!$H:$H,A4),"OK","NG")</f>
        <v>OK</v>
      </c>
      <c r="C4" s="9">
        <v>20002</v>
      </c>
      <c r="D4" s="13" t="str">
        <f ca="1">VLOOKUP($C4,OFFSET([1]quests!$A$1,0,0,COUNTA([1]quests!$A:$A),MATCH(D$1,[1]quests!$1:$1,0)-MATCH($C$1,[1]quests!$1:$1,0)+1),MATCH(D$1,[1]quests!$1:$1,0)-MATCH($C$1,[1]quests!$1:$1,0)+1,FALSE)</f>
        <v>孤高の一角獣</v>
      </c>
      <c r="E4" s="29" t="str">
        <f ca="1">VLOOKUP($C4,OFFSET([1]quests!$A$1,0,0,COUNTA([1]quests!$A:$A),MATCH(E$1,[1]quests!$1:$1,0)-MATCH($C$1,[1]quests!$1:$1,0)+1),MATCH(E$1,[1]quests!$1:$1,0)-MATCH($C$1,[1]quests!$1:$1,0)+1,FALSE)</f>
        <v>ドロップイベント1-2</v>
      </c>
      <c r="F4" s="32">
        <v>1</v>
      </c>
      <c r="G4" s="33" t="str">
        <f t="shared" ca="1" si="1"/>
        <v>20002_1</v>
      </c>
      <c r="H4" s="21" t="str">
        <f ca="1">VLOOKUP($G4,OFFSET([1]stages!$A$1,0,0,COUNTA([1]stages!$A:$A),MATCH(H$1,[1]stages!$2:$2,0)-MATCH($G$1,[1]stages!$2:$2,0)+1),MATCH(H$1,[1]stages!$2:$2,0)-MATCH($G$1,[1]stages!$2:$2,0)+1,FALSE)</f>
        <v>【初級】孤高の一角獣</v>
      </c>
      <c r="I4" s="32">
        <v>3</v>
      </c>
      <c r="J4" s="14">
        <v>45</v>
      </c>
      <c r="K4" s="14">
        <v>45</v>
      </c>
    </row>
    <row r="5" spans="1:11" ht="21" customHeight="1" x14ac:dyDescent="0.15">
      <c r="A5" s="22" t="str">
        <f t="shared" ca="1" si="0"/>
        <v>20002_1-4</v>
      </c>
      <c r="B5" s="22" t="str">
        <f ca="1">IF(COUNTIF(enemy_habitats_drop_1_2!$H:$H,A5),"OK","NG")</f>
        <v>OK</v>
      </c>
      <c r="C5" s="9">
        <v>20002</v>
      </c>
      <c r="D5" s="13" t="str">
        <f ca="1">VLOOKUP($C5,OFFSET([1]quests!$A$1,0,0,COUNTA([1]quests!$A:$A),MATCH(D$1,[1]quests!$1:$1,0)-MATCH($C$1,[1]quests!$1:$1,0)+1),MATCH(D$1,[1]quests!$1:$1,0)-MATCH($C$1,[1]quests!$1:$1,0)+1,FALSE)</f>
        <v>孤高の一角獣</v>
      </c>
      <c r="E5" s="29" t="str">
        <f ca="1">VLOOKUP($C5,OFFSET([1]quests!$A$1,0,0,COUNTA([1]quests!$A:$A),MATCH(E$1,[1]quests!$1:$1,0)-MATCH($C$1,[1]quests!$1:$1,0)+1),MATCH(E$1,[1]quests!$1:$1,0)-MATCH($C$1,[1]quests!$1:$1,0)+1,FALSE)</f>
        <v>ドロップイベント1-2</v>
      </c>
      <c r="F5" s="32">
        <v>1</v>
      </c>
      <c r="G5" s="33" t="str">
        <f t="shared" ca="1" si="1"/>
        <v>20002_1</v>
      </c>
      <c r="H5" s="21" t="str">
        <f ca="1">VLOOKUP($G5,OFFSET([1]stages!$A$1,0,0,COUNTA([1]stages!$A:$A),MATCH(H$1,[1]stages!$2:$2,0)-MATCH($G$1,[1]stages!$2:$2,0)+1),MATCH(H$1,[1]stages!$2:$2,0)-MATCH($G$1,[1]stages!$2:$2,0)+1,FALSE)</f>
        <v>【初級】孤高の一角獣</v>
      </c>
      <c r="I5" s="32">
        <v>4</v>
      </c>
      <c r="J5" s="14">
        <v>30</v>
      </c>
      <c r="K5" s="14">
        <v>45</v>
      </c>
    </row>
    <row r="6" spans="1:11" ht="21" customHeight="1" x14ac:dyDescent="0.15">
      <c r="A6" s="22" t="str">
        <f t="shared" ca="1" si="0"/>
        <v>20002_1-5</v>
      </c>
      <c r="B6" s="22" t="str">
        <f ca="1">IF(COUNTIF(enemy_habitats_drop_1_2!$H:$H,A6),"OK","NG")</f>
        <v>OK</v>
      </c>
      <c r="C6" s="9">
        <v>20002</v>
      </c>
      <c r="D6" s="13" t="str">
        <f ca="1">VLOOKUP($C6,OFFSET([1]quests!$A$1,0,0,COUNTA([1]quests!$A:$A),MATCH(D$1,[1]quests!$1:$1,0)-MATCH($C$1,[1]quests!$1:$1,0)+1),MATCH(D$1,[1]quests!$1:$1,0)-MATCH($C$1,[1]quests!$1:$1,0)+1,FALSE)</f>
        <v>孤高の一角獣</v>
      </c>
      <c r="E6" s="29" t="str">
        <f ca="1">VLOOKUP($C6,OFFSET([1]quests!$A$1,0,0,COUNTA([1]quests!$A:$A),MATCH(E$1,[1]quests!$1:$1,0)-MATCH($C$1,[1]quests!$1:$1,0)+1),MATCH(E$1,[1]quests!$1:$1,0)-MATCH($C$1,[1]quests!$1:$1,0)+1,FALSE)</f>
        <v>ドロップイベント1-2</v>
      </c>
      <c r="F6" s="32">
        <v>1</v>
      </c>
      <c r="G6" s="33" t="str">
        <f t="shared" ca="1" si="1"/>
        <v>20002_1</v>
      </c>
      <c r="H6" s="21" t="str">
        <f ca="1">VLOOKUP($G6,OFFSET([1]stages!$A$1,0,0,COUNTA([1]stages!$A:$A),MATCH(H$1,[1]stages!$2:$2,0)-MATCH($G$1,[1]stages!$2:$2,0)+1),MATCH(H$1,[1]stages!$2:$2,0)-MATCH($G$1,[1]stages!$2:$2,0)+1,FALSE)</f>
        <v>【初級】孤高の一角獣</v>
      </c>
      <c r="I6" s="32">
        <v>5</v>
      </c>
      <c r="J6" s="14">
        <v>25</v>
      </c>
      <c r="K6" s="14">
        <v>25</v>
      </c>
    </row>
    <row r="7" spans="1:11" ht="21" customHeight="1" x14ac:dyDescent="0.15">
      <c r="A7" s="22" t="str">
        <f t="shared" ca="1" si="0"/>
        <v>20002_2-1</v>
      </c>
      <c r="B7" s="22" t="str">
        <f ca="1">IF(COUNTIF(enemy_habitats_drop_1_2!$H:$H,A7),"OK","NG")</f>
        <v>OK</v>
      </c>
      <c r="C7" s="9">
        <v>20002</v>
      </c>
      <c r="D7" s="13" t="str">
        <f ca="1">VLOOKUP($C7,OFFSET([1]quests!$A$1,0,0,COUNTA([1]quests!$A:$A),MATCH(D$1,[1]quests!$1:$1,0)-MATCH($C$1,[1]quests!$1:$1,0)+1),MATCH(D$1,[1]quests!$1:$1,0)-MATCH($C$1,[1]quests!$1:$1,0)+1,FALSE)</f>
        <v>孤高の一角獣</v>
      </c>
      <c r="E7" s="29" t="str">
        <f ca="1">VLOOKUP($C7,OFFSET([1]quests!$A$1,0,0,COUNTA([1]quests!$A:$A),MATCH(E$1,[1]quests!$1:$1,0)-MATCH($C$1,[1]quests!$1:$1,0)+1),MATCH(E$1,[1]quests!$1:$1,0)-MATCH($C$1,[1]quests!$1:$1,0)+1,FALSE)</f>
        <v>ドロップイベント1-2</v>
      </c>
      <c r="F7" s="32">
        <v>2</v>
      </c>
      <c r="G7" s="33" t="str">
        <f t="shared" ca="1" si="1"/>
        <v>20002_2</v>
      </c>
      <c r="H7" s="21" t="str">
        <f ca="1">VLOOKUP($G7,OFFSET([1]stages!$A$1,0,0,COUNTA([1]stages!$A:$A),MATCH(H$1,[1]stages!$2:$2,0)-MATCH($G$1,[1]stages!$2:$2,0)+1),MATCH(H$1,[1]stages!$2:$2,0)-MATCH($G$1,[1]stages!$2:$2,0)+1,FALSE)</f>
        <v>【中級】孤高の一角獣</v>
      </c>
      <c r="I7" s="32">
        <v>1</v>
      </c>
      <c r="J7" s="14">
        <v>30</v>
      </c>
      <c r="K7" s="14">
        <v>30</v>
      </c>
    </row>
    <row r="8" spans="1:11" ht="21" customHeight="1" x14ac:dyDescent="0.15">
      <c r="A8" s="22" t="str">
        <f t="shared" ca="1" si="0"/>
        <v>20002_2-2</v>
      </c>
      <c r="B8" s="22" t="str">
        <f ca="1">IF(COUNTIF(enemy_habitats_drop_1_2!$H:$H,A8),"OK","NG")</f>
        <v>OK</v>
      </c>
      <c r="C8" s="9">
        <v>20002</v>
      </c>
      <c r="D8" s="13" t="str">
        <f ca="1">VLOOKUP($C8,OFFSET([1]quests!$A$1,0,0,COUNTA([1]quests!$A:$A),MATCH(D$1,[1]quests!$1:$1,0)-MATCH($C$1,[1]quests!$1:$1,0)+1),MATCH(D$1,[1]quests!$1:$1,0)-MATCH($C$1,[1]quests!$1:$1,0)+1,FALSE)</f>
        <v>孤高の一角獣</v>
      </c>
      <c r="E8" s="29" t="str">
        <f ca="1">VLOOKUP($C8,OFFSET([1]quests!$A$1,0,0,COUNTA([1]quests!$A:$A),MATCH(E$1,[1]quests!$1:$1,0)-MATCH($C$1,[1]quests!$1:$1,0)+1),MATCH(E$1,[1]quests!$1:$1,0)-MATCH($C$1,[1]quests!$1:$1,0)+1,FALSE)</f>
        <v>ドロップイベント1-2</v>
      </c>
      <c r="F8" s="32">
        <v>2</v>
      </c>
      <c r="G8" s="33" t="str">
        <f t="shared" ca="1" si="1"/>
        <v>20002_2</v>
      </c>
      <c r="H8" s="21" t="str">
        <f ca="1">VLOOKUP($G8,OFFSET([1]stages!$A$1,0,0,COUNTA([1]stages!$A:$A),MATCH(H$1,[1]stages!$2:$2,0)-MATCH($G$1,[1]stages!$2:$2,0)+1),MATCH(H$1,[1]stages!$2:$2,0)-MATCH($G$1,[1]stages!$2:$2,0)+1,FALSE)</f>
        <v>【中級】孤高の一角獣</v>
      </c>
      <c r="I8" s="32">
        <v>2</v>
      </c>
      <c r="J8" s="14">
        <v>45</v>
      </c>
      <c r="K8" s="14">
        <v>45</v>
      </c>
    </row>
    <row r="9" spans="1:11" ht="21" customHeight="1" x14ac:dyDescent="0.15">
      <c r="A9" s="22" t="str">
        <f t="shared" ca="1" si="0"/>
        <v>20002_2-3</v>
      </c>
      <c r="B9" s="22" t="str">
        <f ca="1">IF(COUNTIF(enemy_habitats_drop_1_2!$H:$H,A9),"OK","NG")</f>
        <v>OK</v>
      </c>
      <c r="C9" s="9">
        <v>20002</v>
      </c>
      <c r="D9" s="13" t="str">
        <f ca="1">VLOOKUP($C9,OFFSET([1]quests!$A$1,0,0,COUNTA([1]quests!$A:$A),MATCH(D$1,[1]quests!$1:$1,0)-MATCH($C$1,[1]quests!$1:$1,0)+1),MATCH(D$1,[1]quests!$1:$1,0)-MATCH($C$1,[1]quests!$1:$1,0)+1,FALSE)</f>
        <v>孤高の一角獣</v>
      </c>
      <c r="E9" s="29" t="str">
        <f ca="1">VLOOKUP($C9,OFFSET([1]quests!$A$1,0,0,COUNTA([1]quests!$A:$A),MATCH(E$1,[1]quests!$1:$1,0)-MATCH($C$1,[1]quests!$1:$1,0)+1),MATCH(E$1,[1]quests!$1:$1,0)-MATCH($C$1,[1]quests!$1:$1,0)+1,FALSE)</f>
        <v>ドロップイベント1-2</v>
      </c>
      <c r="F9" s="32">
        <v>2</v>
      </c>
      <c r="G9" s="33" t="str">
        <f t="shared" ca="1" si="1"/>
        <v>20002_2</v>
      </c>
      <c r="H9" s="21" t="str">
        <f ca="1">VLOOKUP($G9,OFFSET([1]stages!$A$1,0,0,COUNTA([1]stages!$A:$A),MATCH(H$1,[1]stages!$2:$2,0)-MATCH($G$1,[1]stages!$2:$2,0)+1),MATCH(H$1,[1]stages!$2:$2,0)-MATCH($G$1,[1]stages!$2:$2,0)+1,FALSE)</f>
        <v>【中級】孤高の一角獣</v>
      </c>
      <c r="I9" s="32">
        <v>3</v>
      </c>
      <c r="J9" s="14">
        <v>45</v>
      </c>
      <c r="K9" s="14">
        <v>45</v>
      </c>
    </row>
    <row r="10" spans="1:11" ht="21" customHeight="1" x14ac:dyDescent="0.15">
      <c r="A10" s="22" t="str">
        <f t="shared" ca="1" si="0"/>
        <v>20002_2-4</v>
      </c>
      <c r="B10" s="22" t="str">
        <f ca="1">IF(COUNTIF(enemy_habitats_drop_1_2!$H:$H,A10),"OK","NG")</f>
        <v>OK</v>
      </c>
      <c r="C10" s="9">
        <v>20002</v>
      </c>
      <c r="D10" s="13" t="str">
        <f ca="1">VLOOKUP($C10,OFFSET([1]quests!$A$1,0,0,COUNTA([1]quests!$A:$A),MATCH(D$1,[1]quests!$1:$1,0)-MATCH($C$1,[1]quests!$1:$1,0)+1),MATCH(D$1,[1]quests!$1:$1,0)-MATCH($C$1,[1]quests!$1:$1,0)+1,FALSE)</f>
        <v>孤高の一角獣</v>
      </c>
      <c r="E10" s="29" t="str">
        <f ca="1">VLOOKUP($C10,OFFSET([1]quests!$A$1,0,0,COUNTA([1]quests!$A:$A),MATCH(E$1,[1]quests!$1:$1,0)-MATCH($C$1,[1]quests!$1:$1,0)+1),MATCH(E$1,[1]quests!$1:$1,0)-MATCH($C$1,[1]quests!$1:$1,0)+1,FALSE)</f>
        <v>ドロップイベント1-2</v>
      </c>
      <c r="F10" s="32">
        <v>2</v>
      </c>
      <c r="G10" s="33" t="str">
        <f t="shared" ca="1" si="1"/>
        <v>20002_2</v>
      </c>
      <c r="H10" s="21" t="str">
        <f ca="1">VLOOKUP($G10,OFFSET([1]stages!$A$1,0,0,COUNTA([1]stages!$A:$A),MATCH(H$1,[1]stages!$2:$2,0)-MATCH($G$1,[1]stages!$2:$2,0)+1),MATCH(H$1,[1]stages!$2:$2,0)-MATCH($G$1,[1]stages!$2:$2,0)+1,FALSE)</f>
        <v>【中級】孤高の一角獣</v>
      </c>
      <c r="I10" s="32">
        <v>4</v>
      </c>
      <c r="J10" s="14">
        <v>45</v>
      </c>
      <c r="K10" s="14">
        <v>45</v>
      </c>
    </row>
    <row r="11" spans="1:11" ht="21" customHeight="1" x14ac:dyDescent="0.15">
      <c r="A11" s="22" t="str">
        <f t="shared" ca="1" si="0"/>
        <v>20002_2-5</v>
      </c>
      <c r="B11" s="22" t="str">
        <f ca="1">IF(COUNTIF(enemy_habitats_drop_1_2!$H:$H,A11),"OK","NG")</f>
        <v>OK</v>
      </c>
      <c r="C11" s="9">
        <v>20002</v>
      </c>
      <c r="D11" s="13" t="str">
        <f ca="1">VLOOKUP($C11,OFFSET([1]quests!$A$1,0,0,COUNTA([1]quests!$A:$A),MATCH(D$1,[1]quests!$1:$1,0)-MATCH($C$1,[1]quests!$1:$1,0)+1),MATCH(D$1,[1]quests!$1:$1,0)-MATCH($C$1,[1]quests!$1:$1,0)+1,FALSE)</f>
        <v>孤高の一角獣</v>
      </c>
      <c r="E11" s="29" t="str">
        <f ca="1">VLOOKUP($C11,OFFSET([1]quests!$A$1,0,0,COUNTA([1]quests!$A:$A),MATCH(E$1,[1]quests!$1:$1,0)-MATCH($C$1,[1]quests!$1:$1,0)+1),MATCH(E$1,[1]quests!$1:$1,0)-MATCH($C$1,[1]quests!$1:$1,0)+1,FALSE)</f>
        <v>ドロップイベント1-2</v>
      </c>
      <c r="F11" s="32">
        <v>2</v>
      </c>
      <c r="G11" s="33" t="str">
        <f t="shared" ca="1" si="1"/>
        <v>20002_2</v>
      </c>
      <c r="H11" s="21" t="str">
        <f ca="1">VLOOKUP($G11,OFFSET([1]stages!$A$1,0,0,COUNTA([1]stages!$A:$A),MATCH(H$1,[1]stages!$2:$2,0)-MATCH($G$1,[1]stages!$2:$2,0)+1),MATCH(H$1,[1]stages!$2:$2,0)-MATCH($G$1,[1]stages!$2:$2,0)+1,FALSE)</f>
        <v>【中級】孤高の一角獣</v>
      </c>
      <c r="I11" s="32">
        <v>5</v>
      </c>
      <c r="J11" s="14">
        <v>25</v>
      </c>
      <c r="K11" s="14">
        <v>45</v>
      </c>
    </row>
    <row r="12" spans="1:11" ht="21" customHeight="1" x14ac:dyDescent="0.15">
      <c r="A12" s="22" t="str">
        <f t="shared" ca="1" si="0"/>
        <v>20002_3-1</v>
      </c>
      <c r="B12" s="22" t="str">
        <f ca="1">IF(COUNTIF(enemy_habitats_drop_1_2!$H:$H,A12),"OK","NG")</f>
        <v>OK</v>
      </c>
      <c r="C12" s="9">
        <v>20002</v>
      </c>
      <c r="D12" s="13" t="str">
        <f ca="1">VLOOKUP($C12,OFFSET([1]quests!$A$1,0,0,COUNTA([1]quests!$A:$A),MATCH(D$1,[1]quests!$1:$1,0)-MATCH($C$1,[1]quests!$1:$1,0)+1),MATCH(D$1,[1]quests!$1:$1,0)-MATCH($C$1,[1]quests!$1:$1,0)+1,FALSE)</f>
        <v>孤高の一角獣</v>
      </c>
      <c r="E12" s="29" t="str">
        <f ca="1">VLOOKUP($C12,OFFSET([1]quests!$A$1,0,0,COUNTA([1]quests!$A:$A),MATCH(E$1,[1]quests!$1:$1,0)-MATCH($C$1,[1]quests!$1:$1,0)+1),MATCH(E$1,[1]quests!$1:$1,0)-MATCH($C$1,[1]quests!$1:$1,0)+1,FALSE)</f>
        <v>ドロップイベント1-2</v>
      </c>
      <c r="F12" s="32">
        <v>3</v>
      </c>
      <c r="G12" s="33" t="str">
        <f t="shared" ca="1" si="1"/>
        <v>20002_3</v>
      </c>
      <c r="H12" s="21" t="str">
        <f ca="1">VLOOKUP($G12,OFFSET([1]stages!$A$1,0,0,COUNTA([1]stages!$A:$A),MATCH(H$1,[1]stages!$2:$2,0)-MATCH($G$1,[1]stages!$2:$2,0)+1),MATCH(H$1,[1]stages!$2:$2,0)-MATCH($G$1,[1]stages!$2:$2,0)+1,FALSE)</f>
        <v>【上級】孤高の一角獣</v>
      </c>
      <c r="I12" s="32">
        <v>1</v>
      </c>
      <c r="J12" s="14">
        <v>30</v>
      </c>
      <c r="K12" s="14">
        <v>30</v>
      </c>
    </row>
    <row r="13" spans="1:11" ht="21" customHeight="1" x14ac:dyDescent="0.15">
      <c r="A13" s="22" t="str">
        <f t="shared" ca="1" si="0"/>
        <v>20002_3-2</v>
      </c>
      <c r="B13" s="22" t="str">
        <f ca="1">IF(COUNTIF(enemy_habitats_drop_1_2!$H:$H,A13),"OK","NG")</f>
        <v>OK</v>
      </c>
      <c r="C13" s="9">
        <v>20002</v>
      </c>
      <c r="D13" s="13" t="str">
        <f ca="1">VLOOKUP($C13,OFFSET([1]quests!$A$1,0,0,COUNTA([1]quests!$A:$A),MATCH(D$1,[1]quests!$1:$1,0)-MATCH($C$1,[1]quests!$1:$1,0)+1),MATCH(D$1,[1]quests!$1:$1,0)-MATCH($C$1,[1]quests!$1:$1,0)+1,FALSE)</f>
        <v>孤高の一角獣</v>
      </c>
      <c r="E13" s="29" t="str">
        <f ca="1">VLOOKUP($C13,OFFSET([1]quests!$A$1,0,0,COUNTA([1]quests!$A:$A),MATCH(E$1,[1]quests!$1:$1,0)-MATCH($C$1,[1]quests!$1:$1,0)+1),MATCH(E$1,[1]quests!$1:$1,0)-MATCH($C$1,[1]quests!$1:$1,0)+1,FALSE)</f>
        <v>ドロップイベント1-2</v>
      </c>
      <c r="F13" s="32">
        <v>3</v>
      </c>
      <c r="G13" s="33" t="str">
        <f t="shared" ca="1" si="1"/>
        <v>20002_3</v>
      </c>
      <c r="H13" s="21" t="str">
        <f ca="1">VLOOKUP($G13,OFFSET([1]stages!$A$1,0,0,COUNTA([1]stages!$A:$A),MATCH(H$1,[1]stages!$2:$2,0)-MATCH($G$1,[1]stages!$2:$2,0)+1),MATCH(H$1,[1]stages!$2:$2,0)-MATCH($G$1,[1]stages!$2:$2,0)+1,FALSE)</f>
        <v>【上級】孤高の一角獣</v>
      </c>
      <c r="I13" s="32">
        <v>2</v>
      </c>
      <c r="J13" s="14">
        <v>45</v>
      </c>
      <c r="K13" s="14">
        <v>45</v>
      </c>
    </row>
    <row r="14" spans="1:11" ht="21" customHeight="1" x14ac:dyDescent="0.15">
      <c r="A14" s="22" t="str">
        <f t="shared" ca="1" si="0"/>
        <v>20002_3-3</v>
      </c>
      <c r="B14" s="22" t="str">
        <f ca="1">IF(COUNTIF(enemy_habitats_drop_1_2!$H:$H,A14),"OK","NG")</f>
        <v>OK</v>
      </c>
      <c r="C14" s="9">
        <v>20002</v>
      </c>
      <c r="D14" s="13" t="str">
        <f ca="1">VLOOKUP($C14,OFFSET([1]quests!$A$1,0,0,COUNTA([1]quests!$A:$A),MATCH(D$1,[1]quests!$1:$1,0)-MATCH($C$1,[1]quests!$1:$1,0)+1),MATCH(D$1,[1]quests!$1:$1,0)-MATCH($C$1,[1]quests!$1:$1,0)+1,FALSE)</f>
        <v>孤高の一角獣</v>
      </c>
      <c r="E14" s="29" t="str">
        <f ca="1">VLOOKUP($C14,OFFSET([1]quests!$A$1,0,0,COUNTA([1]quests!$A:$A),MATCH(E$1,[1]quests!$1:$1,0)-MATCH($C$1,[1]quests!$1:$1,0)+1),MATCH(E$1,[1]quests!$1:$1,0)-MATCH($C$1,[1]quests!$1:$1,0)+1,FALSE)</f>
        <v>ドロップイベント1-2</v>
      </c>
      <c r="F14" s="32">
        <v>3</v>
      </c>
      <c r="G14" s="33" t="str">
        <f t="shared" ca="1" si="1"/>
        <v>20002_3</v>
      </c>
      <c r="H14" s="21" t="str">
        <f ca="1">VLOOKUP($G14,OFFSET([1]stages!$A$1,0,0,COUNTA([1]stages!$A:$A),MATCH(H$1,[1]stages!$2:$2,0)-MATCH($G$1,[1]stages!$2:$2,0)+1),MATCH(H$1,[1]stages!$2:$2,0)-MATCH($G$1,[1]stages!$2:$2,0)+1,FALSE)</f>
        <v>【上級】孤高の一角獣</v>
      </c>
      <c r="I14" s="32">
        <v>3</v>
      </c>
      <c r="J14" s="14">
        <v>45</v>
      </c>
      <c r="K14" s="14">
        <v>45</v>
      </c>
    </row>
    <row r="15" spans="1:11" ht="21" customHeight="1" x14ac:dyDescent="0.15">
      <c r="A15" s="22" t="str">
        <f t="shared" ca="1" si="0"/>
        <v>20002_3-4</v>
      </c>
      <c r="B15" s="22" t="str">
        <f ca="1">IF(COUNTIF(enemy_habitats_drop_1_2!$H:$H,A15),"OK","NG")</f>
        <v>OK</v>
      </c>
      <c r="C15" s="9">
        <v>20002</v>
      </c>
      <c r="D15" s="13" t="str">
        <f ca="1">VLOOKUP($C15,OFFSET([1]quests!$A$1,0,0,COUNTA([1]quests!$A:$A),MATCH(D$1,[1]quests!$1:$1,0)-MATCH($C$1,[1]quests!$1:$1,0)+1),MATCH(D$1,[1]quests!$1:$1,0)-MATCH($C$1,[1]quests!$1:$1,0)+1,FALSE)</f>
        <v>孤高の一角獣</v>
      </c>
      <c r="E15" s="29" t="str">
        <f ca="1">VLOOKUP($C15,OFFSET([1]quests!$A$1,0,0,COUNTA([1]quests!$A:$A),MATCH(E$1,[1]quests!$1:$1,0)-MATCH($C$1,[1]quests!$1:$1,0)+1),MATCH(E$1,[1]quests!$1:$1,0)-MATCH($C$1,[1]quests!$1:$1,0)+1,FALSE)</f>
        <v>ドロップイベント1-2</v>
      </c>
      <c r="F15" s="32">
        <v>3</v>
      </c>
      <c r="G15" s="33" t="str">
        <f t="shared" ca="1" si="1"/>
        <v>20002_3</v>
      </c>
      <c r="H15" s="21" t="str">
        <f ca="1">VLOOKUP($G15,OFFSET([1]stages!$A$1,0,0,COUNTA([1]stages!$A:$A),MATCH(H$1,[1]stages!$2:$2,0)-MATCH($G$1,[1]stages!$2:$2,0)+1),MATCH(H$1,[1]stages!$2:$2,0)-MATCH($G$1,[1]stages!$2:$2,0)+1,FALSE)</f>
        <v>【上級】孤高の一角獣</v>
      </c>
      <c r="I15" s="32">
        <v>4</v>
      </c>
      <c r="J15" s="14">
        <v>45</v>
      </c>
      <c r="K15" s="14">
        <v>45</v>
      </c>
    </row>
    <row r="16" spans="1:11" ht="21" customHeight="1" x14ac:dyDescent="0.15">
      <c r="A16" s="22" t="str">
        <f t="shared" ca="1" si="0"/>
        <v>20002_3-5</v>
      </c>
      <c r="B16" s="22" t="str">
        <f ca="1">IF(COUNTIF(enemy_habitats_drop_1_2!$H:$H,A16),"OK","NG")</f>
        <v>OK</v>
      </c>
      <c r="C16" s="9">
        <v>20002</v>
      </c>
      <c r="D16" s="13" t="str">
        <f ca="1">VLOOKUP($C16,OFFSET([1]quests!$A$1,0,0,COUNTA([1]quests!$A:$A),MATCH(D$1,[1]quests!$1:$1,0)-MATCH($C$1,[1]quests!$1:$1,0)+1),MATCH(D$1,[1]quests!$1:$1,0)-MATCH($C$1,[1]quests!$1:$1,0)+1,FALSE)</f>
        <v>孤高の一角獣</v>
      </c>
      <c r="E16" s="29" t="str">
        <f ca="1">VLOOKUP($C16,OFFSET([1]quests!$A$1,0,0,COUNTA([1]quests!$A:$A),MATCH(E$1,[1]quests!$1:$1,0)-MATCH($C$1,[1]quests!$1:$1,0)+1),MATCH(E$1,[1]quests!$1:$1,0)-MATCH($C$1,[1]quests!$1:$1,0)+1,FALSE)</f>
        <v>ドロップイベント1-2</v>
      </c>
      <c r="F16" s="32">
        <v>3</v>
      </c>
      <c r="G16" s="33" t="str">
        <f t="shared" ca="1" si="1"/>
        <v>20002_3</v>
      </c>
      <c r="H16" s="21" t="str">
        <f ca="1">VLOOKUP($G16,OFFSET([1]stages!$A$1,0,0,COUNTA([1]stages!$A:$A),MATCH(H$1,[1]stages!$2:$2,0)-MATCH($G$1,[1]stages!$2:$2,0)+1),MATCH(H$1,[1]stages!$2:$2,0)-MATCH($G$1,[1]stages!$2:$2,0)+1,FALSE)</f>
        <v>【上級】孤高の一角獣</v>
      </c>
      <c r="I16" s="32">
        <v>5</v>
      </c>
      <c r="J16" s="14">
        <v>25</v>
      </c>
      <c r="K16" s="14">
        <v>25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2"/>
  <sheetViews>
    <sheetView showGridLines="0" zoomScale="75" zoomScaleNormal="75" zoomScalePageLayoutView="75" workbookViewId="0">
      <pane xSplit="14" ySplit="1" topLeftCell="AC33" activePane="bottomRight" state="frozen"/>
      <selection pane="topRight" activeCell="N1" sqref="N1"/>
      <selection pane="bottomLeft" activeCell="A2" sqref="A2"/>
      <selection pane="bottomRight" activeCell="AE43" sqref="AE43"/>
    </sheetView>
  </sheetViews>
  <sheetFormatPr baseColWidth="12" defaultColWidth="13" defaultRowHeight="21" customHeight="1" outlineLevelCol="1" x14ac:dyDescent="0.15"/>
  <cols>
    <col min="1" max="1" width="18.33203125" style="30" bestFit="1" customWidth="1"/>
    <col min="2" max="2" width="12.5" style="4" bestFit="1" customWidth="1"/>
    <col min="3" max="3" width="12.33203125" style="4" bestFit="1" customWidth="1"/>
    <col min="4" max="4" width="14.6640625" style="16" customWidth="1" outlineLevel="1"/>
    <col min="5" max="6" width="15.6640625" style="4" customWidth="1" outlineLevel="1"/>
    <col min="7" max="7" width="11.83203125" style="4" bestFit="1" customWidth="1"/>
    <col min="8" max="8" width="11.83203125" style="4" customWidth="1" outlineLevel="1"/>
    <col min="9" max="9" width="15.33203125" style="11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2.83203125" style="4" bestFit="1" customWidth="1"/>
    <col min="25" max="25" width="14.83203125" style="4" bestFit="1" customWidth="1"/>
    <col min="26" max="26" width="17.6640625" style="15" customWidth="1" outlineLevel="1"/>
    <col min="27" max="28" width="13.6640625" style="16" customWidth="1" outlineLevel="1"/>
    <col min="29" max="29" width="16.83203125" style="12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22" t="s">
        <v>29</v>
      </c>
      <c r="B1" s="1" t="s">
        <v>0</v>
      </c>
      <c r="C1" s="1" t="s">
        <v>1</v>
      </c>
      <c r="D1" s="21" t="s">
        <v>28</v>
      </c>
      <c r="E1" s="2" t="s">
        <v>20</v>
      </c>
      <c r="F1" s="2" t="s">
        <v>20</v>
      </c>
      <c r="G1" s="1" t="s">
        <v>19</v>
      </c>
      <c r="H1" s="21" t="s">
        <v>37</v>
      </c>
      <c r="I1" s="1" t="s">
        <v>2</v>
      </c>
      <c r="J1" s="26" t="s">
        <v>21</v>
      </c>
      <c r="K1" s="21" t="s">
        <v>24</v>
      </c>
      <c r="L1" s="21" t="s">
        <v>23</v>
      </c>
      <c r="M1" s="28" t="s">
        <v>26</v>
      </c>
      <c r="N1" s="2" t="s">
        <v>25</v>
      </c>
      <c r="O1" s="1" t="s">
        <v>3</v>
      </c>
      <c r="P1" s="46" t="s">
        <v>49</v>
      </c>
      <c r="Q1" s="46" t="s">
        <v>50</v>
      </c>
      <c r="R1" s="46" t="s">
        <v>51</v>
      </c>
      <c r="S1" s="21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3" t="s">
        <v>16</v>
      </c>
      <c r="AA1" s="23" t="s">
        <v>17</v>
      </c>
      <c r="AB1" s="23" t="s">
        <v>27</v>
      </c>
      <c r="AC1" s="3" t="s">
        <v>10</v>
      </c>
      <c r="AD1" s="1" t="s">
        <v>11</v>
      </c>
      <c r="AE1" s="1" t="s">
        <v>12</v>
      </c>
      <c r="AF1" s="1" t="s">
        <v>40</v>
      </c>
      <c r="AG1" s="1" t="s">
        <v>42</v>
      </c>
      <c r="AH1" s="1" t="s">
        <v>44</v>
      </c>
      <c r="AI1" s="1" t="s">
        <v>46</v>
      </c>
      <c r="AJ1" s="1" t="s">
        <v>48</v>
      </c>
    </row>
    <row r="2" spans="1:36" ht="21" customHeight="1" x14ac:dyDescent="0.15">
      <c r="A2" s="22" t="str">
        <f t="shared" ref="A2:A21" ca="1" si="0">B2&amp;"_"&amp;C2&amp;"-"&amp;G2&amp;"/"&amp;I2&amp;"&lt;lv"&amp;O2&amp;"&gt;s"&amp;X2</f>
        <v>20002_1-1/3&lt;lv7&gt;s2</v>
      </c>
      <c r="B2" s="9">
        <v>20002</v>
      </c>
      <c r="C2" s="32">
        <v>1</v>
      </c>
      <c r="D2" s="2" t="str">
        <f t="shared" ref="D2:D21" si="1">B2&amp;"_"&amp;C2</f>
        <v>20002_1</v>
      </c>
      <c r="E2" s="5" t="str">
        <f ca="1">VLOOKUP($B2,OFFSET([1]quests!$A$1,0,0,COUNTA([1]quests!$A:$A),MATCH(E$1,[1]quests!$1:$1,0)-MATCH($B$1,[1]quests!$1:$1,0)+1),MATCH(E$1,[1]quests!$1:$1,0)-MATCH($B$1,[1]quests!$1:$1,0)+1,FALSE)</f>
        <v>孤高の一角獣</v>
      </c>
      <c r="F2" s="5" t="str">
        <f ca="1">VLOOKUP($D2,OFFSET([1]stages!$A$1,0,0,COUNTA([1]stages!$A:$A),MATCH(F$1,[1]stages!$2:$2,0)-MATCH($D$1,[1]stages!$2:$2,0)+1),MATCH(F$1,[1]stages!$2:$2,0)-MATCH($D$1,[1]stages!$2:$2,0)+1,FALSE)</f>
        <v>【初級】孤高の一角獣</v>
      </c>
      <c r="G2" s="1">
        <v>1</v>
      </c>
      <c r="H2" s="21" t="str">
        <f t="shared" ref="H2:H21" ca="1" si="2">B2&amp;"_"&amp;C2&amp;"-"&amp;G2</f>
        <v>20002_1-1</v>
      </c>
      <c r="I2" s="31">
        <v>3</v>
      </c>
      <c r="J2" s="27" t="str">
        <f ca="1">VLOOKUP($I2,OFFSET([2]enemies!$A$1,0,0,COUNTA([2]enemies!$A:$A),MATCH(J$1,[2]enemies!$1:$1,0)-MATCH($I$1,[2]enemies!$1:$1,0)+1),MATCH(J$1,[2]enemies!$1:$1,0)-MATCH($I$1,[2]enemies!$1:$1,0)+1,FALSE)</f>
        <v>エージェント ジョー</v>
      </c>
      <c r="K2" s="27" t="str">
        <f ca="1">VLOOKUP($I2,OFFSET([2]enemies!$A$1,0,0,COUNTA([2]enemies!$A:$A),MATCH(K$1,[2]enemies!$1:$1,0)-MATCH($I$1,[2]enemies!$1:$1,0)+1),MATCH(K$1,[2]enemies!$1:$1,0)-MATCH($I$1,[2]enemies!$1:$1,0)+1,FALSE)</f>
        <v>green</v>
      </c>
      <c r="L2" s="29" t="str">
        <f ca="1">VLOOKUP(I2,[3]characters!$A:$J,10,FALSE)</f>
        <v>Drop1T</v>
      </c>
      <c r="M2" s="27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7">
        <f ca="1">VLOOKUP($I2,OFFSET([2]enemies!$A$1,0,0,COUNTA([2]enemies!$A:$A),MATCH(N$1,[2]enemies!$1:$1,0)-MATCH($I$1,[2]enemies!$1:$1,0)+1),MATCH(N$1,[2]enemies!$1:$1,0)-MATCH($I$1,[2]enemies!$1:$1,0)+1,FALSE)</f>
        <v>15</v>
      </c>
      <c r="O2" s="6">
        <v>7</v>
      </c>
      <c r="P2" s="47">
        <v>1.8</v>
      </c>
      <c r="Q2" s="47">
        <v>0.9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7">
        <f ca="1">VLOOKUP($I2,OFFSET([2]enemies!$A$1,0,0,COUNTA([2]enemies!$A:$A),MATCH(T$1,[2]enemies!$1:$1,0)-MATCH($I$1,[2]enemies!$1:$1,0)+1),MATCH(T$1,[2]enemies!$1:$1,0)-MATCH($I$1,[2]enemies!$1:$1,0)+1,FALSE)</f>
        <v>0</v>
      </c>
      <c r="U2" s="7">
        <v>0</v>
      </c>
      <c r="V2" s="7">
        <v>100</v>
      </c>
      <c r="W2" s="7">
        <v>0</v>
      </c>
      <c r="X2" s="27">
        <f ca="1">VLOOKUP($I2,OFFSET([2]enemies!$A$1,0,0,COUNTA([2]enemies!$A:$A),MATCH(X$1,[2]enemies!$1:$1,0)-MATCH($I$1,[2]enemies!$1:$1,0)+1),MATCH(X$1,[2]enemies!$1:$1,0)-MATCH($I$1,[2]enemies!$1:$1,0)+1,FALSE)</f>
        <v>2</v>
      </c>
      <c r="Y2" s="8">
        <v>3</v>
      </c>
      <c r="Z2" s="5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2" s="5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5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9">
        <v>2</v>
      </c>
      <c r="AD2" s="34">
        <f t="shared" ref="AD2:AD21" ca="1" si="3">AA2</f>
        <v>1</v>
      </c>
      <c r="AE2" s="10">
        <v>25</v>
      </c>
      <c r="AF2" s="9">
        <v>0</v>
      </c>
      <c r="AG2" s="9">
        <v>0</v>
      </c>
      <c r="AH2" s="9">
        <v>0</v>
      </c>
      <c r="AI2" s="9">
        <v>0</v>
      </c>
      <c r="AJ2" s="9">
        <v>1</v>
      </c>
    </row>
    <row r="3" spans="1:36" ht="21" customHeight="1" x14ac:dyDescent="0.15">
      <c r="A3" s="22" t="str">
        <f t="shared" ca="1" si="0"/>
        <v>20002_1-1/11&lt;lv8&gt;s3</v>
      </c>
      <c r="B3" s="9">
        <v>20002</v>
      </c>
      <c r="C3" s="32">
        <v>1</v>
      </c>
      <c r="D3" s="2" t="str">
        <f t="shared" si="1"/>
        <v>20002_1</v>
      </c>
      <c r="E3" s="5" t="str">
        <f ca="1">VLOOKUP($B3,OFFSET([1]quests!$A$1,0,0,COUNTA([1]quests!$A:$A),MATCH(E$1,[1]quests!$1:$1,0)-MATCH($B$1,[1]quests!$1:$1,0)+1),MATCH(E$1,[1]quests!$1:$1,0)-MATCH($B$1,[1]quests!$1:$1,0)+1,FALSE)</f>
        <v>孤高の一角獣</v>
      </c>
      <c r="F3" s="5" t="str">
        <f ca="1">VLOOKUP($D3,OFFSET([1]stages!$A$1,0,0,COUNTA([1]stages!$A:$A),MATCH(F$1,[1]stages!$2:$2,0)-MATCH($D$1,[1]stages!$2:$2,0)+1),MATCH(F$1,[1]stages!$2:$2,0)-MATCH($D$1,[1]stages!$2:$2,0)+1,FALSE)</f>
        <v>【初級】孤高の一角獣</v>
      </c>
      <c r="G3" s="1">
        <v>1</v>
      </c>
      <c r="H3" s="21" t="str">
        <f t="shared" ca="1" si="2"/>
        <v>20002_1-1</v>
      </c>
      <c r="I3" s="31">
        <v>11</v>
      </c>
      <c r="J3" s="27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7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9" t="str">
        <f ca="1">VLOOKUP(I3,[3]characters!$A:$J,10,FALSE)</f>
        <v>Drop1W</v>
      </c>
      <c r="M3" s="27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7">
        <f ca="1">VLOOKUP($I3,OFFSET([2]enemies!$A$1,0,0,COUNTA([2]enemies!$A:$A),MATCH(N$1,[2]enemies!$1:$1,0)-MATCH($I$1,[2]enemies!$1:$1,0)+1),MATCH(N$1,[2]enemies!$1:$1,0)-MATCH($I$1,[2]enemies!$1:$1,0)+1,FALSE)</f>
        <v>15</v>
      </c>
      <c r="O3" s="6">
        <v>8</v>
      </c>
      <c r="P3" s="47">
        <v>1.8</v>
      </c>
      <c r="Q3" s="47">
        <v>0.9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7">
        <f ca="1">VLOOKUP($I3,OFFSET([2]enemies!$A$1,0,0,COUNTA([2]enemies!$A:$A),MATCH(T$1,[2]enemies!$1:$1,0)-MATCH($I$1,[2]enemies!$1:$1,0)+1),MATCH(T$1,[2]enemies!$1:$1,0)-MATCH($I$1,[2]enemies!$1:$1,0)+1,FALSE)</f>
        <v>0</v>
      </c>
      <c r="U3" s="7">
        <v>0</v>
      </c>
      <c r="V3" s="7">
        <v>100</v>
      </c>
      <c r="W3" s="7">
        <v>0</v>
      </c>
      <c r="X3" s="27">
        <f ca="1">VLOOKUP($I3,OFFSET([2]enemies!$A$1,0,0,COUNTA([2]enemies!$A:$A),MATCH(X$1,[2]enemies!$1:$1,0)-MATCH($I$1,[2]enemies!$1:$1,0)+1),MATCH(X$1,[2]enemies!$1:$1,0)-MATCH($I$1,[2]enemies!$1:$1,0)+1,FALSE)</f>
        <v>3</v>
      </c>
      <c r="Y3" s="8">
        <v>11</v>
      </c>
      <c r="Z3" s="5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5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5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9">
        <v>1</v>
      </c>
      <c r="AD3" s="34">
        <f t="shared" ca="1" si="3"/>
        <v>1</v>
      </c>
      <c r="AE3" s="10">
        <v>25</v>
      </c>
      <c r="AF3" s="9">
        <v>0</v>
      </c>
      <c r="AG3" s="9">
        <v>0</v>
      </c>
      <c r="AH3" s="9">
        <v>0</v>
      </c>
      <c r="AI3" s="9">
        <v>0</v>
      </c>
      <c r="AJ3" s="9">
        <v>1</v>
      </c>
    </row>
    <row r="4" spans="1:36" ht="21" customHeight="1" x14ac:dyDescent="0.15">
      <c r="A4" s="22" t="str">
        <f t="shared" ca="1" si="0"/>
        <v>20002_1-1/23&lt;lv7&gt;s4</v>
      </c>
      <c r="B4" s="9">
        <v>20002</v>
      </c>
      <c r="C4" s="32">
        <v>1</v>
      </c>
      <c r="D4" s="2" t="str">
        <f t="shared" si="1"/>
        <v>20002_1</v>
      </c>
      <c r="E4" s="5" t="str">
        <f ca="1">VLOOKUP($B4,OFFSET([1]quests!$A$1,0,0,COUNTA([1]quests!$A:$A),MATCH(E$1,[1]quests!$1:$1,0)-MATCH($B$1,[1]quests!$1:$1,0)+1),MATCH(E$1,[1]quests!$1:$1,0)-MATCH($B$1,[1]quests!$1:$1,0)+1,FALSE)</f>
        <v>孤高の一角獣</v>
      </c>
      <c r="F4" s="5" t="str">
        <f ca="1">VLOOKUP($D4,OFFSET([1]stages!$A$1,0,0,COUNTA([1]stages!$A:$A),MATCH(F$1,[1]stages!$2:$2,0)-MATCH($D$1,[1]stages!$2:$2,0)+1),MATCH(F$1,[1]stages!$2:$2,0)-MATCH($D$1,[1]stages!$2:$2,0)+1,FALSE)</f>
        <v>【初級】孤高の一角獣</v>
      </c>
      <c r="G4" s="1">
        <v>1</v>
      </c>
      <c r="H4" s="21" t="str">
        <f t="shared" ca="1" si="2"/>
        <v>20002_1-1</v>
      </c>
      <c r="I4" s="31">
        <v>23</v>
      </c>
      <c r="J4" s="27" t="str">
        <f ca="1">VLOOKUP($I4,OFFSET([2]enemies!$A$1,0,0,COUNTA([2]enemies!$A:$A),MATCH(J$1,[2]enemies!$1:$1,0)-MATCH($I$1,[2]enemies!$1:$1,0)+1),MATCH(J$1,[2]enemies!$1:$1,0)-MATCH($I$1,[2]enemies!$1:$1,0)+1,FALSE)</f>
        <v>ミール</v>
      </c>
      <c r="K4" s="27" t="str">
        <f ca="1">VLOOKUP($I4,OFFSET([2]enemies!$A$1,0,0,COUNTA([2]enemies!$A:$A),MATCH(K$1,[2]enemies!$1:$1,0)-MATCH($I$1,[2]enemies!$1:$1,0)+1),MATCH(K$1,[2]enemies!$1:$1,0)-MATCH($I$1,[2]enemies!$1:$1,0)+1,FALSE)</f>
        <v>green</v>
      </c>
      <c r="L4" s="29" t="str">
        <f ca="1">VLOOKUP(I4,[3]characters!$A:$J,10,FALSE)</f>
        <v>Drop1N</v>
      </c>
      <c r="M4" s="27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7">
        <f ca="1">VLOOKUP($I4,OFFSET([2]enemies!$A$1,0,0,COUNTA([2]enemies!$A:$A),MATCH(N$1,[2]enemies!$1:$1,0)-MATCH($I$1,[2]enemies!$1:$1,0)+1),MATCH(N$1,[2]enemies!$1:$1,0)-MATCH($I$1,[2]enemies!$1:$1,0)+1,FALSE)</f>
        <v>15</v>
      </c>
      <c r="O4" s="6">
        <v>7</v>
      </c>
      <c r="P4" s="47">
        <v>1.8</v>
      </c>
      <c r="Q4" s="47">
        <v>0.9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7">
        <f ca="1">VLOOKUP($I4,OFFSET([2]enemies!$A$1,0,0,COUNTA([2]enemies!$A:$A),MATCH(T$1,[2]enemies!$1:$1,0)-MATCH($I$1,[2]enemies!$1:$1,0)+1),MATCH(T$1,[2]enemies!$1:$1,0)-MATCH($I$1,[2]enemies!$1:$1,0)+1,FALSE)</f>
        <v>0</v>
      </c>
      <c r="U4" s="7">
        <v>0</v>
      </c>
      <c r="V4" s="7">
        <v>60</v>
      </c>
      <c r="W4" s="7">
        <v>0</v>
      </c>
      <c r="X4" s="27">
        <f ca="1">VLOOKUP($I4,OFFSET([2]enemies!$A$1,0,0,COUNTA([2]enemies!$A:$A),MATCH(X$1,[2]enemies!$1:$1,0)-MATCH($I$1,[2]enemies!$1:$1,0)+1),MATCH(X$1,[2]enemies!$1:$1,0)-MATCH($I$1,[2]enemies!$1:$1,0)+1,FALSE)</f>
        <v>4</v>
      </c>
      <c r="Y4" s="8">
        <v>23</v>
      </c>
      <c r="Z4" s="5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4" s="5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5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9">
        <v>1</v>
      </c>
      <c r="AD4" s="34">
        <f t="shared" ca="1" si="3"/>
        <v>1</v>
      </c>
      <c r="AE4" s="10">
        <v>25</v>
      </c>
      <c r="AF4" s="9">
        <v>0</v>
      </c>
      <c r="AG4" s="9">
        <v>0</v>
      </c>
      <c r="AH4" s="9">
        <v>0</v>
      </c>
      <c r="AI4" s="9">
        <v>0</v>
      </c>
      <c r="AJ4" s="9">
        <v>1</v>
      </c>
    </row>
    <row r="5" spans="1:36" ht="21" customHeight="1" x14ac:dyDescent="0.15">
      <c r="A5" s="22" t="str">
        <f t="shared" ca="1" si="0"/>
        <v>20002_1-1/27&lt;lv7&gt;s1</v>
      </c>
      <c r="B5" s="9">
        <v>20002</v>
      </c>
      <c r="C5" s="32">
        <v>1</v>
      </c>
      <c r="D5" s="2" t="str">
        <f t="shared" si="1"/>
        <v>20002_1</v>
      </c>
      <c r="E5" s="5" t="str">
        <f ca="1">VLOOKUP($B5,OFFSET([1]quests!$A$1,0,0,COUNTA([1]quests!$A:$A),MATCH(E$1,[1]quests!$1:$1,0)-MATCH($B$1,[1]quests!$1:$1,0)+1),MATCH(E$1,[1]quests!$1:$1,0)-MATCH($B$1,[1]quests!$1:$1,0)+1,FALSE)</f>
        <v>孤高の一角獣</v>
      </c>
      <c r="F5" s="5" t="str">
        <f ca="1">VLOOKUP($D5,OFFSET([1]stages!$A$1,0,0,COUNTA([1]stages!$A:$A),MATCH(F$1,[1]stages!$2:$2,0)-MATCH($D$1,[1]stages!$2:$2,0)+1),MATCH(F$1,[1]stages!$2:$2,0)-MATCH($D$1,[1]stages!$2:$2,0)+1,FALSE)</f>
        <v>【初級】孤高の一角獣</v>
      </c>
      <c r="G5" s="1">
        <v>1</v>
      </c>
      <c r="H5" s="21" t="str">
        <f t="shared" ca="1" si="2"/>
        <v>20002_1-1</v>
      </c>
      <c r="I5" s="31">
        <v>27</v>
      </c>
      <c r="J5" s="27" t="str">
        <f ca="1">VLOOKUP($I5,OFFSET([2]enemies!$A$1,0,0,COUNTA([2]enemies!$A:$A),MATCH(J$1,[2]enemies!$1:$1,0)-MATCH($I$1,[2]enemies!$1:$1,0)+1),MATCH(J$1,[2]enemies!$1:$1,0)-MATCH($I$1,[2]enemies!$1:$1,0)+1,FALSE)</f>
        <v>パトライン</v>
      </c>
      <c r="K5" s="27" t="str">
        <f ca="1">VLOOKUP($I5,OFFSET([2]enemies!$A$1,0,0,COUNTA([2]enemies!$A:$A),MATCH(K$1,[2]enemies!$1:$1,0)-MATCH($I$1,[2]enemies!$1:$1,0)+1),MATCH(K$1,[2]enemies!$1:$1,0)-MATCH($I$1,[2]enemies!$1:$1,0)+1,FALSE)</f>
        <v>green</v>
      </c>
      <c r="L5" s="29" t="str">
        <f ca="1">VLOOKUP(I5,[3]characters!$A:$J,10,FALSE)</f>
        <v>Drop1N</v>
      </c>
      <c r="M5" s="27" t="str">
        <f ca="1">VLOOKUP($I5,OFFSET([2]enemies!$A$1,0,0,COUNTA([2]enemies!$A:$A),MATCH(M$1,[2]enemies!$1:$1,0)-MATCH($I$1,[2]enemies!$1:$1,0)+1),MATCH(M$1,[2]enemies!$1:$1,0)-MATCH($I$1,[2]enemies!$1:$1,0)+1,FALSE)</f>
        <v>machine</v>
      </c>
      <c r="N5" s="27">
        <f ca="1">VLOOKUP($I5,OFFSET([2]enemies!$A$1,0,0,COUNTA([2]enemies!$A:$A),MATCH(N$1,[2]enemies!$1:$1,0)-MATCH($I$1,[2]enemies!$1:$1,0)+1),MATCH(N$1,[2]enemies!$1:$1,0)-MATCH($I$1,[2]enemies!$1:$1,0)+1,FALSE)</f>
        <v>15</v>
      </c>
      <c r="O5" s="6">
        <v>7</v>
      </c>
      <c r="P5" s="47">
        <v>1.8</v>
      </c>
      <c r="Q5" s="47">
        <v>0.9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7">
        <f ca="1">VLOOKUP($I5,OFFSET([2]enemies!$A$1,0,0,COUNTA([2]enemies!$A:$A),MATCH(T$1,[2]enemies!$1:$1,0)-MATCH($I$1,[2]enemies!$1:$1,0)+1),MATCH(T$1,[2]enemies!$1:$1,0)-MATCH($I$1,[2]enemies!$1:$1,0)+1,FALSE)</f>
        <v>0</v>
      </c>
      <c r="U5" s="7">
        <v>0</v>
      </c>
      <c r="V5" s="7">
        <v>100</v>
      </c>
      <c r="W5" s="7">
        <v>0</v>
      </c>
      <c r="X5" s="27">
        <f ca="1">VLOOKUP($I5,OFFSET([2]enemies!$A$1,0,0,COUNTA([2]enemies!$A:$A),MATCH(X$1,[2]enemies!$1:$1,0)-MATCH($I$1,[2]enemies!$1:$1,0)+1),MATCH(X$1,[2]enemies!$1:$1,0)-MATCH($I$1,[2]enemies!$1:$1,0)+1,FALSE)</f>
        <v>1</v>
      </c>
      <c r="Y5" s="8">
        <v>27</v>
      </c>
      <c r="Z5" s="5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5" s="5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5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9">
        <v>1</v>
      </c>
      <c r="AD5" s="34">
        <f t="shared" ca="1" si="3"/>
        <v>1</v>
      </c>
      <c r="AE5" s="10">
        <v>25</v>
      </c>
      <c r="AF5" s="9">
        <v>0</v>
      </c>
      <c r="AG5" s="9">
        <v>0</v>
      </c>
      <c r="AH5" s="9">
        <v>0</v>
      </c>
      <c r="AI5" s="9">
        <v>0</v>
      </c>
      <c r="AJ5" s="9">
        <v>1</v>
      </c>
    </row>
    <row r="6" spans="1:36" ht="21" customHeight="1" x14ac:dyDescent="0.15">
      <c r="A6" s="22" t="str">
        <f t="shared" ca="1" si="0"/>
        <v>20002_1-1/43&lt;lv7&gt;s2</v>
      </c>
      <c r="B6" s="9">
        <v>20002</v>
      </c>
      <c r="C6" s="32">
        <v>1</v>
      </c>
      <c r="D6" s="2" t="str">
        <f t="shared" si="1"/>
        <v>20002_1</v>
      </c>
      <c r="E6" s="5" t="str">
        <f ca="1">VLOOKUP($B6,OFFSET([1]quests!$A$1,0,0,COUNTA([1]quests!$A:$A),MATCH(E$1,[1]quests!$1:$1,0)-MATCH($B$1,[1]quests!$1:$1,0)+1),MATCH(E$1,[1]quests!$1:$1,0)-MATCH($B$1,[1]quests!$1:$1,0)+1,FALSE)</f>
        <v>孤高の一角獣</v>
      </c>
      <c r="F6" s="5" t="str">
        <f ca="1">VLOOKUP($D6,OFFSET([1]stages!$A$1,0,0,COUNTA([1]stages!$A:$A),MATCH(F$1,[1]stages!$2:$2,0)-MATCH($D$1,[1]stages!$2:$2,0)+1),MATCH(F$1,[1]stages!$2:$2,0)-MATCH($D$1,[1]stages!$2:$2,0)+1,FALSE)</f>
        <v>【初級】孤高の一角獣</v>
      </c>
      <c r="G6" s="1">
        <v>1</v>
      </c>
      <c r="H6" s="21" t="str">
        <f t="shared" ca="1" si="2"/>
        <v>20002_1-1</v>
      </c>
      <c r="I6" s="31">
        <v>43</v>
      </c>
      <c r="J6" s="27" t="str">
        <f ca="1">VLOOKUP($I6,OFFSET([2]enemies!$A$1,0,0,COUNTA([2]enemies!$A:$A),MATCH(J$1,[2]enemies!$1:$1,0)-MATCH($I$1,[2]enemies!$1:$1,0)+1),MATCH(J$1,[2]enemies!$1:$1,0)-MATCH($I$1,[2]enemies!$1:$1,0)+1,FALSE)</f>
        <v>ムゥ</v>
      </c>
      <c r="K6" s="27" t="str">
        <f ca="1">VLOOKUP($I6,OFFSET([2]enemies!$A$1,0,0,COUNTA([2]enemies!$A:$A),MATCH(K$1,[2]enemies!$1:$1,0)-MATCH($I$1,[2]enemies!$1:$1,0)+1),MATCH(K$1,[2]enemies!$1:$1,0)-MATCH($I$1,[2]enemies!$1:$1,0)+1,FALSE)</f>
        <v>green</v>
      </c>
      <c r="L6" s="29" t="str">
        <f ca="1">VLOOKUP(I6,[3]characters!$A:$J,10,FALSE)</f>
        <v>Drop1N</v>
      </c>
      <c r="M6" s="27" t="str">
        <f ca="1">VLOOKUP($I6,OFFSET([2]enemies!$A$1,0,0,COUNTA([2]enemies!$A:$A),MATCH(M$1,[2]enemies!$1:$1,0)-MATCH($I$1,[2]enemies!$1:$1,0)+1),MATCH(M$1,[2]enemies!$1:$1,0)-MATCH($I$1,[2]enemies!$1:$1,0)+1,FALSE)</f>
        <v>dragon</v>
      </c>
      <c r="N6" s="27">
        <f ca="1">VLOOKUP($I6,OFFSET([2]enemies!$A$1,0,0,COUNTA([2]enemies!$A:$A),MATCH(N$1,[2]enemies!$1:$1,0)-MATCH($I$1,[2]enemies!$1:$1,0)+1),MATCH(N$1,[2]enemies!$1:$1,0)-MATCH($I$1,[2]enemies!$1:$1,0)+1,FALSE)</f>
        <v>15</v>
      </c>
      <c r="O6" s="6">
        <v>7</v>
      </c>
      <c r="P6" s="47">
        <v>1.8</v>
      </c>
      <c r="Q6" s="47">
        <v>0.9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7">
        <f ca="1">VLOOKUP($I6,OFFSET([2]enemies!$A$1,0,0,COUNTA([2]enemies!$A:$A),MATCH(T$1,[2]enemies!$1:$1,0)-MATCH($I$1,[2]enemies!$1:$1,0)+1),MATCH(T$1,[2]enemies!$1:$1,0)-MATCH($I$1,[2]enemies!$1:$1,0)+1,FALSE)</f>
        <v>0</v>
      </c>
      <c r="U6" s="7">
        <v>0</v>
      </c>
      <c r="V6" s="7">
        <v>100</v>
      </c>
      <c r="W6" s="7">
        <v>0</v>
      </c>
      <c r="X6" s="27">
        <f ca="1">VLOOKUP($I6,OFFSET([2]enemies!$A$1,0,0,COUNTA([2]enemies!$A:$A),MATCH(X$1,[2]enemies!$1:$1,0)-MATCH($I$1,[2]enemies!$1:$1,0)+1),MATCH(X$1,[2]enemies!$1:$1,0)-MATCH($I$1,[2]enemies!$1:$1,0)+1,FALSE)</f>
        <v>2</v>
      </c>
      <c r="Y6" s="8">
        <v>43</v>
      </c>
      <c r="Z6" s="5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6" s="5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5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9">
        <v>1</v>
      </c>
      <c r="AD6" s="34">
        <f t="shared" ca="1" si="3"/>
        <v>2</v>
      </c>
      <c r="AE6" s="10">
        <v>25</v>
      </c>
      <c r="AF6" s="9">
        <v>0</v>
      </c>
      <c r="AG6" s="9">
        <v>0</v>
      </c>
      <c r="AH6" s="9">
        <v>0</v>
      </c>
      <c r="AI6" s="9">
        <v>0</v>
      </c>
      <c r="AJ6" s="9">
        <v>1</v>
      </c>
    </row>
    <row r="7" spans="1:36" ht="21" customHeight="1" x14ac:dyDescent="0.15">
      <c r="A7" s="22" t="str">
        <f t="shared" ca="1" si="0"/>
        <v>20002_1-2/3&lt;lv7&gt;s2</v>
      </c>
      <c r="B7" s="9">
        <v>20002</v>
      </c>
      <c r="C7" s="32">
        <v>1</v>
      </c>
      <c r="D7" s="2" t="str">
        <f t="shared" si="1"/>
        <v>20002_1</v>
      </c>
      <c r="E7" s="5" t="str">
        <f ca="1">VLOOKUP($B7,OFFSET([1]quests!$A$1,0,0,COUNTA([1]quests!$A:$A),MATCH(E$1,[1]quests!$1:$1,0)-MATCH($B$1,[1]quests!$1:$1,0)+1),MATCH(E$1,[1]quests!$1:$1,0)-MATCH($B$1,[1]quests!$1:$1,0)+1,FALSE)</f>
        <v>孤高の一角獣</v>
      </c>
      <c r="F7" s="5" t="str">
        <f ca="1">VLOOKUP($D7,OFFSET([1]stages!$A$1,0,0,COUNTA([1]stages!$A:$A),MATCH(F$1,[1]stages!$2:$2,0)-MATCH($D$1,[1]stages!$2:$2,0)+1),MATCH(F$1,[1]stages!$2:$2,0)-MATCH($D$1,[1]stages!$2:$2,0)+1,FALSE)</f>
        <v>【初級】孤高の一角獣</v>
      </c>
      <c r="G7" s="42">
        <v>2</v>
      </c>
      <c r="H7" s="21" t="str">
        <f t="shared" ca="1" si="2"/>
        <v>20002_1-2</v>
      </c>
      <c r="I7" s="31">
        <v>3</v>
      </c>
      <c r="J7" s="27" t="str">
        <f ca="1">VLOOKUP($I7,OFFSET([2]enemies!$A$1,0,0,COUNTA([2]enemies!$A:$A),MATCH(J$1,[2]enemies!$1:$1,0)-MATCH($I$1,[2]enemies!$1:$1,0)+1),MATCH(J$1,[2]enemies!$1:$1,0)-MATCH($I$1,[2]enemies!$1:$1,0)+1,FALSE)</f>
        <v>エージェント ジョー</v>
      </c>
      <c r="K7" s="27" t="str">
        <f ca="1">VLOOKUP($I7,OFFSET([2]enemies!$A$1,0,0,COUNTA([2]enemies!$A:$A),MATCH(K$1,[2]enemies!$1:$1,0)-MATCH($I$1,[2]enemies!$1:$1,0)+1),MATCH(K$1,[2]enemies!$1:$1,0)-MATCH($I$1,[2]enemies!$1:$1,0)+1,FALSE)</f>
        <v>green</v>
      </c>
      <c r="L7" s="29" t="str">
        <f ca="1">VLOOKUP(I7,[3]characters!$A:$J,10,FALSE)</f>
        <v>Drop1T</v>
      </c>
      <c r="M7" s="27" t="str">
        <f ca="1">VLOOKUP($I7,OFFSET([2]enemies!$A$1,0,0,COUNTA([2]enemies!$A:$A),MATCH(M$1,[2]enemies!$1:$1,0)-MATCH($I$1,[2]enemies!$1:$1,0)+1),MATCH(M$1,[2]enemies!$1:$1,0)-MATCH($I$1,[2]enemies!$1:$1,0)+1,FALSE)</f>
        <v>unknown</v>
      </c>
      <c r="N7" s="27">
        <f ca="1">VLOOKUP($I7,OFFSET([2]enemies!$A$1,0,0,COUNTA([2]enemies!$A:$A),MATCH(N$1,[2]enemies!$1:$1,0)-MATCH($I$1,[2]enemies!$1:$1,0)+1),MATCH(N$1,[2]enemies!$1:$1,0)-MATCH($I$1,[2]enemies!$1:$1,0)+1,FALSE)</f>
        <v>15</v>
      </c>
      <c r="O7" s="6">
        <v>7</v>
      </c>
      <c r="P7" s="47">
        <v>1.8</v>
      </c>
      <c r="Q7" s="47">
        <v>0.9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7">
        <f ca="1">VLOOKUP($I7,OFFSET([2]enemies!$A$1,0,0,COUNTA([2]enemies!$A:$A),MATCH(T$1,[2]enemies!$1:$1,0)-MATCH($I$1,[2]enemies!$1:$1,0)+1),MATCH(T$1,[2]enemies!$1:$1,0)-MATCH($I$1,[2]enemies!$1:$1,0)+1,FALSE)</f>
        <v>0</v>
      </c>
      <c r="U7" s="7">
        <v>0</v>
      </c>
      <c r="V7" s="7">
        <v>100</v>
      </c>
      <c r="W7" s="7">
        <v>0</v>
      </c>
      <c r="X7" s="27">
        <f ca="1">VLOOKUP($I7,OFFSET([2]enemies!$A$1,0,0,COUNTA([2]enemies!$A:$A),MATCH(X$1,[2]enemies!$1:$1,0)-MATCH($I$1,[2]enemies!$1:$1,0)+1),MATCH(X$1,[2]enemies!$1:$1,0)-MATCH($I$1,[2]enemies!$1:$1,0)+1,FALSE)</f>
        <v>2</v>
      </c>
      <c r="Y7" s="8">
        <v>3</v>
      </c>
      <c r="Z7" s="5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7" s="5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5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7" s="9">
        <v>2</v>
      </c>
      <c r="AD7" s="34">
        <f t="shared" ca="1" si="3"/>
        <v>1</v>
      </c>
      <c r="AE7" s="10">
        <v>25</v>
      </c>
      <c r="AF7" s="9">
        <v>0</v>
      </c>
      <c r="AG7" s="9">
        <v>0</v>
      </c>
      <c r="AH7" s="9">
        <v>0</v>
      </c>
      <c r="AI7" s="9">
        <v>0</v>
      </c>
      <c r="AJ7" s="9">
        <v>1</v>
      </c>
    </row>
    <row r="8" spans="1:36" ht="21" customHeight="1" x14ac:dyDescent="0.15">
      <c r="A8" s="22" t="str">
        <f t="shared" ca="1" si="0"/>
        <v>20002_1-2/11&lt;lv8&gt;s3</v>
      </c>
      <c r="B8" s="9">
        <v>20002</v>
      </c>
      <c r="C8" s="32">
        <v>1</v>
      </c>
      <c r="D8" s="2" t="str">
        <f t="shared" si="1"/>
        <v>20002_1</v>
      </c>
      <c r="E8" s="5" t="str">
        <f ca="1">VLOOKUP($B8,OFFSET([1]quests!$A$1,0,0,COUNTA([1]quests!$A:$A),MATCH(E$1,[1]quests!$1:$1,0)-MATCH($B$1,[1]quests!$1:$1,0)+1),MATCH(E$1,[1]quests!$1:$1,0)-MATCH($B$1,[1]quests!$1:$1,0)+1,FALSE)</f>
        <v>孤高の一角獣</v>
      </c>
      <c r="F8" s="5" t="str">
        <f ca="1">VLOOKUP($D8,OFFSET([1]stages!$A$1,0,0,COUNTA([1]stages!$A:$A),MATCH(F$1,[1]stages!$2:$2,0)-MATCH($D$1,[1]stages!$2:$2,0)+1),MATCH(F$1,[1]stages!$2:$2,0)-MATCH($D$1,[1]stages!$2:$2,0)+1,FALSE)</f>
        <v>【初級】孤高の一角獣</v>
      </c>
      <c r="G8" s="42">
        <v>2</v>
      </c>
      <c r="H8" s="21" t="str">
        <f t="shared" ca="1" si="2"/>
        <v>20002_1-2</v>
      </c>
      <c r="I8" s="31">
        <v>11</v>
      </c>
      <c r="J8" s="27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27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9" t="str">
        <f ca="1">VLOOKUP(I8,[3]characters!$A:$J,10,FALSE)</f>
        <v>Drop1W</v>
      </c>
      <c r="M8" s="27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7">
        <f ca="1">VLOOKUP($I8,OFFSET([2]enemies!$A$1,0,0,COUNTA([2]enemies!$A:$A),MATCH(N$1,[2]enemies!$1:$1,0)-MATCH($I$1,[2]enemies!$1:$1,0)+1),MATCH(N$1,[2]enemies!$1:$1,0)-MATCH($I$1,[2]enemies!$1:$1,0)+1,FALSE)</f>
        <v>15</v>
      </c>
      <c r="O8" s="6">
        <v>8</v>
      </c>
      <c r="P8" s="47">
        <v>1.8</v>
      </c>
      <c r="Q8" s="47">
        <v>0.9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7">
        <f ca="1">VLOOKUP($I8,OFFSET([2]enemies!$A$1,0,0,COUNTA([2]enemies!$A:$A),MATCH(T$1,[2]enemies!$1:$1,0)-MATCH($I$1,[2]enemies!$1:$1,0)+1),MATCH(T$1,[2]enemies!$1:$1,0)-MATCH($I$1,[2]enemies!$1:$1,0)+1,FALSE)</f>
        <v>0</v>
      </c>
      <c r="U8" s="7">
        <v>0</v>
      </c>
      <c r="V8" s="7">
        <v>100</v>
      </c>
      <c r="W8" s="7">
        <v>0</v>
      </c>
      <c r="X8" s="27">
        <f ca="1">VLOOKUP($I8,OFFSET([2]enemies!$A$1,0,0,COUNTA([2]enemies!$A:$A),MATCH(X$1,[2]enemies!$1:$1,0)-MATCH($I$1,[2]enemies!$1:$1,0)+1),MATCH(X$1,[2]enemies!$1:$1,0)-MATCH($I$1,[2]enemies!$1:$1,0)+1,FALSE)</f>
        <v>3</v>
      </c>
      <c r="Y8" s="8">
        <v>11</v>
      </c>
      <c r="Z8" s="5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5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5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9">
        <v>1</v>
      </c>
      <c r="AD8" s="34">
        <f t="shared" ca="1" si="3"/>
        <v>1</v>
      </c>
      <c r="AE8" s="10">
        <v>25</v>
      </c>
      <c r="AF8" s="9">
        <v>0</v>
      </c>
      <c r="AG8" s="9">
        <v>0</v>
      </c>
      <c r="AH8" s="9">
        <v>0</v>
      </c>
      <c r="AI8" s="9">
        <v>0</v>
      </c>
      <c r="AJ8" s="9">
        <v>1</v>
      </c>
    </row>
    <row r="9" spans="1:36" ht="21" customHeight="1" x14ac:dyDescent="0.15">
      <c r="A9" s="22" t="str">
        <f t="shared" ca="1" si="0"/>
        <v>20002_1-2/23&lt;lv7&gt;s4</v>
      </c>
      <c r="B9" s="9">
        <v>20002</v>
      </c>
      <c r="C9" s="32">
        <v>1</v>
      </c>
      <c r="D9" s="2" t="str">
        <f t="shared" si="1"/>
        <v>20002_1</v>
      </c>
      <c r="E9" s="5" t="str">
        <f ca="1">VLOOKUP($B9,OFFSET([1]quests!$A$1,0,0,COUNTA([1]quests!$A:$A),MATCH(E$1,[1]quests!$1:$1,0)-MATCH($B$1,[1]quests!$1:$1,0)+1),MATCH(E$1,[1]quests!$1:$1,0)-MATCH($B$1,[1]quests!$1:$1,0)+1,FALSE)</f>
        <v>孤高の一角獣</v>
      </c>
      <c r="F9" s="5" t="str">
        <f ca="1">VLOOKUP($D9,OFFSET([1]stages!$A$1,0,0,COUNTA([1]stages!$A:$A),MATCH(F$1,[1]stages!$2:$2,0)-MATCH($D$1,[1]stages!$2:$2,0)+1),MATCH(F$1,[1]stages!$2:$2,0)-MATCH($D$1,[1]stages!$2:$2,0)+1,FALSE)</f>
        <v>【初級】孤高の一角獣</v>
      </c>
      <c r="G9" s="42">
        <v>2</v>
      </c>
      <c r="H9" s="21" t="str">
        <f t="shared" ca="1" si="2"/>
        <v>20002_1-2</v>
      </c>
      <c r="I9" s="31">
        <v>23</v>
      </c>
      <c r="J9" s="27" t="str">
        <f ca="1">VLOOKUP($I9,OFFSET([2]enemies!$A$1,0,0,COUNTA([2]enemies!$A:$A),MATCH(J$1,[2]enemies!$1:$1,0)-MATCH($I$1,[2]enemies!$1:$1,0)+1),MATCH(J$1,[2]enemies!$1:$1,0)-MATCH($I$1,[2]enemies!$1:$1,0)+1,FALSE)</f>
        <v>ミール</v>
      </c>
      <c r="K9" s="27" t="str">
        <f ca="1">VLOOKUP($I9,OFFSET([2]enemies!$A$1,0,0,COUNTA([2]enemies!$A:$A),MATCH(K$1,[2]enemies!$1:$1,0)-MATCH($I$1,[2]enemies!$1:$1,0)+1),MATCH(K$1,[2]enemies!$1:$1,0)-MATCH($I$1,[2]enemies!$1:$1,0)+1,FALSE)</f>
        <v>green</v>
      </c>
      <c r="L9" s="29" t="str">
        <f ca="1">VLOOKUP(I9,[3]characters!$A:$J,10,FALSE)</f>
        <v>Drop1N</v>
      </c>
      <c r="M9" s="27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7">
        <f ca="1">VLOOKUP($I9,OFFSET([2]enemies!$A$1,0,0,COUNTA([2]enemies!$A:$A),MATCH(N$1,[2]enemies!$1:$1,0)-MATCH($I$1,[2]enemies!$1:$1,0)+1),MATCH(N$1,[2]enemies!$1:$1,0)-MATCH($I$1,[2]enemies!$1:$1,0)+1,FALSE)</f>
        <v>15</v>
      </c>
      <c r="O9" s="6">
        <v>7</v>
      </c>
      <c r="P9" s="47">
        <v>1.8</v>
      </c>
      <c r="Q9" s="47">
        <v>0.9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7">
        <f ca="1">VLOOKUP($I9,OFFSET([2]enemies!$A$1,0,0,COUNTA([2]enemies!$A:$A),MATCH(T$1,[2]enemies!$1:$1,0)-MATCH($I$1,[2]enemies!$1:$1,0)+1),MATCH(T$1,[2]enemies!$1:$1,0)-MATCH($I$1,[2]enemies!$1:$1,0)+1,FALSE)</f>
        <v>0</v>
      </c>
      <c r="U9" s="7">
        <v>0</v>
      </c>
      <c r="V9" s="7">
        <v>60</v>
      </c>
      <c r="W9" s="7">
        <v>0</v>
      </c>
      <c r="X9" s="27">
        <f ca="1">VLOOKUP($I9,OFFSET([2]enemies!$A$1,0,0,COUNTA([2]enemies!$A:$A),MATCH(X$1,[2]enemies!$1:$1,0)-MATCH($I$1,[2]enemies!$1:$1,0)+1),MATCH(X$1,[2]enemies!$1:$1,0)-MATCH($I$1,[2]enemies!$1:$1,0)+1,FALSE)</f>
        <v>4</v>
      </c>
      <c r="Y9" s="8">
        <v>23</v>
      </c>
      <c r="Z9" s="5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9" s="5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5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9" s="9">
        <v>1</v>
      </c>
      <c r="AD9" s="34">
        <f t="shared" ca="1" si="3"/>
        <v>1</v>
      </c>
      <c r="AE9" s="10">
        <v>25</v>
      </c>
      <c r="AF9" s="9">
        <v>0</v>
      </c>
      <c r="AG9" s="9">
        <v>0</v>
      </c>
      <c r="AH9" s="9">
        <v>0</v>
      </c>
      <c r="AI9" s="9">
        <v>0</v>
      </c>
      <c r="AJ9" s="9">
        <v>1</v>
      </c>
    </row>
    <row r="10" spans="1:36" ht="21" customHeight="1" x14ac:dyDescent="0.15">
      <c r="A10" s="22" t="str">
        <f t="shared" ca="1" si="0"/>
        <v>20002_1-2/27&lt;lv7&gt;s1</v>
      </c>
      <c r="B10" s="9">
        <v>20002</v>
      </c>
      <c r="C10" s="32">
        <v>1</v>
      </c>
      <c r="D10" s="2" t="str">
        <f t="shared" si="1"/>
        <v>20002_1</v>
      </c>
      <c r="E10" s="5" t="str">
        <f ca="1">VLOOKUP($B10,OFFSET([1]quests!$A$1,0,0,COUNTA([1]quests!$A:$A),MATCH(E$1,[1]quests!$1:$1,0)-MATCH($B$1,[1]quests!$1:$1,0)+1),MATCH(E$1,[1]quests!$1:$1,0)-MATCH($B$1,[1]quests!$1:$1,0)+1,FALSE)</f>
        <v>孤高の一角獣</v>
      </c>
      <c r="F10" s="5" t="str">
        <f ca="1">VLOOKUP($D10,OFFSET([1]stages!$A$1,0,0,COUNTA([1]stages!$A:$A),MATCH(F$1,[1]stages!$2:$2,0)-MATCH($D$1,[1]stages!$2:$2,0)+1),MATCH(F$1,[1]stages!$2:$2,0)-MATCH($D$1,[1]stages!$2:$2,0)+1,FALSE)</f>
        <v>【初級】孤高の一角獣</v>
      </c>
      <c r="G10" s="42">
        <v>2</v>
      </c>
      <c r="H10" s="21" t="str">
        <f t="shared" ca="1" si="2"/>
        <v>20002_1-2</v>
      </c>
      <c r="I10" s="31">
        <v>27</v>
      </c>
      <c r="J10" s="27" t="str">
        <f ca="1">VLOOKUP($I10,OFFSET([2]enemies!$A$1,0,0,COUNTA([2]enemies!$A:$A),MATCH(J$1,[2]enemies!$1:$1,0)-MATCH($I$1,[2]enemies!$1:$1,0)+1),MATCH(J$1,[2]enemies!$1:$1,0)-MATCH($I$1,[2]enemies!$1:$1,0)+1,FALSE)</f>
        <v>パトライン</v>
      </c>
      <c r="K10" s="27" t="str">
        <f ca="1">VLOOKUP($I10,OFFSET([2]enemies!$A$1,0,0,COUNTA([2]enemies!$A:$A),MATCH(K$1,[2]enemies!$1:$1,0)-MATCH($I$1,[2]enemies!$1:$1,0)+1),MATCH(K$1,[2]enemies!$1:$1,0)-MATCH($I$1,[2]enemies!$1:$1,0)+1,FALSE)</f>
        <v>green</v>
      </c>
      <c r="L10" s="29" t="str">
        <f ca="1">VLOOKUP(I10,[3]characters!$A:$J,10,FALSE)</f>
        <v>Drop1N</v>
      </c>
      <c r="M10" s="27" t="str">
        <f ca="1">VLOOKUP($I10,OFFSET([2]enemies!$A$1,0,0,COUNTA([2]enemies!$A:$A),MATCH(M$1,[2]enemies!$1:$1,0)-MATCH($I$1,[2]enemies!$1:$1,0)+1),MATCH(M$1,[2]enemies!$1:$1,0)-MATCH($I$1,[2]enemies!$1:$1,0)+1,FALSE)</f>
        <v>machine</v>
      </c>
      <c r="N10" s="27">
        <f ca="1">VLOOKUP($I10,OFFSET([2]enemies!$A$1,0,0,COUNTA([2]enemies!$A:$A),MATCH(N$1,[2]enemies!$1:$1,0)-MATCH($I$1,[2]enemies!$1:$1,0)+1),MATCH(N$1,[2]enemies!$1:$1,0)-MATCH($I$1,[2]enemies!$1:$1,0)+1,FALSE)</f>
        <v>15</v>
      </c>
      <c r="O10" s="6">
        <v>7</v>
      </c>
      <c r="P10" s="47">
        <v>1.8</v>
      </c>
      <c r="Q10" s="47">
        <v>0.9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7">
        <f ca="1">VLOOKUP($I10,OFFSET([2]enemies!$A$1,0,0,COUNTA([2]enemies!$A:$A),MATCH(T$1,[2]enemies!$1:$1,0)-MATCH($I$1,[2]enemies!$1:$1,0)+1),MATCH(T$1,[2]enemies!$1:$1,0)-MATCH($I$1,[2]enemies!$1:$1,0)+1,FALSE)</f>
        <v>0</v>
      </c>
      <c r="U10" s="7">
        <v>0</v>
      </c>
      <c r="V10" s="7">
        <v>100</v>
      </c>
      <c r="W10" s="7">
        <v>0</v>
      </c>
      <c r="X10" s="27">
        <f ca="1">VLOOKUP($I10,OFFSET([2]enemies!$A$1,0,0,COUNTA([2]enemies!$A:$A),MATCH(X$1,[2]enemies!$1:$1,0)-MATCH($I$1,[2]enemies!$1:$1,0)+1),MATCH(X$1,[2]enemies!$1:$1,0)-MATCH($I$1,[2]enemies!$1:$1,0)+1,FALSE)</f>
        <v>1</v>
      </c>
      <c r="Y10" s="8">
        <v>27</v>
      </c>
      <c r="Z10" s="5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10" s="5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5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0" s="9">
        <v>1</v>
      </c>
      <c r="AD10" s="34">
        <f t="shared" ca="1" si="3"/>
        <v>1</v>
      </c>
      <c r="AE10" s="10">
        <v>25</v>
      </c>
      <c r="AF10" s="9">
        <v>0</v>
      </c>
      <c r="AG10" s="9">
        <v>0</v>
      </c>
      <c r="AH10" s="9">
        <v>0</v>
      </c>
      <c r="AI10" s="9">
        <v>0</v>
      </c>
      <c r="AJ10" s="9">
        <v>1</v>
      </c>
    </row>
    <row r="11" spans="1:36" ht="21" customHeight="1" x14ac:dyDescent="0.15">
      <c r="A11" s="22" t="str">
        <f t="shared" ca="1" si="0"/>
        <v>20002_1-2/43&lt;lv7&gt;s2</v>
      </c>
      <c r="B11" s="9">
        <v>20002</v>
      </c>
      <c r="C11" s="32">
        <v>1</v>
      </c>
      <c r="D11" s="2" t="str">
        <f t="shared" si="1"/>
        <v>20002_1</v>
      </c>
      <c r="E11" s="5" t="str">
        <f ca="1">VLOOKUP($B11,OFFSET([1]quests!$A$1,0,0,COUNTA([1]quests!$A:$A),MATCH(E$1,[1]quests!$1:$1,0)-MATCH($B$1,[1]quests!$1:$1,0)+1),MATCH(E$1,[1]quests!$1:$1,0)-MATCH($B$1,[1]quests!$1:$1,0)+1,FALSE)</f>
        <v>孤高の一角獣</v>
      </c>
      <c r="F11" s="5" t="str">
        <f ca="1">VLOOKUP($D11,OFFSET([1]stages!$A$1,0,0,COUNTA([1]stages!$A:$A),MATCH(F$1,[1]stages!$2:$2,0)-MATCH($D$1,[1]stages!$2:$2,0)+1),MATCH(F$1,[1]stages!$2:$2,0)-MATCH($D$1,[1]stages!$2:$2,0)+1,FALSE)</f>
        <v>【初級】孤高の一角獣</v>
      </c>
      <c r="G11" s="42">
        <v>2</v>
      </c>
      <c r="H11" s="21" t="str">
        <f t="shared" ca="1" si="2"/>
        <v>20002_1-2</v>
      </c>
      <c r="I11" s="31">
        <v>43</v>
      </c>
      <c r="J11" s="27" t="str">
        <f ca="1">VLOOKUP($I11,OFFSET([2]enemies!$A$1,0,0,COUNTA([2]enemies!$A:$A),MATCH(J$1,[2]enemies!$1:$1,0)-MATCH($I$1,[2]enemies!$1:$1,0)+1),MATCH(J$1,[2]enemies!$1:$1,0)-MATCH($I$1,[2]enemies!$1:$1,0)+1,FALSE)</f>
        <v>ムゥ</v>
      </c>
      <c r="K11" s="27" t="str">
        <f ca="1">VLOOKUP($I11,OFFSET([2]enemies!$A$1,0,0,COUNTA([2]enemies!$A:$A),MATCH(K$1,[2]enemies!$1:$1,0)-MATCH($I$1,[2]enemies!$1:$1,0)+1),MATCH(K$1,[2]enemies!$1:$1,0)-MATCH($I$1,[2]enemies!$1:$1,0)+1,FALSE)</f>
        <v>green</v>
      </c>
      <c r="L11" s="29" t="str">
        <f ca="1">VLOOKUP(I11,[3]characters!$A:$J,10,FALSE)</f>
        <v>Drop1N</v>
      </c>
      <c r="M11" s="27" t="str">
        <f ca="1">VLOOKUP($I11,OFFSET([2]enemies!$A$1,0,0,COUNTA([2]enemies!$A:$A),MATCH(M$1,[2]enemies!$1:$1,0)-MATCH($I$1,[2]enemies!$1:$1,0)+1),MATCH(M$1,[2]enemies!$1:$1,0)-MATCH($I$1,[2]enemies!$1:$1,0)+1,FALSE)</f>
        <v>dragon</v>
      </c>
      <c r="N11" s="27">
        <f ca="1">VLOOKUP($I11,OFFSET([2]enemies!$A$1,0,0,COUNTA([2]enemies!$A:$A),MATCH(N$1,[2]enemies!$1:$1,0)-MATCH($I$1,[2]enemies!$1:$1,0)+1),MATCH(N$1,[2]enemies!$1:$1,0)-MATCH($I$1,[2]enemies!$1:$1,0)+1,FALSE)</f>
        <v>15</v>
      </c>
      <c r="O11" s="6">
        <v>7</v>
      </c>
      <c r="P11" s="47">
        <v>1.8</v>
      </c>
      <c r="Q11" s="47">
        <v>0.9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7">
        <f ca="1">VLOOKUP($I11,OFFSET([2]enemies!$A$1,0,0,COUNTA([2]enemies!$A:$A),MATCH(T$1,[2]enemies!$1:$1,0)-MATCH($I$1,[2]enemies!$1:$1,0)+1),MATCH(T$1,[2]enemies!$1:$1,0)-MATCH($I$1,[2]enemies!$1:$1,0)+1,FALSE)</f>
        <v>0</v>
      </c>
      <c r="U11" s="7">
        <v>0</v>
      </c>
      <c r="V11" s="7">
        <v>100</v>
      </c>
      <c r="W11" s="7">
        <v>0</v>
      </c>
      <c r="X11" s="27">
        <f ca="1">VLOOKUP($I11,OFFSET([2]enemies!$A$1,0,0,COUNTA([2]enemies!$A:$A),MATCH(X$1,[2]enemies!$1:$1,0)-MATCH($I$1,[2]enemies!$1:$1,0)+1),MATCH(X$1,[2]enemies!$1:$1,0)-MATCH($I$1,[2]enemies!$1:$1,0)+1,FALSE)</f>
        <v>2</v>
      </c>
      <c r="Y11" s="8">
        <v>43</v>
      </c>
      <c r="Z11" s="5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11" s="5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5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9">
        <v>1</v>
      </c>
      <c r="AD11" s="34">
        <f t="shared" ca="1" si="3"/>
        <v>2</v>
      </c>
      <c r="AE11" s="10">
        <v>25</v>
      </c>
      <c r="AF11" s="9">
        <v>0</v>
      </c>
      <c r="AG11" s="9">
        <v>0</v>
      </c>
      <c r="AH11" s="9">
        <v>0</v>
      </c>
      <c r="AI11" s="9">
        <v>0</v>
      </c>
      <c r="AJ11" s="9">
        <v>1</v>
      </c>
    </row>
    <row r="12" spans="1:36" ht="21" customHeight="1" x14ac:dyDescent="0.15">
      <c r="A12" s="22" t="str">
        <f t="shared" ca="1" si="0"/>
        <v>20002_1-3/3&lt;lv7&gt;s2</v>
      </c>
      <c r="B12" s="9">
        <v>20002</v>
      </c>
      <c r="C12" s="32">
        <v>1</v>
      </c>
      <c r="D12" s="2" t="str">
        <f t="shared" si="1"/>
        <v>20002_1</v>
      </c>
      <c r="E12" s="5" t="str">
        <f ca="1">VLOOKUP($B12,OFFSET([1]quests!$A$1,0,0,COUNTA([1]quests!$A:$A),MATCH(E$1,[1]quests!$1:$1,0)-MATCH($B$1,[1]quests!$1:$1,0)+1),MATCH(E$1,[1]quests!$1:$1,0)-MATCH($B$1,[1]quests!$1:$1,0)+1,FALSE)</f>
        <v>孤高の一角獣</v>
      </c>
      <c r="F12" s="5" t="str">
        <f ca="1">VLOOKUP($D12,OFFSET([1]stages!$A$1,0,0,COUNTA([1]stages!$A:$A),MATCH(F$1,[1]stages!$2:$2,0)-MATCH($D$1,[1]stages!$2:$2,0)+1),MATCH(F$1,[1]stages!$2:$2,0)-MATCH($D$1,[1]stages!$2:$2,0)+1,FALSE)</f>
        <v>【初級】孤高の一角獣</v>
      </c>
      <c r="G12" s="39">
        <v>3</v>
      </c>
      <c r="H12" s="21" t="str">
        <f t="shared" ca="1" si="2"/>
        <v>20002_1-3</v>
      </c>
      <c r="I12" s="31">
        <v>3</v>
      </c>
      <c r="J12" s="27" t="str">
        <f ca="1">VLOOKUP($I12,OFFSET([2]enemies!$A$1,0,0,COUNTA([2]enemies!$A:$A),MATCH(J$1,[2]enemies!$1:$1,0)-MATCH($I$1,[2]enemies!$1:$1,0)+1),MATCH(J$1,[2]enemies!$1:$1,0)-MATCH($I$1,[2]enemies!$1:$1,0)+1,FALSE)</f>
        <v>エージェント ジョー</v>
      </c>
      <c r="K12" s="27" t="str">
        <f ca="1">VLOOKUP($I12,OFFSET([2]enemies!$A$1,0,0,COUNTA([2]enemies!$A:$A),MATCH(K$1,[2]enemies!$1:$1,0)-MATCH($I$1,[2]enemies!$1:$1,0)+1),MATCH(K$1,[2]enemies!$1:$1,0)-MATCH($I$1,[2]enemies!$1:$1,0)+1,FALSE)</f>
        <v>green</v>
      </c>
      <c r="L12" s="29" t="str">
        <f ca="1">VLOOKUP(I12,[3]characters!$A:$J,10,FALSE)</f>
        <v>Drop1T</v>
      </c>
      <c r="M12" s="27" t="str">
        <f ca="1">VLOOKUP($I12,OFFSET([2]enemies!$A$1,0,0,COUNTA([2]enemies!$A:$A),MATCH(M$1,[2]enemies!$1:$1,0)-MATCH($I$1,[2]enemies!$1:$1,0)+1),MATCH(M$1,[2]enemies!$1:$1,0)-MATCH($I$1,[2]enemies!$1:$1,0)+1,FALSE)</f>
        <v>unknown</v>
      </c>
      <c r="N12" s="27">
        <f ca="1">VLOOKUP($I12,OFFSET([2]enemies!$A$1,0,0,COUNTA([2]enemies!$A:$A),MATCH(N$1,[2]enemies!$1:$1,0)-MATCH($I$1,[2]enemies!$1:$1,0)+1),MATCH(N$1,[2]enemies!$1:$1,0)-MATCH($I$1,[2]enemies!$1:$1,0)+1,FALSE)</f>
        <v>15</v>
      </c>
      <c r="O12" s="6">
        <v>7</v>
      </c>
      <c r="P12" s="47">
        <v>1.8</v>
      </c>
      <c r="Q12" s="47">
        <v>0.9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7">
        <f ca="1">VLOOKUP($I12,OFFSET([2]enemies!$A$1,0,0,COUNTA([2]enemies!$A:$A),MATCH(T$1,[2]enemies!$1:$1,0)-MATCH($I$1,[2]enemies!$1:$1,0)+1),MATCH(T$1,[2]enemies!$1:$1,0)-MATCH($I$1,[2]enemies!$1:$1,0)+1,FALSE)</f>
        <v>0</v>
      </c>
      <c r="U12" s="7">
        <v>0</v>
      </c>
      <c r="V12" s="7">
        <v>100</v>
      </c>
      <c r="W12" s="7">
        <v>0</v>
      </c>
      <c r="X12" s="27">
        <f ca="1">VLOOKUP($I12,OFFSET([2]enemies!$A$1,0,0,COUNTA([2]enemies!$A:$A),MATCH(X$1,[2]enemies!$1:$1,0)-MATCH($I$1,[2]enemies!$1:$1,0)+1),MATCH(X$1,[2]enemies!$1:$1,0)-MATCH($I$1,[2]enemies!$1:$1,0)+1,FALSE)</f>
        <v>2</v>
      </c>
      <c r="Y12" s="8">
        <v>3</v>
      </c>
      <c r="Z12" s="5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12" s="5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5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2" s="9">
        <v>2</v>
      </c>
      <c r="AD12" s="34">
        <f t="shared" ca="1" si="3"/>
        <v>1</v>
      </c>
      <c r="AE12" s="10">
        <v>25</v>
      </c>
      <c r="AF12" s="9">
        <v>0</v>
      </c>
      <c r="AG12" s="9">
        <v>0</v>
      </c>
      <c r="AH12" s="9">
        <v>0</v>
      </c>
      <c r="AI12" s="9">
        <v>0</v>
      </c>
      <c r="AJ12" s="9">
        <v>1</v>
      </c>
    </row>
    <row r="13" spans="1:36" ht="21" customHeight="1" x14ac:dyDescent="0.15">
      <c r="A13" s="22" t="str">
        <f t="shared" ca="1" si="0"/>
        <v>20002_1-3/11&lt;lv8&gt;s3</v>
      </c>
      <c r="B13" s="9">
        <v>20002</v>
      </c>
      <c r="C13" s="32">
        <v>1</v>
      </c>
      <c r="D13" s="2" t="str">
        <f t="shared" si="1"/>
        <v>20002_1</v>
      </c>
      <c r="E13" s="5" t="str">
        <f ca="1">VLOOKUP($B13,OFFSET([1]quests!$A$1,0,0,COUNTA([1]quests!$A:$A),MATCH(E$1,[1]quests!$1:$1,0)-MATCH($B$1,[1]quests!$1:$1,0)+1),MATCH(E$1,[1]quests!$1:$1,0)-MATCH($B$1,[1]quests!$1:$1,0)+1,FALSE)</f>
        <v>孤高の一角獣</v>
      </c>
      <c r="F13" s="5" t="str">
        <f ca="1">VLOOKUP($D13,OFFSET([1]stages!$A$1,0,0,COUNTA([1]stages!$A:$A),MATCH(F$1,[1]stages!$2:$2,0)-MATCH($D$1,[1]stages!$2:$2,0)+1),MATCH(F$1,[1]stages!$2:$2,0)-MATCH($D$1,[1]stages!$2:$2,0)+1,FALSE)</f>
        <v>【初級】孤高の一角獣</v>
      </c>
      <c r="G13" s="39">
        <v>3</v>
      </c>
      <c r="H13" s="21" t="str">
        <f t="shared" ca="1" si="2"/>
        <v>20002_1-3</v>
      </c>
      <c r="I13" s="31">
        <v>11</v>
      </c>
      <c r="J13" s="27" t="str">
        <f ca="1">VLOOKUP($I13,OFFSET([2]enemies!$A$1,0,0,COUNTA([2]enemies!$A:$A),MATCH(J$1,[2]enemies!$1:$1,0)-MATCH($I$1,[2]enemies!$1:$1,0)+1),MATCH(J$1,[2]enemies!$1:$1,0)-MATCH($I$1,[2]enemies!$1:$1,0)+1,FALSE)</f>
        <v>マグリット</v>
      </c>
      <c r="K13" s="27" t="str">
        <f ca="1">VLOOKUP($I13,OFFSET([2]enemies!$A$1,0,0,COUNTA([2]enemies!$A:$A),MATCH(K$1,[2]enemies!$1:$1,0)-MATCH($I$1,[2]enemies!$1:$1,0)+1),MATCH(K$1,[2]enemies!$1:$1,0)-MATCH($I$1,[2]enemies!$1:$1,0)+1,FALSE)</f>
        <v>green</v>
      </c>
      <c r="L13" s="29" t="str">
        <f ca="1">VLOOKUP(I13,[3]characters!$A:$J,10,FALSE)</f>
        <v>Drop1W</v>
      </c>
      <c r="M13" s="27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7">
        <f ca="1">VLOOKUP($I13,OFFSET([2]enemies!$A$1,0,0,COUNTA([2]enemies!$A:$A),MATCH(N$1,[2]enemies!$1:$1,0)-MATCH($I$1,[2]enemies!$1:$1,0)+1),MATCH(N$1,[2]enemies!$1:$1,0)-MATCH($I$1,[2]enemies!$1:$1,0)+1,FALSE)</f>
        <v>15</v>
      </c>
      <c r="O13" s="6">
        <v>8</v>
      </c>
      <c r="P13" s="47">
        <v>1.8</v>
      </c>
      <c r="Q13" s="47">
        <v>0.9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7">
        <f ca="1">VLOOKUP($I13,OFFSET([2]enemies!$A$1,0,0,COUNTA([2]enemies!$A:$A),MATCH(T$1,[2]enemies!$1:$1,0)-MATCH($I$1,[2]enemies!$1:$1,0)+1),MATCH(T$1,[2]enemies!$1:$1,0)-MATCH($I$1,[2]enemies!$1:$1,0)+1,FALSE)</f>
        <v>0</v>
      </c>
      <c r="U13" s="7">
        <v>0</v>
      </c>
      <c r="V13" s="7">
        <v>100</v>
      </c>
      <c r="W13" s="7">
        <v>0</v>
      </c>
      <c r="X13" s="27">
        <f ca="1">VLOOKUP($I13,OFFSET([2]enemies!$A$1,0,0,COUNTA([2]enemies!$A:$A),MATCH(X$1,[2]enemies!$1:$1,0)-MATCH($I$1,[2]enemies!$1:$1,0)+1),MATCH(X$1,[2]enemies!$1:$1,0)-MATCH($I$1,[2]enemies!$1:$1,0)+1,FALSE)</f>
        <v>3</v>
      </c>
      <c r="Y13" s="8">
        <v>11</v>
      </c>
      <c r="Z13" s="5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3" s="5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5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9">
        <v>1</v>
      </c>
      <c r="AD13" s="34">
        <f t="shared" ca="1" si="3"/>
        <v>1</v>
      </c>
      <c r="AE13" s="10">
        <v>25</v>
      </c>
      <c r="AF13" s="9">
        <v>0</v>
      </c>
      <c r="AG13" s="9">
        <v>0</v>
      </c>
      <c r="AH13" s="9">
        <v>0</v>
      </c>
      <c r="AI13" s="9">
        <v>0</v>
      </c>
      <c r="AJ13" s="9">
        <v>1</v>
      </c>
    </row>
    <row r="14" spans="1:36" ht="21" customHeight="1" x14ac:dyDescent="0.15">
      <c r="A14" s="22" t="str">
        <f t="shared" ca="1" si="0"/>
        <v>20002_1-3/23&lt;lv7&gt;s4</v>
      </c>
      <c r="B14" s="9">
        <v>20002</v>
      </c>
      <c r="C14" s="32">
        <v>1</v>
      </c>
      <c r="D14" s="2" t="str">
        <f t="shared" si="1"/>
        <v>20002_1</v>
      </c>
      <c r="E14" s="5" t="str">
        <f ca="1">VLOOKUP($B14,OFFSET([1]quests!$A$1,0,0,COUNTA([1]quests!$A:$A),MATCH(E$1,[1]quests!$1:$1,0)-MATCH($B$1,[1]quests!$1:$1,0)+1),MATCH(E$1,[1]quests!$1:$1,0)-MATCH($B$1,[1]quests!$1:$1,0)+1,FALSE)</f>
        <v>孤高の一角獣</v>
      </c>
      <c r="F14" s="5" t="str">
        <f ca="1">VLOOKUP($D14,OFFSET([1]stages!$A$1,0,0,COUNTA([1]stages!$A:$A),MATCH(F$1,[1]stages!$2:$2,0)-MATCH($D$1,[1]stages!$2:$2,0)+1),MATCH(F$1,[1]stages!$2:$2,0)-MATCH($D$1,[1]stages!$2:$2,0)+1,FALSE)</f>
        <v>【初級】孤高の一角獣</v>
      </c>
      <c r="G14" s="39">
        <v>3</v>
      </c>
      <c r="H14" s="21" t="str">
        <f t="shared" ca="1" si="2"/>
        <v>20002_1-3</v>
      </c>
      <c r="I14" s="31">
        <v>23</v>
      </c>
      <c r="J14" s="27" t="str">
        <f ca="1">VLOOKUP($I14,OFFSET([2]enemies!$A$1,0,0,COUNTA([2]enemies!$A:$A),MATCH(J$1,[2]enemies!$1:$1,0)-MATCH($I$1,[2]enemies!$1:$1,0)+1),MATCH(J$1,[2]enemies!$1:$1,0)-MATCH($I$1,[2]enemies!$1:$1,0)+1,FALSE)</f>
        <v>ミール</v>
      </c>
      <c r="K14" s="27" t="str">
        <f ca="1">VLOOKUP($I14,OFFSET([2]enemies!$A$1,0,0,COUNTA([2]enemies!$A:$A),MATCH(K$1,[2]enemies!$1:$1,0)-MATCH($I$1,[2]enemies!$1:$1,0)+1),MATCH(K$1,[2]enemies!$1:$1,0)-MATCH($I$1,[2]enemies!$1:$1,0)+1,FALSE)</f>
        <v>green</v>
      </c>
      <c r="L14" s="29" t="str">
        <f ca="1">VLOOKUP(I14,[3]characters!$A:$J,10,FALSE)</f>
        <v>Drop1N</v>
      </c>
      <c r="M14" s="27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27">
        <f ca="1">VLOOKUP($I14,OFFSET([2]enemies!$A$1,0,0,COUNTA([2]enemies!$A:$A),MATCH(N$1,[2]enemies!$1:$1,0)-MATCH($I$1,[2]enemies!$1:$1,0)+1),MATCH(N$1,[2]enemies!$1:$1,0)-MATCH($I$1,[2]enemies!$1:$1,0)+1,FALSE)</f>
        <v>15</v>
      </c>
      <c r="O14" s="6">
        <v>7</v>
      </c>
      <c r="P14" s="47">
        <v>1.8</v>
      </c>
      <c r="Q14" s="47">
        <v>0.9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7">
        <f ca="1">VLOOKUP($I14,OFFSET([2]enemies!$A$1,0,0,COUNTA([2]enemies!$A:$A),MATCH(T$1,[2]enemies!$1:$1,0)-MATCH($I$1,[2]enemies!$1:$1,0)+1),MATCH(T$1,[2]enemies!$1:$1,0)-MATCH($I$1,[2]enemies!$1:$1,0)+1,FALSE)</f>
        <v>0</v>
      </c>
      <c r="U14" s="7">
        <v>0</v>
      </c>
      <c r="V14" s="7">
        <v>60</v>
      </c>
      <c r="W14" s="7">
        <v>0</v>
      </c>
      <c r="X14" s="27">
        <f ca="1">VLOOKUP($I14,OFFSET([2]enemies!$A$1,0,0,COUNTA([2]enemies!$A:$A),MATCH(X$1,[2]enemies!$1:$1,0)-MATCH($I$1,[2]enemies!$1:$1,0)+1),MATCH(X$1,[2]enemies!$1:$1,0)-MATCH($I$1,[2]enemies!$1:$1,0)+1,FALSE)</f>
        <v>4</v>
      </c>
      <c r="Y14" s="8">
        <v>23</v>
      </c>
      <c r="Z14" s="5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14" s="5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5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4" s="9">
        <v>1</v>
      </c>
      <c r="AD14" s="34">
        <f t="shared" ca="1" si="3"/>
        <v>1</v>
      </c>
      <c r="AE14" s="10">
        <v>25</v>
      </c>
      <c r="AF14" s="9">
        <v>0</v>
      </c>
      <c r="AG14" s="9">
        <v>0</v>
      </c>
      <c r="AH14" s="9">
        <v>0</v>
      </c>
      <c r="AI14" s="9">
        <v>0</v>
      </c>
      <c r="AJ14" s="9">
        <v>1</v>
      </c>
    </row>
    <row r="15" spans="1:36" ht="21" customHeight="1" x14ac:dyDescent="0.15">
      <c r="A15" s="22" t="str">
        <f t="shared" ca="1" si="0"/>
        <v>20002_1-3/27&lt;lv7&gt;s1</v>
      </c>
      <c r="B15" s="9">
        <v>20002</v>
      </c>
      <c r="C15" s="32">
        <v>1</v>
      </c>
      <c r="D15" s="2" t="str">
        <f t="shared" si="1"/>
        <v>20002_1</v>
      </c>
      <c r="E15" s="5" t="str">
        <f ca="1">VLOOKUP($B15,OFFSET([1]quests!$A$1,0,0,COUNTA([1]quests!$A:$A),MATCH(E$1,[1]quests!$1:$1,0)-MATCH($B$1,[1]quests!$1:$1,0)+1),MATCH(E$1,[1]quests!$1:$1,0)-MATCH($B$1,[1]quests!$1:$1,0)+1,FALSE)</f>
        <v>孤高の一角獣</v>
      </c>
      <c r="F15" s="5" t="str">
        <f ca="1">VLOOKUP($D15,OFFSET([1]stages!$A$1,0,0,COUNTA([1]stages!$A:$A),MATCH(F$1,[1]stages!$2:$2,0)-MATCH($D$1,[1]stages!$2:$2,0)+1),MATCH(F$1,[1]stages!$2:$2,0)-MATCH($D$1,[1]stages!$2:$2,0)+1,FALSE)</f>
        <v>【初級】孤高の一角獣</v>
      </c>
      <c r="G15" s="39">
        <v>3</v>
      </c>
      <c r="H15" s="21" t="str">
        <f t="shared" ca="1" si="2"/>
        <v>20002_1-3</v>
      </c>
      <c r="I15" s="31">
        <v>27</v>
      </c>
      <c r="J15" s="27" t="str">
        <f ca="1">VLOOKUP($I15,OFFSET([2]enemies!$A$1,0,0,COUNTA([2]enemies!$A:$A),MATCH(J$1,[2]enemies!$1:$1,0)-MATCH($I$1,[2]enemies!$1:$1,0)+1),MATCH(J$1,[2]enemies!$1:$1,0)-MATCH($I$1,[2]enemies!$1:$1,0)+1,FALSE)</f>
        <v>パトライン</v>
      </c>
      <c r="K15" s="27" t="str">
        <f ca="1">VLOOKUP($I15,OFFSET([2]enemies!$A$1,0,0,COUNTA([2]enemies!$A:$A),MATCH(K$1,[2]enemies!$1:$1,0)-MATCH($I$1,[2]enemies!$1:$1,0)+1),MATCH(K$1,[2]enemies!$1:$1,0)-MATCH($I$1,[2]enemies!$1:$1,0)+1,FALSE)</f>
        <v>green</v>
      </c>
      <c r="L15" s="29" t="str">
        <f ca="1">VLOOKUP(I15,[3]characters!$A:$J,10,FALSE)</f>
        <v>Drop1N</v>
      </c>
      <c r="M15" s="27" t="str">
        <f ca="1">VLOOKUP($I15,OFFSET([2]enemies!$A$1,0,0,COUNTA([2]enemies!$A:$A),MATCH(M$1,[2]enemies!$1:$1,0)-MATCH($I$1,[2]enemies!$1:$1,0)+1),MATCH(M$1,[2]enemies!$1:$1,0)-MATCH($I$1,[2]enemies!$1:$1,0)+1,FALSE)</f>
        <v>machine</v>
      </c>
      <c r="N15" s="27">
        <f ca="1">VLOOKUP($I15,OFFSET([2]enemies!$A$1,0,0,COUNTA([2]enemies!$A:$A),MATCH(N$1,[2]enemies!$1:$1,0)-MATCH($I$1,[2]enemies!$1:$1,0)+1),MATCH(N$1,[2]enemies!$1:$1,0)-MATCH($I$1,[2]enemies!$1:$1,0)+1,FALSE)</f>
        <v>15</v>
      </c>
      <c r="O15" s="6">
        <v>7</v>
      </c>
      <c r="P15" s="47">
        <v>1.8</v>
      </c>
      <c r="Q15" s="47">
        <v>0.9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7">
        <f ca="1">VLOOKUP($I15,OFFSET([2]enemies!$A$1,0,0,COUNTA([2]enemies!$A:$A),MATCH(T$1,[2]enemies!$1:$1,0)-MATCH($I$1,[2]enemies!$1:$1,0)+1),MATCH(T$1,[2]enemies!$1:$1,0)-MATCH($I$1,[2]enemies!$1:$1,0)+1,FALSE)</f>
        <v>0</v>
      </c>
      <c r="U15" s="7">
        <v>0</v>
      </c>
      <c r="V15" s="7">
        <v>100</v>
      </c>
      <c r="W15" s="7">
        <v>0</v>
      </c>
      <c r="X15" s="27">
        <f ca="1">VLOOKUP($I15,OFFSET([2]enemies!$A$1,0,0,COUNTA([2]enemies!$A:$A),MATCH(X$1,[2]enemies!$1:$1,0)-MATCH($I$1,[2]enemies!$1:$1,0)+1),MATCH(X$1,[2]enemies!$1:$1,0)-MATCH($I$1,[2]enemies!$1:$1,0)+1,FALSE)</f>
        <v>1</v>
      </c>
      <c r="Y15" s="8">
        <v>27</v>
      </c>
      <c r="Z15" s="5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15" s="5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5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5" s="9">
        <v>1</v>
      </c>
      <c r="AD15" s="34">
        <f t="shared" ca="1" si="3"/>
        <v>1</v>
      </c>
      <c r="AE15" s="10">
        <v>25</v>
      </c>
      <c r="AF15" s="9">
        <v>0</v>
      </c>
      <c r="AG15" s="9">
        <v>0</v>
      </c>
      <c r="AH15" s="9">
        <v>0</v>
      </c>
      <c r="AI15" s="9">
        <v>0</v>
      </c>
      <c r="AJ15" s="9">
        <v>1</v>
      </c>
    </row>
    <row r="16" spans="1:36" ht="21" customHeight="1" x14ac:dyDescent="0.15">
      <c r="A16" s="22" t="str">
        <f t="shared" ca="1" si="0"/>
        <v>20002_1-3/43&lt;lv7&gt;s2</v>
      </c>
      <c r="B16" s="9">
        <v>20002</v>
      </c>
      <c r="C16" s="32">
        <v>1</v>
      </c>
      <c r="D16" s="2" t="str">
        <f t="shared" si="1"/>
        <v>20002_1</v>
      </c>
      <c r="E16" s="5" t="str">
        <f ca="1">VLOOKUP($B16,OFFSET([1]quests!$A$1,0,0,COUNTA([1]quests!$A:$A),MATCH(E$1,[1]quests!$1:$1,0)-MATCH($B$1,[1]quests!$1:$1,0)+1),MATCH(E$1,[1]quests!$1:$1,0)-MATCH($B$1,[1]quests!$1:$1,0)+1,FALSE)</f>
        <v>孤高の一角獣</v>
      </c>
      <c r="F16" s="5" t="str">
        <f ca="1">VLOOKUP($D16,OFFSET([1]stages!$A$1,0,0,COUNTA([1]stages!$A:$A),MATCH(F$1,[1]stages!$2:$2,0)-MATCH($D$1,[1]stages!$2:$2,0)+1),MATCH(F$1,[1]stages!$2:$2,0)-MATCH($D$1,[1]stages!$2:$2,0)+1,FALSE)</f>
        <v>【初級】孤高の一角獣</v>
      </c>
      <c r="G16" s="39">
        <v>3</v>
      </c>
      <c r="H16" s="21" t="str">
        <f t="shared" ca="1" si="2"/>
        <v>20002_1-3</v>
      </c>
      <c r="I16" s="31">
        <v>43</v>
      </c>
      <c r="J16" s="27" t="str">
        <f ca="1">VLOOKUP($I16,OFFSET([2]enemies!$A$1,0,0,COUNTA([2]enemies!$A:$A),MATCH(J$1,[2]enemies!$1:$1,0)-MATCH($I$1,[2]enemies!$1:$1,0)+1),MATCH(J$1,[2]enemies!$1:$1,0)-MATCH($I$1,[2]enemies!$1:$1,0)+1,FALSE)</f>
        <v>ムゥ</v>
      </c>
      <c r="K16" s="27" t="str">
        <f ca="1">VLOOKUP($I16,OFFSET([2]enemies!$A$1,0,0,COUNTA([2]enemies!$A:$A),MATCH(K$1,[2]enemies!$1:$1,0)-MATCH($I$1,[2]enemies!$1:$1,0)+1),MATCH(K$1,[2]enemies!$1:$1,0)-MATCH($I$1,[2]enemies!$1:$1,0)+1,FALSE)</f>
        <v>green</v>
      </c>
      <c r="L16" s="29" t="str">
        <f ca="1">VLOOKUP(I16,[3]characters!$A:$J,10,FALSE)</f>
        <v>Drop1N</v>
      </c>
      <c r="M16" s="27" t="str">
        <f ca="1">VLOOKUP($I16,OFFSET([2]enemies!$A$1,0,0,COUNTA([2]enemies!$A:$A),MATCH(M$1,[2]enemies!$1:$1,0)-MATCH($I$1,[2]enemies!$1:$1,0)+1),MATCH(M$1,[2]enemies!$1:$1,0)-MATCH($I$1,[2]enemies!$1:$1,0)+1,FALSE)</f>
        <v>dragon</v>
      </c>
      <c r="N16" s="27">
        <f ca="1">VLOOKUP($I16,OFFSET([2]enemies!$A$1,0,0,COUNTA([2]enemies!$A:$A),MATCH(N$1,[2]enemies!$1:$1,0)-MATCH($I$1,[2]enemies!$1:$1,0)+1),MATCH(N$1,[2]enemies!$1:$1,0)-MATCH($I$1,[2]enemies!$1:$1,0)+1,FALSE)</f>
        <v>15</v>
      </c>
      <c r="O16" s="6">
        <v>7</v>
      </c>
      <c r="P16" s="47">
        <v>1.8</v>
      </c>
      <c r="Q16" s="47">
        <v>0.9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7">
        <f ca="1">VLOOKUP($I16,OFFSET([2]enemies!$A$1,0,0,COUNTA([2]enemies!$A:$A),MATCH(T$1,[2]enemies!$1:$1,0)-MATCH($I$1,[2]enemies!$1:$1,0)+1),MATCH(T$1,[2]enemies!$1:$1,0)-MATCH($I$1,[2]enemies!$1:$1,0)+1,FALSE)</f>
        <v>0</v>
      </c>
      <c r="U16" s="7">
        <v>0</v>
      </c>
      <c r="V16" s="7">
        <v>100</v>
      </c>
      <c r="W16" s="7">
        <v>0</v>
      </c>
      <c r="X16" s="27">
        <f ca="1">VLOOKUP($I16,OFFSET([2]enemies!$A$1,0,0,COUNTA([2]enemies!$A:$A),MATCH(X$1,[2]enemies!$1:$1,0)-MATCH($I$1,[2]enemies!$1:$1,0)+1),MATCH(X$1,[2]enemies!$1:$1,0)-MATCH($I$1,[2]enemies!$1:$1,0)+1,FALSE)</f>
        <v>2</v>
      </c>
      <c r="Y16" s="8">
        <v>43</v>
      </c>
      <c r="Z16" s="5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16" s="5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5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9">
        <v>1</v>
      </c>
      <c r="AD16" s="34">
        <f t="shared" ca="1" si="3"/>
        <v>2</v>
      </c>
      <c r="AE16" s="10">
        <v>25</v>
      </c>
      <c r="AF16" s="9">
        <v>0</v>
      </c>
      <c r="AG16" s="9">
        <v>0</v>
      </c>
      <c r="AH16" s="9">
        <v>0</v>
      </c>
      <c r="AI16" s="9">
        <v>0</v>
      </c>
      <c r="AJ16" s="9">
        <v>1</v>
      </c>
    </row>
    <row r="17" spans="1:36" ht="21" customHeight="1" x14ac:dyDescent="0.15">
      <c r="A17" s="22" t="str">
        <f t="shared" ca="1" si="0"/>
        <v>20002_1-4/3&lt;lv7&gt;s2</v>
      </c>
      <c r="B17" s="9">
        <v>20002</v>
      </c>
      <c r="C17" s="32">
        <v>1</v>
      </c>
      <c r="D17" s="2" t="str">
        <f t="shared" si="1"/>
        <v>20002_1</v>
      </c>
      <c r="E17" s="5" t="str">
        <f ca="1">VLOOKUP($B17,OFFSET([1]quests!$A$1,0,0,COUNTA([1]quests!$A:$A),MATCH(E$1,[1]quests!$1:$1,0)-MATCH($B$1,[1]quests!$1:$1,0)+1),MATCH(E$1,[1]quests!$1:$1,0)-MATCH($B$1,[1]quests!$1:$1,0)+1,FALSE)</f>
        <v>孤高の一角獣</v>
      </c>
      <c r="F17" s="5" t="str">
        <f ca="1">VLOOKUP($D17,OFFSET([1]stages!$A$1,0,0,COUNTA([1]stages!$A:$A),MATCH(F$1,[1]stages!$2:$2,0)-MATCH($D$1,[1]stages!$2:$2,0)+1),MATCH(F$1,[1]stages!$2:$2,0)-MATCH($D$1,[1]stages!$2:$2,0)+1,FALSE)</f>
        <v>【初級】孤高の一角獣</v>
      </c>
      <c r="G17" s="40">
        <v>4</v>
      </c>
      <c r="H17" s="21" t="str">
        <f t="shared" ca="1" si="2"/>
        <v>20002_1-4</v>
      </c>
      <c r="I17" s="31">
        <v>3</v>
      </c>
      <c r="J17" s="27" t="str">
        <f ca="1">VLOOKUP($I17,OFFSET([2]enemies!$A$1,0,0,COUNTA([2]enemies!$A:$A),MATCH(J$1,[2]enemies!$1:$1,0)-MATCH($I$1,[2]enemies!$1:$1,0)+1),MATCH(J$1,[2]enemies!$1:$1,0)-MATCH($I$1,[2]enemies!$1:$1,0)+1,FALSE)</f>
        <v>エージェント ジョー</v>
      </c>
      <c r="K17" s="27" t="str">
        <f ca="1">VLOOKUP($I17,OFFSET([2]enemies!$A$1,0,0,COUNTA([2]enemies!$A:$A),MATCH(K$1,[2]enemies!$1:$1,0)-MATCH($I$1,[2]enemies!$1:$1,0)+1),MATCH(K$1,[2]enemies!$1:$1,0)-MATCH($I$1,[2]enemies!$1:$1,0)+1,FALSE)</f>
        <v>green</v>
      </c>
      <c r="L17" s="29" t="str">
        <f ca="1">VLOOKUP(I17,[3]characters!$A:$J,10,FALSE)</f>
        <v>Drop1T</v>
      </c>
      <c r="M17" s="27" t="str">
        <f ca="1">VLOOKUP($I17,OFFSET([2]enemies!$A$1,0,0,COUNTA([2]enemies!$A:$A),MATCH(M$1,[2]enemies!$1:$1,0)-MATCH($I$1,[2]enemies!$1:$1,0)+1),MATCH(M$1,[2]enemies!$1:$1,0)-MATCH($I$1,[2]enemies!$1:$1,0)+1,FALSE)</f>
        <v>unknown</v>
      </c>
      <c r="N17" s="27">
        <f ca="1">VLOOKUP($I17,OFFSET([2]enemies!$A$1,0,0,COUNTA([2]enemies!$A:$A),MATCH(N$1,[2]enemies!$1:$1,0)-MATCH($I$1,[2]enemies!$1:$1,0)+1),MATCH(N$1,[2]enemies!$1:$1,0)-MATCH($I$1,[2]enemies!$1:$1,0)+1,FALSE)</f>
        <v>15</v>
      </c>
      <c r="O17" s="6">
        <v>7</v>
      </c>
      <c r="P17" s="47">
        <v>1.8</v>
      </c>
      <c r="Q17" s="47">
        <v>0.9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7">
        <f ca="1">VLOOKUP($I17,OFFSET([2]enemies!$A$1,0,0,COUNTA([2]enemies!$A:$A),MATCH(T$1,[2]enemies!$1:$1,0)-MATCH($I$1,[2]enemies!$1:$1,0)+1),MATCH(T$1,[2]enemies!$1:$1,0)-MATCH($I$1,[2]enemies!$1:$1,0)+1,FALSE)</f>
        <v>0</v>
      </c>
      <c r="U17" s="7">
        <v>0</v>
      </c>
      <c r="V17" s="7">
        <v>100</v>
      </c>
      <c r="W17" s="7">
        <v>0</v>
      </c>
      <c r="X17" s="27">
        <f ca="1">VLOOKUP($I17,OFFSET([2]enemies!$A$1,0,0,COUNTA([2]enemies!$A:$A),MATCH(X$1,[2]enemies!$1:$1,0)-MATCH($I$1,[2]enemies!$1:$1,0)+1),MATCH(X$1,[2]enemies!$1:$1,0)-MATCH($I$1,[2]enemies!$1:$1,0)+1,FALSE)</f>
        <v>2</v>
      </c>
      <c r="Y17" s="8">
        <v>3</v>
      </c>
      <c r="Z17" s="5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17" s="5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5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7" s="9">
        <v>2</v>
      </c>
      <c r="AD17" s="34">
        <f t="shared" ca="1" si="3"/>
        <v>1</v>
      </c>
      <c r="AE17" s="10">
        <v>25</v>
      </c>
      <c r="AF17" s="9">
        <v>0</v>
      </c>
      <c r="AG17" s="9">
        <v>0</v>
      </c>
      <c r="AH17" s="9">
        <v>0</v>
      </c>
      <c r="AI17" s="9">
        <v>0</v>
      </c>
      <c r="AJ17" s="9">
        <v>1</v>
      </c>
    </row>
    <row r="18" spans="1:36" ht="21" customHeight="1" x14ac:dyDescent="0.15">
      <c r="A18" s="22" t="str">
        <f t="shared" ca="1" si="0"/>
        <v>20002_1-4/11&lt;lv8&gt;s3</v>
      </c>
      <c r="B18" s="9">
        <v>20002</v>
      </c>
      <c r="C18" s="32">
        <v>1</v>
      </c>
      <c r="D18" s="2" t="str">
        <f t="shared" si="1"/>
        <v>20002_1</v>
      </c>
      <c r="E18" s="5" t="str">
        <f ca="1">VLOOKUP($B18,OFFSET([1]quests!$A$1,0,0,COUNTA([1]quests!$A:$A),MATCH(E$1,[1]quests!$1:$1,0)-MATCH($B$1,[1]quests!$1:$1,0)+1),MATCH(E$1,[1]quests!$1:$1,0)-MATCH($B$1,[1]quests!$1:$1,0)+1,FALSE)</f>
        <v>孤高の一角獣</v>
      </c>
      <c r="F18" s="5" t="str">
        <f ca="1">VLOOKUP($D18,OFFSET([1]stages!$A$1,0,0,COUNTA([1]stages!$A:$A),MATCH(F$1,[1]stages!$2:$2,0)-MATCH($D$1,[1]stages!$2:$2,0)+1),MATCH(F$1,[1]stages!$2:$2,0)-MATCH($D$1,[1]stages!$2:$2,0)+1,FALSE)</f>
        <v>【初級】孤高の一角獣</v>
      </c>
      <c r="G18" s="40">
        <v>4</v>
      </c>
      <c r="H18" s="21" t="str">
        <f t="shared" ca="1" si="2"/>
        <v>20002_1-4</v>
      </c>
      <c r="I18" s="31">
        <v>11</v>
      </c>
      <c r="J18" s="27" t="str">
        <f ca="1">VLOOKUP($I18,OFFSET([2]enemies!$A$1,0,0,COUNTA([2]enemies!$A:$A),MATCH(J$1,[2]enemies!$1:$1,0)-MATCH($I$1,[2]enemies!$1:$1,0)+1),MATCH(J$1,[2]enemies!$1:$1,0)-MATCH($I$1,[2]enemies!$1:$1,0)+1,FALSE)</f>
        <v>マグリット</v>
      </c>
      <c r="K18" s="27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9" t="str">
        <f ca="1">VLOOKUP(I18,[3]characters!$A:$J,10,FALSE)</f>
        <v>Drop1W</v>
      </c>
      <c r="M18" s="27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7">
        <f ca="1">VLOOKUP($I18,OFFSET([2]enemies!$A$1,0,0,COUNTA([2]enemies!$A:$A),MATCH(N$1,[2]enemies!$1:$1,0)-MATCH($I$1,[2]enemies!$1:$1,0)+1),MATCH(N$1,[2]enemies!$1:$1,0)-MATCH($I$1,[2]enemies!$1:$1,0)+1,FALSE)</f>
        <v>15</v>
      </c>
      <c r="O18" s="6">
        <v>8</v>
      </c>
      <c r="P18" s="47">
        <v>1.8</v>
      </c>
      <c r="Q18" s="47">
        <v>0.9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7">
        <f ca="1">VLOOKUP($I18,OFFSET([2]enemies!$A$1,0,0,COUNTA([2]enemies!$A:$A),MATCH(T$1,[2]enemies!$1:$1,0)-MATCH($I$1,[2]enemies!$1:$1,0)+1),MATCH(T$1,[2]enemies!$1:$1,0)-MATCH($I$1,[2]enemies!$1:$1,0)+1,FALSE)</f>
        <v>0</v>
      </c>
      <c r="U18" s="7">
        <v>0</v>
      </c>
      <c r="V18" s="7">
        <v>100</v>
      </c>
      <c r="W18" s="7">
        <v>0</v>
      </c>
      <c r="X18" s="27">
        <f ca="1">VLOOKUP($I18,OFFSET([2]enemies!$A$1,0,0,COUNTA([2]enemies!$A:$A),MATCH(X$1,[2]enemies!$1:$1,0)-MATCH($I$1,[2]enemies!$1:$1,0)+1),MATCH(X$1,[2]enemies!$1:$1,0)-MATCH($I$1,[2]enemies!$1:$1,0)+1,FALSE)</f>
        <v>3</v>
      </c>
      <c r="Y18" s="8">
        <v>11</v>
      </c>
      <c r="Z18" s="5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8" s="5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5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9">
        <v>1</v>
      </c>
      <c r="AD18" s="34">
        <f t="shared" ca="1" si="3"/>
        <v>1</v>
      </c>
      <c r="AE18" s="10">
        <v>25</v>
      </c>
      <c r="AF18" s="9">
        <v>0</v>
      </c>
      <c r="AG18" s="9">
        <v>0</v>
      </c>
      <c r="AH18" s="9">
        <v>0</v>
      </c>
      <c r="AI18" s="9">
        <v>0</v>
      </c>
      <c r="AJ18" s="9">
        <v>1</v>
      </c>
    </row>
    <row r="19" spans="1:36" ht="21" customHeight="1" x14ac:dyDescent="0.15">
      <c r="A19" s="22" t="str">
        <f t="shared" ca="1" si="0"/>
        <v>20002_1-4/23&lt;lv7&gt;s4</v>
      </c>
      <c r="B19" s="9">
        <v>20002</v>
      </c>
      <c r="C19" s="32">
        <v>1</v>
      </c>
      <c r="D19" s="2" t="str">
        <f t="shared" si="1"/>
        <v>20002_1</v>
      </c>
      <c r="E19" s="5" t="str">
        <f ca="1">VLOOKUP($B19,OFFSET([1]quests!$A$1,0,0,COUNTA([1]quests!$A:$A),MATCH(E$1,[1]quests!$1:$1,0)-MATCH($B$1,[1]quests!$1:$1,0)+1),MATCH(E$1,[1]quests!$1:$1,0)-MATCH($B$1,[1]quests!$1:$1,0)+1,FALSE)</f>
        <v>孤高の一角獣</v>
      </c>
      <c r="F19" s="5" t="str">
        <f ca="1">VLOOKUP($D19,OFFSET([1]stages!$A$1,0,0,COUNTA([1]stages!$A:$A),MATCH(F$1,[1]stages!$2:$2,0)-MATCH($D$1,[1]stages!$2:$2,0)+1),MATCH(F$1,[1]stages!$2:$2,0)-MATCH($D$1,[1]stages!$2:$2,0)+1,FALSE)</f>
        <v>【初級】孤高の一角獣</v>
      </c>
      <c r="G19" s="40">
        <v>4</v>
      </c>
      <c r="H19" s="21" t="str">
        <f t="shared" ca="1" si="2"/>
        <v>20002_1-4</v>
      </c>
      <c r="I19" s="31">
        <v>23</v>
      </c>
      <c r="J19" s="27" t="str">
        <f ca="1">VLOOKUP($I19,OFFSET([2]enemies!$A$1,0,0,COUNTA([2]enemies!$A:$A),MATCH(J$1,[2]enemies!$1:$1,0)-MATCH($I$1,[2]enemies!$1:$1,0)+1),MATCH(J$1,[2]enemies!$1:$1,0)-MATCH($I$1,[2]enemies!$1:$1,0)+1,FALSE)</f>
        <v>ミール</v>
      </c>
      <c r="K19" s="27" t="str">
        <f ca="1">VLOOKUP($I19,OFFSET([2]enemies!$A$1,0,0,COUNTA([2]enemies!$A:$A),MATCH(K$1,[2]enemies!$1:$1,0)-MATCH($I$1,[2]enemies!$1:$1,0)+1),MATCH(K$1,[2]enemies!$1:$1,0)-MATCH($I$1,[2]enemies!$1:$1,0)+1,FALSE)</f>
        <v>green</v>
      </c>
      <c r="L19" s="29" t="str">
        <f ca="1">VLOOKUP(I19,[3]characters!$A:$J,10,FALSE)</f>
        <v>Drop1N</v>
      </c>
      <c r="M19" s="27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7">
        <f ca="1">VLOOKUP($I19,OFFSET([2]enemies!$A$1,0,0,COUNTA([2]enemies!$A:$A),MATCH(N$1,[2]enemies!$1:$1,0)-MATCH($I$1,[2]enemies!$1:$1,0)+1),MATCH(N$1,[2]enemies!$1:$1,0)-MATCH($I$1,[2]enemies!$1:$1,0)+1,FALSE)</f>
        <v>15</v>
      </c>
      <c r="O19" s="6">
        <v>7</v>
      </c>
      <c r="P19" s="47">
        <v>1.8</v>
      </c>
      <c r="Q19" s="47">
        <v>0.9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7">
        <f ca="1">VLOOKUP($I19,OFFSET([2]enemies!$A$1,0,0,COUNTA([2]enemies!$A:$A),MATCH(T$1,[2]enemies!$1:$1,0)-MATCH($I$1,[2]enemies!$1:$1,0)+1),MATCH(T$1,[2]enemies!$1:$1,0)-MATCH($I$1,[2]enemies!$1:$1,0)+1,FALSE)</f>
        <v>0</v>
      </c>
      <c r="U19" s="7">
        <v>0</v>
      </c>
      <c r="V19" s="7">
        <v>60</v>
      </c>
      <c r="W19" s="7">
        <v>0</v>
      </c>
      <c r="X19" s="27">
        <f ca="1">VLOOKUP($I19,OFFSET([2]enemies!$A$1,0,0,COUNTA([2]enemies!$A:$A),MATCH(X$1,[2]enemies!$1:$1,0)-MATCH($I$1,[2]enemies!$1:$1,0)+1),MATCH(X$1,[2]enemies!$1:$1,0)-MATCH($I$1,[2]enemies!$1:$1,0)+1,FALSE)</f>
        <v>4</v>
      </c>
      <c r="Y19" s="8">
        <v>23</v>
      </c>
      <c r="Z19" s="5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19" s="5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5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9">
        <v>1</v>
      </c>
      <c r="AD19" s="34">
        <f t="shared" ca="1" si="3"/>
        <v>1</v>
      </c>
      <c r="AE19" s="10">
        <v>25</v>
      </c>
      <c r="AF19" s="9">
        <v>0</v>
      </c>
      <c r="AG19" s="9">
        <v>0</v>
      </c>
      <c r="AH19" s="9">
        <v>0</v>
      </c>
      <c r="AI19" s="9">
        <v>0</v>
      </c>
      <c r="AJ19" s="9">
        <v>1</v>
      </c>
    </row>
    <row r="20" spans="1:36" ht="21" customHeight="1" x14ac:dyDescent="0.15">
      <c r="A20" s="22" t="str">
        <f t="shared" ca="1" si="0"/>
        <v>20002_1-4/27&lt;lv7&gt;s1</v>
      </c>
      <c r="B20" s="9">
        <v>20002</v>
      </c>
      <c r="C20" s="32">
        <v>1</v>
      </c>
      <c r="D20" s="2" t="str">
        <f t="shared" si="1"/>
        <v>20002_1</v>
      </c>
      <c r="E20" s="5" t="str">
        <f ca="1">VLOOKUP($B20,OFFSET([1]quests!$A$1,0,0,COUNTA([1]quests!$A:$A),MATCH(E$1,[1]quests!$1:$1,0)-MATCH($B$1,[1]quests!$1:$1,0)+1),MATCH(E$1,[1]quests!$1:$1,0)-MATCH($B$1,[1]quests!$1:$1,0)+1,FALSE)</f>
        <v>孤高の一角獣</v>
      </c>
      <c r="F20" s="5" t="str">
        <f ca="1">VLOOKUP($D20,OFFSET([1]stages!$A$1,0,0,COUNTA([1]stages!$A:$A),MATCH(F$1,[1]stages!$2:$2,0)-MATCH($D$1,[1]stages!$2:$2,0)+1),MATCH(F$1,[1]stages!$2:$2,0)-MATCH($D$1,[1]stages!$2:$2,0)+1,FALSE)</f>
        <v>【初級】孤高の一角獣</v>
      </c>
      <c r="G20" s="40">
        <v>4</v>
      </c>
      <c r="H20" s="21" t="str">
        <f t="shared" ca="1" si="2"/>
        <v>20002_1-4</v>
      </c>
      <c r="I20" s="31">
        <v>27</v>
      </c>
      <c r="J20" s="27" t="str">
        <f ca="1">VLOOKUP($I20,OFFSET([2]enemies!$A$1,0,0,COUNTA([2]enemies!$A:$A),MATCH(J$1,[2]enemies!$1:$1,0)-MATCH($I$1,[2]enemies!$1:$1,0)+1),MATCH(J$1,[2]enemies!$1:$1,0)-MATCH($I$1,[2]enemies!$1:$1,0)+1,FALSE)</f>
        <v>パトライン</v>
      </c>
      <c r="K20" s="27" t="str">
        <f ca="1">VLOOKUP($I20,OFFSET([2]enemies!$A$1,0,0,COUNTA([2]enemies!$A:$A),MATCH(K$1,[2]enemies!$1:$1,0)-MATCH($I$1,[2]enemies!$1:$1,0)+1),MATCH(K$1,[2]enemies!$1:$1,0)-MATCH($I$1,[2]enemies!$1:$1,0)+1,FALSE)</f>
        <v>green</v>
      </c>
      <c r="L20" s="29" t="str">
        <f ca="1">VLOOKUP(I20,[3]characters!$A:$J,10,FALSE)</f>
        <v>Drop1N</v>
      </c>
      <c r="M20" s="27" t="str">
        <f ca="1">VLOOKUP($I20,OFFSET([2]enemies!$A$1,0,0,COUNTA([2]enemies!$A:$A),MATCH(M$1,[2]enemies!$1:$1,0)-MATCH($I$1,[2]enemies!$1:$1,0)+1),MATCH(M$1,[2]enemies!$1:$1,0)-MATCH($I$1,[2]enemies!$1:$1,0)+1,FALSE)</f>
        <v>machine</v>
      </c>
      <c r="N20" s="27">
        <f ca="1">VLOOKUP($I20,OFFSET([2]enemies!$A$1,0,0,COUNTA([2]enemies!$A:$A),MATCH(N$1,[2]enemies!$1:$1,0)-MATCH($I$1,[2]enemies!$1:$1,0)+1),MATCH(N$1,[2]enemies!$1:$1,0)-MATCH($I$1,[2]enemies!$1:$1,0)+1,FALSE)</f>
        <v>15</v>
      </c>
      <c r="O20" s="6">
        <v>7</v>
      </c>
      <c r="P20" s="47">
        <v>1.8</v>
      </c>
      <c r="Q20" s="47">
        <v>0.9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7">
        <f ca="1">VLOOKUP($I20,OFFSET([2]enemies!$A$1,0,0,COUNTA([2]enemies!$A:$A),MATCH(T$1,[2]enemies!$1:$1,0)-MATCH($I$1,[2]enemies!$1:$1,0)+1),MATCH(T$1,[2]enemies!$1:$1,0)-MATCH($I$1,[2]enemies!$1:$1,0)+1,FALSE)</f>
        <v>0</v>
      </c>
      <c r="U20" s="7">
        <v>0</v>
      </c>
      <c r="V20" s="7">
        <v>100</v>
      </c>
      <c r="W20" s="7">
        <v>0</v>
      </c>
      <c r="X20" s="27">
        <f ca="1">VLOOKUP($I20,OFFSET([2]enemies!$A$1,0,0,COUNTA([2]enemies!$A:$A),MATCH(X$1,[2]enemies!$1:$1,0)-MATCH($I$1,[2]enemies!$1:$1,0)+1),MATCH(X$1,[2]enemies!$1:$1,0)-MATCH($I$1,[2]enemies!$1:$1,0)+1,FALSE)</f>
        <v>1</v>
      </c>
      <c r="Y20" s="8">
        <v>27</v>
      </c>
      <c r="Z20" s="5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0" s="5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5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9">
        <v>1</v>
      </c>
      <c r="AD20" s="34">
        <f t="shared" ca="1" si="3"/>
        <v>1</v>
      </c>
      <c r="AE20" s="10">
        <v>25</v>
      </c>
      <c r="AF20" s="9">
        <v>0</v>
      </c>
      <c r="AG20" s="9">
        <v>0</v>
      </c>
      <c r="AH20" s="9">
        <v>0</v>
      </c>
      <c r="AI20" s="9">
        <v>0</v>
      </c>
      <c r="AJ20" s="9">
        <v>1</v>
      </c>
    </row>
    <row r="21" spans="1:36" ht="21" customHeight="1" x14ac:dyDescent="0.15">
      <c r="A21" s="22" t="str">
        <f t="shared" ca="1" si="0"/>
        <v>20002_1-4/43&lt;lv7&gt;s2</v>
      </c>
      <c r="B21" s="9">
        <v>20002</v>
      </c>
      <c r="C21" s="32">
        <v>1</v>
      </c>
      <c r="D21" s="2" t="str">
        <f t="shared" si="1"/>
        <v>20002_1</v>
      </c>
      <c r="E21" s="5" t="str">
        <f ca="1">VLOOKUP($B21,OFFSET([1]quests!$A$1,0,0,COUNTA([1]quests!$A:$A),MATCH(E$1,[1]quests!$1:$1,0)-MATCH($B$1,[1]quests!$1:$1,0)+1),MATCH(E$1,[1]quests!$1:$1,0)-MATCH($B$1,[1]quests!$1:$1,0)+1,FALSE)</f>
        <v>孤高の一角獣</v>
      </c>
      <c r="F21" s="5" t="str">
        <f ca="1">VLOOKUP($D21,OFFSET([1]stages!$A$1,0,0,COUNTA([1]stages!$A:$A),MATCH(F$1,[1]stages!$2:$2,0)-MATCH($D$1,[1]stages!$2:$2,0)+1),MATCH(F$1,[1]stages!$2:$2,0)-MATCH($D$1,[1]stages!$2:$2,0)+1,FALSE)</f>
        <v>【初級】孤高の一角獣</v>
      </c>
      <c r="G21" s="40">
        <v>4</v>
      </c>
      <c r="H21" s="21" t="str">
        <f t="shared" ca="1" si="2"/>
        <v>20002_1-4</v>
      </c>
      <c r="I21" s="31">
        <v>43</v>
      </c>
      <c r="J21" s="27" t="str">
        <f ca="1">VLOOKUP($I21,OFFSET([2]enemies!$A$1,0,0,COUNTA([2]enemies!$A:$A),MATCH(J$1,[2]enemies!$1:$1,0)-MATCH($I$1,[2]enemies!$1:$1,0)+1),MATCH(J$1,[2]enemies!$1:$1,0)-MATCH($I$1,[2]enemies!$1:$1,0)+1,FALSE)</f>
        <v>ムゥ</v>
      </c>
      <c r="K21" s="27" t="str">
        <f ca="1">VLOOKUP($I21,OFFSET([2]enemies!$A$1,0,0,COUNTA([2]enemies!$A:$A),MATCH(K$1,[2]enemies!$1:$1,0)-MATCH($I$1,[2]enemies!$1:$1,0)+1),MATCH(K$1,[2]enemies!$1:$1,0)-MATCH($I$1,[2]enemies!$1:$1,0)+1,FALSE)</f>
        <v>green</v>
      </c>
      <c r="L21" s="29" t="str">
        <f ca="1">VLOOKUP(I21,[3]characters!$A:$J,10,FALSE)</f>
        <v>Drop1N</v>
      </c>
      <c r="M21" s="27" t="str">
        <f ca="1">VLOOKUP($I21,OFFSET([2]enemies!$A$1,0,0,COUNTA([2]enemies!$A:$A),MATCH(M$1,[2]enemies!$1:$1,0)-MATCH($I$1,[2]enemies!$1:$1,0)+1),MATCH(M$1,[2]enemies!$1:$1,0)-MATCH($I$1,[2]enemies!$1:$1,0)+1,FALSE)</f>
        <v>dragon</v>
      </c>
      <c r="N21" s="27">
        <f ca="1">VLOOKUP($I21,OFFSET([2]enemies!$A$1,0,0,COUNTA([2]enemies!$A:$A),MATCH(N$1,[2]enemies!$1:$1,0)-MATCH($I$1,[2]enemies!$1:$1,0)+1),MATCH(N$1,[2]enemies!$1:$1,0)-MATCH($I$1,[2]enemies!$1:$1,0)+1,FALSE)</f>
        <v>15</v>
      </c>
      <c r="O21" s="6">
        <v>7</v>
      </c>
      <c r="P21" s="47">
        <v>1.8</v>
      </c>
      <c r="Q21" s="47">
        <v>0.9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7">
        <f ca="1">VLOOKUP($I21,OFFSET([2]enemies!$A$1,0,0,COUNTA([2]enemies!$A:$A),MATCH(T$1,[2]enemies!$1:$1,0)-MATCH($I$1,[2]enemies!$1:$1,0)+1),MATCH(T$1,[2]enemies!$1:$1,0)-MATCH($I$1,[2]enemies!$1:$1,0)+1,FALSE)</f>
        <v>0</v>
      </c>
      <c r="U21" s="7">
        <v>0</v>
      </c>
      <c r="V21" s="7">
        <v>100</v>
      </c>
      <c r="W21" s="7">
        <v>0</v>
      </c>
      <c r="X21" s="27">
        <f ca="1">VLOOKUP($I21,OFFSET([2]enemies!$A$1,0,0,COUNTA([2]enemies!$A:$A),MATCH(X$1,[2]enemies!$1:$1,0)-MATCH($I$1,[2]enemies!$1:$1,0)+1),MATCH(X$1,[2]enemies!$1:$1,0)-MATCH($I$1,[2]enemies!$1:$1,0)+1,FALSE)</f>
        <v>2</v>
      </c>
      <c r="Y21" s="8">
        <v>43</v>
      </c>
      <c r="Z21" s="5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21" s="5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5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9">
        <v>1</v>
      </c>
      <c r="AD21" s="34">
        <f t="shared" ca="1" si="3"/>
        <v>2</v>
      </c>
      <c r="AE21" s="10">
        <v>25</v>
      </c>
      <c r="AF21" s="9">
        <v>0</v>
      </c>
      <c r="AG21" s="9">
        <v>0</v>
      </c>
      <c r="AH21" s="9">
        <v>0</v>
      </c>
      <c r="AI21" s="9">
        <v>0</v>
      </c>
      <c r="AJ21" s="9">
        <v>1</v>
      </c>
    </row>
    <row r="22" spans="1:36" ht="21" customHeight="1" x14ac:dyDescent="0.15">
      <c r="A22" s="22" t="str">
        <f t="shared" ref="A22" ca="1" si="4">B22&amp;"_"&amp;C22&amp;"-"&amp;G22&amp;"/"&amp;I22&amp;"&lt;lv"&amp;O22&amp;"&gt;s"&amp;X22</f>
        <v>20002_1-5/264&lt;lv9&gt;s1</v>
      </c>
      <c r="B22" s="9">
        <v>20002</v>
      </c>
      <c r="C22" s="32">
        <v>1</v>
      </c>
      <c r="D22" s="21" t="str">
        <f t="shared" ref="D22" ca="1" si="5">B22&amp;"_"&amp;C22</f>
        <v>20002_1</v>
      </c>
      <c r="E22" s="5" t="str">
        <f ca="1">VLOOKUP($B22,OFFSET([1]quests!$A$1,0,0,COUNTA([1]quests!$A:$A),MATCH(E$1,[1]quests!$1:$1,0)-MATCH($B$1,[1]quests!$1:$1,0)+1),MATCH(E$1,[1]quests!$1:$1,0)-MATCH($B$1,[1]quests!$1:$1,0)+1,FALSE)</f>
        <v>孤高の一角獣</v>
      </c>
      <c r="F22" s="5" t="str">
        <f ca="1">VLOOKUP($D22,OFFSET([1]stages!$A$1,0,0,COUNTA([1]stages!$A:$A),MATCH(F$1,[1]stages!$2:$2,0)-MATCH($D$1,[1]stages!$2:$2,0)+1),MATCH(F$1,[1]stages!$2:$2,0)-MATCH($D$1,[1]stages!$2:$2,0)+1,FALSE)</f>
        <v>【初級】孤高の一角獣</v>
      </c>
      <c r="G22" s="43">
        <v>5</v>
      </c>
      <c r="H22" s="21" t="str">
        <f t="shared" ref="H22" ca="1" si="6">B22&amp;"_"&amp;C22&amp;"-"&amp;G22</f>
        <v>20002_1-5</v>
      </c>
      <c r="I22" s="36">
        <v>264</v>
      </c>
      <c r="J22" s="27" t="str">
        <f ca="1">VLOOKUP($I22,OFFSET([2]enemies!$A$1,0,0,COUNTA([2]enemies!$A:$A),MATCH(J$1,[2]enemies!$1:$1,0)-MATCH($I$1,[2]enemies!$1:$1,0)+1),MATCH(J$1,[2]enemies!$1:$1,0)-MATCH($I$1,[2]enemies!$1:$1,0)+1,FALSE)</f>
        <v>ユニコーン</v>
      </c>
      <c r="K22" s="27" t="str">
        <f ca="1">VLOOKUP($I22,OFFSET([2]enemies!$A$1,0,0,COUNTA([2]enemies!$A:$A),MATCH(K$1,[2]enemies!$1:$1,0)-MATCH($I$1,[2]enemies!$1:$1,0)+1),MATCH(K$1,[2]enemies!$1:$1,0)-MATCH($I$1,[2]enemies!$1:$1,0)+1,FALSE)</f>
        <v>green</v>
      </c>
      <c r="L22" s="29" t="str">
        <f ca="1">VLOOKUP(I22,[3]characters!$A:$J,10,FALSE)</f>
        <v>Drop2W</v>
      </c>
      <c r="M22" s="27" t="str">
        <f ca="1">VLOOKUP($I22,OFFSET([2]enemies!$A$1,0,0,COUNTA([2]enemies!$A:$A),MATCH(M$1,[2]enemies!$1:$1,0)-MATCH($I$1,[2]enemies!$1:$1,0)+1),MATCH(M$1,[2]enemies!$1:$1,0)-MATCH($I$1,[2]enemies!$1:$1,0)+1,FALSE)</f>
        <v>animal</v>
      </c>
      <c r="N22" s="27">
        <f ca="1">VLOOKUP($I22,OFFSET([2]enemies!$A$1,0,0,COUNTA([2]enemies!$A:$A),MATCH(N$1,[2]enemies!$1:$1,0)-MATCH($I$1,[2]enemies!$1:$1,0)+1),MATCH(N$1,[2]enemies!$1:$1,0)-MATCH($I$1,[2]enemies!$1:$1,0)+1,FALSE)</f>
        <v>20</v>
      </c>
      <c r="O22" s="6">
        <v>9</v>
      </c>
      <c r="P22" s="47">
        <v>1.4</v>
      </c>
      <c r="Q22" s="47">
        <v>0.9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この戦闘の間攻撃頻度が1ターンにUP</v>
      </c>
      <c r="T22" s="51">
        <v>264</v>
      </c>
      <c r="U22" s="7">
        <v>1</v>
      </c>
      <c r="V22" s="7">
        <v>0</v>
      </c>
      <c r="W22" s="7">
        <v>1</v>
      </c>
      <c r="X22" s="51">
        <v>1</v>
      </c>
      <c r="Y22" s="37">
        <v>264</v>
      </c>
      <c r="Z22" s="5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ユニコーン</v>
      </c>
      <c r="AA22" s="5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3</v>
      </c>
      <c r="AB22" s="5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2" s="35">
        <v>1</v>
      </c>
      <c r="AD22" s="38">
        <f t="shared" ref="AD22" ca="1" si="7">AA22</f>
        <v>3</v>
      </c>
      <c r="AE22" s="52">
        <v>20</v>
      </c>
      <c r="AF22" s="9">
        <v>0</v>
      </c>
      <c r="AG22" s="35">
        <v>0</v>
      </c>
      <c r="AH22" s="35">
        <v>0</v>
      </c>
      <c r="AI22" s="35">
        <v>0</v>
      </c>
      <c r="AJ22" s="35">
        <v>1</v>
      </c>
    </row>
    <row r="23" spans="1:36" ht="21" customHeight="1" x14ac:dyDescent="0.15">
      <c r="A23" s="22" t="str">
        <f t="shared" ref="A23:A47" ca="1" si="8">B23&amp;"_"&amp;C23&amp;"-"&amp;G23&amp;"/"&amp;I23&amp;"&lt;lv"&amp;O23&amp;"&gt;s"&amp;X23</f>
        <v>20002_2-1/4&lt;lv15&gt;s2</v>
      </c>
      <c r="B23" s="9">
        <v>20002</v>
      </c>
      <c r="C23" s="32">
        <v>2</v>
      </c>
      <c r="D23" s="2" t="str">
        <f t="shared" ref="D23:D47" ca="1" si="9">B23&amp;"_"&amp;C23</f>
        <v>20002_2</v>
      </c>
      <c r="E23" s="5" t="str">
        <f ca="1">VLOOKUP($B23,OFFSET([1]quests!$A$1,0,0,COUNTA([1]quests!$A:$A),MATCH(E$1,[1]quests!$1:$1,0)-MATCH($B$1,[1]quests!$1:$1,0)+1),MATCH(E$1,[1]quests!$1:$1,0)-MATCH($B$1,[1]quests!$1:$1,0)+1,FALSE)</f>
        <v>孤高の一角獣</v>
      </c>
      <c r="F23" s="5" t="str">
        <f ca="1">VLOOKUP($D23,OFFSET([1]stages!$A$1,0,0,COUNTA([1]stages!$A:$A),MATCH(F$1,[1]stages!$2:$2,0)-MATCH($D$1,[1]stages!$2:$2,0)+1),MATCH(F$1,[1]stages!$2:$2,0)-MATCH($D$1,[1]stages!$2:$2,0)+1,FALSE)</f>
        <v>【中級】孤高の一角獣</v>
      </c>
      <c r="G23" s="1">
        <v>1</v>
      </c>
      <c r="H23" s="21" t="str">
        <f t="shared" ref="H23:H47" ca="1" si="10">B23&amp;"_"&amp;C23&amp;"-"&amp;G23</f>
        <v>20002_2-1</v>
      </c>
      <c r="I23" s="31">
        <v>4</v>
      </c>
      <c r="J23" s="27" t="str">
        <f ca="1">VLOOKUP($I23,OFFSET([2]enemies!$A$1,0,0,COUNTA([2]enemies!$A:$A),MATCH(J$1,[2]enemies!$1:$1,0)-MATCH($I$1,[2]enemies!$1:$1,0)+1),MATCH(J$1,[2]enemies!$1:$1,0)-MATCH($I$1,[2]enemies!$1:$1,0)+1,FALSE)</f>
        <v>エースエージェント ジョー</v>
      </c>
      <c r="K23" s="27" t="str">
        <f ca="1">VLOOKUP($I23,OFFSET([2]enemies!$A$1,0,0,COUNTA([2]enemies!$A:$A),MATCH(K$1,[2]enemies!$1:$1,0)-MATCH($I$1,[2]enemies!$1:$1,0)+1),MATCH(K$1,[2]enemies!$1:$1,0)-MATCH($I$1,[2]enemies!$1:$1,0)+1,FALSE)</f>
        <v>green</v>
      </c>
      <c r="L23" s="29" t="str">
        <f ca="1">VLOOKUP(I23,[3]characters!$A:$J,10,FALSE)</f>
        <v>Drop1T</v>
      </c>
      <c r="M23" s="27" t="str">
        <f ca="1">VLOOKUP($I23,OFFSET([2]enemies!$A$1,0,0,COUNTA([2]enemies!$A:$A),MATCH(M$1,[2]enemies!$1:$1,0)-MATCH($I$1,[2]enemies!$1:$1,0)+1),MATCH(M$1,[2]enemies!$1:$1,0)-MATCH($I$1,[2]enemies!$1:$1,0)+1,FALSE)</f>
        <v>unknown</v>
      </c>
      <c r="N23" s="27">
        <f ca="1">VLOOKUP($I23,OFFSET([2]enemies!$A$1,0,0,COUNTA([2]enemies!$A:$A),MATCH(N$1,[2]enemies!$1:$1,0)-MATCH($I$1,[2]enemies!$1:$1,0)+1),MATCH(N$1,[2]enemies!$1:$1,0)-MATCH($I$1,[2]enemies!$1:$1,0)+1,FALSE)</f>
        <v>15</v>
      </c>
      <c r="O23" s="6">
        <v>15</v>
      </c>
      <c r="P23" s="47">
        <v>1.7</v>
      </c>
      <c r="Q23" s="47">
        <v>0.9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7">
        <f ca="1">VLOOKUP($I23,OFFSET([2]enemies!$A$1,0,0,COUNTA([2]enemies!$A:$A),MATCH(T$1,[2]enemies!$1:$1,0)-MATCH($I$1,[2]enemies!$1:$1,0)+1),MATCH(T$1,[2]enemies!$1:$1,0)-MATCH($I$1,[2]enemies!$1:$1,0)+1,FALSE)</f>
        <v>0</v>
      </c>
      <c r="U23" s="7">
        <v>0</v>
      </c>
      <c r="V23" s="7">
        <v>100</v>
      </c>
      <c r="W23" s="7">
        <v>0</v>
      </c>
      <c r="X23" s="27">
        <f ca="1">VLOOKUP($I23,OFFSET([2]enemies!$A$1,0,0,COUNTA([2]enemies!$A:$A),MATCH(X$1,[2]enemies!$1:$1,0)-MATCH($I$1,[2]enemies!$1:$1,0)+1),MATCH(X$1,[2]enemies!$1:$1,0)-MATCH($I$1,[2]enemies!$1:$1,0)+1,FALSE)</f>
        <v>2</v>
      </c>
      <c r="Y23" s="8">
        <v>4</v>
      </c>
      <c r="Z23" s="5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23" s="5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2</v>
      </c>
      <c r="AB23" s="5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3" s="9">
        <v>6</v>
      </c>
      <c r="AD23" s="34">
        <f t="shared" ref="AD23:AD47" ca="1" si="11">AA23</f>
        <v>2</v>
      </c>
      <c r="AE23" s="10">
        <v>15</v>
      </c>
      <c r="AF23" s="9">
        <v>0</v>
      </c>
      <c r="AG23" s="9">
        <v>0</v>
      </c>
      <c r="AH23" s="9">
        <v>0</v>
      </c>
      <c r="AI23" s="9">
        <v>0</v>
      </c>
      <c r="AJ23" s="9">
        <v>1</v>
      </c>
    </row>
    <row r="24" spans="1:36" ht="21" customHeight="1" x14ac:dyDescent="0.15">
      <c r="A24" s="22" t="str">
        <f t="shared" ca="1" si="8"/>
        <v>20002_2-1/11&lt;lv15&gt;s3</v>
      </c>
      <c r="B24" s="9">
        <v>20002</v>
      </c>
      <c r="C24" s="32">
        <v>2</v>
      </c>
      <c r="D24" s="2" t="str">
        <f t="shared" ca="1" si="9"/>
        <v>20002_2</v>
      </c>
      <c r="E24" s="5" t="str">
        <f ca="1">VLOOKUP($B24,OFFSET([1]quests!$A$1,0,0,COUNTA([1]quests!$A:$A),MATCH(E$1,[1]quests!$1:$1,0)-MATCH($B$1,[1]quests!$1:$1,0)+1),MATCH(E$1,[1]quests!$1:$1,0)-MATCH($B$1,[1]quests!$1:$1,0)+1,FALSE)</f>
        <v>孤高の一角獣</v>
      </c>
      <c r="F24" s="5" t="str">
        <f ca="1">VLOOKUP($D24,OFFSET([1]stages!$A$1,0,0,COUNTA([1]stages!$A:$A),MATCH(F$1,[1]stages!$2:$2,0)-MATCH($D$1,[1]stages!$2:$2,0)+1),MATCH(F$1,[1]stages!$2:$2,0)-MATCH($D$1,[1]stages!$2:$2,0)+1,FALSE)</f>
        <v>【中級】孤高の一角獣</v>
      </c>
      <c r="G24" s="1">
        <v>1</v>
      </c>
      <c r="H24" s="21" t="str">
        <f t="shared" ca="1" si="10"/>
        <v>20002_2-1</v>
      </c>
      <c r="I24" s="31">
        <v>11</v>
      </c>
      <c r="J24" s="27" t="str">
        <f ca="1">VLOOKUP($I24,OFFSET([2]enemies!$A$1,0,0,COUNTA([2]enemies!$A:$A),MATCH(J$1,[2]enemies!$1:$1,0)-MATCH($I$1,[2]enemies!$1:$1,0)+1),MATCH(J$1,[2]enemies!$1:$1,0)-MATCH($I$1,[2]enemies!$1:$1,0)+1,FALSE)</f>
        <v>マグリット</v>
      </c>
      <c r="K24" s="27" t="str">
        <f ca="1">VLOOKUP($I24,OFFSET([2]enemies!$A$1,0,0,COUNTA([2]enemies!$A:$A),MATCH(K$1,[2]enemies!$1:$1,0)-MATCH($I$1,[2]enemies!$1:$1,0)+1),MATCH(K$1,[2]enemies!$1:$1,0)-MATCH($I$1,[2]enemies!$1:$1,0)+1,FALSE)</f>
        <v>green</v>
      </c>
      <c r="L24" s="29" t="str">
        <f ca="1">VLOOKUP(I24,[3]characters!$A:$J,10,FALSE)</f>
        <v>Drop1W</v>
      </c>
      <c r="M24" s="27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27">
        <f ca="1">VLOOKUP($I24,OFFSET([2]enemies!$A$1,0,0,COUNTA([2]enemies!$A:$A),MATCH(N$1,[2]enemies!$1:$1,0)-MATCH($I$1,[2]enemies!$1:$1,0)+1),MATCH(N$1,[2]enemies!$1:$1,0)-MATCH($I$1,[2]enemies!$1:$1,0)+1,FALSE)</f>
        <v>15</v>
      </c>
      <c r="O24" s="6">
        <v>15</v>
      </c>
      <c r="P24" s="47">
        <v>1.7</v>
      </c>
      <c r="Q24" s="47">
        <v>0.9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7">
        <f ca="1">VLOOKUP($I24,OFFSET([2]enemies!$A$1,0,0,COUNTA([2]enemies!$A:$A),MATCH(T$1,[2]enemies!$1:$1,0)-MATCH($I$1,[2]enemies!$1:$1,0)+1),MATCH(T$1,[2]enemies!$1:$1,0)-MATCH($I$1,[2]enemies!$1:$1,0)+1,FALSE)</f>
        <v>0</v>
      </c>
      <c r="U24" s="7">
        <v>1</v>
      </c>
      <c r="V24" s="7">
        <v>100</v>
      </c>
      <c r="W24" s="7">
        <v>0</v>
      </c>
      <c r="X24" s="27">
        <f ca="1">VLOOKUP($I24,OFFSET([2]enemies!$A$1,0,0,COUNTA([2]enemies!$A:$A),MATCH(X$1,[2]enemies!$1:$1,0)-MATCH($I$1,[2]enemies!$1:$1,0)+1),MATCH(X$1,[2]enemies!$1:$1,0)-MATCH($I$1,[2]enemies!$1:$1,0)+1,FALSE)</f>
        <v>3</v>
      </c>
      <c r="Y24" s="8">
        <v>11</v>
      </c>
      <c r="Z24" s="5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24" s="5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1</v>
      </c>
      <c r="AB24" s="5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4" s="9">
        <v>4</v>
      </c>
      <c r="AD24" s="34">
        <f t="shared" ca="1" si="11"/>
        <v>1</v>
      </c>
      <c r="AE24" s="10">
        <v>15</v>
      </c>
      <c r="AF24" s="9">
        <v>0</v>
      </c>
      <c r="AG24" s="9">
        <v>0</v>
      </c>
      <c r="AH24" s="9">
        <v>0</v>
      </c>
      <c r="AI24" s="9">
        <v>0</v>
      </c>
      <c r="AJ24" s="9">
        <v>1</v>
      </c>
    </row>
    <row r="25" spans="1:36" ht="21" customHeight="1" x14ac:dyDescent="0.15">
      <c r="A25" s="22" t="str">
        <f t="shared" ca="1" si="8"/>
        <v>20002_2-1/23&lt;lv15&gt;s4</v>
      </c>
      <c r="B25" s="9">
        <v>20002</v>
      </c>
      <c r="C25" s="32">
        <v>2</v>
      </c>
      <c r="D25" s="2" t="str">
        <f t="shared" ca="1" si="9"/>
        <v>20002_2</v>
      </c>
      <c r="E25" s="5" t="str">
        <f ca="1">VLOOKUP($B25,OFFSET([1]quests!$A$1,0,0,COUNTA([1]quests!$A:$A),MATCH(E$1,[1]quests!$1:$1,0)-MATCH($B$1,[1]quests!$1:$1,0)+1),MATCH(E$1,[1]quests!$1:$1,0)-MATCH($B$1,[1]quests!$1:$1,0)+1,FALSE)</f>
        <v>孤高の一角獣</v>
      </c>
      <c r="F25" s="5" t="str">
        <f ca="1">VLOOKUP($D25,OFFSET([1]stages!$A$1,0,0,COUNTA([1]stages!$A:$A),MATCH(F$1,[1]stages!$2:$2,0)-MATCH($D$1,[1]stages!$2:$2,0)+1),MATCH(F$1,[1]stages!$2:$2,0)-MATCH($D$1,[1]stages!$2:$2,0)+1,FALSE)</f>
        <v>【中級】孤高の一角獣</v>
      </c>
      <c r="G25" s="1">
        <v>1</v>
      </c>
      <c r="H25" s="21" t="str">
        <f t="shared" ca="1" si="10"/>
        <v>20002_2-1</v>
      </c>
      <c r="I25" s="31">
        <v>23</v>
      </c>
      <c r="J25" s="27" t="str">
        <f ca="1">VLOOKUP($I25,OFFSET([2]enemies!$A$1,0,0,COUNTA([2]enemies!$A:$A),MATCH(J$1,[2]enemies!$1:$1,0)-MATCH($I$1,[2]enemies!$1:$1,0)+1),MATCH(J$1,[2]enemies!$1:$1,0)-MATCH($I$1,[2]enemies!$1:$1,0)+1,FALSE)</f>
        <v>ミール</v>
      </c>
      <c r="K25" s="27" t="str">
        <f ca="1">VLOOKUP($I25,OFFSET([2]enemies!$A$1,0,0,COUNTA([2]enemies!$A:$A),MATCH(K$1,[2]enemies!$1:$1,0)-MATCH($I$1,[2]enemies!$1:$1,0)+1),MATCH(K$1,[2]enemies!$1:$1,0)-MATCH($I$1,[2]enemies!$1:$1,0)+1,FALSE)</f>
        <v>green</v>
      </c>
      <c r="L25" s="29" t="str">
        <f ca="1">VLOOKUP(I25,[3]characters!$A:$J,10,FALSE)</f>
        <v>Drop1N</v>
      </c>
      <c r="M25" s="27" t="str">
        <f ca="1">VLOOKUP($I25,OFFSET([2]enemies!$A$1,0,0,COUNTA([2]enemies!$A:$A),MATCH(M$1,[2]enemies!$1:$1,0)-MATCH($I$1,[2]enemies!$1:$1,0)+1),MATCH(M$1,[2]enemies!$1:$1,0)-MATCH($I$1,[2]enemies!$1:$1,0)+1,FALSE)</f>
        <v>animal</v>
      </c>
      <c r="N25" s="27">
        <f ca="1">VLOOKUP($I25,OFFSET([2]enemies!$A$1,0,0,COUNTA([2]enemies!$A:$A),MATCH(N$1,[2]enemies!$1:$1,0)-MATCH($I$1,[2]enemies!$1:$1,0)+1),MATCH(N$1,[2]enemies!$1:$1,0)-MATCH($I$1,[2]enemies!$1:$1,0)+1,FALSE)</f>
        <v>15</v>
      </c>
      <c r="O25" s="6">
        <v>15</v>
      </c>
      <c r="P25" s="47">
        <v>1.7</v>
      </c>
      <c r="Q25" s="47">
        <v>0.9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7">
        <f ca="1">VLOOKUP($I25,OFFSET([2]enemies!$A$1,0,0,COUNTA([2]enemies!$A:$A),MATCH(T$1,[2]enemies!$1:$1,0)-MATCH($I$1,[2]enemies!$1:$1,0)+1),MATCH(T$1,[2]enemies!$1:$1,0)-MATCH($I$1,[2]enemies!$1:$1,0)+1,FALSE)</f>
        <v>0</v>
      </c>
      <c r="U25" s="7">
        <v>0</v>
      </c>
      <c r="V25" s="7">
        <v>60</v>
      </c>
      <c r="W25" s="7">
        <v>0</v>
      </c>
      <c r="X25" s="27">
        <f ca="1">VLOOKUP($I25,OFFSET([2]enemies!$A$1,0,0,COUNTA([2]enemies!$A:$A),MATCH(X$1,[2]enemies!$1:$1,0)-MATCH($I$1,[2]enemies!$1:$1,0)+1),MATCH(X$1,[2]enemies!$1:$1,0)-MATCH($I$1,[2]enemies!$1:$1,0)+1,FALSE)</f>
        <v>4</v>
      </c>
      <c r="Y25" s="8">
        <v>23</v>
      </c>
      <c r="Z25" s="5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25" s="5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5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9">
        <v>2</v>
      </c>
      <c r="AD25" s="34">
        <f t="shared" ca="1" si="11"/>
        <v>1</v>
      </c>
      <c r="AE25" s="10">
        <v>15</v>
      </c>
      <c r="AF25" s="9">
        <v>0</v>
      </c>
      <c r="AG25" s="9">
        <v>0</v>
      </c>
      <c r="AH25" s="9">
        <v>0</v>
      </c>
      <c r="AI25" s="9">
        <v>0</v>
      </c>
      <c r="AJ25" s="9">
        <v>1</v>
      </c>
    </row>
    <row r="26" spans="1:36" ht="21" customHeight="1" x14ac:dyDescent="0.15">
      <c r="A26" s="22" t="str">
        <f t="shared" ca="1" si="8"/>
        <v>20002_2-1/43&lt;lv15&gt;s2</v>
      </c>
      <c r="B26" s="9">
        <v>20002</v>
      </c>
      <c r="C26" s="32">
        <v>2</v>
      </c>
      <c r="D26" s="2" t="str">
        <f t="shared" ca="1" si="9"/>
        <v>20002_2</v>
      </c>
      <c r="E26" s="5" t="str">
        <f ca="1">VLOOKUP($B26,OFFSET([1]quests!$A$1,0,0,COUNTA([1]quests!$A:$A),MATCH(E$1,[1]quests!$1:$1,0)-MATCH($B$1,[1]quests!$1:$1,0)+1),MATCH(E$1,[1]quests!$1:$1,0)-MATCH($B$1,[1]quests!$1:$1,0)+1,FALSE)</f>
        <v>孤高の一角獣</v>
      </c>
      <c r="F26" s="5" t="str">
        <f ca="1">VLOOKUP($D26,OFFSET([1]stages!$A$1,0,0,COUNTA([1]stages!$A:$A),MATCH(F$1,[1]stages!$2:$2,0)-MATCH($D$1,[1]stages!$2:$2,0)+1),MATCH(F$1,[1]stages!$2:$2,0)-MATCH($D$1,[1]stages!$2:$2,0)+1,FALSE)</f>
        <v>【中級】孤高の一角獣</v>
      </c>
      <c r="G26" s="1">
        <v>1</v>
      </c>
      <c r="H26" s="21" t="str">
        <f t="shared" ca="1" si="10"/>
        <v>20002_2-1</v>
      </c>
      <c r="I26" s="31">
        <v>43</v>
      </c>
      <c r="J26" s="27" t="str">
        <f ca="1">VLOOKUP($I26,OFFSET([2]enemies!$A$1,0,0,COUNTA([2]enemies!$A:$A),MATCH(J$1,[2]enemies!$1:$1,0)-MATCH($I$1,[2]enemies!$1:$1,0)+1),MATCH(J$1,[2]enemies!$1:$1,0)-MATCH($I$1,[2]enemies!$1:$1,0)+1,FALSE)</f>
        <v>ムゥ</v>
      </c>
      <c r="K26" s="27" t="str">
        <f ca="1">VLOOKUP($I26,OFFSET([2]enemies!$A$1,0,0,COUNTA([2]enemies!$A:$A),MATCH(K$1,[2]enemies!$1:$1,0)-MATCH($I$1,[2]enemies!$1:$1,0)+1),MATCH(K$1,[2]enemies!$1:$1,0)-MATCH($I$1,[2]enemies!$1:$1,0)+1,FALSE)</f>
        <v>green</v>
      </c>
      <c r="L26" s="29" t="str">
        <f ca="1">VLOOKUP(I26,[3]characters!$A:$J,10,FALSE)</f>
        <v>Drop1N</v>
      </c>
      <c r="M26" s="27" t="str">
        <f ca="1">VLOOKUP($I26,OFFSET([2]enemies!$A$1,0,0,COUNTA([2]enemies!$A:$A),MATCH(M$1,[2]enemies!$1:$1,0)-MATCH($I$1,[2]enemies!$1:$1,0)+1),MATCH(M$1,[2]enemies!$1:$1,0)-MATCH($I$1,[2]enemies!$1:$1,0)+1,FALSE)</f>
        <v>dragon</v>
      </c>
      <c r="N26" s="27">
        <f ca="1">VLOOKUP($I26,OFFSET([2]enemies!$A$1,0,0,COUNTA([2]enemies!$A:$A),MATCH(N$1,[2]enemies!$1:$1,0)-MATCH($I$1,[2]enemies!$1:$1,0)+1),MATCH(N$1,[2]enemies!$1:$1,0)-MATCH($I$1,[2]enemies!$1:$1,0)+1,FALSE)</f>
        <v>15</v>
      </c>
      <c r="O26" s="6">
        <v>15</v>
      </c>
      <c r="P26" s="47">
        <v>1.7</v>
      </c>
      <c r="Q26" s="47">
        <v>0.9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7">
        <f ca="1">VLOOKUP($I26,OFFSET([2]enemies!$A$1,0,0,COUNTA([2]enemies!$A:$A),MATCH(T$1,[2]enemies!$1:$1,0)-MATCH($I$1,[2]enemies!$1:$1,0)+1),MATCH(T$1,[2]enemies!$1:$1,0)-MATCH($I$1,[2]enemies!$1:$1,0)+1,FALSE)</f>
        <v>0</v>
      </c>
      <c r="U26" s="7">
        <v>0</v>
      </c>
      <c r="V26" s="7">
        <v>100</v>
      </c>
      <c r="W26" s="7">
        <v>0</v>
      </c>
      <c r="X26" s="27">
        <f ca="1">VLOOKUP($I26,OFFSET([2]enemies!$A$1,0,0,COUNTA([2]enemies!$A:$A),MATCH(X$1,[2]enemies!$1:$1,0)-MATCH($I$1,[2]enemies!$1:$1,0)+1),MATCH(X$1,[2]enemies!$1:$1,0)-MATCH($I$1,[2]enemies!$1:$1,0)+1,FALSE)</f>
        <v>2</v>
      </c>
      <c r="Y26" s="8">
        <v>43</v>
      </c>
      <c r="Z26" s="5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26" s="5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2</v>
      </c>
      <c r="AB26" s="5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9">
        <v>2</v>
      </c>
      <c r="AD26" s="34">
        <f t="shared" ca="1" si="11"/>
        <v>2</v>
      </c>
      <c r="AE26" s="10">
        <v>15</v>
      </c>
      <c r="AF26" s="9">
        <v>0</v>
      </c>
      <c r="AG26" s="9">
        <v>0</v>
      </c>
      <c r="AH26" s="9">
        <v>0</v>
      </c>
      <c r="AI26" s="9">
        <v>0</v>
      </c>
      <c r="AJ26" s="9">
        <v>1</v>
      </c>
    </row>
    <row r="27" spans="1:36" ht="21" customHeight="1" x14ac:dyDescent="0.15">
      <c r="A27" s="22" t="str">
        <f t="shared" ca="1" si="8"/>
        <v>20002_2-2/4&lt;lv15&gt;s2</v>
      </c>
      <c r="B27" s="9">
        <v>20002</v>
      </c>
      <c r="C27" s="32">
        <v>2</v>
      </c>
      <c r="D27" s="2" t="str">
        <f t="shared" ca="1" si="9"/>
        <v>20002_2</v>
      </c>
      <c r="E27" s="5" t="str">
        <f ca="1">VLOOKUP($B27,OFFSET([1]quests!$A$1,0,0,COUNTA([1]quests!$A:$A),MATCH(E$1,[1]quests!$1:$1,0)-MATCH($B$1,[1]quests!$1:$1,0)+1),MATCH(E$1,[1]quests!$1:$1,0)-MATCH($B$1,[1]quests!$1:$1,0)+1,FALSE)</f>
        <v>孤高の一角獣</v>
      </c>
      <c r="F27" s="5" t="str">
        <f ca="1">VLOOKUP($D27,OFFSET([1]stages!$A$1,0,0,COUNTA([1]stages!$A:$A),MATCH(F$1,[1]stages!$2:$2,0)-MATCH($D$1,[1]stages!$2:$2,0)+1),MATCH(F$1,[1]stages!$2:$2,0)-MATCH($D$1,[1]stages!$2:$2,0)+1,FALSE)</f>
        <v>【中級】孤高の一角獣</v>
      </c>
      <c r="G27" s="42">
        <v>2</v>
      </c>
      <c r="H27" s="21" t="str">
        <f t="shared" ca="1" si="10"/>
        <v>20002_2-2</v>
      </c>
      <c r="I27" s="31">
        <v>4</v>
      </c>
      <c r="J27" s="27" t="str">
        <f ca="1">VLOOKUP($I27,OFFSET([2]enemies!$A$1,0,0,COUNTA([2]enemies!$A:$A),MATCH(J$1,[2]enemies!$1:$1,0)-MATCH($I$1,[2]enemies!$1:$1,0)+1),MATCH(J$1,[2]enemies!$1:$1,0)-MATCH($I$1,[2]enemies!$1:$1,0)+1,FALSE)</f>
        <v>エースエージェント ジョー</v>
      </c>
      <c r="K27" s="27" t="str">
        <f ca="1">VLOOKUP($I27,OFFSET([2]enemies!$A$1,0,0,COUNTA([2]enemies!$A:$A),MATCH(K$1,[2]enemies!$1:$1,0)-MATCH($I$1,[2]enemies!$1:$1,0)+1),MATCH(K$1,[2]enemies!$1:$1,0)-MATCH($I$1,[2]enemies!$1:$1,0)+1,FALSE)</f>
        <v>green</v>
      </c>
      <c r="L27" s="29" t="str">
        <f ca="1">VLOOKUP(I27,[3]characters!$A:$J,10,FALSE)</f>
        <v>Drop1T</v>
      </c>
      <c r="M27" s="27" t="str">
        <f ca="1">VLOOKUP($I27,OFFSET([2]enemies!$A$1,0,0,COUNTA([2]enemies!$A:$A),MATCH(M$1,[2]enemies!$1:$1,0)-MATCH($I$1,[2]enemies!$1:$1,0)+1),MATCH(M$1,[2]enemies!$1:$1,0)-MATCH($I$1,[2]enemies!$1:$1,0)+1,FALSE)</f>
        <v>unknown</v>
      </c>
      <c r="N27" s="27">
        <f ca="1">VLOOKUP($I27,OFFSET([2]enemies!$A$1,0,0,COUNTA([2]enemies!$A:$A),MATCH(N$1,[2]enemies!$1:$1,0)-MATCH($I$1,[2]enemies!$1:$1,0)+1),MATCH(N$1,[2]enemies!$1:$1,0)-MATCH($I$1,[2]enemies!$1:$1,0)+1,FALSE)</f>
        <v>15</v>
      </c>
      <c r="O27" s="6">
        <v>15</v>
      </c>
      <c r="P27" s="47">
        <v>1.7</v>
      </c>
      <c r="Q27" s="47">
        <v>0.9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7">
        <f ca="1">VLOOKUP($I27,OFFSET([2]enemies!$A$1,0,0,COUNTA([2]enemies!$A:$A),MATCH(T$1,[2]enemies!$1:$1,0)-MATCH($I$1,[2]enemies!$1:$1,0)+1),MATCH(T$1,[2]enemies!$1:$1,0)-MATCH($I$1,[2]enemies!$1:$1,0)+1,FALSE)</f>
        <v>0</v>
      </c>
      <c r="U27" s="7">
        <v>0</v>
      </c>
      <c r="V27" s="7">
        <v>100</v>
      </c>
      <c r="W27" s="7">
        <v>0</v>
      </c>
      <c r="X27" s="27">
        <f ca="1">VLOOKUP($I27,OFFSET([2]enemies!$A$1,0,0,COUNTA([2]enemies!$A:$A),MATCH(X$1,[2]enemies!$1:$1,0)-MATCH($I$1,[2]enemies!$1:$1,0)+1),MATCH(X$1,[2]enemies!$1:$1,0)-MATCH($I$1,[2]enemies!$1:$1,0)+1,FALSE)</f>
        <v>2</v>
      </c>
      <c r="Y27" s="8">
        <v>4</v>
      </c>
      <c r="Z27" s="5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27" s="5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2</v>
      </c>
      <c r="AB27" s="5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7" s="9">
        <v>6</v>
      </c>
      <c r="AD27" s="34">
        <f t="shared" ca="1" si="11"/>
        <v>2</v>
      </c>
      <c r="AE27" s="10">
        <v>15</v>
      </c>
      <c r="AF27" s="9">
        <v>0</v>
      </c>
      <c r="AG27" s="9">
        <v>0</v>
      </c>
      <c r="AH27" s="9">
        <v>0</v>
      </c>
      <c r="AI27" s="9">
        <v>0</v>
      </c>
      <c r="AJ27" s="9">
        <v>1</v>
      </c>
    </row>
    <row r="28" spans="1:36" ht="21" customHeight="1" x14ac:dyDescent="0.15">
      <c r="A28" s="22" t="str">
        <f t="shared" ca="1" si="8"/>
        <v>20002_2-2/11&lt;lv15&gt;s3</v>
      </c>
      <c r="B28" s="9">
        <v>20002</v>
      </c>
      <c r="C28" s="32">
        <v>2</v>
      </c>
      <c r="D28" s="2" t="str">
        <f t="shared" ca="1" si="9"/>
        <v>20002_2</v>
      </c>
      <c r="E28" s="5" t="str">
        <f ca="1">VLOOKUP($B28,OFFSET([1]quests!$A$1,0,0,COUNTA([1]quests!$A:$A),MATCH(E$1,[1]quests!$1:$1,0)-MATCH($B$1,[1]quests!$1:$1,0)+1),MATCH(E$1,[1]quests!$1:$1,0)-MATCH($B$1,[1]quests!$1:$1,0)+1,FALSE)</f>
        <v>孤高の一角獣</v>
      </c>
      <c r="F28" s="5" t="str">
        <f ca="1">VLOOKUP($D28,OFFSET([1]stages!$A$1,0,0,COUNTA([1]stages!$A:$A),MATCH(F$1,[1]stages!$2:$2,0)-MATCH($D$1,[1]stages!$2:$2,0)+1),MATCH(F$1,[1]stages!$2:$2,0)-MATCH($D$1,[1]stages!$2:$2,0)+1,FALSE)</f>
        <v>【中級】孤高の一角獣</v>
      </c>
      <c r="G28" s="42">
        <v>2</v>
      </c>
      <c r="H28" s="21" t="str">
        <f t="shared" ca="1" si="10"/>
        <v>20002_2-2</v>
      </c>
      <c r="I28" s="31">
        <v>11</v>
      </c>
      <c r="J28" s="27" t="str">
        <f ca="1">VLOOKUP($I28,OFFSET([2]enemies!$A$1,0,0,COUNTA([2]enemies!$A:$A),MATCH(J$1,[2]enemies!$1:$1,0)-MATCH($I$1,[2]enemies!$1:$1,0)+1),MATCH(J$1,[2]enemies!$1:$1,0)-MATCH($I$1,[2]enemies!$1:$1,0)+1,FALSE)</f>
        <v>マグリット</v>
      </c>
      <c r="K28" s="27" t="str">
        <f ca="1">VLOOKUP($I28,OFFSET([2]enemies!$A$1,0,0,COUNTA([2]enemies!$A:$A),MATCH(K$1,[2]enemies!$1:$1,0)-MATCH($I$1,[2]enemies!$1:$1,0)+1),MATCH(K$1,[2]enemies!$1:$1,0)-MATCH($I$1,[2]enemies!$1:$1,0)+1,FALSE)</f>
        <v>green</v>
      </c>
      <c r="L28" s="29" t="str">
        <f ca="1">VLOOKUP(I28,[3]characters!$A:$J,10,FALSE)</f>
        <v>Drop1W</v>
      </c>
      <c r="M28" s="27" t="str">
        <f ca="1">VLOOKUP($I28,OFFSET([2]enemies!$A$1,0,0,COUNTA([2]enemies!$A:$A),MATCH(M$1,[2]enemies!$1:$1,0)-MATCH($I$1,[2]enemies!$1:$1,0)+1),MATCH(M$1,[2]enemies!$1:$1,0)-MATCH($I$1,[2]enemies!$1:$1,0)+1,FALSE)</f>
        <v>animal</v>
      </c>
      <c r="N28" s="27">
        <f ca="1">VLOOKUP($I28,OFFSET([2]enemies!$A$1,0,0,COUNTA([2]enemies!$A:$A),MATCH(N$1,[2]enemies!$1:$1,0)-MATCH($I$1,[2]enemies!$1:$1,0)+1),MATCH(N$1,[2]enemies!$1:$1,0)-MATCH($I$1,[2]enemies!$1:$1,0)+1,FALSE)</f>
        <v>15</v>
      </c>
      <c r="O28" s="6">
        <v>15</v>
      </c>
      <c r="P28" s="47">
        <v>1.7</v>
      </c>
      <c r="Q28" s="47">
        <v>0.9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7">
        <f ca="1">VLOOKUP($I28,OFFSET([2]enemies!$A$1,0,0,COUNTA([2]enemies!$A:$A),MATCH(T$1,[2]enemies!$1:$1,0)-MATCH($I$1,[2]enemies!$1:$1,0)+1),MATCH(T$1,[2]enemies!$1:$1,0)-MATCH($I$1,[2]enemies!$1:$1,0)+1,FALSE)</f>
        <v>0</v>
      </c>
      <c r="U28" s="7">
        <v>1</v>
      </c>
      <c r="V28" s="7">
        <v>100</v>
      </c>
      <c r="W28" s="7">
        <v>0</v>
      </c>
      <c r="X28" s="27">
        <f ca="1">VLOOKUP($I28,OFFSET([2]enemies!$A$1,0,0,COUNTA([2]enemies!$A:$A),MATCH(X$1,[2]enemies!$1:$1,0)-MATCH($I$1,[2]enemies!$1:$1,0)+1),MATCH(X$1,[2]enemies!$1:$1,0)-MATCH($I$1,[2]enemies!$1:$1,0)+1,FALSE)</f>
        <v>3</v>
      </c>
      <c r="Y28" s="8">
        <v>11</v>
      </c>
      <c r="Z28" s="5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28" s="5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5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8" s="9">
        <v>4</v>
      </c>
      <c r="AD28" s="34">
        <f t="shared" ca="1" si="11"/>
        <v>1</v>
      </c>
      <c r="AE28" s="10">
        <v>15</v>
      </c>
      <c r="AF28" s="9">
        <v>0</v>
      </c>
      <c r="AG28" s="9">
        <v>0</v>
      </c>
      <c r="AH28" s="9">
        <v>0</v>
      </c>
      <c r="AI28" s="9">
        <v>0</v>
      </c>
      <c r="AJ28" s="9">
        <v>1</v>
      </c>
    </row>
    <row r="29" spans="1:36" ht="21" customHeight="1" x14ac:dyDescent="0.15">
      <c r="A29" s="22" t="str">
        <f t="shared" ca="1" si="8"/>
        <v>20002_2-2/23&lt;lv15&gt;s4</v>
      </c>
      <c r="B29" s="9">
        <v>20002</v>
      </c>
      <c r="C29" s="32">
        <v>2</v>
      </c>
      <c r="D29" s="2" t="str">
        <f t="shared" ca="1" si="9"/>
        <v>20002_2</v>
      </c>
      <c r="E29" s="5" t="str">
        <f ca="1">VLOOKUP($B29,OFFSET([1]quests!$A$1,0,0,COUNTA([1]quests!$A:$A),MATCH(E$1,[1]quests!$1:$1,0)-MATCH($B$1,[1]quests!$1:$1,0)+1),MATCH(E$1,[1]quests!$1:$1,0)-MATCH($B$1,[1]quests!$1:$1,0)+1,FALSE)</f>
        <v>孤高の一角獣</v>
      </c>
      <c r="F29" s="5" t="str">
        <f ca="1">VLOOKUP($D29,OFFSET([1]stages!$A$1,0,0,COUNTA([1]stages!$A:$A),MATCH(F$1,[1]stages!$2:$2,0)-MATCH($D$1,[1]stages!$2:$2,0)+1),MATCH(F$1,[1]stages!$2:$2,0)-MATCH($D$1,[1]stages!$2:$2,0)+1,FALSE)</f>
        <v>【中級】孤高の一角獣</v>
      </c>
      <c r="G29" s="42">
        <v>2</v>
      </c>
      <c r="H29" s="21" t="str">
        <f t="shared" ca="1" si="10"/>
        <v>20002_2-2</v>
      </c>
      <c r="I29" s="31">
        <v>23</v>
      </c>
      <c r="J29" s="27" t="str">
        <f ca="1">VLOOKUP($I29,OFFSET([2]enemies!$A$1,0,0,COUNTA([2]enemies!$A:$A),MATCH(J$1,[2]enemies!$1:$1,0)-MATCH($I$1,[2]enemies!$1:$1,0)+1),MATCH(J$1,[2]enemies!$1:$1,0)-MATCH($I$1,[2]enemies!$1:$1,0)+1,FALSE)</f>
        <v>ミール</v>
      </c>
      <c r="K29" s="27" t="str">
        <f ca="1">VLOOKUP($I29,OFFSET([2]enemies!$A$1,0,0,COUNTA([2]enemies!$A:$A),MATCH(K$1,[2]enemies!$1:$1,0)-MATCH($I$1,[2]enemies!$1:$1,0)+1),MATCH(K$1,[2]enemies!$1:$1,0)-MATCH($I$1,[2]enemies!$1:$1,0)+1,FALSE)</f>
        <v>green</v>
      </c>
      <c r="L29" s="29" t="str">
        <f ca="1">VLOOKUP(I29,[3]characters!$A:$J,10,FALSE)</f>
        <v>Drop1N</v>
      </c>
      <c r="M29" s="27" t="str">
        <f ca="1">VLOOKUP($I29,OFFSET([2]enemies!$A$1,0,0,COUNTA([2]enemies!$A:$A),MATCH(M$1,[2]enemies!$1:$1,0)-MATCH($I$1,[2]enemies!$1:$1,0)+1),MATCH(M$1,[2]enemies!$1:$1,0)-MATCH($I$1,[2]enemies!$1:$1,0)+1,FALSE)</f>
        <v>animal</v>
      </c>
      <c r="N29" s="27">
        <f ca="1">VLOOKUP($I29,OFFSET([2]enemies!$A$1,0,0,COUNTA([2]enemies!$A:$A),MATCH(N$1,[2]enemies!$1:$1,0)-MATCH($I$1,[2]enemies!$1:$1,0)+1),MATCH(N$1,[2]enemies!$1:$1,0)-MATCH($I$1,[2]enemies!$1:$1,0)+1,FALSE)</f>
        <v>15</v>
      </c>
      <c r="O29" s="6">
        <v>15</v>
      </c>
      <c r="P29" s="47">
        <v>1.7</v>
      </c>
      <c r="Q29" s="47">
        <v>0.9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7">
        <f ca="1">VLOOKUP($I29,OFFSET([2]enemies!$A$1,0,0,COUNTA([2]enemies!$A:$A),MATCH(T$1,[2]enemies!$1:$1,0)-MATCH($I$1,[2]enemies!$1:$1,0)+1),MATCH(T$1,[2]enemies!$1:$1,0)-MATCH($I$1,[2]enemies!$1:$1,0)+1,FALSE)</f>
        <v>0</v>
      </c>
      <c r="U29" s="7">
        <v>0</v>
      </c>
      <c r="V29" s="7">
        <v>60</v>
      </c>
      <c r="W29" s="7">
        <v>0</v>
      </c>
      <c r="X29" s="27">
        <f ca="1">VLOOKUP($I29,OFFSET([2]enemies!$A$1,0,0,COUNTA([2]enemies!$A:$A),MATCH(X$1,[2]enemies!$1:$1,0)-MATCH($I$1,[2]enemies!$1:$1,0)+1),MATCH(X$1,[2]enemies!$1:$1,0)-MATCH($I$1,[2]enemies!$1:$1,0)+1,FALSE)</f>
        <v>4</v>
      </c>
      <c r="Y29" s="8">
        <v>23</v>
      </c>
      <c r="Z29" s="5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29" s="5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1</v>
      </c>
      <c r="AB29" s="5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9" s="9">
        <v>2</v>
      </c>
      <c r="AD29" s="34">
        <f t="shared" ca="1" si="11"/>
        <v>1</v>
      </c>
      <c r="AE29" s="10">
        <v>15</v>
      </c>
      <c r="AF29" s="9">
        <v>0</v>
      </c>
      <c r="AG29" s="9">
        <v>0</v>
      </c>
      <c r="AH29" s="9">
        <v>0</v>
      </c>
      <c r="AI29" s="9">
        <v>0</v>
      </c>
      <c r="AJ29" s="9">
        <v>1</v>
      </c>
    </row>
    <row r="30" spans="1:36" ht="21" customHeight="1" x14ac:dyDescent="0.15">
      <c r="A30" s="22" t="str">
        <f t="shared" ca="1" si="8"/>
        <v>20002_2-2/43&lt;lv15&gt;s2</v>
      </c>
      <c r="B30" s="9">
        <v>20002</v>
      </c>
      <c r="C30" s="32">
        <v>2</v>
      </c>
      <c r="D30" s="2" t="str">
        <f t="shared" ca="1" si="9"/>
        <v>20002_2</v>
      </c>
      <c r="E30" s="5" t="str">
        <f ca="1">VLOOKUP($B30,OFFSET([1]quests!$A$1,0,0,COUNTA([1]quests!$A:$A),MATCH(E$1,[1]quests!$1:$1,0)-MATCH($B$1,[1]quests!$1:$1,0)+1),MATCH(E$1,[1]quests!$1:$1,0)-MATCH($B$1,[1]quests!$1:$1,0)+1,FALSE)</f>
        <v>孤高の一角獣</v>
      </c>
      <c r="F30" s="5" t="str">
        <f ca="1">VLOOKUP($D30,OFFSET([1]stages!$A$1,0,0,COUNTA([1]stages!$A:$A),MATCH(F$1,[1]stages!$2:$2,0)-MATCH($D$1,[1]stages!$2:$2,0)+1),MATCH(F$1,[1]stages!$2:$2,0)-MATCH($D$1,[1]stages!$2:$2,0)+1,FALSE)</f>
        <v>【中級】孤高の一角獣</v>
      </c>
      <c r="G30" s="42">
        <v>2</v>
      </c>
      <c r="H30" s="21" t="str">
        <f t="shared" ca="1" si="10"/>
        <v>20002_2-2</v>
      </c>
      <c r="I30" s="31">
        <v>43</v>
      </c>
      <c r="J30" s="27" t="str">
        <f ca="1">VLOOKUP($I30,OFFSET([2]enemies!$A$1,0,0,COUNTA([2]enemies!$A:$A),MATCH(J$1,[2]enemies!$1:$1,0)-MATCH($I$1,[2]enemies!$1:$1,0)+1),MATCH(J$1,[2]enemies!$1:$1,0)-MATCH($I$1,[2]enemies!$1:$1,0)+1,FALSE)</f>
        <v>ムゥ</v>
      </c>
      <c r="K30" s="27" t="str">
        <f ca="1">VLOOKUP($I30,OFFSET([2]enemies!$A$1,0,0,COUNTA([2]enemies!$A:$A),MATCH(K$1,[2]enemies!$1:$1,0)-MATCH($I$1,[2]enemies!$1:$1,0)+1),MATCH(K$1,[2]enemies!$1:$1,0)-MATCH($I$1,[2]enemies!$1:$1,0)+1,FALSE)</f>
        <v>green</v>
      </c>
      <c r="L30" s="29" t="str">
        <f ca="1">VLOOKUP(I30,[3]characters!$A:$J,10,FALSE)</f>
        <v>Drop1N</v>
      </c>
      <c r="M30" s="27" t="str">
        <f ca="1">VLOOKUP($I30,OFFSET([2]enemies!$A$1,0,0,COUNTA([2]enemies!$A:$A),MATCH(M$1,[2]enemies!$1:$1,0)-MATCH($I$1,[2]enemies!$1:$1,0)+1),MATCH(M$1,[2]enemies!$1:$1,0)-MATCH($I$1,[2]enemies!$1:$1,0)+1,FALSE)</f>
        <v>dragon</v>
      </c>
      <c r="N30" s="27">
        <f ca="1">VLOOKUP($I30,OFFSET([2]enemies!$A$1,0,0,COUNTA([2]enemies!$A:$A),MATCH(N$1,[2]enemies!$1:$1,0)-MATCH($I$1,[2]enemies!$1:$1,0)+1),MATCH(N$1,[2]enemies!$1:$1,0)-MATCH($I$1,[2]enemies!$1:$1,0)+1,FALSE)</f>
        <v>15</v>
      </c>
      <c r="O30" s="6">
        <v>15</v>
      </c>
      <c r="P30" s="47">
        <v>1.7</v>
      </c>
      <c r="Q30" s="47">
        <v>0.9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7">
        <f ca="1">VLOOKUP($I30,OFFSET([2]enemies!$A$1,0,0,COUNTA([2]enemies!$A:$A),MATCH(T$1,[2]enemies!$1:$1,0)-MATCH($I$1,[2]enemies!$1:$1,0)+1),MATCH(T$1,[2]enemies!$1:$1,0)-MATCH($I$1,[2]enemies!$1:$1,0)+1,FALSE)</f>
        <v>0</v>
      </c>
      <c r="U30" s="7">
        <v>0</v>
      </c>
      <c r="V30" s="7">
        <v>100</v>
      </c>
      <c r="W30" s="7">
        <v>0</v>
      </c>
      <c r="X30" s="27">
        <f ca="1">VLOOKUP($I30,OFFSET([2]enemies!$A$1,0,0,COUNTA([2]enemies!$A:$A),MATCH(X$1,[2]enemies!$1:$1,0)-MATCH($I$1,[2]enemies!$1:$1,0)+1),MATCH(X$1,[2]enemies!$1:$1,0)-MATCH($I$1,[2]enemies!$1:$1,0)+1,FALSE)</f>
        <v>2</v>
      </c>
      <c r="Y30" s="8">
        <v>43</v>
      </c>
      <c r="Z30" s="5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30" s="5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5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9">
        <v>2</v>
      </c>
      <c r="AD30" s="34">
        <f t="shared" ca="1" si="11"/>
        <v>2</v>
      </c>
      <c r="AE30" s="10">
        <v>15</v>
      </c>
      <c r="AF30" s="9">
        <v>0</v>
      </c>
      <c r="AG30" s="9">
        <v>0</v>
      </c>
      <c r="AH30" s="9">
        <v>0</v>
      </c>
      <c r="AI30" s="9">
        <v>0</v>
      </c>
      <c r="AJ30" s="9">
        <v>1</v>
      </c>
    </row>
    <row r="31" spans="1:36" ht="21" customHeight="1" x14ac:dyDescent="0.15">
      <c r="A31" s="22" t="str">
        <f t="shared" ca="1" si="8"/>
        <v>20002_2-3/4&lt;lv15&gt;s2</v>
      </c>
      <c r="B31" s="9">
        <v>20002</v>
      </c>
      <c r="C31" s="32">
        <v>2</v>
      </c>
      <c r="D31" s="2" t="str">
        <f t="shared" ca="1" si="9"/>
        <v>20002_2</v>
      </c>
      <c r="E31" s="5" t="str">
        <f ca="1">VLOOKUP($B31,OFFSET([1]quests!$A$1,0,0,COUNTA([1]quests!$A:$A),MATCH(E$1,[1]quests!$1:$1,0)-MATCH($B$1,[1]quests!$1:$1,0)+1),MATCH(E$1,[1]quests!$1:$1,0)-MATCH($B$1,[1]quests!$1:$1,0)+1,FALSE)</f>
        <v>孤高の一角獣</v>
      </c>
      <c r="F31" s="5" t="str">
        <f ca="1">VLOOKUP($D31,OFFSET([1]stages!$A$1,0,0,COUNTA([1]stages!$A:$A),MATCH(F$1,[1]stages!$2:$2,0)-MATCH($D$1,[1]stages!$2:$2,0)+1),MATCH(F$1,[1]stages!$2:$2,0)-MATCH($D$1,[1]stages!$2:$2,0)+1,FALSE)</f>
        <v>【中級】孤高の一角獣</v>
      </c>
      <c r="G31" s="39">
        <v>3</v>
      </c>
      <c r="H31" s="21" t="str">
        <f t="shared" ca="1" si="10"/>
        <v>20002_2-3</v>
      </c>
      <c r="I31" s="31">
        <v>4</v>
      </c>
      <c r="J31" s="27" t="str">
        <f ca="1">VLOOKUP($I31,OFFSET([2]enemies!$A$1,0,0,COUNTA([2]enemies!$A:$A),MATCH(J$1,[2]enemies!$1:$1,0)-MATCH($I$1,[2]enemies!$1:$1,0)+1),MATCH(J$1,[2]enemies!$1:$1,0)-MATCH($I$1,[2]enemies!$1:$1,0)+1,FALSE)</f>
        <v>エースエージェント ジョー</v>
      </c>
      <c r="K31" s="27" t="str">
        <f ca="1">VLOOKUP($I31,OFFSET([2]enemies!$A$1,0,0,COUNTA([2]enemies!$A:$A),MATCH(K$1,[2]enemies!$1:$1,0)-MATCH($I$1,[2]enemies!$1:$1,0)+1),MATCH(K$1,[2]enemies!$1:$1,0)-MATCH($I$1,[2]enemies!$1:$1,0)+1,FALSE)</f>
        <v>green</v>
      </c>
      <c r="L31" s="29" t="str">
        <f ca="1">VLOOKUP(I31,[3]characters!$A:$J,10,FALSE)</f>
        <v>Drop1T</v>
      </c>
      <c r="M31" s="27" t="str">
        <f ca="1">VLOOKUP($I31,OFFSET([2]enemies!$A$1,0,0,COUNTA([2]enemies!$A:$A),MATCH(M$1,[2]enemies!$1:$1,0)-MATCH($I$1,[2]enemies!$1:$1,0)+1),MATCH(M$1,[2]enemies!$1:$1,0)-MATCH($I$1,[2]enemies!$1:$1,0)+1,FALSE)</f>
        <v>unknown</v>
      </c>
      <c r="N31" s="27">
        <f ca="1">VLOOKUP($I31,OFFSET([2]enemies!$A$1,0,0,COUNTA([2]enemies!$A:$A),MATCH(N$1,[2]enemies!$1:$1,0)-MATCH($I$1,[2]enemies!$1:$1,0)+1),MATCH(N$1,[2]enemies!$1:$1,0)-MATCH($I$1,[2]enemies!$1:$1,0)+1,FALSE)</f>
        <v>15</v>
      </c>
      <c r="O31" s="6">
        <v>15</v>
      </c>
      <c r="P31" s="47">
        <v>1.7</v>
      </c>
      <c r="Q31" s="47">
        <v>0.9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7">
        <f ca="1">VLOOKUP($I31,OFFSET([2]enemies!$A$1,0,0,COUNTA([2]enemies!$A:$A),MATCH(T$1,[2]enemies!$1:$1,0)-MATCH($I$1,[2]enemies!$1:$1,0)+1),MATCH(T$1,[2]enemies!$1:$1,0)-MATCH($I$1,[2]enemies!$1:$1,0)+1,FALSE)</f>
        <v>0</v>
      </c>
      <c r="U31" s="7">
        <v>0</v>
      </c>
      <c r="V31" s="7">
        <v>100</v>
      </c>
      <c r="W31" s="7">
        <v>0</v>
      </c>
      <c r="X31" s="27">
        <f ca="1">VLOOKUP($I31,OFFSET([2]enemies!$A$1,0,0,COUNTA([2]enemies!$A:$A),MATCH(X$1,[2]enemies!$1:$1,0)-MATCH($I$1,[2]enemies!$1:$1,0)+1),MATCH(X$1,[2]enemies!$1:$1,0)-MATCH($I$1,[2]enemies!$1:$1,0)+1,FALSE)</f>
        <v>2</v>
      </c>
      <c r="Y31" s="8">
        <v>4</v>
      </c>
      <c r="Z31" s="5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31" s="5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5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31" s="9">
        <v>6</v>
      </c>
      <c r="AD31" s="34">
        <f t="shared" ca="1" si="11"/>
        <v>2</v>
      </c>
      <c r="AE31" s="10">
        <v>15</v>
      </c>
      <c r="AF31" s="9">
        <v>0</v>
      </c>
      <c r="AG31" s="9">
        <v>0</v>
      </c>
      <c r="AH31" s="9">
        <v>0</v>
      </c>
      <c r="AI31" s="9">
        <v>0</v>
      </c>
      <c r="AJ31" s="9">
        <v>1</v>
      </c>
    </row>
    <row r="32" spans="1:36" ht="21" customHeight="1" x14ac:dyDescent="0.15">
      <c r="A32" s="22" t="str">
        <f t="shared" ca="1" si="8"/>
        <v>20002_2-3/11&lt;lv15&gt;s3</v>
      </c>
      <c r="B32" s="9">
        <v>20002</v>
      </c>
      <c r="C32" s="32">
        <v>2</v>
      </c>
      <c r="D32" s="2" t="str">
        <f t="shared" ca="1" si="9"/>
        <v>20002_2</v>
      </c>
      <c r="E32" s="5" t="str">
        <f ca="1">VLOOKUP($B32,OFFSET([1]quests!$A$1,0,0,COUNTA([1]quests!$A:$A),MATCH(E$1,[1]quests!$1:$1,0)-MATCH($B$1,[1]quests!$1:$1,0)+1),MATCH(E$1,[1]quests!$1:$1,0)-MATCH($B$1,[1]quests!$1:$1,0)+1,FALSE)</f>
        <v>孤高の一角獣</v>
      </c>
      <c r="F32" s="5" t="str">
        <f ca="1">VLOOKUP($D32,OFFSET([1]stages!$A$1,0,0,COUNTA([1]stages!$A:$A),MATCH(F$1,[1]stages!$2:$2,0)-MATCH($D$1,[1]stages!$2:$2,0)+1),MATCH(F$1,[1]stages!$2:$2,0)-MATCH($D$1,[1]stages!$2:$2,0)+1,FALSE)</f>
        <v>【中級】孤高の一角獣</v>
      </c>
      <c r="G32" s="39">
        <v>3</v>
      </c>
      <c r="H32" s="21" t="str">
        <f t="shared" ca="1" si="10"/>
        <v>20002_2-3</v>
      </c>
      <c r="I32" s="31">
        <v>11</v>
      </c>
      <c r="J32" s="27" t="str">
        <f ca="1">VLOOKUP($I32,OFFSET([2]enemies!$A$1,0,0,COUNTA([2]enemies!$A:$A),MATCH(J$1,[2]enemies!$1:$1,0)-MATCH($I$1,[2]enemies!$1:$1,0)+1),MATCH(J$1,[2]enemies!$1:$1,0)-MATCH($I$1,[2]enemies!$1:$1,0)+1,FALSE)</f>
        <v>マグリット</v>
      </c>
      <c r="K32" s="27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9" t="str">
        <f ca="1">VLOOKUP(I32,[3]characters!$A:$J,10,FALSE)</f>
        <v>Drop1W</v>
      </c>
      <c r="M32" s="27" t="str">
        <f ca="1">VLOOKUP($I32,OFFSET([2]enemies!$A$1,0,0,COUNTA([2]enemies!$A:$A),MATCH(M$1,[2]enemies!$1:$1,0)-MATCH($I$1,[2]enemies!$1:$1,0)+1),MATCH(M$1,[2]enemies!$1:$1,0)-MATCH($I$1,[2]enemies!$1:$1,0)+1,FALSE)</f>
        <v>animal</v>
      </c>
      <c r="N32" s="27">
        <f ca="1">VLOOKUP($I32,OFFSET([2]enemies!$A$1,0,0,COUNTA([2]enemies!$A:$A),MATCH(N$1,[2]enemies!$1:$1,0)-MATCH($I$1,[2]enemies!$1:$1,0)+1),MATCH(N$1,[2]enemies!$1:$1,0)-MATCH($I$1,[2]enemies!$1:$1,0)+1,FALSE)</f>
        <v>15</v>
      </c>
      <c r="O32" s="6">
        <v>15</v>
      </c>
      <c r="P32" s="47">
        <v>1.7</v>
      </c>
      <c r="Q32" s="47">
        <v>0.9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7">
        <f ca="1">VLOOKUP($I32,OFFSET([2]enemies!$A$1,0,0,COUNTA([2]enemies!$A:$A),MATCH(T$1,[2]enemies!$1:$1,0)-MATCH($I$1,[2]enemies!$1:$1,0)+1),MATCH(T$1,[2]enemies!$1:$1,0)-MATCH($I$1,[2]enemies!$1:$1,0)+1,FALSE)</f>
        <v>0</v>
      </c>
      <c r="U32" s="7">
        <v>0</v>
      </c>
      <c r="V32" s="7">
        <v>100</v>
      </c>
      <c r="W32" s="7">
        <v>0</v>
      </c>
      <c r="X32" s="27">
        <f ca="1">VLOOKUP($I32,OFFSET([2]enemies!$A$1,0,0,COUNTA([2]enemies!$A:$A),MATCH(X$1,[2]enemies!$1:$1,0)-MATCH($I$1,[2]enemies!$1:$1,0)+1),MATCH(X$1,[2]enemies!$1:$1,0)-MATCH($I$1,[2]enemies!$1:$1,0)+1,FALSE)</f>
        <v>3</v>
      </c>
      <c r="Y32" s="8">
        <v>11</v>
      </c>
      <c r="Z32" s="5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2" s="5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5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2" s="9">
        <v>4</v>
      </c>
      <c r="AD32" s="34">
        <f t="shared" ca="1" si="11"/>
        <v>1</v>
      </c>
      <c r="AE32" s="10">
        <v>15</v>
      </c>
      <c r="AF32" s="9">
        <v>0</v>
      </c>
      <c r="AG32" s="9">
        <v>0</v>
      </c>
      <c r="AH32" s="9">
        <v>0</v>
      </c>
      <c r="AI32" s="9">
        <v>0</v>
      </c>
      <c r="AJ32" s="9">
        <v>1</v>
      </c>
    </row>
    <row r="33" spans="1:36" ht="21" customHeight="1" x14ac:dyDescent="0.15">
      <c r="A33" s="22" t="str">
        <f t="shared" ca="1" si="8"/>
        <v>20002_2-3/23&lt;lv15&gt;s4</v>
      </c>
      <c r="B33" s="9">
        <v>20002</v>
      </c>
      <c r="C33" s="32">
        <v>2</v>
      </c>
      <c r="D33" s="2" t="str">
        <f t="shared" ca="1" si="9"/>
        <v>20002_2</v>
      </c>
      <c r="E33" s="5" t="str">
        <f ca="1">VLOOKUP($B33,OFFSET([1]quests!$A$1,0,0,COUNTA([1]quests!$A:$A),MATCH(E$1,[1]quests!$1:$1,0)-MATCH($B$1,[1]quests!$1:$1,0)+1),MATCH(E$1,[1]quests!$1:$1,0)-MATCH($B$1,[1]quests!$1:$1,0)+1,FALSE)</f>
        <v>孤高の一角獣</v>
      </c>
      <c r="F33" s="5" t="str">
        <f ca="1">VLOOKUP($D33,OFFSET([1]stages!$A$1,0,0,COUNTA([1]stages!$A:$A),MATCH(F$1,[1]stages!$2:$2,0)-MATCH($D$1,[1]stages!$2:$2,0)+1),MATCH(F$1,[1]stages!$2:$2,0)-MATCH($D$1,[1]stages!$2:$2,0)+1,FALSE)</f>
        <v>【中級】孤高の一角獣</v>
      </c>
      <c r="G33" s="39">
        <v>3</v>
      </c>
      <c r="H33" s="21" t="str">
        <f t="shared" ca="1" si="10"/>
        <v>20002_2-3</v>
      </c>
      <c r="I33" s="31">
        <v>23</v>
      </c>
      <c r="J33" s="27" t="str">
        <f ca="1">VLOOKUP($I33,OFFSET([2]enemies!$A$1,0,0,COUNTA([2]enemies!$A:$A),MATCH(J$1,[2]enemies!$1:$1,0)-MATCH($I$1,[2]enemies!$1:$1,0)+1),MATCH(J$1,[2]enemies!$1:$1,0)-MATCH($I$1,[2]enemies!$1:$1,0)+1,FALSE)</f>
        <v>ミール</v>
      </c>
      <c r="K33" s="27" t="str">
        <f ca="1">VLOOKUP($I33,OFFSET([2]enemies!$A$1,0,0,COUNTA([2]enemies!$A:$A),MATCH(K$1,[2]enemies!$1:$1,0)-MATCH($I$1,[2]enemies!$1:$1,0)+1),MATCH(K$1,[2]enemies!$1:$1,0)-MATCH($I$1,[2]enemies!$1:$1,0)+1,FALSE)</f>
        <v>green</v>
      </c>
      <c r="L33" s="29" t="str">
        <f ca="1">VLOOKUP(I33,[3]characters!$A:$J,10,FALSE)</f>
        <v>Drop1N</v>
      </c>
      <c r="M33" s="27" t="str">
        <f ca="1">VLOOKUP($I33,OFFSET([2]enemies!$A$1,0,0,COUNTA([2]enemies!$A:$A),MATCH(M$1,[2]enemies!$1:$1,0)-MATCH($I$1,[2]enemies!$1:$1,0)+1),MATCH(M$1,[2]enemies!$1:$1,0)-MATCH($I$1,[2]enemies!$1:$1,0)+1,FALSE)</f>
        <v>animal</v>
      </c>
      <c r="N33" s="27">
        <f ca="1">VLOOKUP($I33,OFFSET([2]enemies!$A$1,0,0,COUNTA([2]enemies!$A:$A),MATCH(N$1,[2]enemies!$1:$1,0)-MATCH($I$1,[2]enemies!$1:$1,0)+1),MATCH(N$1,[2]enemies!$1:$1,0)-MATCH($I$1,[2]enemies!$1:$1,0)+1,FALSE)</f>
        <v>15</v>
      </c>
      <c r="O33" s="6">
        <v>15</v>
      </c>
      <c r="P33" s="47">
        <v>1.7</v>
      </c>
      <c r="Q33" s="47">
        <v>0.9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7">
        <f ca="1">VLOOKUP($I33,OFFSET([2]enemies!$A$1,0,0,COUNTA([2]enemies!$A:$A),MATCH(T$1,[2]enemies!$1:$1,0)-MATCH($I$1,[2]enemies!$1:$1,0)+1),MATCH(T$1,[2]enemies!$1:$1,0)-MATCH($I$1,[2]enemies!$1:$1,0)+1,FALSE)</f>
        <v>0</v>
      </c>
      <c r="U33" s="7">
        <v>0</v>
      </c>
      <c r="V33" s="7">
        <v>100</v>
      </c>
      <c r="W33" s="7">
        <v>0</v>
      </c>
      <c r="X33" s="27">
        <f ca="1">VLOOKUP($I33,OFFSET([2]enemies!$A$1,0,0,COUNTA([2]enemies!$A:$A),MATCH(X$1,[2]enemies!$1:$1,0)-MATCH($I$1,[2]enemies!$1:$1,0)+1),MATCH(X$1,[2]enemies!$1:$1,0)-MATCH($I$1,[2]enemies!$1:$1,0)+1,FALSE)</f>
        <v>4</v>
      </c>
      <c r="Y33" s="8">
        <v>23</v>
      </c>
      <c r="Z33" s="5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33" s="5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5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9">
        <v>2</v>
      </c>
      <c r="AD33" s="34">
        <f t="shared" ca="1" si="11"/>
        <v>1</v>
      </c>
      <c r="AE33" s="10">
        <v>15</v>
      </c>
      <c r="AF33" s="9">
        <v>0</v>
      </c>
      <c r="AG33" s="9">
        <v>0</v>
      </c>
      <c r="AH33" s="9">
        <v>0</v>
      </c>
      <c r="AI33" s="9">
        <v>0</v>
      </c>
      <c r="AJ33" s="9">
        <v>1</v>
      </c>
    </row>
    <row r="34" spans="1:36" ht="21" customHeight="1" x14ac:dyDescent="0.15">
      <c r="A34" s="22" t="str">
        <f t="shared" ca="1" si="8"/>
        <v>20002_2-3/43&lt;lv15&gt;s2</v>
      </c>
      <c r="B34" s="9">
        <v>20002</v>
      </c>
      <c r="C34" s="32">
        <v>2</v>
      </c>
      <c r="D34" s="2" t="str">
        <f t="shared" ca="1" si="9"/>
        <v>20002_2</v>
      </c>
      <c r="E34" s="5" t="str">
        <f ca="1">VLOOKUP($B34,OFFSET([1]quests!$A$1,0,0,COUNTA([1]quests!$A:$A),MATCH(E$1,[1]quests!$1:$1,0)-MATCH($B$1,[1]quests!$1:$1,0)+1),MATCH(E$1,[1]quests!$1:$1,0)-MATCH($B$1,[1]quests!$1:$1,0)+1,FALSE)</f>
        <v>孤高の一角獣</v>
      </c>
      <c r="F34" s="5" t="str">
        <f ca="1">VLOOKUP($D34,OFFSET([1]stages!$A$1,0,0,COUNTA([1]stages!$A:$A),MATCH(F$1,[1]stages!$2:$2,0)-MATCH($D$1,[1]stages!$2:$2,0)+1),MATCH(F$1,[1]stages!$2:$2,0)-MATCH($D$1,[1]stages!$2:$2,0)+1,FALSE)</f>
        <v>【中級】孤高の一角獣</v>
      </c>
      <c r="G34" s="39">
        <v>3</v>
      </c>
      <c r="H34" s="21" t="str">
        <f t="shared" ca="1" si="10"/>
        <v>20002_2-3</v>
      </c>
      <c r="I34" s="31">
        <v>43</v>
      </c>
      <c r="J34" s="27" t="str">
        <f ca="1">VLOOKUP($I34,OFFSET([2]enemies!$A$1,0,0,COUNTA([2]enemies!$A:$A),MATCH(J$1,[2]enemies!$1:$1,0)-MATCH($I$1,[2]enemies!$1:$1,0)+1),MATCH(J$1,[2]enemies!$1:$1,0)-MATCH($I$1,[2]enemies!$1:$1,0)+1,FALSE)</f>
        <v>ムゥ</v>
      </c>
      <c r="K34" s="27" t="str">
        <f ca="1">VLOOKUP($I34,OFFSET([2]enemies!$A$1,0,0,COUNTA([2]enemies!$A:$A),MATCH(K$1,[2]enemies!$1:$1,0)-MATCH($I$1,[2]enemies!$1:$1,0)+1),MATCH(K$1,[2]enemies!$1:$1,0)-MATCH($I$1,[2]enemies!$1:$1,0)+1,FALSE)</f>
        <v>green</v>
      </c>
      <c r="L34" s="29" t="str">
        <f ca="1">VLOOKUP(I34,[3]characters!$A:$J,10,FALSE)</f>
        <v>Drop1N</v>
      </c>
      <c r="M34" s="27" t="str">
        <f ca="1">VLOOKUP($I34,OFFSET([2]enemies!$A$1,0,0,COUNTA([2]enemies!$A:$A),MATCH(M$1,[2]enemies!$1:$1,0)-MATCH($I$1,[2]enemies!$1:$1,0)+1),MATCH(M$1,[2]enemies!$1:$1,0)-MATCH($I$1,[2]enemies!$1:$1,0)+1,FALSE)</f>
        <v>dragon</v>
      </c>
      <c r="N34" s="27">
        <f ca="1">VLOOKUP($I34,OFFSET([2]enemies!$A$1,0,0,COUNTA([2]enemies!$A:$A),MATCH(N$1,[2]enemies!$1:$1,0)-MATCH($I$1,[2]enemies!$1:$1,0)+1),MATCH(N$1,[2]enemies!$1:$1,0)-MATCH($I$1,[2]enemies!$1:$1,0)+1,FALSE)</f>
        <v>15</v>
      </c>
      <c r="O34" s="6">
        <v>15</v>
      </c>
      <c r="P34" s="47">
        <v>1.7</v>
      </c>
      <c r="Q34" s="47">
        <v>0.9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7">
        <f ca="1">VLOOKUP($I34,OFFSET([2]enemies!$A$1,0,0,COUNTA([2]enemies!$A:$A),MATCH(T$1,[2]enemies!$1:$1,0)-MATCH($I$1,[2]enemies!$1:$1,0)+1),MATCH(T$1,[2]enemies!$1:$1,0)-MATCH($I$1,[2]enemies!$1:$1,0)+1,FALSE)</f>
        <v>0</v>
      </c>
      <c r="U34" s="7">
        <v>1</v>
      </c>
      <c r="V34" s="7">
        <v>100</v>
      </c>
      <c r="W34" s="7">
        <v>0</v>
      </c>
      <c r="X34" s="27">
        <f ca="1">VLOOKUP($I34,OFFSET([2]enemies!$A$1,0,0,COUNTA([2]enemies!$A:$A),MATCH(X$1,[2]enemies!$1:$1,0)-MATCH($I$1,[2]enemies!$1:$1,0)+1),MATCH(X$1,[2]enemies!$1:$1,0)-MATCH($I$1,[2]enemies!$1:$1,0)+1,FALSE)</f>
        <v>2</v>
      </c>
      <c r="Y34" s="8">
        <v>43</v>
      </c>
      <c r="Z34" s="5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34" s="5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2</v>
      </c>
      <c r="AB34" s="5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9">
        <v>2</v>
      </c>
      <c r="AD34" s="34">
        <f t="shared" ca="1" si="11"/>
        <v>2</v>
      </c>
      <c r="AE34" s="10">
        <v>15</v>
      </c>
      <c r="AF34" s="9">
        <v>0</v>
      </c>
      <c r="AG34" s="9">
        <v>0</v>
      </c>
      <c r="AH34" s="9">
        <v>0</v>
      </c>
      <c r="AI34" s="9">
        <v>0</v>
      </c>
      <c r="AJ34" s="9">
        <v>1</v>
      </c>
    </row>
    <row r="35" spans="1:36" ht="21" customHeight="1" x14ac:dyDescent="0.15">
      <c r="A35" s="22" t="str">
        <f t="shared" si="8"/>
        <v>20002_2-3/59&lt;lv15&gt;s3</v>
      </c>
      <c r="B35" s="9">
        <v>20002</v>
      </c>
      <c r="C35" s="32">
        <v>2</v>
      </c>
      <c r="D35" s="2" t="str">
        <f t="shared" ca="1" si="9"/>
        <v>20002_2</v>
      </c>
      <c r="E35" s="5" t="str">
        <f ca="1">VLOOKUP($B35,OFFSET([1]quests!$A$1,0,0,COUNTA([1]quests!$A:$A),MATCH(E$1,[1]quests!$1:$1,0)-MATCH($B$1,[1]quests!$1:$1,0)+1),MATCH(E$1,[1]quests!$1:$1,0)-MATCH($B$1,[1]quests!$1:$1,0)+1,FALSE)</f>
        <v>孤高の一角獣</v>
      </c>
      <c r="F35" s="5" t="str">
        <f ca="1">VLOOKUP($D35,OFFSET([1]stages!$A$1,0,0,COUNTA([1]stages!$A:$A),MATCH(F$1,[1]stages!$2:$2,0)-MATCH($D$1,[1]stages!$2:$2,0)+1),MATCH(F$1,[1]stages!$2:$2,0)-MATCH($D$1,[1]stages!$2:$2,0)+1,FALSE)</f>
        <v>【中級】孤高の一角獣</v>
      </c>
      <c r="G35" s="39">
        <v>3</v>
      </c>
      <c r="H35" s="21" t="str">
        <f t="shared" ca="1" si="10"/>
        <v>20002_2-3</v>
      </c>
      <c r="I35" s="31">
        <v>59</v>
      </c>
      <c r="J35" s="27" t="str">
        <f ca="1">VLOOKUP($I35,OFFSET([2]enemies!$A$1,0,0,COUNTA([2]enemies!$A:$A),MATCH(J$1,[2]enemies!$1:$1,0)-MATCH($I$1,[2]enemies!$1:$1,0)+1),MATCH(J$1,[2]enemies!$1:$1,0)-MATCH($I$1,[2]enemies!$1:$1,0)+1,FALSE)</f>
        <v>マーチ</v>
      </c>
      <c r="K35" s="27" t="str">
        <f ca="1">VLOOKUP($I35,OFFSET([2]enemies!$A$1,0,0,COUNTA([2]enemies!$A:$A),MATCH(K$1,[2]enemies!$1:$1,0)-MATCH($I$1,[2]enemies!$1:$1,0)+1),MATCH(K$1,[2]enemies!$1:$1,0)-MATCH($I$1,[2]enemies!$1:$1,0)+1,FALSE)</f>
        <v>green</v>
      </c>
      <c r="L35" s="29" t="str">
        <f ca="1">VLOOKUP(I35,[3]characters!$A:$J,10,FALSE)</f>
        <v>Drop1N</v>
      </c>
      <c r="M35" s="27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27">
        <f ca="1">VLOOKUP($I35,OFFSET([2]enemies!$A$1,0,0,COUNTA([2]enemies!$A:$A),MATCH(N$1,[2]enemies!$1:$1,0)-MATCH($I$1,[2]enemies!$1:$1,0)+1),MATCH(N$1,[2]enemies!$1:$1,0)-MATCH($I$1,[2]enemies!$1:$1,0)+1,FALSE)</f>
        <v>15</v>
      </c>
      <c r="O35" s="6">
        <v>15</v>
      </c>
      <c r="P35" s="47">
        <v>1.7</v>
      </c>
      <c r="Q35" s="47">
        <v>0.8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5" s="27">
        <f ca="1">VLOOKUP($I35,OFFSET([2]enemies!$A$1,0,0,COUNTA([2]enemies!$A:$A),MATCH(T$1,[2]enemies!$1:$1,0)-MATCH($I$1,[2]enemies!$1:$1,0)+1),MATCH(T$1,[2]enemies!$1:$1,0)-MATCH($I$1,[2]enemies!$1:$1,0)+1,FALSE)</f>
        <v>59</v>
      </c>
      <c r="U35" s="7">
        <v>1</v>
      </c>
      <c r="V35" s="7">
        <v>0</v>
      </c>
      <c r="W35" s="7">
        <v>1</v>
      </c>
      <c r="X35" s="51">
        <v>3</v>
      </c>
      <c r="Y35" s="8">
        <v>59</v>
      </c>
      <c r="Z35" s="5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35" s="5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2</v>
      </c>
      <c r="AB35" s="5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5" s="9">
        <v>2</v>
      </c>
      <c r="AD35" s="34">
        <f t="shared" ca="1" si="11"/>
        <v>2</v>
      </c>
      <c r="AE35" s="10">
        <v>15</v>
      </c>
      <c r="AF35" s="9">
        <v>0</v>
      </c>
      <c r="AG35" s="9">
        <v>0</v>
      </c>
      <c r="AH35" s="9">
        <v>0</v>
      </c>
      <c r="AI35" s="9">
        <v>0</v>
      </c>
      <c r="AJ35" s="9">
        <v>1</v>
      </c>
    </row>
    <row r="36" spans="1:36" ht="21" customHeight="1" x14ac:dyDescent="0.15">
      <c r="A36" s="22" t="str">
        <f ca="1">B36&amp;"_"&amp;C36&amp;"-"&amp;G36&amp;"/"&amp;I36&amp;"&lt;lv"&amp;O36&amp;"&gt;s"&amp;X36</f>
        <v>20002_2-4/122&lt;lv10&gt;s3</v>
      </c>
      <c r="B36" s="9">
        <v>20002</v>
      </c>
      <c r="C36" s="32">
        <v>2</v>
      </c>
      <c r="D36" s="2" t="str">
        <f ca="1">B36&amp;"_"&amp;C36</f>
        <v>20002_2</v>
      </c>
      <c r="E36" s="5" t="str">
        <f ca="1">VLOOKUP($B36,OFFSET([1]quests!$A$1,0,0,COUNTA([1]quests!$A:$A),MATCH(E$1,[1]quests!$1:$1,0)-MATCH($B$1,[1]quests!$1:$1,0)+1),MATCH(E$1,[1]quests!$1:$1,0)-MATCH($B$1,[1]quests!$1:$1,0)+1,FALSE)</f>
        <v>孤高の一角獣</v>
      </c>
      <c r="F36" s="5" t="str">
        <f ca="1">VLOOKUP($D36,OFFSET([1]stages!$A$1,0,0,COUNTA([1]stages!$A:$A),MATCH(F$1,[1]stages!$2:$2,0)-MATCH($D$1,[1]stages!$2:$2,0)+1),MATCH(F$1,[1]stages!$2:$2,0)-MATCH($D$1,[1]stages!$2:$2,0)+1,FALSE)</f>
        <v>【中級】孤高の一角獣</v>
      </c>
      <c r="G36" s="49">
        <v>4</v>
      </c>
      <c r="H36" s="21" t="str">
        <f ca="1">B36&amp;"_"&amp;C36&amp;"-"&amp;G36</f>
        <v>20002_2-4</v>
      </c>
      <c r="I36" s="31">
        <v>122</v>
      </c>
      <c r="J36" s="27" t="str">
        <f ca="1">VLOOKUP($I36,OFFSET([2]enemies!$A$1,0,0,COUNTA([2]enemies!$A:$A),MATCH(J$1,[2]enemies!$1:$1,0)-MATCH($I$1,[2]enemies!$1:$1,0)+1),MATCH(J$1,[2]enemies!$1:$1,0)-MATCH($I$1,[2]enemies!$1:$1,0)+1,FALSE)</f>
        <v>生命の果実</v>
      </c>
      <c r="K36" s="27" t="str">
        <f ca="1">VLOOKUP($I36,OFFSET([2]enemies!$A$1,0,0,COUNTA([2]enemies!$A:$A),MATCH(K$1,[2]enemies!$1:$1,0)-MATCH($I$1,[2]enemies!$1:$1,0)+1),MATCH(K$1,[2]enemies!$1:$1,0)-MATCH($I$1,[2]enemies!$1:$1,0)+1,FALSE)</f>
        <v>green</v>
      </c>
      <c r="L36" s="29" t="str">
        <f ca="1">VLOOKUP(I36,[3]characters!$A:$J,10,FALSE)</f>
        <v>Material</v>
      </c>
      <c r="M36" s="27" t="str">
        <f ca="1">VLOOKUP($I36,OFFSET([2]enemies!$A$1,0,0,COUNTA([2]enemies!$A:$A),MATCH(M$1,[2]enemies!$1:$1,0)-MATCH($I$1,[2]enemies!$1:$1,0)+1),MATCH(M$1,[2]enemies!$1:$1,0)-MATCH($I$1,[2]enemies!$1:$1,0)+1,FALSE)</f>
        <v>unknown</v>
      </c>
      <c r="N36" s="27">
        <f ca="1">VLOOKUP($I36,OFFSET([2]enemies!$A$1,0,0,COUNTA([2]enemies!$A:$A),MATCH(N$1,[2]enemies!$1:$1,0)-MATCH($I$1,[2]enemies!$1:$1,0)+1),MATCH(N$1,[2]enemies!$1:$1,0)-MATCH($I$1,[2]enemies!$1:$1,0)+1,FALSE)</f>
        <v>20</v>
      </c>
      <c r="O36" s="6">
        <v>10</v>
      </c>
      <c r="P36" s="47">
        <v>2.4</v>
      </c>
      <c r="Q36" s="47">
        <v>0.3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この果実はターン０になると自爆する！</v>
      </c>
      <c r="T36" s="51">
        <v>1221</v>
      </c>
      <c r="U36" s="7">
        <v>1</v>
      </c>
      <c r="V36" s="7">
        <v>0</v>
      </c>
      <c r="W36" s="7">
        <v>1</v>
      </c>
      <c r="X36" s="27">
        <f ca="1">VLOOKUP($I36,OFFSET([2]enemies!$A$1,0,0,COUNTA([2]enemies!$A:$A),MATCH(X$1,[2]enemies!$1:$1,0)-MATCH($I$1,[2]enemies!$1:$1,0)+1),MATCH(X$1,[2]enemies!$1:$1,0)-MATCH($I$1,[2]enemies!$1:$1,0)+1,FALSE)</f>
        <v>3</v>
      </c>
      <c r="Y36" s="8">
        <v>122</v>
      </c>
      <c r="Z36" s="5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生命の果実</v>
      </c>
      <c r="AA36" s="5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3</v>
      </c>
      <c r="AB36" s="5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36" s="9">
        <v>1</v>
      </c>
      <c r="AD36" s="34">
        <f ca="1">AA36</f>
        <v>3</v>
      </c>
      <c r="AE36" s="10">
        <v>10</v>
      </c>
      <c r="AF36" s="9">
        <v>0</v>
      </c>
      <c r="AG36" s="9">
        <v>0</v>
      </c>
      <c r="AH36" s="9">
        <v>0</v>
      </c>
      <c r="AI36" s="9">
        <v>0</v>
      </c>
      <c r="AJ36" s="9">
        <v>1</v>
      </c>
    </row>
    <row r="37" spans="1:36" ht="21" customHeight="1" x14ac:dyDescent="0.15">
      <c r="A37" s="22" t="str">
        <f t="shared" ca="1" si="8"/>
        <v>20002_2-4/4&lt;lv15&gt;s2</v>
      </c>
      <c r="B37" s="9">
        <v>20002</v>
      </c>
      <c r="C37" s="32">
        <v>2</v>
      </c>
      <c r="D37" s="2" t="str">
        <f t="shared" ca="1" si="9"/>
        <v>20002_2</v>
      </c>
      <c r="E37" s="5" t="str">
        <f ca="1">VLOOKUP($B37,OFFSET([1]quests!$A$1,0,0,COUNTA([1]quests!$A:$A),MATCH(E$1,[1]quests!$1:$1,0)-MATCH($B$1,[1]quests!$1:$1,0)+1),MATCH(E$1,[1]quests!$1:$1,0)-MATCH($B$1,[1]quests!$1:$1,0)+1,FALSE)</f>
        <v>孤高の一角獣</v>
      </c>
      <c r="F37" s="5" t="str">
        <f ca="1">VLOOKUP($D37,OFFSET([1]stages!$A$1,0,0,COUNTA([1]stages!$A:$A),MATCH(F$1,[1]stages!$2:$2,0)-MATCH($D$1,[1]stages!$2:$2,0)+1),MATCH(F$1,[1]stages!$2:$2,0)-MATCH($D$1,[1]stages!$2:$2,0)+1,FALSE)</f>
        <v>【中級】孤高の一角獣</v>
      </c>
      <c r="G37" s="40">
        <v>4</v>
      </c>
      <c r="H37" s="21" t="str">
        <f t="shared" ca="1" si="10"/>
        <v>20002_2-4</v>
      </c>
      <c r="I37" s="31">
        <v>4</v>
      </c>
      <c r="J37" s="27" t="str">
        <f ca="1">VLOOKUP($I37,OFFSET([2]enemies!$A$1,0,0,COUNTA([2]enemies!$A:$A),MATCH(J$1,[2]enemies!$1:$1,0)-MATCH($I$1,[2]enemies!$1:$1,0)+1),MATCH(J$1,[2]enemies!$1:$1,0)-MATCH($I$1,[2]enemies!$1:$1,0)+1,FALSE)</f>
        <v>エースエージェント ジョー</v>
      </c>
      <c r="K37" s="27" t="str">
        <f ca="1">VLOOKUP($I37,OFFSET([2]enemies!$A$1,0,0,COUNTA([2]enemies!$A:$A),MATCH(K$1,[2]enemies!$1:$1,0)-MATCH($I$1,[2]enemies!$1:$1,0)+1),MATCH(K$1,[2]enemies!$1:$1,0)-MATCH($I$1,[2]enemies!$1:$1,0)+1,FALSE)</f>
        <v>green</v>
      </c>
      <c r="L37" s="29" t="str">
        <f ca="1">VLOOKUP(I37,[3]characters!$A:$J,10,FALSE)</f>
        <v>Drop1T</v>
      </c>
      <c r="M37" s="27" t="str">
        <f ca="1">VLOOKUP($I37,OFFSET([2]enemies!$A$1,0,0,COUNTA([2]enemies!$A:$A),MATCH(M$1,[2]enemies!$1:$1,0)-MATCH($I$1,[2]enemies!$1:$1,0)+1),MATCH(M$1,[2]enemies!$1:$1,0)-MATCH($I$1,[2]enemies!$1:$1,0)+1,FALSE)</f>
        <v>unknown</v>
      </c>
      <c r="N37" s="27">
        <f ca="1">VLOOKUP($I37,OFFSET([2]enemies!$A$1,0,0,COUNTA([2]enemies!$A:$A),MATCH(N$1,[2]enemies!$1:$1,0)-MATCH($I$1,[2]enemies!$1:$1,0)+1),MATCH(N$1,[2]enemies!$1:$1,0)-MATCH($I$1,[2]enemies!$1:$1,0)+1,FALSE)</f>
        <v>15</v>
      </c>
      <c r="O37" s="6">
        <v>15</v>
      </c>
      <c r="P37" s="47">
        <v>1.7</v>
      </c>
      <c r="Q37" s="47">
        <v>0.9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7">
        <f ca="1">VLOOKUP($I37,OFFSET([2]enemies!$A$1,0,0,COUNTA([2]enemies!$A:$A),MATCH(T$1,[2]enemies!$1:$1,0)-MATCH($I$1,[2]enemies!$1:$1,0)+1),MATCH(T$1,[2]enemies!$1:$1,0)-MATCH($I$1,[2]enemies!$1:$1,0)+1,FALSE)</f>
        <v>0</v>
      </c>
      <c r="U37" s="7">
        <v>0</v>
      </c>
      <c r="V37" s="7">
        <v>0</v>
      </c>
      <c r="W37" s="7">
        <v>0</v>
      </c>
      <c r="X37" s="27">
        <f ca="1">VLOOKUP($I37,OFFSET([2]enemies!$A$1,0,0,COUNTA([2]enemies!$A:$A),MATCH(X$1,[2]enemies!$1:$1,0)-MATCH($I$1,[2]enemies!$1:$1,0)+1),MATCH(X$1,[2]enemies!$1:$1,0)-MATCH($I$1,[2]enemies!$1:$1,0)+1,FALSE)</f>
        <v>2</v>
      </c>
      <c r="Y37" s="8">
        <v>4</v>
      </c>
      <c r="Z37" s="5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37" s="5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5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37" s="9">
        <v>1</v>
      </c>
      <c r="AD37" s="34">
        <f t="shared" ca="1" si="11"/>
        <v>2</v>
      </c>
      <c r="AE37" s="10">
        <v>15</v>
      </c>
      <c r="AF37" s="9">
        <v>0</v>
      </c>
      <c r="AG37" s="9">
        <v>0</v>
      </c>
      <c r="AH37" s="9">
        <v>0</v>
      </c>
      <c r="AI37" s="9">
        <v>0</v>
      </c>
      <c r="AJ37" s="9">
        <v>1</v>
      </c>
    </row>
    <row r="38" spans="1:36" ht="21" customHeight="1" x14ac:dyDescent="0.15">
      <c r="A38" s="22" t="str">
        <f t="shared" ca="1" si="8"/>
        <v>20002_2-4/11&lt;lv15&gt;s3</v>
      </c>
      <c r="B38" s="9">
        <v>20002</v>
      </c>
      <c r="C38" s="32">
        <v>2</v>
      </c>
      <c r="D38" s="2" t="str">
        <f t="shared" ca="1" si="9"/>
        <v>20002_2</v>
      </c>
      <c r="E38" s="5" t="str">
        <f ca="1">VLOOKUP($B38,OFFSET([1]quests!$A$1,0,0,COUNTA([1]quests!$A:$A),MATCH(E$1,[1]quests!$1:$1,0)-MATCH($B$1,[1]quests!$1:$1,0)+1),MATCH(E$1,[1]quests!$1:$1,0)-MATCH($B$1,[1]quests!$1:$1,0)+1,FALSE)</f>
        <v>孤高の一角獣</v>
      </c>
      <c r="F38" s="5" t="str">
        <f ca="1">VLOOKUP($D38,OFFSET([1]stages!$A$1,0,0,COUNTA([1]stages!$A:$A),MATCH(F$1,[1]stages!$2:$2,0)-MATCH($D$1,[1]stages!$2:$2,0)+1),MATCH(F$1,[1]stages!$2:$2,0)-MATCH($D$1,[1]stages!$2:$2,0)+1,FALSE)</f>
        <v>【中級】孤高の一角獣</v>
      </c>
      <c r="G38" s="40">
        <v>4</v>
      </c>
      <c r="H38" s="21" t="str">
        <f t="shared" ca="1" si="10"/>
        <v>20002_2-4</v>
      </c>
      <c r="I38" s="31">
        <v>11</v>
      </c>
      <c r="J38" s="27" t="str">
        <f ca="1">VLOOKUP($I38,OFFSET([2]enemies!$A$1,0,0,COUNTA([2]enemies!$A:$A),MATCH(J$1,[2]enemies!$1:$1,0)-MATCH($I$1,[2]enemies!$1:$1,0)+1),MATCH(J$1,[2]enemies!$1:$1,0)-MATCH($I$1,[2]enemies!$1:$1,0)+1,FALSE)</f>
        <v>マグリット</v>
      </c>
      <c r="K38" s="27" t="str">
        <f ca="1">VLOOKUP($I38,OFFSET([2]enemies!$A$1,0,0,COUNTA([2]enemies!$A:$A),MATCH(K$1,[2]enemies!$1:$1,0)-MATCH($I$1,[2]enemies!$1:$1,0)+1),MATCH(K$1,[2]enemies!$1:$1,0)-MATCH($I$1,[2]enemies!$1:$1,0)+1,FALSE)</f>
        <v>green</v>
      </c>
      <c r="L38" s="29" t="str">
        <f ca="1">VLOOKUP(I38,[3]characters!$A:$J,10,FALSE)</f>
        <v>Drop1W</v>
      </c>
      <c r="M38" s="27" t="str">
        <f ca="1">VLOOKUP($I38,OFFSET([2]enemies!$A$1,0,0,COUNTA([2]enemies!$A:$A),MATCH(M$1,[2]enemies!$1:$1,0)-MATCH($I$1,[2]enemies!$1:$1,0)+1),MATCH(M$1,[2]enemies!$1:$1,0)-MATCH($I$1,[2]enemies!$1:$1,0)+1,FALSE)</f>
        <v>animal</v>
      </c>
      <c r="N38" s="27">
        <f ca="1">VLOOKUP($I38,OFFSET([2]enemies!$A$1,0,0,COUNTA([2]enemies!$A:$A),MATCH(N$1,[2]enemies!$1:$1,0)-MATCH($I$1,[2]enemies!$1:$1,0)+1),MATCH(N$1,[2]enemies!$1:$1,0)-MATCH($I$1,[2]enemies!$1:$1,0)+1,FALSE)</f>
        <v>15</v>
      </c>
      <c r="O38" s="6">
        <v>15</v>
      </c>
      <c r="P38" s="47">
        <v>1.7</v>
      </c>
      <c r="Q38" s="47">
        <v>0.9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7">
        <f ca="1">VLOOKUP($I38,OFFSET([2]enemies!$A$1,0,0,COUNTA([2]enemies!$A:$A),MATCH(T$1,[2]enemies!$1:$1,0)-MATCH($I$1,[2]enemies!$1:$1,0)+1),MATCH(T$1,[2]enemies!$1:$1,0)-MATCH($I$1,[2]enemies!$1:$1,0)+1,FALSE)</f>
        <v>0</v>
      </c>
      <c r="U38" s="7">
        <v>1</v>
      </c>
      <c r="V38" s="7">
        <v>0</v>
      </c>
      <c r="W38" s="7">
        <v>0</v>
      </c>
      <c r="X38" s="27">
        <f ca="1">VLOOKUP($I38,OFFSET([2]enemies!$A$1,0,0,COUNTA([2]enemies!$A:$A),MATCH(X$1,[2]enemies!$1:$1,0)-MATCH($I$1,[2]enemies!$1:$1,0)+1),MATCH(X$1,[2]enemies!$1:$1,0)-MATCH($I$1,[2]enemies!$1:$1,0)+1,FALSE)</f>
        <v>3</v>
      </c>
      <c r="Y38" s="8">
        <v>11</v>
      </c>
      <c r="Z38" s="5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8" s="5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1</v>
      </c>
      <c r="AB38" s="5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8" s="9">
        <v>4</v>
      </c>
      <c r="AD38" s="34">
        <f t="shared" ca="1" si="11"/>
        <v>1</v>
      </c>
      <c r="AE38" s="10">
        <v>15</v>
      </c>
      <c r="AF38" s="9">
        <v>0</v>
      </c>
      <c r="AG38" s="9">
        <v>0</v>
      </c>
      <c r="AH38" s="9">
        <v>0</v>
      </c>
      <c r="AI38" s="9">
        <v>0</v>
      </c>
      <c r="AJ38" s="9">
        <v>1</v>
      </c>
    </row>
    <row r="39" spans="1:36" ht="21" customHeight="1" x14ac:dyDescent="0.15">
      <c r="A39" s="22" t="str">
        <f t="shared" ca="1" si="8"/>
        <v>20002_2-4/23&lt;lv15&gt;s4</v>
      </c>
      <c r="B39" s="9">
        <v>20002</v>
      </c>
      <c r="C39" s="32">
        <v>2</v>
      </c>
      <c r="D39" s="2" t="str">
        <f t="shared" ca="1" si="9"/>
        <v>20002_2</v>
      </c>
      <c r="E39" s="5" t="str">
        <f ca="1">VLOOKUP($B39,OFFSET([1]quests!$A$1,0,0,COUNTA([1]quests!$A:$A),MATCH(E$1,[1]quests!$1:$1,0)-MATCH($B$1,[1]quests!$1:$1,0)+1),MATCH(E$1,[1]quests!$1:$1,0)-MATCH($B$1,[1]quests!$1:$1,0)+1,FALSE)</f>
        <v>孤高の一角獣</v>
      </c>
      <c r="F39" s="5" t="str">
        <f ca="1">VLOOKUP($D39,OFFSET([1]stages!$A$1,0,0,COUNTA([1]stages!$A:$A),MATCH(F$1,[1]stages!$2:$2,0)-MATCH($D$1,[1]stages!$2:$2,0)+1),MATCH(F$1,[1]stages!$2:$2,0)-MATCH($D$1,[1]stages!$2:$2,0)+1,FALSE)</f>
        <v>【中級】孤高の一角獣</v>
      </c>
      <c r="G39" s="40">
        <v>4</v>
      </c>
      <c r="H39" s="21" t="str">
        <f t="shared" ca="1" si="10"/>
        <v>20002_2-4</v>
      </c>
      <c r="I39" s="31">
        <v>23</v>
      </c>
      <c r="J39" s="27" t="str">
        <f ca="1">VLOOKUP($I39,OFFSET([2]enemies!$A$1,0,0,COUNTA([2]enemies!$A:$A),MATCH(J$1,[2]enemies!$1:$1,0)-MATCH($I$1,[2]enemies!$1:$1,0)+1),MATCH(J$1,[2]enemies!$1:$1,0)-MATCH($I$1,[2]enemies!$1:$1,0)+1,FALSE)</f>
        <v>ミール</v>
      </c>
      <c r="K39" s="27" t="str">
        <f ca="1">VLOOKUP($I39,OFFSET([2]enemies!$A$1,0,0,COUNTA([2]enemies!$A:$A),MATCH(K$1,[2]enemies!$1:$1,0)-MATCH($I$1,[2]enemies!$1:$1,0)+1),MATCH(K$1,[2]enemies!$1:$1,0)-MATCH($I$1,[2]enemies!$1:$1,0)+1,FALSE)</f>
        <v>green</v>
      </c>
      <c r="L39" s="29" t="str">
        <f ca="1">VLOOKUP(I39,[3]characters!$A:$J,10,FALSE)</f>
        <v>Drop1N</v>
      </c>
      <c r="M39" s="27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7">
        <f ca="1">VLOOKUP($I39,OFFSET([2]enemies!$A$1,0,0,COUNTA([2]enemies!$A:$A),MATCH(N$1,[2]enemies!$1:$1,0)-MATCH($I$1,[2]enemies!$1:$1,0)+1),MATCH(N$1,[2]enemies!$1:$1,0)-MATCH($I$1,[2]enemies!$1:$1,0)+1,FALSE)</f>
        <v>15</v>
      </c>
      <c r="O39" s="6">
        <v>15</v>
      </c>
      <c r="P39" s="47">
        <v>1.7</v>
      </c>
      <c r="Q39" s="47">
        <v>0.9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7">
        <f ca="1">VLOOKUP($I39,OFFSET([2]enemies!$A$1,0,0,COUNTA([2]enemies!$A:$A),MATCH(T$1,[2]enemies!$1:$1,0)-MATCH($I$1,[2]enemies!$1:$1,0)+1),MATCH(T$1,[2]enemies!$1:$1,0)-MATCH($I$1,[2]enemies!$1:$1,0)+1,FALSE)</f>
        <v>0</v>
      </c>
      <c r="U39" s="7">
        <v>1</v>
      </c>
      <c r="V39" s="7">
        <v>0</v>
      </c>
      <c r="W39" s="7">
        <v>0</v>
      </c>
      <c r="X39" s="27">
        <f ca="1">VLOOKUP($I39,OFFSET([2]enemies!$A$1,0,0,COUNTA([2]enemies!$A:$A),MATCH(X$1,[2]enemies!$1:$1,0)-MATCH($I$1,[2]enemies!$1:$1,0)+1),MATCH(X$1,[2]enemies!$1:$1,0)-MATCH($I$1,[2]enemies!$1:$1,0)+1,FALSE)</f>
        <v>4</v>
      </c>
      <c r="Y39" s="8">
        <v>23</v>
      </c>
      <c r="Z39" s="5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ミール</v>
      </c>
      <c r="AA39" s="5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1</v>
      </c>
      <c r="AB39" s="5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9">
        <v>2</v>
      </c>
      <c r="AD39" s="34">
        <f t="shared" ca="1" si="11"/>
        <v>1</v>
      </c>
      <c r="AE39" s="10">
        <v>15</v>
      </c>
      <c r="AF39" s="9">
        <v>0</v>
      </c>
      <c r="AG39" s="9">
        <v>0</v>
      </c>
      <c r="AH39" s="9">
        <v>0</v>
      </c>
      <c r="AI39" s="9">
        <v>0</v>
      </c>
      <c r="AJ39" s="9">
        <v>1</v>
      </c>
    </row>
    <row r="40" spans="1:36" ht="21" customHeight="1" x14ac:dyDescent="0.15">
      <c r="A40" s="22" t="str">
        <f t="shared" ca="1" si="8"/>
        <v>20002_2-4/43&lt;lv15&gt;s2</v>
      </c>
      <c r="B40" s="9">
        <v>20002</v>
      </c>
      <c r="C40" s="32">
        <v>2</v>
      </c>
      <c r="D40" s="2" t="str">
        <f t="shared" ca="1" si="9"/>
        <v>20002_2</v>
      </c>
      <c r="E40" s="5" t="str">
        <f ca="1">VLOOKUP($B40,OFFSET([1]quests!$A$1,0,0,COUNTA([1]quests!$A:$A),MATCH(E$1,[1]quests!$1:$1,0)-MATCH($B$1,[1]quests!$1:$1,0)+1),MATCH(E$1,[1]quests!$1:$1,0)-MATCH($B$1,[1]quests!$1:$1,0)+1,FALSE)</f>
        <v>孤高の一角獣</v>
      </c>
      <c r="F40" s="5" t="str">
        <f ca="1">VLOOKUP($D40,OFFSET([1]stages!$A$1,0,0,COUNTA([1]stages!$A:$A),MATCH(F$1,[1]stages!$2:$2,0)-MATCH($D$1,[1]stages!$2:$2,0)+1),MATCH(F$1,[1]stages!$2:$2,0)-MATCH($D$1,[1]stages!$2:$2,0)+1,FALSE)</f>
        <v>【中級】孤高の一角獣</v>
      </c>
      <c r="G40" s="40">
        <v>4</v>
      </c>
      <c r="H40" s="21" t="str">
        <f t="shared" ca="1" si="10"/>
        <v>20002_2-4</v>
      </c>
      <c r="I40" s="31">
        <v>43</v>
      </c>
      <c r="J40" s="27" t="str">
        <f ca="1">VLOOKUP($I40,OFFSET([2]enemies!$A$1,0,0,COUNTA([2]enemies!$A:$A),MATCH(J$1,[2]enemies!$1:$1,0)-MATCH($I$1,[2]enemies!$1:$1,0)+1),MATCH(J$1,[2]enemies!$1:$1,0)-MATCH($I$1,[2]enemies!$1:$1,0)+1,FALSE)</f>
        <v>ムゥ</v>
      </c>
      <c r="K40" s="27" t="str">
        <f ca="1">VLOOKUP($I40,OFFSET([2]enemies!$A$1,0,0,COUNTA([2]enemies!$A:$A),MATCH(K$1,[2]enemies!$1:$1,0)-MATCH($I$1,[2]enemies!$1:$1,0)+1),MATCH(K$1,[2]enemies!$1:$1,0)-MATCH($I$1,[2]enemies!$1:$1,0)+1,FALSE)</f>
        <v>green</v>
      </c>
      <c r="L40" s="29" t="str">
        <f ca="1">VLOOKUP(I40,[3]characters!$A:$J,10,FALSE)</f>
        <v>Drop1N</v>
      </c>
      <c r="M40" s="27" t="str">
        <f ca="1">VLOOKUP($I40,OFFSET([2]enemies!$A$1,0,0,COUNTA([2]enemies!$A:$A),MATCH(M$1,[2]enemies!$1:$1,0)-MATCH($I$1,[2]enemies!$1:$1,0)+1),MATCH(M$1,[2]enemies!$1:$1,0)-MATCH($I$1,[2]enemies!$1:$1,0)+1,FALSE)</f>
        <v>dragon</v>
      </c>
      <c r="N40" s="27">
        <f ca="1">VLOOKUP($I40,OFFSET([2]enemies!$A$1,0,0,COUNTA([2]enemies!$A:$A),MATCH(N$1,[2]enemies!$1:$1,0)-MATCH($I$1,[2]enemies!$1:$1,0)+1),MATCH(N$1,[2]enemies!$1:$1,0)-MATCH($I$1,[2]enemies!$1:$1,0)+1,FALSE)</f>
        <v>15</v>
      </c>
      <c r="O40" s="6">
        <v>15</v>
      </c>
      <c r="P40" s="47">
        <v>1.7</v>
      </c>
      <c r="Q40" s="47">
        <v>0.9</v>
      </c>
      <c r="R40" s="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7">
        <f ca="1">VLOOKUP($I40,OFFSET([2]enemies!$A$1,0,0,COUNTA([2]enemies!$A:$A),MATCH(T$1,[2]enemies!$1:$1,0)-MATCH($I$1,[2]enemies!$1:$1,0)+1),MATCH(T$1,[2]enemies!$1:$1,0)-MATCH($I$1,[2]enemies!$1:$1,0)+1,FALSE)</f>
        <v>0</v>
      </c>
      <c r="U40" s="7">
        <v>0</v>
      </c>
      <c r="V40" s="7">
        <v>0</v>
      </c>
      <c r="W40" s="7">
        <v>0</v>
      </c>
      <c r="X40" s="27">
        <f ca="1">VLOOKUP($I40,OFFSET([2]enemies!$A$1,0,0,COUNTA([2]enemies!$A:$A),MATCH(X$1,[2]enemies!$1:$1,0)-MATCH($I$1,[2]enemies!$1:$1,0)+1),MATCH(X$1,[2]enemies!$1:$1,0)-MATCH($I$1,[2]enemies!$1:$1,0)+1,FALSE)</f>
        <v>2</v>
      </c>
      <c r="Y40" s="8">
        <v>43</v>
      </c>
      <c r="Z40" s="5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0" s="5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2</v>
      </c>
      <c r="AB40" s="5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9">
        <v>2</v>
      </c>
      <c r="AD40" s="34">
        <f t="shared" ca="1" si="11"/>
        <v>2</v>
      </c>
      <c r="AE40" s="10">
        <v>15</v>
      </c>
      <c r="AF40" s="9">
        <v>0</v>
      </c>
      <c r="AG40" s="9">
        <v>0</v>
      </c>
      <c r="AH40" s="9">
        <v>0</v>
      </c>
      <c r="AI40" s="9">
        <v>0</v>
      </c>
      <c r="AJ40" s="9">
        <v>1</v>
      </c>
    </row>
    <row r="41" spans="1:36" ht="21" customHeight="1" x14ac:dyDescent="0.15">
      <c r="A41" s="22" t="str">
        <f t="shared" ca="1" si="8"/>
        <v>20002_2-4/59&lt;lv15&gt;s2</v>
      </c>
      <c r="B41" s="9">
        <v>20002</v>
      </c>
      <c r="C41" s="32">
        <v>2</v>
      </c>
      <c r="D41" s="2" t="str">
        <f t="shared" ca="1" si="9"/>
        <v>20002_2</v>
      </c>
      <c r="E41" s="5" t="str">
        <f ca="1">VLOOKUP($B41,OFFSET([1]quests!$A$1,0,0,COUNTA([1]quests!$A:$A),MATCH(E$1,[1]quests!$1:$1,0)-MATCH($B$1,[1]quests!$1:$1,0)+1),MATCH(E$1,[1]quests!$1:$1,0)-MATCH($B$1,[1]quests!$1:$1,0)+1,FALSE)</f>
        <v>孤高の一角獣</v>
      </c>
      <c r="F41" s="5" t="str">
        <f ca="1">VLOOKUP($D41,OFFSET([1]stages!$A$1,0,0,COUNTA([1]stages!$A:$A),MATCH(F$1,[1]stages!$2:$2,0)-MATCH($D$1,[1]stages!$2:$2,0)+1),MATCH(F$1,[1]stages!$2:$2,0)-MATCH($D$1,[1]stages!$2:$2,0)+1,FALSE)</f>
        <v>【中級】孤高の一角獣</v>
      </c>
      <c r="G41" s="40">
        <v>4</v>
      </c>
      <c r="H41" s="21" t="str">
        <f t="shared" ca="1" si="10"/>
        <v>20002_2-4</v>
      </c>
      <c r="I41" s="31">
        <v>59</v>
      </c>
      <c r="J41" s="27" t="str">
        <f ca="1">VLOOKUP($I41,OFFSET([2]enemies!$A$1,0,0,COUNTA([2]enemies!$A:$A),MATCH(J$1,[2]enemies!$1:$1,0)-MATCH($I$1,[2]enemies!$1:$1,0)+1),MATCH(J$1,[2]enemies!$1:$1,0)-MATCH($I$1,[2]enemies!$1:$1,0)+1,FALSE)</f>
        <v>マーチ</v>
      </c>
      <c r="K41" s="27" t="str">
        <f ca="1">VLOOKUP($I41,OFFSET([2]enemies!$A$1,0,0,COUNTA([2]enemies!$A:$A),MATCH(K$1,[2]enemies!$1:$1,0)-MATCH($I$1,[2]enemies!$1:$1,0)+1),MATCH(K$1,[2]enemies!$1:$1,0)-MATCH($I$1,[2]enemies!$1:$1,0)+1,FALSE)</f>
        <v>green</v>
      </c>
      <c r="L41" s="29" t="str">
        <f ca="1">VLOOKUP(I41,[3]characters!$A:$J,10,FALSE)</f>
        <v>Drop1N</v>
      </c>
      <c r="M41" s="27" t="str">
        <f ca="1">VLOOKUP($I41,OFFSET([2]enemies!$A$1,0,0,COUNTA([2]enemies!$A:$A),MATCH(M$1,[2]enemies!$1:$1,0)-MATCH($I$1,[2]enemies!$1:$1,0)+1),MATCH(M$1,[2]enemies!$1:$1,0)-MATCH($I$1,[2]enemies!$1:$1,0)+1,FALSE)</f>
        <v>animal</v>
      </c>
      <c r="N41" s="27">
        <f ca="1">VLOOKUP($I41,OFFSET([2]enemies!$A$1,0,0,COUNTA([2]enemies!$A:$A),MATCH(N$1,[2]enemies!$1:$1,0)-MATCH($I$1,[2]enemies!$1:$1,0)+1),MATCH(N$1,[2]enemies!$1:$1,0)-MATCH($I$1,[2]enemies!$1:$1,0)+1,FALSE)</f>
        <v>15</v>
      </c>
      <c r="O41" s="6">
        <v>15</v>
      </c>
      <c r="P41" s="47">
        <v>1.7</v>
      </c>
      <c r="Q41" s="47">
        <v>0.9</v>
      </c>
      <c r="R41" s="6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" s="27">
        <f ca="1">VLOOKUP($I41,OFFSET([2]enemies!$A$1,0,0,COUNTA([2]enemies!$A:$A),MATCH(T$1,[2]enemies!$1:$1,0)-MATCH($I$1,[2]enemies!$1:$1,0)+1),MATCH(T$1,[2]enemies!$1:$1,0)-MATCH($I$1,[2]enemies!$1:$1,0)+1,FALSE)</f>
        <v>59</v>
      </c>
      <c r="U41" s="7">
        <v>0</v>
      </c>
      <c r="V41" s="7">
        <v>0</v>
      </c>
      <c r="W41" s="7">
        <v>0</v>
      </c>
      <c r="X41" s="27">
        <f ca="1">VLOOKUP($I41,OFFSET([2]enemies!$A$1,0,0,COUNTA([2]enemies!$A:$A),MATCH(X$1,[2]enemies!$1:$1,0)-MATCH($I$1,[2]enemies!$1:$1,0)+1),MATCH(X$1,[2]enemies!$1:$1,0)-MATCH($I$1,[2]enemies!$1:$1,0)+1,FALSE)</f>
        <v>2</v>
      </c>
      <c r="Y41" s="8">
        <v>59</v>
      </c>
      <c r="Z41" s="5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41" s="5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2</v>
      </c>
      <c r="AB41" s="5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9">
        <v>2</v>
      </c>
      <c r="AD41" s="34">
        <f t="shared" ca="1" si="11"/>
        <v>2</v>
      </c>
      <c r="AE41" s="10">
        <v>15</v>
      </c>
      <c r="AF41" s="9">
        <v>0</v>
      </c>
      <c r="AG41" s="9">
        <v>0</v>
      </c>
      <c r="AH41" s="9">
        <v>0</v>
      </c>
      <c r="AI41" s="9">
        <v>0</v>
      </c>
      <c r="AJ41" s="9">
        <v>1</v>
      </c>
    </row>
    <row r="42" spans="1:36" ht="21" customHeight="1" x14ac:dyDescent="0.15">
      <c r="A42" s="22" t="str">
        <f t="shared" si="8"/>
        <v>20002_2-5/264&lt;lv16&gt;s1</v>
      </c>
      <c r="B42" s="9">
        <v>20002</v>
      </c>
      <c r="C42" s="32">
        <v>2</v>
      </c>
      <c r="D42" s="2" t="str">
        <f t="shared" ca="1" si="9"/>
        <v>20002_2</v>
      </c>
      <c r="E42" s="5" t="str">
        <f ca="1">VLOOKUP($B42,OFFSET([1]quests!$A$1,0,0,COUNTA([1]quests!$A:$A),MATCH(E$1,[1]quests!$1:$1,0)-MATCH($B$1,[1]quests!$1:$1,0)+1),MATCH(E$1,[1]quests!$1:$1,0)-MATCH($B$1,[1]quests!$1:$1,0)+1,FALSE)</f>
        <v>孤高の一角獣</v>
      </c>
      <c r="F42" s="5" t="str">
        <f ca="1">VLOOKUP($D42,OFFSET([1]stages!$A$1,0,0,COUNTA([1]stages!$A:$A),MATCH(F$1,[1]stages!$2:$2,0)-MATCH($D$1,[1]stages!$2:$2,0)+1),MATCH(F$1,[1]stages!$2:$2,0)-MATCH($D$1,[1]stages!$2:$2,0)+1,FALSE)</f>
        <v>【中級】孤高の一角獣</v>
      </c>
      <c r="G42" s="41">
        <v>5</v>
      </c>
      <c r="H42" s="21" t="str">
        <f t="shared" ca="1" si="10"/>
        <v>20002_2-5</v>
      </c>
      <c r="I42" s="31">
        <v>264</v>
      </c>
      <c r="J42" s="27" t="str">
        <f ca="1">VLOOKUP($I42,OFFSET([2]enemies!$A$1,0,0,COUNTA([2]enemies!$A:$A),MATCH(J$1,[2]enemies!$1:$1,0)-MATCH($I$1,[2]enemies!$1:$1,0)+1),MATCH(J$1,[2]enemies!$1:$1,0)-MATCH($I$1,[2]enemies!$1:$1,0)+1,FALSE)</f>
        <v>ユニコーン</v>
      </c>
      <c r="K42" s="27" t="str">
        <f ca="1">VLOOKUP($I42,OFFSET([2]enemies!$A$1,0,0,COUNTA([2]enemies!$A:$A),MATCH(K$1,[2]enemies!$1:$1,0)-MATCH($I$1,[2]enemies!$1:$1,0)+1),MATCH(K$1,[2]enemies!$1:$1,0)-MATCH($I$1,[2]enemies!$1:$1,0)+1,FALSE)</f>
        <v>green</v>
      </c>
      <c r="L42" s="29" t="str">
        <f ca="1">VLOOKUP(I42,[3]characters!$A:$J,10,FALSE)</f>
        <v>Drop2W</v>
      </c>
      <c r="M42" s="27" t="str">
        <f ca="1">VLOOKUP($I42,OFFSET([2]enemies!$A$1,0,0,COUNTA([2]enemies!$A:$A),MATCH(M$1,[2]enemies!$1:$1,0)-MATCH($I$1,[2]enemies!$1:$1,0)+1),MATCH(M$1,[2]enemies!$1:$1,0)-MATCH($I$1,[2]enemies!$1:$1,0)+1,FALSE)</f>
        <v>animal</v>
      </c>
      <c r="N42" s="27">
        <f ca="1">VLOOKUP($I42,OFFSET([2]enemies!$A$1,0,0,COUNTA([2]enemies!$A:$A),MATCH(N$1,[2]enemies!$1:$1,0)-MATCH($I$1,[2]enemies!$1:$1,0)+1),MATCH(N$1,[2]enemies!$1:$1,0)-MATCH($I$1,[2]enemies!$1:$1,0)+1,FALSE)</f>
        <v>20</v>
      </c>
      <c r="O42" s="6">
        <v>16</v>
      </c>
      <c r="P42" s="47">
        <v>1.2</v>
      </c>
      <c r="Q42" s="47">
        <v>0.9</v>
      </c>
      <c r="R42" s="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この戦闘の間攻撃頻度が1ターンにUP</v>
      </c>
      <c r="T42" s="51">
        <v>264</v>
      </c>
      <c r="U42" s="7">
        <v>1</v>
      </c>
      <c r="V42" s="7">
        <v>100</v>
      </c>
      <c r="W42" s="7">
        <v>1</v>
      </c>
      <c r="X42" s="51">
        <v>1</v>
      </c>
      <c r="Y42" s="8">
        <v>264</v>
      </c>
      <c r="Z42" s="5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ユニコーン</v>
      </c>
      <c r="AA42" s="5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3</v>
      </c>
      <c r="AB42" s="5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42" s="9">
        <v>1</v>
      </c>
      <c r="AD42" s="34">
        <f t="shared" ca="1" si="11"/>
        <v>3</v>
      </c>
      <c r="AE42" s="52">
        <v>50</v>
      </c>
      <c r="AF42" s="9">
        <v>0</v>
      </c>
      <c r="AG42" s="9">
        <v>0</v>
      </c>
      <c r="AH42" s="9">
        <v>0</v>
      </c>
      <c r="AI42" s="9">
        <v>0</v>
      </c>
      <c r="AJ42" s="9">
        <v>1</v>
      </c>
    </row>
    <row r="43" spans="1:36" ht="21" customHeight="1" x14ac:dyDescent="0.15">
      <c r="A43" s="22" t="str">
        <f t="shared" ca="1" si="8"/>
        <v>20002_3-1/4&lt;lv23&gt;s2</v>
      </c>
      <c r="B43" s="9">
        <v>20002</v>
      </c>
      <c r="C43" s="32">
        <v>3</v>
      </c>
      <c r="D43" s="2" t="str">
        <f t="shared" ca="1" si="9"/>
        <v>20002_3</v>
      </c>
      <c r="E43" s="5" t="str">
        <f ca="1">VLOOKUP($B43,OFFSET([1]quests!$A$1,0,0,COUNTA([1]quests!$A:$A),MATCH(E$1,[1]quests!$1:$1,0)-MATCH($B$1,[1]quests!$1:$1,0)+1),MATCH(E$1,[1]quests!$1:$1,0)-MATCH($B$1,[1]quests!$1:$1,0)+1,FALSE)</f>
        <v>孤高の一角獣</v>
      </c>
      <c r="F43" s="5" t="str">
        <f ca="1">VLOOKUP($D43,OFFSET([1]stages!$A$1,0,0,COUNTA([1]stages!$A:$A),MATCH(F$1,[1]stages!$2:$2,0)-MATCH($D$1,[1]stages!$2:$2,0)+1),MATCH(F$1,[1]stages!$2:$2,0)-MATCH($D$1,[1]stages!$2:$2,0)+1,FALSE)</f>
        <v>【上級】孤高の一角獣</v>
      </c>
      <c r="G43" s="1">
        <v>1</v>
      </c>
      <c r="H43" s="21" t="str">
        <f t="shared" ca="1" si="10"/>
        <v>20002_3-1</v>
      </c>
      <c r="I43" s="31">
        <v>4</v>
      </c>
      <c r="J43" s="27" t="str">
        <f ca="1">VLOOKUP($I43,OFFSET([2]enemies!$A$1,0,0,COUNTA([2]enemies!$A:$A),MATCH(J$1,[2]enemies!$1:$1,0)-MATCH($I$1,[2]enemies!$1:$1,0)+1),MATCH(J$1,[2]enemies!$1:$1,0)-MATCH($I$1,[2]enemies!$1:$1,0)+1,FALSE)</f>
        <v>エースエージェント ジョー</v>
      </c>
      <c r="K43" s="27" t="str">
        <f ca="1">VLOOKUP($I43,OFFSET([2]enemies!$A$1,0,0,COUNTA([2]enemies!$A:$A),MATCH(K$1,[2]enemies!$1:$1,0)-MATCH($I$1,[2]enemies!$1:$1,0)+1),MATCH(K$1,[2]enemies!$1:$1,0)-MATCH($I$1,[2]enemies!$1:$1,0)+1,FALSE)</f>
        <v>green</v>
      </c>
      <c r="L43" s="29" t="str">
        <f ca="1">VLOOKUP(I43,[3]characters!$A:$J,10,FALSE)</f>
        <v>Drop1T</v>
      </c>
      <c r="M43" s="27" t="str">
        <f ca="1">VLOOKUP($I43,OFFSET([2]enemies!$A$1,0,0,COUNTA([2]enemies!$A:$A),MATCH(M$1,[2]enemies!$1:$1,0)-MATCH($I$1,[2]enemies!$1:$1,0)+1),MATCH(M$1,[2]enemies!$1:$1,0)-MATCH($I$1,[2]enemies!$1:$1,0)+1,FALSE)</f>
        <v>unknown</v>
      </c>
      <c r="N43" s="27">
        <f ca="1">VLOOKUP($I43,OFFSET([2]enemies!$A$1,0,0,COUNTA([2]enemies!$A:$A),MATCH(N$1,[2]enemies!$1:$1,0)-MATCH($I$1,[2]enemies!$1:$1,0)+1),MATCH(N$1,[2]enemies!$1:$1,0)-MATCH($I$1,[2]enemies!$1:$1,0)+1,FALSE)</f>
        <v>15</v>
      </c>
      <c r="O43" s="6">
        <v>23</v>
      </c>
      <c r="P43" s="47">
        <v>1.8</v>
      </c>
      <c r="Q43" s="47">
        <v>0.9</v>
      </c>
      <c r="R43" s="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27">
        <f ca="1">VLOOKUP($I43,OFFSET([2]enemies!$A$1,0,0,COUNTA([2]enemies!$A:$A),MATCH(T$1,[2]enemies!$1:$1,0)-MATCH($I$1,[2]enemies!$1:$1,0)+1),MATCH(T$1,[2]enemies!$1:$1,0)-MATCH($I$1,[2]enemies!$1:$1,0)+1,FALSE)</f>
        <v>0</v>
      </c>
      <c r="U43" s="7">
        <v>0</v>
      </c>
      <c r="V43" s="7">
        <v>100</v>
      </c>
      <c r="W43" s="7">
        <v>0</v>
      </c>
      <c r="X43" s="27">
        <f ca="1">VLOOKUP($I43,OFFSET([2]enemies!$A$1,0,0,COUNTA([2]enemies!$A:$A),MATCH(X$1,[2]enemies!$1:$1,0)-MATCH($I$1,[2]enemies!$1:$1,0)+1),MATCH(X$1,[2]enemies!$1:$1,0)-MATCH($I$1,[2]enemies!$1:$1,0)+1,FALSE)</f>
        <v>2</v>
      </c>
      <c r="Y43" s="8">
        <v>4</v>
      </c>
      <c r="Z43" s="5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43" s="5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2</v>
      </c>
      <c r="AB43" s="5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3" s="9">
        <v>9</v>
      </c>
      <c r="AD43" s="34">
        <f t="shared" ca="1" si="11"/>
        <v>2</v>
      </c>
      <c r="AE43" s="10">
        <v>15</v>
      </c>
      <c r="AF43" s="9">
        <v>0</v>
      </c>
      <c r="AG43" s="9">
        <v>0</v>
      </c>
      <c r="AH43" s="9">
        <v>0</v>
      </c>
      <c r="AI43" s="9">
        <v>0</v>
      </c>
      <c r="AJ43" s="9">
        <v>1</v>
      </c>
    </row>
    <row r="44" spans="1:36" ht="21" customHeight="1" x14ac:dyDescent="0.15">
      <c r="A44" s="22" t="str">
        <f t="shared" ca="1" si="8"/>
        <v>20002_3-1/27&lt;lv23&gt;s1</v>
      </c>
      <c r="B44" s="9">
        <v>20002</v>
      </c>
      <c r="C44" s="32">
        <v>3</v>
      </c>
      <c r="D44" s="2" t="str">
        <f t="shared" ca="1" si="9"/>
        <v>20002_3</v>
      </c>
      <c r="E44" s="5" t="str">
        <f ca="1">VLOOKUP($B44,OFFSET([1]quests!$A$1,0,0,COUNTA([1]quests!$A:$A),MATCH(E$1,[1]quests!$1:$1,0)-MATCH($B$1,[1]quests!$1:$1,0)+1),MATCH(E$1,[1]quests!$1:$1,0)-MATCH($B$1,[1]quests!$1:$1,0)+1,FALSE)</f>
        <v>孤高の一角獣</v>
      </c>
      <c r="F44" s="5" t="str">
        <f ca="1">VLOOKUP($D44,OFFSET([1]stages!$A$1,0,0,COUNTA([1]stages!$A:$A),MATCH(F$1,[1]stages!$2:$2,0)-MATCH($D$1,[1]stages!$2:$2,0)+1),MATCH(F$1,[1]stages!$2:$2,0)-MATCH($D$1,[1]stages!$2:$2,0)+1,FALSE)</f>
        <v>【上級】孤高の一角獣</v>
      </c>
      <c r="G44" s="1">
        <v>1</v>
      </c>
      <c r="H44" s="21" t="str">
        <f t="shared" ca="1" si="10"/>
        <v>20002_3-1</v>
      </c>
      <c r="I44" s="31">
        <v>27</v>
      </c>
      <c r="J44" s="27" t="str">
        <f ca="1">VLOOKUP($I44,OFFSET([2]enemies!$A$1,0,0,COUNTA([2]enemies!$A:$A),MATCH(J$1,[2]enemies!$1:$1,0)-MATCH($I$1,[2]enemies!$1:$1,0)+1),MATCH(J$1,[2]enemies!$1:$1,0)-MATCH($I$1,[2]enemies!$1:$1,0)+1,FALSE)</f>
        <v>パトライン</v>
      </c>
      <c r="K44" s="27" t="str">
        <f ca="1">VLOOKUP($I44,OFFSET([2]enemies!$A$1,0,0,COUNTA([2]enemies!$A:$A),MATCH(K$1,[2]enemies!$1:$1,0)-MATCH($I$1,[2]enemies!$1:$1,0)+1),MATCH(K$1,[2]enemies!$1:$1,0)-MATCH($I$1,[2]enemies!$1:$1,0)+1,FALSE)</f>
        <v>green</v>
      </c>
      <c r="L44" s="29" t="str">
        <f ca="1">VLOOKUP(I44,[3]characters!$A:$J,10,FALSE)</f>
        <v>Drop1N</v>
      </c>
      <c r="M44" s="27" t="str">
        <f ca="1">VLOOKUP($I44,OFFSET([2]enemies!$A$1,0,0,COUNTA([2]enemies!$A:$A),MATCH(M$1,[2]enemies!$1:$1,0)-MATCH($I$1,[2]enemies!$1:$1,0)+1),MATCH(M$1,[2]enemies!$1:$1,0)-MATCH($I$1,[2]enemies!$1:$1,0)+1,FALSE)</f>
        <v>machine</v>
      </c>
      <c r="N44" s="27">
        <f ca="1">VLOOKUP($I44,OFFSET([2]enemies!$A$1,0,0,COUNTA([2]enemies!$A:$A),MATCH(N$1,[2]enemies!$1:$1,0)-MATCH($I$1,[2]enemies!$1:$1,0)+1),MATCH(N$1,[2]enemies!$1:$1,0)-MATCH($I$1,[2]enemies!$1:$1,0)+1,FALSE)</f>
        <v>15</v>
      </c>
      <c r="O44" s="6">
        <v>23</v>
      </c>
      <c r="P44" s="47">
        <v>1.8</v>
      </c>
      <c r="Q44" s="47">
        <v>0.9</v>
      </c>
      <c r="R44" s="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7">
        <f ca="1">VLOOKUP($I44,OFFSET([2]enemies!$A$1,0,0,COUNTA([2]enemies!$A:$A),MATCH(T$1,[2]enemies!$1:$1,0)-MATCH($I$1,[2]enemies!$1:$1,0)+1),MATCH(T$1,[2]enemies!$1:$1,0)-MATCH($I$1,[2]enemies!$1:$1,0)+1,FALSE)</f>
        <v>0</v>
      </c>
      <c r="U44" s="7">
        <v>0</v>
      </c>
      <c r="V44" s="7">
        <v>100</v>
      </c>
      <c r="W44" s="7">
        <v>0</v>
      </c>
      <c r="X44" s="27">
        <f ca="1">VLOOKUP($I44,OFFSET([2]enemies!$A$1,0,0,COUNTA([2]enemies!$A:$A),MATCH(X$1,[2]enemies!$1:$1,0)-MATCH($I$1,[2]enemies!$1:$1,0)+1),MATCH(X$1,[2]enemies!$1:$1,0)-MATCH($I$1,[2]enemies!$1:$1,0)+1,FALSE)</f>
        <v>1</v>
      </c>
      <c r="Y44" s="8">
        <v>27</v>
      </c>
      <c r="Z44" s="5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4" s="5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1</v>
      </c>
      <c r="AB44" s="5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4" s="9">
        <v>5</v>
      </c>
      <c r="AD44" s="34">
        <f t="shared" ca="1" si="11"/>
        <v>1</v>
      </c>
      <c r="AE44" s="10">
        <v>15</v>
      </c>
      <c r="AF44" s="9">
        <v>0</v>
      </c>
      <c r="AG44" s="9">
        <v>0</v>
      </c>
      <c r="AH44" s="9">
        <v>0</v>
      </c>
      <c r="AI44" s="9">
        <v>0</v>
      </c>
      <c r="AJ44" s="9">
        <v>1</v>
      </c>
    </row>
    <row r="45" spans="1:36" ht="21" customHeight="1" x14ac:dyDescent="0.15">
      <c r="A45" s="22" t="str">
        <f t="shared" ca="1" si="8"/>
        <v>20002_3-1/43&lt;lv23&gt;s2</v>
      </c>
      <c r="B45" s="9">
        <v>20002</v>
      </c>
      <c r="C45" s="32">
        <v>3</v>
      </c>
      <c r="D45" s="2" t="str">
        <f t="shared" ca="1" si="9"/>
        <v>20002_3</v>
      </c>
      <c r="E45" s="5" t="str">
        <f ca="1">VLOOKUP($B45,OFFSET([1]quests!$A$1,0,0,COUNTA([1]quests!$A:$A),MATCH(E$1,[1]quests!$1:$1,0)-MATCH($B$1,[1]quests!$1:$1,0)+1),MATCH(E$1,[1]quests!$1:$1,0)-MATCH($B$1,[1]quests!$1:$1,0)+1,FALSE)</f>
        <v>孤高の一角獣</v>
      </c>
      <c r="F45" s="5" t="str">
        <f ca="1">VLOOKUP($D45,OFFSET([1]stages!$A$1,0,0,COUNTA([1]stages!$A:$A),MATCH(F$1,[1]stages!$2:$2,0)-MATCH($D$1,[1]stages!$2:$2,0)+1),MATCH(F$1,[1]stages!$2:$2,0)-MATCH($D$1,[1]stages!$2:$2,0)+1,FALSE)</f>
        <v>【上級】孤高の一角獣</v>
      </c>
      <c r="G45" s="1">
        <v>1</v>
      </c>
      <c r="H45" s="21" t="str">
        <f t="shared" ca="1" si="10"/>
        <v>20002_3-1</v>
      </c>
      <c r="I45" s="31">
        <v>43</v>
      </c>
      <c r="J45" s="27" t="str">
        <f ca="1">VLOOKUP($I45,OFFSET([2]enemies!$A$1,0,0,COUNTA([2]enemies!$A:$A),MATCH(J$1,[2]enemies!$1:$1,0)-MATCH($I$1,[2]enemies!$1:$1,0)+1),MATCH(J$1,[2]enemies!$1:$1,0)-MATCH($I$1,[2]enemies!$1:$1,0)+1,FALSE)</f>
        <v>ムゥ</v>
      </c>
      <c r="K45" s="27" t="str">
        <f ca="1">VLOOKUP($I45,OFFSET([2]enemies!$A$1,0,0,COUNTA([2]enemies!$A:$A),MATCH(K$1,[2]enemies!$1:$1,0)-MATCH($I$1,[2]enemies!$1:$1,0)+1),MATCH(K$1,[2]enemies!$1:$1,0)-MATCH($I$1,[2]enemies!$1:$1,0)+1,FALSE)</f>
        <v>green</v>
      </c>
      <c r="L45" s="29" t="str">
        <f ca="1">VLOOKUP(I45,[3]characters!$A:$J,10,FALSE)</f>
        <v>Drop1N</v>
      </c>
      <c r="M45" s="27" t="str">
        <f ca="1">VLOOKUP($I45,OFFSET([2]enemies!$A$1,0,0,COUNTA([2]enemies!$A:$A),MATCH(M$1,[2]enemies!$1:$1,0)-MATCH($I$1,[2]enemies!$1:$1,0)+1),MATCH(M$1,[2]enemies!$1:$1,0)-MATCH($I$1,[2]enemies!$1:$1,0)+1,FALSE)</f>
        <v>dragon</v>
      </c>
      <c r="N45" s="27">
        <f ca="1">VLOOKUP($I45,OFFSET([2]enemies!$A$1,0,0,COUNTA([2]enemies!$A:$A),MATCH(N$1,[2]enemies!$1:$1,0)-MATCH($I$1,[2]enemies!$1:$1,0)+1),MATCH(N$1,[2]enemies!$1:$1,0)-MATCH($I$1,[2]enemies!$1:$1,0)+1,FALSE)</f>
        <v>15</v>
      </c>
      <c r="O45" s="6">
        <v>23</v>
      </c>
      <c r="P45" s="47">
        <v>1.8</v>
      </c>
      <c r="Q45" s="47">
        <v>0.9</v>
      </c>
      <c r="R45" s="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7">
        <f ca="1">VLOOKUP($I45,OFFSET([2]enemies!$A$1,0,0,COUNTA([2]enemies!$A:$A),MATCH(T$1,[2]enemies!$1:$1,0)-MATCH($I$1,[2]enemies!$1:$1,0)+1),MATCH(T$1,[2]enemies!$1:$1,0)-MATCH($I$1,[2]enemies!$1:$1,0)+1,FALSE)</f>
        <v>0</v>
      </c>
      <c r="U45" s="7">
        <v>0</v>
      </c>
      <c r="V45" s="7">
        <v>100</v>
      </c>
      <c r="W45" s="7">
        <v>0</v>
      </c>
      <c r="X45" s="27">
        <f ca="1">VLOOKUP($I45,OFFSET([2]enemies!$A$1,0,0,COUNTA([2]enemies!$A:$A),MATCH(X$1,[2]enemies!$1:$1,0)-MATCH($I$1,[2]enemies!$1:$1,0)+1),MATCH(X$1,[2]enemies!$1:$1,0)-MATCH($I$1,[2]enemies!$1:$1,0)+1,FALSE)</f>
        <v>2</v>
      </c>
      <c r="Y45" s="8">
        <v>43</v>
      </c>
      <c r="Z45" s="5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5" s="5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5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9">
        <v>5</v>
      </c>
      <c r="AD45" s="34">
        <f t="shared" ca="1" si="11"/>
        <v>2</v>
      </c>
      <c r="AE45" s="10">
        <v>15</v>
      </c>
      <c r="AF45" s="9">
        <v>0</v>
      </c>
      <c r="AG45" s="9">
        <v>0</v>
      </c>
      <c r="AH45" s="9">
        <v>0</v>
      </c>
      <c r="AI45" s="9">
        <v>0</v>
      </c>
      <c r="AJ45" s="9">
        <v>1</v>
      </c>
    </row>
    <row r="46" spans="1:36" ht="21" customHeight="1" x14ac:dyDescent="0.15">
      <c r="A46" s="22" t="str">
        <f t="shared" ca="1" si="8"/>
        <v>20002_3-1/51&lt;lv22&gt;s2</v>
      </c>
      <c r="B46" s="9">
        <v>20002</v>
      </c>
      <c r="C46" s="32">
        <v>3</v>
      </c>
      <c r="D46" s="2" t="str">
        <f t="shared" ca="1" si="9"/>
        <v>20002_3</v>
      </c>
      <c r="E46" s="5" t="str">
        <f ca="1">VLOOKUP($B46,OFFSET([1]quests!$A$1,0,0,COUNTA([1]quests!$A:$A),MATCH(E$1,[1]quests!$1:$1,0)-MATCH($B$1,[1]quests!$1:$1,0)+1),MATCH(E$1,[1]quests!$1:$1,0)-MATCH($B$1,[1]quests!$1:$1,0)+1,FALSE)</f>
        <v>孤高の一角獣</v>
      </c>
      <c r="F46" s="5" t="str">
        <f ca="1">VLOOKUP($D46,OFFSET([1]stages!$A$1,0,0,COUNTA([1]stages!$A:$A),MATCH(F$1,[1]stages!$2:$2,0)-MATCH($D$1,[1]stages!$2:$2,0)+1),MATCH(F$1,[1]stages!$2:$2,0)-MATCH($D$1,[1]stages!$2:$2,0)+1,FALSE)</f>
        <v>【上級】孤高の一角獣</v>
      </c>
      <c r="G46" s="1">
        <v>1</v>
      </c>
      <c r="H46" s="21" t="str">
        <f t="shared" ca="1" si="10"/>
        <v>20002_3-1</v>
      </c>
      <c r="I46" s="31">
        <v>51</v>
      </c>
      <c r="J46" s="27" t="str">
        <f ca="1">VLOOKUP($I46,OFFSET([2]enemies!$A$1,0,0,COUNTA([2]enemies!$A:$A),MATCH(J$1,[2]enemies!$1:$1,0)-MATCH($I$1,[2]enemies!$1:$1,0)+1),MATCH(J$1,[2]enemies!$1:$1,0)-MATCH($I$1,[2]enemies!$1:$1,0)+1,FALSE)</f>
        <v>マイ</v>
      </c>
      <c r="K46" s="27" t="str">
        <f ca="1">VLOOKUP($I46,OFFSET([2]enemies!$A$1,0,0,COUNTA([2]enemies!$A:$A),MATCH(K$1,[2]enemies!$1:$1,0)-MATCH($I$1,[2]enemies!$1:$1,0)+1),MATCH(K$1,[2]enemies!$1:$1,0)-MATCH($I$1,[2]enemies!$1:$1,0)+1,FALSE)</f>
        <v>green</v>
      </c>
      <c r="L46" s="29" t="str">
        <f ca="1">VLOOKUP(I46,[3]characters!$A:$J,10,FALSE)</f>
        <v>Drop1N</v>
      </c>
      <c r="M46" s="27" t="str">
        <f ca="1">VLOOKUP($I46,OFFSET([2]enemies!$A$1,0,0,COUNTA([2]enemies!$A:$A),MATCH(M$1,[2]enemies!$1:$1,0)-MATCH($I$1,[2]enemies!$1:$1,0)+1),MATCH(M$1,[2]enemies!$1:$1,0)-MATCH($I$1,[2]enemies!$1:$1,0)+1,FALSE)</f>
        <v>human</v>
      </c>
      <c r="N46" s="27">
        <f ca="1">VLOOKUP($I46,OFFSET([2]enemies!$A$1,0,0,COUNTA([2]enemies!$A:$A),MATCH(N$1,[2]enemies!$1:$1,0)-MATCH($I$1,[2]enemies!$1:$1,0)+1),MATCH(N$1,[2]enemies!$1:$1,0)-MATCH($I$1,[2]enemies!$1:$1,0)+1,FALSE)</f>
        <v>15</v>
      </c>
      <c r="O46" s="6">
        <v>22</v>
      </c>
      <c r="P46" s="47">
        <v>1.5</v>
      </c>
      <c r="Q46" s="47">
        <v>0.9</v>
      </c>
      <c r="R46" s="6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6" s="27">
        <f ca="1">VLOOKUP($I46,OFFSET([2]enemies!$A$1,0,0,COUNTA([2]enemies!$A:$A),MATCH(T$1,[2]enemies!$1:$1,0)-MATCH($I$1,[2]enemies!$1:$1,0)+1),MATCH(T$1,[2]enemies!$1:$1,0)-MATCH($I$1,[2]enemies!$1:$1,0)+1,FALSE)</f>
        <v>51</v>
      </c>
      <c r="U46" s="7">
        <v>0</v>
      </c>
      <c r="V46" s="7">
        <v>20</v>
      </c>
      <c r="W46" s="7">
        <v>0</v>
      </c>
      <c r="X46" s="27">
        <f ca="1">VLOOKUP($I46,OFFSET([2]enemies!$A$1,0,0,COUNTA([2]enemies!$A:$A),MATCH(X$1,[2]enemies!$1:$1,0)-MATCH($I$1,[2]enemies!$1:$1,0)+1),MATCH(X$1,[2]enemies!$1:$1,0)-MATCH($I$1,[2]enemies!$1:$1,0)+1,FALSE)</f>
        <v>2</v>
      </c>
      <c r="Y46" s="8">
        <v>51</v>
      </c>
      <c r="Z46" s="5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46" s="5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2</v>
      </c>
      <c r="AB46" s="5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9">
        <v>5</v>
      </c>
      <c r="AD46" s="34">
        <f t="shared" ca="1" si="11"/>
        <v>2</v>
      </c>
      <c r="AE46" s="10">
        <v>15</v>
      </c>
      <c r="AF46" s="9">
        <v>0</v>
      </c>
      <c r="AG46" s="9">
        <v>0</v>
      </c>
      <c r="AH46" s="9">
        <v>0</v>
      </c>
      <c r="AI46" s="9">
        <v>0</v>
      </c>
      <c r="AJ46" s="9">
        <v>1</v>
      </c>
    </row>
    <row r="47" spans="1:36" ht="21" customHeight="1" x14ac:dyDescent="0.15">
      <c r="A47" s="22" t="str">
        <f t="shared" ca="1" si="8"/>
        <v>20002_3-2/4&lt;lv23&gt;s2</v>
      </c>
      <c r="B47" s="9">
        <v>20002</v>
      </c>
      <c r="C47" s="32">
        <v>3</v>
      </c>
      <c r="D47" s="2" t="str">
        <f t="shared" ca="1" si="9"/>
        <v>20002_3</v>
      </c>
      <c r="E47" s="5" t="str">
        <f ca="1">VLOOKUP($B47,OFFSET([1]quests!$A$1,0,0,COUNTA([1]quests!$A:$A),MATCH(E$1,[1]quests!$1:$1,0)-MATCH($B$1,[1]quests!$1:$1,0)+1),MATCH(E$1,[1]quests!$1:$1,0)-MATCH($B$1,[1]quests!$1:$1,0)+1,FALSE)</f>
        <v>孤高の一角獣</v>
      </c>
      <c r="F47" s="5" t="str">
        <f ca="1">VLOOKUP($D47,OFFSET([1]stages!$A$1,0,0,COUNTA([1]stages!$A:$A),MATCH(F$1,[1]stages!$2:$2,0)-MATCH($D$1,[1]stages!$2:$2,0)+1),MATCH(F$1,[1]stages!$2:$2,0)-MATCH($D$1,[1]stages!$2:$2,0)+1,FALSE)</f>
        <v>【上級】孤高の一角獣</v>
      </c>
      <c r="G47" s="42">
        <v>2</v>
      </c>
      <c r="H47" s="21" t="str">
        <f t="shared" ca="1" si="10"/>
        <v>20002_3-2</v>
      </c>
      <c r="I47" s="31">
        <v>4</v>
      </c>
      <c r="J47" s="27" t="str">
        <f ca="1">VLOOKUP($I47,OFFSET([2]enemies!$A$1,0,0,COUNTA([2]enemies!$A:$A),MATCH(J$1,[2]enemies!$1:$1,0)-MATCH($I$1,[2]enemies!$1:$1,0)+1),MATCH(J$1,[2]enemies!$1:$1,0)-MATCH($I$1,[2]enemies!$1:$1,0)+1,FALSE)</f>
        <v>エースエージェント ジョー</v>
      </c>
      <c r="K47" s="27" t="str">
        <f ca="1">VLOOKUP($I47,OFFSET([2]enemies!$A$1,0,0,COUNTA([2]enemies!$A:$A),MATCH(K$1,[2]enemies!$1:$1,0)-MATCH($I$1,[2]enemies!$1:$1,0)+1),MATCH(K$1,[2]enemies!$1:$1,0)-MATCH($I$1,[2]enemies!$1:$1,0)+1,FALSE)</f>
        <v>green</v>
      </c>
      <c r="L47" s="29" t="str">
        <f ca="1">VLOOKUP(I47,[3]characters!$A:$J,10,FALSE)</f>
        <v>Drop1T</v>
      </c>
      <c r="M47" s="27" t="str">
        <f ca="1">VLOOKUP($I47,OFFSET([2]enemies!$A$1,0,0,COUNTA([2]enemies!$A:$A),MATCH(M$1,[2]enemies!$1:$1,0)-MATCH($I$1,[2]enemies!$1:$1,0)+1),MATCH(M$1,[2]enemies!$1:$1,0)-MATCH($I$1,[2]enemies!$1:$1,0)+1,FALSE)</f>
        <v>unknown</v>
      </c>
      <c r="N47" s="27">
        <f ca="1">VLOOKUP($I47,OFFSET([2]enemies!$A$1,0,0,COUNTA([2]enemies!$A:$A),MATCH(N$1,[2]enemies!$1:$1,0)-MATCH($I$1,[2]enemies!$1:$1,0)+1),MATCH(N$1,[2]enemies!$1:$1,0)-MATCH($I$1,[2]enemies!$1:$1,0)+1,FALSE)</f>
        <v>15</v>
      </c>
      <c r="O47" s="6">
        <v>23</v>
      </c>
      <c r="P47" s="47">
        <v>1.8</v>
      </c>
      <c r="Q47" s="47">
        <v>0.9</v>
      </c>
      <c r="R47" s="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7">
        <f ca="1">VLOOKUP($I47,OFFSET([2]enemies!$A$1,0,0,COUNTA([2]enemies!$A:$A),MATCH(T$1,[2]enemies!$1:$1,0)-MATCH($I$1,[2]enemies!$1:$1,0)+1),MATCH(T$1,[2]enemies!$1:$1,0)-MATCH($I$1,[2]enemies!$1:$1,0)+1,FALSE)</f>
        <v>0</v>
      </c>
      <c r="U47" s="7">
        <v>0</v>
      </c>
      <c r="V47" s="7">
        <v>100</v>
      </c>
      <c r="W47" s="7">
        <v>0</v>
      </c>
      <c r="X47" s="27">
        <f ca="1">VLOOKUP($I47,OFFSET([2]enemies!$A$1,0,0,COUNTA([2]enemies!$A:$A),MATCH(X$1,[2]enemies!$1:$1,0)-MATCH($I$1,[2]enemies!$1:$1,0)+1),MATCH(X$1,[2]enemies!$1:$1,0)-MATCH($I$1,[2]enemies!$1:$1,0)+1,FALSE)</f>
        <v>2</v>
      </c>
      <c r="Y47" s="8">
        <v>4</v>
      </c>
      <c r="Z47" s="5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47" s="5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5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7" s="9">
        <v>9</v>
      </c>
      <c r="AD47" s="34">
        <f t="shared" ca="1" si="11"/>
        <v>2</v>
      </c>
      <c r="AE47" s="10">
        <v>15</v>
      </c>
      <c r="AF47" s="9">
        <v>0</v>
      </c>
      <c r="AG47" s="9">
        <v>0</v>
      </c>
      <c r="AH47" s="9">
        <v>0</v>
      </c>
      <c r="AI47" s="9">
        <v>0</v>
      </c>
      <c r="AJ47" s="9">
        <v>1</v>
      </c>
    </row>
    <row r="48" spans="1:36" ht="21" customHeight="1" x14ac:dyDescent="0.15">
      <c r="A48" s="22" t="str">
        <f t="shared" ref="A48:A62" ca="1" si="12">B48&amp;"_"&amp;C48&amp;"-"&amp;G48&amp;"/"&amp;I48&amp;"&lt;lv"&amp;O48&amp;"&gt;s"&amp;X48</f>
        <v>20002_3-2/27&lt;lv23&gt;s1</v>
      </c>
      <c r="B48" s="9">
        <v>20002</v>
      </c>
      <c r="C48" s="32">
        <v>3</v>
      </c>
      <c r="D48" s="2" t="str">
        <f t="shared" ref="D48:D62" ca="1" si="13">B48&amp;"_"&amp;C48</f>
        <v>20002_3</v>
      </c>
      <c r="E48" s="5" t="str">
        <f ca="1">VLOOKUP($B48,OFFSET([1]quests!$A$1,0,0,COUNTA([1]quests!$A:$A),MATCH(E$1,[1]quests!$1:$1,0)-MATCH($B$1,[1]quests!$1:$1,0)+1),MATCH(E$1,[1]quests!$1:$1,0)-MATCH($B$1,[1]quests!$1:$1,0)+1,FALSE)</f>
        <v>孤高の一角獣</v>
      </c>
      <c r="F48" s="5" t="str">
        <f ca="1">VLOOKUP($D48,OFFSET([1]stages!$A$1,0,0,COUNTA([1]stages!$A:$A),MATCH(F$1,[1]stages!$2:$2,0)-MATCH($D$1,[1]stages!$2:$2,0)+1),MATCH(F$1,[1]stages!$2:$2,0)-MATCH($D$1,[1]stages!$2:$2,0)+1,FALSE)</f>
        <v>【上級】孤高の一角獣</v>
      </c>
      <c r="G48" s="42">
        <v>2</v>
      </c>
      <c r="H48" s="21" t="str">
        <f t="shared" ref="H48:H62" ca="1" si="14">B48&amp;"_"&amp;C48&amp;"-"&amp;G48</f>
        <v>20002_3-2</v>
      </c>
      <c r="I48" s="31">
        <v>27</v>
      </c>
      <c r="J48" s="27" t="str">
        <f ca="1">VLOOKUP($I48,OFFSET([2]enemies!$A$1,0,0,COUNTA([2]enemies!$A:$A),MATCH(J$1,[2]enemies!$1:$1,0)-MATCH($I$1,[2]enemies!$1:$1,0)+1),MATCH(J$1,[2]enemies!$1:$1,0)-MATCH($I$1,[2]enemies!$1:$1,0)+1,FALSE)</f>
        <v>パトライン</v>
      </c>
      <c r="K48" s="27" t="str">
        <f ca="1">VLOOKUP($I48,OFFSET([2]enemies!$A$1,0,0,COUNTA([2]enemies!$A:$A),MATCH(K$1,[2]enemies!$1:$1,0)-MATCH($I$1,[2]enemies!$1:$1,0)+1),MATCH(K$1,[2]enemies!$1:$1,0)-MATCH($I$1,[2]enemies!$1:$1,0)+1,FALSE)</f>
        <v>green</v>
      </c>
      <c r="L48" s="29" t="str">
        <f ca="1">VLOOKUP(I48,[3]characters!$A:$J,10,FALSE)</f>
        <v>Drop1N</v>
      </c>
      <c r="M48" s="27" t="str">
        <f ca="1">VLOOKUP($I48,OFFSET([2]enemies!$A$1,0,0,COUNTA([2]enemies!$A:$A),MATCH(M$1,[2]enemies!$1:$1,0)-MATCH($I$1,[2]enemies!$1:$1,0)+1),MATCH(M$1,[2]enemies!$1:$1,0)-MATCH($I$1,[2]enemies!$1:$1,0)+1,FALSE)</f>
        <v>machine</v>
      </c>
      <c r="N48" s="27">
        <f ca="1">VLOOKUP($I48,OFFSET([2]enemies!$A$1,0,0,COUNTA([2]enemies!$A:$A),MATCH(N$1,[2]enemies!$1:$1,0)-MATCH($I$1,[2]enemies!$1:$1,0)+1),MATCH(N$1,[2]enemies!$1:$1,0)-MATCH($I$1,[2]enemies!$1:$1,0)+1,FALSE)</f>
        <v>15</v>
      </c>
      <c r="O48" s="6">
        <v>23</v>
      </c>
      <c r="P48" s="47">
        <v>1.8</v>
      </c>
      <c r="Q48" s="47">
        <v>0.9</v>
      </c>
      <c r="R48" s="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7">
        <f ca="1">VLOOKUP($I48,OFFSET([2]enemies!$A$1,0,0,COUNTA([2]enemies!$A:$A),MATCH(T$1,[2]enemies!$1:$1,0)-MATCH($I$1,[2]enemies!$1:$1,0)+1),MATCH(T$1,[2]enemies!$1:$1,0)-MATCH($I$1,[2]enemies!$1:$1,0)+1,FALSE)</f>
        <v>0</v>
      </c>
      <c r="U48" s="7">
        <v>0</v>
      </c>
      <c r="V48" s="7">
        <v>100</v>
      </c>
      <c r="W48" s="7">
        <v>0</v>
      </c>
      <c r="X48" s="27">
        <f ca="1">VLOOKUP($I48,OFFSET([2]enemies!$A$1,0,0,COUNTA([2]enemies!$A:$A),MATCH(X$1,[2]enemies!$1:$1,0)-MATCH($I$1,[2]enemies!$1:$1,0)+1),MATCH(X$1,[2]enemies!$1:$1,0)-MATCH($I$1,[2]enemies!$1:$1,0)+1,FALSE)</f>
        <v>1</v>
      </c>
      <c r="Y48" s="8">
        <v>27</v>
      </c>
      <c r="Z48" s="5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8" s="5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1</v>
      </c>
      <c r="AB48" s="5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9">
        <v>5</v>
      </c>
      <c r="AD48" s="34">
        <f t="shared" ref="AD48:AD62" ca="1" si="15">AA48</f>
        <v>1</v>
      </c>
      <c r="AE48" s="10">
        <v>15</v>
      </c>
      <c r="AF48" s="9">
        <v>0</v>
      </c>
      <c r="AG48" s="9">
        <v>0</v>
      </c>
      <c r="AH48" s="9">
        <v>0</v>
      </c>
      <c r="AI48" s="9">
        <v>0</v>
      </c>
      <c r="AJ48" s="9">
        <v>1</v>
      </c>
    </row>
    <row r="49" spans="1:36" ht="21" customHeight="1" x14ac:dyDescent="0.15">
      <c r="A49" s="22" t="str">
        <f t="shared" ca="1" si="12"/>
        <v>20002_3-2/43&lt;lv23&gt;s2</v>
      </c>
      <c r="B49" s="9">
        <v>20002</v>
      </c>
      <c r="C49" s="32">
        <v>3</v>
      </c>
      <c r="D49" s="2" t="str">
        <f t="shared" ca="1" si="13"/>
        <v>20002_3</v>
      </c>
      <c r="E49" s="5" t="str">
        <f ca="1">VLOOKUP($B49,OFFSET([1]quests!$A$1,0,0,COUNTA([1]quests!$A:$A),MATCH(E$1,[1]quests!$1:$1,0)-MATCH($B$1,[1]quests!$1:$1,0)+1),MATCH(E$1,[1]quests!$1:$1,0)-MATCH($B$1,[1]quests!$1:$1,0)+1,FALSE)</f>
        <v>孤高の一角獣</v>
      </c>
      <c r="F49" s="5" t="str">
        <f ca="1">VLOOKUP($D49,OFFSET([1]stages!$A$1,0,0,COUNTA([1]stages!$A:$A),MATCH(F$1,[1]stages!$2:$2,0)-MATCH($D$1,[1]stages!$2:$2,0)+1),MATCH(F$1,[1]stages!$2:$2,0)-MATCH($D$1,[1]stages!$2:$2,0)+1,FALSE)</f>
        <v>【上級】孤高の一角獣</v>
      </c>
      <c r="G49" s="42">
        <v>2</v>
      </c>
      <c r="H49" s="21" t="str">
        <f t="shared" ca="1" si="14"/>
        <v>20002_3-2</v>
      </c>
      <c r="I49" s="31">
        <v>43</v>
      </c>
      <c r="J49" s="27" t="str">
        <f ca="1">VLOOKUP($I49,OFFSET([2]enemies!$A$1,0,0,COUNTA([2]enemies!$A:$A),MATCH(J$1,[2]enemies!$1:$1,0)-MATCH($I$1,[2]enemies!$1:$1,0)+1),MATCH(J$1,[2]enemies!$1:$1,0)-MATCH($I$1,[2]enemies!$1:$1,0)+1,FALSE)</f>
        <v>ムゥ</v>
      </c>
      <c r="K49" s="27" t="str">
        <f ca="1">VLOOKUP($I49,OFFSET([2]enemies!$A$1,0,0,COUNTA([2]enemies!$A:$A),MATCH(K$1,[2]enemies!$1:$1,0)-MATCH($I$1,[2]enemies!$1:$1,0)+1),MATCH(K$1,[2]enemies!$1:$1,0)-MATCH($I$1,[2]enemies!$1:$1,0)+1,FALSE)</f>
        <v>green</v>
      </c>
      <c r="L49" s="29" t="str">
        <f ca="1">VLOOKUP(I49,[3]characters!$A:$J,10,FALSE)</f>
        <v>Drop1N</v>
      </c>
      <c r="M49" s="27" t="str">
        <f ca="1">VLOOKUP($I49,OFFSET([2]enemies!$A$1,0,0,COUNTA([2]enemies!$A:$A),MATCH(M$1,[2]enemies!$1:$1,0)-MATCH($I$1,[2]enemies!$1:$1,0)+1),MATCH(M$1,[2]enemies!$1:$1,0)-MATCH($I$1,[2]enemies!$1:$1,0)+1,FALSE)</f>
        <v>dragon</v>
      </c>
      <c r="N49" s="27">
        <f ca="1">VLOOKUP($I49,OFFSET([2]enemies!$A$1,0,0,COUNTA([2]enemies!$A:$A),MATCH(N$1,[2]enemies!$1:$1,0)-MATCH($I$1,[2]enemies!$1:$1,0)+1),MATCH(N$1,[2]enemies!$1:$1,0)-MATCH($I$1,[2]enemies!$1:$1,0)+1,FALSE)</f>
        <v>15</v>
      </c>
      <c r="O49" s="6">
        <v>23</v>
      </c>
      <c r="P49" s="47">
        <v>1.8</v>
      </c>
      <c r="Q49" s="47">
        <v>0.9</v>
      </c>
      <c r="R49" s="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7">
        <f ca="1">VLOOKUP($I49,OFFSET([2]enemies!$A$1,0,0,COUNTA([2]enemies!$A:$A),MATCH(T$1,[2]enemies!$1:$1,0)-MATCH($I$1,[2]enemies!$1:$1,0)+1),MATCH(T$1,[2]enemies!$1:$1,0)-MATCH($I$1,[2]enemies!$1:$1,0)+1,FALSE)</f>
        <v>0</v>
      </c>
      <c r="U49" s="7">
        <v>0</v>
      </c>
      <c r="V49" s="7">
        <v>100</v>
      </c>
      <c r="W49" s="7">
        <v>0</v>
      </c>
      <c r="X49" s="27">
        <f ca="1">VLOOKUP($I49,OFFSET([2]enemies!$A$1,0,0,COUNTA([2]enemies!$A:$A),MATCH(X$1,[2]enemies!$1:$1,0)-MATCH($I$1,[2]enemies!$1:$1,0)+1),MATCH(X$1,[2]enemies!$1:$1,0)-MATCH($I$1,[2]enemies!$1:$1,0)+1,FALSE)</f>
        <v>2</v>
      </c>
      <c r="Y49" s="8">
        <v>43</v>
      </c>
      <c r="Z49" s="5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9" s="5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5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9" s="9">
        <v>5</v>
      </c>
      <c r="AD49" s="34">
        <f t="shared" ca="1" si="15"/>
        <v>2</v>
      </c>
      <c r="AE49" s="10">
        <v>15</v>
      </c>
      <c r="AF49" s="9">
        <v>0</v>
      </c>
      <c r="AG49" s="9">
        <v>0</v>
      </c>
      <c r="AH49" s="9">
        <v>0</v>
      </c>
      <c r="AI49" s="9">
        <v>0</v>
      </c>
      <c r="AJ49" s="9">
        <v>1</v>
      </c>
    </row>
    <row r="50" spans="1:36" ht="21" customHeight="1" x14ac:dyDescent="0.15">
      <c r="A50" s="22" t="str">
        <f t="shared" ca="1" si="12"/>
        <v>20002_3-2/51&lt;lv22&gt;s2</v>
      </c>
      <c r="B50" s="9">
        <v>20002</v>
      </c>
      <c r="C50" s="32">
        <v>3</v>
      </c>
      <c r="D50" s="2" t="str">
        <f t="shared" ca="1" si="13"/>
        <v>20002_3</v>
      </c>
      <c r="E50" s="5" t="str">
        <f ca="1">VLOOKUP($B50,OFFSET([1]quests!$A$1,0,0,COUNTA([1]quests!$A:$A),MATCH(E$1,[1]quests!$1:$1,0)-MATCH($B$1,[1]quests!$1:$1,0)+1),MATCH(E$1,[1]quests!$1:$1,0)-MATCH($B$1,[1]quests!$1:$1,0)+1,FALSE)</f>
        <v>孤高の一角獣</v>
      </c>
      <c r="F50" s="5" t="str">
        <f ca="1">VLOOKUP($D50,OFFSET([1]stages!$A$1,0,0,COUNTA([1]stages!$A:$A),MATCH(F$1,[1]stages!$2:$2,0)-MATCH($D$1,[1]stages!$2:$2,0)+1),MATCH(F$1,[1]stages!$2:$2,0)-MATCH($D$1,[1]stages!$2:$2,0)+1,FALSE)</f>
        <v>【上級】孤高の一角獣</v>
      </c>
      <c r="G50" s="42">
        <v>2</v>
      </c>
      <c r="H50" s="21" t="str">
        <f t="shared" ca="1" si="14"/>
        <v>20002_3-2</v>
      </c>
      <c r="I50" s="31">
        <v>51</v>
      </c>
      <c r="J50" s="27" t="str">
        <f ca="1">VLOOKUP($I50,OFFSET([2]enemies!$A$1,0,0,COUNTA([2]enemies!$A:$A),MATCH(J$1,[2]enemies!$1:$1,0)-MATCH($I$1,[2]enemies!$1:$1,0)+1),MATCH(J$1,[2]enemies!$1:$1,0)-MATCH($I$1,[2]enemies!$1:$1,0)+1,FALSE)</f>
        <v>マイ</v>
      </c>
      <c r="K50" s="27" t="str">
        <f ca="1">VLOOKUP($I50,OFFSET([2]enemies!$A$1,0,0,COUNTA([2]enemies!$A:$A),MATCH(K$1,[2]enemies!$1:$1,0)-MATCH($I$1,[2]enemies!$1:$1,0)+1),MATCH(K$1,[2]enemies!$1:$1,0)-MATCH($I$1,[2]enemies!$1:$1,0)+1,FALSE)</f>
        <v>green</v>
      </c>
      <c r="L50" s="29" t="str">
        <f ca="1">VLOOKUP(I50,[3]characters!$A:$J,10,FALSE)</f>
        <v>Drop1N</v>
      </c>
      <c r="M50" s="27" t="str">
        <f ca="1">VLOOKUP($I50,OFFSET([2]enemies!$A$1,0,0,COUNTA([2]enemies!$A:$A),MATCH(M$1,[2]enemies!$1:$1,0)-MATCH($I$1,[2]enemies!$1:$1,0)+1),MATCH(M$1,[2]enemies!$1:$1,0)-MATCH($I$1,[2]enemies!$1:$1,0)+1,FALSE)</f>
        <v>human</v>
      </c>
      <c r="N50" s="27">
        <f ca="1">VLOOKUP($I50,OFFSET([2]enemies!$A$1,0,0,COUNTA([2]enemies!$A:$A),MATCH(N$1,[2]enemies!$1:$1,0)-MATCH($I$1,[2]enemies!$1:$1,0)+1),MATCH(N$1,[2]enemies!$1:$1,0)-MATCH($I$1,[2]enemies!$1:$1,0)+1,FALSE)</f>
        <v>15</v>
      </c>
      <c r="O50" s="6">
        <v>22</v>
      </c>
      <c r="P50" s="47">
        <v>1.5</v>
      </c>
      <c r="Q50" s="47">
        <v>0.9</v>
      </c>
      <c r="R50" s="6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0" s="27">
        <f ca="1">VLOOKUP($I50,OFFSET([2]enemies!$A$1,0,0,COUNTA([2]enemies!$A:$A),MATCH(T$1,[2]enemies!$1:$1,0)-MATCH($I$1,[2]enemies!$1:$1,0)+1),MATCH(T$1,[2]enemies!$1:$1,0)-MATCH($I$1,[2]enemies!$1:$1,0)+1,FALSE)</f>
        <v>51</v>
      </c>
      <c r="U50" s="7">
        <v>0</v>
      </c>
      <c r="V50" s="7">
        <v>20</v>
      </c>
      <c r="W50" s="7">
        <v>0</v>
      </c>
      <c r="X50" s="27">
        <f ca="1">VLOOKUP($I50,OFFSET([2]enemies!$A$1,0,0,COUNTA([2]enemies!$A:$A),MATCH(X$1,[2]enemies!$1:$1,0)-MATCH($I$1,[2]enemies!$1:$1,0)+1),MATCH(X$1,[2]enemies!$1:$1,0)-MATCH($I$1,[2]enemies!$1:$1,0)+1,FALSE)</f>
        <v>2</v>
      </c>
      <c r="Y50" s="8">
        <v>51</v>
      </c>
      <c r="Z50" s="5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50" s="5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5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9">
        <v>5</v>
      </c>
      <c r="AD50" s="34">
        <f t="shared" ca="1" si="15"/>
        <v>2</v>
      </c>
      <c r="AE50" s="10">
        <v>15</v>
      </c>
      <c r="AF50" s="9">
        <v>0</v>
      </c>
      <c r="AG50" s="9">
        <v>0</v>
      </c>
      <c r="AH50" s="9">
        <v>0</v>
      </c>
      <c r="AI50" s="9">
        <v>0</v>
      </c>
      <c r="AJ50" s="9">
        <v>1</v>
      </c>
    </row>
    <row r="51" spans="1:36" ht="21" customHeight="1" x14ac:dyDescent="0.15">
      <c r="A51" s="22" t="str">
        <f t="shared" ca="1" si="12"/>
        <v>20002_3-2/59&lt;lv23&gt;s2</v>
      </c>
      <c r="B51" s="9">
        <v>20002</v>
      </c>
      <c r="C51" s="32">
        <v>3</v>
      </c>
      <c r="D51" s="2" t="str">
        <f t="shared" ca="1" si="13"/>
        <v>20002_3</v>
      </c>
      <c r="E51" s="5" t="str">
        <f ca="1">VLOOKUP($B51,OFFSET([1]quests!$A$1,0,0,COUNTA([1]quests!$A:$A),MATCH(E$1,[1]quests!$1:$1,0)-MATCH($B$1,[1]quests!$1:$1,0)+1),MATCH(E$1,[1]quests!$1:$1,0)-MATCH($B$1,[1]quests!$1:$1,0)+1,FALSE)</f>
        <v>孤高の一角獣</v>
      </c>
      <c r="F51" s="5" t="str">
        <f ca="1">VLOOKUP($D51,OFFSET([1]stages!$A$1,0,0,COUNTA([1]stages!$A:$A),MATCH(F$1,[1]stages!$2:$2,0)-MATCH($D$1,[1]stages!$2:$2,0)+1),MATCH(F$1,[1]stages!$2:$2,0)-MATCH($D$1,[1]stages!$2:$2,0)+1,FALSE)</f>
        <v>【上級】孤高の一角獣</v>
      </c>
      <c r="G51" s="42">
        <v>2</v>
      </c>
      <c r="H51" s="21" t="str">
        <f t="shared" ca="1" si="14"/>
        <v>20002_3-2</v>
      </c>
      <c r="I51" s="31">
        <v>59</v>
      </c>
      <c r="J51" s="27" t="str">
        <f ca="1">VLOOKUP($I51,OFFSET([2]enemies!$A$1,0,0,COUNTA([2]enemies!$A:$A),MATCH(J$1,[2]enemies!$1:$1,0)-MATCH($I$1,[2]enemies!$1:$1,0)+1),MATCH(J$1,[2]enemies!$1:$1,0)-MATCH($I$1,[2]enemies!$1:$1,0)+1,FALSE)</f>
        <v>マーチ</v>
      </c>
      <c r="K51" s="27" t="str">
        <f ca="1">VLOOKUP($I51,OFFSET([2]enemies!$A$1,0,0,COUNTA([2]enemies!$A:$A),MATCH(K$1,[2]enemies!$1:$1,0)-MATCH($I$1,[2]enemies!$1:$1,0)+1),MATCH(K$1,[2]enemies!$1:$1,0)-MATCH($I$1,[2]enemies!$1:$1,0)+1,FALSE)</f>
        <v>green</v>
      </c>
      <c r="L51" s="29" t="str">
        <f ca="1">VLOOKUP(I51,[3]characters!$A:$J,10,FALSE)</f>
        <v>Drop1N</v>
      </c>
      <c r="M51" s="27" t="str">
        <f ca="1">VLOOKUP($I51,OFFSET([2]enemies!$A$1,0,0,COUNTA([2]enemies!$A:$A),MATCH(M$1,[2]enemies!$1:$1,0)-MATCH($I$1,[2]enemies!$1:$1,0)+1),MATCH(M$1,[2]enemies!$1:$1,0)-MATCH($I$1,[2]enemies!$1:$1,0)+1,FALSE)</f>
        <v>animal</v>
      </c>
      <c r="N51" s="27">
        <f ca="1">VLOOKUP($I51,OFFSET([2]enemies!$A$1,0,0,COUNTA([2]enemies!$A:$A),MATCH(N$1,[2]enemies!$1:$1,0)-MATCH($I$1,[2]enemies!$1:$1,0)+1),MATCH(N$1,[2]enemies!$1:$1,0)-MATCH($I$1,[2]enemies!$1:$1,0)+1,FALSE)</f>
        <v>15</v>
      </c>
      <c r="O51" s="6">
        <v>23</v>
      </c>
      <c r="P51" s="47">
        <v>1.8</v>
      </c>
      <c r="Q51" s="47">
        <v>0.9</v>
      </c>
      <c r="R51" s="6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1" s="27">
        <f ca="1">VLOOKUP($I51,OFFSET([2]enemies!$A$1,0,0,COUNTA([2]enemies!$A:$A),MATCH(T$1,[2]enemies!$1:$1,0)-MATCH($I$1,[2]enemies!$1:$1,0)+1),MATCH(T$1,[2]enemies!$1:$1,0)-MATCH($I$1,[2]enemies!$1:$1,0)+1,FALSE)</f>
        <v>59</v>
      </c>
      <c r="U51" s="7">
        <v>1</v>
      </c>
      <c r="V51" s="7">
        <v>0</v>
      </c>
      <c r="W51" s="7">
        <v>1</v>
      </c>
      <c r="X51" s="27">
        <f ca="1">VLOOKUP($I51,OFFSET([2]enemies!$A$1,0,0,COUNTA([2]enemies!$A:$A),MATCH(X$1,[2]enemies!$1:$1,0)-MATCH($I$1,[2]enemies!$1:$1,0)+1),MATCH(X$1,[2]enemies!$1:$1,0)-MATCH($I$1,[2]enemies!$1:$1,0)+1,FALSE)</f>
        <v>2</v>
      </c>
      <c r="Y51" s="8">
        <v>59</v>
      </c>
      <c r="Z51" s="5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51" s="5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5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9">
        <v>5</v>
      </c>
      <c r="AD51" s="34">
        <f t="shared" ca="1" si="15"/>
        <v>2</v>
      </c>
      <c r="AE51" s="10">
        <v>15</v>
      </c>
      <c r="AF51" s="9">
        <v>0</v>
      </c>
      <c r="AG51" s="9">
        <v>0</v>
      </c>
      <c r="AH51" s="9">
        <v>0</v>
      </c>
      <c r="AI51" s="9">
        <v>0</v>
      </c>
      <c r="AJ51" s="9">
        <v>1</v>
      </c>
    </row>
    <row r="52" spans="1:36" ht="21" customHeight="1" x14ac:dyDescent="0.15">
      <c r="A52" s="22" t="str">
        <f t="shared" ca="1" si="12"/>
        <v>20002_3-3/4&lt;lv23&gt;s2</v>
      </c>
      <c r="B52" s="9">
        <v>20002</v>
      </c>
      <c r="C52" s="32">
        <v>3</v>
      </c>
      <c r="D52" s="2" t="str">
        <f t="shared" ca="1" si="13"/>
        <v>20002_3</v>
      </c>
      <c r="E52" s="5" t="str">
        <f ca="1">VLOOKUP($B52,OFFSET([1]quests!$A$1,0,0,COUNTA([1]quests!$A:$A),MATCH(E$1,[1]quests!$1:$1,0)-MATCH($B$1,[1]quests!$1:$1,0)+1),MATCH(E$1,[1]quests!$1:$1,0)-MATCH($B$1,[1]quests!$1:$1,0)+1,FALSE)</f>
        <v>孤高の一角獣</v>
      </c>
      <c r="F52" s="5" t="str">
        <f ca="1">VLOOKUP($D52,OFFSET([1]stages!$A$1,0,0,COUNTA([1]stages!$A:$A),MATCH(F$1,[1]stages!$2:$2,0)-MATCH($D$1,[1]stages!$2:$2,0)+1),MATCH(F$1,[1]stages!$2:$2,0)-MATCH($D$1,[1]stages!$2:$2,0)+1,FALSE)</f>
        <v>【上級】孤高の一角獣</v>
      </c>
      <c r="G52" s="39">
        <v>3</v>
      </c>
      <c r="H52" s="21" t="str">
        <f t="shared" ca="1" si="14"/>
        <v>20002_3-3</v>
      </c>
      <c r="I52" s="31">
        <v>4</v>
      </c>
      <c r="J52" s="27" t="str">
        <f ca="1">VLOOKUP($I52,OFFSET([2]enemies!$A$1,0,0,COUNTA([2]enemies!$A:$A),MATCH(J$1,[2]enemies!$1:$1,0)-MATCH($I$1,[2]enemies!$1:$1,0)+1),MATCH(J$1,[2]enemies!$1:$1,0)-MATCH($I$1,[2]enemies!$1:$1,0)+1,FALSE)</f>
        <v>エースエージェント ジョー</v>
      </c>
      <c r="K52" s="27" t="str">
        <f ca="1">VLOOKUP($I52,OFFSET([2]enemies!$A$1,0,0,COUNTA([2]enemies!$A:$A),MATCH(K$1,[2]enemies!$1:$1,0)-MATCH($I$1,[2]enemies!$1:$1,0)+1),MATCH(K$1,[2]enemies!$1:$1,0)-MATCH($I$1,[2]enemies!$1:$1,0)+1,FALSE)</f>
        <v>green</v>
      </c>
      <c r="L52" s="29" t="str">
        <f ca="1">VLOOKUP(I52,[3]characters!$A:$J,10,FALSE)</f>
        <v>Drop1T</v>
      </c>
      <c r="M52" s="27" t="str">
        <f ca="1">VLOOKUP($I52,OFFSET([2]enemies!$A$1,0,0,COUNTA([2]enemies!$A:$A),MATCH(M$1,[2]enemies!$1:$1,0)-MATCH($I$1,[2]enemies!$1:$1,0)+1),MATCH(M$1,[2]enemies!$1:$1,0)-MATCH($I$1,[2]enemies!$1:$1,0)+1,FALSE)</f>
        <v>unknown</v>
      </c>
      <c r="N52" s="27">
        <f ca="1">VLOOKUP($I52,OFFSET([2]enemies!$A$1,0,0,COUNTA([2]enemies!$A:$A),MATCH(N$1,[2]enemies!$1:$1,0)-MATCH($I$1,[2]enemies!$1:$1,0)+1),MATCH(N$1,[2]enemies!$1:$1,0)-MATCH($I$1,[2]enemies!$1:$1,0)+1,FALSE)</f>
        <v>15</v>
      </c>
      <c r="O52" s="6">
        <v>23</v>
      </c>
      <c r="P52" s="47">
        <v>1.8</v>
      </c>
      <c r="Q52" s="47">
        <v>0.9</v>
      </c>
      <c r="R52" s="6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27">
        <f ca="1">VLOOKUP($I52,OFFSET([2]enemies!$A$1,0,0,COUNTA([2]enemies!$A:$A),MATCH(T$1,[2]enemies!$1:$1,0)-MATCH($I$1,[2]enemies!$1:$1,0)+1),MATCH(T$1,[2]enemies!$1:$1,0)-MATCH($I$1,[2]enemies!$1:$1,0)+1,FALSE)</f>
        <v>0</v>
      </c>
      <c r="U52" s="7">
        <v>0</v>
      </c>
      <c r="V52" s="7">
        <v>100</v>
      </c>
      <c r="W52" s="7">
        <v>0</v>
      </c>
      <c r="X52" s="27">
        <f ca="1">VLOOKUP($I52,OFFSET([2]enemies!$A$1,0,0,COUNTA([2]enemies!$A:$A),MATCH(X$1,[2]enemies!$1:$1,0)-MATCH($I$1,[2]enemies!$1:$1,0)+1),MATCH(X$1,[2]enemies!$1:$1,0)-MATCH($I$1,[2]enemies!$1:$1,0)+1,FALSE)</f>
        <v>2</v>
      </c>
      <c r="Y52" s="8">
        <v>4</v>
      </c>
      <c r="Z52" s="5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52" s="5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2</v>
      </c>
      <c r="AB52" s="5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52" s="9">
        <v>9</v>
      </c>
      <c r="AD52" s="34">
        <f t="shared" ca="1" si="15"/>
        <v>2</v>
      </c>
      <c r="AE52" s="10">
        <v>15</v>
      </c>
      <c r="AF52" s="9">
        <v>0</v>
      </c>
      <c r="AG52" s="9">
        <v>0</v>
      </c>
      <c r="AH52" s="9">
        <v>0</v>
      </c>
      <c r="AI52" s="9">
        <v>0</v>
      </c>
      <c r="AJ52" s="9">
        <v>1</v>
      </c>
    </row>
    <row r="53" spans="1:36" ht="21" customHeight="1" x14ac:dyDescent="0.15">
      <c r="A53" s="22" t="str">
        <f t="shared" ca="1" si="12"/>
        <v>20002_3-3/27&lt;lv23&gt;s1</v>
      </c>
      <c r="B53" s="9">
        <v>20002</v>
      </c>
      <c r="C53" s="32">
        <v>3</v>
      </c>
      <c r="D53" s="2" t="str">
        <f t="shared" ca="1" si="13"/>
        <v>20002_3</v>
      </c>
      <c r="E53" s="5" t="str">
        <f ca="1">VLOOKUP($B53,OFFSET([1]quests!$A$1,0,0,COUNTA([1]quests!$A:$A),MATCH(E$1,[1]quests!$1:$1,0)-MATCH($B$1,[1]quests!$1:$1,0)+1),MATCH(E$1,[1]quests!$1:$1,0)-MATCH($B$1,[1]quests!$1:$1,0)+1,FALSE)</f>
        <v>孤高の一角獣</v>
      </c>
      <c r="F53" s="5" t="str">
        <f ca="1">VLOOKUP($D53,OFFSET([1]stages!$A$1,0,0,COUNTA([1]stages!$A:$A),MATCH(F$1,[1]stages!$2:$2,0)-MATCH($D$1,[1]stages!$2:$2,0)+1),MATCH(F$1,[1]stages!$2:$2,0)-MATCH($D$1,[1]stages!$2:$2,0)+1,FALSE)</f>
        <v>【上級】孤高の一角獣</v>
      </c>
      <c r="G53" s="39">
        <v>3</v>
      </c>
      <c r="H53" s="21" t="str">
        <f t="shared" ca="1" si="14"/>
        <v>20002_3-3</v>
      </c>
      <c r="I53" s="31">
        <v>27</v>
      </c>
      <c r="J53" s="27" t="str">
        <f ca="1">VLOOKUP($I53,OFFSET([2]enemies!$A$1,0,0,COUNTA([2]enemies!$A:$A),MATCH(J$1,[2]enemies!$1:$1,0)-MATCH($I$1,[2]enemies!$1:$1,0)+1),MATCH(J$1,[2]enemies!$1:$1,0)-MATCH($I$1,[2]enemies!$1:$1,0)+1,FALSE)</f>
        <v>パトライン</v>
      </c>
      <c r="K53" s="27" t="str">
        <f ca="1">VLOOKUP($I53,OFFSET([2]enemies!$A$1,0,0,COUNTA([2]enemies!$A:$A),MATCH(K$1,[2]enemies!$1:$1,0)-MATCH($I$1,[2]enemies!$1:$1,0)+1),MATCH(K$1,[2]enemies!$1:$1,0)-MATCH($I$1,[2]enemies!$1:$1,0)+1,FALSE)</f>
        <v>green</v>
      </c>
      <c r="L53" s="29" t="str">
        <f ca="1">VLOOKUP(I53,[3]characters!$A:$J,10,FALSE)</f>
        <v>Drop1N</v>
      </c>
      <c r="M53" s="27" t="str">
        <f ca="1">VLOOKUP($I53,OFFSET([2]enemies!$A$1,0,0,COUNTA([2]enemies!$A:$A),MATCH(M$1,[2]enemies!$1:$1,0)-MATCH($I$1,[2]enemies!$1:$1,0)+1),MATCH(M$1,[2]enemies!$1:$1,0)-MATCH($I$1,[2]enemies!$1:$1,0)+1,FALSE)</f>
        <v>machine</v>
      </c>
      <c r="N53" s="27">
        <f ca="1">VLOOKUP($I53,OFFSET([2]enemies!$A$1,0,0,COUNTA([2]enemies!$A:$A),MATCH(N$1,[2]enemies!$1:$1,0)-MATCH($I$1,[2]enemies!$1:$1,0)+1),MATCH(N$1,[2]enemies!$1:$1,0)-MATCH($I$1,[2]enemies!$1:$1,0)+1,FALSE)</f>
        <v>15</v>
      </c>
      <c r="O53" s="6">
        <v>23</v>
      </c>
      <c r="P53" s="47">
        <v>1.8</v>
      </c>
      <c r="Q53" s="47">
        <v>0.9</v>
      </c>
      <c r="R53" s="6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27">
        <f ca="1">VLOOKUP($I53,OFFSET([2]enemies!$A$1,0,0,COUNTA([2]enemies!$A:$A),MATCH(T$1,[2]enemies!$1:$1,0)-MATCH($I$1,[2]enemies!$1:$1,0)+1),MATCH(T$1,[2]enemies!$1:$1,0)-MATCH($I$1,[2]enemies!$1:$1,0)+1,FALSE)</f>
        <v>0</v>
      </c>
      <c r="U53" s="7">
        <v>0</v>
      </c>
      <c r="V53" s="7">
        <v>100</v>
      </c>
      <c r="W53" s="7">
        <v>0</v>
      </c>
      <c r="X53" s="27">
        <f ca="1">VLOOKUP($I53,OFFSET([2]enemies!$A$1,0,0,COUNTA([2]enemies!$A:$A),MATCH(X$1,[2]enemies!$1:$1,0)-MATCH($I$1,[2]enemies!$1:$1,0)+1),MATCH(X$1,[2]enemies!$1:$1,0)-MATCH($I$1,[2]enemies!$1:$1,0)+1,FALSE)</f>
        <v>1</v>
      </c>
      <c r="Y53" s="8">
        <v>27</v>
      </c>
      <c r="Z53" s="5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53" s="5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1</v>
      </c>
      <c r="AB53" s="5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3" s="9">
        <v>5</v>
      </c>
      <c r="AD53" s="34">
        <f t="shared" ca="1" si="15"/>
        <v>1</v>
      </c>
      <c r="AE53" s="10">
        <v>15</v>
      </c>
      <c r="AF53" s="9">
        <v>0</v>
      </c>
      <c r="AG53" s="9">
        <v>0</v>
      </c>
      <c r="AH53" s="9">
        <v>0</v>
      </c>
      <c r="AI53" s="9">
        <v>0</v>
      </c>
      <c r="AJ53" s="9">
        <v>1</v>
      </c>
    </row>
    <row r="54" spans="1:36" ht="21" customHeight="1" x14ac:dyDescent="0.15">
      <c r="A54" s="22" t="str">
        <f t="shared" ca="1" si="12"/>
        <v>20002_3-3/43&lt;lv23&gt;s2</v>
      </c>
      <c r="B54" s="9">
        <v>20002</v>
      </c>
      <c r="C54" s="32">
        <v>3</v>
      </c>
      <c r="D54" s="2" t="str">
        <f t="shared" ca="1" si="13"/>
        <v>20002_3</v>
      </c>
      <c r="E54" s="5" t="str">
        <f ca="1">VLOOKUP($B54,OFFSET([1]quests!$A$1,0,0,COUNTA([1]quests!$A:$A),MATCH(E$1,[1]quests!$1:$1,0)-MATCH($B$1,[1]quests!$1:$1,0)+1),MATCH(E$1,[1]quests!$1:$1,0)-MATCH($B$1,[1]quests!$1:$1,0)+1,FALSE)</f>
        <v>孤高の一角獣</v>
      </c>
      <c r="F54" s="5" t="str">
        <f ca="1">VLOOKUP($D54,OFFSET([1]stages!$A$1,0,0,COUNTA([1]stages!$A:$A),MATCH(F$1,[1]stages!$2:$2,0)-MATCH($D$1,[1]stages!$2:$2,0)+1),MATCH(F$1,[1]stages!$2:$2,0)-MATCH($D$1,[1]stages!$2:$2,0)+1,FALSE)</f>
        <v>【上級】孤高の一角獣</v>
      </c>
      <c r="G54" s="39">
        <v>3</v>
      </c>
      <c r="H54" s="21" t="str">
        <f t="shared" ca="1" si="14"/>
        <v>20002_3-3</v>
      </c>
      <c r="I54" s="31">
        <v>43</v>
      </c>
      <c r="J54" s="27" t="str">
        <f ca="1">VLOOKUP($I54,OFFSET([2]enemies!$A$1,0,0,COUNTA([2]enemies!$A:$A),MATCH(J$1,[2]enemies!$1:$1,0)-MATCH($I$1,[2]enemies!$1:$1,0)+1),MATCH(J$1,[2]enemies!$1:$1,0)-MATCH($I$1,[2]enemies!$1:$1,0)+1,FALSE)</f>
        <v>ムゥ</v>
      </c>
      <c r="K54" s="27" t="str">
        <f ca="1">VLOOKUP($I54,OFFSET([2]enemies!$A$1,0,0,COUNTA([2]enemies!$A:$A),MATCH(K$1,[2]enemies!$1:$1,0)-MATCH($I$1,[2]enemies!$1:$1,0)+1),MATCH(K$1,[2]enemies!$1:$1,0)-MATCH($I$1,[2]enemies!$1:$1,0)+1,FALSE)</f>
        <v>green</v>
      </c>
      <c r="L54" s="29" t="str">
        <f ca="1">VLOOKUP(I54,[3]characters!$A:$J,10,FALSE)</f>
        <v>Drop1N</v>
      </c>
      <c r="M54" s="27" t="str">
        <f ca="1">VLOOKUP($I54,OFFSET([2]enemies!$A$1,0,0,COUNTA([2]enemies!$A:$A),MATCH(M$1,[2]enemies!$1:$1,0)-MATCH($I$1,[2]enemies!$1:$1,0)+1),MATCH(M$1,[2]enemies!$1:$1,0)-MATCH($I$1,[2]enemies!$1:$1,0)+1,FALSE)</f>
        <v>dragon</v>
      </c>
      <c r="N54" s="27">
        <f ca="1">VLOOKUP($I54,OFFSET([2]enemies!$A$1,0,0,COUNTA([2]enemies!$A:$A),MATCH(N$1,[2]enemies!$1:$1,0)-MATCH($I$1,[2]enemies!$1:$1,0)+1),MATCH(N$1,[2]enemies!$1:$1,0)-MATCH($I$1,[2]enemies!$1:$1,0)+1,FALSE)</f>
        <v>15</v>
      </c>
      <c r="O54" s="6">
        <v>23</v>
      </c>
      <c r="P54" s="47">
        <v>1.8</v>
      </c>
      <c r="Q54" s="47">
        <v>0.9</v>
      </c>
      <c r="R54" s="6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27">
        <f ca="1">VLOOKUP($I54,OFFSET([2]enemies!$A$1,0,0,COUNTA([2]enemies!$A:$A),MATCH(T$1,[2]enemies!$1:$1,0)-MATCH($I$1,[2]enemies!$1:$1,0)+1),MATCH(T$1,[2]enemies!$1:$1,0)-MATCH($I$1,[2]enemies!$1:$1,0)+1,FALSE)</f>
        <v>0</v>
      </c>
      <c r="U54" s="7">
        <v>0</v>
      </c>
      <c r="V54" s="7">
        <v>100</v>
      </c>
      <c r="W54" s="7">
        <v>0</v>
      </c>
      <c r="X54" s="27">
        <f ca="1">VLOOKUP($I54,OFFSET([2]enemies!$A$1,0,0,COUNTA([2]enemies!$A:$A),MATCH(X$1,[2]enemies!$1:$1,0)-MATCH($I$1,[2]enemies!$1:$1,0)+1),MATCH(X$1,[2]enemies!$1:$1,0)-MATCH($I$1,[2]enemies!$1:$1,0)+1,FALSE)</f>
        <v>2</v>
      </c>
      <c r="Y54" s="8">
        <v>43</v>
      </c>
      <c r="Z54" s="5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4" s="5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2</v>
      </c>
      <c r="AB54" s="5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4" s="9">
        <v>5</v>
      </c>
      <c r="AD54" s="34">
        <f t="shared" ca="1" si="15"/>
        <v>2</v>
      </c>
      <c r="AE54" s="10">
        <v>15</v>
      </c>
      <c r="AF54" s="9">
        <v>0</v>
      </c>
      <c r="AG54" s="9">
        <v>0</v>
      </c>
      <c r="AH54" s="9">
        <v>0</v>
      </c>
      <c r="AI54" s="9">
        <v>0</v>
      </c>
      <c r="AJ54" s="9">
        <v>1</v>
      </c>
    </row>
    <row r="55" spans="1:36" ht="21" customHeight="1" x14ac:dyDescent="0.15">
      <c r="A55" s="22" t="str">
        <f t="shared" ca="1" si="12"/>
        <v>20002_3-3/51&lt;lv23&gt;s2</v>
      </c>
      <c r="B55" s="9">
        <v>20002</v>
      </c>
      <c r="C55" s="32">
        <v>3</v>
      </c>
      <c r="D55" s="2" t="str">
        <f t="shared" ca="1" si="13"/>
        <v>20002_3</v>
      </c>
      <c r="E55" s="5" t="str">
        <f ca="1">VLOOKUP($B55,OFFSET([1]quests!$A$1,0,0,COUNTA([1]quests!$A:$A),MATCH(E$1,[1]quests!$1:$1,0)-MATCH($B$1,[1]quests!$1:$1,0)+1),MATCH(E$1,[1]quests!$1:$1,0)-MATCH($B$1,[1]quests!$1:$1,0)+1,FALSE)</f>
        <v>孤高の一角獣</v>
      </c>
      <c r="F55" s="5" t="str">
        <f ca="1">VLOOKUP($D55,OFFSET([1]stages!$A$1,0,0,COUNTA([1]stages!$A:$A),MATCH(F$1,[1]stages!$2:$2,0)-MATCH($D$1,[1]stages!$2:$2,0)+1),MATCH(F$1,[1]stages!$2:$2,0)-MATCH($D$1,[1]stages!$2:$2,0)+1,FALSE)</f>
        <v>【上級】孤高の一角獣</v>
      </c>
      <c r="G55" s="39">
        <v>3</v>
      </c>
      <c r="H55" s="21" t="str">
        <f t="shared" ca="1" si="14"/>
        <v>20002_3-3</v>
      </c>
      <c r="I55" s="31">
        <v>51</v>
      </c>
      <c r="J55" s="27" t="str">
        <f ca="1">VLOOKUP($I55,OFFSET([2]enemies!$A$1,0,0,COUNTA([2]enemies!$A:$A),MATCH(J$1,[2]enemies!$1:$1,0)-MATCH($I$1,[2]enemies!$1:$1,0)+1),MATCH(J$1,[2]enemies!$1:$1,0)-MATCH($I$1,[2]enemies!$1:$1,0)+1,FALSE)</f>
        <v>マイ</v>
      </c>
      <c r="K55" s="27" t="str">
        <f ca="1">VLOOKUP($I55,OFFSET([2]enemies!$A$1,0,0,COUNTA([2]enemies!$A:$A),MATCH(K$1,[2]enemies!$1:$1,0)-MATCH($I$1,[2]enemies!$1:$1,0)+1),MATCH(K$1,[2]enemies!$1:$1,0)-MATCH($I$1,[2]enemies!$1:$1,0)+1,FALSE)</f>
        <v>green</v>
      </c>
      <c r="L55" s="29" t="str">
        <f ca="1">VLOOKUP(I55,[3]characters!$A:$J,10,FALSE)</f>
        <v>Drop1N</v>
      </c>
      <c r="M55" s="27" t="str">
        <f ca="1">VLOOKUP($I55,OFFSET([2]enemies!$A$1,0,0,COUNTA([2]enemies!$A:$A),MATCH(M$1,[2]enemies!$1:$1,0)-MATCH($I$1,[2]enemies!$1:$1,0)+1),MATCH(M$1,[2]enemies!$1:$1,0)-MATCH($I$1,[2]enemies!$1:$1,0)+1,FALSE)</f>
        <v>human</v>
      </c>
      <c r="N55" s="27">
        <f ca="1">VLOOKUP($I55,OFFSET([2]enemies!$A$1,0,0,COUNTA([2]enemies!$A:$A),MATCH(N$1,[2]enemies!$1:$1,0)-MATCH($I$1,[2]enemies!$1:$1,0)+1),MATCH(N$1,[2]enemies!$1:$1,0)-MATCH($I$1,[2]enemies!$1:$1,0)+1,FALSE)</f>
        <v>15</v>
      </c>
      <c r="O55" s="6">
        <v>23</v>
      </c>
      <c r="P55" s="47">
        <v>1.8</v>
      </c>
      <c r="Q55" s="47">
        <v>0.9</v>
      </c>
      <c r="R55" s="6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5" s="27">
        <f ca="1">VLOOKUP($I55,OFFSET([2]enemies!$A$1,0,0,COUNTA([2]enemies!$A:$A),MATCH(T$1,[2]enemies!$1:$1,0)-MATCH($I$1,[2]enemies!$1:$1,0)+1),MATCH(T$1,[2]enemies!$1:$1,0)-MATCH($I$1,[2]enemies!$1:$1,0)+1,FALSE)</f>
        <v>51</v>
      </c>
      <c r="U55" s="7">
        <v>1</v>
      </c>
      <c r="V55" s="7">
        <v>0</v>
      </c>
      <c r="W55" s="7">
        <v>1</v>
      </c>
      <c r="X55" s="27">
        <f ca="1">VLOOKUP($I55,OFFSET([2]enemies!$A$1,0,0,COUNTA([2]enemies!$A:$A),MATCH(X$1,[2]enemies!$1:$1,0)-MATCH($I$1,[2]enemies!$1:$1,0)+1),MATCH(X$1,[2]enemies!$1:$1,0)-MATCH($I$1,[2]enemies!$1:$1,0)+1,FALSE)</f>
        <v>2</v>
      </c>
      <c r="Y55" s="8">
        <v>51</v>
      </c>
      <c r="Z55" s="5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55" s="5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2</v>
      </c>
      <c r="AB55" s="5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5" s="9">
        <v>5</v>
      </c>
      <c r="AD55" s="34">
        <f t="shared" ca="1" si="15"/>
        <v>2</v>
      </c>
      <c r="AE55" s="10">
        <v>15</v>
      </c>
      <c r="AF55" s="9">
        <v>0</v>
      </c>
      <c r="AG55" s="9">
        <v>0</v>
      </c>
      <c r="AH55" s="9">
        <v>0</v>
      </c>
      <c r="AI55" s="9">
        <v>0</v>
      </c>
      <c r="AJ55" s="9">
        <v>1</v>
      </c>
    </row>
    <row r="56" spans="1:36" ht="21" customHeight="1" x14ac:dyDescent="0.15">
      <c r="A56" s="22" t="str">
        <f t="shared" ca="1" si="12"/>
        <v>20002_3-4/122&lt;lv14&gt;s3</v>
      </c>
      <c r="B56" s="9">
        <v>20002</v>
      </c>
      <c r="C56" s="32">
        <v>3</v>
      </c>
      <c r="D56" s="2" t="str">
        <f t="shared" ca="1" si="13"/>
        <v>20002_3</v>
      </c>
      <c r="E56" s="5" t="str">
        <f ca="1">VLOOKUP($B56,OFFSET([1]quests!$A$1,0,0,COUNTA([1]quests!$A:$A),MATCH(E$1,[1]quests!$1:$1,0)-MATCH($B$1,[1]quests!$1:$1,0)+1),MATCH(E$1,[1]quests!$1:$1,0)-MATCH($B$1,[1]quests!$1:$1,0)+1,FALSE)</f>
        <v>孤高の一角獣</v>
      </c>
      <c r="F56" s="5" t="str">
        <f ca="1">VLOOKUP($D56,OFFSET([1]stages!$A$1,0,0,COUNTA([1]stages!$A:$A),MATCH(F$1,[1]stages!$2:$2,0)-MATCH($D$1,[1]stages!$2:$2,0)+1),MATCH(F$1,[1]stages!$2:$2,0)-MATCH($D$1,[1]stages!$2:$2,0)+1,FALSE)</f>
        <v>【上級】孤高の一角獣</v>
      </c>
      <c r="G56" s="49">
        <v>4</v>
      </c>
      <c r="H56" s="21" t="str">
        <f t="shared" ca="1" si="14"/>
        <v>20002_3-4</v>
      </c>
      <c r="I56" s="31">
        <v>122</v>
      </c>
      <c r="J56" s="27" t="str">
        <f ca="1">VLOOKUP($I56,OFFSET([2]enemies!$A$1,0,0,COUNTA([2]enemies!$A:$A),MATCH(J$1,[2]enemies!$1:$1,0)-MATCH($I$1,[2]enemies!$1:$1,0)+1),MATCH(J$1,[2]enemies!$1:$1,0)-MATCH($I$1,[2]enemies!$1:$1,0)+1,FALSE)</f>
        <v>生命の果実</v>
      </c>
      <c r="K56" s="27" t="str">
        <f ca="1">VLOOKUP($I56,OFFSET([2]enemies!$A$1,0,0,COUNTA([2]enemies!$A:$A),MATCH(K$1,[2]enemies!$1:$1,0)-MATCH($I$1,[2]enemies!$1:$1,0)+1),MATCH(K$1,[2]enemies!$1:$1,0)-MATCH($I$1,[2]enemies!$1:$1,0)+1,FALSE)</f>
        <v>green</v>
      </c>
      <c r="L56" s="29" t="str">
        <f ca="1">VLOOKUP(I56,[3]characters!$A:$J,10,FALSE)</f>
        <v>Material</v>
      </c>
      <c r="M56" s="27" t="str">
        <f ca="1">VLOOKUP($I56,OFFSET([2]enemies!$A$1,0,0,COUNTA([2]enemies!$A:$A),MATCH(M$1,[2]enemies!$1:$1,0)-MATCH($I$1,[2]enemies!$1:$1,0)+1),MATCH(M$1,[2]enemies!$1:$1,0)-MATCH($I$1,[2]enemies!$1:$1,0)+1,FALSE)</f>
        <v>unknown</v>
      </c>
      <c r="N56" s="27">
        <f ca="1">VLOOKUP($I56,OFFSET([2]enemies!$A$1,0,0,COUNTA([2]enemies!$A:$A),MATCH(N$1,[2]enemies!$1:$1,0)-MATCH($I$1,[2]enemies!$1:$1,0)+1),MATCH(N$1,[2]enemies!$1:$1,0)-MATCH($I$1,[2]enemies!$1:$1,0)+1,FALSE)</f>
        <v>20</v>
      </c>
      <c r="O56" s="6">
        <v>14</v>
      </c>
      <c r="P56" s="47">
        <v>2.4</v>
      </c>
      <c r="Q56" s="47">
        <v>0.4</v>
      </c>
      <c r="R56" s="6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この果実はターン０になると自爆する！</v>
      </c>
      <c r="T56" s="51">
        <v>1221</v>
      </c>
      <c r="U56" s="7">
        <v>1</v>
      </c>
      <c r="V56" s="7">
        <v>0</v>
      </c>
      <c r="W56" s="7">
        <v>1</v>
      </c>
      <c r="X56" s="27">
        <f ca="1">VLOOKUP($I56,OFFSET([2]enemies!$A$1,0,0,COUNTA([2]enemies!$A:$A),MATCH(X$1,[2]enemies!$1:$1,0)-MATCH($I$1,[2]enemies!$1:$1,0)+1),MATCH(X$1,[2]enemies!$1:$1,0)-MATCH($I$1,[2]enemies!$1:$1,0)+1,FALSE)</f>
        <v>3</v>
      </c>
      <c r="Y56" s="8">
        <v>122</v>
      </c>
      <c r="Z56" s="5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生命の果実</v>
      </c>
      <c r="AA56" s="5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3</v>
      </c>
      <c r="AB56" s="5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56" s="9">
        <v>1</v>
      </c>
      <c r="AD56" s="34">
        <f t="shared" ca="1" si="15"/>
        <v>3</v>
      </c>
      <c r="AE56" s="10">
        <v>15</v>
      </c>
      <c r="AF56" s="9">
        <v>0</v>
      </c>
      <c r="AG56" s="9">
        <v>0</v>
      </c>
      <c r="AH56" s="9">
        <v>0</v>
      </c>
      <c r="AI56" s="9">
        <v>0</v>
      </c>
      <c r="AJ56" s="9">
        <v>1</v>
      </c>
    </row>
    <row r="57" spans="1:36" ht="21" customHeight="1" x14ac:dyDescent="0.15">
      <c r="A57" s="22" t="str">
        <f t="shared" ca="1" si="12"/>
        <v>20002_3-4/4&lt;lv23&gt;s2</v>
      </c>
      <c r="B57" s="9">
        <v>20002</v>
      </c>
      <c r="C57" s="32">
        <v>3</v>
      </c>
      <c r="D57" s="2" t="str">
        <f t="shared" ca="1" si="13"/>
        <v>20002_3</v>
      </c>
      <c r="E57" s="5" t="str">
        <f ca="1">VLOOKUP($B57,OFFSET([1]quests!$A$1,0,0,COUNTA([1]quests!$A:$A),MATCH(E$1,[1]quests!$1:$1,0)-MATCH($B$1,[1]quests!$1:$1,0)+1),MATCH(E$1,[1]quests!$1:$1,0)-MATCH($B$1,[1]quests!$1:$1,0)+1,FALSE)</f>
        <v>孤高の一角獣</v>
      </c>
      <c r="F57" s="5" t="str">
        <f ca="1">VLOOKUP($D57,OFFSET([1]stages!$A$1,0,0,COUNTA([1]stages!$A:$A),MATCH(F$1,[1]stages!$2:$2,0)-MATCH($D$1,[1]stages!$2:$2,0)+1),MATCH(F$1,[1]stages!$2:$2,0)-MATCH($D$1,[1]stages!$2:$2,0)+1,FALSE)</f>
        <v>【上級】孤高の一角獣</v>
      </c>
      <c r="G57" s="40">
        <v>4</v>
      </c>
      <c r="H57" s="21" t="str">
        <f t="shared" ca="1" si="14"/>
        <v>20002_3-4</v>
      </c>
      <c r="I57" s="31">
        <v>4</v>
      </c>
      <c r="J57" s="27" t="str">
        <f ca="1">VLOOKUP($I57,OFFSET([2]enemies!$A$1,0,0,COUNTA([2]enemies!$A:$A),MATCH(J$1,[2]enemies!$1:$1,0)-MATCH($I$1,[2]enemies!$1:$1,0)+1),MATCH(J$1,[2]enemies!$1:$1,0)-MATCH($I$1,[2]enemies!$1:$1,0)+1,FALSE)</f>
        <v>エースエージェント ジョー</v>
      </c>
      <c r="K57" s="27" t="str">
        <f ca="1">VLOOKUP($I57,OFFSET([2]enemies!$A$1,0,0,COUNTA([2]enemies!$A:$A),MATCH(K$1,[2]enemies!$1:$1,0)-MATCH($I$1,[2]enemies!$1:$1,0)+1),MATCH(K$1,[2]enemies!$1:$1,0)-MATCH($I$1,[2]enemies!$1:$1,0)+1,FALSE)</f>
        <v>green</v>
      </c>
      <c r="L57" s="29" t="str">
        <f ca="1">VLOOKUP(I57,[3]characters!$A:$J,10,FALSE)</f>
        <v>Drop1T</v>
      </c>
      <c r="M57" s="27" t="str">
        <f ca="1">VLOOKUP($I57,OFFSET([2]enemies!$A$1,0,0,COUNTA([2]enemies!$A:$A),MATCH(M$1,[2]enemies!$1:$1,0)-MATCH($I$1,[2]enemies!$1:$1,0)+1),MATCH(M$1,[2]enemies!$1:$1,0)-MATCH($I$1,[2]enemies!$1:$1,0)+1,FALSE)</f>
        <v>unknown</v>
      </c>
      <c r="N57" s="27">
        <f ca="1">VLOOKUP($I57,OFFSET([2]enemies!$A$1,0,0,COUNTA([2]enemies!$A:$A),MATCH(N$1,[2]enemies!$1:$1,0)-MATCH($I$1,[2]enemies!$1:$1,0)+1),MATCH(N$1,[2]enemies!$1:$1,0)-MATCH($I$1,[2]enemies!$1:$1,0)+1,FALSE)</f>
        <v>15</v>
      </c>
      <c r="O57" s="6">
        <v>23</v>
      </c>
      <c r="P57" s="47">
        <v>1.8</v>
      </c>
      <c r="Q57" s="47">
        <v>0.9</v>
      </c>
      <c r="R57" s="6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27">
        <f ca="1">VLOOKUP($I57,OFFSET([2]enemies!$A$1,0,0,COUNTA([2]enemies!$A:$A),MATCH(T$1,[2]enemies!$1:$1,0)-MATCH($I$1,[2]enemies!$1:$1,0)+1),MATCH(T$1,[2]enemies!$1:$1,0)-MATCH($I$1,[2]enemies!$1:$1,0)+1,FALSE)</f>
        <v>0</v>
      </c>
      <c r="U57" s="7">
        <v>0</v>
      </c>
      <c r="V57" s="7">
        <v>100</v>
      </c>
      <c r="W57" s="7">
        <v>0</v>
      </c>
      <c r="X57" s="27">
        <f ca="1">VLOOKUP($I57,OFFSET([2]enemies!$A$1,0,0,COUNTA([2]enemies!$A:$A),MATCH(X$1,[2]enemies!$1:$1,0)-MATCH($I$1,[2]enemies!$1:$1,0)+1),MATCH(X$1,[2]enemies!$1:$1,0)-MATCH($I$1,[2]enemies!$1:$1,0)+1,FALSE)</f>
        <v>2</v>
      </c>
      <c r="Y57" s="44">
        <v>4</v>
      </c>
      <c r="Z57" s="5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エースエージェント ジョー</v>
      </c>
      <c r="AA57" s="5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2</v>
      </c>
      <c r="AB57" s="5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57" s="9">
        <v>9</v>
      </c>
      <c r="AD57" s="34">
        <f t="shared" ca="1" si="15"/>
        <v>2</v>
      </c>
      <c r="AE57" s="10">
        <v>15</v>
      </c>
      <c r="AF57" s="9">
        <v>0</v>
      </c>
      <c r="AG57" s="9">
        <v>0</v>
      </c>
      <c r="AH57" s="9">
        <v>0</v>
      </c>
      <c r="AI57" s="9">
        <v>0</v>
      </c>
      <c r="AJ57" s="9">
        <v>1</v>
      </c>
    </row>
    <row r="58" spans="1:36" ht="21" customHeight="1" x14ac:dyDescent="0.15">
      <c r="A58" s="22" t="str">
        <f t="shared" ca="1" si="12"/>
        <v>20002_3-4/27&lt;lv23&gt;s1</v>
      </c>
      <c r="B58" s="9">
        <v>20002</v>
      </c>
      <c r="C58" s="32">
        <v>3</v>
      </c>
      <c r="D58" s="2" t="str">
        <f t="shared" ca="1" si="13"/>
        <v>20002_3</v>
      </c>
      <c r="E58" s="5" t="str">
        <f ca="1">VLOOKUP($B58,OFFSET([1]quests!$A$1,0,0,COUNTA([1]quests!$A:$A),MATCH(E$1,[1]quests!$1:$1,0)-MATCH($B$1,[1]quests!$1:$1,0)+1),MATCH(E$1,[1]quests!$1:$1,0)-MATCH($B$1,[1]quests!$1:$1,0)+1,FALSE)</f>
        <v>孤高の一角獣</v>
      </c>
      <c r="F58" s="5" t="str">
        <f ca="1">VLOOKUP($D58,OFFSET([1]stages!$A$1,0,0,COUNTA([1]stages!$A:$A),MATCH(F$1,[1]stages!$2:$2,0)-MATCH($D$1,[1]stages!$2:$2,0)+1),MATCH(F$1,[1]stages!$2:$2,0)-MATCH($D$1,[1]stages!$2:$2,0)+1,FALSE)</f>
        <v>【上級】孤高の一角獣</v>
      </c>
      <c r="G58" s="40">
        <v>4</v>
      </c>
      <c r="H58" s="21" t="str">
        <f t="shared" ca="1" si="14"/>
        <v>20002_3-4</v>
      </c>
      <c r="I58" s="31">
        <v>27</v>
      </c>
      <c r="J58" s="27" t="str">
        <f ca="1">VLOOKUP($I58,OFFSET([2]enemies!$A$1,0,0,COUNTA([2]enemies!$A:$A),MATCH(J$1,[2]enemies!$1:$1,0)-MATCH($I$1,[2]enemies!$1:$1,0)+1),MATCH(J$1,[2]enemies!$1:$1,0)-MATCH($I$1,[2]enemies!$1:$1,0)+1,FALSE)</f>
        <v>パトライン</v>
      </c>
      <c r="K58" s="27" t="str">
        <f ca="1">VLOOKUP($I58,OFFSET([2]enemies!$A$1,0,0,COUNTA([2]enemies!$A:$A),MATCH(K$1,[2]enemies!$1:$1,0)-MATCH($I$1,[2]enemies!$1:$1,0)+1),MATCH(K$1,[2]enemies!$1:$1,0)-MATCH($I$1,[2]enemies!$1:$1,0)+1,FALSE)</f>
        <v>green</v>
      </c>
      <c r="L58" s="29" t="str">
        <f ca="1">VLOOKUP(I58,[3]characters!$A:$J,10,FALSE)</f>
        <v>Drop1N</v>
      </c>
      <c r="M58" s="27" t="str">
        <f ca="1">VLOOKUP($I58,OFFSET([2]enemies!$A$1,0,0,COUNTA([2]enemies!$A:$A),MATCH(M$1,[2]enemies!$1:$1,0)-MATCH($I$1,[2]enemies!$1:$1,0)+1),MATCH(M$1,[2]enemies!$1:$1,0)-MATCH($I$1,[2]enemies!$1:$1,0)+1,FALSE)</f>
        <v>machine</v>
      </c>
      <c r="N58" s="27">
        <f ca="1">VLOOKUP($I58,OFFSET([2]enemies!$A$1,0,0,COUNTA([2]enemies!$A:$A),MATCH(N$1,[2]enemies!$1:$1,0)-MATCH($I$1,[2]enemies!$1:$1,0)+1),MATCH(N$1,[2]enemies!$1:$1,0)-MATCH($I$1,[2]enemies!$1:$1,0)+1,FALSE)</f>
        <v>15</v>
      </c>
      <c r="O58" s="6">
        <v>23</v>
      </c>
      <c r="P58" s="47">
        <v>1.8</v>
      </c>
      <c r="Q58" s="47">
        <v>0.9</v>
      </c>
      <c r="R58" s="6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27">
        <f ca="1">VLOOKUP($I58,OFFSET([2]enemies!$A$1,0,0,COUNTA([2]enemies!$A:$A),MATCH(T$1,[2]enemies!$1:$1,0)-MATCH($I$1,[2]enemies!$1:$1,0)+1),MATCH(T$1,[2]enemies!$1:$1,0)-MATCH($I$1,[2]enemies!$1:$1,0)+1,FALSE)</f>
        <v>0</v>
      </c>
      <c r="U58" s="7">
        <v>0</v>
      </c>
      <c r="V58" s="7">
        <v>100</v>
      </c>
      <c r="W58" s="7">
        <v>0</v>
      </c>
      <c r="X58" s="27">
        <f ca="1">VLOOKUP($I58,OFFSET([2]enemies!$A$1,0,0,COUNTA([2]enemies!$A:$A),MATCH(X$1,[2]enemies!$1:$1,0)-MATCH($I$1,[2]enemies!$1:$1,0)+1),MATCH(X$1,[2]enemies!$1:$1,0)-MATCH($I$1,[2]enemies!$1:$1,0)+1,FALSE)</f>
        <v>1</v>
      </c>
      <c r="Y58" s="45">
        <v>27</v>
      </c>
      <c r="Z58" s="5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58" s="5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1</v>
      </c>
      <c r="AB58" s="5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8" s="9">
        <v>5</v>
      </c>
      <c r="AD58" s="34">
        <f t="shared" ca="1" si="15"/>
        <v>1</v>
      </c>
      <c r="AE58" s="10">
        <v>15</v>
      </c>
      <c r="AF58" s="9">
        <v>0</v>
      </c>
      <c r="AG58" s="9">
        <v>0</v>
      </c>
      <c r="AH58" s="9">
        <v>0</v>
      </c>
      <c r="AI58" s="9">
        <v>0</v>
      </c>
      <c r="AJ58" s="9">
        <v>1</v>
      </c>
    </row>
    <row r="59" spans="1:36" ht="21" customHeight="1" x14ac:dyDescent="0.15">
      <c r="A59" s="22" t="str">
        <f t="shared" ca="1" si="12"/>
        <v>20002_3-4/43&lt;lv23&gt;s2</v>
      </c>
      <c r="B59" s="9">
        <v>20002</v>
      </c>
      <c r="C59" s="32">
        <v>3</v>
      </c>
      <c r="D59" s="2" t="str">
        <f t="shared" ca="1" si="13"/>
        <v>20002_3</v>
      </c>
      <c r="E59" s="5" t="str">
        <f ca="1">VLOOKUP($B59,OFFSET([1]quests!$A$1,0,0,COUNTA([1]quests!$A:$A),MATCH(E$1,[1]quests!$1:$1,0)-MATCH($B$1,[1]quests!$1:$1,0)+1),MATCH(E$1,[1]quests!$1:$1,0)-MATCH($B$1,[1]quests!$1:$1,0)+1,FALSE)</f>
        <v>孤高の一角獣</v>
      </c>
      <c r="F59" s="5" t="str">
        <f ca="1">VLOOKUP($D59,OFFSET([1]stages!$A$1,0,0,COUNTA([1]stages!$A:$A),MATCH(F$1,[1]stages!$2:$2,0)-MATCH($D$1,[1]stages!$2:$2,0)+1),MATCH(F$1,[1]stages!$2:$2,0)-MATCH($D$1,[1]stages!$2:$2,0)+1,FALSE)</f>
        <v>【上級】孤高の一角獣</v>
      </c>
      <c r="G59" s="40">
        <v>4</v>
      </c>
      <c r="H59" s="21" t="str">
        <f t="shared" ca="1" si="14"/>
        <v>20002_3-4</v>
      </c>
      <c r="I59" s="31">
        <v>43</v>
      </c>
      <c r="J59" s="27" t="str">
        <f ca="1">VLOOKUP($I59,OFFSET([2]enemies!$A$1,0,0,COUNTA([2]enemies!$A:$A),MATCH(J$1,[2]enemies!$1:$1,0)-MATCH($I$1,[2]enemies!$1:$1,0)+1),MATCH(J$1,[2]enemies!$1:$1,0)-MATCH($I$1,[2]enemies!$1:$1,0)+1,FALSE)</f>
        <v>ムゥ</v>
      </c>
      <c r="K59" s="27" t="str">
        <f ca="1">VLOOKUP($I59,OFFSET([2]enemies!$A$1,0,0,COUNTA([2]enemies!$A:$A),MATCH(K$1,[2]enemies!$1:$1,0)-MATCH($I$1,[2]enemies!$1:$1,0)+1),MATCH(K$1,[2]enemies!$1:$1,0)-MATCH($I$1,[2]enemies!$1:$1,0)+1,FALSE)</f>
        <v>green</v>
      </c>
      <c r="L59" s="29" t="str">
        <f ca="1">VLOOKUP(I59,[3]characters!$A:$J,10,FALSE)</f>
        <v>Drop1N</v>
      </c>
      <c r="M59" s="27" t="str">
        <f ca="1">VLOOKUP($I59,OFFSET([2]enemies!$A$1,0,0,COUNTA([2]enemies!$A:$A),MATCH(M$1,[2]enemies!$1:$1,0)-MATCH($I$1,[2]enemies!$1:$1,0)+1),MATCH(M$1,[2]enemies!$1:$1,0)-MATCH($I$1,[2]enemies!$1:$1,0)+1,FALSE)</f>
        <v>dragon</v>
      </c>
      <c r="N59" s="27">
        <f ca="1">VLOOKUP($I59,OFFSET([2]enemies!$A$1,0,0,COUNTA([2]enemies!$A:$A),MATCH(N$1,[2]enemies!$1:$1,0)-MATCH($I$1,[2]enemies!$1:$1,0)+1),MATCH(N$1,[2]enemies!$1:$1,0)-MATCH($I$1,[2]enemies!$1:$1,0)+1,FALSE)</f>
        <v>15</v>
      </c>
      <c r="O59" s="6">
        <v>23</v>
      </c>
      <c r="P59" s="47">
        <v>1.8</v>
      </c>
      <c r="Q59" s="47">
        <v>0.9</v>
      </c>
      <c r="R59" s="6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27">
        <f ca="1">VLOOKUP($I59,OFFSET([2]enemies!$A$1,0,0,COUNTA([2]enemies!$A:$A),MATCH(T$1,[2]enemies!$1:$1,0)-MATCH($I$1,[2]enemies!$1:$1,0)+1),MATCH(T$1,[2]enemies!$1:$1,0)-MATCH($I$1,[2]enemies!$1:$1,0)+1,FALSE)</f>
        <v>0</v>
      </c>
      <c r="U59" s="7">
        <v>1</v>
      </c>
      <c r="V59" s="7">
        <v>0</v>
      </c>
      <c r="W59" s="7">
        <v>0</v>
      </c>
      <c r="X59" s="27">
        <f ca="1">VLOOKUP($I59,OFFSET([2]enemies!$A$1,0,0,COUNTA([2]enemies!$A:$A),MATCH(X$1,[2]enemies!$1:$1,0)-MATCH($I$1,[2]enemies!$1:$1,0)+1),MATCH(X$1,[2]enemies!$1:$1,0)-MATCH($I$1,[2]enemies!$1:$1,0)+1,FALSE)</f>
        <v>2</v>
      </c>
      <c r="Y59" s="45">
        <v>43</v>
      </c>
      <c r="Z59" s="5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9" s="5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2</v>
      </c>
      <c r="AB59" s="5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9" s="9">
        <v>5</v>
      </c>
      <c r="AD59" s="34">
        <f t="shared" ca="1" si="15"/>
        <v>2</v>
      </c>
      <c r="AE59" s="10">
        <v>15</v>
      </c>
      <c r="AF59" s="9">
        <v>0</v>
      </c>
      <c r="AG59" s="9">
        <v>0</v>
      </c>
      <c r="AH59" s="9">
        <v>0</v>
      </c>
      <c r="AI59" s="9">
        <v>0</v>
      </c>
      <c r="AJ59" s="9">
        <v>1</v>
      </c>
    </row>
    <row r="60" spans="1:36" ht="21" customHeight="1" x14ac:dyDescent="0.15">
      <c r="A60" s="22" t="str">
        <f t="shared" ca="1" si="12"/>
        <v>20002_3-4/51&lt;lv22&gt;s2</v>
      </c>
      <c r="B60" s="9">
        <v>20002</v>
      </c>
      <c r="C60" s="32">
        <v>3</v>
      </c>
      <c r="D60" s="2" t="str">
        <f t="shared" ca="1" si="13"/>
        <v>20002_3</v>
      </c>
      <c r="E60" s="5" t="str">
        <f ca="1">VLOOKUP($B60,OFFSET([1]quests!$A$1,0,0,COUNTA([1]quests!$A:$A),MATCH(E$1,[1]quests!$1:$1,0)-MATCH($B$1,[1]quests!$1:$1,0)+1),MATCH(E$1,[1]quests!$1:$1,0)-MATCH($B$1,[1]quests!$1:$1,0)+1,FALSE)</f>
        <v>孤高の一角獣</v>
      </c>
      <c r="F60" s="5" t="str">
        <f ca="1">VLOOKUP($D60,OFFSET([1]stages!$A$1,0,0,COUNTA([1]stages!$A:$A),MATCH(F$1,[1]stages!$2:$2,0)-MATCH($D$1,[1]stages!$2:$2,0)+1),MATCH(F$1,[1]stages!$2:$2,0)-MATCH($D$1,[1]stages!$2:$2,0)+1,FALSE)</f>
        <v>【上級】孤高の一角獣</v>
      </c>
      <c r="G60" s="40">
        <v>4</v>
      </c>
      <c r="H60" s="21" t="str">
        <f t="shared" ca="1" si="14"/>
        <v>20002_3-4</v>
      </c>
      <c r="I60" s="31">
        <v>51</v>
      </c>
      <c r="J60" s="27" t="str">
        <f ca="1">VLOOKUP($I60,OFFSET([2]enemies!$A$1,0,0,COUNTA([2]enemies!$A:$A),MATCH(J$1,[2]enemies!$1:$1,0)-MATCH($I$1,[2]enemies!$1:$1,0)+1),MATCH(J$1,[2]enemies!$1:$1,0)-MATCH($I$1,[2]enemies!$1:$1,0)+1,FALSE)</f>
        <v>マイ</v>
      </c>
      <c r="K60" s="27" t="str">
        <f ca="1">VLOOKUP($I60,OFFSET([2]enemies!$A$1,0,0,COUNTA([2]enemies!$A:$A),MATCH(K$1,[2]enemies!$1:$1,0)-MATCH($I$1,[2]enemies!$1:$1,0)+1),MATCH(K$1,[2]enemies!$1:$1,0)-MATCH($I$1,[2]enemies!$1:$1,0)+1,FALSE)</f>
        <v>green</v>
      </c>
      <c r="L60" s="29" t="str">
        <f ca="1">VLOOKUP(I60,[3]characters!$A:$J,10,FALSE)</f>
        <v>Drop1N</v>
      </c>
      <c r="M60" s="27" t="str">
        <f ca="1">VLOOKUP($I60,OFFSET([2]enemies!$A$1,0,0,COUNTA([2]enemies!$A:$A),MATCH(M$1,[2]enemies!$1:$1,0)-MATCH($I$1,[2]enemies!$1:$1,0)+1),MATCH(M$1,[2]enemies!$1:$1,0)-MATCH($I$1,[2]enemies!$1:$1,0)+1,FALSE)</f>
        <v>human</v>
      </c>
      <c r="N60" s="27">
        <f ca="1">VLOOKUP($I60,OFFSET([2]enemies!$A$1,0,0,COUNTA([2]enemies!$A:$A),MATCH(N$1,[2]enemies!$1:$1,0)-MATCH($I$1,[2]enemies!$1:$1,0)+1),MATCH(N$1,[2]enemies!$1:$1,0)-MATCH($I$1,[2]enemies!$1:$1,0)+1,FALSE)</f>
        <v>15</v>
      </c>
      <c r="O60" s="6">
        <v>22</v>
      </c>
      <c r="P60" s="47">
        <v>1.5</v>
      </c>
      <c r="Q60" s="47">
        <v>0.9</v>
      </c>
      <c r="R60" s="6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0" s="27">
        <f ca="1">VLOOKUP($I60,OFFSET([2]enemies!$A$1,0,0,COUNTA([2]enemies!$A:$A),MATCH(T$1,[2]enemies!$1:$1,0)-MATCH($I$1,[2]enemies!$1:$1,0)+1),MATCH(T$1,[2]enemies!$1:$1,0)-MATCH($I$1,[2]enemies!$1:$1,0)+1,FALSE)</f>
        <v>51</v>
      </c>
      <c r="U60" s="7">
        <v>0</v>
      </c>
      <c r="V60" s="7">
        <v>60</v>
      </c>
      <c r="W60" s="7">
        <v>0</v>
      </c>
      <c r="X60" s="27">
        <f ca="1">VLOOKUP($I60,OFFSET([2]enemies!$A$1,0,0,COUNTA([2]enemies!$A:$A),MATCH(X$1,[2]enemies!$1:$1,0)-MATCH($I$1,[2]enemies!$1:$1,0)+1),MATCH(X$1,[2]enemies!$1:$1,0)-MATCH($I$1,[2]enemies!$1:$1,0)+1,FALSE)</f>
        <v>2</v>
      </c>
      <c r="Y60" s="45">
        <v>51</v>
      </c>
      <c r="Z60" s="5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60" s="5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2</v>
      </c>
      <c r="AB60" s="5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0" s="9">
        <v>5</v>
      </c>
      <c r="AD60" s="34">
        <f t="shared" ca="1" si="15"/>
        <v>2</v>
      </c>
      <c r="AE60" s="10">
        <v>15</v>
      </c>
      <c r="AF60" s="9">
        <v>0</v>
      </c>
      <c r="AG60" s="9">
        <v>0</v>
      </c>
      <c r="AH60" s="9">
        <v>0</v>
      </c>
      <c r="AI60" s="9">
        <v>0</v>
      </c>
      <c r="AJ60" s="9">
        <v>1</v>
      </c>
    </row>
    <row r="61" spans="1:36" ht="21" customHeight="1" x14ac:dyDescent="0.15">
      <c r="A61" s="22" t="str">
        <f t="shared" ca="1" si="12"/>
        <v>20002_3-4/59&lt;lv23&gt;s2</v>
      </c>
      <c r="B61" s="9">
        <v>20002</v>
      </c>
      <c r="C61" s="32">
        <v>3</v>
      </c>
      <c r="D61" s="2" t="str">
        <f t="shared" ca="1" si="13"/>
        <v>20002_3</v>
      </c>
      <c r="E61" s="5" t="str">
        <f ca="1">VLOOKUP($B61,OFFSET([1]quests!$A$1,0,0,COUNTA([1]quests!$A:$A),MATCH(E$1,[1]quests!$1:$1,0)-MATCH($B$1,[1]quests!$1:$1,0)+1),MATCH(E$1,[1]quests!$1:$1,0)-MATCH($B$1,[1]quests!$1:$1,0)+1,FALSE)</f>
        <v>孤高の一角獣</v>
      </c>
      <c r="F61" s="5" t="str">
        <f ca="1">VLOOKUP($D61,OFFSET([1]stages!$A$1,0,0,COUNTA([1]stages!$A:$A),MATCH(F$1,[1]stages!$2:$2,0)-MATCH($D$1,[1]stages!$2:$2,0)+1),MATCH(F$1,[1]stages!$2:$2,0)-MATCH($D$1,[1]stages!$2:$2,0)+1,FALSE)</f>
        <v>【上級】孤高の一角獣</v>
      </c>
      <c r="G61" s="40">
        <v>4</v>
      </c>
      <c r="H61" s="21" t="str">
        <f t="shared" ca="1" si="14"/>
        <v>20002_3-4</v>
      </c>
      <c r="I61" s="31">
        <v>59</v>
      </c>
      <c r="J61" s="27" t="str">
        <f ca="1">VLOOKUP($I61,OFFSET([2]enemies!$A$1,0,0,COUNTA([2]enemies!$A:$A),MATCH(J$1,[2]enemies!$1:$1,0)-MATCH($I$1,[2]enemies!$1:$1,0)+1),MATCH(J$1,[2]enemies!$1:$1,0)-MATCH($I$1,[2]enemies!$1:$1,0)+1,FALSE)</f>
        <v>マーチ</v>
      </c>
      <c r="K61" s="27" t="str">
        <f ca="1">VLOOKUP($I61,OFFSET([2]enemies!$A$1,0,0,COUNTA([2]enemies!$A:$A),MATCH(K$1,[2]enemies!$1:$1,0)-MATCH($I$1,[2]enemies!$1:$1,0)+1),MATCH(K$1,[2]enemies!$1:$1,0)-MATCH($I$1,[2]enemies!$1:$1,0)+1,FALSE)</f>
        <v>green</v>
      </c>
      <c r="L61" s="29" t="str">
        <f ca="1">VLOOKUP(I61,[3]characters!$A:$J,10,FALSE)</f>
        <v>Drop1N</v>
      </c>
      <c r="M61" s="27" t="str">
        <f ca="1">VLOOKUP($I61,OFFSET([2]enemies!$A$1,0,0,COUNTA([2]enemies!$A:$A),MATCH(M$1,[2]enemies!$1:$1,0)-MATCH($I$1,[2]enemies!$1:$1,0)+1),MATCH(M$1,[2]enemies!$1:$1,0)-MATCH($I$1,[2]enemies!$1:$1,0)+1,FALSE)</f>
        <v>animal</v>
      </c>
      <c r="N61" s="27">
        <f ca="1">VLOOKUP($I61,OFFSET([2]enemies!$A$1,0,0,COUNTA([2]enemies!$A:$A),MATCH(N$1,[2]enemies!$1:$1,0)-MATCH($I$1,[2]enemies!$1:$1,0)+1),MATCH(N$1,[2]enemies!$1:$1,0)-MATCH($I$1,[2]enemies!$1:$1,0)+1,FALSE)</f>
        <v>15</v>
      </c>
      <c r="O61" s="6">
        <v>23</v>
      </c>
      <c r="P61" s="47">
        <v>1.8</v>
      </c>
      <c r="Q61" s="50">
        <v>0.8</v>
      </c>
      <c r="R61" s="6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1" s="27">
        <f ca="1">VLOOKUP($I61,OFFSET([2]enemies!$A$1,0,0,COUNTA([2]enemies!$A:$A),MATCH(T$1,[2]enemies!$1:$1,0)-MATCH($I$1,[2]enemies!$1:$1,0)+1),MATCH(T$1,[2]enemies!$1:$1,0)-MATCH($I$1,[2]enemies!$1:$1,0)+1,FALSE)</f>
        <v>59</v>
      </c>
      <c r="U61" s="7">
        <v>1</v>
      </c>
      <c r="V61" s="7">
        <v>0</v>
      </c>
      <c r="W61" s="7">
        <v>0</v>
      </c>
      <c r="X61" s="27">
        <f ca="1">VLOOKUP($I61,OFFSET([2]enemies!$A$1,0,0,COUNTA([2]enemies!$A:$A),MATCH(X$1,[2]enemies!$1:$1,0)-MATCH($I$1,[2]enemies!$1:$1,0)+1),MATCH(X$1,[2]enemies!$1:$1,0)-MATCH($I$1,[2]enemies!$1:$1,0)+1,FALSE)</f>
        <v>2</v>
      </c>
      <c r="Y61" s="45">
        <v>59</v>
      </c>
      <c r="Z61" s="5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61" s="5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2</v>
      </c>
      <c r="AB61" s="5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1" s="9">
        <v>5</v>
      </c>
      <c r="AD61" s="34">
        <f t="shared" ca="1" si="15"/>
        <v>2</v>
      </c>
      <c r="AE61" s="10">
        <v>15</v>
      </c>
      <c r="AF61" s="9">
        <v>0</v>
      </c>
      <c r="AG61" s="9">
        <v>0</v>
      </c>
      <c r="AH61" s="9">
        <v>0</v>
      </c>
      <c r="AI61" s="9">
        <v>0</v>
      </c>
      <c r="AJ61" s="9">
        <v>1</v>
      </c>
    </row>
    <row r="62" spans="1:36" ht="21" customHeight="1" x14ac:dyDescent="0.15">
      <c r="A62" s="22" t="str">
        <f t="shared" si="12"/>
        <v>20002_3-5/265&lt;lv26&gt;s1</v>
      </c>
      <c r="B62" s="9">
        <v>20002</v>
      </c>
      <c r="C62" s="32">
        <v>3</v>
      </c>
      <c r="D62" s="2" t="str">
        <f t="shared" ca="1" si="13"/>
        <v>20002_3</v>
      </c>
      <c r="E62" s="5" t="str">
        <f ca="1">VLOOKUP($B62,OFFSET([1]quests!$A$1,0,0,COUNTA([1]quests!$A:$A),MATCH(E$1,[1]quests!$1:$1,0)-MATCH($B$1,[1]quests!$1:$1,0)+1),MATCH(E$1,[1]quests!$1:$1,0)-MATCH($B$1,[1]quests!$1:$1,0)+1,FALSE)</f>
        <v>孤高の一角獣</v>
      </c>
      <c r="F62" s="5" t="str">
        <f ca="1">VLOOKUP($D62,OFFSET([1]stages!$A$1,0,0,COUNTA([1]stages!$A:$A),MATCH(F$1,[1]stages!$2:$2,0)-MATCH($D$1,[1]stages!$2:$2,0)+1),MATCH(F$1,[1]stages!$2:$2,0)-MATCH($D$1,[1]stages!$2:$2,0)+1,FALSE)</f>
        <v>【上級】孤高の一角獣</v>
      </c>
      <c r="G62" s="41">
        <v>5</v>
      </c>
      <c r="H62" s="21" t="str">
        <f t="shared" ca="1" si="14"/>
        <v>20002_3-5</v>
      </c>
      <c r="I62" s="31">
        <v>265</v>
      </c>
      <c r="J62" s="27" t="str">
        <f ca="1">VLOOKUP($I62,OFFSET([2]enemies!$A$1,0,0,COUNTA([2]enemies!$A:$A),MATCH(J$1,[2]enemies!$1:$1,0)-MATCH($I$1,[2]enemies!$1:$1,0)+1),MATCH(J$1,[2]enemies!$1:$1,0)-MATCH($I$1,[2]enemies!$1:$1,0)+1,FALSE)</f>
        <v>翠角馬 ユニコーン</v>
      </c>
      <c r="K62" s="27" t="str">
        <f ca="1">VLOOKUP($I62,OFFSET([2]enemies!$A$1,0,0,COUNTA([2]enemies!$A:$A),MATCH(K$1,[2]enemies!$1:$1,0)-MATCH($I$1,[2]enemies!$1:$1,0)+1),MATCH(K$1,[2]enemies!$1:$1,0)-MATCH($I$1,[2]enemies!$1:$1,0)+1,FALSE)</f>
        <v>green</v>
      </c>
      <c r="L62" s="29" t="str">
        <f ca="1">VLOOKUP(I62,[3]characters!$A:$J,10,FALSE)</f>
        <v>Drop2W</v>
      </c>
      <c r="M62" s="27" t="str">
        <f ca="1">VLOOKUP($I62,OFFSET([2]enemies!$A$1,0,0,COUNTA([2]enemies!$A:$A),MATCH(M$1,[2]enemies!$1:$1,0)-MATCH($I$1,[2]enemies!$1:$1,0)+1),MATCH(M$1,[2]enemies!$1:$1,0)-MATCH($I$1,[2]enemies!$1:$1,0)+1,FALSE)</f>
        <v>animal</v>
      </c>
      <c r="N62" s="27">
        <f ca="1">VLOOKUP($I62,OFFSET([2]enemies!$A$1,0,0,COUNTA([2]enemies!$A:$A),MATCH(N$1,[2]enemies!$1:$1,0)-MATCH($I$1,[2]enemies!$1:$1,0)+1),MATCH(N$1,[2]enemies!$1:$1,0)-MATCH($I$1,[2]enemies!$1:$1,0)+1,FALSE)</f>
        <v>30</v>
      </c>
      <c r="O62" s="6">
        <v>26</v>
      </c>
      <c r="P62" s="47">
        <v>1.1000000000000001</v>
      </c>
      <c r="Q62" s="47">
        <v>1</v>
      </c>
      <c r="R62" s="6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この戦闘の間攻撃頻度が1ターンにUP</v>
      </c>
      <c r="T62" s="51">
        <v>264</v>
      </c>
      <c r="U62" s="7">
        <v>1</v>
      </c>
      <c r="V62" s="7">
        <v>100</v>
      </c>
      <c r="W62" s="7">
        <v>1</v>
      </c>
      <c r="X62" s="51">
        <v>1</v>
      </c>
      <c r="Y62" s="8">
        <v>264</v>
      </c>
      <c r="Z62" s="5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ユニコーン</v>
      </c>
      <c r="AA62" s="5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3</v>
      </c>
      <c r="AB62" s="5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62" s="9">
        <v>1</v>
      </c>
      <c r="AD62" s="34">
        <f t="shared" ca="1" si="15"/>
        <v>3</v>
      </c>
      <c r="AE62" s="52">
        <v>100</v>
      </c>
      <c r="AF62" s="9">
        <v>0</v>
      </c>
      <c r="AG62" s="9">
        <v>0</v>
      </c>
      <c r="AH62" s="9">
        <v>0</v>
      </c>
      <c r="AI62" s="9">
        <v>0</v>
      </c>
      <c r="AJ62" s="9">
        <v>1</v>
      </c>
    </row>
  </sheetData>
  <sheetProtection selectLockedCells="1" selectUnlockedCells="1"/>
  <autoFilter ref="B1:AE7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7" sqref="A7"/>
    </sheetView>
  </sheetViews>
  <sheetFormatPr baseColWidth="12" defaultRowHeight="15" x14ac:dyDescent="0.15"/>
  <cols>
    <col min="1" max="1" width="10.1640625" style="24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7" customFormat="1" x14ac:dyDescent="0.15">
      <c r="A1" s="17">
        <f>MATCH(A2,INDIRECT(C1&amp;"!A:A"),0)-2</f>
        <v>-1</v>
      </c>
      <c r="B1" s="18" t="str">
        <f>"$"&amp;2+$A$1&amp;":$"&amp;2+$A$1</f>
        <v>$1:$1</v>
      </c>
      <c r="C1" s="17" t="str">
        <f>SUBSTITUTE(RIGHT(CELL("filename",$C$1),LEN(CELL("filename",$C$1))-FIND("]",CELL("filename",$C$1))),".tmp","")</f>
        <v>floors_drop_1_2</v>
      </c>
    </row>
    <row r="2" spans="1:6" s="19" customFormat="1" x14ac:dyDescent="0.15">
      <c r="A2" s="24" t="s">
        <v>32</v>
      </c>
      <c r="B2" s="19" t="s">
        <v>0</v>
      </c>
      <c r="C2" s="19" t="s">
        <v>1</v>
      </c>
      <c r="D2" s="19" t="s">
        <v>13</v>
      </c>
      <c r="E2" s="19" t="s">
        <v>14</v>
      </c>
      <c r="F2" s="19" t="s">
        <v>15</v>
      </c>
    </row>
    <row r="3" spans="1:6" x14ac:dyDescent="0.15">
      <c r="A3" s="25" t="str">
        <f t="shared" ref="A3:A17" si="0">INDIRECT(ADDRESS(ROW()+$A$1,COLUMN(),1,TRUE,$C$1))</f>
        <v>20002_1-1</v>
      </c>
      <c r="B3" s="20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20002</v>
      </c>
      <c r="C3" s="20">
        <f t="shared" ref="C3:F17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20">
        <f t="shared" si="1"/>
        <v>1</v>
      </c>
      <c r="E3" s="20">
        <f t="shared" si="1"/>
        <v>30</v>
      </c>
      <c r="F3" s="20">
        <f t="shared" si="1"/>
        <v>30</v>
      </c>
    </row>
    <row r="4" spans="1:6" x14ac:dyDescent="0.15">
      <c r="A4" s="25" t="str">
        <f t="shared" si="0"/>
        <v>20002_1-2</v>
      </c>
      <c r="B4" s="20">
        <f t="shared" ref="B4:B1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20002</v>
      </c>
      <c r="C4" s="20">
        <f t="shared" si="1"/>
        <v>1</v>
      </c>
      <c r="D4" s="20">
        <f t="shared" si="1"/>
        <v>2</v>
      </c>
      <c r="E4" s="20">
        <f t="shared" si="1"/>
        <v>45</v>
      </c>
      <c r="F4" s="20">
        <f t="shared" si="1"/>
        <v>45</v>
      </c>
    </row>
    <row r="5" spans="1:6" x14ac:dyDescent="0.15">
      <c r="A5" s="25" t="str">
        <f t="shared" si="0"/>
        <v>20002_1-3</v>
      </c>
      <c r="B5" s="20">
        <f t="shared" si="2"/>
        <v>20002</v>
      </c>
      <c r="C5" s="20">
        <f t="shared" si="1"/>
        <v>1</v>
      </c>
      <c r="D5" s="20">
        <f t="shared" si="1"/>
        <v>3</v>
      </c>
      <c r="E5" s="20">
        <f t="shared" si="1"/>
        <v>45</v>
      </c>
      <c r="F5" s="20">
        <f t="shared" si="1"/>
        <v>45</v>
      </c>
    </row>
    <row r="6" spans="1:6" x14ac:dyDescent="0.15">
      <c r="A6" s="25" t="str">
        <f t="shared" si="0"/>
        <v>20002_1-4</v>
      </c>
      <c r="B6" s="20">
        <f t="shared" si="2"/>
        <v>20002</v>
      </c>
      <c r="C6" s="20">
        <f t="shared" si="1"/>
        <v>1</v>
      </c>
      <c r="D6" s="20">
        <f t="shared" si="1"/>
        <v>4</v>
      </c>
      <c r="E6" s="20">
        <f t="shared" si="1"/>
        <v>30</v>
      </c>
      <c r="F6" s="20">
        <f t="shared" si="1"/>
        <v>45</v>
      </c>
    </row>
    <row r="7" spans="1:6" x14ac:dyDescent="0.15">
      <c r="A7" s="25" t="str">
        <f t="shared" si="0"/>
        <v>20002_1-5</v>
      </c>
      <c r="B7" s="20">
        <f t="shared" si="2"/>
        <v>20002</v>
      </c>
      <c r="C7" s="20">
        <f t="shared" si="1"/>
        <v>1</v>
      </c>
      <c r="D7" s="20">
        <f t="shared" si="1"/>
        <v>5</v>
      </c>
      <c r="E7" s="20">
        <f t="shared" si="1"/>
        <v>25</v>
      </c>
      <c r="F7" s="20">
        <f t="shared" si="1"/>
        <v>25</v>
      </c>
    </row>
    <row r="8" spans="1:6" x14ac:dyDescent="0.15">
      <c r="A8" s="25" t="str">
        <f t="shared" si="0"/>
        <v>20002_2-1</v>
      </c>
      <c r="B8" s="20">
        <f t="shared" si="2"/>
        <v>20002</v>
      </c>
      <c r="C8" s="20">
        <f t="shared" si="1"/>
        <v>2</v>
      </c>
      <c r="D8" s="20">
        <f t="shared" si="1"/>
        <v>1</v>
      </c>
      <c r="E8" s="20">
        <f t="shared" si="1"/>
        <v>30</v>
      </c>
      <c r="F8" s="20">
        <f t="shared" si="1"/>
        <v>30</v>
      </c>
    </row>
    <row r="9" spans="1:6" x14ac:dyDescent="0.15">
      <c r="A9" s="25" t="str">
        <f t="shared" si="0"/>
        <v>20002_2-2</v>
      </c>
      <c r="B9" s="20">
        <f t="shared" si="2"/>
        <v>20002</v>
      </c>
      <c r="C9" s="20">
        <f t="shared" si="1"/>
        <v>2</v>
      </c>
      <c r="D9" s="20">
        <f t="shared" si="1"/>
        <v>2</v>
      </c>
      <c r="E9" s="20">
        <f t="shared" si="1"/>
        <v>45</v>
      </c>
      <c r="F9" s="20">
        <f t="shared" si="1"/>
        <v>45</v>
      </c>
    </row>
    <row r="10" spans="1:6" x14ac:dyDescent="0.15">
      <c r="A10" s="25" t="str">
        <f t="shared" si="0"/>
        <v>20002_2-3</v>
      </c>
      <c r="B10" s="20">
        <f t="shared" si="2"/>
        <v>20002</v>
      </c>
      <c r="C10" s="20">
        <f t="shared" si="1"/>
        <v>2</v>
      </c>
      <c r="D10" s="20">
        <f t="shared" si="1"/>
        <v>3</v>
      </c>
      <c r="E10" s="20">
        <f t="shared" si="1"/>
        <v>45</v>
      </c>
      <c r="F10" s="20">
        <f t="shared" si="1"/>
        <v>45</v>
      </c>
    </row>
    <row r="11" spans="1:6" x14ac:dyDescent="0.15">
      <c r="A11" s="25" t="str">
        <f t="shared" si="0"/>
        <v>20002_2-4</v>
      </c>
      <c r="B11" s="20">
        <f t="shared" si="2"/>
        <v>20002</v>
      </c>
      <c r="C11" s="20">
        <f t="shared" si="1"/>
        <v>2</v>
      </c>
      <c r="D11" s="20">
        <f t="shared" si="1"/>
        <v>4</v>
      </c>
      <c r="E11" s="20">
        <f t="shared" si="1"/>
        <v>45</v>
      </c>
      <c r="F11" s="20">
        <f t="shared" si="1"/>
        <v>45</v>
      </c>
    </row>
    <row r="12" spans="1:6" x14ac:dyDescent="0.15">
      <c r="A12" s="25" t="str">
        <f t="shared" si="0"/>
        <v>20002_2-5</v>
      </c>
      <c r="B12" s="20">
        <f t="shared" si="2"/>
        <v>20002</v>
      </c>
      <c r="C12" s="20">
        <f t="shared" si="1"/>
        <v>2</v>
      </c>
      <c r="D12" s="20">
        <f t="shared" si="1"/>
        <v>5</v>
      </c>
      <c r="E12" s="20">
        <f t="shared" si="1"/>
        <v>25</v>
      </c>
      <c r="F12" s="20">
        <f t="shared" si="1"/>
        <v>45</v>
      </c>
    </row>
    <row r="13" spans="1:6" x14ac:dyDescent="0.15">
      <c r="A13" s="25" t="str">
        <f t="shared" si="0"/>
        <v>20002_3-1</v>
      </c>
      <c r="B13" s="20">
        <f t="shared" si="2"/>
        <v>20002</v>
      </c>
      <c r="C13" s="20">
        <f t="shared" si="1"/>
        <v>3</v>
      </c>
      <c r="D13" s="20">
        <f t="shared" si="1"/>
        <v>1</v>
      </c>
      <c r="E13" s="20">
        <f t="shared" si="1"/>
        <v>30</v>
      </c>
      <c r="F13" s="20">
        <f t="shared" si="1"/>
        <v>30</v>
      </c>
    </row>
    <row r="14" spans="1:6" x14ac:dyDescent="0.15">
      <c r="A14" s="25" t="str">
        <f t="shared" si="0"/>
        <v>20002_3-2</v>
      </c>
      <c r="B14" s="20">
        <f t="shared" si="2"/>
        <v>20002</v>
      </c>
      <c r="C14" s="20">
        <f t="shared" si="1"/>
        <v>3</v>
      </c>
      <c r="D14" s="20">
        <f t="shared" si="1"/>
        <v>2</v>
      </c>
      <c r="E14" s="20">
        <f t="shared" si="1"/>
        <v>45</v>
      </c>
      <c r="F14" s="20">
        <f t="shared" si="1"/>
        <v>45</v>
      </c>
    </row>
    <row r="15" spans="1:6" x14ac:dyDescent="0.15">
      <c r="A15" s="25" t="str">
        <f t="shared" si="0"/>
        <v>20002_3-3</v>
      </c>
      <c r="B15" s="20">
        <f t="shared" si="2"/>
        <v>20002</v>
      </c>
      <c r="C15" s="20">
        <f t="shared" si="1"/>
        <v>3</v>
      </c>
      <c r="D15" s="20">
        <f t="shared" si="1"/>
        <v>3</v>
      </c>
      <c r="E15" s="20">
        <f t="shared" si="1"/>
        <v>45</v>
      </c>
      <c r="F15" s="20">
        <f t="shared" si="1"/>
        <v>45</v>
      </c>
    </row>
    <row r="16" spans="1:6" x14ac:dyDescent="0.15">
      <c r="A16" s="25" t="str">
        <f t="shared" si="0"/>
        <v>20002_3-4</v>
      </c>
      <c r="B16" s="20">
        <f t="shared" si="2"/>
        <v>20002</v>
      </c>
      <c r="C16" s="20">
        <f t="shared" si="1"/>
        <v>3</v>
      </c>
      <c r="D16" s="20">
        <f t="shared" si="1"/>
        <v>4</v>
      </c>
      <c r="E16" s="20">
        <f t="shared" si="1"/>
        <v>45</v>
      </c>
      <c r="F16" s="20">
        <f t="shared" si="1"/>
        <v>45</v>
      </c>
    </row>
    <row r="17" spans="1:6" x14ac:dyDescent="0.15">
      <c r="A17" s="25" t="str">
        <f t="shared" si="0"/>
        <v>20002_3-5</v>
      </c>
      <c r="B17" s="20">
        <f t="shared" si="2"/>
        <v>20002</v>
      </c>
      <c r="C17" s="20">
        <f t="shared" si="1"/>
        <v>3</v>
      </c>
      <c r="D17" s="20">
        <f t="shared" si="1"/>
        <v>5</v>
      </c>
      <c r="E17" s="20">
        <f t="shared" si="1"/>
        <v>25</v>
      </c>
      <c r="F17" s="20">
        <f t="shared" si="1"/>
        <v>25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67"/>
  <sheetViews>
    <sheetView tabSelected="1" zoomScale="75" zoomScaleNormal="75" zoomScalePageLayoutView="75" workbookViewId="0">
      <pane xSplit="1" ySplit="2" topLeftCell="E31" activePane="bottomRight" state="frozen"/>
      <selection pane="topRight" activeCell="B1" sqref="B1"/>
      <selection pane="bottomLeft" activeCell="A3" sqref="A3"/>
      <selection pane="bottomRight" activeCell="P66" sqref="P66"/>
    </sheetView>
  </sheetViews>
  <sheetFormatPr baseColWidth="12" defaultRowHeight="15" x14ac:dyDescent="0.15"/>
  <cols>
    <col min="1" max="1" width="13" style="24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7" customFormat="1" x14ac:dyDescent="0.15">
      <c r="A1" s="17">
        <f>MATCH(A2,INDIRECT(C1&amp;"!A:A"),0)-2</f>
        <v>-1</v>
      </c>
      <c r="B1" s="18" t="str">
        <f>"$"&amp;2+$A$1&amp;":$"&amp;2+$A$1</f>
        <v>$1:$1</v>
      </c>
      <c r="C1" s="17" t="str">
        <f>SUBSTITUTE(RIGHT(CELL("filename",$C$1),LEN(CELL("filename",$C$1))-FIND("]",CELL("filename",$C$1))),".tmp","")</f>
        <v>enemy_habitats_drop_1_2</v>
      </c>
      <c r="G1" s="48"/>
      <c r="H1" s="48"/>
      <c r="I1" s="48"/>
    </row>
    <row r="2" spans="1:23" s="19" customFormat="1" x14ac:dyDescent="0.15">
      <c r="A2" s="24" t="s">
        <v>30</v>
      </c>
      <c r="B2" s="19" t="s">
        <v>0</v>
      </c>
      <c r="C2" s="19" t="s">
        <v>1</v>
      </c>
      <c r="D2" s="19" t="s">
        <v>13</v>
      </c>
      <c r="E2" s="19" t="s">
        <v>2</v>
      </c>
      <c r="F2" s="19" t="s">
        <v>3</v>
      </c>
      <c r="G2" s="19" t="s">
        <v>52</v>
      </c>
      <c r="H2" s="19" t="s">
        <v>53</v>
      </c>
      <c r="I2" s="19" t="s">
        <v>54</v>
      </c>
      <c r="J2" s="19" t="s">
        <v>22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  <c r="P2" s="19" t="s">
        <v>10</v>
      </c>
      <c r="Q2" s="19" t="s">
        <v>11</v>
      </c>
      <c r="R2" s="19" t="s">
        <v>12</v>
      </c>
      <c r="S2" s="19" t="s">
        <v>39</v>
      </c>
      <c r="T2" s="19" t="s">
        <v>41</v>
      </c>
      <c r="U2" s="19" t="s">
        <v>43</v>
      </c>
      <c r="V2" s="19" t="s">
        <v>45</v>
      </c>
      <c r="W2" s="19" t="s">
        <v>47</v>
      </c>
    </row>
    <row r="3" spans="1:23" x14ac:dyDescent="0.15">
      <c r="A3" s="25" t="str">
        <f>INDIRECT(ADDRESS(ROW()+$A$1,COLUMN(),1,TRUE,$C$1))</f>
        <v>20002_1-1/3&lt;lv7&gt;s2</v>
      </c>
      <c r="B3" s="20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20002</v>
      </c>
      <c r="C3" s="20">
        <f t="shared" si="0"/>
        <v>1</v>
      </c>
      <c r="D3" s="20">
        <f t="shared" si="0"/>
        <v>1</v>
      </c>
      <c r="E3" s="20">
        <f t="shared" si="0"/>
        <v>3</v>
      </c>
      <c r="F3" s="20">
        <f t="shared" si="0"/>
        <v>7</v>
      </c>
      <c r="G3" s="20">
        <v>3.5</v>
      </c>
      <c r="H3" s="20">
        <f t="shared" ref="H3:I18" si="1">VLOOKUP($A3,OFFSET(INDIRECT($C$1&amp;"!$A1"),0,0,COUNTA(INDIRECT($C$1&amp;"!$A:$A"))+1,MATCH(H$2,INDIRECT($C$1&amp;"!"&amp;$B$1),0)-MATCH($A$2,INDIRECT($C$1&amp;"!"&amp;$B$1),0)+1),MATCH(H$2,INDIRECT($C$1&amp;"!"&amp;$B$1),0)-MATCH($A$2,INDIRECT($C$1&amp;"!"&amp;$B$1),0)+1,FALSE)</f>
        <v>0.9</v>
      </c>
      <c r="I3" s="20">
        <f t="shared" si="1"/>
        <v>0</v>
      </c>
      <c r="J3" s="20">
        <f t="shared" si="0"/>
        <v>0</v>
      </c>
      <c r="K3" s="20">
        <f t="shared" si="0"/>
        <v>0</v>
      </c>
      <c r="L3" s="20">
        <f t="shared" si="0"/>
        <v>100</v>
      </c>
      <c r="M3" s="20">
        <f t="shared" si="0"/>
        <v>0</v>
      </c>
      <c r="N3" s="20">
        <f t="shared" si="0"/>
        <v>2</v>
      </c>
      <c r="O3" s="20">
        <f t="shared" si="0"/>
        <v>3</v>
      </c>
      <c r="P3" s="20">
        <f t="shared" si="0"/>
        <v>2</v>
      </c>
      <c r="Q3" s="20">
        <f t="shared" si="0"/>
        <v>1</v>
      </c>
      <c r="R3" s="20">
        <f ca="1">VLOOKUP($A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25</v>
      </c>
      <c r="S3" s="20">
        <f t="shared" si="0"/>
        <v>0</v>
      </c>
      <c r="T3" s="20">
        <f t="shared" si="0"/>
        <v>0</v>
      </c>
      <c r="U3" s="20">
        <f t="shared" si="0"/>
        <v>0</v>
      </c>
      <c r="V3" s="20">
        <f t="shared" si="0"/>
        <v>0</v>
      </c>
      <c r="W3" s="20">
        <f t="shared" si="0"/>
        <v>1</v>
      </c>
    </row>
    <row r="4" spans="1:23" x14ac:dyDescent="0.15">
      <c r="A4" s="25" t="str">
        <f t="shared" ref="A4:A63" si="2">INDIRECT(ADDRESS(ROW()+$A$1,COLUMN(),1,TRUE,$C$1))</f>
        <v>20002_1-1/11&lt;lv8&gt;s3</v>
      </c>
      <c r="B4" s="20">
        <f t="shared" si="0"/>
        <v>20002</v>
      </c>
      <c r="C4" s="20">
        <f t="shared" si="0"/>
        <v>1</v>
      </c>
      <c r="D4" s="20">
        <f t="shared" si="0"/>
        <v>1</v>
      </c>
      <c r="E4" s="20">
        <f t="shared" si="0"/>
        <v>11</v>
      </c>
      <c r="F4" s="20">
        <f t="shared" si="0"/>
        <v>8</v>
      </c>
      <c r="G4" s="20">
        <v>3.5</v>
      </c>
      <c r="H4" s="20">
        <f t="shared" si="1"/>
        <v>0.9</v>
      </c>
      <c r="I4" s="20">
        <f t="shared" si="1"/>
        <v>0</v>
      </c>
      <c r="J4" s="20">
        <f t="shared" si="0"/>
        <v>0</v>
      </c>
      <c r="K4" s="20">
        <f t="shared" si="0"/>
        <v>0</v>
      </c>
      <c r="L4" s="20">
        <f t="shared" si="0"/>
        <v>100</v>
      </c>
      <c r="M4" s="20">
        <f t="shared" si="0"/>
        <v>0</v>
      </c>
      <c r="N4" s="20">
        <f t="shared" si="0"/>
        <v>3</v>
      </c>
      <c r="O4" s="20">
        <f t="shared" si="0"/>
        <v>11</v>
      </c>
      <c r="P4" s="20">
        <f t="shared" si="0"/>
        <v>1</v>
      </c>
      <c r="Q4" s="20">
        <f t="shared" si="0"/>
        <v>1</v>
      </c>
      <c r="R4" s="20">
        <f ca="1">VLOOKUP($A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25</v>
      </c>
      <c r="S4" s="20">
        <f t="shared" si="0"/>
        <v>0</v>
      </c>
      <c r="T4" s="20">
        <f t="shared" si="0"/>
        <v>0</v>
      </c>
      <c r="U4" s="20">
        <f t="shared" si="0"/>
        <v>0</v>
      </c>
      <c r="V4" s="20">
        <f t="shared" si="0"/>
        <v>0</v>
      </c>
      <c r="W4" s="20">
        <f t="shared" si="0"/>
        <v>1</v>
      </c>
    </row>
    <row r="5" spans="1:23" x14ac:dyDescent="0.15">
      <c r="A5" s="25" t="str">
        <f t="shared" si="2"/>
        <v>20002_1-1/23&lt;lv7&gt;s4</v>
      </c>
      <c r="B5" s="20">
        <f t="shared" si="0"/>
        <v>20002</v>
      </c>
      <c r="C5" s="20">
        <f t="shared" si="0"/>
        <v>1</v>
      </c>
      <c r="D5" s="20">
        <f t="shared" si="0"/>
        <v>1</v>
      </c>
      <c r="E5" s="20">
        <f t="shared" si="0"/>
        <v>23</v>
      </c>
      <c r="F5" s="20">
        <f t="shared" si="0"/>
        <v>7</v>
      </c>
      <c r="G5" s="20">
        <v>3.5</v>
      </c>
      <c r="H5" s="20">
        <f t="shared" si="1"/>
        <v>0.9</v>
      </c>
      <c r="I5" s="20">
        <f t="shared" si="1"/>
        <v>0</v>
      </c>
      <c r="J5" s="20">
        <f t="shared" si="0"/>
        <v>0</v>
      </c>
      <c r="K5" s="20">
        <f t="shared" si="0"/>
        <v>0</v>
      </c>
      <c r="L5" s="20">
        <f t="shared" si="0"/>
        <v>60</v>
      </c>
      <c r="M5" s="20">
        <f t="shared" si="0"/>
        <v>0</v>
      </c>
      <c r="N5" s="20">
        <f t="shared" si="0"/>
        <v>4</v>
      </c>
      <c r="O5" s="20">
        <f t="shared" si="0"/>
        <v>23</v>
      </c>
      <c r="P5" s="20">
        <f t="shared" si="0"/>
        <v>1</v>
      </c>
      <c r="Q5" s="20">
        <f t="shared" si="0"/>
        <v>1</v>
      </c>
      <c r="R5" s="20">
        <f ca="1">VLOOKUP($A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25</v>
      </c>
      <c r="S5" s="20">
        <f t="shared" si="0"/>
        <v>0</v>
      </c>
      <c r="T5" s="20">
        <f t="shared" si="0"/>
        <v>0</v>
      </c>
      <c r="U5" s="20">
        <f t="shared" si="0"/>
        <v>0</v>
      </c>
      <c r="V5" s="20">
        <f t="shared" si="0"/>
        <v>0</v>
      </c>
      <c r="W5" s="20">
        <f t="shared" si="0"/>
        <v>1</v>
      </c>
    </row>
    <row r="6" spans="1:23" x14ac:dyDescent="0.15">
      <c r="A6" s="25" t="str">
        <f t="shared" si="2"/>
        <v>20002_1-1/27&lt;lv7&gt;s1</v>
      </c>
      <c r="B6" s="20">
        <f t="shared" si="0"/>
        <v>20002</v>
      </c>
      <c r="C6" s="20">
        <f t="shared" si="0"/>
        <v>1</v>
      </c>
      <c r="D6" s="20">
        <f t="shared" si="0"/>
        <v>1</v>
      </c>
      <c r="E6" s="20">
        <f t="shared" si="0"/>
        <v>27</v>
      </c>
      <c r="F6" s="20">
        <f t="shared" si="0"/>
        <v>7</v>
      </c>
      <c r="G6" s="20">
        <v>3.5</v>
      </c>
      <c r="H6" s="20">
        <f t="shared" si="1"/>
        <v>0.9</v>
      </c>
      <c r="I6" s="20">
        <f t="shared" si="1"/>
        <v>0</v>
      </c>
      <c r="J6" s="20">
        <f t="shared" si="0"/>
        <v>0</v>
      </c>
      <c r="K6" s="20">
        <f t="shared" si="0"/>
        <v>0</v>
      </c>
      <c r="L6" s="20">
        <f t="shared" si="0"/>
        <v>100</v>
      </c>
      <c r="M6" s="20">
        <f t="shared" si="0"/>
        <v>0</v>
      </c>
      <c r="N6" s="20">
        <f t="shared" si="0"/>
        <v>1</v>
      </c>
      <c r="O6" s="20">
        <f t="shared" si="0"/>
        <v>27</v>
      </c>
      <c r="P6" s="20">
        <f t="shared" si="0"/>
        <v>1</v>
      </c>
      <c r="Q6" s="20">
        <f t="shared" si="0"/>
        <v>1</v>
      </c>
      <c r="R6" s="20">
        <f t="shared" si="0"/>
        <v>25</v>
      </c>
      <c r="S6" s="20">
        <f t="shared" si="0"/>
        <v>0</v>
      </c>
      <c r="T6" s="20">
        <f t="shared" si="0"/>
        <v>0</v>
      </c>
      <c r="U6" s="20">
        <f t="shared" si="0"/>
        <v>0</v>
      </c>
      <c r="V6" s="20">
        <f t="shared" si="0"/>
        <v>0</v>
      </c>
      <c r="W6" s="20">
        <f t="shared" si="0"/>
        <v>1</v>
      </c>
    </row>
    <row r="7" spans="1:23" x14ac:dyDescent="0.15">
      <c r="A7" s="25" t="str">
        <f t="shared" si="2"/>
        <v>20002_1-1/43&lt;lv7&gt;s2</v>
      </c>
      <c r="B7" s="20">
        <f t="shared" si="0"/>
        <v>20002</v>
      </c>
      <c r="C7" s="20">
        <f t="shared" si="0"/>
        <v>1</v>
      </c>
      <c r="D7" s="20">
        <f t="shared" si="0"/>
        <v>1</v>
      </c>
      <c r="E7" s="20">
        <f t="shared" si="0"/>
        <v>43</v>
      </c>
      <c r="F7" s="20">
        <f t="shared" si="0"/>
        <v>7</v>
      </c>
      <c r="G7" s="20">
        <v>3.5</v>
      </c>
      <c r="H7" s="20">
        <f t="shared" si="1"/>
        <v>0.9</v>
      </c>
      <c r="I7" s="20">
        <f t="shared" si="1"/>
        <v>0</v>
      </c>
      <c r="J7" s="20">
        <f t="shared" si="0"/>
        <v>0</v>
      </c>
      <c r="K7" s="20">
        <f t="shared" si="0"/>
        <v>0</v>
      </c>
      <c r="L7" s="20">
        <f t="shared" si="0"/>
        <v>100</v>
      </c>
      <c r="M7" s="20">
        <f t="shared" si="0"/>
        <v>0</v>
      </c>
      <c r="N7" s="20">
        <f t="shared" si="0"/>
        <v>2</v>
      </c>
      <c r="O7" s="20">
        <f t="shared" si="0"/>
        <v>43</v>
      </c>
      <c r="P7" s="20">
        <f t="shared" si="0"/>
        <v>1</v>
      </c>
      <c r="Q7" s="20">
        <f t="shared" si="0"/>
        <v>2</v>
      </c>
      <c r="R7" s="20">
        <f t="shared" si="0"/>
        <v>25</v>
      </c>
      <c r="S7" s="20">
        <f t="shared" si="0"/>
        <v>0</v>
      </c>
      <c r="T7" s="20">
        <f t="shared" si="0"/>
        <v>0</v>
      </c>
      <c r="U7" s="20">
        <f t="shared" si="0"/>
        <v>0</v>
      </c>
      <c r="V7" s="20">
        <f t="shared" si="0"/>
        <v>0</v>
      </c>
      <c r="W7" s="20">
        <f t="shared" si="0"/>
        <v>1</v>
      </c>
    </row>
    <row r="8" spans="1:23" x14ac:dyDescent="0.15">
      <c r="A8" s="25" t="str">
        <f t="shared" si="2"/>
        <v>20002_1-2/3&lt;lv7&gt;s2</v>
      </c>
      <c r="B8" s="20">
        <f t="shared" si="0"/>
        <v>20002</v>
      </c>
      <c r="C8" s="20">
        <f t="shared" si="0"/>
        <v>1</v>
      </c>
      <c r="D8" s="20">
        <f t="shared" si="0"/>
        <v>2</v>
      </c>
      <c r="E8" s="20">
        <f t="shared" si="0"/>
        <v>3</v>
      </c>
      <c r="F8" s="20">
        <f t="shared" si="0"/>
        <v>7</v>
      </c>
      <c r="G8" s="20">
        <v>3.5</v>
      </c>
      <c r="H8" s="20">
        <f t="shared" si="1"/>
        <v>0.9</v>
      </c>
      <c r="I8" s="20">
        <f t="shared" si="1"/>
        <v>0</v>
      </c>
      <c r="J8" s="20">
        <f t="shared" si="0"/>
        <v>0</v>
      </c>
      <c r="K8" s="20">
        <f t="shared" si="0"/>
        <v>0</v>
      </c>
      <c r="L8" s="20">
        <f t="shared" si="0"/>
        <v>100</v>
      </c>
      <c r="M8" s="20">
        <f t="shared" si="0"/>
        <v>0</v>
      </c>
      <c r="N8" s="20">
        <f t="shared" si="0"/>
        <v>2</v>
      </c>
      <c r="O8" s="20">
        <f t="shared" si="0"/>
        <v>3</v>
      </c>
      <c r="P8" s="20">
        <f t="shared" si="0"/>
        <v>2</v>
      </c>
      <c r="Q8" s="20">
        <f t="shared" si="0"/>
        <v>1</v>
      </c>
      <c r="R8" s="20">
        <f t="shared" si="0"/>
        <v>25</v>
      </c>
      <c r="S8" s="20">
        <f t="shared" si="0"/>
        <v>0</v>
      </c>
      <c r="T8" s="20">
        <f t="shared" si="0"/>
        <v>0</v>
      </c>
      <c r="U8" s="20">
        <f t="shared" si="0"/>
        <v>0</v>
      </c>
      <c r="V8" s="20">
        <f t="shared" si="0"/>
        <v>0</v>
      </c>
      <c r="W8" s="20">
        <f t="shared" si="0"/>
        <v>1</v>
      </c>
    </row>
    <row r="9" spans="1:23" x14ac:dyDescent="0.15">
      <c r="A9" s="25" t="str">
        <f t="shared" si="2"/>
        <v>20002_1-2/11&lt;lv8&gt;s3</v>
      </c>
      <c r="B9" s="20">
        <f t="shared" si="0"/>
        <v>20002</v>
      </c>
      <c r="C9" s="20">
        <f t="shared" si="0"/>
        <v>1</v>
      </c>
      <c r="D9" s="20">
        <f t="shared" si="0"/>
        <v>2</v>
      </c>
      <c r="E9" s="20">
        <f t="shared" si="0"/>
        <v>11</v>
      </c>
      <c r="F9" s="20">
        <f t="shared" si="0"/>
        <v>8</v>
      </c>
      <c r="G9" s="20">
        <v>3.5</v>
      </c>
      <c r="H9" s="20">
        <f t="shared" si="1"/>
        <v>0.9</v>
      </c>
      <c r="I9" s="20">
        <f t="shared" si="1"/>
        <v>0</v>
      </c>
      <c r="J9" s="20">
        <f t="shared" si="0"/>
        <v>0</v>
      </c>
      <c r="K9" s="20">
        <f t="shared" si="0"/>
        <v>0</v>
      </c>
      <c r="L9" s="20">
        <f t="shared" si="0"/>
        <v>100</v>
      </c>
      <c r="M9" s="20">
        <f t="shared" si="0"/>
        <v>0</v>
      </c>
      <c r="N9" s="20">
        <f t="shared" si="0"/>
        <v>3</v>
      </c>
      <c r="O9" s="20">
        <f t="shared" si="0"/>
        <v>11</v>
      </c>
      <c r="P9" s="20">
        <f t="shared" si="0"/>
        <v>1</v>
      </c>
      <c r="Q9" s="20">
        <f t="shared" si="0"/>
        <v>1</v>
      </c>
      <c r="R9" s="20">
        <f t="shared" si="0"/>
        <v>25</v>
      </c>
      <c r="S9" s="20">
        <f t="shared" si="0"/>
        <v>0</v>
      </c>
      <c r="T9" s="20">
        <f t="shared" si="0"/>
        <v>0</v>
      </c>
      <c r="U9" s="20">
        <f t="shared" si="0"/>
        <v>0</v>
      </c>
      <c r="V9" s="20">
        <f t="shared" si="0"/>
        <v>0</v>
      </c>
      <c r="W9" s="20">
        <f t="shared" si="0"/>
        <v>1</v>
      </c>
    </row>
    <row r="10" spans="1:23" x14ac:dyDescent="0.15">
      <c r="A10" s="25" t="str">
        <f t="shared" si="2"/>
        <v>20002_1-2/23&lt;lv7&gt;s4</v>
      </c>
      <c r="B10" s="20">
        <f t="shared" si="0"/>
        <v>20002</v>
      </c>
      <c r="C10" s="20">
        <f t="shared" si="0"/>
        <v>1</v>
      </c>
      <c r="D10" s="20">
        <f t="shared" si="0"/>
        <v>2</v>
      </c>
      <c r="E10" s="20">
        <f t="shared" si="0"/>
        <v>23</v>
      </c>
      <c r="F10" s="20">
        <f t="shared" si="0"/>
        <v>7</v>
      </c>
      <c r="G10" s="20">
        <v>3.5</v>
      </c>
      <c r="H10" s="20">
        <f t="shared" si="1"/>
        <v>0.9</v>
      </c>
      <c r="I10" s="20">
        <f t="shared" si="1"/>
        <v>0</v>
      </c>
      <c r="J10" s="20">
        <f t="shared" si="0"/>
        <v>0</v>
      </c>
      <c r="K10" s="20">
        <f t="shared" si="0"/>
        <v>0</v>
      </c>
      <c r="L10" s="20">
        <f t="shared" si="0"/>
        <v>60</v>
      </c>
      <c r="M10" s="20">
        <f t="shared" si="0"/>
        <v>0</v>
      </c>
      <c r="N10" s="20">
        <f t="shared" si="0"/>
        <v>4</v>
      </c>
      <c r="O10" s="20">
        <f t="shared" si="0"/>
        <v>23</v>
      </c>
      <c r="P10" s="20">
        <f t="shared" si="0"/>
        <v>1</v>
      </c>
      <c r="Q10" s="20">
        <f t="shared" si="0"/>
        <v>1</v>
      </c>
      <c r="R10" s="20">
        <f t="shared" si="0"/>
        <v>25</v>
      </c>
      <c r="S10" s="20">
        <f t="shared" si="0"/>
        <v>0</v>
      </c>
      <c r="T10" s="20">
        <f t="shared" si="0"/>
        <v>0</v>
      </c>
      <c r="U10" s="20">
        <f t="shared" si="0"/>
        <v>0</v>
      </c>
      <c r="V10" s="20">
        <f t="shared" si="0"/>
        <v>0</v>
      </c>
      <c r="W10" s="20">
        <f t="shared" si="0"/>
        <v>1</v>
      </c>
    </row>
    <row r="11" spans="1:23" x14ac:dyDescent="0.15">
      <c r="A11" s="25" t="str">
        <f t="shared" si="2"/>
        <v>20002_1-2/27&lt;lv7&gt;s1</v>
      </c>
      <c r="B11" s="20">
        <f t="shared" si="0"/>
        <v>20002</v>
      </c>
      <c r="C11" s="20">
        <f t="shared" si="0"/>
        <v>1</v>
      </c>
      <c r="D11" s="20">
        <f t="shared" si="0"/>
        <v>2</v>
      </c>
      <c r="E11" s="20">
        <f t="shared" si="0"/>
        <v>27</v>
      </c>
      <c r="F11" s="20">
        <f t="shared" si="0"/>
        <v>7</v>
      </c>
      <c r="G11" s="20">
        <v>3.5</v>
      </c>
      <c r="H11" s="20">
        <f t="shared" si="1"/>
        <v>0.9</v>
      </c>
      <c r="I11" s="20">
        <f t="shared" si="1"/>
        <v>0</v>
      </c>
      <c r="J11" s="20">
        <f t="shared" si="0"/>
        <v>0</v>
      </c>
      <c r="K11" s="20">
        <f t="shared" si="0"/>
        <v>0</v>
      </c>
      <c r="L11" s="20">
        <f t="shared" si="0"/>
        <v>100</v>
      </c>
      <c r="M11" s="20">
        <f t="shared" si="0"/>
        <v>0</v>
      </c>
      <c r="N11" s="20">
        <f t="shared" si="0"/>
        <v>1</v>
      </c>
      <c r="O11" s="20">
        <f t="shared" si="0"/>
        <v>27</v>
      </c>
      <c r="P11" s="20">
        <f t="shared" si="0"/>
        <v>1</v>
      </c>
      <c r="Q11" s="20">
        <f t="shared" si="0"/>
        <v>1</v>
      </c>
      <c r="R11" s="20">
        <f t="shared" si="0"/>
        <v>25</v>
      </c>
      <c r="S11" s="20">
        <f t="shared" si="0"/>
        <v>0</v>
      </c>
      <c r="T11" s="20">
        <f t="shared" si="0"/>
        <v>0</v>
      </c>
      <c r="U11" s="20">
        <f t="shared" si="0"/>
        <v>0</v>
      </c>
      <c r="V11" s="20">
        <f t="shared" si="0"/>
        <v>0</v>
      </c>
      <c r="W11" s="20">
        <f t="shared" si="0"/>
        <v>1</v>
      </c>
    </row>
    <row r="12" spans="1:23" x14ac:dyDescent="0.15">
      <c r="A12" s="25" t="str">
        <f t="shared" si="2"/>
        <v>20002_1-2/43&lt;lv7&gt;s2</v>
      </c>
      <c r="B12" s="20">
        <f t="shared" si="0"/>
        <v>20002</v>
      </c>
      <c r="C12" s="20">
        <f t="shared" si="0"/>
        <v>1</v>
      </c>
      <c r="D12" s="20">
        <f t="shared" si="0"/>
        <v>2</v>
      </c>
      <c r="E12" s="20">
        <f t="shared" si="0"/>
        <v>43</v>
      </c>
      <c r="F12" s="20">
        <f t="shared" si="0"/>
        <v>7</v>
      </c>
      <c r="G12" s="20">
        <v>3.5</v>
      </c>
      <c r="H12" s="20">
        <f t="shared" si="1"/>
        <v>0.9</v>
      </c>
      <c r="I12" s="20">
        <f t="shared" si="1"/>
        <v>0</v>
      </c>
      <c r="J12" s="20">
        <f t="shared" si="0"/>
        <v>0</v>
      </c>
      <c r="K12" s="20">
        <f t="shared" si="0"/>
        <v>0</v>
      </c>
      <c r="L12" s="20">
        <f t="shared" si="0"/>
        <v>100</v>
      </c>
      <c r="M12" s="20">
        <f t="shared" si="0"/>
        <v>0</v>
      </c>
      <c r="N12" s="20">
        <f t="shared" si="0"/>
        <v>2</v>
      </c>
      <c r="O12" s="20">
        <f t="shared" si="0"/>
        <v>43</v>
      </c>
      <c r="P12" s="20">
        <f t="shared" si="0"/>
        <v>1</v>
      </c>
      <c r="Q12" s="20">
        <f t="shared" si="0"/>
        <v>2</v>
      </c>
      <c r="R12" s="20">
        <f t="shared" si="0"/>
        <v>25</v>
      </c>
      <c r="S12" s="20">
        <f t="shared" si="0"/>
        <v>0</v>
      </c>
      <c r="T12" s="20">
        <f t="shared" si="0"/>
        <v>0</v>
      </c>
      <c r="U12" s="20">
        <f t="shared" si="0"/>
        <v>0</v>
      </c>
      <c r="V12" s="20">
        <f t="shared" si="0"/>
        <v>0</v>
      </c>
      <c r="W12" s="20">
        <f t="shared" si="0"/>
        <v>1</v>
      </c>
    </row>
    <row r="13" spans="1:23" x14ac:dyDescent="0.15">
      <c r="A13" s="25" t="str">
        <f t="shared" si="2"/>
        <v>20002_1-3/3&lt;lv7&gt;s2</v>
      </c>
      <c r="B13" s="20">
        <f t="shared" si="0"/>
        <v>20002</v>
      </c>
      <c r="C13" s="20">
        <f t="shared" si="0"/>
        <v>1</v>
      </c>
      <c r="D13" s="20">
        <f t="shared" si="0"/>
        <v>3</v>
      </c>
      <c r="E13" s="20">
        <f t="shared" si="0"/>
        <v>3</v>
      </c>
      <c r="F13" s="20">
        <f t="shared" si="0"/>
        <v>7</v>
      </c>
      <c r="G13" s="20">
        <v>3.5</v>
      </c>
      <c r="H13" s="20">
        <f t="shared" si="1"/>
        <v>0.9</v>
      </c>
      <c r="I13" s="20">
        <f t="shared" si="1"/>
        <v>0</v>
      </c>
      <c r="J13" s="20">
        <f t="shared" si="0"/>
        <v>0</v>
      </c>
      <c r="K13" s="20">
        <f t="shared" si="0"/>
        <v>0</v>
      </c>
      <c r="L13" s="20">
        <f t="shared" si="0"/>
        <v>100</v>
      </c>
      <c r="M13" s="20">
        <f t="shared" si="0"/>
        <v>0</v>
      </c>
      <c r="N13" s="20">
        <f t="shared" si="0"/>
        <v>2</v>
      </c>
      <c r="O13" s="20">
        <f t="shared" si="0"/>
        <v>3</v>
      </c>
      <c r="P13" s="20">
        <f t="shared" si="0"/>
        <v>2</v>
      </c>
      <c r="Q13" s="20">
        <f t="shared" si="0"/>
        <v>1</v>
      </c>
      <c r="R13" s="20">
        <f t="shared" si="0"/>
        <v>25</v>
      </c>
      <c r="S13" s="20">
        <f t="shared" si="0"/>
        <v>0</v>
      </c>
      <c r="T13" s="20">
        <f t="shared" si="0"/>
        <v>0</v>
      </c>
      <c r="U13" s="20">
        <f t="shared" si="0"/>
        <v>0</v>
      </c>
      <c r="V13" s="20">
        <f t="shared" si="0"/>
        <v>0</v>
      </c>
      <c r="W13" s="20">
        <f t="shared" si="0"/>
        <v>1</v>
      </c>
    </row>
    <row r="14" spans="1:23" x14ac:dyDescent="0.15">
      <c r="A14" s="25" t="str">
        <f t="shared" si="2"/>
        <v>20002_1-3/11&lt;lv8&gt;s3</v>
      </c>
      <c r="B14" s="20">
        <f t="shared" si="0"/>
        <v>20002</v>
      </c>
      <c r="C14" s="20">
        <f t="shared" si="0"/>
        <v>1</v>
      </c>
      <c r="D14" s="20">
        <f t="shared" si="0"/>
        <v>3</v>
      </c>
      <c r="E14" s="20">
        <f t="shared" si="0"/>
        <v>11</v>
      </c>
      <c r="F14" s="20">
        <f t="shared" si="0"/>
        <v>8</v>
      </c>
      <c r="G14" s="20">
        <v>3.5</v>
      </c>
      <c r="H14" s="20">
        <f t="shared" si="1"/>
        <v>0.9</v>
      </c>
      <c r="I14" s="20">
        <f t="shared" si="1"/>
        <v>0</v>
      </c>
      <c r="J14" s="20">
        <f t="shared" si="0"/>
        <v>0</v>
      </c>
      <c r="K14" s="20">
        <f t="shared" si="0"/>
        <v>0</v>
      </c>
      <c r="L14" s="20">
        <f t="shared" si="0"/>
        <v>100</v>
      </c>
      <c r="M14" s="20">
        <f t="shared" si="0"/>
        <v>0</v>
      </c>
      <c r="N14" s="20">
        <f t="shared" si="0"/>
        <v>3</v>
      </c>
      <c r="O14" s="20">
        <f t="shared" si="0"/>
        <v>11</v>
      </c>
      <c r="P14" s="20">
        <f t="shared" si="0"/>
        <v>1</v>
      </c>
      <c r="Q14" s="20">
        <f t="shared" si="0"/>
        <v>1</v>
      </c>
      <c r="R14" s="20">
        <f t="shared" si="0"/>
        <v>25</v>
      </c>
      <c r="S14" s="20">
        <f t="shared" si="0"/>
        <v>0</v>
      </c>
      <c r="T14" s="20">
        <f t="shared" si="0"/>
        <v>0</v>
      </c>
      <c r="U14" s="20">
        <f t="shared" si="0"/>
        <v>0</v>
      </c>
      <c r="V14" s="20">
        <f t="shared" si="0"/>
        <v>0</v>
      </c>
      <c r="W14" s="20">
        <f t="shared" si="0"/>
        <v>1</v>
      </c>
    </row>
    <row r="15" spans="1:23" x14ac:dyDescent="0.15">
      <c r="A15" s="25" t="str">
        <f t="shared" si="2"/>
        <v>20002_1-3/23&lt;lv7&gt;s4</v>
      </c>
      <c r="B15" s="20">
        <f t="shared" si="0"/>
        <v>20002</v>
      </c>
      <c r="C15" s="20">
        <f t="shared" si="0"/>
        <v>1</v>
      </c>
      <c r="D15" s="20">
        <f t="shared" si="0"/>
        <v>3</v>
      </c>
      <c r="E15" s="20">
        <f t="shared" si="0"/>
        <v>23</v>
      </c>
      <c r="F15" s="20">
        <f t="shared" si="0"/>
        <v>7</v>
      </c>
      <c r="G15" s="20">
        <v>3.5</v>
      </c>
      <c r="H15" s="20">
        <f t="shared" si="1"/>
        <v>0.9</v>
      </c>
      <c r="I15" s="20">
        <f t="shared" si="1"/>
        <v>0</v>
      </c>
      <c r="J15" s="20">
        <f t="shared" si="0"/>
        <v>0</v>
      </c>
      <c r="K15" s="20">
        <f t="shared" si="0"/>
        <v>0</v>
      </c>
      <c r="L15" s="20">
        <f t="shared" si="0"/>
        <v>60</v>
      </c>
      <c r="M15" s="20">
        <f t="shared" si="0"/>
        <v>0</v>
      </c>
      <c r="N15" s="20">
        <f t="shared" si="0"/>
        <v>4</v>
      </c>
      <c r="O15" s="20">
        <f t="shared" si="0"/>
        <v>23</v>
      </c>
      <c r="P15" s="20">
        <f t="shared" si="0"/>
        <v>1</v>
      </c>
      <c r="Q15" s="20">
        <f t="shared" si="0"/>
        <v>1</v>
      </c>
      <c r="R15" s="20">
        <f t="shared" si="0"/>
        <v>25</v>
      </c>
      <c r="S15" s="20">
        <f t="shared" si="0"/>
        <v>0</v>
      </c>
      <c r="T15" s="20">
        <f t="shared" si="0"/>
        <v>0</v>
      </c>
      <c r="U15" s="20">
        <f t="shared" si="0"/>
        <v>0</v>
      </c>
      <c r="V15" s="20">
        <f t="shared" si="0"/>
        <v>0</v>
      </c>
      <c r="W15" s="20">
        <f t="shared" si="0"/>
        <v>1</v>
      </c>
    </row>
    <row r="16" spans="1:23" x14ac:dyDescent="0.15">
      <c r="A16" s="25" t="str">
        <f t="shared" si="2"/>
        <v>20002_1-3/27&lt;lv7&gt;s1</v>
      </c>
      <c r="B16" s="20">
        <f t="shared" si="0"/>
        <v>20002</v>
      </c>
      <c r="C16" s="20">
        <f t="shared" si="0"/>
        <v>1</v>
      </c>
      <c r="D16" s="20">
        <f t="shared" si="0"/>
        <v>3</v>
      </c>
      <c r="E16" s="20">
        <f t="shared" si="0"/>
        <v>27</v>
      </c>
      <c r="F16" s="20">
        <f t="shared" si="0"/>
        <v>7</v>
      </c>
      <c r="G16" s="20">
        <v>3.5</v>
      </c>
      <c r="H16" s="20">
        <f t="shared" si="1"/>
        <v>0.9</v>
      </c>
      <c r="I16" s="20">
        <f t="shared" si="1"/>
        <v>0</v>
      </c>
      <c r="J16" s="20">
        <f t="shared" si="0"/>
        <v>0</v>
      </c>
      <c r="K16" s="20">
        <f t="shared" si="0"/>
        <v>0</v>
      </c>
      <c r="L16" s="20">
        <f t="shared" si="0"/>
        <v>100</v>
      </c>
      <c r="M16" s="20">
        <f t="shared" ref="M16:W35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20">
        <f t="shared" si="3"/>
        <v>1</v>
      </c>
      <c r="O16" s="20">
        <f t="shared" si="3"/>
        <v>27</v>
      </c>
      <c r="P16" s="20">
        <f t="shared" si="3"/>
        <v>1</v>
      </c>
      <c r="Q16" s="20">
        <f t="shared" si="3"/>
        <v>1</v>
      </c>
      <c r="R16" s="20">
        <f t="shared" si="3"/>
        <v>25</v>
      </c>
      <c r="S16" s="20">
        <f t="shared" si="3"/>
        <v>0</v>
      </c>
      <c r="T16" s="20">
        <f t="shared" si="3"/>
        <v>0</v>
      </c>
      <c r="U16" s="20">
        <f t="shared" si="3"/>
        <v>0</v>
      </c>
      <c r="V16" s="20">
        <f t="shared" si="3"/>
        <v>0</v>
      </c>
      <c r="W16" s="20">
        <f t="shared" si="3"/>
        <v>1</v>
      </c>
    </row>
    <row r="17" spans="1:23" x14ac:dyDescent="0.15">
      <c r="A17" s="25" t="str">
        <f t="shared" si="2"/>
        <v>20002_1-3/43&lt;lv7&gt;s2</v>
      </c>
      <c r="B17" s="20">
        <f t="shared" ref="B17:Q36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20002</v>
      </c>
      <c r="C17" s="20">
        <f t="shared" si="4"/>
        <v>1</v>
      </c>
      <c r="D17" s="20">
        <f t="shared" si="4"/>
        <v>3</v>
      </c>
      <c r="E17" s="20">
        <f t="shared" si="4"/>
        <v>43</v>
      </c>
      <c r="F17" s="20">
        <f t="shared" si="4"/>
        <v>7</v>
      </c>
      <c r="G17" s="20">
        <v>3.5</v>
      </c>
      <c r="H17" s="20">
        <f t="shared" si="1"/>
        <v>0.9</v>
      </c>
      <c r="I17" s="20">
        <f t="shared" si="1"/>
        <v>0</v>
      </c>
      <c r="J17" s="20">
        <f t="shared" si="4"/>
        <v>0</v>
      </c>
      <c r="K17" s="20">
        <f t="shared" si="4"/>
        <v>0</v>
      </c>
      <c r="L17" s="20">
        <f t="shared" si="4"/>
        <v>100</v>
      </c>
      <c r="M17" s="20">
        <f t="shared" si="4"/>
        <v>0</v>
      </c>
      <c r="N17" s="20">
        <f t="shared" si="4"/>
        <v>2</v>
      </c>
      <c r="O17" s="20">
        <f t="shared" si="4"/>
        <v>43</v>
      </c>
      <c r="P17" s="20">
        <f t="shared" si="4"/>
        <v>1</v>
      </c>
      <c r="Q17" s="20">
        <f t="shared" si="4"/>
        <v>2</v>
      </c>
      <c r="R17" s="20">
        <f t="shared" si="3"/>
        <v>25</v>
      </c>
      <c r="S17" s="20">
        <f t="shared" si="3"/>
        <v>0</v>
      </c>
      <c r="T17" s="20">
        <f t="shared" si="3"/>
        <v>0</v>
      </c>
      <c r="U17" s="20">
        <f t="shared" si="3"/>
        <v>0</v>
      </c>
      <c r="V17" s="20">
        <f t="shared" si="3"/>
        <v>0</v>
      </c>
      <c r="W17" s="20">
        <f t="shared" si="3"/>
        <v>1</v>
      </c>
    </row>
    <row r="18" spans="1:23" x14ac:dyDescent="0.15">
      <c r="A18" s="25" t="str">
        <f t="shared" si="2"/>
        <v>20002_1-4/3&lt;lv7&gt;s2</v>
      </c>
      <c r="B18" s="20">
        <f t="shared" si="4"/>
        <v>20002</v>
      </c>
      <c r="C18" s="20">
        <f t="shared" si="4"/>
        <v>1</v>
      </c>
      <c r="D18" s="20">
        <f t="shared" si="4"/>
        <v>4</v>
      </c>
      <c r="E18" s="20">
        <f t="shared" si="4"/>
        <v>3</v>
      </c>
      <c r="F18" s="20">
        <f t="shared" si="4"/>
        <v>7</v>
      </c>
      <c r="G18" s="20">
        <v>3.5</v>
      </c>
      <c r="H18" s="20">
        <f t="shared" si="1"/>
        <v>0.9</v>
      </c>
      <c r="I18" s="20">
        <f t="shared" si="1"/>
        <v>0</v>
      </c>
      <c r="J18" s="20">
        <f t="shared" si="4"/>
        <v>0</v>
      </c>
      <c r="K18" s="20">
        <f t="shared" si="4"/>
        <v>0</v>
      </c>
      <c r="L18" s="20">
        <f t="shared" si="4"/>
        <v>100</v>
      </c>
      <c r="M18" s="20">
        <f t="shared" si="4"/>
        <v>0</v>
      </c>
      <c r="N18" s="20">
        <f t="shared" si="4"/>
        <v>2</v>
      </c>
      <c r="O18" s="20">
        <f t="shared" si="4"/>
        <v>3</v>
      </c>
      <c r="P18" s="20">
        <f t="shared" si="4"/>
        <v>2</v>
      </c>
      <c r="Q18" s="20">
        <f t="shared" si="4"/>
        <v>1</v>
      </c>
      <c r="R18" s="20">
        <f t="shared" si="3"/>
        <v>25</v>
      </c>
      <c r="S18" s="20">
        <f t="shared" si="3"/>
        <v>0</v>
      </c>
      <c r="T18" s="20">
        <f t="shared" si="3"/>
        <v>0</v>
      </c>
      <c r="U18" s="20">
        <f t="shared" si="3"/>
        <v>0</v>
      </c>
      <c r="V18" s="20">
        <f t="shared" si="3"/>
        <v>0</v>
      </c>
      <c r="W18" s="20">
        <f t="shared" si="3"/>
        <v>1</v>
      </c>
    </row>
    <row r="19" spans="1:23" x14ac:dyDescent="0.15">
      <c r="A19" s="25" t="str">
        <f t="shared" si="2"/>
        <v>20002_1-4/11&lt;lv8&gt;s3</v>
      </c>
      <c r="B19" s="20">
        <f t="shared" si="4"/>
        <v>20002</v>
      </c>
      <c r="C19" s="20">
        <f t="shared" si="4"/>
        <v>1</v>
      </c>
      <c r="D19" s="20">
        <f t="shared" si="4"/>
        <v>4</v>
      </c>
      <c r="E19" s="20">
        <f t="shared" si="4"/>
        <v>11</v>
      </c>
      <c r="F19" s="20">
        <f t="shared" si="4"/>
        <v>8</v>
      </c>
      <c r="G19" s="20">
        <v>3.5</v>
      </c>
      <c r="H19" s="20">
        <f t="shared" ref="H19:I63" si="5">VLOOKUP($A19,OFFSET(INDIRECT($C$1&amp;"!$A1"),0,0,COUNTA(INDIRECT($C$1&amp;"!$A:$A"))+1,MATCH(H$2,INDIRECT($C$1&amp;"!"&amp;$B$1),0)-MATCH($A$2,INDIRECT($C$1&amp;"!"&amp;$B$1),0)+1),MATCH(H$2,INDIRECT($C$1&amp;"!"&amp;$B$1),0)-MATCH($A$2,INDIRECT($C$1&amp;"!"&amp;$B$1),0)+1,FALSE)</f>
        <v>0.9</v>
      </c>
      <c r="I19" s="20">
        <f t="shared" si="5"/>
        <v>0</v>
      </c>
      <c r="J19" s="20">
        <f t="shared" si="4"/>
        <v>0</v>
      </c>
      <c r="K19" s="20">
        <f t="shared" si="4"/>
        <v>0</v>
      </c>
      <c r="L19" s="20">
        <f t="shared" si="4"/>
        <v>100</v>
      </c>
      <c r="M19" s="20">
        <f t="shared" si="4"/>
        <v>0</v>
      </c>
      <c r="N19" s="20">
        <f t="shared" si="4"/>
        <v>3</v>
      </c>
      <c r="O19" s="20">
        <f t="shared" si="4"/>
        <v>11</v>
      </c>
      <c r="P19" s="20">
        <f t="shared" si="4"/>
        <v>1</v>
      </c>
      <c r="Q19" s="20">
        <f t="shared" si="4"/>
        <v>1</v>
      </c>
      <c r="R19" s="20">
        <f t="shared" si="3"/>
        <v>25</v>
      </c>
      <c r="S19" s="20">
        <f t="shared" si="3"/>
        <v>0</v>
      </c>
      <c r="T19" s="20">
        <f t="shared" si="3"/>
        <v>0</v>
      </c>
      <c r="U19" s="20">
        <f t="shared" si="3"/>
        <v>0</v>
      </c>
      <c r="V19" s="20">
        <f t="shared" si="3"/>
        <v>0</v>
      </c>
      <c r="W19" s="20">
        <f t="shared" si="3"/>
        <v>1</v>
      </c>
    </row>
    <row r="20" spans="1:23" x14ac:dyDescent="0.15">
      <c r="A20" s="25" t="str">
        <f t="shared" si="2"/>
        <v>20002_1-4/23&lt;lv7&gt;s4</v>
      </c>
      <c r="B20" s="20">
        <f t="shared" si="4"/>
        <v>20002</v>
      </c>
      <c r="C20" s="20">
        <f t="shared" si="4"/>
        <v>1</v>
      </c>
      <c r="D20" s="20">
        <f t="shared" si="4"/>
        <v>4</v>
      </c>
      <c r="E20" s="20">
        <f t="shared" si="4"/>
        <v>23</v>
      </c>
      <c r="F20" s="20">
        <f t="shared" si="4"/>
        <v>7</v>
      </c>
      <c r="G20" s="20">
        <v>3.5</v>
      </c>
      <c r="H20" s="20">
        <f t="shared" si="5"/>
        <v>0.9</v>
      </c>
      <c r="I20" s="20">
        <f t="shared" si="5"/>
        <v>0</v>
      </c>
      <c r="J20" s="20">
        <f t="shared" si="4"/>
        <v>0</v>
      </c>
      <c r="K20" s="20">
        <f t="shared" si="4"/>
        <v>0</v>
      </c>
      <c r="L20" s="20">
        <f t="shared" si="4"/>
        <v>60</v>
      </c>
      <c r="M20" s="20">
        <f t="shared" si="4"/>
        <v>0</v>
      </c>
      <c r="N20" s="20">
        <f t="shared" si="4"/>
        <v>4</v>
      </c>
      <c r="O20" s="20">
        <f t="shared" si="4"/>
        <v>23</v>
      </c>
      <c r="P20" s="20">
        <f t="shared" si="4"/>
        <v>1</v>
      </c>
      <c r="Q20" s="20">
        <f t="shared" si="4"/>
        <v>1</v>
      </c>
      <c r="R20" s="20">
        <f t="shared" si="3"/>
        <v>25</v>
      </c>
      <c r="S20" s="20">
        <f t="shared" si="3"/>
        <v>0</v>
      </c>
      <c r="T20" s="20">
        <f t="shared" si="3"/>
        <v>0</v>
      </c>
      <c r="U20" s="20">
        <f t="shared" si="3"/>
        <v>0</v>
      </c>
      <c r="V20" s="20">
        <f t="shared" si="3"/>
        <v>0</v>
      </c>
      <c r="W20" s="20">
        <f t="shared" si="3"/>
        <v>1</v>
      </c>
    </row>
    <row r="21" spans="1:23" x14ac:dyDescent="0.15">
      <c r="A21" s="25" t="str">
        <f t="shared" si="2"/>
        <v>20002_1-4/27&lt;lv7&gt;s1</v>
      </c>
      <c r="B21" s="20">
        <f t="shared" si="4"/>
        <v>20002</v>
      </c>
      <c r="C21" s="20">
        <f t="shared" si="4"/>
        <v>1</v>
      </c>
      <c r="D21" s="20">
        <f t="shared" si="4"/>
        <v>4</v>
      </c>
      <c r="E21" s="20">
        <f t="shared" si="4"/>
        <v>27</v>
      </c>
      <c r="F21" s="20">
        <f t="shared" si="4"/>
        <v>7</v>
      </c>
      <c r="G21" s="20">
        <v>3.5</v>
      </c>
      <c r="H21" s="20">
        <f t="shared" si="5"/>
        <v>0.9</v>
      </c>
      <c r="I21" s="20">
        <f t="shared" si="5"/>
        <v>0</v>
      </c>
      <c r="J21" s="20">
        <f t="shared" si="4"/>
        <v>0</v>
      </c>
      <c r="K21" s="20">
        <f t="shared" si="4"/>
        <v>0</v>
      </c>
      <c r="L21" s="20">
        <f t="shared" si="4"/>
        <v>100</v>
      </c>
      <c r="M21" s="20">
        <f t="shared" si="4"/>
        <v>0</v>
      </c>
      <c r="N21" s="20">
        <f t="shared" si="4"/>
        <v>1</v>
      </c>
      <c r="O21" s="20">
        <f t="shared" si="4"/>
        <v>27</v>
      </c>
      <c r="P21" s="20">
        <f t="shared" si="4"/>
        <v>1</v>
      </c>
      <c r="Q21" s="20">
        <f t="shared" si="4"/>
        <v>1</v>
      </c>
      <c r="R21" s="20">
        <f ca="1">VLOOKUP($A21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25</v>
      </c>
      <c r="S21" s="20">
        <f t="shared" si="3"/>
        <v>0</v>
      </c>
      <c r="T21" s="20">
        <f t="shared" si="3"/>
        <v>0</v>
      </c>
      <c r="U21" s="20">
        <f t="shared" si="3"/>
        <v>0</v>
      </c>
      <c r="V21" s="20">
        <f t="shared" si="3"/>
        <v>0</v>
      </c>
      <c r="W21" s="20">
        <f t="shared" si="3"/>
        <v>1</v>
      </c>
    </row>
    <row r="22" spans="1:23" x14ac:dyDescent="0.15">
      <c r="A22" s="25" t="str">
        <f t="shared" si="2"/>
        <v>20002_1-4/43&lt;lv7&gt;s2</v>
      </c>
      <c r="B22" s="20">
        <f t="shared" si="4"/>
        <v>20002</v>
      </c>
      <c r="C22" s="20">
        <f t="shared" si="4"/>
        <v>1</v>
      </c>
      <c r="D22" s="20">
        <f t="shared" si="4"/>
        <v>4</v>
      </c>
      <c r="E22" s="20">
        <f t="shared" si="4"/>
        <v>43</v>
      </c>
      <c r="F22" s="20">
        <f t="shared" si="4"/>
        <v>7</v>
      </c>
      <c r="G22" s="20">
        <v>3.5</v>
      </c>
      <c r="H22" s="20">
        <f t="shared" si="5"/>
        <v>0.9</v>
      </c>
      <c r="I22" s="20">
        <f t="shared" si="5"/>
        <v>0</v>
      </c>
      <c r="J22" s="20">
        <f t="shared" si="4"/>
        <v>0</v>
      </c>
      <c r="K22" s="20">
        <f t="shared" si="4"/>
        <v>0</v>
      </c>
      <c r="L22" s="20">
        <f t="shared" si="4"/>
        <v>100</v>
      </c>
      <c r="M22" s="20">
        <f t="shared" si="4"/>
        <v>0</v>
      </c>
      <c r="N22" s="20">
        <f t="shared" si="4"/>
        <v>2</v>
      </c>
      <c r="O22" s="20">
        <f t="shared" si="4"/>
        <v>43</v>
      </c>
      <c r="P22" s="20">
        <f t="shared" si="4"/>
        <v>1</v>
      </c>
      <c r="Q22" s="20">
        <f t="shared" si="4"/>
        <v>2</v>
      </c>
      <c r="R22" s="20">
        <f ca="1">VLOOKUP($A22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25</v>
      </c>
      <c r="S22" s="20">
        <f t="shared" si="3"/>
        <v>0</v>
      </c>
      <c r="T22" s="20">
        <f t="shared" si="3"/>
        <v>0</v>
      </c>
      <c r="U22" s="20">
        <f t="shared" si="3"/>
        <v>0</v>
      </c>
      <c r="V22" s="20">
        <f t="shared" si="3"/>
        <v>0</v>
      </c>
      <c r="W22" s="20">
        <f t="shared" si="3"/>
        <v>1</v>
      </c>
    </row>
    <row r="23" spans="1:23" x14ac:dyDescent="0.15">
      <c r="A23" s="25" t="str">
        <f t="shared" si="2"/>
        <v>20002_1-5/264&lt;lv9&gt;s1</v>
      </c>
      <c r="B23" s="20">
        <f t="shared" si="4"/>
        <v>20002</v>
      </c>
      <c r="C23" s="20">
        <f t="shared" si="4"/>
        <v>1</v>
      </c>
      <c r="D23" s="20">
        <f t="shared" si="4"/>
        <v>5</v>
      </c>
      <c r="E23" s="20">
        <f t="shared" si="4"/>
        <v>264</v>
      </c>
      <c r="F23" s="20">
        <f t="shared" si="4"/>
        <v>9</v>
      </c>
      <c r="G23" s="20">
        <v>3.5</v>
      </c>
      <c r="H23" s="20">
        <f t="shared" si="5"/>
        <v>0.9</v>
      </c>
      <c r="I23" s="20">
        <f t="shared" si="5"/>
        <v>0</v>
      </c>
      <c r="J23" s="20">
        <f t="shared" si="4"/>
        <v>264</v>
      </c>
      <c r="K23" s="20">
        <f t="shared" si="4"/>
        <v>1</v>
      </c>
      <c r="L23" s="20">
        <f t="shared" si="4"/>
        <v>0</v>
      </c>
      <c r="M23" s="20">
        <f t="shared" si="4"/>
        <v>1</v>
      </c>
      <c r="N23" s="20">
        <f t="shared" si="4"/>
        <v>1</v>
      </c>
      <c r="O23" s="20">
        <f t="shared" si="4"/>
        <v>264</v>
      </c>
      <c r="P23" s="20">
        <f t="shared" si="4"/>
        <v>1</v>
      </c>
      <c r="Q23" s="20">
        <f t="shared" si="4"/>
        <v>3</v>
      </c>
      <c r="R23" s="20">
        <f ca="1">VLOOKUP($A23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3" s="20">
        <f t="shared" si="3"/>
        <v>0</v>
      </c>
      <c r="T23" s="20">
        <f t="shared" si="3"/>
        <v>0</v>
      </c>
      <c r="U23" s="20">
        <f t="shared" si="3"/>
        <v>0</v>
      </c>
      <c r="V23" s="20">
        <f t="shared" si="3"/>
        <v>0</v>
      </c>
      <c r="W23" s="20">
        <f t="shared" si="3"/>
        <v>1</v>
      </c>
    </row>
    <row r="24" spans="1:23" x14ac:dyDescent="0.15">
      <c r="A24" s="25" t="str">
        <f ca="1">INDIRECT(ADDRESS(ROW()+$A$1,COLUMN(),1,TRUE,$C$1))</f>
        <v>20002_2-1/4&lt;lv15&gt;s2</v>
      </c>
      <c r="B24" s="20">
        <f t="shared" si="4"/>
        <v>20002</v>
      </c>
      <c r="C24" s="20">
        <f t="shared" si="4"/>
        <v>2</v>
      </c>
      <c r="D24" s="20">
        <f t="shared" si="4"/>
        <v>1</v>
      </c>
      <c r="E24" s="20">
        <f t="shared" si="4"/>
        <v>4</v>
      </c>
      <c r="F24" s="20">
        <f t="shared" si="4"/>
        <v>15</v>
      </c>
      <c r="G24" s="20">
        <v>3.5</v>
      </c>
      <c r="H24" s="20">
        <f t="shared" si="5"/>
        <v>0.9</v>
      </c>
      <c r="I24" s="20">
        <f t="shared" si="5"/>
        <v>0</v>
      </c>
      <c r="J24" s="20">
        <f t="shared" si="4"/>
        <v>0</v>
      </c>
      <c r="K24" s="20">
        <f t="shared" si="4"/>
        <v>0</v>
      </c>
      <c r="L24" s="20">
        <f t="shared" si="4"/>
        <v>100</v>
      </c>
      <c r="M24" s="20">
        <f t="shared" si="4"/>
        <v>0</v>
      </c>
      <c r="N24" s="20">
        <f t="shared" si="4"/>
        <v>2</v>
      </c>
      <c r="O24" s="20">
        <f t="shared" si="4"/>
        <v>4</v>
      </c>
      <c r="P24" s="20">
        <f t="shared" si="4"/>
        <v>6</v>
      </c>
      <c r="Q24" s="20">
        <f t="shared" si="4"/>
        <v>2</v>
      </c>
      <c r="R24" s="20">
        <f t="shared" si="3"/>
        <v>15</v>
      </c>
      <c r="S24" s="20">
        <f t="shared" si="3"/>
        <v>0</v>
      </c>
      <c r="T24" s="20">
        <f t="shared" si="3"/>
        <v>0</v>
      </c>
      <c r="U24" s="20">
        <f t="shared" si="3"/>
        <v>0</v>
      </c>
      <c r="V24" s="20">
        <f t="shared" si="3"/>
        <v>0</v>
      </c>
      <c r="W24" s="20">
        <f t="shared" si="3"/>
        <v>1</v>
      </c>
    </row>
    <row r="25" spans="1:23" x14ac:dyDescent="0.15">
      <c r="A25" s="25" t="str">
        <f t="shared" si="2"/>
        <v>20002_2-1/11&lt;lv15&gt;s3</v>
      </c>
      <c r="B25" s="20">
        <f t="shared" si="4"/>
        <v>20002</v>
      </c>
      <c r="C25" s="20">
        <f t="shared" si="4"/>
        <v>2</v>
      </c>
      <c r="D25" s="20">
        <f t="shared" si="4"/>
        <v>1</v>
      </c>
      <c r="E25" s="20">
        <f t="shared" si="4"/>
        <v>11</v>
      </c>
      <c r="F25" s="20">
        <f t="shared" si="4"/>
        <v>15</v>
      </c>
      <c r="G25" s="20">
        <v>3.5</v>
      </c>
      <c r="H25" s="20">
        <f t="shared" si="5"/>
        <v>0.9</v>
      </c>
      <c r="I25" s="20">
        <f t="shared" si="5"/>
        <v>0</v>
      </c>
      <c r="J25" s="20">
        <f t="shared" si="4"/>
        <v>0</v>
      </c>
      <c r="K25" s="20">
        <f t="shared" si="4"/>
        <v>1</v>
      </c>
      <c r="L25" s="20">
        <f t="shared" si="4"/>
        <v>100</v>
      </c>
      <c r="M25" s="20">
        <f t="shared" si="4"/>
        <v>0</v>
      </c>
      <c r="N25" s="20">
        <f t="shared" si="4"/>
        <v>3</v>
      </c>
      <c r="O25" s="20">
        <f t="shared" si="4"/>
        <v>11</v>
      </c>
      <c r="P25" s="20">
        <f t="shared" si="4"/>
        <v>4</v>
      </c>
      <c r="Q25" s="20">
        <f t="shared" si="4"/>
        <v>1</v>
      </c>
      <c r="R25" s="20">
        <f t="shared" si="3"/>
        <v>15</v>
      </c>
      <c r="S25" s="20">
        <f t="shared" si="3"/>
        <v>0</v>
      </c>
      <c r="T25" s="20">
        <f t="shared" si="3"/>
        <v>0</v>
      </c>
      <c r="U25" s="20">
        <f t="shared" si="3"/>
        <v>0</v>
      </c>
      <c r="V25" s="20">
        <f t="shared" si="3"/>
        <v>0</v>
      </c>
      <c r="W25" s="20">
        <f t="shared" si="3"/>
        <v>1</v>
      </c>
    </row>
    <row r="26" spans="1:23" x14ac:dyDescent="0.15">
      <c r="A26" s="25" t="str">
        <f t="shared" si="2"/>
        <v>20002_2-1/23&lt;lv15&gt;s4</v>
      </c>
      <c r="B26" s="20">
        <f t="shared" si="4"/>
        <v>20002</v>
      </c>
      <c r="C26" s="20">
        <f t="shared" si="4"/>
        <v>2</v>
      </c>
      <c r="D26" s="20">
        <f t="shared" si="4"/>
        <v>1</v>
      </c>
      <c r="E26" s="20">
        <f t="shared" si="4"/>
        <v>23</v>
      </c>
      <c r="F26" s="20">
        <f t="shared" si="4"/>
        <v>15</v>
      </c>
      <c r="G26" s="20">
        <v>3.5</v>
      </c>
      <c r="H26" s="20">
        <f t="shared" si="5"/>
        <v>0.9</v>
      </c>
      <c r="I26" s="20">
        <f t="shared" si="5"/>
        <v>0</v>
      </c>
      <c r="J26" s="20">
        <f t="shared" si="4"/>
        <v>0</v>
      </c>
      <c r="K26" s="20">
        <f t="shared" si="4"/>
        <v>0</v>
      </c>
      <c r="L26" s="20">
        <f t="shared" si="4"/>
        <v>60</v>
      </c>
      <c r="M26" s="20">
        <f t="shared" si="4"/>
        <v>0</v>
      </c>
      <c r="N26" s="20">
        <f t="shared" si="4"/>
        <v>4</v>
      </c>
      <c r="O26" s="20">
        <f t="shared" si="4"/>
        <v>23</v>
      </c>
      <c r="P26" s="20">
        <f t="shared" si="4"/>
        <v>2</v>
      </c>
      <c r="Q26" s="20">
        <f t="shared" si="4"/>
        <v>1</v>
      </c>
      <c r="R26" s="20">
        <f ca="1">VLOOKUP($A26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26" s="20">
        <f t="shared" si="3"/>
        <v>0</v>
      </c>
      <c r="T26" s="20">
        <f t="shared" si="3"/>
        <v>0</v>
      </c>
      <c r="U26" s="20">
        <f t="shared" si="3"/>
        <v>0</v>
      </c>
      <c r="V26" s="20">
        <f t="shared" si="3"/>
        <v>0</v>
      </c>
      <c r="W26" s="20">
        <f t="shared" si="3"/>
        <v>1</v>
      </c>
    </row>
    <row r="27" spans="1:23" x14ac:dyDescent="0.15">
      <c r="A27" s="25" t="str">
        <f t="shared" si="2"/>
        <v>20002_2-1/43&lt;lv15&gt;s2</v>
      </c>
      <c r="B27" s="20">
        <f t="shared" si="4"/>
        <v>20002</v>
      </c>
      <c r="C27" s="20">
        <f t="shared" si="4"/>
        <v>2</v>
      </c>
      <c r="D27" s="20">
        <f t="shared" si="4"/>
        <v>1</v>
      </c>
      <c r="E27" s="20">
        <f t="shared" si="4"/>
        <v>43</v>
      </c>
      <c r="F27" s="20">
        <f t="shared" si="4"/>
        <v>15</v>
      </c>
      <c r="G27" s="20">
        <v>3.5</v>
      </c>
      <c r="H27" s="20">
        <f t="shared" si="5"/>
        <v>0.9</v>
      </c>
      <c r="I27" s="20">
        <f t="shared" si="5"/>
        <v>0</v>
      </c>
      <c r="J27" s="20">
        <f t="shared" si="4"/>
        <v>0</v>
      </c>
      <c r="K27" s="20">
        <f t="shared" si="4"/>
        <v>0</v>
      </c>
      <c r="L27" s="20">
        <f t="shared" si="4"/>
        <v>100</v>
      </c>
      <c r="M27" s="20">
        <f t="shared" si="4"/>
        <v>0</v>
      </c>
      <c r="N27" s="20">
        <f t="shared" si="4"/>
        <v>2</v>
      </c>
      <c r="O27" s="20">
        <f t="shared" si="4"/>
        <v>43</v>
      </c>
      <c r="P27" s="20">
        <f t="shared" si="4"/>
        <v>2</v>
      </c>
      <c r="Q27" s="20">
        <f t="shared" si="4"/>
        <v>2</v>
      </c>
      <c r="R27" s="20">
        <f t="shared" si="3"/>
        <v>15</v>
      </c>
      <c r="S27" s="20">
        <f t="shared" si="3"/>
        <v>0</v>
      </c>
      <c r="T27" s="20">
        <f t="shared" si="3"/>
        <v>0</v>
      </c>
      <c r="U27" s="20">
        <f t="shared" si="3"/>
        <v>0</v>
      </c>
      <c r="V27" s="20">
        <f t="shared" si="3"/>
        <v>0</v>
      </c>
      <c r="W27" s="20">
        <f t="shared" si="3"/>
        <v>1</v>
      </c>
    </row>
    <row r="28" spans="1:23" x14ac:dyDescent="0.15">
      <c r="A28" s="25" t="str">
        <f t="shared" si="2"/>
        <v>20002_2-2/4&lt;lv15&gt;s2</v>
      </c>
      <c r="B28" s="20">
        <f t="shared" si="4"/>
        <v>20002</v>
      </c>
      <c r="C28" s="20">
        <f t="shared" si="4"/>
        <v>2</v>
      </c>
      <c r="D28" s="20">
        <f t="shared" si="4"/>
        <v>2</v>
      </c>
      <c r="E28" s="20">
        <f t="shared" si="4"/>
        <v>4</v>
      </c>
      <c r="F28" s="20">
        <f t="shared" si="4"/>
        <v>15</v>
      </c>
      <c r="G28" s="20">
        <v>3.5</v>
      </c>
      <c r="H28" s="20">
        <f t="shared" si="5"/>
        <v>0.9</v>
      </c>
      <c r="I28" s="20">
        <f t="shared" si="5"/>
        <v>0</v>
      </c>
      <c r="J28" s="20">
        <f t="shared" si="4"/>
        <v>0</v>
      </c>
      <c r="K28" s="20">
        <f t="shared" si="4"/>
        <v>0</v>
      </c>
      <c r="L28" s="20">
        <f t="shared" si="4"/>
        <v>100</v>
      </c>
      <c r="M28" s="20">
        <f t="shared" si="4"/>
        <v>0</v>
      </c>
      <c r="N28" s="20">
        <f t="shared" si="4"/>
        <v>2</v>
      </c>
      <c r="O28" s="20">
        <f t="shared" si="4"/>
        <v>4</v>
      </c>
      <c r="P28" s="20">
        <f t="shared" si="4"/>
        <v>6</v>
      </c>
      <c r="Q28" s="20">
        <f t="shared" si="4"/>
        <v>2</v>
      </c>
      <c r="R28" s="20">
        <f t="shared" si="3"/>
        <v>15</v>
      </c>
      <c r="S28" s="20">
        <f t="shared" si="3"/>
        <v>0</v>
      </c>
      <c r="T28" s="20">
        <f t="shared" si="3"/>
        <v>0</v>
      </c>
      <c r="U28" s="20">
        <f t="shared" si="3"/>
        <v>0</v>
      </c>
      <c r="V28" s="20">
        <f t="shared" si="3"/>
        <v>0</v>
      </c>
      <c r="W28" s="20">
        <f t="shared" si="3"/>
        <v>1</v>
      </c>
    </row>
    <row r="29" spans="1:23" x14ac:dyDescent="0.15">
      <c r="A29" s="25" t="str">
        <f t="shared" si="2"/>
        <v>20002_2-2/11&lt;lv15&gt;s3</v>
      </c>
      <c r="B29" s="20">
        <f t="shared" si="4"/>
        <v>20002</v>
      </c>
      <c r="C29" s="20">
        <f t="shared" si="4"/>
        <v>2</v>
      </c>
      <c r="D29" s="20">
        <f t="shared" si="4"/>
        <v>2</v>
      </c>
      <c r="E29" s="20">
        <f t="shared" si="4"/>
        <v>11</v>
      </c>
      <c r="F29" s="20">
        <f t="shared" si="4"/>
        <v>15</v>
      </c>
      <c r="G29" s="20">
        <v>3.5</v>
      </c>
      <c r="H29" s="20">
        <f t="shared" si="5"/>
        <v>0.9</v>
      </c>
      <c r="I29" s="20">
        <f t="shared" si="5"/>
        <v>0</v>
      </c>
      <c r="J29" s="20">
        <f t="shared" si="4"/>
        <v>0</v>
      </c>
      <c r="K29" s="20">
        <f t="shared" si="4"/>
        <v>1</v>
      </c>
      <c r="L29" s="20">
        <f t="shared" si="4"/>
        <v>100</v>
      </c>
      <c r="M29" s="20">
        <f t="shared" si="4"/>
        <v>0</v>
      </c>
      <c r="N29" s="20">
        <f t="shared" si="4"/>
        <v>3</v>
      </c>
      <c r="O29" s="20">
        <f t="shared" si="4"/>
        <v>11</v>
      </c>
      <c r="P29" s="20">
        <f t="shared" si="4"/>
        <v>4</v>
      </c>
      <c r="Q29" s="20">
        <f t="shared" si="4"/>
        <v>1</v>
      </c>
      <c r="R29" s="20">
        <f t="shared" si="3"/>
        <v>15</v>
      </c>
      <c r="S29" s="20">
        <f t="shared" si="3"/>
        <v>0</v>
      </c>
      <c r="T29" s="20">
        <f t="shared" si="3"/>
        <v>0</v>
      </c>
      <c r="U29" s="20">
        <f t="shared" si="3"/>
        <v>0</v>
      </c>
      <c r="V29" s="20">
        <f t="shared" si="3"/>
        <v>0</v>
      </c>
      <c r="W29" s="20">
        <f t="shared" si="3"/>
        <v>1</v>
      </c>
    </row>
    <row r="30" spans="1:23" x14ac:dyDescent="0.15">
      <c r="A30" s="25" t="str">
        <f t="shared" si="2"/>
        <v>20002_2-2/23&lt;lv15&gt;s4</v>
      </c>
      <c r="B30" s="20">
        <f t="shared" si="4"/>
        <v>20002</v>
      </c>
      <c r="C30" s="20">
        <f t="shared" si="4"/>
        <v>2</v>
      </c>
      <c r="D30" s="20">
        <f t="shared" si="4"/>
        <v>2</v>
      </c>
      <c r="E30" s="20">
        <f t="shared" si="4"/>
        <v>23</v>
      </c>
      <c r="F30" s="20">
        <f t="shared" si="4"/>
        <v>15</v>
      </c>
      <c r="G30" s="20">
        <v>3.5</v>
      </c>
      <c r="H30" s="20">
        <f t="shared" si="5"/>
        <v>0.9</v>
      </c>
      <c r="I30" s="20">
        <f t="shared" si="5"/>
        <v>0</v>
      </c>
      <c r="J30" s="20">
        <f t="shared" si="4"/>
        <v>0</v>
      </c>
      <c r="K30" s="20">
        <f t="shared" si="4"/>
        <v>0</v>
      </c>
      <c r="L30" s="20">
        <f t="shared" si="4"/>
        <v>60</v>
      </c>
      <c r="M30" s="20">
        <f t="shared" si="4"/>
        <v>0</v>
      </c>
      <c r="N30" s="20">
        <f t="shared" si="4"/>
        <v>4</v>
      </c>
      <c r="O30" s="20">
        <f t="shared" si="4"/>
        <v>23</v>
      </c>
      <c r="P30" s="20">
        <f t="shared" si="4"/>
        <v>2</v>
      </c>
      <c r="Q30" s="20">
        <f t="shared" si="4"/>
        <v>1</v>
      </c>
      <c r="R30" s="20">
        <f t="shared" si="3"/>
        <v>15</v>
      </c>
      <c r="S30" s="20">
        <f t="shared" si="3"/>
        <v>0</v>
      </c>
      <c r="T30" s="20">
        <f t="shared" si="3"/>
        <v>0</v>
      </c>
      <c r="U30" s="20">
        <f t="shared" si="3"/>
        <v>0</v>
      </c>
      <c r="V30" s="20">
        <f t="shared" si="3"/>
        <v>0</v>
      </c>
      <c r="W30" s="20">
        <f t="shared" si="3"/>
        <v>1</v>
      </c>
    </row>
    <row r="31" spans="1:23" x14ac:dyDescent="0.15">
      <c r="A31" s="25" t="str">
        <f t="shared" si="2"/>
        <v>20002_2-2/43&lt;lv15&gt;s2</v>
      </c>
      <c r="B31" s="20">
        <f t="shared" si="4"/>
        <v>20002</v>
      </c>
      <c r="C31" s="20">
        <f t="shared" si="4"/>
        <v>2</v>
      </c>
      <c r="D31" s="20">
        <f t="shared" si="4"/>
        <v>2</v>
      </c>
      <c r="E31" s="20">
        <f t="shared" si="4"/>
        <v>43</v>
      </c>
      <c r="F31" s="20">
        <f t="shared" si="4"/>
        <v>15</v>
      </c>
      <c r="G31" s="20">
        <v>3.5</v>
      </c>
      <c r="H31" s="20">
        <f t="shared" si="5"/>
        <v>0.9</v>
      </c>
      <c r="I31" s="20">
        <f t="shared" si="5"/>
        <v>0</v>
      </c>
      <c r="J31" s="20">
        <f t="shared" si="4"/>
        <v>0</v>
      </c>
      <c r="K31" s="20">
        <f t="shared" si="4"/>
        <v>0</v>
      </c>
      <c r="L31" s="20">
        <f t="shared" si="4"/>
        <v>100</v>
      </c>
      <c r="M31" s="20">
        <f t="shared" si="4"/>
        <v>0</v>
      </c>
      <c r="N31" s="20">
        <f t="shared" si="4"/>
        <v>2</v>
      </c>
      <c r="O31" s="20">
        <f t="shared" si="4"/>
        <v>43</v>
      </c>
      <c r="P31" s="20">
        <f t="shared" si="4"/>
        <v>2</v>
      </c>
      <c r="Q31" s="20">
        <f t="shared" si="4"/>
        <v>2</v>
      </c>
      <c r="R31" s="20">
        <f t="shared" si="3"/>
        <v>15</v>
      </c>
      <c r="S31" s="20">
        <f t="shared" si="3"/>
        <v>0</v>
      </c>
      <c r="T31" s="20">
        <f t="shared" si="3"/>
        <v>0</v>
      </c>
      <c r="U31" s="20">
        <f t="shared" si="3"/>
        <v>0</v>
      </c>
      <c r="V31" s="20">
        <f t="shared" si="3"/>
        <v>0</v>
      </c>
      <c r="W31" s="20">
        <f t="shared" si="3"/>
        <v>1</v>
      </c>
    </row>
    <row r="32" spans="1:23" x14ac:dyDescent="0.15">
      <c r="A32" s="25" t="str">
        <f t="shared" si="2"/>
        <v>20002_2-3/4&lt;lv15&gt;s2</v>
      </c>
      <c r="B32" s="20">
        <f t="shared" si="4"/>
        <v>20002</v>
      </c>
      <c r="C32" s="20">
        <f t="shared" si="4"/>
        <v>2</v>
      </c>
      <c r="D32" s="20">
        <f t="shared" si="4"/>
        <v>3</v>
      </c>
      <c r="E32" s="20">
        <f t="shared" si="4"/>
        <v>4</v>
      </c>
      <c r="F32" s="20">
        <f t="shared" si="4"/>
        <v>15</v>
      </c>
      <c r="G32" s="20">
        <v>3.5</v>
      </c>
      <c r="H32" s="20">
        <f t="shared" si="5"/>
        <v>0.9</v>
      </c>
      <c r="I32" s="20">
        <f t="shared" si="5"/>
        <v>0</v>
      </c>
      <c r="J32" s="20">
        <f t="shared" si="4"/>
        <v>0</v>
      </c>
      <c r="K32" s="20">
        <f t="shared" si="4"/>
        <v>0</v>
      </c>
      <c r="L32" s="20">
        <f t="shared" si="4"/>
        <v>100</v>
      </c>
      <c r="M32" s="20">
        <f t="shared" si="4"/>
        <v>0</v>
      </c>
      <c r="N32" s="20">
        <f t="shared" si="4"/>
        <v>2</v>
      </c>
      <c r="O32" s="20">
        <f t="shared" si="4"/>
        <v>4</v>
      </c>
      <c r="P32" s="20">
        <f t="shared" si="4"/>
        <v>6</v>
      </c>
      <c r="Q32" s="20">
        <f t="shared" si="4"/>
        <v>2</v>
      </c>
      <c r="R32" s="20">
        <f t="shared" si="3"/>
        <v>15</v>
      </c>
      <c r="S32" s="20">
        <f t="shared" si="3"/>
        <v>0</v>
      </c>
      <c r="T32" s="20">
        <f t="shared" si="3"/>
        <v>0</v>
      </c>
      <c r="U32" s="20">
        <f t="shared" si="3"/>
        <v>0</v>
      </c>
      <c r="V32" s="20">
        <f t="shared" si="3"/>
        <v>0</v>
      </c>
      <c r="W32" s="20">
        <f t="shared" si="3"/>
        <v>1</v>
      </c>
    </row>
    <row r="33" spans="1:23" x14ac:dyDescent="0.15">
      <c r="A33" s="25" t="str">
        <f t="shared" si="2"/>
        <v>20002_2-3/11&lt;lv15&gt;s3</v>
      </c>
      <c r="B33" s="20">
        <f t="shared" si="4"/>
        <v>20002</v>
      </c>
      <c r="C33" s="20">
        <f t="shared" si="4"/>
        <v>2</v>
      </c>
      <c r="D33" s="20">
        <f t="shared" si="4"/>
        <v>3</v>
      </c>
      <c r="E33" s="20">
        <f t="shared" si="4"/>
        <v>11</v>
      </c>
      <c r="F33" s="20">
        <f t="shared" si="4"/>
        <v>15</v>
      </c>
      <c r="G33" s="20">
        <v>3.5</v>
      </c>
      <c r="H33" s="20">
        <f t="shared" si="5"/>
        <v>0.9</v>
      </c>
      <c r="I33" s="20">
        <f t="shared" si="5"/>
        <v>0</v>
      </c>
      <c r="J33" s="20">
        <f t="shared" si="4"/>
        <v>0</v>
      </c>
      <c r="K33" s="20">
        <f t="shared" si="4"/>
        <v>0</v>
      </c>
      <c r="L33" s="20">
        <f t="shared" si="4"/>
        <v>100</v>
      </c>
      <c r="M33" s="20">
        <f t="shared" si="4"/>
        <v>0</v>
      </c>
      <c r="N33" s="20">
        <f t="shared" si="4"/>
        <v>3</v>
      </c>
      <c r="O33" s="20">
        <f t="shared" si="4"/>
        <v>11</v>
      </c>
      <c r="P33" s="20">
        <f t="shared" si="4"/>
        <v>4</v>
      </c>
      <c r="Q33" s="20">
        <f t="shared" si="4"/>
        <v>1</v>
      </c>
      <c r="R33" s="20">
        <f t="shared" si="3"/>
        <v>15</v>
      </c>
      <c r="S33" s="20">
        <f t="shared" si="3"/>
        <v>0</v>
      </c>
      <c r="T33" s="20">
        <f t="shared" si="3"/>
        <v>0</v>
      </c>
      <c r="U33" s="20">
        <f t="shared" si="3"/>
        <v>0</v>
      </c>
      <c r="V33" s="20">
        <f t="shared" si="3"/>
        <v>0</v>
      </c>
      <c r="W33" s="20">
        <f t="shared" si="3"/>
        <v>1</v>
      </c>
    </row>
    <row r="34" spans="1:23" x14ac:dyDescent="0.15">
      <c r="A34" s="25" t="str">
        <f t="shared" si="2"/>
        <v>20002_2-3/23&lt;lv15&gt;s4</v>
      </c>
      <c r="B34" s="20">
        <f t="shared" si="4"/>
        <v>20002</v>
      </c>
      <c r="C34" s="20">
        <f t="shared" si="4"/>
        <v>2</v>
      </c>
      <c r="D34" s="20">
        <f t="shared" si="4"/>
        <v>3</v>
      </c>
      <c r="E34" s="20">
        <f t="shared" si="4"/>
        <v>23</v>
      </c>
      <c r="F34" s="20">
        <f t="shared" si="4"/>
        <v>15</v>
      </c>
      <c r="G34" s="20">
        <v>3.5</v>
      </c>
      <c r="H34" s="20">
        <f t="shared" si="5"/>
        <v>0.9</v>
      </c>
      <c r="I34" s="20">
        <f t="shared" si="5"/>
        <v>0</v>
      </c>
      <c r="J34" s="20">
        <f t="shared" si="4"/>
        <v>0</v>
      </c>
      <c r="K34" s="20">
        <f t="shared" si="4"/>
        <v>0</v>
      </c>
      <c r="L34" s="20">
        <f t="shared" si="4"/>
        <v>100</v>
      </c>
      <c r="M34" s="20">
        <f t="shared" si="4"/>
        <v>0</v>
      </c>
      <c r="N34" s="20">
        <f t="shared" si="4"/>
        <v>4</v>
      </c>
      <c r="O34" s="20">
        <f t="shared" si="4"/>
        <v>23</v>
      </c>
      <c r="P34" s="20">
        <f t="shared" si="4"/>
        <v>2</v>
      </c>
      <c r="Q34" s="20">
        <f t="shared" si="4"/>
        <v>1</v>
      </c>
      <c r="R34" s="20">
        <f t="shared" si="3"/>
        <v>15</v>
      </c>
      <c r="S34" s="20">
        <f t="shared" si="3"/>
        <v>0</v>
      </c>
      <c r="T34" s="20">
        <f t="shared" si="3"/>
        <v>0</v>
      </c>
      <c r="U34" s="20">
        <f t="shared" si="3"/>
        <v>0</v>
      </c>
      <c r="V34" s="20">
        <f t="shared" si="3"/>
        <v>0</v>
      </c>
      <c r="W34" s="20">
        <f t="shared" si="3"/>
        <v>1</v>
      </c>
    </row>
    <row r="35" spans="1:23" x14ac:dyDescent="0.15">
      <c r="A35" s="25" t="str">
        <f t="shared" si="2"/>
        <v>20002_2-3/43&lt;lv15&gt;s2</v>
      </c>
      <c r="B35" s="20">
        <f t="shared" si="4"/>
        <v>20002</v>
      </c>
      <c r="C35" s="20">
        <f t="shared" si="4"/>
        <v>2</v>
      </c>
      <c r="D35" s="20">
        <f t="shared" si="4"/>
        <v>3</v>
      </c>
      <c r="E35" s="20">
        <f t="shared" si="4"/>
        <v>43</v>
      </c>
      <c r="F35" s="20">
        <f t="shared" si="4"/>
        <v>15</v>
      </c>
      <c r="G35" s="20">
        <v>3.5</v>
      </c>
      <c r="H35" s="20">
        <f t="shared" si="5"/>
        <v>0.9</v>
      </c>
      <c r="I35" s="20">
        <f t="shared" si="5"/>
        <v>0</v>
      </c>
      <c r="J35" s="20">
        <f t="shared" si="4"/>
        <v>0</v>
      </c>
      <c r="K35" s="20">
        <f t="shared" si="4"/>
        <v>1</v>
      </c>
      <c r="L35" s="20">
        <f t="shared" si="4"/>
        <v>100</v>
      </c>
      <c r="M35" s="20">
        <f t="shared" si="4"/>
        <v>0</v>
      </c>
      <c r="N35" s="20">
        <f t="shared" si="4"/>
        <v>2</v>
      </c>
      <c r="O35" s="20">
        <f t="shared" si="4"/>
        <v>43</v>
      </c>
      <c r="P35" s="20">
        <f t="shared" si="4"/>
        <v>2</v>
      </c>
      <c r="Q35" s="20">
        <f t="shared" si="4"/>
        <v>2</v>
      </c>
      <c r="R35" s="20">
        <f t="shared" si="3"/>
        <v>15</v>
      </c>
      <c r="S35" s="20">
        <f t="shared" si="3"/>
        <v>0</v>
      </c>
      <c r="T35" s="20">
        <f t="shared" si="3"/>
        <v>0</v>
      </c>
      <c r="U35" s="20">
        <f t="shared" si="3"/>
        <v>0</v>
      </c>
      <c r="V35" s="20">
        <f t="shared" si="3"/>
        <v>0</v>
      </c>
      <c r="W35" s="20">
        <f t="shared" si="3"/>
        <v>1</v>
      </c>
    </row>
    <row r="36" spans="1:23" x14ac:dyDescent="0.15">
      <c r="A36" s="25" t="str">
        <f t="shared" si="2"/>
        <v>20002_2-3/59&lt;lv15&gt;s3</v>
      </c>
      <c r="B36" s="20">
        <f t="shared" si="4"/>
        <v>20002</v>
      </c>
      <c r="C36" s="20">
        <f t="shared" si="4"/>
        <v>2</v>
      </c>
      <c r="D36" s="20">
        <f t="shared" si="4"/>
        <v>3</v>
      </c>
      <c r="E36" s="20">
        <f t="shared" si="4"/>
        <v>59</v>
      </c>
      <c r="F36" s="20">
        <f t="shared" si="4"/>
        <v>15</v>
      </c>
      <c r="G36" s="20">
        <v>3.5</v>
      </c>
      <c r="H36" s="20">
        <f t="shared" si="5"/>
        <v>0.8</v>
      </c>
      <c r="I36" s="20">
        <f t="shared" si="5"/>
        <v>0</v>
      </c>
      <c r="J36" s="20">
        <f t="shared" si="4"/>
        <v>59</v>
      </c>
      <c r="K36" s="20">
        <f t="shared" si="4"/>
        <v>1</v>
      </c>
      <c r="L36" s="20">
        <f t="shared" si="4"/>
        <v>0</v>
      </c>
      <c r="M36" s="20">
        <f t="shared" ref="M36:W55" si="6">VLOOKUP($A36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1</v>
      </c>
      <c r="N36" s="20">
        <f t="shared" si="6"/>
        <v>3</v>
      </c>
      <c r="O36" s="20">
        <f t="shared" si="6"/>
        <v>59</v>
      </c>
      <c r="P36" s="20">
        <f t="shared" si="6"/>
        <v>2</v>
      </c>
      <c r="Q36" s="20">
        <f t="shared" si="6"/>
        <v>2</v>
      </c>
      <c r="R36" s="20">
        <f t="shared" si="6"/>
        <v>15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1</v>
      </c>
    </row>
    <row r="37" spans="1:23" x14ac:dyDescent="0.15">
      <c r="A37" s="25" t="str">
        <f t="shared" si="2"/>
        <v>20002_2-4/122&lt;lv10&gt;s3</v>
      </c>
      <c r="B37" s="20">
        <f t="shared" ref="B37:Q56" si="7">VLOOKUP($A37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20002</v>
      </c>
      <c r="C37" s="20">
        <f t="shared" si="7"/>
        <v>2</v>
      </c>
      <c r="D37" s="20">
        <f t="shared" si="7"/>
        <v>4</v>
      </c>
      <c r="E37" s="20">
        <f t="shared" si="7"/>
        <v>122</v>
      </c>
      <c r="F37" s="20">
        <f t="shared" si="7"/>
        <v>10</v>
      </c>
      <c r="G37" s="20">
        <v>3.5</v>
      </c>
      <c r="H37" s="20">
        <f t="shared" si="5"/>
        <v>0.3</v>
      </c>
      <c r="I37" s="20">
        <f t="shared" si="5"/>
        <v>0</v>
      </c>
      <c r="J37" s="20">
        <f t="shared" si="7"/>
        <v>1221</v>
      </c>
      <c r="K37" s="20">
        <f t="shared" si="7"/>
        <v>1</v>
      </c>
      <c r="L37" s="20">
        <f t="shared" si="7"/>
        <v>0</v>
      </c>
      <c r="M37" s="20">
        <f t="shared" si="7"/>
        <v>1</v>
      </c>
      <c r="N37" s="20">
        <f t="shared" si="7"/>
        <v>3</v>
      </c>
      <c r="O37" s="20">
        <f t="shared" si="7"/>
        <v>122</v>
      </c>
      <c r="P37" s="20">
        <f t="shared" si="7"/>
        <v>1</v>
      </c>
      <c r="Q37" s="20">
        <f t="shared" si="7"/>
        <v>3</v>
      </c>
      <c r="R37" s="20">
        <f ca="1">VLOOKUP($A37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37" s="20">
        <f t="shared" si="6"/>
        <v>0</v>
      </c>
      <c r="T37" s="20">
        <f t="shared" si="6"/>
        <v>0</v>
      </c>
      <c r="U37" s="20">
        <f t="shared" si="6"/>
        <v>0</v>
      </c>
      <c r="V37" s="20">
        <f t="shared" si="6"/>
        <v>0</v>
      </c>
      <c r="W37" s="20">
        <f t="shared" si="6"/>
        <v>1</v>
      </c>
    </row>
    <row r="38" spans="1:23" x14ac:dyDescent="0.15">
      <c r="A38" s="25" t="str">
        <f t="shared" si="2"/>
        <v>20002_2-4/4&lt;lv15&gt;s2</v>
      </c>
      <c r="B38" s="20">
        <f t="shared" si="7"/>
        <v>20002</v>
      </c>
      <c r="C38" s="20">
        <f t="shared" si="7"/>
        <v>2</v>
      </c>
      <c r="D38" s="20">
        <f t="shared" si="7"/>
        <v>4</v>
      </c>
      <c r="E38" s="20">
        <f t="shared" si="7"/>
        <v>4</v>
      </c>
      <c r="F38" s="20">
        <f t="shared" si="7"/>
        <v>15</v>
      </c>
      <c r="G38" s="20">
        <v>3.5</v>
      </c>
      <c r="H38" s="20">
        <f t="shared" si="5"/>
        <v>0.9</v>
      </c>
      <c r="I38" s="20">
        <f t="shared" si="5"/>
        <v>0</v>
      </c>
      <c r="J38" s="20">
        <f t="shared" si="7"/>
        <v>0</v>
      </c>
      <c r="K38" s="20">
        <f t="shared" si="7"/>
        <v>0</v>
      </c>
      <c r="L38" s="20">
        <f t="shared" si="7"/>
        <v>0</v>
      </c>
      <c r="M38" s="20">
        <f t="shared" si="7"/>
        <v>0</v>
      </c>
      <c r="N38" s="20">
        <f t="shared" si="7"/>
        <v>2</v>
      </c>
      <c r="O38" s="20">
        <f t="shared" si="7"/>
        <v>4</v>
      </c>
      <c r="P38" s="20">
        <f t="shared" si="7"/>
        <v>1</v>
      </c>
      <c r="Q38" s="20">
        <f t="shared" si="7"/>
        <v>2</v>
      </c>
      <c r="R38" s="20">
        <f t="shared" si="6"/>
        <v>15</v>
      </c>
      <c r="S38" s="20">
        <f t="shared" si="6"/>
        <v>0</v>
      </c>
      <c r="T38" s="20">
        <f t="shared" si="6"/>
        <v>0</v>
      </c>
      <c r="U38" s="20">
        <f t="shared" si="6"/>
        <v>0</v>
      </c>
      <c r="V38" s="20">
        <f t="shared" si="6"/>
        <v>0</v>
      </c>
      <c r="W38" s="20">
        <f t="shared" si="6"/>
        <v>1</v>
      </c>
    </row>
    <row r="39" spans="1:23" x14ac:dyDescent="0.15">
      <c r="A39" s="25" t="str">
        <f t="shared" si="2"/>
        <v>20002_2-4/11&lt;lv15&gt;s3</v>
      </c>
      <c r="B39" s="20">
        <f t="shared" si="7"/>
        <v>20002</v>
      </c>
      <c r="C39" s="20">
        <f t="shared" si="7"/>
        <v>2</v>
      </c>
      <c r="D39" s="20">
        <f t="shared" si="7"/>
        <v>4</v>
      </c>
      <c r="E39" s="20">
        <f t="shared" si="7"/>
        <v>11</v>
      </c>
      <c r="F39" s="20">
        <f t="shared" si="7"/>
        <v>15</v>
      </c>
      <c r="G39" s="20">
        <v>3.5</v>
      </c>
      <c r="H39" s="20">
        <f t="shared" si="5"/>
        <v>0.9</v>
      </c>
      <c r="I39" s="20">
        <f t="shared" si="5"/>
        <v>0</v>
      </c>
      <c r="J39" s="20">
        <f t="shared" si="7"/>
        <v>0</v>
      </c>
      <c r="K39" s="20">
        <f t="shared" si="7"/>
        <v>1</v>
      </c>
      <c r="L39" s="20">
        <f t="shared" si="7"/>
        <v>0</v>
      </c>
      <c r="M39" s="20">
        <f t="shared" si="7"/>
        <v>0</v>
      </c>
      <c r="N39" s="20">
        <f t="shared" si="7"/>
        <v>3</v>
      </c>
      <c r="O39" s="20">
        <f t="shared" si="7"/>
        <v>11</v>
      </c>
      <c r="P39" s="20">
        <f t="shared" si="7"/>
        <v>4</v>
      </c>
      <c r="Q39" s="20">
        <f t="shared" si="7"/>
        <v>1</v>
      </c>
      <c r="R39" s="20">
        <f t="shared" si="6"/>
        <v>15</v>
      </c>
      <c r="S39" s="20">
        <f t="shared" si="6"/>
        <v>0</v>
      </c>
      <c r="T39" s="20">
        <f t="shared" si="6"/>
        <v>0</v>
      </c>
      <c r="U39" s="20">
        <f t="shared" si="6"/>
        <v>0</v>
      </c>
      <c r="V39" s="20">
        <f t="shared" si="6"/>
        <v>0</v>
      </c>
      <c r="W39" s="20">
        <f t="shared" si="6"/>
        <v>1</v>
      </c>
    </row>
    <row r="40" spans="1:23" x14ac:dyDescent="0.15">
      <c r="A40" s="25" t="str">
        <f t="shared" si="2"/>
        <v>20002_2-4/23&lt;lv15&gt;s4</v>
      </c>
      <c r="B40" s="20">
        <f t="shared" si="7"/>
        <v>20002</v>
      </c>
      <c r="C40" s="20">
        <f t="shared" si="7"/>
        <v>2</v>
      </c>
      <c r="D40" s="20">
        <f t="shared" si="7"/>
        <v>4</v>
      </c>
      <c r="E40" s="20">
        <f t="shared" si="7"/>
        <v>23</v>
      </c>
      <c r="F40" s="20">
        <f t="shared" si="7"/>
        <v>15</v>
      </c>
      <c r="G40" s="20">
        <v>3.5</v>
      </c>
      <c r="H40" s="20">
        <f t="shared" si="5"/>
        <v>0.9</v>
      </c>
      <c r="I40" s="20">
        <f t="shared" si="5"/>
        <v>0</v>
      </c>
      <c r="J40" s="20">
        <f t="shared" si="7"/>
        <v>0</v>
      </c>
      <c r="K40" s="20">
        <f t="shared" si="7"/>
        <v>1</v>
      </c>
      <c r="L40" s="20">
        <f t="shared" si="7"/>
        <v>0</v>
      </c>
      <c r="M40" s="20">
        <f t="shared" si="7"/>
        <v>0</v>
      </c>
      <c r="N40" s="20">
        <f t="shared" si="7"/>
        <v>4</v>
      </c>
      <c r="O40" s="20">
        <f t="shared" si="7"/>
        <v>23</v>
      </c>
      <c r="P40" s="20">
        <f t="shared" si="7"/>
        <v>2</v>
      </c>
      <c r="Q40" s="20">
        <f t="shared" si="7"/>
        <v>1</v>
      </c>
      <c r="R40" s="20">
        <f t="shared" si="6"/>
        <v>15</v>
      </c>
      <c r="S40" s="20">
        <f t="shared" si="6"/>
        <v>0</v>
      </c>
      <c r="T40" s="20">
        <f t="shared" si="6"/>
        <v>0</v>
      </c>
      <c r="U40" s="20">
        <f t="shared" si="6"/>
        <v>0</v>
      </c>
      <c r="V40" s="20">
        <f t="shared" si="6"/>
        <v>0</v>
      </c>
      <c r="W40" s="20">
        <f t="shared" si="6"/>
        <v>1</v>
      </c>
    </row>
    <row r="41" spans="1:23" x14ac:dyDescent="0.15">
      <c r="A41" s="25" t="str">
        <f t="shared" si="2"/>
        <v>20002_2-4/43&lt;lv15&gt;s2</v>
      </c>
      <c r="B41" s="20">
        <f t="shared" si="7"/>
        <v>20002</v>
      </c>
      <c r="C41" s="20">
        <f t="shared" si="7"/>
        <v>2</v>
      </c>
      <c r="D41" s="20">
        <f t="shared" si="7"/>
        <v>4</v>
      </c>
      <c r="E41" s="20">
        <f t="shared" si="7"/>
        <v>43</v>
      </c>
      <c r="F41" s="20">
        <f t="shared" si="7"/>
        <v>15</v>
      </c>
      <c r="G41" s="20">
        <v>3.5</v>
      </c>
      <c r="H41" s="20">
        <f t="shared" si="5"/>
        <v>0.9</v>
      </c>
      <c r="I41" s="20">
        <f t="shared" si="5"/>
        <v>0</v>
      </c>
      <c r="J41" s="20">
        <f t="shared" si="7"/>
        <v>0</v>
      </c>
      <c r="K41" s="20">
        <f t="shared" si="7"/>
        <v>0</v>
      </c>
      <c r="L41" s="20">
        <f t="shared" si="7"/>
        <v>0</v>
      </c>
      <c r="M41" s="20">
        <f t="shared" si="7"/>
        <v>0</v>
      </c>
      <c r="N41" s="20">
        <f t="shared" si="7"/>
        <v>2</v>
      </c>
      <c r="O41" s="20">
        <f t="shared" si="7"/>
        <v>43</v>
      </c>
      <c r="P41" s="20">
        <f t="shared" si="7"/>
        <v>2</v>
      </c>
      <c r="Q41" s="20">
        <f t="shared" si="7"/>
        <v>2</v>
      </c>
      <c r="R41" s="20">
        <f ca="1">VLOOKUP($A41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1" s="20">
        <f t="shared" si="6"/>
        <v>0</v>
      </c>
      <c r="T41" s="20">
        <f t="shared" si="6"/>
        <v>0</v>
      </c>
      <c r="U41" s="20">
        <f t="shared" si="6"/>
        <v>0</v>
      </c>
      <c r="V41" s="20">
        <f t="shared" si="6"/>
        <v>0</v>
      </c>
      <c r="W41" s="20">
        <f t="shared" si="6"/>
        <v>1</v>
      </c>
    </row>
    <row r="42" spans="1:23" x14ac:dyDescent="0.15">
      <c r="A42" s="25" t="str">
        <f t="shared" si="2"/>
        <v>20002_2-4/59&lt;lv15&gt;s2</v>
      </c>
      <c r="B42" s="20">
        <f t="shared" si="7"/>
        <v>20002</v>
      </c>
      <c r="C42" s="20">
        <f t="shared" si="7"/>
        <v>2</v>
      </c>
      <c r="D42" s="20">
        <f t="shared" si="7"/>
        <v>4</v>
      </c>
      <c r="E42" s="20">
        <f t="shared" si="7"/>
        <v>59</v>
      </c>
      <c r="F42" s="20">
        <f t="shared" si="7"/>
        <v>15</v>
      </c>
      <c r="G42" s="20">
        <v>3.5</v>
      </c>
      <c r="H42" s="20">
        <f t="shared" si="5"/>
        <v>0.9</v>
      </c>
      <c r="I42" s="20">
        <f t="shared" si="5"/>
        <v>0</v>
      </c>
      <c r="J42" s="20">
        <f t="shared" si="7"/>
        <v>59</v>
      </c>
      <c r="K42" s="20">
        <f t="shared" si="7"/>
        <v>0</v>
      </c>
      <c r="L42" s="20">
        <f t="shared" si="7"/>
        <v>0</v>
      </c>
      <c r="M42" s="20">
        <f t="shared" si="7"/>
        <v>0</v>
      </c>
      <c r="N42" s="20">
        <f t="shared" si="7"/>
        <v>2</v>
      </c>
      <c r="O42" s="20">
        <f t="shared" si="7"/>
        <v>59</v>
      </c>
      <c r="P42" s="20">
        <f t="shared" si="7"/>
        <v>2</v>
      </c>
      <c r="Q42" s="20">
        <f t="shared" si="7"/>
        <v>2</v>
      </c>
      <c r="R42" s="20">
        <f t="shared" si="6"/>
        <v>15</v>
      </c>
      <c r="S42" s="20">
        <f t="shared" si="6"/>
        <v>0</v>
      </c>
      <c r="T42" s="20">
        <f t="shared" si="6"/>
        <v>0</v>
      </c>
      <c r="U42" s="20">
        <f t="shared" si="6"/>
        <v>0</v>
      </c>
      <c r="V42" s="20">
        <f t="shared" si="6"/>
        <v>0</v>
      </c>
      <c r="W42" s="20">
        <f t="shared" si="6"/>
        <v>1</v>
      </c>
    </row>
    <row r="43" spans="1:23" x14ac:dyDescent="0.15">
      <c r="A43" s="25" t="str">
        <f t="shared" si="2"/>
        <v>20002_2-5/264&lt;lv16&gt;s1</v>
      </c>
      <c r="B43" s="20">
        <f t="shared" si="7"/>
        <v>20002</v>
      </c>
      <c r="C43" s="20">
        <f t="shared" si="7"/>
        <v>2</v>
      </c>
      <c r="D43" s="20">
        <f t="shared" si="7"/>
        <v>5</v>
      </c>
      <c r="E43" s="20">
        <f t="shared" si="7"/>
        <v>264</v>
      </c>
      <c r="F43" s="20">
        <f t="shared" si="7"/>
        <v>16</v>
      </c>
      <c r="G43" s="20">
        <v>3.5</v>
      </c>
      <c r="H43" s="20">
        <f t="shared" si="5"/>
        <v>0.9</v>
      </c>
      <c r="I43" s="20">
        <f t="shared" si="5"/>
        <v>0</v>
      </c>
      <c r="J43" s="20">
        <f t="shared" si="7"/>
        <v>264</v>
      </c>
      <c r="K43" s="20">
        <f t="shared" si="7"/>
        <v>1</v>
      </c>
      <c r="L43" s="20">
        <f t="shared" si="7"/>
        <v>100</v>
      </c>
      <c r="M43" s="20">
        <f t="shared" si="7"/>
        <v>1</v>
      </c>
      <c r="N43" s="20">
        <f t="shared" si="7"/>
        <v>1</v>
      </c>
      <c r="O43" s="20">
        <f t="shared" si="7"/>
        <v>264</v>
      </c>
      <c r="P43" s="20">
        <f t="shared" si="7"/>
        <v>1</v>
      </c>
      <c r="Q43" s="20">
        <f t="shared" si="7"/>
        <v>3</v>
      </c>
      <c r="R43" s="20">
        <f ca="1">VLOOKUP($A43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3" s="20">
        <f t="shared" si="6"/>
        <v>0</v>
      </c>
      <c r="T43" s="20">
        <f t="shared" si="6"/>
        <v>0</v>
      </c>
      <c r="U43" s="20">
        <f t="shared" si="6"/>
        <v>0</v>
      </c>
      <c r="V43" s="20">
        <f t="shared" si="6"/>
        <v>0</v>
      </c>
      <c r="W43" s="20">
        <f t="shared" si="6"/>
        <v>1</v>
      </c>
    </row>
    <row r="44" spans="1:23" x14ac:dyDescent="0.15">
      <c r="A44" s="25" t="str">
        <f t="shared" si="2"/>
        <v>20002_3-1/4&lt;lv23&gt;s2</v>
      </c>
      <c r="B44" s="20">
        <f t="shared" si="7"/>
        <v>20002</v>
      </c>
      <c r="C44" s="20">
        <f t="shared" si="7"/>
        <v>3</v>
      </c>
      <c r="D44" s="20">
        <f t="shared" si="7"/>
        <v>1</v>
      </c>
      <c r="E44" s="20">
        <f t="shared" si="7"/>
        <v>4</v>
      </c>
      <c r="F44" s="20">
        <f t="shared" si="7"/>
        <v>23</v>
      </c>
      <c r="G44" s="20">
        <v>3.5</v>
      </c>
      <c r="H44" s="20">
        <f t="shared" si="5"/>
        <v>0.9</v>
      </c>
      <c r="I44" s="20">
        <f t="shared" si="5"/>
        <v>0</v>
      </c>
      <c r="J44" s="20">
        <f t="shared" si="7"/>
        <v>0</v>
      </c>
      <c r="K44" s="20">
        <f t="shared" si="7"/>
        <v>0</v>
      </c>
      <c r="L44" s="20">
        <f t="shared" si="7"/>
        <v>100</v>
      </c>
      <c r="M44" s="20">
        <f t="shared" si="7"/>
        <v>0</v>
      </c>
      <c r="N44" s="20">
        <f t="shared" si="7"/>
        <v>2</v>
      </c>
      <c r="O44" s="20">
        <f t="shared" si="7"/>
        <v>4</v>
      </c>
      <c r="P44" s="20">
        <f t="shared" si="7"/>
        <v>9</v>
      </c>
      <c r="Q44" s="20">
        <f t="shared" si="7"/>
        <v>2</v>
      </c>
      <c r="R44" s="20">
        <f t="shared" ref="R43:R63" ca="1" si="8">VLOOKUP($A44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4" s="20">
        <f t="shared" si="6"/>
        <v>0</v>
      </c>
      <c r="T44" s="20">
        <f t="shared" si="6"/>
        <v>0</v>
      </c>
      <c r="U44" s="20">
        <f t="shared" si="6"/>
        <v>0</v>
      </c>
      <c r="V44" s="20">
        <f t="shared" si="6"/>
        <v>0</v>
      </c>
      <c r="W44" s="20">
        <f t="shared" si="6"/>
        <v>1</v>
      </c>
    </row>
    <row r="45" spans="1:23" x14ac:dyDescent="0.15">
      <c r="A45" s="25" t="str">
        <f t="shared" si="2"/>
        <v>20002_3-1/27&lt;lv23&gt;s1</v>
      </c>
      <c r="B45" s="20">
        <f t="shared" si="7"/>
        <v>20002</v>
      </c>
      <c r="C45" s="20">
        <f t="shared" si="7"/>
        <v>3</v>
      </c>
      <c r="D45" s="20">
        <f t="shared" si="7"/>
        <v>1</v>
      </c>
      <c r="E45" s="20">
        <f t="shared" si="7"/>
        <v>27</v>
      </c>
      <c r="F45" s="20">
        <f t="shared" si="7"/>
        <v>23</v>
      </c>
      <c r="G45" s="20">
        <v>3.5</v>
      </c>
      <c r="H45" s="20">
        <f t="shared" si="5"/>
        <v>0.9</v>
      </c>
      <c r="I45" s="20">
        <f t="shared" si="5"/>
        <v>0</v>
      </c>
      <c r="J45" s="20">
        <f t="shared" si="7"/>
        <v>0</v>
      </c>
      <c r="K45" s="20">
        <f t="shared" si="7"/>
        <v>0</v>
      </c>
      <c r="L45" s="20">
        <f t="shared" si="7"/>
        <v>100</v>
      </c>
      <c r="M45" s="20">
        <f t="shared" si="7"/>
        <v>0</v>
      </c>
      <c r="N45" s="20">
        <f t="shared" si="7"/>
        <v>1</v>
      </c>
      <c r="O45" s="20">
        <f t="shared" si="7"/>
        <v>27</v>
      </c>
      <c r="P45" s="20">
        <f t="shared" si="7"/>
        <v>5</v>
      </c>
      <c r="Q45" s="20">
        <f t="shared" si="7"/>
        <v>1</v>
      </c>
      <c r="R45" s="20">
        <f t="shared" ca="1" si="8"/>
        <v>15</v>
      </c>
      <c r="S45" s="20">
        <f t="shared" si="6"/>
        <v>0</v>
      </c>
      <c r="T45" s="20">
        <f t="shared" si="6"/>
        <v>0</v>
      </c>
      <c r="U45" s="20">
        <f t="shared" si="6"/>
        <v>0</v>
      </c>
      <c r="V45" s="20">
        <f t="shared" si="6"/>
        <v>0</v>
      </c>
      <c r="W45" s="20">
        <f t="shared" si="6"/>
        <v>1</v>
      </c>
    </row>
    <row r="46" spans="1:23" x14ac:dyDescent="0.15">
      <c r="A46" s="25" t="str">
        <f t="shared" si="2"/>
        <v>20002_3-1/43&lt;lv23&gt;s2</v>
      </c>
      <c r="B46" s="20">
        <f t="shared" si="7"/>
        <v>20002</v>
      </c>
      <c r="C46" s="20">
        <f t="shared" si="7"/>
        <v>3</v>
      </c>
      <c r="D46" s="20">
        <f t="shared" si="7"/>
        <v>1</v>
      </c>
      <c r="E46" s="20">
        <f t="shared" si="7"/>
        <v>43</v>
      </c>
      <c r="F46" s="20">
        <f t="shared" si="7"/>
        <v>23</v>
      </c>
      <c r="G46" s="20">
        <v>3.5</v>
      </c>
      <c r="H46" s="20">
        <f t="shared" si="5"/>
        <v>0.9</v>
      </c>
      <c r="I46" s="20">
        <f t="shared" si="5"/>
        <v>0</v>
      </c>
      <c r="J46" s="20">
        <f t="shared" si="7"/>
        <v>0</v>
      </c>
      <c r="K46" s="20">
        <f t="shared" si="7"/>
        <v>0</v>
      </c>
      <c r="L46" s="20">
        <f t="shared" si="7"/>
        <v>100</v>
      </c>
      <c r="M46" s="20">
        <f t="shared" si="7"/>
        <v>0</v>
      </c>
      <c r="N46" s="20">
        <f t="shared" si="7"/>
        <v>2</v>
      </c>
      <c r="O46" s="20">
        <f t="shared" si="7"/>
        <v>43</v>
      </c>
      <c r="P46" s="20">
        <f t="shared" si="7"/>
        <v>5</v>
      </c>
      <c r="Q46" s="20">
        <f t="shared" si="7"/>
        <v>2</v>
      </c>
      <c r="R46" s="20">
        <f t="shared" ca="1" si="8"/>
        <v>15</v>
      </c>
      <c r="S46" s="20">
        <f t="shared" si="6"/>
        <v>0</v>
      </c>
      <c r="T46" s="20">
        <f t="shared" si="6"/>
        <v>0</v>
      </c>
      <c r="U46" s="20">
        <f t="shared" si="6"/>
        <v>0</v>
      </c>
      <c r="V46" s="20">
        <f t="shared" si="6"/>
        <v>0</v>
      </c>
      <c r="W46" s="20">
        <f t="shared" si="6"/>
        <v>1</v>
      </c>
    </row>
    <row r="47" spans="1:23" x14ac:dyDescent="0.15">
      <c r="A47" s="25" t="str">
        <f t="shared" si="2"/>
        <v>20002_3-1/51&lt;lv22&gt;s2</v>
      </c>
      <c r="B47" s="20">
        <f t="shared" si="7"/>
        <v>20002</v>
      </c>
      <c r="C47" s="20">
        <f t="shared" si="7"/>
        <v>3</v>
      </c>
      <c r="D47" s="20">
        <f t="shared" si="7"/>
        <v>1</v>
      </c>
      <c r="E47" s="20">
        <f t="shared" si="7"/>
        <v>51</v>
      </c>
      <c r="F47" s="20">
        <f t="shared" si="7"/>
        <v>22</v>
      </c>
      <c r="G47" s="20">
        <v>3.5</v>
      </c>
      <c r="H47" s="20">
        <f t="shared" si="5"/>
        <v>0.9</v>
      </c>
      <c r="I47" s="20">
        <f t="shared" si="5"/>
        <v>0</v>
      </c>
      <c r="J47" s="20">
        <f t="shared" si="7"/>
        <v>51</v>
      </c>
      <c r="K47" s="20">
        <f t="shared" si="7"/>
        <v>0</v>
      </c>
      <c r="L47" s="20">
        <f t="shared" si="7"/>
        <v>20</v>
      </c>
      <c r="M47" s="20">
        <f t="shared" si="7"/>
        <v>0</v>
      </c>
      <c r="N47" s="20">
        <f t="shared" si="7"/>
        <v>2</v>
      </c>
      <c r="O47" s="20">
        <f t="shared" si="7"/>
        <v>51</v>
      </c>
      <c r="P47" s="20">
        <f t="shared" si="7"/>
        <v>5</v>
      </c>
      <c r="Q47" s="20">
        <f t="shared" si="7"/>
        <v>2</v>
      </c>
      <c r="R47" s="20">
        <f t="shared" ca="1" si="8"/>
        <v>15</v>
      </c>
      <c r="S47" s="20">
        <f t="shared" si="6"/>
        <v>0</v>
      </c>
      <c r="T47" s="20">
        <f t="shared" si="6"/>
        <v>0</v>
      </c>
      <c r="U47" s="20">
        <f t="shared" si="6"/>
        <v>0</v>
      </c>
      <c r="V47" s="20">
        <f t="shared" si="6"/>
        <v>0</v>
      </c>
      <c r="W47" s="20">
        <f t="shared" si="6"/>
        <v>1</v>
      </c>
    </row>
    <row r="48" spans="1:23" x14ac:dyDescent="0.15">
      <c r="A48" s="25" t="str">
        <f t="shared" si="2"/>
        <v>20002_3-2/4&lt;lv23&gt;s2</v>
      </c>
      <c r="B48" s="20">
        <f t="shared" si="7"/>
        <v>20002</v>
      </c>
      <c r="C48" s="20">
        <f t="shared" si="7"/>
        <v>3</v>
      </c>
      <c r="D48" s="20">
        <f t="shared" si="7"/>
        <v>2</v>
      </c>
      <c r="E48" s="20">
        <f t="shared" si="7"/>
        <v>4</v>
      </c>
      <c r="F48" s="20">
        <f t="shared" si="7"/>
        <v>23</v>
      </c>
      <c r="G48" s="20">
        <v>3.5</v>
      </c>
      <c r="H48" s="20">
        <f t="shared" si="5"/>
        <v>0.9</v>
      </c>
      <c r="I48" s="20">
        <f t="shared" si="5"/>
        <v>0</v>
      </c>
      <c r="J48" s="20">
        <f t="shared" si="7"/>
        <v>0</v>
      </c>
      <c r="K48" s="20">
        <f t="shared" si="7"/>
        <v>0</v>
      </c>
      <c r="L48" s="20">
        <f t="shared" si="7"/>
        <v>100</v>
      </c>
      <c r="M48" s="20">
        <f t="shared" si="7"/>
        <v>0</v>
      </c>
      <c r="N48" s="20">
        <f t="shared" si="7"/>
        <v>2</v>
      </c>
      <c r="O48" s="20">
        <f t="shared" si="7"/>
        <v>4</v>
      </c>
      <c r="P48" s="20">
        <f t="shared" si="7"/>
        <v>9</v>
      </c>
      <c r="Q48" s="20">
        <f t="shared" si="7"/>
        <v>2</v>
      </c>
      <c r="R48" s="20">
        <f t="shared" ca="1" si="8"/>
        <v>15</v>
      </c>
      <c r="S48" s="20">
        <f t="shared" si="6"/>
        <v>0</v>
      </c>
      <c r="T48" s="20">
        <f t="shared" si="6"/>
        <v>0</v>
      </c>
      <c r="U48" s="20">
        <f t="shared" si="6"/>
        <v>0</v>
      </c>
      <c r="V48" s="20">
        <f t="shared" si="6"/>
        <v>0</v>
      </c>
      <c r="W48" s="20">
        <f t="shared" si="6"/>
        <v>1</v>
      </c>
    </row>
    <row r="49" spans="1:23" x14ac:dyDescent="0.15">
      <c r="A49" s="25" t="str">
        <f t="shared" si="2"/>
        <v>20002_3-2/27&lt;lv23&gt;s1</v>
      </c>
      <c r="B49" s="20">
        <f t="shared" si="7"/>
        <v>20002</v>
      </c>
      <c r="C49" s="20">
        <f t="shared" si="7"/>
        <v>3</v>
      </c>
      <c r="D49" s="20">
        <f t="shared" si="7"/>
        <v>2</v>
      </c>
      <c r="E49" s="20">
        <f t="shared" si="7"/>
        <v>27</v>
      </c>
      <c r="F49" s="20">
        <f t="shared" si="7"/>
        <v>23</v>
      </c>
      <c r="G49" s="20">
        <v>3.5</v>
      </c>
      <c r="H49" s="20">
        <f t="shared" si="5"/>
        <v>0.9</v>
      </c>
      <c r="I49" s="20">
        <f t="shared" si="5"/>
        <v>0</v>
      </c>
      <c r="J49" s="20">
        <f t="shared" si="7"/>
        <v>0</v>
      </c>
      <c r="K49" s="20">
        <f t="shared" si="7"/>
        <v>0</v>
      </c>
      <c r="L49" s="20">
        <f t="shared" si="7"/>
        <v>100</v>
      </c>
      <c r="M49" s="20">
        <f t="shared" si="7"/>
        <v>0</v>
      </c>
      <c r="N49" s="20">
        <f t="shared" si="7"/>
        <v>1</v>
      </c>
      <c r="O49" s="20">
        <f t="shared" si="7"/>
        <v>27</v>
      </c>
      <c r="P49" s="20">
        <f t="shared" si="7"/>
        <v>5</v>
      </c>
      <c r="Q49" s="20">
        <f t="shared" si="7"/>
        <v>1</v>
      </c>
      <c r="R49" s="20">
        <f t="shared" ca="1" si="8"/>
        <v>15</v>
      </c>
      <c r="S49" s="20">
        <f t="shared" si="6"/>
        <v>0</v>
      </c>
      <c r="T49" s="20">
        <f t="shared" si="6"/>
        <v>0</v>
      </c>
      <c r="U49" s="20">
        <f t="shared" si="6"/>
        <v>0</v>
      </c>
      <c r="V49" s="20">
        <f t="shared" si="6"/>
        <v>0</v>
      </c>
      <c r="W49" s="20">
        <f t="shared" si="6"/>
        <v>1</v>
      </c>
    </row>
    <row r="50" spans="1:23" x14ac:dyDescent="0.15">
      <c r="A50" s="25" t="str">
        <f t="shared" si="2"/>
        <v>20002_3-2/43&lt;lv23&gt;s2</v>
      </c>
      <c r="B50" s="20">
        <f t="shared" si="7"/>
        <v>20002</v>
      </c>
      <c r="C50" s="20">
        <f t="shared" si="7"/>
        <v>3</v>
      </c>
      <c r="D50" s="20">
        <f t="shared" si="7"/>
        <v>2</v>
      </c>
      <c r="E50" s="20">
        <f t="shared" si="7"/>
        <v>43</v>
      </c>
      <c r="F50" s="20">
        <f t="shared" si="7"/>
        <v>23</v>
      </c>
      <c r="G50" s="20">
        <v>3.5</v>
      </c>
      <c r="H50" s="20">
        <f t="shared" si="5"/>
        <v>0.9</v>
      </c>
      <c r="I50" s="20">
        <f t="shared" si="5"/>
        <v>0</v>
      </c>
      <c r="J50" s="20">
        <f t="shared" si="7"/>
        <v>0</v>
      </c>
      <c r="K50" s="20">
        <f t="shared" si="7"/>
        <v>0</v>
      </c>
      <c r="L50" s="20">
        <f t="shared" si="7"/>
        <v>100</v>
      </c>
      <c r="M50" s="20">
        <f t="shared" si="7"/>
        <v>0</v>
      </c>
      <c r="N50" s="20">
        <f t="shared" si="7"/>
        <v>2</v>
      </c>
      <c r="O50" s="20">
        <f t="shared" si="7"/>
        <v>43</v>
      </c>
      <c r="P50" s="20">
        <f t="shared" si="7"/>
        <v>5</v>
      </c>
      <c r="Q50" s="20">
        <f t="shared" si="7"/>
        <v>2</v>
      </c>
      <c r="R50" s="20">
        <f t="shared" ca="1" si="8"/>
        <v>15</v>
      </c>
      <c r="S50" s="20">
        <f t="shared" si="6"/>
        <v>0</v>
      </c>
      <c r="T50" s="20">
        <f t="shared" si="6"/>
        <v>0</v>
      </c>
      <c r="U50" s="20">
        <f t="shared" si="6"/>
        <v>0</v>
      </c>
      <c r="V50" s="20">
        <f t="shared" si="6"/>
        <v>0</v>
      </c>
      <c r="W50" s="20">
        <f t="shared" si="6"/>
        <v>1</v>
      </c>
    </row>
    <row r="51" spans="1:23" x14ac:dyDescent="0.15">
      <c r="A51" s="25" t="str">
        <f t="shared" si="2"/>
        <v>20002_3-2/51&lt;lv22&gt;s2</v>
      </c>
      <c r="B51" s="20">
        <f t="shared" si="7"/>
        <v>20002</v>
      </c>
      <c r="C51" s="20">
        <f t="shared" si="7"/>
        <v>3</v>
      </c>
      <c r="D51" s="20">
        <f t="shared" si="7"/>
        <v>2</v>
      </c>
      <c r="E51" s="20">
        <f t="shared" si="7"/>
        <v>51</v>
      </c>
      <c r="F51" s="20">
        <f t="shared" si="7"/>
        <v>22</v>
      </c>
      <c r="G51" s="20">
        <v>3.5</v>
      </c>
      <c r="H51" s="20">
        <f t="shared" si="5"/>
        <v>0.9</v>
      </c>
      <c r="I51" s="20">
        <f t="shared" si="5"/>
        <v>0</v>
      </c>
      <c r="J51" s="20">
        <f t="shared" si="7"/>
        <v>51</v>
      </c>
      <c r="K51" s="20">
        <f t="shared" si="7"/>
        <v>0</v>
      </c>
      <c r="L51" s="20">
        <f t="shared" si="7"/>
        <v>20</v>
      </c>
      <c r="M51" s="20">
        <f t="shared" si="7"/>
        <v>0</v>
      </c>
      <c r="N51" s="20">
        <f t="shared" si="7"/>
        <v>2</v>
      </c>
      <c r="O51" s="20">
        <f t="shared" si="7"/>
        <v>51</v>
      </c>
      <c r="P51" s="20">
        <f t="shared" si="7"/>
        <v>5</v>
      </c>
      <c r="Q51" s="20">
        <f t="shared" si="7"/>
        <v>2</v>
      </c>
      <c r="R51" s="20">
        <f t="shared" ca="1" si="8"/>
        <v>15</v>
      </c>
      <c r="S51" s="20">
        <f t="shared" si="6"/>
        <v>0</v>
      </c>
      <c r="T51" s="20">
        <f t="shared" si="6"/>
        <v>0</v>
      </c>
      <c r="U51" s="20">
        <f t="shared" si="6"/>
        <v>0</v>
      </c>
      <c r="V51" s="20">
        <f t="shared" si="6"/>
        <v>0</v>
      </c>
      <c r="W51" s="20">
        <f t="shared" si="6"/>
        <v>1</v>
      </c>
    </row>
    <row r="52" spans="1:23" x14ac:dyDescent="0.15">
      <c r="A52" s="25" t="str">
        <f t="shared" si="2"/>
        <v>20002_3-2/59&lt;lv23&gt;s2</v>
      </c>
      <c r="B52" s="20">
        <f t="shared" si="7"/>
        <v>20002</v>
      </c>
      <c r="C52" s="20">
        <f t="shared" si="7"/>
        <v>3</v>
      </c>
      <c r="D52" s="20">
        <f t="shared" si="7"/>
        <v>2</v>
      </c>
      <c r="E52" s="20">
        <f t="shared" si="7"/>
        <v>59</v>
      </c>
      <c r="F52" s="20">
        <f t="shared" si="7"/>
        <v>23</v>
      </c>
      <c r="G52" s="20">
        <v>3.5</v>
      </c>
      <c r="H52" s="20">
        <f t="shared" si="5"/>
        <v>0.9</v>
      </c>
      <c r="I52" s="20">
        <f t="shared" si="5"/>
        <v>0</v>
      </c>
      <c r="J52" s="20">
        <f t="shared" si="7"/>
        <v>59</v>
      </c>
      <c r="K52" s="20">
        <f t="shared" si="7"/>
        <v>1</v>
      </c>
      <c r="L52" s="20">
        <f t="shared" si="7"/>
        <v>0</v>
      </c>
      <c r="M52" s="20">
        <f t="shared" si="7"/>
        <v>1</v>
      </c>
      <c r="N52" s="20">
        <f t="shared" si="7"/>
        <v>2</v>
      </c>
      <c r="O52" s="20">
        <f t="shared" si="7"/>
        <v>59</v>
      </c>
      <c r="P52" s="20">
        <f t="shared" si="7"/>
        <v>5</v>
      </c>
      <c r="Q52" s="20">
        <f t="shared" si="7"/>
        <v>2</v>
      </c>
      <c r="R52" s="20">
        <f t="shared" ca="1" si="8"/>
        <v>15</v>
      </c>
      <c r="S52" s="20">
        <f t="shared" si="6"/>
        <v>0</v>
      </c>
      <c r="T52" s="20">
        <f t="shared" si="6"/>
        <v>0</v>
      </c>
      <c r="U52" s="20">
        <f t="shared" si="6"/>
        <v>0</v>
      </c>
      <c r="V52" s="20">
        <f t="shared" si="6"/>
        <v>0</v>
      </c>
      <c r="W52" s="20">
        <f t="shared" si="6"/>
        <v>1</v>
      </c>
    </row>
    <row r="53" spans="1:23" x14ac:dyDescent="0.15">
      <c r="A53" s="25" t="str">
        <f t="shared" si="2"/>
        <v>20002_3-3/4&lt;lv23&gt;s2</v>
      </c>
      <c r="B53" s="20">
        <f t="shared" si="7"/>
        <v>20002</v>
      </c>
      <c r="C53" s="20">
        <f t="shared" si="7"/>
        <v>3</v>
      </c>
      <c r="D53" s="20">
        <f t="shared" si="7"/>
        <v>3</v>
      </c>
      <c r="E53" s="20">
        <f t="shared" si="7"/>
        <v>4</v>
      </c>
      <c r="F53" s="20">
        <f t="shared" si="7"/>
        <v>23</v>
      </c>
      <c r="G53" s="20">
        <v>3.5</v>
      </c>
      <c r="H53" s="20">
        <f t="shared" si="5"/>
        <v>0.9</v>
      </c>
      <c r="I53" s="20">
        <f t="shared" si="5"/>
        <v>0</v>
      </c>
      <c r="J53" s="20">
        <f t="shared" si="7"/>
        <v>0</v>
      </c>
      <c r="K53" s="20">
        <f t="shared" si="7"/>
        <v>0</v>
      </c>
      <c r="L53" s="20">
        <f t="shared" si="7"/>
        <v>100</v>
      </c>
      <c r="M53" s="20">
        <f t="shared" si="7"/>
        <v>0</v>
      </c>
      <c r="N53" s="20">
        <f t="shared" si="7"/>
        <v>2</v>
      </c>
      <c r="O53" s="20">
        <f t="shared" si="7"/>
        <v>4</v>
      </c>
      <c r="P53" s="20">
        <f t="shared" si="7"/>
        <v>9</v>
      </c>
      <c r="Q53" s="20">
        <f t="shared" si="7"/>
        <v>2</v>
      </c>
      <c r="R53" s="20">
        <f t="shared" ca="1" si="8"/>
        <v>15</v>
      </c>
      <c r="S53" s="20">
        <f t="shared" si="6"/>
        <v>0</v>
      </c>
      <c r="T53" s="20">
        <f t="shared" si="6"/>
        <v>0</v>
      </c>
      <c r="U53" s="20">
        <f t="shared" si="6"/>
        <v>0</v>
      </c>
      <c r="V53" s="20">
        <f t="shared" si="6"/>
        <v>0</v>
      </c>
      <c r="W53" s="20">
        <f t="shared" si="6"/>
        <v>1</v>
      </c>
    </row>
    <row r="54" spans="1:23" x14ac:dyDescent="0.15">
      <c r="A54" s="25" t="str">
        <f t="shared" si="2"/>
        <v>20002_3-3/27&lt;lv23&gt;s1</v>
      </c>
      <c r="B54" s="20">
        <f t="shared" si="7"/>
        <v>20002</v>
      </c>
      <c r="C54" s="20">
        <f t="shared" si="7"/>
        <v>3</v>
      </c>
      <c r="D54" s="20">
        <f t="shared" si="7"/>
        <v>3</v>
      </c>
      <c r="E54" s="20">
        <f t="shared" si="7"/>
        <v>27</v>
      </c>
      <c r="F54" s="20">
        <f t="shared" si="7"/>
        <v>23</v>
      </c>
      <c r="G54" s="20">
        <v>3.5</v>
      </c>
      <c r="H54" s="20">
        <f t="shared" si="5"/>
        <v>0.9</v>
      </c>
      <c r="I54" s="20">
        <f t="shared" si="5"/>
        <v>0</v>
      </c>
      <c r="J54" s="20">
        <f t="shared" si="7"/>
        <v>0</v>
      </c>
      <c r="K54" s="20">
        <f t="shared" si="7"/>
        <v>0</v>
      </c>
      <c r="L54" s="20">
        <f t="shared" si="7"/>
        <v>100</v>
      </c>
      <c r="M54" s="20">
        <f t="shared" si="7"/>
        <v>0</v>
      </c>
      <c r="N54" s="20">
        <f t="shared" si="7"/>
        <v>1</v>
      </c>
      <c r="O54" s="20">
        <f t="shared" si="7"/>
        <v>27</v>
      </c>
      <c r="P54" s="20">
        <f t="shared" si="7"/>
        <v>5</v>
      </c>
      <c r="Q54" s="20">
        <f t="shared" si="7"/>
        <v>1</v>
      </c>
      <c r="R54" s="20">
        <f t="shared" ca="1" si="8"/>
        <v>15</v>
      </c>
      <c r="S54" s="20">
        <f t="shared" si="6"/>
        <v>0</v>
      </c>
      <c r="T54" s="20">
        <f t="shared" si="6"/>
        <v>0</v>
      </c>
      <c r="U54" s="20">
        <f t="shared" si="6"/>
        <v>0</v>
      </c>
      <c r="V54" s="20">
        <f t="shared" si="6"/>
        <v>0</v>
      </c>
      <c r="W54" s="20">
        <f t="shared" si="6"/>
        <v>1</v>
      </c>
    </row>
    <row r="55" spans="1:23" x14ac:dyDescent="0.15">
      <c r="A55" s="25" t="str">
        <f t="shared" si="2"/>
        <v>20002_3-3/43&lt;lv23&gt;s2</v>
      </c>
      <c r="B55" s="20">
        <f t="shared" si="7"/>
        <v>20002</v>
      </c>
      <c r="C55" s="20">
        <f t="shared" si="7"/>
        <v>3</v>
      </c>
      <c r="D55" s="20">
        <f t="shared" si="7"/>
        <v>3</v>
      </c>
      <c r="E55" s="20">
        <f t="shared" si="7"/>
        <v>43</v>
      </c>
      <c r="F55" s="20">
        <f t="shared" si="7"/>
        <v>23</v>
      </c>
      <c r="G55" s="20">
        <v>3.5</v>
      </c>
      <c r="H55" s="20">
        <f t="shared" si="5"/>
        <v>0.9</v>
      </c>
      <c r="I55" s="20">
        <f t="shared" si="5"/>
        <v>0</v>
      </c>
      <c r="J55" s="20">
        <f t="shared" si="7"/>
        <v>0</v>
      </c>
      <c r="K55" s="20">
        <f t="shared" si="7"/>
        <v>0</v>
      </c>
      <c r="L55" s="20">
        <f t="shared" si="7"/>
        <v>100</v>
      </c>
      <c r="M55" s="20">
        <f t="shared" si="7"/>
        <v>0</v>
      </c>
      <c r="N55" s="20">
        <f t="shared" si="7"/>
        <v>2</v>
      </c>
      <c r="O55" s="20">
        <f t="shared" si="7"/>
        <v>43</v>
      </c>
      <c r="P55" s="20">
        <f t="shared" si="7"/>
        <v>5</v>
      </c>
      <c r="Q55" s="20">
        <f t="shared" si="7"/>
        <v>2</v>
      </c>
      <c r="R55" s="20">
        <f t="shared" ca="1" si="8"/>
        <v>15</v>
      </c>
      <c r="S55" s="20">
        <f t="shared" si="6"/>
        <v>0</v>
      </c>
      <c r="T55" s="20">
        <f t="shared" si="6"/>
        <v>0</v>
      </c>
      <c r="U55" s="20">
        <f t="shared" si="6"/>
        <v>0</v>
      </c>
      <c r="V55" s="20">
        <f t="shared" si="6"/>
        <v>0</v>
      </c>
      <c r="W55" s="20">
        <f t="shared" si="6"/>
        <v>1</v>
      </c>
    </row>
    <row r="56" spans="1:23" x14ac:dyDescent="0.15">
      <c r="A56" s="25" t="str">
        <f t="shared" si="2"/>
        <v>20002_3-3/51&lt;lv23&gt;s2</v>
      </c>
      <c r="B56" s="20">
        <f t="shared" si="7"/>
        <v>20002</v>
      </c>
      <c r="C56" s="20">
        <f t="shared" si="7"/>
        <v>3</v>
      </c>
      <c r="D56" s="20">
        <f t="shared" si="7"/>
        <v>3</v>
      </c>
      <c r="E56" s="20">
        <f t="shared" si="7"/>
        <v>51</v>
      </c>
      <c r="F56" s="20">
        <f t="shared" si="7"/>
        <v>23</v>
      </c>
      <c r="G56" s="20">
        <v>3.5</v>
      </c>
      <c r="H56" s="20">
        <f t="shared" si="5"/>
        <v>0.9</v>
      </c>
      <c r="I56" s="20">
        <f t="shared" si="5"/>
        <v>0</v>
      </c>
      <c r="J56" s="20">
        <f t="shared" si="7"/>
        <v>51</v>
      </c>
      <c r="K56" s="20">
        <f t="shared" si="7"/>
        <v>1</v>
      </c>
      <c r="L56" s="20">
        <f t="shared" si="7"/>
        <v>0</v>
      </c>
      <c r="M56" s="20">
        <f t="shared" ref="M56:W63" si="9">VLOOKUP($A56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1</v>
      </c>
      <c r="N56" s="20">
        <f t="shared" si="9"/>
        <v>2</v>
      </c>
      <c r="O56" s="20">
        <f t="shared" si="9"/>
        <v>51</v>
      </c>
      <c r="P56" s="20">
        <f t="shared" si="9"/>
        <v>5</v>
      </c>
      <c r="Q56" s="20">
        <f t="shared" si="9"/>
        <v>2</v>
      </c>
      <c r="R56" s="20">
        <f t="shared" ca="1" si="8"/>
        <v>15</v>
      </c>
      <c r="S56" s="20">
        <f t="shared" si="9"/>
        <v>0</v>
      </c>
      <c r="T56" s="20">
        <f t="shared" si="9"/>
        <v>0</v>
      </c>
      <c r="U56" s="20">
        <f t="shared" si="9"/>
        <v>0</v>
      </c>
      <c r="V56" s="20">
        <f t="shared" si="9"/>
        <v>0</v>
      </c>
      <c r="W56" s="20">
        <f t="shared" si="9"/>
        <v>1</v>
      </c>
    </row>
    <row r="57" spans="1:23" x14ac:dyDescent="0.15">
      <c r="A57" s="25" t="str">
        <f t="shared" si="2"/>
        <v>20002_3-4/122&lt;lv14&gt;s3</v>
      </c>
      <c r="B57" s="20">
        <f t="shared" ref="B57:Q63" si="10">VLOOKUP($A57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20002</v>
      </c>
      <c r="C57" s="20">
        <f t="shared" si="10"/>
        <v>3</v>
      </c>
      <c r="D57" s="20">
        <f t="shared" si="10"/>
        <v>4</v>
      </c>
      <c r="E57" s="20">
        <f t="shared" si="10"/>
        <v>122</v>
      </c>
      <c r="F57" s="20">
        <f t="shared" si="10"/>
        <v>14</v>
      </c>
      <c r="G57" s="20">
        <v>3.5</v>
      </c>
      <c r="H57" s="20">
        <f t="shared" si="5"/>
        <v>0.4</v>
      </c>
      <c r="I57" s="20">
        <f t="shared" si="5"/>
        <v>0</v>
      </c>
      <c r="J57" s="20">
        <f t="shared" si="10"/>
        <v>1221</v>
      </c>
      <c r="K57" s="20">
        <f t="shared" si="10"/>
        <v>1</v>
      </c>
      <c r="L57" s="20">
        <f t="shared" si="10"/>
        <v>0</v>
      </c>
      <c r="M57" s="20">
        <f t="shared" si="10"/>
        <v>1</v>
      </c>
      <c r="N57" s="20">
        <f t="shared" si="10"/>
        <v>3</v>
      </c>
      <c r="O57" s="20">
        <f t="shared" si="10"/>
        <v>122</v>
      </c>
      <c r="P57" s="20">
        <f t="shared" si="10"/>
        <v>1</v>
      </c>
      <c r="Q57" s="20">
        <f t="shared" si="10"/>
        <v>3</v>
      </c>
      <c r="R57" s="20">
        <f t="shared" ca="1" si="8"/>
        <v>15</v>
      </c>
      <c r="S57" s="20">
        <f t="shared" si="9"/>
        <v>0</v>
      </c>
      <c r="T57" s="20">
        <f t="shared" si="9"/>
        <v>0</v>
      </c>
      <c r="U57" s="20">
        <f t="shared" si="9"/>
        <v>0</v>
      </c>
      <c r="V57" s="20">
        <f t="shared" si="9"/>
        <v>0</v>
      </c>
      <c r="W57" s="20">
        <f t="shared" si="9"/>
        <v>1</v>
      </c>
    </row>
    <row r="58" spans="1:23" x14ac:dyDescent="0.15">
      <c r="A58" s="25" t="str">
        <f t="shared" si="2"/>
        <v>20002_3-4/4&lt;lv23&gt;s2</v>
      </c>
      <c r="B58" s="20">
        <f t="shared" si="10"/>
        <v>20002</v>
      </c>
      <c r="C58" s="20">
        <f t="shared" si="10"/>
        <v>3</v>
      </c>
      <c r="D58" s="20">
        <f t="shared" si="10"/>
        <v>4</v>
      </c>
      <c r="E58" s="20">
        <f t="shared" si="10"/>
        <v>4</v>
      </c>
      <c r="F58" s="20">
        <f t="shared" si="10"/>
        <v>23</v>
      </c>
      <c r="G58" s="20">
        <v>3.5</v>
      </c>
      <c r="H58" s="20">
        <f t="shared" si="5"/>
        <v>0.9</v>
      </c>
      <c r="I58" s="20">
        <f t="shared" si="5"/>
        <v>0</v>
      </c>
      <c r="J58" s="20">
        <f t="shared" si="10"/>
        <v>0</v>
      </c>
      <c r="K58" s="20">
        <f t="shared" si="10"/>
        <v>0</v>
      </c>
      <c r="L58" s="20">
        <f t="shared" si="10"/>
        <v>100</v>
      </c>
      <c r="M58" s="20">
        <f t="shared" si="10"/>
        <v>0</v>
      </c>
      <c r="N58" s="20">
        <f t="shared" si="10"/>
        <v>2</v>
      </c>
      <c r="O58" s="20">
        <f t="shared" si="10"/>
        <v>4</v>
      </c>
      <c r="P58" s="20">
        <f t="shared" si="10"/>
        <v>9</v>
      </c>
      <c r="Q58" s="20">
        <f t="shared" si="10"/>
        <v>2</v>
      </c>
      <c r="R58" s="20">
        <f t="shared" ca="1" si="8"/>
        <v>15</v>
      </c>
      <c r="S58" s="20">
        <f t="shared" si="9"/>
        <v>0</v>
      </c>
      <c r="T58" s="20">
        <f t="shared" si="9"/>
        <v>0</v>
      </c>
      <c r="U58" s="20">
        <f t="shared" si="9"/>
        <v>0</v>
      </c>
      <c r="V58" s="20">
        <f t="shared" si="9"/>
        <v>0</v>
      </c>
      <c r="W58" s="20">
        <f t="shared" si="9"/>
        <v>1</v>
      </c>
    </row>
    <row r="59" spans="1:23" x14ac:dyDescent="0.15">
      <c r="A59" s="25" t="str">
        <f t="shared" si="2"/>
        <v>20002_3-4/27&lt;lv23&gt;s1</v>
      </c>
      <c r="B59" s="20">
        <f t="shared" si="10"/>
        <v>20002</v>
      </c>
      <c r="C59" s="20">
        <f t="shared" si="10"/>
        <v>3</v>
      </c>
      <c r="D59" s="20">
        <f t="shared" si="10"/>
        <v>4</v>
      </c>
      <c r="E59" s="20">
        <f t="shared" si="10"/>
        <v>27</v>
      </c>
      <c r="F59" s="20">
        <f t="shared" si="10"/>
        <v>23</v>
      </c>
      <c r="G59" s="20">
        <v>3.5</v>
      </c>
      <c r="H59" s="20">
        <f t="shared" si="5"/>
        <v>0.9</v>
      </c>
      <c r="I59" s="20">
        <f t="shared" si="5"/>
        <v>0</v>
      </c>
      <c r="J59" s="20">
        <f t="shared" si="10"/>
        <v>0</v>
      </c>
      <c r="K59" s="20">
        <f t="shared" si="10"/>
        <v>0</v>
      </c>
      <c r="L59" s="20">
        <f t="shared" si="10"/>
        <v>100</v>
      </c>
      <c r="M59" s="20">
        <f t="shared" si="10"/>
        <v>0</v>
      </c>
      <c r="N59" s="20">
        <f t="shared" si="10"/>
        <v>1</v>
      </c>
      <c r="O59" s="20">
        <f t="shared" si="10"/>
        <v>27</v>
      </c>
      <c r="P59" s="20">
        <f t="shared" si="10"/>
        <v>5</v>
      </c>
      <c r="Q59" s="20">
        <f t="shared" si="10"/>
        <v>1</v>
      </c>
      <c r="R59" s="20">
        <f t="shared" ca="1" si="8"/>
        <v>15</v>
      </c>
      <c r="S59" s="20">
        <f t="shared" si="9"/>
        <v>0</v>
      </c>
      <c r="T59" s="20">
        <f t="shared" si="9"/>
        <v>0</v>
      </c>
      <c r="U59" s="20">
        <f t="shared" si="9"/>
        <v>0</v>
      </c>
      <c r="V59" s="20">
        <f t="shared" si="9"/>
        <v>0</v>
      </c>
      <c r="W59" s="20">
        <f t="shared" si="9"/>
        <v>1</v>
      </c>
    </row>
    <row r="60" spans="1:23" x14ac:dyDescent="0.15">
      <c r="A60" s="25" t="str">
        <f t="shared" si="2"/>
        <v>20002_3-4/43&lt;lv23&gt;s2</v>
      </c>
      <c r="B60" s="20">
        <f t="shared" si="10"/>
        <v>20002</v>
      </c>
      <c r="C60" s="20">
        <f t="shared" si="10"/>
        <v>3</v>
      </c>
      <c r="D60" s="20">
        <f t="shared" si="10"/>
        <v>4</v>
      </c>
      <c r="E60" s="20">
        <f t="shared" si="10"/>
        <v>43</v>
      </c>
      <c r="F60" s="20">
        <f t="shared" si="10"/>
        <v>23</v>
      </c>
      <c r="G60" s="20">
        <v>3.5</v>
      </c>
      <c r="H60" s="20">
        <f t="shared" si="5"/>
        <v>0.9</v>
      </c>
      <c r="I60" s="20">
        <f t="shared" si="5"/>
        <v>0</v>
      </c>
      <c r="J60" s="20">
        <f t="shared" si="10"/>
        <v>0</v>
      </c>
      <c r="K60" s="20">
        <f t="shared" si="10"/>
        <v>1</v>
      </c>
      <c r="L60" s="20">
        <f t="shared" si="10"/>
        <v>0</v>
      </c>
      <c r="M60" s="20">
        <f t="shared" si="10"/>
        <v>0</v>
      </c>
      <c r="N60" s="20">
        <f t="shared" si="10"/>
        <v>2</v>
      </c>
      <c r="O60" s="20">
        <f t="shared" si="10"/>
        <v>43</v>
      </c>
      <c r="P60" s="20">
        <f t="shared" si="10"/>
        <v>5</v>
      </c>
      <c r="Q60" s="20">
        <f t="shared" si="10"/>
        <v>2</v>
      </c>
      <c r="R60" s="20">
        <f t="shared" ca="1" si="8"/>
        <v>15</v>
      </c>
      <c r="S60" s="20">
        <f t="shared" si="9"/>
        <v>0</v>
      </c>
      <c r="T60" s="20">
        <f t="shared" si="9"/>
        <v>0</v>
      </c>
      <c r="U60" s="20">
        <f t="shared" si="9"/>
        <v>0</v>
      </c>
      <c r="V60" s="20">
        <f t="shared" si="9"/>
        <v>0</v>
      </c>
      <c r="W60" s="20">
        <f t="shared" si="9"/>
        <v>1</v>
      </c>
    </row>
    <row r="61" spans="1:23" x14ac:dyDescent="0.15">
      <c r="A61" s="25" t="str">
        <f t="shared" si="2"/>
        <v>20002_3-4/51&lt;lv22&gt;s2</v>
      </c>
      <c r="B61" s="20">
        <f t="shared" si="10"/>
        <v>20002</v>
      </c>
      <c r="C61" s="20">
        <f t="shared" si="10"/>
        <v>3</v>
      </c>
      <c r="D61" s="20">
        <f t="shared" si="10"/>
        <v>4</v>
      </c>
      <c r="E61" s="20">
        <f t="shared" si="10"/>
        <v>51</v>
      </c>
      <c r="F61" s="20">
        <f t="shared" si="10"/>
        <v>22</v>
      </c>
      <c r="G61" s="20">
        <v>3.5</v>
      </c>
      <c r="H61" s="20">
        <f t="shared" si="5"/>
        <v>0.9</v>
      </c>
      <c r="I61" s="20">
        <f t="shared" si="5"/>
        <v>0</v>
      </c>
      <c r="J61" s="20">
        <f t="shared" si="10"/>
        <v>51</v>
      </c>
      <c r="K61" s="20">
        <f t="shared" si="10"/>
        <v>0</v>
      </c>
      <c r="L61" s="20">
        <f t="shared" si="10"/>
        <v>60</v>
      </c>
      <c r="M61" s="20">
        <f t="shared" si="10"/>
        <v>0</v>
      </c>
      <c r="N61" s="20">
        <f t="shared" si="10"/>
        <v>2</v>
      </c>
      <c r="O61" s="20">
        <f t="shared" si="10"/>
        <v>51</v>
      </c>
      <c r="P61" s="20">
        <f t="shared" si="10"/>
        <v>5</v>
      </c>
      <c r="Q61" s="20">
        <f t="shared" si="10"/>
        <v>2</v>
      </c>
      <c r="R61" s="20">
        <f t="shared" ca="1" si="8"/>
        <v>15</v>
      </c>
      <c r="S61" s="20">
        <f t="shared" si="9"/>
        <v>0</v>
      </c>
      <c r="T61" s="20">
        <f t="shared" si="9"/>
        <v>0</v>
      </c>
      <c r="U61" s="20">
        <f t="shared" si="9"/>
        <v>0</v>
      </c>
      <c r="V61" s="20">
        <f t="shared" si="9"/>
        <v>0</v>
      </c>
      <c r="W61" s="20">
        <f t="shared" si="9"/>
        <v>1</v>
      </c>
    </row>
    <row r="62" spans="1:23" x14ac:dyDescent="0.15">
      <c r="A62" s="25" t="str">
        <f t="shared" si="2"/>
        <v>20002_3-4/59&lt;lv23&gt;s2</v>
      </c>
      <c r="B62" s="20">
        <f t="shared" si="10"/>
        <v>20002</v>
      </c>
      <c r="C62" s="20">
        <f t="shared" si="10"/>
        <v>3</v>
      </c>
      <c r="D62" s="20">
        <f t="shared" si="10"/>
        <v>4</v>
      </c>
      <c r="E62" s="20">
        <f t="shared" si="10"/>
        <v>59</v>
      </c>
      <c r="F62" s="20">
        <f t="shared" si="10"/>
        <v>23</v>
      </c>
      <c r="G62" s="20">
        <v>3.5</v>
      </c>
      <c r="H62" s="20">
        <f t="shared" si="5"/>
        <v>0.8</v>
      </c>
      <c r="I62" s="20">
        <f t="shared" si="5"/>
        <v>0</v>
      </c>
      <c r="J62" s="20">
        <f t="shared" si="10"/>
        <v>59</v>
      </c>
      <c r="K62" s="20">
        <f t="shared" si="10"/>
        <v>1</v>
      </c>
      <c r="L62" s="20">
        <f t="shared" si="10"/>
        <v>0</v>
      </c>
      <c r="M62" s="20">
        <f t="shared" si="10"/>
        <v>0</v>
      </c>
      <c r="N62" s="20">
        <f t="shared" si="10"/>
        <v>2</v>
      </c>
      <c r="O62" s="20">
        <f t="shared" si="10"/>
        <v>59</v>
      </c>
      <c r="P62" s="20">
        <f t="shared" si="10"/>
        <v>5</v>
      </c>
      <c r="Q62" s="20">
        <f t="shared" si="10"/>
        <v>2</v>
      </c>
      <c r="R62" s="20">
        <f t="shared" ca="1" si="8"/>
        <v>15</v>
      </c>
      <c r="S62" s="20">
        <f t="shared" si="9"/>
        <v>0</v>
      </c>
      <c r="T62" s="20">
        <f t="shared" si="9"/>
        <v>0</v>
      </c>
      <c r="U62" s="20">
        <f t="shared" si="9"/>
        <v>0</v>
      </c>
      <c r="V62" s="20">
        <f t="shared" si="9"/>
        <v>0</v>
      </c>
      <c r="W62" s="20">
        <f t="shared" si="9"/>
        <v>1</v>
      </c>
    </row>
    <row r="63" spans="1:23" x14ac:dyDescent="0.15">
      <c r="A63" s="25" t="str">
        <f t="shared" si="2"/>
        <v>20002_3-5/265&lt;lv26&gt;s1</v>
      </c>
      <c r="B63" s="20">
        <f t="shared" si="10"/>
        <v>20002</v>
      </c>
      <c r="C63" s="20">
        <f t="shared" si="10"/>
        <v>3</v>
      </c>
      <c r="D63" s="20">
        <f t="shared" si="10"/>
        <v>5</v>
      </c>
      <c r="E63" s="20">
        <f t="shared" si="10"/>
        <v>265</v>
      </c>
      <c r="F63" s="20">
        <f t="shared" si="10"/>
        <v>26</v>
      </c>
      <c r="G63" s="20">
        <v>3.5</v>
      </c>
      <c r="H63" s="20">
        <f t="shared" si="5"/>
        <v>1</v>
      </c>
      <c r="I63" s="20">
        <f t="shared" si="5"/>
        <v>0</v>
      </c>
      <c r="J63" s="20">
        <f t="shared" si="10"/>
        <v>264</v>
      </c>
      <c r="K63" s="20">
        <f t="shared" si="10"/>
        <v>1</v>
      </c>
      <c r="L63" s="20">
        <f t="shared" si="10"/>
        <v>100</v>
      </c>
      <c r="M63" s="20">
        <f t="shared" si="10"/>
        <v>1</v>
      </c>
      <c r="N63" s="20">
        <f t="shared" si="10"/>
        <v>1</v>
      </c>
      <c r="O63" s="20">
        <f t="shared" si="10"/>
        <v>264</v>
      </c>
      <c r="P63" s="20">
        <f t="shared" si="10"/>
        <v>1</v>
      </c>
      <c r="Q63" s="20">
        <f t="shared" si="10"/>
        <v>3</v>
      </c>
      <c r="R63" s="20">
        <f ca="1">VLOOKUP($A63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63" s="20">
        <f t="shared" si="9"/>
        <v>0</v>
      </c>
      <c r="T63" s="20">
        <f t="shared" si="9"/>
        <v>0</v>
      </c>
      <c r="U63" s="20">
        <f t="shared" si="9"/>
        <v>0</v>
      </c>
      <c r="V63" s="20">
        <f t="shared" si="9"/>
        <v>0</v>
      </c>
      <c r="W63" s="20">
        <f t="shared" si="9"/>
        <v>1</v>
      </c>
    </row>
    <row r="64" spans="1:23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floors_drop_1_2</vt:lpstr>
      <vt:lpstr>enemy_habitats_drop_1_2</vt:lpstr>
      <vt:lpstr>floors_drop_1_2.tmp</vt:lpstr>
      <vt:lpstr>enemy_habitats_drop_1_2.tmp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2017-03-08T03:53:42Z</dcterms:modified>
</cp:coreProperties>
</file>