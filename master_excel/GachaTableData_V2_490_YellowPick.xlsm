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490010" sheetId="157" r:id="rId4"/>
    <sheet name="tables_490010" sheetId="158" r:id="rId5"/>
    <sheet name="input_490100" sheetId="153" r:id="rId6"/>
    <sheet name="tables_490100" sheetId="154" r:id="rId7"/>
    <sheet name="tables_settle_490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tables_490010!$A$1:$V$340</definedName>
    <definedName name="_xlnm._FilterDatabase" localSheetId="6" hidden="1">tables_490100!$A$1:$V$294</definedName>
    <definedName name="_xlnm._FilterDatabase" localSheetId="7" hidden="1">tables_settle_490105!$A$1:$V$5</definedName>
  </definedNames>
  <calcPr calcId="150001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159" l="1"/>
  <c r="N2" i="159"/>
  <c r="M2" i="159"/>
  <c r="L2" i="159"/>
  <c r="K2" i="159"/>
  <c r="J2" i="159"/>
  <c r="I2" i="159"/>
  <c r="H2" i="159"/>
  <c r="F2" i="159"/>
  <c r="E2" i="159"/>
  <c r="D2" i="159"/>
  <c r="C2" i="159"/>
  <c r="I2" i="154"/>
  <c r="D2" i="154"/>
  <c r="J2" i="154"/>
  <c r="E2" i="154"/>
  <c r="F2" i="154"/>
  <c r="K2" i="154"/>
  <c r="G2" i="154"/>
  <c r="C2" i="154"/>
  <c r="I3" i="154"/>
  <c r="D3" i="154"/>
  <c r="J3" i="154"/>
  <c r="E3" i="154"/>
  <c r="F3" i="154"/>
  <c r="K3" i="154"/>
  <c r="G3" i="154"/>
  <c r="C3" i="154"/>
  <c r="I4" i="154"/>
  <c r="D4" i="154"/>
  <c r="J4" i="154"/>
  <c r="E4" i="154"/>
  <c r="F4" i="154"/>
  <c r="K4" i="154"/>
  <c r="G4" i="154"/>
  <c r="C4" i="154"/>
  <c r="I5" i="154"/>
  <c r="D5" i="154"/>
  <c r="J5" i="154"/>
  <c r="E5" i="154"/>
  <c r="F5" i="154"/>
  <c r="K5" i="154"/>
  <c r="G5" i="154"/>
  <c r="C5" i="154"/>
  <c r="I6" i="154"/>
  <c r="D6" i="154"/>
  <c r="J6" i="154"/>
  <c r="E6" i="154"/>
  <c r="F6" i="154"/>
  <c r="K6" i="154"/>
  <c r="G6" i="154"/>
  <c r="C6" i="154"/>
  <c r="I7" i="154"/>
  <c r="D7" i="154"/>
  <c r="J7" i="154"/>
  <c r="E7" i="154"/>
  <c r="F7" i="154"/>
  <c r="K7" i="154"/>
  <c r="G7" i="154"/>
  <c r="C7" i="154"/>
  <c r="I8" i="154"/>
  <c r="D8" i="154"/>
  <c r="J8" i="154"/>
  <c r="E8" i="154"/>
  <c r="F8" i="154"/>
  <c r="K8" i="154"/>
  <c r="G8" i="154"/>
  <c r="C8" i="154"/>
  <c r="I9" i="154"/>
  <c r="D9" i="154"/>
  <c r="J9" i="154"/>
  <c r="E9" i="154"/>
  <c r="F9" i="154"/>
  <c r="K9" i="154"/>
  <c r="G9" i="154"/>
  <c r="C9" i="154"/>
  <c r="I10" i="154"/>
  <c r="D10" i="154"/>
  <c r="J10" i="154"/>
  <c r="E10" i="154"/>
  <c r="F10" i="154"/>
  <c r="K10" i="154"/>
  <c r="G10" i="154"/>
  <c r="C10" i="154"/>
  <c r="I11" i="154"/>
  <c r="D11" i="154"/>
  <c r="J11" i="154"/>
  <c r="E11" i="154"/>
  <c r="F11" i="154"/>
  <c r="K11" i="154"/>
  <c r="G11" i="154"/>
  <c r="C11" i="154"/>
  <c r="I12" i="154"/>
  <c r="D12" i="154"/>
  <c r="J12" i="154"/>
  <c r="E12" i="154"/>
  <c r="F12" i="154"/>
  <c r="K12" i="154"/>
  <c r="G12" i="154"/>
  <c r="C12" i="154"/>
  <c r="I13" i="154"/>
  <c r="D13" i="154"/>
  <c r="J13" i="154"/>
  <c r="E13" i="154"/>
  <c r="F13" i="154"/>
  <c r="K13" i="154"/>
  <c r="G13" i="154"/>
  <c r="C13" i="154"/>
  <c r="I14" i="154"/>
  <c r="D14" i="154"/>
  <c r="J14" i="154"/>
  <c r="E14" i="154"/>
  <c r="F14" i="154"/>
  <c r="K14" i="154"/>
  <c r="G14" i="154"/>
  <c r="C14" i="154"/>
  <c r="I15" i="154"/>
  <c r="D15" i="154"/>
  <c r="J15" i="154"/>
  <c r="E15" i="154"/>
  <c r="F15" i="154"/>
  <c r="K15" i="154"/>
  <c r="G15" i="154"/>
  <c r="C15" i="154"/>
  <c r="I16" i="154"/>
  <c r="D16" i="154"/>
  <c r="J16" i="154"/>
  <c r="E16" i="154"/>
  <c r="F16" i="154"/>
  <c r="K16" i="154"/>
  <c r="G16" i="154"/>
  <c r="C16" i="154"/>
  <c r="I17" i="154"/>
  <c r="D17" i="154"/>
  <c r="J17" i="154"/>
  <c r="E17" i="154"/>
  <c r="F17" i="154"/>
  <c r="K17" i="154"/>
  <c r="G17" i="154"/>
  <c r="C17" i="154"/>
  <c r="I18" i="154"/>
  <c r="D18" i="154"/>
  <c r="J18" i="154"/>
  <c r="E18" i="154"/>
  <c r="F18" i="154"/>
  <c r="K18" i="154"/>
  <c r="G18" i="154"/>
  <c r="C18" i="154"/>
  <c r="I19" i="154"/>
  <c r="D19" i="154"/>
  <c r="J19" i="154"/>
  <c r="E19" i="154"/>
  <c r="F19" i="154"/>
  <c r="K19" i="154"/>
  <c r="G19" i="154"/>
  <c r="C19" i="154"/>
  <c r="I20" i="154"/>
  <c r="D20" i="154"/>
  <c r="J20" i="154"/>
  <c r="E20" i="154"/>
  <c r="F20" i="154"/>
  <c r="K20" i="154"/>
  <c r="G20" i="154"/>
  <c r="C20" i="154"/>
  <c r="I21" i="154"/>
  <c r="D21" i="154"/>
  <c r="J21" i="154"/>
  <c r="E21" i="154"/>
  <c r="F21" i="154"/>
  <c r="K21" i="154"/>
  <c r="G21" i="154"/>
  <c r="C21" i="154"/>
  <c r="I22" i="154"/>
  <c r="D22" i="154"/>
  <c r="J22" i="154"/>
  <c r="E22" i="154"/>
  <c r="F22" i="154"/>
  <c r="K22" i="154"/>
  <c r="G22" i="154"/>
  <c r="C22" i="154"/>
  <c r="I23" i="154"/>
  <c r="D23" i="154"/>
  <c r="J23" i="154"/>
  <c r="E23" i="154"/>
  <c r="F23" i="154"/>
  <c r="K23" i="154"/>
  <c r="G23" i="154"/>
  <c r="C23" i="154"/>
  <c r="I24" i="154"/>
  <c r="D24" i="154"/>
  <c r="J24" i="154"/>
  <c r="E24" i="154"/>
  <c r="F24" i="154"/>
  <c r="K24" i="154"/>
  <c r="G24" i="154"/>
  <c r="C24" i="154"/>
  <c r="I25" i="154"/>
  <c r="D25" i="154"/>
  <c r="J25" i="154"/>
  <c r="E25" i="154"/>
  <c r="F25" i="154"/>
  <c r="K25" i="154"/>
  <c r="G25" i="154"/>
  <c r="C25" i="154"/>
  <c r="I26" i="154"/>
  <c r="D26" i="154"/>
  <c r="J26" i="154"/>
  <c r="E26" i="154"/>
  <c r="F26" i="154"/>
  <c r="K26" i="154"/>
  <c r="G26" i="154"/>
  <c r="C26" i="154"/>
  <c r="I27" i="154"/>
  <c r="D27" i="154"/>
  <c r="J27" i="154"/>
  <c r="E27" i="154"/>
  <c r="F27" i="154"/>
  <c r="K27" i="154"/>
  <c r="G27" i="154"/>
  <c r="C27" i="154"/>
  <c r="I28" i="154"/>
  <c r="D28" i="154"/>
  <c r="J28" i="154"/>
  <c r="E28" i="154"/>
  <c r="F28" i="154"/>
  <c r="K28" i="154"/>
  <c r="G28" i="154"/>
  <c r="C28" i="154"/>
  <c r="I29" i="154"/>
  <c r="D29" i="154"/>
  <c r="J29" i="154"/>
  <c r="E29" i="154"/>
  <c r="F29" i="154"/>
  <c r="K29" i="154"/>
  <c r="G29" i="154"/>
  <c r="C29" i="154"/>
  <c r="I30" i="154"/>
  <c r="D30" i="154"/>
  <c r="J30" i="154"/>
  <c r="E30" i="154"/>
  <c r="F30" i="154"/>
  <c r="K30" i="154"/>
  <c r="G30" i="154"/>
  <c r="C30" i="154"/>
  <c r="I31" i="154"/>
  <c r="D31" i="154"/>
  <c r="J31" i="154"/>
  <c r="E31" i="154"/>
  <c r="F31" i="154"/>
  <c r="K31" i="154"/>
  <c r="G31" i="154"/>
  <c r="C31" i="154"/>
  <c r="I32" i="154"/>
  <c r="D32" i="154"/>
  <c r="J32" i="154"/>
  <c r="E32" i="154"/>
  <c r="F32" i="154"/>
  <c r="K32" i="154"/>
  <c r="G32" i="154"/>
  <c r="C32" i="154"/>
  <c r="I33" i="154"/>
  <c r="D33" i="154"/>
  <c r="J33" i="154"/>
  <c r="E33" i="154"/>
  <c r="F33" i="154"/>
  <c r="K33" i="154"/>
  <c r="G33" i="154"/>
  <c r="C33" i="154"/>
  <c r="I34" i="154"/>
  <c r="D34" i="154"/>
  <c r="J34" i="154"/>
  <c r="E34" i="154"/>
  <c r="F34" i="154"/>
  <c r="K34" i="154"/>
  <c r="G34" i="154"/>
  <c r="C34" i="154"/>
  <c r="I35" i="154"/>
  <c r="D35" i="154"/>
  <c r="J35" i="154"/>
  <c r="E35" i="154"/>
  <c r="F35" i="154"/>
  <c r="K35" i="154"/>
  <c r="G35" i="154"/>
  <c r="C35" i="154"/>
  <c r="I36" i="154"/>
  <c r="D36" i="154"/>
  <c r="J36" i="154"/>
  <c r="E36" i="154"/>
  <c r="F36" i="154"/>
  <c r="K36" i="154"/>
  <c r="G36" i="154"/>
  <c r="C36" i="154"/>
  <c r="I37" i="154"/>
  <c r="D37" i="154"/>
  <c r="J37" i="154"/>
  <c r="E37" i="154"/>
  <c r="F37" i="154"/>
  <c r="K37" i="154"/>
  <c r="G37" i="154"/>
  <c r="C37" i="154"/>
  <c r="I38" i="154"/>
  <c r="D38" i="154"/>
  <c r="J38" i="154"/>
  <c r="E38" i="154"/>
  <c r="F38" i="154"/>
  <c r="K38" i="154"/>
  <c r="G38" i="154"/>
  <c r="C38" i="154"/>
  <c r="I39" i="154"/>
  <c r="D39" i="154"/>
  <c r="J39" i="154"/>
  <c r="E39" i="154"/>
  <c r="F39" i="154"/>
  <c r="K39" i="154"/>
  <c r="G39" i="154"/>
  <c r="C39" i="154"/>
  <c r="I40" i="154"/>
  <c r="D40" i="154"/>
  <c r="J40" i="154"/>
  <c r="E40" i="154"/>
  <c r="F40" i="154"/>
  <c r="K40" i="154"/>
  <c r="G40" i="154"/>
  <c r="C40" i="154"/>
  <c r="I41" i="154"/>
  <c r="D41" i="154"/>
  <c r="J41" i="154"/>
  <c r="E41" i="154"/>
  <c r="F41" i="154"/>
  <c r="K41" i="154"/>
  <c r="G41" i="154"/>
  <c r="C41" i="154"/>
  <c r="I42" i="154"/>
  <c r="D42" i="154"/>
  <c r="J42" i="154"/>
  <c r="E42" i="154"/>
  <c r="F42" i="154"/>
  <c r="K42" i="154"/>
  <c r="G42" i="154"/>
  <c r="C42" i="154"/>
  <c r="I43" i="154"/>
  <c r="D43" i="154"/>
  <c r="J43" i="154"/>
  <c r="E43" i="154"/>
  <c r="F43" i="154"/>
  <c r="K43" i="154"/>
  <c r="G43" i="154"/>
  <c r="C43" i="154"/>
  <c r="I44" i="154"/>
  <c r="D44" i="154"/>
  <c r="J44" i="154"/>
  <c r="E44" i="154"/>
  <c r="F44" i="154"/>
  <c r="K44" i="154"/>
  <c r="G44" i="154"/>
  <c r="C44" i="154"/>
  <c r="I45" i="154"/>
  <c r="D45" i="154"/>
  <c r="J45" i="154"/>
  <c r="E45" i="154"/>
  <c r="F45" i="154"/>
  <c r="K45" i="154"/>
  <c r="G45" i="154"/>
  <c r="C45" i="154"/>
  <c r="I46" i="154"/>
  <c r="D46" i="154"/>
  <c r="J46" i="154"/>
  <c r="E46" i="154"/>
  <c r="F46" i="154"/>
  <c r="K46" i="154"/>
  <c r="G46" i="154"/>
  <c r="C46" i="154"/>
  <c r="I47" i="154"/>
  <c r="D47" i="154"/>
  <c r="J47" i="154"/>
  <c r="E47" i="154"/>
  <c r="F47" i="154"/>
  <c r="K47" i="154"/>
  <c r="G47" i="154"/>
  <c r="C47" i="154"/>
  <c r="I48" i="154"/>
  <c r="D48" i="154"/>
  <c r="J48" i="154"/>
  <c r="E48" i="154"/>
  <c r="F48" i="154"/>
  <c r="K48" i="154"/>
  <c r="G48" i="154"/>
  <c r="C48" i="154"/>
  <c r="I49" i="154"/>
  <c r="D49" i="154"/>
  <c r="J49" i="154"/>
  <c r="E49" i="154"/>
  <c r="F49" i="154"/>
  <c r="K49" i="154"/>
  <c r="G49" i="154"/>
  <c r="C49" i="154"/>
  <c r="I50" i="154"/>
  <c r="D50" i="154"/>
  <c r="J50" i="154"/>
  <c r="E50" i="154"/>
  <c r="F50" i="154"/>
  <c r="K50" i="154"/>
  <c r="G50" i="154"/>
  <c r="C50" i="154"/>
  <c r="I51" i="154"/>
  <c r="D51" i="154"/>
  <c r="J51" i="154"/>
  <c r="E51" i="154"/>
  <c r="F51" i="154"/>
  <c r="K51" i="154"/>
  <c r="G51" i="154"/>
  <c r="C51" i="154"/>
  <c r="I52" i="154"/>
  <c r="D52" i="154"/>
  <c r="J52" i="154"/>
  <c r="E52" i="154"/>
  <c r="F52" i="154"/>
  <c r="K52" i="154"/>
  <c r="G52" i="154"/>
  <c r="C52" i="154"/>
  <c r="I53" i="154"/>
  <c r="D53" i="154"/>
  <c r="J53" i="154"/>
  <c r="E53" i="154"/>
  <c r="F53" i="154"/>
  <c r="K53" i="154"/>
  <c r="G53" i="154"/>
  <c r="C53" i="154"/>
  <c r="I54" i="154"/>
  <c r="D54" i="154"/>
  <c r="J54" i="154"/>
  <c r="E54" i="154"/>
  <c r="F54" i="154"/>
  <c r="K54" i="154"/>
  <c r="G54" i="154"/>
  <c r="C54" i="154"/>
  <c r="I55" i="154"/>
  <c r="D55" i="154"/>
  <c r="J55" i="154"/>
  <c r="E55" i="154"/>
  <c r="F55" i="154"/>
  <c r="K55" i="154"/>
  <c r="G55" i="154"/>
  <c r="C55" i="154"/>
  <c r="I56" i="154"/>
  <c r="D56" i="154"/>
  <c r="J56" i="154"/>
  <c r="E56" i="154"/>
  <c r="F56" i="154"/>
  <c r="K56" i="154"/>
  <c r="G56" i="154"/>
  <c r="C56" i="154"/>
  <c r="I57" i="154"/>
  <c r="D57" i="154"/>
  <c r="J57" i="154"/>
  <c r="E57" i="154"/>
  <c r="F57" i="154"/>
  <c r="K57" i="154"/>
  <c r="G57" i="154"/>
  <c r="C57" i="154"/>
  <c r="I58" i="154"/>
  <c r="D58" i="154"/>
  <c r="J58" i="154"/>
  <c r="E58" i="154"/>
  <c r="F58" i="154"/>
  <c r="K58" i="154"/>
  <c r="G58" i="154"/>
  <c r="C58" i="154"/>
  <c r="I59" i="154"/>
  <c r="D59" i="154"/>
  <c r="J59" i="154"/>
  <c r="E59" i="154"/>
  <c r="F59" i="154"/>
  <c r="K59" i="154"/>
  <c r="G59" i="154"/>
  <c r="C59" i="154"/>
  <c r="I60" i="154"/>
  <c r="D60" i="154"/>
  <c r="J60" i="154"/>
  <c r="E60" i="154"/>
  <c r="F60" i="154"/>
  <c r="K60" i="154"/>
  <c r="G60" i="154"/>
  <c r="C60" i="154"/>
  <c r="I61" i="154"/>
  <c r="D61" i="154"/>
  <c r="J61" i="154"/>
  <c r="E61" i="154"/>
  <c r="F61" i="154"/>
  <c r="K61" i="154"/>
  <c r="G61" i="154"/>
  <c r="C61" i="154"/>
  <c r="I62" i="154"/>
  <c r="D62" i="154"/>
  <c r="J62" i="154"/>
  <c r="E62" i="154"/>
  <c r="F62" i="154"/>
  <c r="K62" i="154"/>
  <c r="G62" i="154"/>
  <c r="C62" i="154"/>
  <c r="I63" i="154"/>
  <c r="D63" i="154"/>
  <c r="J63" i="154"/>
  <c r="E63" i="154"/>
  <c r="F63" i="154"/>
  <c r="K63" i="154"/>
  <c r="G63" i="154"/>
  <c r="C63" i="154"/>
  <c r="I64" i="154"/>
  <c r="D64" i="154"/>
  <c r="J64" i="154"/>
  <c r="E64" i="154"/>
  <c r="F64" i="154"/>
  <c r="K64" i="154"/>
  <c r="G64" i="154"/>
  <c r="C64" i="154"/>
  <c r="I65" i="154"/>
  <c r="D65" i="154"/>
  <c r="J65" i="154"/>
  <c r="E65" i="154"/>
  <c r="F65" i="154"/>
  <c r="K65" i="154"/>
  <c r="G65" i="154"/>
  <c r="C65" i="154"/>
  <c r="I66" i="154"/>
  <c r="D66" i="154"/>
  <c r="J66" i="154"/>
  <c r="E66" i="154"/>
  <c r="F66" i="154"/>
  <c r="K66" i="154"/>
  <c r="G66" i="154"/>
  <c r="C66" i="154"/>
  <c r="I67" i="154"/>
  <c r="D67" i="154"/>
  <c r="J67" i="154"/>
  <c r="E67" i="154"/>
  <c r="F67" i="154"/>
  <c r="K67" i="154"/>
  <c r="G67" i="154"/>
  <c r="C67" i="154"/>
  <c r="I68" i="154"/>
  <c r="D68" i="154"/>
  <c r="J68" i="154"/>
  <c r="E68" i="154"/>
  <c r="F68" i="154"/>
  <c r="K68" i="154"/>
  <c r="G68" i="154"/>
  <c r="C68" i="154"/>
  <c r="I69" i="154"/>
  <c r="D69" i="154"/>
  <c r="J69" i="154"/>
  <c r="E69" i="154"/>
  <c r="F69" i="154"/>
  <c r="K69" i="154"/>
  <c r="G69" i="154"/>
  <c r="C69" i="154"/>
  <c r="I70" i="154"/>
  <c r="D70" i="154"/>
  <c r="J70" i="154"/>
  <c r="E70" i="154"/>
  <c r="F70" i="154"/>
  <c r="K70" i="154"/>
  <c r="G70" i="154"/>
  <c r="C70" i="154"/>
  <c r="I71" i="154"/>
  <c r="D71" i="154"/>
  <c r="J71" i="154"/>
  <c r="E71" i="154"/>
  <c r="F71" i="154"/>
  <c r="K71" i="154"/>
  <c r="G71" i="154"/>
  <c r="C71" i="154"/>
  <c r="I72" i="154"/>
  <c r="D72" i="154"/>
  <c r="J72" i="154"/>
  <c r="E72" i="154"/>
  <c r="F72" i="154"/>
  <c r="K72" i="154"/>
  <c r="G72" i="154"/>
  <c r="C72" i="154"/>
  <c r="I73" i="154"/>
  <c r="D73" i="154"/>
  <c r="J73" i="154"/>
  <c r="E73" i="154"/>
  <c r="F73" i="154"/>
  <c r="K73" i="154"/>
  <c r="G73" i="154"/>
  <c r="C73" i="154"/>
  <c r="I74" i="154"/>
  <c r="D74" i="154"/>
  <c r="J74" i="154"/>
  <c r="E74" i="154"/>
  <c r="F74" i="154"/>
  <c r="K74" i="154"/>
  <c r="G74" i="154"/>
  <c r="C74" i="154"/>
  <c r="I75" i="154"/>
  <c r="D75" i="154"/>
  <c r="J75" i="154"/>
  <c r="E75" i="154"/>
  <c r="F75" i="154"/>
  <c r="K75" i="154"/>
  <c r="G75" i="154"/>
  <c r="C75" i="154"/>
  <c r="I76" i="154"/>
  <c r="D76" i="154"/>
  <c r="J76" i="154"/>
  <c r="E76" i="154"/>
  <c r="F76" i="154"/>
  <c r="K76" i="154"/>
  <c r="G76" i="154"/>
  <c r="C76" i="154"/>
  <c r="I77" i="154"/>
  <c r="D77" i="154"/>
  <c r="J77" i="154"/>
  <c r="E77" i="154"/>
  <c r="F77" i="154"/>
  <c r="K77" i="154"/>
  <c r="G77" i="154"/>
  <c r="C77" i="154"/>
  <c r="I78" i="154"/>
  <c r="D78" i="154"/>
  <c r="J78" i="154"/>
  <c r="E78" i="154"/>
  <c r="F78" i="154"/>
  <c r="K78" i="154"/>
  <c r="G78" i="154"/>
  <c r="C78" i="154"/>
  <c r="I79" i="154"/>
  <c r="D79" i="154"/>
  <c r="J79" i="154"/>
  <c r="E79" i="154"/>
  <c r="F79" i="154"/>
  <c r="K79" i="154"/>
  <c r="G79" i="154"/>
  <c r="C79" i="154"/>
  <c r="I80" i="154"/>
  <c r="D80" i="154"/>
  <c r="J80" i="154"/>
  <c r="E80" i="154"/>
  <c r="F80" i="154"/>
  <c r="K80" i="154"/>
  <c r="G80" i="154"/>
  <c r="C80" i="154"/>
  <c r="I81" i="154"/>
  <c r="D81" i="154"/>
  <c r="J81" i="154"/>
  <c r="E81" i="154"/>
  <c r="F81" i="154"/>
  <c r="K81" i="154"/>
  <c r="G81" i="154"/>
  <c r="C81" i="154"/>
  <c r="I82" i="154"/>
  <c r="D82" i="154"/>
  <c r="J82" i="154"/>
  <c r="E82" i="154"/>
  <c r="F82" i="154"/>
  <c r="K82" i="154"/>
  <c r="G82" i="154"/>
  <c r="C82" i="154"/>
  <c r="I83" i="154"/>
  <c r="D83" i="154"/>
  <c r="J83" i="154"/>
  <c r="E83" i="154"/>
  <c r="F83" i="154"/>
  <c r="K83" i="154"/>
  <c r="G83" i="154"/>
  <c r="C83" i="154"/>
  <c r="I84" i="154"/>
  <c r="D84" i="154"/>
  <c r="J84" i="154"/>
  <c r="E84" i="154"/>
  <c r="F84" i="154"/>
  <c r="K84" i="154"/>
  <c r="G84" i="154"/>
  <c r="C84" i="154"/>
  <c r="I85" i="154"/>
  <c r="D85" i="154"/>
  <c r="J85" i="154"/>
  <c r="E85" i="154"/>
  <c r="F85" i="154"/>
  <c r="K85" i="154"/>
  <c r="G85" i="154"/>
  <c r="C85" i="154"/>
  <c r="I86" i="154"/>
  <c r="D86" i="154"/>
  <c r="J86" i="154"/>
  <c r="E86" i="154"/>
  <c r="F86" i="154"/>
  <c r="K86" i="154"/>
  <c r="G86" i="154"/>
  <c r="C86" i="154"/>
  <c r="I87" i="154"/>
  <c r="D87" i="154"/>
  <c r="J87" i="154"/>
  <c r="E87" i="154"/>
  <c r="F87" i="154"/>
  <c r="K87" i="154"/>
  <c r="G87" i="154"/>
  <c r="C87" i="154"/>
  <c r="I88" i="154"/>
  <c r="D88" i="154"/>
  <c r="J88" i="154"/>
  <c r="E88" i="154"/>
  <c r="F88" i="154"/>
  <c r="K88" i="154"/>
  <c r="G88" i="154"/>
  <c r="C88" i="154"/>
  <c r="I89" i="154"/>
  <c r="D89" i="154"/>
  <c r="J89" i="154"/>
  <c r="E89" i="154"/>
  <c r="F89" i="154"/>
  <c r="K89" i="154"/>
  <c r="G89" i="154"/>
  <c r="C89" i="154"/>
  <c r="I90" i="154"/>
  <c r="D90" i="154"/>
  <c r="J90" i="154"/>
  <c r="E90" i="154"/>
  <c r="F90" i="154"/>
  <c r="K90" i="154"/>
  <c r="G90" i="154"/>
  <c r="C90" i="154"/>
  <c r="I91" i="154"/>
  <c r="D91" i="154"/>
  <c r="J91" i="154"/>
  <c r="E91" i="154"/>
  <c r="F91" i="154"/>
  <c r="K91" i="154"/>
  <c r="G91" i="154"/>
  <c r="C91" i="154"/>
  <c r="I92" i="154"/>
  <c r="D92" i="154"/>
  <c r="J92" i="154"/>
  <c r="E92" i="154"/>
  <c r="F92" i="154"/>
  <c r="K92" i="154"/>
  <c r="G92" i="154"/>
  <c r="C92" i="154"/>
  <c r="I93" i="154"/>
  <c r="D93" i="154"/>
  <c r="J93" i="154"/>
  <c r="E93" i="154"/>
  <c r="F93" i="154"/>
  <c r="K93" i="154"/>
  <c r="G93" i="154"/>
  <c r="C93" i="154"/>
  <c r="I94" i="154"/>
  <c r="D94" i="154"/>
  <c r="J94" i="154"/>
  <c r="E94" i="154"/>
  <c r="F94" i="154"/>
  <c r="K94" i="154"/>
  <c r="G94" i="154"/>
  <c r="C94" i="154"/>
  <c r="I95" i="154"/>
  <c r="D95" i="154"/>
  <c r="J95" i="154"/>
  <c r="E95" i="154"/>
  <c r="F95" i="154"/>
  <c r="K95" i="154"/>
  <c r="G95" i="154"/>
  <c r="C95" i="154"/>
  <c r="I96" i="154"/>
  <c r="D96" i="154"/>
  <c r="J96" i="154"/>
  <c r="E96" i="154"/>
  <c r="F96" i="154"/>
  <c r="K96" i="154"/>
  <c r="G96" i="154"/>
  <c r="C96" i="154"/>
  <c r="I97" i="154"/>
  <c r="D97" i="154"/>
  <c r="J97" i="154"/>
  <c r="E97" i="154"/>
  <c r="F97" i="154"/>
  <c r="K97" i="154"/>
  <c r="G97" i="154"/>
  <c r="C97" i="154"/>
  <c r="I98" i="154"/>
  <c r="D98" i="154"/>
  <c r="J98" i="154"/>
  <c r="E98" i="154"/>
  <c r="F98" i="154"/>
  <c r="K98" i="154"/>
  <c r="G98" i="154"/>
  <c r="C98" i="154"/>
  <c r="I99" i="154"/>
  <c r="D99" i="154"/>
  <c r="J99" i="154"/>
  <c r="E99" i="154"/>
  <c r="F99" i="154"/>
  <c r="K99" i="154"/>
  <c r="G99" i="154"/>
  <c r="C99" i="154"/>
  <c r="I100" i="154"/>
  <c r="D100" i="154"/>
  <c r="J100" i="154"/>
  <c r="E100" i="154"/>
  <c r="F100" i="154"/>
  <c r="K100" i="154"/>
  <c r="G100" i="154"/>
  <c r="C100" i="154"/>
  <c r="I101" i="154"/>
  <c r="D101" i="154"/>
  <c r="J101" i="154"/>
  <c r="E101" i="154"/>
  <c r="F101" i="154"/>
  <c r="K101" i="154"/>
  <c r="G101" i="154"/>
  <c r="C101" i="154"/>
  <c r="I102" i="154"/>
  <c r="D102" i="154"/>
  <c r="J102" i="154"/>
  <c r="E102" i="154"/>
  <c r="F102" i="154"/>
  <c r="K102" i="154"/>
  <c r="G102" i="154"/>
  <c r="C102" i="154"/>
  <c r="I103" i="154"/>
  <c r="D103" i="154"/>
  <c r="J103" i="154"/>
  <c r="E103" i="154"/>
  <c r="F103" i="154"/>
  <c r="K103" i="154"/>
  <c r="G103" i="154"/>
  <c r="C103" i="154"/>
  <c r="I104" i="154"/>
  <c r="D104" i="154"/>
  <c r="J104" i="154"/>
  <c r="E104" i="154"/>
  <c r="F104" i="154"/>
  <c r="K104" i="154"/>
  <c r="G104" i="154"/>
  <c r="C104" i="154"/>
  <c r="I105" i="154"/>
  <c r="D105" i="154"/>
  <c r="J105" i="154"/>
  <c r="E105" i="154"/>
  <c r="F105" i="154"/>
  <c r="K105" i="154"/>
  <c r="G105" i="154"/>
  <c r="C105" i="154"/>
  <c r="I106" i="154"/>
  <c r="D106" i="154"/>
  <c r="J106" i="154"/>
  <c r="E106" i="154"/>
  <c r="F106" i="154"/>
  <c r="K106" i="154"/>
  <c r="G106" i="154"/>
  <c r="C106" i="154"/>
  <c r="I107" i="154"/>
  <c r="D107" i="154"/>
  <c r="J107" i="154"/>
  <c r="E107" i="154"/>
  <c r="F107" i="154"/>
  <c r="K107" i="154"/>
  <c r="G107" i="154"/>
  <c r="C107" i="154"/>
  <c r="I108" i="154"/>
  <c r="D108" i="154"/>
  <c r="J108" i="154"/>
  <c r="E108" i="154"/>
  <c r="F108" i="154"/>
  <c r="K108" i="154"/>
  <c r="G108" i="154"/>
  <c r="C108" i="154"/>
  <c r="I109" i="154"/>
  <c r="D109" i="154"/>
  <c r="J109" i="154"/>
  <c r="E109" i="154"/>
  <c r="F109" i="154"/>
  <c r="K109" i="154"/>
  <c r="G109" i="154"/>
  <c r="C109" i="154"/>
  <c r="I110" i="154"/>
  <c r="D110" i="154"/>
  <c r="J110" i="154"/>
  <c r="E110" i="154"/>
  <c r="F110" i="154"/>
  <c r="K110" i="154"/>
  <c r="G110" i="154"/>
  <c r="C110" i="154"/>
  <c r="I111" i="154"/>
  <c r="D111" i="154"/>
  <c r="J111" i="154"/>
  <c r="E111" i="154"/>
  <c r="F111" i="154"/>
  <c r="K111" i="154"/>
  <c r="G111" i="154"/>
  <c r="C111" i="154"/>
  <c r="I112" i="154"/>
  <c r="D112" i="154"/>
  <c r="J112" i="154"/>
  <c r="E112" i="154"/>
  <c r="F112" i="154"/>
  <c r="K112" i="154"/>
  <c r="G112" i="154"/>
  <c r="C112" i="154"/>
  <c r="I113" i="154"/>
  <c r="D113" i="154"/>
  <c r="J113" i="154"/>
  <c r="E113" i="154"/>
  <c r="F113" i="154"/>
  <c r="K113" i="154"/>
  <c r="G113" i="154"/>
  <c r="C113" i="154"/>
  <c r="I114" i="154"/>
  <c r="D114" i="154"/>
  <c r="J114" i="154"/>
  <c r="E114" i="154"/>
  <c r="F114" i="154"/>
  <c r="K114" i="154"/>
  <c r="G114" i="154"/>
  <c r="C114" i="154"/>
  <c r="I115" i="154"/>
  <c r="D115" i="154"/>
  <c r="J115" i="154"/>
  <c r="E115" i="154"/>
  <c r="F115" i="154"/>
  <c r="K115" i="154"/>
  <c r="G115" i="154"/>
  <c r="C115" i="154"/>
  <c r="I116" i="154"/>
  <c r="D116" i="154"/>
  <c r="J116" i="154"/>
  <c r="E116" i="154"/>
  <c r="F116" i="154"/>
  <c r="K116" i="154"/>
  <c r="G116" i="154"/>
  <c r="C116" i="154"/>
  <c r="I117" i="154"/>
  <c r="D117" i="154"/>
  <c r="J117" i="154"/>
  <c r="E117" i="154"/>
  <c r="F117" i="154"/>
  <c r="K117" i="154"/>
  <c r="G117" i="154"/>
  <c r="C117" i="154"/>
  <c r="I118" i="154"/>
  <c r="D118" i="154"/>
  <c r="J118" i="154"/>
  <c r="E118" i="154"/>
  <c r="F118" i="154"/>
  <c r="K118" i="154"/>
  <c r="G118" i="154"/>
  <c r="C118" i="154"/>
  <c r="I119" i="154"/>
  <c r="D119" i="154"/>
  <c r="J119" i="154"/>
  <c r="E119" i="154"/>
  <c r="F119" i="154"/>
  <c r="K119" i="154"/>
  <c r="G119" i="154"/>
  <c r="C119" i="154"/>
  <c r="I120" i="154"/>
  <c r="D120" i="154"/>
  <c r="J120" i="154"/>
  <c r="E120" i="154"/>
  <c r="F120" i="154"/>
  <c r="K120" i="154"/>
  <c r="G120" i="154"/>
  <c r="C120" i="154"/>
  <c r="I121" i="154"/>
  <c r="D121" i="154"/>
  <c r="J121" i="154"/>
  <c r="E121" i="154"/>
  <c r="F121" i="154"/>
  <c r="K121" i="154"/>
  <c r="G121" i="154"/>
  <c r="C121" i="154"/>
  <c r="I122" i="154"/>
  <c r="D122" i="154"/>
  <c r="J122" i="154"/>
  <c r="E122" i="154"/>
  <c r="F122" i="154"/>
  <c r="K122" i="154"/>
  <c r="G122" i="154"/>
  <c r="C122" i="154"/>
  <c r="I123" i="154"/>
  <c r="D123" i="154"/>
  <c r="J123" i="154"/>
  <c r="E123" i="154"/>
  <c r="F123" i="154"/>
  <c r="K123" i="154"/>
  <c r="G123" i="154"/>
  <c r="C123" i="154"/>
  <c r="I124" i="154"/>
  <c r="D124" i="154"/>
  <c r="J124" i="154"/>
  <c r="E124" i="154"/>
  <c r="F124" i="154"/>
  <c r="K124" i="154"/>
  <c r="G124" i="154"/>
  <c r="C124" i="154"/>
  <c r="I125" i="154"/>
  <c r="D125" i="154"/>
  <c r="J125" i="154"/>
  <c r="E125" i="154"/>
  <c r="F125" i="154"/>
  <c r="K125" i="154"/>
  <c r="G125" i="154"/>
  <c r="C125" i="154"/>
  <c r="I126" i="154"/>
  <c r="D126" i="154"/>
  <c r="J126" i="154"/>
  <c r="E126" i="154"/>
  <c r="F126" i="154"/>
  <c r="K126" i="154"/>
  <c r="G126" i="154"/>
  <c r="C126" i="154"/>
  <c r="I127" i="154"/>
  <c r="D127" i="154"/>
  <c r="J127" i="154"/>
  <c r="E127" i="154"/>
  <c r="F127" i="154"/>
  <c r="K127" i="154"/>
  <c r="G127" i="154"/>
  <c r="C127" i="154"/>
  <c r="I128" i="154"/>
  <c r="D128" i="154"/>
  <c r="J128" i="154"/>
  <c r="E128" i="154"/>
  <c r="F128" i="154"/>
  <c r="K128" i="154"/>
  <c r="G128" i="154"/>
  <c r="C128" i="154"/>
  <c r="I129" i="154"/>
  <c r="D129" i="154"/>
  <c r="J129" i="154"/>
  <c r="E129" i="154"/>
  <c r="F129" i="154"/>
  <c r="K129" i="154"/>
  <c r="G129" i="154"/>
  <c r="C129" i="154"/>
  <c r="I130" i="154"/>
  <c r="D130" i="154"/>
  <c r="J130" i="154"/>
  <c r="E130" i="154"/>
  <c r="F130" i="154"/>
  <c r="K130" i="154"/>
  <c r="G130" i="154"/>
  <c r="C130" i="154"/>
  <c r="I131" i="154"/>
  <c r="D131" i="154"/>
  <c r="J131" i="154"/>
  <c r="E131" i="154"/>
  <c r="F131" i="154"/>
  <c r="K131" i="154"/>
  <c r="G131" i="154"/>
  <c r="C131" i="154"/>
  <c r="I132" i="154"/>
  <c r="D132" i="154"/>
  <c r="J132" i="154"/>
  <c r="E132" i="154"/>
  <c r="F132" i="154"/>
  <c r="K132" i="154"/>
  <c r="G132" i="154"/>
  <c r="C132" i="154"/>
  <c r="I133" i="154"/>
  <c r="D133" i="154"/>
  <c r="J133" i="154"/>
  <c r="E133" i="154"/>
  <c r="F133" i="154"/>
  <c r="K133" i="154"/>
  <c r="G133" i="154"/>
  <c r="C133" i="154"/>
  <c r="I134" i="154"/>
  <c r="D134" i="154"/>
  <c r="J134" i="154"/>
  <c r="E134" i="154"/>
  <c r="F134" i="154"/>
  <c r="K134" i="154"/>
  <c r="G134" i="154"/>
  <c r="C134" i="154"/>
  <c r="I135" i="154"/>
  <c r="D135" i="154"/>
  <c r="J135" i="154"/>
  <c r="E135" i="154"/>
  <c r="F135" i="154"/>
  <c r="K135" i="154"/>
  <c r="G135" i="154"/>
  <c r="C135" i="154"/>
  <c r="I136" i="154"/>
  <c r="D136" i="154"/>
  <c r="J136" i="154"/>
  <c r="E136" i="154"/>
  <c r="F136" i="154"/>
  <c r="K136" i="154"/>
  <c r="G136" i="154"/>
  <c r="C136" i="154"/>
  <c r="I137" i="154"/>
  <c r="D137" i="154"/>
  <c r="J137" i="154"/>
  <c r="E137" i="154"/>
  <c r="F137" i="154"/>
  <c r="K137" i="154"/>
  <c r="G137" i="154"/>
  <c r="C137" i="154"/>
  <c r="I138" i="154"/>
  <c r="D138" i="154"/>
  <c r="J138" i="154"/>
  <c r="E138" i="154"/>
  <c r="F138" i="154"/>
  <c r="K138" i="154"/>
  <c r="G138" i="154"/>
  <c r="C138" i="154"/>
  <c r="I139" i="154"/>
  <c r="D139" i="154"/>
  <c r="J139" i="154"/>
  <c r="E139" i="154"/>
  <c r="F139" i="154"/>
  <c r="K139" i="154"/>
  <c r="G139" i="154"/>
  <c r="C139" i="154"/>
  <c r="I140" i="154"/>
  <c r="D140" i="154"/>
  <c r="J140" i="154"/>
  <c r="E140" i="154"/>
  <c r="F140" i="154"/>
  <c r="K140" i="154"/>
  <c r="G140" i="154"/>
  <c r="C140" i="154"/>
  <c r="I141" i="154"/>
  <c r="D141" i="154"/>
  <c r="J141" i="154"/>
  <c r="E141" i="154"/>
  <c r="F141" i="154"/>
  <c r="K141" i="154"/>
  <c r="G141" i="154"/>
  <c r="C141" i="154"/>
  <c r="I142" i="154"/>
  <c r="D142" i="154"/>
  <c r="J142" i="154"/>
  <c r="E142" i="154"/>
  <c r="F142" i="154"/>
  <c r="K142" i="154"/>
  <c r="G142" i="154"/>
  <c r="C142" i="154"/>
  <c r="I143" i="154"/>
  <c r="D143" i="154"/>
  <c r="J143" i="154"/>
  <c r="E143" i="154"/>
  <c r="F143" i="154"/>
  <c r="K143" i="154"/>
  <c r="G143" i="154"/>
  <c r="C143" i="154"/>
  <c r="I144" i="154"/>
  <c r="D144" i="154"/>
  <c r="J144" i="154"/>
  <c r="E144" i="154"/>
  <c r="F144" i="154"/>
  <c r="K144" i="154"/>
  <c r="G144" i="154"/>
  <c r="C144" i="154"/>
  <c r="I145" i="154"/>
  <c r="D145" i="154"/>
  <c r="J145" i="154"/>
  <c r="E145" i="154"/>
  <c r="F145" i="154"/>
  <c r="K145" i="154"/>
  <c r="G145" i="154"/>
  <c r="C145" i="154"/>
  <c r="I146" i="154"/>
  <c r="D146" i="154"/>
  <c r="J146" i="154"/>
  <c r="E146" i="154"/>
  <c r="F146" i="154"/>
  <c r="K146" i="154"/>
  <c r="G146" i="154"/>
  <c r="C146" i="154"/>
  <c r="I147" i="154"/>
  <c r="D147" i="154"/>
  <c r="J147" i="154"/>
  <c r="E147" i="154"/>
  <c r="F147" i="154"/>
  <c r="K147" i="154"/>
  <c r="G147" i="154"/>
  <c r="C147" i="154"/>
  <c r="I148" i="154"/>
  <c r="D148" i="154"/>
  <c r="J148" i="154"/>
  <c r="E148" i="154"/>
  <c r="F148" i="154"/>
  <c r="K148" i="154"/>
  <c r="G148" i="154"/>
  <c r="C148" i="154"/>
  <c r="I149" i="154"/>
  <c r="D149" i="154"/>
  <c r="J149" i="154"/>
  <c r="E149" i="154"/>
  <c r="F149" i="154"/>
  <c r="K149" i="154"/>
  <c r="G149" i="154"/>
  <c r="C149" i="154"/>
  <c r="I150" i="154"/>
  <c r="D150" i="154"/>
  <c r="J150" i="154"/>
  <c r="E150" i="154"/>
  <c r="F150" i="154"/>
  <c r="K150" i="154"/>
  <c r="G150" i="154"/>
  <c r="C150" i="154"/>
  <c r="I151" i="154"/>
  <c r="D151" i="154"/>
  <c r="J151" i="154"/>
  <c r="E151" i="154"/>
  <c r="F151" i="154"/>
  <c r="K151" i="154"/>
  <c r="G151" i="154"/>
  <c r="C151" i="154"/>
  <c r="I152" i="154"/>
  <c r="D152" i="154"/>
  <c r="J152" i="154"/>
  <c r="E152" i="154"/>
  <c r="F152" i="154"/>
  <c r="K152" i="154"/>
  <c r="G152" i="154"/>
  <c r="C152" i="154"/>
  <c r="I153" i="154"/>
  <c r="D153" i="154"/>
  <c r="J153" i="154"/>
  <c r="E153" i="154"/>
  <c r="F153" i="154"/>
  <c r="K153" i="154"/>
  <c r="G153" i="154"/>
  <c r="C153" i="154"/>
  <c r="I154" i="154"/>
  <c r="D154" i="154"/>
  <c r="J154" i="154"/>
  <c r="E154" i="154"/>
  <c r="F154" i="154"/>
  <c r="K154" i="154"/>
  <c r="G154" i="154"/>
  <c r="C154" i="154"/>
  <c r="I155" i="154"/>
  <c r="D155" i="154"/>
  <c r="J155" i="154"/>
  <c r="E155" i="154"/>
  <c r="F155" i="154"/>
  <c r="K155" i="154"/>
  <c r="G155" i="154"/>
  <c r="C155" i="154"/>
  <c r="I156" i="154"/>
  <c r="D156" i="154"/>
  <c r="J156" i="154"/>
  <c r="E156" i="154"/>
  <c r="F156" i="154"/>
  <c r="K156" i="154"/>
  <c r="G156" i="154"/>
  <c r="C156" i="154"/>
  <c r="I157" i="154"/>
  <c r="D157" i="154"/>
  <c r="J157" i="154"/>
  <c r="E157" i="154"/>
  <c r="F157" i="154"/>
  <c r="K157" i="154"/>
  <c r="G157" i="154"/>
  <c r="C157" i="154"/>
  <c r="I158" i="154"/>
  <c r="D158" i="154"/>
  <c r="J158" i="154"/>
  <c r="E158" i="154"/>
  <c r="F158" i="154"/>
  <c r="K158" i="154"/>
  <c r="G158" i="154"/>
  <c r="C158" i="154"/>
  <c r="I159" i="154"/>
  <c r="D159" i="154"/>
  <c r="J159" i="154"/>
  <c r="E159" i="154"/>
  <c r="F159" i="154"/>
  <c r="K159" i="154"/>
  <c r="G159" i="154"/>
  <c r="C159" i="154"/>
  <c r="I160" i="154"/>
  <c r="D160" i="154"/>
  <c r="J160" i="154"/>
  <c r="E160" i="154"/>
  <c r="F160" i="154"/>
  <c r="K160" i="154"/>
  <c r="G160" i="154"/>
  <c r="C160" i="154"/>
  <c r="I161" i="154"/>
  <c r="D161" i="154"/>
  <c r="J161" i="154"/>
  <c r="E161" i="154"/>
  <c r="F161" i="154"/>
  <c r="K161" i="154"/>
  <c r="G161" i="154"/>
  <c r="C161" i="154"/>
  <c r="I162" i="154"/>
  <c r="D162" i="154"/>
  <c r="J162" i="154"/>
  <c r="E162" i="154"/>
  <c r="F162" i="154"/>
  <c r="K162" i="154"/>
  <c r="G162" i="154"/>
  <c r="C162" i="154"/>
  <c r="I163" i="154"/>
  <c r="D163" i="154"/>
  <c r="J163" i="154"/>
  <c r="E163" i="154"/>
  <c r="F163" i="154"/>
  <c r="K163" i="154"/>
  <c r="G163" i="154"/>
  <c r="C163" i="154"/>
  <c r="I164" i="154"/>
  <c r="D164" i="154"/>
  <c r="J164" i="154"/>
  <c r="E164" i="154"/>
  <c r="F164" i="154"/>
  <c r="K164" i="154"/>
  <c r="G164" i="154"/>
  <c r="C164" i="154"/>
  <c r="I165" i="154"/>
  <c r="D165" i="154"/>
  <c r="J165" i="154"/>
  <c r="E165" i="154"/>
  <c r="F165" i="154"/>
  <c r="K165" i="154"/>
  <c r="G165" i="154"/>
  <c r="C165" i="154"/>
  <c r="I166" i="154"/>
  <c r="D166" i="154"/>
  <c r="J166" i="154"/>
  <c r="E166" i="154"/>
  <c r="F166" i="154"/>
  <c r="K166" i="154"/>
  <c r="G166" i="154"/>
  <c r="C166" i="154"/>
  <c r="I167" i="154"/>
  <c r="D167" i="154"/>
  <c r="J167" i="154"/>
  <c r="E167" i="154"/>
  <c r="F167" i="154"/>
  <c r="K167" i="154"/>
  <c r="G167" i="154"/>
  <c r="C167" i="154"/>
  <c r="I168" i="154"/>
  <c r="D168" i="154"/>
  <c r="J168" i="154"/>
  <c r="E168" i="154"/>
  <c r="F168" i="154"/>
  <c r="K168" i="154"/>
  <c r="G168" i="154"/>
  <c r="C168" i="154"/>
  <c r="I169" i="154"/>
  <c r="D169" i="154"/>
  <c r="J169" i="154"/>
  <c r="E169" i="154"/>
  <c r="F169" i="154"/>
  <c r="K169" i="154"/>
  <c r="G169" i="154"/>
  <c r="C169" i="154"/>
  <c r="I170" i="154"/>
  <c r="D170" i="154"/>
  <c r="J170" i="154"/>
  <c r="E170" i="154"/>
  <c r="F170" i="154"/>
  <c r="K170" i="154"/>
  <c r="G170" i="154"/>
  <c r="C170" i="154"/>
  <c r="I171" i="154"/>
  <c r="D171" i="154"/>
  <c r="J171" i="154"/>
  <c r="E171" i="154"/>
  <c r="F171" i="154"/>
  <c r="K171" i="154"/>
  <c r="G171" i="154"/>
  <c r="C171" i="154"/>
  <c r="I172" i="154"/>
  <c r="D172" i="154"/>
  <c r="J172" i="154"/>
  <c r="E172" i="154"/>
  <c r="F172" i="154"/>
  <c r="K172" i="154"/>
  <c r="G172" i="154"/>
  <c r="C172" i="154"/>
  <c r="I173" i="154"/>
  <c r="D173" i="154"/>
  <c r="J173" i="154"/>
  <c r="E173" i="154"/>
  <c r="F173" i="154"/>
  <c r="K173" i="154"/>
  <c r="G173" i="154"/>
  <c r="C173" i="154"/>
  <c r="I174" i="154"/>
  <c r="D174" i="154"/>
  <c r="J174" i="154"/>
  <c r="E174" i="154"/>
  <c r="F174" i="154"/>
  <c r="K174" i="154"/>
  <c r="G174" i="154"/>
  <c r="C174" i="154"/>
  <c r="I175" i="154"/>
  <c r="D175" i="154"/>
  <c r="J175" i="154"/>
  <c r="E175" i="154"/>
  <c r="F175" i="154"/>
  <c r="K175" i="154"/>
  <c r="G175" i="154"/>
  <c r="C175" i="154"/>
  <c r="I176" i="154"/>
  <c r="D176" i="154"/>
  <c r="J176" i="154"/>
  <c r="E176" i="154"/>
  <c r="F176" i="154"/>
  <c r="K176" i="154"/>
  <c r="G176" i="154"/>
  <c r="C176" i="154"/>
  <c r="I177" i="154"/>
  <c r="D177" i="154"/>
  <c r="J177" i="154"/>
  <c r="E177" i="154"/>
  <c r="F177" i="154"/>
  <c r="K177" i="154"/>
  <c r="G177" i="154"/>
  <c r="C177" i="154"/>
  <c r="I178" i="154"/>
  <c r="D178" i="154"/>
  <c r="J178" i="154"/>
  <c r="E178" i="154"/>
  <c r="F178" i="154"/>
  <c r="K178" i="154"/>
  <c r="G178" i="154"/>
  <c r="C178" i="154"/>
  <c r="I179" i="154"/>
  <c r="D179" i="154"/>
  <c r="J179" i="154"/>
  <c r="E179" i="154"/>
  <c r="F179" i="154"/>
  <c r="K179" i="154"/>
  <c r="G179" i="154"/>
  <c r="C179" i="154"/>
  <c r="I180" i="154"/>
  <c r="D180" i="154"/>
  <c r="J180" i="154"/>
  <c r="E180" i="154"/>
  <c r="F180" i="154"/>
  <c r="K180" i="154"/>
  <c r="G180" i="154"/>
  <c r="C180" i="154"/>
  <c r="I181" i="154"/>
  <c r="D181" i="154"/>
  <c r="J181" i="154"/>
  <c r="E181" i="154"/>
  <c r="F181" i="154"/>
  <c r="K181" i="154"/>
  <c r="G181" i="154"/>
  <c r="C181" i="154"/>
  <c r="I182" i="154"/>
  <c r="D182" i="154"/>
  <c r="J182" i="154"/>
  <c r="E182" i="154"/>
  <c r="F182" i="154"/>
  <c r="K182" i="154"/>
  <c r="G182" i="154"/>
  <c r="C182" i="154"/>
  <c r="I183" i="154"/>
  <c r="D183" i="154"/>
  <c r="J183" i="154"/>
  <c r="E183" i="154"/>
  <c r="F183" i="154"/>
  <c r="K183" i="154"/>
  <c r="G183" i="154"/>
  <c r="C183" i="154"/>
  <c r="I184" i="154"/>
  <c r="D184" i="154"/>
  <c r="J184" i="154"/>
  <c r="E184" i="154"/>
  <c r="F184" i="154"/>
  <c r="K184" i="154"/>
  <c r="G184" i="154"/>
  <c r="C184" i="154"/>
  <c r="I185" i="154"/>
  <c r="D185" i="154"/>
  <c r="J185" i="154"/>
  <c r="E185" i="154"/>
  <c r="F185" i="154"/>
  <c r="K185" i="154"/>
  <c r="G185" i="154"/>
  <c r="C185" i="154"/>
  <c r="I186" i="154"/>
  <c r="D186" i="154"/>
  <c r="J186" i="154"/>
  <c r="E186" i="154"/>
  <c r="F186" i="154"/>
  <c r="K186" i="154"/>
  <c r="G186" i="154"/>
  <c r="C186" i="154"/>
  <c r="I187" i="154"/>
  <c r="D187" i="154"/>
  <c r="J187" i="154"/>
  <c r="E187" i="154"/>
  <c r="F187" i="154"/>
  <c r="K187" i="154"/>
  <c r="G187" i="154"/>
  <c r="C187" i="154"/>
  <c r="I188" i="154"/>
  <c r="D188" i="154"/>
  <c r="J188" i="154"/>
  <c r="E188" i="154"/>
  <c r="F188" i="154"/>
  <c r="K188" i="154"/>
  <c r="G188" i="154"/>
  <c r="C188" i="154"/>
  <c r="I189" i="154"/>
  <c r="D189" i="154"/>
  <c r="J189" i="154"/>
  <c r="E189" i="154"/>
  <c r="F189" i="154"/>
  <c r="K189" i="154"/>
  <c r="G189" i="154"/>
  <c r="C189" i="154"/>
  <c r="I190" i="154"/>
  <c r="D190" i="154"/>
  <c r="J190" i="154"/>
  <c r="E190" i="154"/>
  <c r="F190" i="154"/>
  <c r="K190" i="154"/>
  <c r="G190" i="154"/>
  <c r="C190" i="154"/>
  <c r="I191" i="154"/>
  <c r="D191" i="154"/>
  <c r="J191" i="154"/>
  <c r="E191" i="154"/>
  <c r="F191" i="154"/>
  <c r="K191" i="154"/>
  <c r="G191" i="154"/>
  <c r="C191" i="154"/>
  <c r="I192" i="154"/>
  <c r="D192" i="154"/>
  <c r="J192" i="154"/>
  <c r="E192" i="154"/>
  <c r="F192" i="154"/>
  <c r="K192" i="154"/>
  <c r="G192" i="154"/>
  <c r="C192" i="154"/>
  <c r="I193" i="154"/>
  <c r="D193" i="154"/>
  <c r="J193" i="154"/>
  <c r="E193" i="154"/>
  <c r="F193" i="154"/>
  <c r="K193" i="154"/>
  <c r="G193" i="154"/>
  <c r="C193" i="154"/>
  <c r="I194" i="154"/>
  <c r="D194" i="154"/>
  <c r="J194" i="154"/>
  <c r="E194" i="154"/>
  <c r="F194" i="154"/>
  <c r="K194" i="154"/>
  <c r="G194" i="154"/>
  <c r="C194" i="154"/>
  <c r="I195" i="154"/>
  <c r="D195" i="154"/>
  <c r="J195" i="154"/>
  <c r="E195" i="154"/>
  <c r="F195" i="154"/>
  <c r="K195" i="154"/>
  <c r="G195" i="154"/>
  <c r="C195" i="154"/>
  <c r="I196" i="154"/>
  <c r="D196" i="154"/>
  <c r="J196" i="154"/>
  <c r="E196" i="154"/>
  <c r="F196" i="154"/>
  <c r="K196" i="154"/>
  <c r="G196" i="154"/>
  <c r="C196" i="154"/>
  <c r="I197" i="154"/>
  <c r="D197" i="154"/>
  <c r="J197" i="154"/>
  <c r="E197" i="154"/>
  <c r="F197" i="154"/>
  <c r="K197" i="154"/>
  <c r="G197" i="154"/>
  <c r="C197" i="154"/>
  <c r="I198" i="154"/>
  <c r="D198" i="154"/>
  <c r="J198" i="154"/>
  <c r="E198" i="154"/>
  <c r="F198" i="154"/>
  <c r="K198" i="154"/>
  <c r="G198" i="154"/>
  <c r="C198" i="154"/>
  <c r="I199" i="154"/>
  <c r="D199" i="154"/>
  <c r="J199" i="154"/>
  <c r="E199" i="154"/>
  <c r="F199" i="154"/>
  <c r="K199" i="154"/>
  <c r="G199" i="154"/>
  <c r="C199" i="154"/>
  <c r="I200" i="154"/>
  <c r="D200" i="154"/>
  <c r="J200" i="154"/>
  <c r="E200" i="154"/>
  <c r="F200" i="154"/>
  <c r="K200" i="154"/>
  <c r="G200" i="154"/>
  <c r="C200" i="154"/>
  <c r="I201" i="154"/>
  <c r="D201" i="154"/>
  <c r="J201" i="154"/>
  <c r="E201" i="154"/>
  <c r="F201" i="154"/>
  <c r="K201" i="154"/>
  <c r="G201" i="154"/>
  <c r="C201" i="154"/>
  <c r="I202" i="154"/>
  <c r="D202" i="154"/>
  <c r="J202" i="154"/>
  <c r="E202" i="154"/>
  <c r="F202" i="154"/>
  <c r="K202" i="154"/>
  <c r="G202" i="154"/>
  <c r="C202" i="154"/>
  <c r="I203" i="154"/>
  <c r="D203" i="154"/>
  <c r="J203" i="154"/>
  <c r="E203" i="154"/>
  <c r="F203" i="154"/>
  <c r="K203" i="154"/>
  <c r="G203" i="154"/>
  <c r="C203" i="154"/>
  <c r="I204" i="154"/>
  <c r="D204" i="154"/>
  <c r="J204" i="154"/>
  <c r="E204" i="154"/>
  <c r="F204" i="154"/>
  <c r="K204" i="154"/>
  <c r="G204" i="154"/>
  <c r="C204" i="154"/>
  <c r="I205" i="154"/>
  <c r="D205" i="154"/>
  <c r="J205" i="154"/>
  <c r="E205" i="154"/>
  <c r="F205" i="154"/>
  <c r="K205" i="154"/>
  <c r="G205" i="154"/>
  <c r="C205" i="154"/>
  <c r="I206" i="154"/>
  <c r="D206" i="154"/>
  <c r="J206" i="154"/>
  <c r="E206" i="154"/>
  <c r="F206" i="154"/>
  <c r="K206" i="154"/>
  <c r="G206" i="154"/>
  <c r="C206" i="154"/>
  <c r="I207" i="154"/>
  <c r="D207" i="154"/>
  <c r="J207" i="154"/>
  <c r="E207" i="154"/>
  <c r="F207" i="154"/>
  <c r="K207" i="154"/>
  <c r="G207" i="154"/>
  <c r="C207" i="154"/>
  <c r="I208" i="154"/>
  <c r="D208" i="154"/>
  <c r="J208" i="154"/>
  <c r="E208" i="154"/>
  <c r="F208" i="154"/>
  <c r="K208" i="154"/>
  <c r="G208" i="154"/>
  <c r="C208" i="154"/>
  <c r="I209" i="154"/>
  <c r="D209" i="154"/>
  <c r="J209" i="154"/>
  <c r="E209" i="154"/>
  <c r="F209" i="154"/>
  <c r="K209" i="154"/>
  <c r="G209" i="154"/>
  <c r="C209" i="154"/>
  <c r="I210" i="154"/>
  <c r="D210" i="154"/>
  <c r="J210" i="154"/>
  <c r="E210" i="154"/>
  <c r="F210" i="154"/>
  <c r="K210" i="154"/>
  <c r="G210" i="154"/>
  <c r="C210" i="154"/>
  <c r="I211" i="154"/>
  <c r="D211" i="154"/>
  <c r="J211" i="154"/>
  <c r="E211" i="154"/>
  <c r="F211" i="154"/>
  <c r="K211" i="154"/>
  <c r="G211" i="154"/>
  <c r="C211" i="154"/>
  <c r="I212" i="154"/>
  <c r="D212" i="154"/>
  <c r="J212" i="154"/>
  <c r="E212" i="154"/>
  <c r="F212" i="154"/>
  <c r="K212" i="154"/>
  <c r="G212" i="154"/>
  <c r="C212" i="154"/>
  <c r="I213" i="154"/>
  <c r="D213" i="154"/>
  <c r="J213" i="154"/>
  <c r="E213" i="154"/>
  <c r="F213" i="154"/>
  <c r="K213" i="154"/>
  <c r="G213" i="154"/>
  <c r="C213" i="154"/>
  <c r="I214" i="154"/>
  <c r="D214" i="154"/>
  <c r="J214" i="154"/>
  <c r="E214" i="154"/>
  <c r="F214" i="154"/>
  <c r="K214" i="154"/>
  <c r="G214" i="154"/>
  <c r="C214" i="154"/>
  <c r="I215" i="154"/>
  <c r="D215" i="154"/>
  <c r="J215" i="154"/>
  <c r="E215" i="154"/>
  <c r="F215" i="154"/>
  <c r="K215" i="154"/>
  <c r="G215" i="154"/>
  <c r="C215" i="154"/>
  <c r="I216" i="154"/>
  <c r="D216" i="154"/>
  <c r="J216" i="154"/>
  <c r="E216" i="154"/>
  <c r="F216" i="154"/>
  <c r="K216" i="154"/>
  <c r="G216" i="154"/>
  <c r="C216" i="154"/>
  <c r="I217" i="154"/>
  <c r="D217" i="154"/>
  <c r="J217" i="154"/>
  <c r="E217" i="154"/>
  <c r="F217" i="154"/>
  <c r="K217" i="154"/>
  <c r="G217" i="154"/>
  <c r="C217" i="154"/>
  <c r="I218" i="154"/>
  <c r="D218" i="154"/>
  <c r="J218" i="154"/>
  <c r="E218" i="154"/>
  <c r="F218" i="154"/>
  <c r="K218" i="154"/>
  <c r="G218" i="154"/>
  <c r="C218" i="154"/>
  <c r="I219" i="154"/>
  <c r="D219" i="154"/>
  <c r="J219" i="154"/>
  <c r="E219" i="154"/>
  <c r="F219" i="154"/>
  <c r="K219" i="154"/>
  <c r="G219" i="154"/>
  <c r="C219" i="154"/>
  <c r="I220" i="154"/>
  <c r="D220" i="154"/>
  <c r="J220" i="154"/>
  <c r="E220" i="154"/>
  <c r="F220" i="154"/>
  <c r="K220" i="154"/>
  <c r="G220" i="154"/>
  <c r="C220" i="154"/>
  <c r="I221" i="154"/>
  <c r="D221" i="154"/>
  <c r="J221" i="154"/>
  <c r="E221" i="154"/>
  <c r="F221" i="154"/>
  <c r="K221" i="154"/>
  <c r="G221" i="154"/>
  <c r="C221" i="154"/>
  <c r="I222" i="154"/>
  <c r="D222" i="154"/>
  <c r="J222" i="154"/>
  <c r="E222" i="154"/>
  <c r="F222" i="154"/>
  <c r="K222" i="154"/>
  <c r="G222" i="154"/>
  <c r="C222" i="154"/>
  <c r="I223" i="154"/>
  <c r="D223" i="154"/>
  <c r="J223" i="154"/>
  <c r="E223" i="154"/>
  <c r="F223" i="154"/>
  <c r="K223" i="154"/>
  <c r="G223" i="154"/>
  <c r="C223" i="154"/>
  <c r="I224" i="154"/>
  <c r="D224" i="154"/>
  <c r="J224" i="154"/>
  <c r="E224" i="154"/>
  <c r="F224" i="154"/>
  <c r="K224" i="154"/>
  <c r="G224" i="154"/>
  <c r="C224" i="154"/>
  <c r="I225" i="154"/>
  <c r="D225" i="154"/>
  <c r="J225" i="154"/>
  <c r="E225" i="154"/>
  <c r="F225" i="154"/>
  <c r="K225" i="154"/>
  <c r="G225" i="154"/>
  <c r="C225" i="154"/>
  <c r="I226" i="154"/>
  <c r="D226" i="154"/>
  <c r="J226" i="154"/>
  <c r="E226" i="154"/>
  <c r="F226" i="154"/>
  <c r="K226" i="154"/>
  <c r="G226" i="154"/>
  <c r="C226" i="154"/>
  <c r="I227" i="154"/>
  <c r="D227" i="154"/>
  <c r="J227" i="154"/>
  <c r="E227" i="154"/>
  <c r="F227" i="154"/>
  <c r="K227" i="154"/>
  <c r="G227" i="154"/>
  <c r="C227" i="154"/>
  <c r="I228" i="154"/>
  <c r="D228" i="154"/>
  <c r="J228" i="154"/>
  <c r="E228" i="154"/>
  <c r="F228" i="154"/>
  <c r="K228" i="154"/>
  <c r="G228" i="154"/>
  <c r="C228" i="154"/>
  <c r="I229" i="154"/>
  <c r="D229" i="154"/>
  <c r="J229" i="154"/>
  <c r="E229" i="154"/>
  <c r="F229" i="154"/>
  <c r="K229" i="154"/>
  <c r="G229" i="154"/>
  <c r="C229" i="154"/>
  <c r="I230" i="154"/>
  <c r="D230" i="154"/>
  <c r="J230" i="154"/>
  <c r="E230" i="154"/>
  <c r="F230" i="154"/>
  <c r="K230" i="154"/>
  <c r="G230" i="154"/>
  <c r="C230" i="154"/>
  <c r="I231" i="154"/>
  <c r="D231" i="154"/>
  <c r="J231" i="154"/>
  <c r="E231" i="154"/>
  <c r="F231" i="154"/>
  <c r="K231" i="154"/>
  <c r="G231" i="154"/>
  <c r="C231" i="154"/>
  <c r="I232" i="154"/>
  <c r="D232" i="154"/>
  <c r="J232" i="154"/>
  <c r="E232" i="154"/>
  <c r="F232" i="154"/>
  <c r="K232" i="154"/>
  <c r="G232" i="154"/>
  <c r="C232" i="154"/>
  <c r="I233" i="154"/>
  <c r="D233" i="154"/>
  <c r="J233" i="154"/>
  <c r="E233" i="154"/>
  <c r="F233" i="154"/>
  <c r="K233" i="154"/>
  <c r="G233" i="154"/>
  <c r="C233" i="154"/>
  <c r="I234" i="154"/>
  <c r="D234" i="154"/>
  <c r="J234" i="154"/>
  <c r="E234" i="154"/>
  <c r="F234" i="154"/>
  <c r="K234" i="154"/>
  <c r="G234" i="154"/>
  <c r="C234" i="154"/>
  <c r="I235" i="154"/>
  <c r="D235" i="154"/>
  <c r="J235" i="154"/>
  <c r="E235" i="154"/>
  <c r="F235" i="154"/>
  <c r="K235" i="154"/>
  <c r="G235" i="154"/>
  <c r="C235" i="154"/>
  <c r="I236" i="154"/>
  <c r="D236" i="154"/>
  <c r="J236" i="154"/>
  <c r="E236" i="154"/>
  <c r="F236" i="154"/>
  <c r="K236" i="154"/>
  <c r="G236" i="154"/>
  <c r="C236" i="154"/>
  <c r="I237" i="154"/>
  <c r="D237" i="154"/>
  <c r="J237" i="154"/>
  <c r="E237" i="154"/>
  <c r="F237" i="154"/>
  <c r="K237" i="154"/>
  <c r="G237" i="154"/>
  <c r="C237" i="154"/>
  <c r="I238" i="154"/>
  <c r="D238" i="154"/>
  <c r="J238" i="154"/>
  <c r="E238" i="154"/>
  <c r="F238" i="154"/>
  <c r="K238" i="154"/>
  <c r="G238" i="154"/>
  <c r="C238" i="154"/>
  <c r="I239" i="154"/>
  <c r="D239" i="154"/>
  <c r="J239" i="154"/>
  <c r="E239" i="154"/>
  <c r="F239" i="154"/>
  <c r="K239" i="154"/>
  <c r="G239" i="154"/>
  <c r="C239" i="154"/>
  <c r="I240" i="154"/>
  <c r="D240" i="154"/>
  <c r="J240" i="154"/>
  <c r="E240" i="154"/>
  <c r="F240" i="154"/>
  <c r="K240" i="154"/>
  <c r="G240" i="154"/>
  <c r="C240" i="154"/>
  <c r="I241" i="154"/>
  <c r="D241" i="154"/>
  <c r="J241" i="154"/>
  <c r="E241" i="154"/>
  <c r="F241" i="154"/>
  <c r="K241" i="154"/>
  <c r="G241" i="154"/>
  <c r="C241" i="154"/>
  <c r="I242" i="154"/>
  <c r="D242" i="154"/>
  <c r="J242" i="154"/>
  <c r="E242" i="154"/>
  <c r="F242" i="154"/>
  <c r="K242" i="154"/>
  <c r="G242" i="154"/>
  <c r="C242" i="154"/>
  <c r="I243" i="154"/>
  <c r="D243" i="154"/>
  <c r="J243" i="154"/>
  <c r="E243" i="154"/>
  <c r="F243" i="154"/>
  <c r="K243" i="154"/>
  <c r="G243" i="154"/>
  <c r="C243" i="154"/>
  <c r="I244" i="154"/>
  <c r="D244" i="154"/>
  <c r="J244" i="154"/>
  <c r="E244" i="154"/>
  <c r="F244" i="154"/>
  <c r="K244" i="154"/>
  <c r="G244" i="154"/>
  <c r="C244" i="154"/>
  <c r="I245" i="154"/>
  <c r="D245" i="154"/>
  <c r="J245" i="154"/>
  <c r="E245" i="154"/>
  <c r="F245" i="154"/>
  <c r="K245" i="154"/>
  <c r="G245" i="154"/>
  <c r="C245" i="154"/>
  <c r="I246" i="154"/>
  <c r="D246" i="154"/>
  <c r="J246" i="154"/>
  <c r="E246" i="154"/>
  <c r="F246" i="154"/>
  <c r="K246" i="154"/>
  <c r="G246" i="154"/>
  <c r="C246" i="154"/>
  <c r="I247" i="154"/>
  <c r="D247" i="154"/>
  <c r="J247" i="154"/>
  <c r="E247" i="154"/>
  <c r="F247" i="154"/>
  <c r="K247" i="154"/>
  <c r="G247" i="154"/>
  <c r="C247" i="154"/>
  <c r="I248" i="154"/>
  <c r="D248" i="154"/>
  <c r="J248" i="154"/>
  <c r="E248" i="154"/>
  <c r="F248" i="154"/>
  <c r="K248" i="154"/>
  <c r="G248" i="154"/>
  <c r="C248" i="154"/>
  <c r="I249" i="154"/>
  <c r="D249" i="154"/>
  <c r="J249" i="154"/>
  <c r="E249" i="154"/>
  <c r="F249" i="154"/>
  <c r="K249" i="154"/>
  <c r="G249" i="154"/>
  <c r="C249" i="154"/>
  <c r="I250" i="154"/>
  <c r="D250" i="154"/>
  <c r="J250" i="154"/>
  <c r="E250" i="154"/>
  <c r="F250" i="154"/>
  <c r="K250" i="154"/>
  <c r="G250" i="154"/>
  <c r="C250" i="154"/>
  <c r="I251" i="154"/>
  <c r="D251" i="154"/>
  <c r="J251" i="154"/>
  <c r="E251" i="154"/>
  <c r="F251" i="154"/>
  <c r="K251" i="154"/>
  <c r="G251" i="154"/>
  <c r="C251" i="154"/>
  <c r="I252" i="154"/>
  <c r="D252" i="154"/>
  <c r="J252" i="154"/>
  <c r="E252" i="154"/>
  <c r="F252" i="154"/>
  <c r="K252" i="154"/>
  <c r="G252" i="154"/>
  <c r="C252" i="154"/>
  <c r="I253" i="154"/>
  <c r="D253" i="154"/>
  <c r="J253" i="154"/>
  <c r="E253" i="154"/>
  <c r="F253" i="154"/>
  <c r="K253" i="154"/>
  <c r="G253" i="154"/>
  <c r="C253" i="154"/>
  <c r="I254" i="154"/>
  <c r="D254" i="154"/>
  <c r="J254" i="154"/>
  <c r="E254" i="154"/>
  <c r="F254" i="154"/>
  <c r="K254" i="154"/>
  <c r="G254" i="154"/>
  <c r="C254" i="154"/>
  <c r="I255" i="154"/>
  <c r="D255" i="154"/>
  <c r="J255" i="154"/>
  <c r="E255" i="154"/>
  <c r="F255" i="154"/>
  <c r="K255" i="154"/>
  <c r="G255" i="154"/>
  <c r="C255" i="154"/>
  <c r="I256" i="154"/>
  <c r="D256" i="154"/>
  <c r="J256" i="154"/>
  <c r="E256" i="154"/>
  <c r="F256" i="154"/>
  <c r="K256" i="154"/>
  <c r="G256" i="154"/>
  <c r="C256" i="154"/>
  <c r="I257" i="154"/>
  <c r="D257" i="154"/>
  <c r="J257" i="154"/>
  <c r="E257" i="154"/>
  <c r="F257" i="154"/>
  <c r="K257" i="154"/>
  <c r="G257" i="154"/>
  <c r="C257" i="154"/>
  <c r="I258" i="154"/>
  <c r="D258" i="154"/>
  <c r="J258" i="154"/>
  <c r="E258" i="154"/>
  <c r="F258" i="154"/>
  <c r="K258" i="154"/>
  <c r="G258" i="154"/>
  <c r="C258" i="154"/>
  <c r="I259" i="154"/>
  <c r="D259" i="154"/>
  <c r="J259" i="154"/>
  <c r="E259" i="154"/>
  <c r="F259" i="154"/>
  <c r="K259" i="154"/>
  <c r="G259" i="154"/>
  <c r="C259" i="154"/>
  <c r="I260" i="154"/>
  <c r="D260" i="154"/>
  <c r="J260" i="154"/>
  <c r="E260" i="154"/>
  <c r="F260" i="154"/>
  <c r="K260" i="154"/>
  <c r="G260" i="154"/>
  <c r="C260" i="154"/>
  <c r="I261" i="154"/>
  <c r="D261" i="154"/>
  <c r="J261" i="154"/>
  <c r="E261" i="154"/>
  <c r="F261" i="154"/>
  <c r="K261" i="154"/>
  <c r="G261" i="154"/>
  <c r="C261" i="154"/>
  <c r="I262" i="154"/>
  <c r="D262" i="154"/>
  <c r="J262" i="154"/>
  <c r="E262" i="154"/>
  <c r="F262" i="154"/>
  <c r="K262" i="154"/>
  <c r="G262" i="154"/>
  <c r="C262" i="154"/>
  <c r="I263" i="154"/>
  <c r="D263" i="154"/>
  <c r="J263" i="154"/>
  <c r="E263" i="154"/>
  <c r="F263" i="154"/>
  <c r="K263" i="154"/>
  <c r="G263" i="154"/>
  <c r="C263" i="154"/>
  <c r="I264" i="154"/>
  <c r="D264" i="154"/>
  <c r="J264" i="154"/>
  <c r="E264" i="154"/>
  <c r="F264" i="154"/>
  <c r="K264" i="154"/>
  <c r="G264" i="154"/>
  <c r="C264" i="154"/>
  <c r="I265" i="154"/>
  <c r="D265" i="154"/>
  <c r="J265" i="154"/>
  <c r="E265" i="154"/>
  <c r="F265" i="154"/>
  <c r="K265" i="154"/>
  <c r="G265" i="154"/>
  <c r="C265" i="154"/>
  <c r="I266" i="154"/>
  <c r="D266" i="154"/>
  <c r="J266" i="154"/>
  <c r="E266" i="154"/>
  <c r="F266" i="154"/>
  <c r="K266" i="154"/>
  <c r="G266" i="154"/>
  <c r="C266" i="154"/>
  <c r="I267" i="154"/>
  <c r="D267" i="154"/>
  <c r="J267" i="154"/>
  <c r="E267" i="154"/>
  <c r="F267" i="154"/>
  <c r="K267" i="154"/>
  <c r="G267" i="154"/>
  <c r="C267" i="154"/>
  <c r="I268" i="154"/>
  <c r="D268" i="154"/>
  <c r="J268" i="154"/>
  <c r="E268" i="154"/>
  <c r="F268" i="154"/>
  <c r="K268" i="154"/>
  <c r="G268" i="154"/>
  <c r="C268" i="154"/>
  <c r="I269" i="154"/>
  <c r="D269" i="154"/>
  <c r="J269" i="154"/>
  <c r="E269" i="154"/>
  <c r="F269" i="154"/>
  <c r="K269" i="154"/>
  <c r="G269" i="154"/>
  <c r="C269" i="154"/>
  <c r="I270" i="154"/>
  <c r="D270" i="154"/>
  <c r="J270" i="154"/>
  <c r="E270" i="154"/>
  <c r="F270" i="154"/>
  <c r="K270" i="154"/>
  <c r="G270" i="154"/>
  <c r="C270" i="154"/>
  <c r="I271" i="154"/>
  <c r="D271" i="154"/>
  <c r="J271" i="154"/>
  <c r="E271" i="154"/>
  <c r="F271" i="154"/>
  <c r="K271" i="154"/>
  <c r="G271" i="154"/>
  <c r="C271" i="154"/>
  <c r="I272" i="154"/>
  <c r="D272" i="154"/>
  <c r="J272" i="154"/>
  <c r="E272" i="154"/>
  <c r="F272" i="154"/>
  <c r="K272" i="154"/>
  <c r="G272" i="154"/>
  <c r="C272" i="154"/>
  <c r="I273" i="154"/>
  <c r="D273" i="154"/>
  <c r="J273" i="154"/>
  <c r="E273" i="154"/>
  <c r="F273" i="154"/>
  <c r="K273" i="154"/>
  <c r="G273" i="154"/>
  <c r="C273" i="154"/>
  <c r="I274" i="154"/>
  <c r="D274" i="154"/>
  <c r="J274" i="154"/>
  <c r="E274" i="154"/>
  <c r="F274" i="154"/>
  <c r="K274" i="154"/>
  <c r="G274" i="154"/>
  <c r="C274" i="154"/>
  <c r="I275" i="154"/>
  <c r="D275" i="154"/>
  <c r="J275" i="154"/>
  <c r="E275" i="154"/>
  <c r="F275" i="154"/>
  <c r="K275" i="154"/>
  <c r="G275" i="154"/>
  <c r="C275" i="154"/>
  <c r="I276" i="154"/>
  <c r="D276" i="154"/>
  <c r="J276" i="154"/>
  <c r="E276" i="154"/>
  <c r="F276" i="154"/>
  <c r="K276" i="154"/>
  <c r="G276" i="154"/>
  <c r="C276" i="154"/>
  <c r="I277" i="154"/>
  <c r="D277" i="154"/>
  <c r="J277" i="154"/>
  <c r="E277" i="154"/>
  <c r="F277" i="154"/>
  <c r="K277" i="154"/>
  <c r="G277" i="154"/>
  <c r="C277" i="154"/>
  <c r="I278" i="154"/>
  <c r="D278" i="154"/>
  <c r="J278" i="154"/>
  <c r="E278" i="154"/>
  <c r="F278" i="154"/>
  <c r="K278" i="154"/>
  <c r="G278" i="154"/>
  <c r="C278" i="154"/>
  <c r="I279" i="154"/>
  <c r="D279" i="154"/>
  <c r="J279" i="154"/>
  <c r="E279" i="154"/>
  <c r="F279" i="154"/>
  <c r="K279" i="154"/>
  <c r="G279" i="154"/>
  <c r="C279" i="154"/>
  <c r="I280" i="154"/>
  <c r="D280" i="154"/>
  <c r="J280" i="154"/>
  <c r="E280" i="154"/>
  <c r="F280" i="154"/>
  <c r="K280" i="154"/>
  <c r="G280" i="154"/>
  <c r="C280" i="154"/>
  <c r="I281" i="154"/>
  <c r="D281" i="154"/>
  <c r="J281" i="154"/>
  <c r="E281" i="154"/>
  <c r="F281" i="154"/>
  <c r="K281" i="154"/>
  <c r="G281" i="154"/>
  <c r="C281" i="154"/>
  <c r="I282" i="154"/>
  <c r="D282" i="154"/>
  <c r="J282" i="154"/>
  <c r="E282" i="154"/>
  <c r="F282" i="154"/>
  <c r="K282" i="154"/>
  <c r="G282" i="154"/>
  <c r="C282" i="154"/>
  <c r="I283" i="154"/>
  <c r="D283" i="154"/>
  <c r="J283" i="154"/>
  <c r="E283" i="154"/>
  <c r="F283" i="154"/>
  <c r="K283" i="154"/>
  <c r="G283" i="154"/>
  <c r="C283" i="154"/>
  <c r="I284" i="154"/>
  <c r="D284" i="154"/>
  <c r="J284" i="154"/>
  <c r="E284" i="154"/>
  <c r="F284" i="154"/>
  <c r="K284" i="154"/>
  <c r="G284" i="154"/>
  <c r="C284" i="154"/>
  <c r="I285" i="154"/>
  <c r="D285" i="154"/>
  <c r="J285" i="154"/>
  <c r="E285" i="154"/>
  <c r="F285" i="154"/>
  <c r="K285" i="154"/>
  <c r="G285" i="154"/>
  <c r="C285" i="154"/>
  <c r="I286" i="154"/>
  <c r="D286" i="154"/>
  <c r="J286" i="154"/>
  <c r="E286" i="154"/>
  <c r="F286" i="154"/>
  <c r="K286" i="154"/>
  <c r="G286" i="154"/>
  <c r="C286" i="154"/>
  <c r="I287" i="154"/>
  <c r="D287" i="154"/>
  <c r="J287" i="154"/>
  <c r="E287" i="154"/>
  <c r="F287" i="154"/>
  <c r="K287" i="154"/>
  <c r="G287" i="154"/>
  <c r="C287" i="154"/>
  <c r="I288" i="154"/>
  <c r="D288" i="154"/>
  <c r="J288" i="154"/>
  <c r="E288" i="154"/>
  <c r="F288" i="154"/>
  <c r="K288" i="154"/>
  <c r="G288" i="154"/>
  <c r="C288" i="154"/>
  <c r="I289" i="154"/>
  <c r="D289" i="154"/>
  <c r="J289" i="154"/>
  <c r="E289" i="154"/>
  <c r="F289" i="154"/>
  <c r="K289" i="154"/>
  <c r="G289" i="154"/>
  <c r="C289" i="154"/>
  <c r="I290" i="154"/>
  <c r="D290" i="154"/>
  <c r="J290" i="154"/>
  <c r="E290" i="154"/>
  <c r="F290" i="154"/>
  <c r="K290" i="154"/>
  <c r="G290" i="154"/>
  <c r="C290" i="154"/>
  <c r="I291" i="154"/>
  <c r="D291" i="154"/>
  <c r="J291" i="154"/>
  <c r="E291" i="154"/>
  <c r="F291" i="154"/>
  <c r="K291" i="154"/>
  <c r="G291" i="154"/>
  <c r="C291" i="154"/>
  <c r="I292" i="154"/>
  <c r="D292" i="154"/>
  <c r="J292" i="154"/>
  <c r="E292" i="154"/>
  <c r="F292" i="154"/>
  <c r="K292" i="154"/>
  <c r="G292" i="154"/>
  <c r="C292" i="154"/>
  <c r="I293" i="154"/>
  <c r="D293" i="154"/>
  <c r="J293" i="154"/>
  <c r="E293" i="154"/>
  <c r="F293" i="154"/>
  <c r="K293" i="154"/>
  <c r="G293" i="154"/>
  <c r="C293" i="154"/>
  <c r="I294" i="154"/>
  <c r="D294" i="154"/>
  <c r="J294" i="154"/>
  <c r="E294" i="154"/>
  <c r="F294" i="154"/>
  <c r="K294" i="154"/>
  <c r="G294" i="154"/>
  <c r="C294" i="154"/>
  <c r="I295" i="154"/>
  <c r="D295" i="154"/>
  <c r="J295" i="154"/>
  <c r="E295" i="154"/>
  <c r="F295" i="154"/>
  <c r="K295" i="154"/>
  <c r="G295" i="154"/>
  <c r="C295" i="154"/>
  <c r="I296" i="154"/>
  <c r="D296" i="154"/>
  <c r="J296" i="154"/>
  <c r="E296" i="154"/>
  <c r="F296" i="154"/>
  <c r="K296" i="154"/>
  <c r="G296" i="154"/>
  <c r="C296" i="154"/>
  <c r="I297" i="154"/>
  <c r="D297" i="154"/>
  <c r="J297" i="154"/>
  <c r="E297" i="154"/>
  <c r="F297" i="154"/>
  <c r="K297" i="154"/>
  <c r="G297" i="154"/>
  <c r="C297" i="154"/>
  <c r="I298" i="154"/>
  <c r="D298" i="154"/>
  <c r="J298" i="154"/>
  <c r="E298" i="154"/>
  <c r="F298" i="154"/>
  <c r="K298" i="154"/>
  <c r="G298" i="154"/>
  <c r="C298" i="154"/>
  <c r="I299" i="154"/>
  <c r="D299" i="154"/>
  <c r="J299" i="154"/>
  <c r="E299" i="154"/>
  <c r="F299" i="154"/>
  <c r="K299" i="154"/>
  <c r="G299" i="154"/>
  <c r="C299" i="154"/>
  <c r="I300" i="154"/>
  <c r="D300" i="154"/>
  <c r="J300" i="154"/>
  <c r="E300" i="154"/>
  <c r="F300" i="154"/>
  <c r="K300" i="154"/>
  <c r="G300" i="154"/>
  <c r="C300" i="154"/>
  <c r="I301" i="154"/>
  <c r="D301" i="154"/>
  <c r="J301" i="154"/>
  <c r="E301" i="154"/>
  <c r="F301" i="154"/>
  <c r="K301" i="154"/>
  <c r="G301" i="154"/>
  <c r="C301" i="154"/>
  <c r="I302" i="154"/>
  <c r="D302" i="154"/>
  <c r="J302" i="154"/>
  <c r="E302" i="154"/>
  <c r="F302" i="154"/>
  <c r="K302" i="154"/>
  <c r="G302" i="154"/>
  <c r="C302" i="154"/>
  <c r="I303" i="154"/>
  <c r="D303" i="154"/>
  <c r="J303" i="154"/>
  <c r="E303" i="154"/>
  <c r="F303" i="154"/>
  <c r="K303" i="154"/>
  <c r="G303" i="154"/>
  <c r="C303" i="154"/>
  <c r="I304" i="154"/>
  <c r="D304" i="154"/>
  <c r="J304" i="154"/>
  <c r="E304" i="154"/>
  <c r="F304" i="154"/>
  <c r="K304" i="154"/>
  <c r="G304" i="154"/>
  <c r="C304" i="154"/>
  <c r="I305" i="154"/>
  <c r="D305" i="154"/>
  <c r="J305" i="154"/>
  <c r="E305" i="154"/>
  <c r="F305" i="154"/>
  <c r="K305" i="154"/>
  <c r="G305" i="154"/>
  <c r="C305" i="154"/>
  <c r="I306" i="154"/>
  <c r="D306" i="154"/>
  <c r="J306" i="154"/>
  <c r="E306" i="154"/>
  <c r="F306" i="154"/>
  <c r="K306" i="154"/>
  <c r="G306" i="154"/>
  <c r="C306" i="154"/>
  <c r="I307" i="154"/>
  <c r="D307" i="154"/>
  <c r="J307" i="154"/>
  <c r="E307" i="154"/>
  <c r="F307" i="154"/>
  <c r="K307" i="154"/>
  <c r="G307" i="154"/>
  <c r="C307" i="154"/>
  <c r="I308" i="154"/>
  <c r="D308" i="154"/>
  <c r="J308" i="154"/>
  <c r="E308" i="154"/>
  <c r="F308" i="154"/>
  <c r="K308" i="154"/>
  <c r="G308" i="154"/>
  <c r="C308" i="154"/>
  <c r="I309" i="154"/>
  <c r="D309" i="154"/>
  <c r="J309" i="154"/>
  <c r="E309" i="154"/>
  <c r="F309" i="154"/>
  <c r="K309" i="154"/>
  <c r="G309" i="154"/>
  <c r="C309" i="154"/>
  <c r="I310" i="154"/>
  <c r="D310" i="154"/>
  <c r="J310" i="154"/>
  <c r="E310" i="154"/>
  <c r="F310" i="154"/>
  <c r="K310" i="154"/>
  <c r="G310" i="154"/>
  <c r="C310" i="154"/>
  <c r="I311" i="154"/>
  <c r="D311" i="154"/>
  <c r="J311" i="154"/>
  <c r="E311" i="154"/>
  <c r="F311" i="154"/>
  <c r="K311" i="154"/>
  <c r="G311" i="154"/>
  <c r="C311" i="154"/>
  <c r="I312" i="154"/>
  <c r="D312" i="154"/>
  <c r="J312" i="154"/>
  <c r="E312" i="154"/>
  <c r="F312" i="154"/>
  <c r="K312" i="154"/>
  <c r="G312" i="154"/>
  <c r="C312" i="154"/>
  <c r="I313" i="154"/>
  <c r="D313" i="154"/>
  <c r="J313" i="154"/>
  <c r="E313" i="154"/>
  <c r="F313" i="154"/>
  <c r="K313" i="154"/>
  <c r="G313" i="154"/>
  <c r="C313" i="154"/>
  <c r="I314" i="154"/>
  <c r="D314" i="154"/>
  <c r="J314" i="154"/>
  <c r="E314" i="154"/>
  <c r="F314" i="154"/>
  <c r="K314" i="154"/>
  <c r="G314" i="154"/>
  <c r="C314" i="154"/>
  <c r="I315" i="154"/>
  <c r="D315" i="154"/>
  <c r="J315" i="154"/>
  <c r="E315" i="154"/>
  <c r="F315" i="154"/>
  <c r="K315" i="154"/>
  <c r="G315" i="154"/>
  <c r="C315" i="154"/>
  <c r="I316" i="154"/>
  <c r="D316" i="154"/>
  <c r="J316" i="154"/>
  <c r="E316" i="154"/>
  <c r="F316" i="154"/>
  <c r="K316" i="154"/>
  <c r="G316" i="154"/>
  <c r="C316" i="154"/>
  <c r="I317" i="154"/>
  <c r="D317" i="154"/>
  <c r="J317" i="154"/>
  <c r="E317" i="154"/>
  <c r="F317" i="154"/>
  <c r="K317" i="154"/>
  <c r="G317" i="154"/>
  <c r="C317" i="154"/>
  <c r="I318" i="154"/>
  <c r="D318" i="154"/>
  <c r="J318" i="154"/>
  <c r="E318" i="154"/>
  <c r="F318" i="154"/>
  <c r="K318" i="154"/>
  <c r="G318" i="154"/>
  <c r="C318" i="154"/>
  <c r="I319" i="154"/>
  <c r="D319" i="154"/>
  <c r="J319" i="154"/>
  <c r="E319" i="154"/>
  <c r="F319" i="154"/>
  <c r="K319" i="154"/>
  <c r="G319" i="154"/>
  <c r="C319" i="154"/>
  <c r="I320" i="154"/>
  <c r="D320" i="154"/>
  <c r="J320" i="154"/>
  <c r="E320" i="154"/>
  <c r="F320" i="154"/>
  <c r="K320" i="154"/>
  <c r="G320" i="154"/>
  <c r="C320" i="154"/>
  <c r="I321" i="154"/>
  <c r="D321" i="154"/>
  <c r="J321" i="154"/>
  <c r="E321" i="154"/>
  <c r="F321" i="154"/>
  <c r="K321" i="154"/>
  <c r="G321" i="154"/>
  <c r="C321" i="154"/>
  <c r="I322" i="154"/>
  <c r="D322" i="154"/>
  <c r="J322" i="154"/>
  <c r="E322" i="154"/>
  <c r="F322" i="154"/>
  <c r="K322" i="154"/>
  <c r="G322" i="154"/>
  <c r="C322" i="154"/>
  <c r="I323" i="154"/>
  <c r="D323" i="154"/>
  <c r="J323" i="154"/>
  <c r="E323" i="154"/>
  <c r="F323" i="154"/>
  <c r="K323" i="154"/>
  <c r="G323" i="154"/>
  <c r="C323" i="154"/>
  <c r="I324" i="154"/>
  <c r="D324" i="154"/>
  <c r="J324" i="154"/>
  <c r="E324" i="154"/>
  <c r="F324" i="154"/>
  <c r="K324" i="154"/>
  <c r="G324" i="154"/>
  <c r="C324" i="154"/>
  <c r="I325" i="154"/>
  <c r="D325" i="154"/>
  <c r="J325" i="154"/>
  <c r="E325" i="154"/>
  <c r="F325" i="154"/>
  <c r="K325" i="154"/>
  <c r="G325" i="154"/>
  <c r="C325" i="154"/>
  <c r="I326" i="154"/>
  <c r="D326" i="154"/>
  <c r="J326" i="154"/>
  <c r="E326" i="154"/>
  <c r="F326" i="154"/>
  <c r="K326" i="154"/>
  <c r="G326" i="154"/>
  <c r="C326" i="154"/>
  <c r="I327" i="154"/>
  <c r="D327" i="154"/>
  <c r="J327" i="154"/>
  <c r="E327" i="154"/>
  <c r="F327" i="154"/>
  <c r="K327" i="154"/>
  <c r="G327" i="154"/>
  <c r="C327" i="154"/>
  <c r="I328" i="154"/>
  <c r="D328" i="154"/>
  <c r="J328" i="154"/>
  <c r="E328" i="154"/>
  <c r="F328" i="154"/>
  <c r="K328" i="154"/>
  <c r="G328" i="154"/>
  <c r="C328" i="154"/>
  <c r="I329" i="154"/>
  <c r="D329" i="154"/>
  <c r="J329" i="154"/>
  <c r="E329" i="154"/>
  <c r="F329" i="154"/>
  <c r="K329" i="154"/>
  <c r="G329" i="154"/>
  <c r="C329" i="154"/>
  <c r="I330" i="154"/>
  <c r="D330" i="154"/>
  <c r="J330" i="154"/>
  <c r="E330" i="154"/>
  <c r="F330" i="154"/>
  <c r="K330" i="154"/>
  <c r="G330" i="154"/>
  <c r="C330" i="154"/>
  <c r="I331" i="154"/>
  <c r="D331" i="154"/>
  <c r="J331" i="154"/>
  <c r="E331" i="154"/>
  <c r="F331" i="154"/>
  <c r="K331" i="154"/>
  <c r="G331" i="154"/>
  <c r="C331" i="154"/>
  <c r="I332" i="154"/>
  <c r="D332" i="154"/>
  <c r="J332" i="154"/>
  <c r="E332" i="154"/>
  <c r="F332" i="154"/>
  <c r="K332" i="154"/>
  <c r="G332" i="154"/>
  <c r="C332" i="154"/>
  <c r="I333" i="154"/>
  <c r="D333" i="154"/>
  <c r="J333" i="154"/>
  <c r="E333" i="154"/>
  <c r="F333" i="154"/>
  <c r="K333" i="154"/>
  <c r="G333" i="154"/>
  <c r="C333" i="154"/>
  <c r="I334" i="154"/>
  <c r="D334" i="154"/>
  <c r="J334" i="154"/>
  <c r="E334" i="154"/>
  <c r="F334" i="154"/>
  <c r="K334" i="154"/>
  <c r="G334" i="154"/>
  <c r="C334" i="154"/>
  <c r="I335" i="154"/>
  <c r="D335" i="154"/>
  <c r="J335" i="154"/>
  <c r="E335" i="154"/>
  <c r="F335" i="154"/>
  <c r="K335" i="154"/>
  <c r="G335" i="154"/>
  <c r="C335" i="154"/>
  <c r="I336" i="154"/>
  <c r="D336" i="154"/>
  <c r="J336" i="154"/>
  <c r="E336" i="154"/>
  <c r="F336" i="154"/>
  <c r="K336" i="154"/>
  <c r="G336" i="154"/>
  <c r="C336" i="154"/>
  <c r="I337" i="154"/>
  <c r="D337" i="154"/>
  <c r="J337" i="154"/>
  <c r="E337" i="154"/>
  <c r="F337" i="154"/>
  <c r="K337" i="154"/>
  <c r="G337" i="154"/>
  <c r="C337" i="154"/>
  <c r="I338" i="154"/>
  <c r="D338" i="154"/>
  <c r="J338" i="154"/>
  <c r="E338" i="154"/>
  <c r="F338" i="154"/>
  <c r="K338" i="154"/>
  <c r="G338" i="154"/>
  <c r="C338" i="154"/>
  <c r="I339" i="154"/>
  <c r="D339" i="154"/>
  <c r="J339" i="154"/>
  <c r="E339" i="154"/>
  <c r="F339" i="154"/>
  <c r="K339" i="154"/>
  <c r="G339" i="154"/>
  <c r="C339" i="154"/>
  <c r="I340" i="154"/>
  <c r="D340" i="154"/>
  <c r="J340" i="154"/>
  <c r="E340" i="154"/>
  <c r="F340" i="154"/>
  <c r="K340" i="154"/>
  <c r="G340" i="154"/>
  <c r="C340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3" i="153"/>
  <c r="B10" i="153"/>
  <c r="F6" i="153"/>
  <c r="E6" i="153"/>
  <c r="B23" i="153"/>
  <c r="E26" i="153"/>
  <c r="B26" i="153"/>
  <c r="F5" i="153"/>
  <c r="E5" i="153"/>
  <c r="E28" i="153"/>
  <c r="B28" i="153"/>
  <c r="E29" i="153"/>
  <c r="B29" i="153"/>
  <c r="C28" i="153"/>
  <c r="B21" i="153"/>
  <c r="C27" i="153"/>
  <c r="E27" i="153"/>
  <c r="B27" i="153"/>
  <c r="E25" i="153"/>
  <c r="B25" i="153"/>
  <c r="E22" i="153"/>
  <c r="B22" i="153"/>
  <c r="E20" i="153"/>
  <c r="B20" i="153"/>
  <c r="B18" i="153"/>
  <c r="I229" i="158"/>
  <c r="D229" i="158"/>
  <c r="J229" i="158"/>
  <c r="E229" i="158"/>
  <c r="F229" i="158"/>
  <c r="K229" i="158"/>
  <c r="G229" i="158"/>
  <c r="C229" i="158"/>
  <c r="Q3" i="157"/>
  <c r="I230" i="158"/>
  <c r="D230" i="158"/>
  <c r="J230" i="158"/>
  <c r="E230" i="158"/>
  <c r="F230" i="158"/>
  <c r="K230" i="158"/>
  <c r="G230" i="158"/>
  <c r="C230" i="158"/>
  <c r="Q4" i="157"/>
  <c r="I213" i="158"/>
  <c r="D213" i="158"/>
  <c r="J213" i="158"/>
  <c r="E213" i="158"/>
  <c r="F213" i="158"/>
  <c r="K213" i="158"/>
  <c r="G213" i="158"/>
  <c r="C213" i="158"/>
  <c r="Q5" i="157"/>
  <c r="I214" i="158"/>
  <c r="D214" i="158"/>
  <c r="J214" i="158"/>
  <c r="E214" i="158"/>
  <c r="F214" i="158"/>
  <c r="K214" i="158"/>
  <c r="G214" i="158"/>
  <c r="C214" i="158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C28" i="157"/>
  <c r="I2" i="158"/>
  <c r="J2" i="158"/>
  <c r="D2" i="158"/>
  <c r="E2" i="158"/>
  <c r="F2" i="158"/>
  <c r="K2" i="158"/>
  <c r="G2" i="158"/>
  <c r="C2" i="158"/>
  <c r="I3" i="158"/>
  <c r="J3" i="158"/>
  <c r="D3" i="158"/>
  <c r="E3" i="158"/>
  <c r="F3" i="158"/>
  <c r="K3" i="158"/>
  <c r="G3" i="158"/>
  <c r="C3" i="158"/>
  <c r="I4" i="158"/>
  <c r="J4" i="158"/>
  <c r="D4" i="158"/>
  <c r="E4" i="158"/>
  <c r="F4" i="158"/>
  <c r="K4" i="158"/>
  <c r="G4" i="158"/>
  <c r="C4" i="158"/>
  <c r="I5" i="158"/>
  <c r="J5" i="158"/>
  <c r="D5" i="158"/>
  <c r="E5" i="158"/>
  <c r="F5" i="158"/>
  <c r="K5" i="158"/>
  <c r="G5" i="158"/>
  <c r="C5" i="158"/>
  <c r="I6" i="158"/>
  <c r="J6" i="158"/>
  <c r="D6" i="158"/>
  <c r="E6" i="158"/>
  <c r="F6" i="158"/>
  <c r="K6" i="158"/>
  <c r="G6" i="158"/>
  <c r="C6" i="158"/>
  <c r="I7" i="158"/>
  <c r="J7" i="158"/>
  <c r="D7" i="158"/>
  <c r="E7" i="158"/>
  <c r="F7" i="158"/>
  <c r="K7" i="158"/>
  <c r="G7" i="158"/>
  <c r="C7" i="158"/>
  <c r="I8" i="158"/>
  <c r="J8" i="158"/>
  <c r="D8" i="158"/>
  <c r="E8" i="158"/>
  <c r="F8" i="158"/>
  <c r="K8" i="158"/>
  <c r="G8" i="158"/>
  <c r="C8" i="158"/>
  <c r="I9" i="158"/>
  <c r="J9" i="158"/>
  <c r="D9" i="158"/>
  <c r="E9" i="158"/>
  <c r="F9" i="158"/>
  <c r="K9" i="158"/>
  <c r="G9" i="158"/>
  <c r="C9" i="158"/>
  <c r="I10" i="158"/>
  <c r="J10" i="158"/>
  <c r="D10" i="158"/>
  <c r="E10" i="158"/>
  <c r="F10" i="158"/>
  <c r="K10" i="158"/>
  <c r="G10" i="158"/>
  <c r="C10" i="158"/>
  <c r="I11" i="158"/>
  <c r="J11" i="158"/>
  <c r="D11" i="158"/>
  <c r="E11" i="158"/>
  <c r="F11" i="158"/>
  <c r="K11" i="158"/>
  <c r="G11" i="158"/>
  <c r="C11" i="158"/>
  <c r="I12" i="158"/>
  <c r="J12" i="158"/>
  <c r="D12" i="158"/>
  <c r="E12" i="158"/>
  <c r="F12" i="158"/>
  <c r="K12" i="158"/>
  <c r="G12" i="158"/>
  <c r="C12" i="158"/>
  <c r="I13" i="158"/>
  <c r="J13" i="158"/>
  <c r="D13" i="158"/>
  <c r="E13" i="158"/>
  <c r="F13" i="158"/>
  <c r="K13" i="158"/>
  <c r="G13" i="158"/>
  <c r="C13" i="158"/>
  <c r="I14" i="158"/>
  <c r="J14" i="158"/>
  <c r="D14" i="158"/>
  <c r="E14" i="158"/>
  <c r="F14" i="158"/>
  <c r="K14" i="158"/>
  <c r="G14" i="158"/>
  <c r="C14" i="158"/>
  <c r="I15" i="158"/>
  <c r="J15" i="158"/>
  <c r="D15" i="158"/>
  <c r="E15" i="158"/>
  <c r="F15" i="158"/>
  <c r="K15" i="158"/>
  <c r="G15" i="158"/>
  <c r="C15" i="158"/>
  <c r="I16" i="158"/>
  <c r="J16" i="158"/>
  <c r="D16" i="158"/>
  <c r="E16" i="158"/>
  <c r="F16" i="158"/>
  <c r="K16" i="158"/>
  <c r="G16" i="158"/>
  <c r="C16" i="158"/>
  <c r="I17" i="158"/>
  <c r="J17" i="158"/>
  <c r="D17" i="158"/>
  <c r="E17" i="158"/>
  <c r="F17" i="158"/>
  <c r="K17" i="158"/>
  <c r="G17" i="158"/>
  <c r="C17" i="158"/>
  <c r="I18" i="158"/>
  <c r="J18" i="158"/>
  <c r="D18" i="158"/>
  <c r="E18" i="158"/>
  <c r="F18" i="158"/>
  <c r="K18" i="158"/>
  <c r="G18" i="158"/>
  <c r="C18" i="158"/>
  <c r="I19" i="158"/>
  <c r="J19" i="158"/>
  <c r="D19" i="158"/>
  <c r="E19" i="158"/>
  <c r="F19" i="158"/>
  <c r="K19" i="158"/>
  <c r="G19" i="158"/>
  <c r="C19" i="158"/>
  <c r="I20" i="158"/>
  <c r="J20" i="158"/>
  <c r="D20" i="158"/>
  <c r="E20" i="158"/>
  <c r="F20" i="158"/>
  <c r="K20" i="158"/>
  <c r="G20" i="158"/>
  <c r="C20" i="158"/>
  <c r="I21" i="158"/>
  <c r="J21" i="158"/>
  <c r="D21" i="158"/>
  <c r="E21" i="158"/>
  <c r="F21" i="158"/>
  <c r="K21" i="158"/>
  <c r="G21" i="158"/>
  <c r="C21" i="158"/>
  <c r="I22" i="158"/>
  <c r="J22" i="158"/>
  <c r="D22" i="158"/>
  <c r="E22" i="158"/>
  <c r="F22" i="158"/>
  <c r="K22" i="158"/>
  <c r="G22" i="158"/>
  <c r="C22" i="158"/>
  <c r="I23" i="158"/>
  <c r="J23" i="158"/>
  <c r="D23" i="158"/>
  <c r="E23" i="158"/>
  <c r="F23" i="158"/>
  <c r="K23" i="158"/>
  <c r="G23" i="158"/>
  <c r="C23" i="158"/>
  <c r="I24" i="158"/>
  <c r="J24" i="158"/>
  <c r="D24" i="158"/>
  <c r="E24" i="158"/>
  <c r="F24" i="158"/>
  <c r="K24" i="158"/>
  <c r="G24" i="158"/>
  <c r="C24" i="158"/>
  <c r="I25" i="158"/>
  <c r="J25" i="158"/>
  <c r="D25" i="158"/>
  <c r="E25" i="158"/>
  <c r="F25" i="158"/>
  <c r="K25" i="158"/>
  <c r="G25" i="158"/>
  <c r="C25" i="158"/>
  <c r="I26" i="158"/>
  <c r="J26" i="158"/>
  <c r="D26" i="158"/>
  <c r="E26" i="158"/>
  <c r="F26" i="158"/>
  <c r="K26" i="158"/>
  <c r="G26" i="158"/>
  <c r="C26" i="158"/>
  <c r="I27" i="158"/>
  <c r="J27" i="158"/>
  <c r="D27" i="158"/>
  <c r="E27" i="158"/>
  <c r="F27" i="158"/>
  <c r="K27" i="158"/>
  <c r="G27" i="158"/>
  <c r="C27" i="158"/>
  <c r="I28" i="158"/>
  <c r="J28" i="158"/>
  <c r="D28" i="158"/>
  <c r="E28" i="158"/>
  <c r="F28" i="158"/>
  <c r="K28" i="158"/>
  <c r="G28" i="158"/>
  <c r="C28" i="158"/>
  <c r="I29" i="158"/>
  <c r="J29" i="158"/>
  <c r="D29" i="158"/>
  <c r="E29" i="158"/>
  <c r="F29" i="158"/>
  <c r="K29" i="158"/>
  <c r="G29" i="158"/>
  <c r="C29" i="158"/>
  <c r="I30" i="158"/>
  <c r="J30" i="158"/>
  <c r="D30" i="158"/>
  <c r="E30" i="158"/>
  <c r="F30" i="158"/>
  <c r="K30" i="158"/>
  <c r="G30" i="158"/>
  <c r="C30" i="158"/>
  <c r="I31" i="158"/>
  <c r="J31" i="158"/>
  <c r="D31" i="158"/>
  <c r="E31" i="158"/>
  <c r="F31" i="158"/>
  <c r="K31" i="158"/>
  <c r="G31" i="158"/>
  <c r="C31" i="158"/>
  <c r="I32" i="158"/>
  <c r="J32" i="158"/>
  <c r="D32" i="158"/>
  <c r="E32" i="158"/>
  <c r="F32" i="158"/>
  <c r="K32" i="158"/>
  <c r="G32" i="158"/>
  <c r="C32" i="158"/>
  <c r="I33" i="158"/>
  <c r="J33" i="158"/>
  <c r="D33" i="158"/>
  <c r="E33" i="158"/>
  <c r="F33" i="158"/>
  <c r="K33" i="158"/>
  <c r="G33" i="158"/>
  <c r="C33" i="158"/>
  <c r="I34" i="158"/>
  <c r="J34" i="158"/>
  <c r="D34" i="158"/>
  <c r="E34" i="158"/>
  <c r="F34" i="158"/>
  <c r="K34" i="158"/>
  <c r="G34" i="158"/>
  <c r="C34" i="158"/>
  <c r="I35" i="158"/>
  <c r="J35" i="158"/>
  <c r="D35" i="158"/>
  <c r="E35" i="158"/>
  <c r="F35" i="158"/>
  <c r="K35" i="158"/>
  <c r="G35" i="158"/>
  <c r="C35" i="158"/>
  <c r="I36" i="158"/>
  <c r="J36" i="158"/>
  <c r="D36" i="158"/>
  <c r="E36" i="158"/>
  <c r="F36" i="158"/>
  <c r="K36" i="158"/>
  <c r="G36" i="158"/>
  <c r="C36" i="158"/>
  <c r="I37" i="158"/>
  <c r="J37" i="158"/>
  <c r="D37" i="158"/>
  <c r="E37" i="158"/>
  <c r="F37" i="158"/>
  <c r="K37" i="158"/>
  <c r="G37" i="158"/>
  <c r="C37" i="158"/>
  <c r="I38" i="158"/>
  <c r="J38" i="158"/>
  <c r="D38" i="158"/>
  <c r="E38" i="158"/>
  <c r="F38" i="158"/>
  <c r="K38" i="158"/>
  <c r="G38" i="158"/>
  <c r="C38" i="158"/>
  <c r="I39" i="158"/>
  <c r="J39" i="158"/>
  <c r="D39" i="158"/>
  <c r="E39" i="158"/>
  <c r="F39" i="158"/>
  <c r="K39" i="158"/>
  <c r="G39" i="158"/>
  <c r="C39" i="158"/>
  <c r="I40" i="158"/>
  <c r="J40" i="158"/>
  <c r="D40" i="158"/>
  <c r="E40" i="158"/>
  <c r="F40" i="158"/>
  <c r="K40" i="158"/>
  <c r="G40" i="158"/>
  <c r="C40" i="158"/>
  <c r="I41" i="158"/>
  <c r="J41" i="158"/>
  <c r="D41" i="158"/>
  <c r="E41" i="158"/>
  <c r="F41" i="158"/>
  <c r="K41" i="158"/>
  <c r="G41" i="158"/>
  <c r="C41" i="158"/>
  <c r="I42" i="158"/>
  <c r="D42" i="158"/>
  <c r="J42" i="158"/>
  <c r="E42" i="158"/>
  <c r="F42" i="158"/>
  <c r="K42" i="158"/>
  <c r="G42" i="158"/>
  <c r="C42" i="158"/>
  <c r="I43" i="158"/>
  <c r="D43" i="158"/>
  <c r="J43" i="158"/>
  <c r="E43" i="158"/>
  <c r="F43" i="158"/>
  <c r="K43" i="158"/>
  <c r="G43" i="158"/>
  <c r="C43" i="158"/>
  <c r="I44" i="158"/>
  <c r="D44" i="158"/>
  <c r="J44" i="158"/>
  <c r="E44" i="158"/>
  <c r="F44" i="158"/>
  <c r="K44" i="158"/>
  <c r="G44" i="158"/>
  <c r="C44" i="158"/>
  <c r="I45" i="158"/>
  <c r="D45" i="158"/>
  <c r="J45" i="158"/>
  <c r="E45" i="158"/>
  <c r="F45" i="158"/>
  <c r="K45" i="158"/>
  <c r="G45" i="158"/>
  <c r="C45" i="158"/>
  <c r="I46" i="158"/>
  <c r="D46" i="158"/>
  <c r="J46" i="158"/>
  <c r="E46" i="158"/>
  <c r="F46" i="158"/>
  <c r="K46" i="158"/>
  <c r="G46" i="158"/>
  <c r="C46" i="158"/>
  <c r="I47" i="158"/>
  <c r="D47" i="158"/>
  <c r="J47" i="158"/>
  <c r="E47" i="158"/>
  <c r="F47" i="158"/>
  <c r="K47" i="158"/>
  <c r="G47" i="158"/>
  <c r="C47" i="158"/>
  <c r="I48" i="158"/>
  <c r="D48" i="158"/>
  <c r="J48" i="158"/>
  <c r="E48" i="158"/>
  <c r="F48" i="158"/>
  <c r="K48" i="158"/>
  <c r="G48" i="158"/>
  <c r="C48" i="158"/>
  <c r="I49" i="158"/>
  <c r="D49" i="158"/>
  <c r="J49" i="158"/>
  <c r="E49" i="158"/>
  <c r="F49" i="158"/>
  <c r="K49" i="158"/>
  <c r="G49" i="158"/>
  <c r="C49" i="158"/>
  <c r="I50" i="158"/>
  <c r="D50" i="158"/>
  <c r="J50" i="158"/>
  <c r="E50" i="158"/>
  <c r="F50" i="158"/>
  <c r="K50" i="158"/>
  <c r="G50" i="158"/>
  <c r="C50" i="158"/>
  <c r="I51" i="158"/>
  <c r="D51" i="158"/>
  <c r="J51" i="158"/>
  <c r="E51" i="158"/>
  <c r="F51" i="158"/>
  <c r="K51" i="158"/>
  <c r="G51" i="158"/>
  <c r="C51" i="158"/>
  <c r="I52" i="158"/>
  <c r="D52" i="158"/>
  <c r="J52" i="158"/>
  <c r="E52" i="158"/>
  <c r="F52" i="158"/>
  <c r="K52" i="158"/>
  <c r="G52" i="158"/>
  <c r="C52" i="158"/>
  <c r="I53" i="158"/>
  <c r="D53" i="158"/>
  <c r="J53" i="158"/>
  <c r="E53" i="158"/>
  <c r="F53" i="158"/>
  <c r="K53" i="158"/>
  <c r="G53" i="158"/>
  <c r="C53" i="158"/>
  <c r="I54" i="158"/>
  <c r="D54" i="158"/>
  <c r="J54" i="158"/>
  <c r="E54" i="158"/>
  <c r="F54" i="158"/>
  <c r="K54" i="158"/>
  <c r="G54" i="158"/>
  <c r="C54" i="158"/>
  <c r="I55" i="158"/>
  <c r="D55" i="158"/>
  <c r="J55" i="158"/>
  <c r="E55" i="158"/>
  <c r="F55" i="158"/>
  <c r="K55" i="158"/>
  <c r="G55" i="158"/>
  <c r="C55" i="158"/>
  <c r="I56" i="158"/>
  <c r="D56" i="158"/>
  <c r="J56" i="158"/>
  <c r="E56" i="158"/>
  <c r="F56" i="158"/>
  <c r="K56" i="158"/>
  <c r="G56" i="158"/>
  <c r="C56" i="158"/>
  <c r="I57" i="158"/>
  <c r="D57" i="158"/>
  <c r="J57" i="158"/>
  <c r="E57" i="158"/>
  <c r="F57" i="158"/>
  <c r="K57" i="158"/>
  <c r="G57" i="158"/>
  <c r="C57" i="158"/>
  <c r="I58" i="158"/>
  <c r="D58" i="158"/>
  <c r="J58" i="158"/>
  <c r="E58" i="158"/>
  <c r="F58" i="158"/>
  <c r="K58" i="158"/>
  <c r="G58" i="158"/>
  <c r="C58" i="158"/>
  <c r="I59" i="158"/>
  <c r="D59" i="158"/>
  <c r="J59" i="158"/>
  <c r="E59" i="158"/>
  <c r="F59" i="158"/>
  <c r="K59" i="158"/>
  <c r="G59" i="158"/>
  <c r="C59" i="158"/>
  <c r="I60" i="158"/>
  <c r="D60" i="158"/>
  <c r="J60" i="158"/>
  <c r="E60" i="158"/>
  <c r="F60" i="158"/>
  <c r="K60" i="158"/>
  <c r="G60" i="158"/>
  <c r="C60" i="158"/>
  <c r="I61" i="158"/>
  <c r="D61" i="158"/>
  <c r="J61" i="158"/>
  <c r="E61" i="158"/>
  <c r="F61" i="158"/>
  <c r="K61" i="158"/>
  <c r="G61" i="158"/>
  <c r="C61" i="158"/>
  <c r="I62" i="158"/>
  <c r="D62" i="158"/>
  <c r="J62" i="158"/>
  <c r="E62" i="158"/>
  <c r="F62" i="158"/>
  <c r="K62" i="158"/>
  <c r="G62" i="158"/>
  <c r="C62" i="158"/>
  <c r="I63" i="158"/>
  <c r="D63" i="158"/>
  <c r="J63" i="158"/>
  <c r="E63" i="158"/>
  <c r="F63" i="158"/>
  <c r="K63" i="158"/>
  <c r="G63" i="158"/>
  <c r="C63" i="158"/>
  <c r="I64" i="158"/>
  <c r="D64" i="158"/>
  <c r="J64" i="158"/>
  <c r="E64" i="158"/>
  <c r="F64" i="158"/>
  <c r="K64" i="158"/>
  <c r="G64" i="158"/>
  <c r="C64" i="158"/>
  <c r="I65" i="158"/>
  <c r="D65" i="158"/>
  <c r="J65" i="158"/>
  <c r="E65" i="158"/>
  <c r="F65" i="158"/>
  <c r="K65" i="158"/>
  <c r="G65" i="158"/>
  <c r="C65" i="158"/>
  <c r="I66" i="158"/>
  <c r="D66" i="158"/>
  <c r="J66" i="158"/>
  <c r="E66" i="158"/>
  <c r="F66" i="158"/>
  <c r="K66" i="158"/>
  <c r="G66" i="158"/>
  <c r="C66" i="158"/>
  <c r="I67" i="158"/>
  <c r="D67" i="158"/>
  <c r="J67" i="158"/>
  <c r="E67" i="158"/>
  <c r="F67" i="158"/>
  <c r="K67" i="158"/>
  <c r="G67" i="158"/>
  <c r="C67" i="158"/>
  <c r="I68" i="158"/>
  <c r="D68" i="158"/>
  <c r="J68" i="158"/>
  <c r="E68" i="158"/>
  <c r="F68" i="158"/>
  <c r="K68" i="158"/>
  <c r="G68" i="158"/>
  <c r="C68" i="158"/>
  <c r="I69" i="158"/>
  <c r="D69" i="158"/>
  <c r="J69" i="158"/>
  <c r="E69" i="158"/>
  <c r="F69" i="158"/>
  <c r="K69" i="158"/>
  <c r="G69" i="158"/>
  <c r="C69" i="158"/>
  <c r="I70" i="158"/>
  <c r="D70" i="158"/>
  <c r="J70" i="158"/>
  <c r="E70" i="158"/>
  <c r="F70" i="158"/>
  <c r="K70" i="158"/>
  <c r="G70" i="158"/>
  <c r="C70" i="158"/>
  <c r="I71" i="158"/>
  <c r="D71" i="158"/>
  <c r="J71" i="158"/>
  <c r="E71" i="158"/>
  <c r="F71" i="158"/>
  <c r="K71" i="158"/>
  <c r="G71" i="158"/>
  <c r="C71" i="158"/>
  <c r="I72" i="158"/>
  <c r="D72" i="158"/>
  <c r="J72" i="158"/>
  <c r="E72" i="158"/>
  <c r="F72" i="158"/>
  <c r="K72" i="158"/>
  <c r="G72" i="158"/>
  <c r="C72" i="158"/>
  <c r="I73" i="158"/>
  <c r="D73" i="158"/>
  <c r="J73" i="158"/>
  <c r="E73" i="158"/>
  <c r="F73" i="158"/>
  <c r="K73" i="158"/>
  <c r="G73" i="158"/>
  <c r="C73" i="158"/>
  <c r="I74" i="158"/>
  <c r="D74" i="158"/>
  <c r="J74" i="158"/>
  <c r="E74" i="158"/>
  <c r="F74" i="158"/>
  <c r="K74" i="158"/>
  <c r="G74" i="158"/>
  <c r="C74" i="158"/>
  <c r="I75" i="158"/>
  <c r="D75" i="158"/>
  <c r="J75" i="158"/>
  <c r="E75" i="158"/>
  <c r="F75" i="158"/>
  <c r="K75" i="158"/>
  <c r="G75" i="158"/>
  <c r="C75" i="158"/>
  <c r="I76" i="158"/>
  <c r="D76" i="158"/>
  <c r="J76" i="158"/>
  <c r="E76" i="158"/>
  <c r="F76" i="158"/>
  <c r="K76" i="158"/>
  <c r="G76" i="158"/>
  <c r="C76" i="158"/>
  <c r="I77" i="158"/>
  <c r="D77" i="158"/>
  <c r="J77" i="158"/>
  <c r="E77" i="158"/>
  <c r="F77" i="158"/>
  <c r="K77" i="158"/>
  <c r="G77" i="158"/>
  <c r="C77" i="158"/>
  <c r="I78" i="158"/>
  <c r="D78" i="158"/>
  <c r="J78" i="158"/>
  <c r="E78" i="158"/>
  <c r="F78" i="158"/>
  <c r="K78" i="158"/>
  <c r="G78" i="158"/>
  <c r="C78" i="158"/>
  <c r="I79" i="158"/>
  <c r="D79" i="158"/>
  <c r="J79" i="158"/>
  <c r="E79" i="158"/>
  <c r="F79" i="158"/>
  <c r="K79" i="158"/>
  <c r="G79" i="158"/>
  <c r="C79" i="158"/>
  <c r="I80" i="158"/>
  <c r="D80" i="158"/>
  <c r="J80" i="158"/>
  <c r="E80" i="158"/>
  <c r="F80" i="158"/>
  <c r="K80" i="158"/>
  <c r="G80" i="158"/>
  <c r="C80" i="158"/>
  <c r="I81" i="158"/>
  <c r="D81" i="158"/>
  <c r="J81" i="158"/>
  <c r="E81" i="158"/>
  <c r="F81" i="158"/>
  <c r="K81" i="158"/>
  <c r="G81" i="158"/>
  <c r="C81" i="158"/>
  <c r="I82" i="158"/>
  <c r="D82" i="158"/>
  <c r="J82" i="158"/>
  <c r="E82" i="158"/>
  <c r="F82" i="158"/>
  <c r="K82" i="158"/>
  <c r="G82" i="158"/>
  <c r="C82" i="158"/>
  <c r="I83" i="158"/>
  <c r="D83" i="158"/>
  <c r="J83" i="158"/>
  <c r="E83" i="158"/>
  <c r="F83" i="158"/>
  <c r="K83" i="158"/>
  <c r="G83" i="158"/>
  <c r="C83" i="158"/>
  <c r="I84" i="158"/>
  <c r="D84" i="158"/>
  <c r="J84" i="158"/>
  <c r="E84" i="158"/>
  <c r="F84" i="158"/>
  <c r="K84" i="158"/>
  <c r="G84" i="158"/>
  <c r="C84" i="158"/>
  <c r="I85" i="158"/>
  <c r="D85" i="158"/>
  <c r="J85" i="158"/>
  <c r="E85" i="158"/>
  <c r="F85" i="158"/>
  <c r="K85" i="158"/>
  <c r="G85" i="158"/>
  <c r="C85" i="158"/>
  <c r="I86" i="158"/>
  <c r="D86" i="158"/>
  <c r="J86" i="158"/>
  <c r="E86" i="158"/>
  <c r="F86" i="158"/>
  <c r="K86" i="158"/>
  <c r="G86" i="158"/>
  <c r="C86" i="158"/>
  <c r="I87" i="158"/>
  <c r="D87" i="158"/>
  <c r="J87" i="158"/>
  <c r="E87" i="158"/>
  <c r="F87" i="158"/>
  <c r="K87" i="158"/>
  <c r="G87" i="158"/>
  <c r="C87" i="158"/>
  <c r="I88" i="158"/>
  <c r="D88" i="158"/>
  <c r="J88" i="158"/>
  <c r="E88" i="158"/>
  <c r="F88" i="158"/>
  <c r="K88" i="158"/>
  <c r="G88" i="158"/>
  <c r="C88" i="158"/>
  <c r="I89" i="158"/>
  <c r="D89" i="158"/>
  <c r="J89" i="158"/>
  <c r="E89" i="158"/>
  <c r="F89" i="158"/>
  <c r="K89" i="158"/>
  <c r="G89" i="158"/>
  <c r="C89" i="158"/>
  <c r="I90" i="158"/>
  <c r="D90" i="158"/>
  <c r="J90" i="158"/>
  <c r="E90" i="158"/>
  <c r="F90" i="158"/>
  <c r="K90" i="158"/>
  <c r="G90" i="158"/>
  <c r="C90" i="158"/>
  <c r="I91" i="158"/>
  <c r="D91" i="158"/>
  <c r="J91" i="158"/>
  <c r="E91" i="158"/>
  <c r="F91" i="158"/>
  <c r="K91" i="158"/>
  <c r="G91" i="158"/>
  <c r="C91" i="158"/>
  <c r="I92" i="158"/>
  <c r="D92" i="158"/>
  <c r="J92" i="158"/>
  <c r="E92" i="158"/>
  <c r="F92" i="158"/>
  <c r="K92" i="158"/>
  <c r="G92" i="158"/>
  <c r="C92" i="158"/>
  <c r="I93" i="158"/>
  <c r="D93" i="158"/>
  <c r="J93" i="158"/>
  <c r="E93" i="158"/>
  <c r="F93" i="158"/>
  <c r="K93" i="158"/>
  <c r="G93" i="158"/>
  <c r="C93" i="158"/>
  <c r="I94" i="158"/>
  <c r="D94" i="158"/>
  <c r="J94" i="158"/>
  <c r="E94" i="158"/>
  <c r="F94" i="158"/>
  <c r="K94" i="158"/>
  <c r="G94" i="158"/>
  <c r="C94" i="158"/>
  <c r="I95" i="158"/>
  <c r="D95" i="158"/>
  <c r="J95" i="158"/>
  <c r="E95" i="158"/>
  <c r="F95" i="158"/>
  <c r="K95" i="158"/>
  <c r="G95" i="158"/>
  <c r="C95" i="158"/>
  <c r="I96" i="158"/>
  <c r="D96" i="158"/>
  <c r="J96" i="158"/>
  <c r="E96" i="158"/>
  <c r="F96" i="158"/>
  <c r="K96" i="158"/>
  <c r="G96" i="158"/>
  <c r="C96" i="158"/>
  <c r="I97" i="158"/>
  <c r="D97" i="158"/>
  <c r="J97" i="158"/>
  <c r="E97" i="158"/>
  <c r="F97" i="158"/>
  <c r="K97" i="158"/>
  <c r="G97" i="158"/>
  <c r="C97" i="158"/>
  <c r="I98" i="158"/>
  <c r="D98" i="158"/>
  <c r="J98" i="158"/>
  <c r="E98" i="158"/>
  <c r="F98" i="158"/>
  <c r="K98" i="158"/>
  <c r="G98" i="158"/>
  <c r="C98" i="158"/>
  <c r="I99" i="158"/>
  <c r="D99" i="158"/>
  <c r="J99" i="158"/>
  <c r="E99" i="158"/>
  <c r="F99" i="158"/>
  <c r="K99" i="158"/>
  <c r="G99" i="158"/>
  <c r="C99" i="158"/>
  <c r="I100" i="158"/>
  <c r="D100" i="158"/>
  <c r="J100" i="158"/>
  <c r="E100" i="158"/>
  <c r="F100" i="158"/>
  <c r="K100" i="158"/>
  <c r="G100" i="158"/>
  <c r="C100" i="158"/>
  <c r="I101" i="158"/>
  <c r="D101" i="158"/>
  <c r="J101" i="158"/>
  <c r="E101" i="158"/>
  <c r="F101" i="158"/>
  <c r="K101" i="158"/>
  <c r="G101" i="158"/>
  <c r="C101" i="158"/>
  <c r="I102" i="158"/>
  <c r="D102" i="158"/>
  <c r="J102" i="158"/>
  <c r="E102" i="158"/>
  <c r="F102" i="158"/>
  <c r="K102" i="158"/>
  <c r="G102" i="158"/>
  <c r="C102" i="158"/>
  <c r="I103" i="158"/>
  <c r="D103" i="158"/>
  <c r="J103" i="158"/>
  <c r="E103" i="158"/>
  <c r="F103" i="158"/>
  <c r="K103" i="158"/>
  <c r="G103" i="158"/>
  <c r="C103" i="158"/>
  <c r="I104" i="158"/>
  <c r="D104" i="158"/>
  <c r="J104" i="158"/>
  <c r="E104" i="158"/>
  <c r="F104" i="158"/>
  <c r="K104" i="158"/>
  <c r="G104" i="158"/>
  <c r="C104" i="158"/>
  <c r="I105" i="158"/>
  <c r="D105" i="158"/>
  <c r="J105" i="158"/>
  <c r="E105" i="158"/>
  <c r="F105" i="158"/>
  <c r="K105" i="158"/>
  <c r="G105" i="158"/>
  <c r="C105" i="158"/>
  <c r="I106" i="158"/>
  <c r="D106" i="158"/>
  <c r="J106" i="158"/>
  <c r="E106" i="158"/>
  <c r="F106" i="158"/>
  <c r="K106" i="158"/>
  <c r="G106" i="158"/>
  <c r="C106" i="158"/>
  <c r="I107" i="158"/>
  <c r="D107" i="158"/>
  <c r="J107" i="158"/>
  <c r="E107" i="158"/>
  <c r="F107" i="158"/>
  <c r="K107" i="158"/>
  <c r="G107" i="158"/>
  <c r="C107" i="158"/>
  <c r="I108" i="158"/>
  <c r="D108" i="158"/>
  <c r="J108" i="158"/>
  <c r="E108" i="158"/>
  <c r="F108" i="158"/>
  <c r="K108" i="158"/>
  <c r="G108" i="158"/>
  <c r="C108" i="158"/>
  <c r="I109" i="158"/>
  <c r="D109" i="158"/>
  <c r="J109" i="158"/>
  <c r="E109" i="158"/>
  <c r="F109" i="158"/>
  <c r="K109" i="158"/>
  <c r="G109" i="158"/>
  <c r="C109" i="158"/>
  <c r="I110" i="158"/>
  <c r="D110" i="158"/>
  <c r="J110" i="158"/>
  <c r="E110" i="158"/>
  <c r="F110" i="158"/>
  <c r="K110" i="158"/>
  <c r="G110" i="158"/>
  <c r="C110" i="158"/>
  <c r="I111" i="158"/>
  <c r="D111" i="158"/>
  <c r="J111" i="158"/>
  <c r="E111" i="158"/>
  <c r="F111" i="158"/>
  <c r="K111" i="158"/>
  <c r="G111" i="158"/>
  <c r="C111" i="158"/>
  <c r="I112" i="158"/>
  <c r="D112" i="158"/>
  <c r="J112" i="158"/>
  <c r="E112" i="158"/>
  <c r="F112" i="158"/>
  <c r="K112" i="158"/>
  <c r="G112" i="158"/>
  <c r="C112" i="158"/>
  <c r="I113" i="158"/>
  <c r="D113" i="158"/>
  <c r="J113" i="158"/>
  <c r="E113" i="158"/>
  <c r="F113" i="158"/>
  <c r="K113" i="158"/>
  <c r="G113" i="158"/>
  <c r="C113" i="158"/>
  <c r="I114" i="158"/>
  <c r="D114" i="158"/>
  <c r="J114" i="158"/>
  <c r="E114" i="158"/>
  <c r="F114" i="158"/>
  <c r="K114" i="158"/>
  <c r="G114" i="158"/>
  <c r="C114" i="158"/>
  <c r="I115" i="158"/>
  <c r="D115" i="158"/>
  <c r="J115" i="158"/>
  <c r="E115" i="158"/>
  <c r="F115" i="158"/>
  <c r="K115" i="158"/>
  <c r="G115" i="158"/>
  <c r="C115" i="158"/>
  <c r="I116" i="158"/>
  <c r="D116" i="158"/>
  <c r="J116" i="158"/>
  <c r="E116" i="158"/>
  <c r="F116" i="158"/>
  <c r="K116" i="158"/>
  <c r="G116" i="158"/>
  <c r="C116" i="158"/>
  <c r="I117" i="158"/>
  <c r="D117" i="158"/>
  <c r="J117" i="158"/>
  <c r="E117" i="158"/>
  <c r="F117" i="158"/>
  <c r="K117" i="158"/>
  <c r="G117" i="158"/>
  <c r="C117" i="158"/>
  <c r="I118" i="158"/>
  <c r="D118" i="158"/>
  <c r="J118" i="158"/>
  <c r="E118" i="158"/>
  <c r="F118" i="158"/>
  <c r="K118" i="158"/>
  <c r="G118" i="158"/>
  <c r="C118" i="158"/>
  <c r="I119" i="158"/>
  <c r="D119" i="158"/>
  <c r="J119" i="158"/>
  <c r="E119" i="158"/>
  <c r="F119" i="158"/>
  <c r="K119" i="158"/>
  <c r="G119" i="158"/>
  <c r="C119" i="158"/>
  <c r="I120" i="158"/>
  <c r="D120" i="158"/>
  <c r="J120" i="158"/>
  <c r="E120" i="158"/>
  <c r="F120" i="158"/>
  <c r="K120" i="158"/>
  <c r="G120" i="158"/>
  <c r="C120" i="158"/>
  <c r="I121" i="158"/>
  <c r="D121" i="158"/>
  <c r="J121" i="158"/>
  <c r="E121" i="158"/>
  <c r="F121" i="158"/>
  <c r="K121" i="158"/>
  <c r="G121" i="158"/>
  <c r="C121" i="158"/>
  <c r="I122" i="158"/>
  <c r="D122" i="158"/>
  <c r="J122" i="158"/>
  <c r="E122" i="158"/>
  <c r="F122" i="158"/>
  <c r="K122" i="158"/>
  <c r="G122" i="158"/>
  <c r="C122" i="158"/>
  <c r="I123" i="158"/>
  <c r="D123" i="158"/>
  <c r="J123" i="158"/>
  <c r="E123" i="158"/>
  <c r="F123" i="158"/>
  <c r="K123" i="158"/>
  <c r="G123" i="158"/>
  <c r="C123" i="158"/>
  <c r="I124" i="158"/>
  <c r="D124" i="158"/>
  <c r="J124" i="158"/>
  <c r="E124" i="158"/>
  <c r="F124" i="158"/>
  <c r="K124" i="158"/>
  <c r="G124" i="158"/>
  <c r="C124" i="158"/>
  <c r="I125" i="158"/>
  <c r="D125" i="158"/>
  <c r="J125" i="158"/>
  <c r="E125" i="158"/>
  <c r="F125" i="158"/>
  <c r="K125" i="158"/>
  <c r="G125" i="158"/>
  <c r="C125" i="158"/>
  <c r="I126" i="158"/>
  <c r="D126" i="158"/>
  <c r="J126" i="158"/>
  <c r="E126" i="158"/>
  <c r="F126" i="158"/>
  <c r="K126" i="158"/>
  <c r="G126" i="158"/>
  <c r="C126" i="158"/>
  <c r="I127" i="158"/>
  <c r="D127" i="158"/>
  <c r="J127" i="158"/>
  <c r="E127" i="158"/>
  <c r="F127" i="158"/>
  <c r="K127" i="158"/>
  <c r="G127" i="158"/>
  <c r="C127" i="158"/>
  <c r="I128" i="158"/>
  <c r="D128" i="158"/>
  <c r="J128" i="158"/>
  <c r="E128" i="158"/>
  <c r="F128" i="158"/>
  <c r="K128" i="158"/>
  <c r="G128" i="158"/>
  <c r="C128" i="158"/>
  <c r="I129" i="158"/>
  <c r="D129" i="158"/>
  <c r="J129" i="158"/>
  <c r="E129" i="158"/>
  <c r="F129" i="158"/>
  <c r="K129" i="158"/>
  <c r="G129" i="158"/>
  <c r="C129" i="158"/>
  <c r="I130" i="158"/>
  <c r="D130" i="158"/>
  <c r="J130" i="158"/>
  <c r="E130" i="158"/>
  <c r="F130" i="158"/>
  <c r="K130" i="158"/>
  <c r="G130" i="158"/>
  <c r="C130" i="158"/>
  <c r="I131" i="158"/>
  <c r="D131" i="158"/>
  <c r="J131" i="158"/>
  <c r="E131" i="158"/>
  <c r="F131" i="158"/>
  <c r="K131" i="158"/>
  <c r="G131" i="158"/>
  <c r="C131" i="158"/>
  <c r="I132" i="158"/>
  <c r="D132" i="158"/>
  <c r="J132" i="158"/>
  <c r="E132" i="158"/>
  <c r="F132" i="158"/>
  <c r="K132" i="158"/>
  <c r="G132" i="158"/>
  <c r="C132" i="158"/>
  <c r="I133" i="158"/>
  <c r="D133" i="158"/>
  <c r="J133" i="158"/>
  <c r="E133" i="158"/>
  <c r="F133" i="158"/>
  <c r="K133" i="158"/>
  <c r="G133" i="158"/>
  <c r="C133" i="158"/>
  <c r="I134" i="158"/>
  <c r="D134" i="158"/>
  <c r="J134" i="158"/>
  <c r="E134" i="158"/>
  <c r="F134" i="158"/>
  <c r="K134" i="158"/>
  <c r="G134" i="158"/>
  <c r="C134" i="158"/>
  <c r="I135" i="158"/>
  <c r="D135" i="158"/>
  <c r="J135" i="158"/>
  <c r="E135" i="158"/>
  <c r="F135" i="158"/>
  <c r="K135" i="158"/>
  <c r="G135" i="158"/>
  <c r="C135" i="158"/>
  <c r="I136" i="158"/>
  <c r="D136" i="158"/>
  <c r="J136" i="158"/>
  <c r="E136" i="158"/>
  <c r="F136" i="158"/>
  <c r="K136" i="158"/>
  <c r="G136" i="158"/>
  <c r="C136" i="158"/>
  <c r="I137" i="158"/>
  <c r="D137" i="158"/>
  <c r="J137" i="158"/>
  <c r="E137" i="158"/>
  <c r="F137" i="158"/>
  <c r="K137" i="158"/>
  <c r="G137" i="158"/>
  <c r="C137" i="158"/>
  <c r="I138" i="158"/>
  <c r="D138" i="158"/>
  <c r="J138" i="158"/>
  <c r="E138" i="158"/>
  <c r="F138" i="158"/>
  <c r="K138" i="158"/>
  <c r="G138" i="158"/>
  <c r="C138" i="158"/>
  <c r="I139" i="158"/>
  <c r="D139" i="158"/>
  <c r="J139" i="158"/>
  <c r="E139" i="158"/>
  <c r="F139" i="158"/>
  <c r="K139" i="158"/>
  <c r="G139" i="158"/>
  <c r="C139" i="158"/>
  <c r="I140" i="158"/>
  <c r="D140" i="158"/>
  <c r="J140" i="158"/>
  <c r="E140" i="158"/>
  <c r="F140" i="158"/>
  <c r="K140" i="158"/>
  <c r="G140" i="158"/>
  <c r="C140" i="158"/>
  <c r="I141" i="158"/>
  <c r="D141" i="158"/>
  <c r="J141" i="158"/>
  <c r="E141" i="158"/>
  <c r="F141" i="158"/>
  <c r="K141" i="158"/>
  <c r="G141" i="158"/>
  <c r="C141" i="158"/>
  <c r="I142" i="158"/>
  <c r="D142" i="158"/>
  <c r="J142" i="158"/>
  <c r="E142" i="158"/>
  <c r="F142" i="158"/>
  <c r="K142" i="158"/>
  <c r="G142" i="158"/>
  <c r="C142" i="158"/>
  <c r="I143" i="158"/>
  <c r="D143" i="158"/>
  <c r="J143" i="158"/>
  <c r="E143" i="158"/>
  <c r="F143" i="158"/>
  <c r="K143" i="158"/>
  <c r="G143" i="158"/>
  <c r="C143" i="158"/>
  <c r="I144" i="158"/>
  <c r="D144" i="158"/>
  <c r="J144" i="158"/>
  <c r="E144" i="158"/>
  <c r="F144" i="158"/>
  <c r="K144" i="158"/>
  <c r="G144" i="158"/>
  <c r="C144" i="158"/>
  <c r="I145" i="158"/>
  <c r="D145" i="158"/>
  <c r="J145" i="158"/>
  <c r="E145" i="158"/>
  <c r="F145" i="158"/>
  <c r="K145" i="158"/>
  <c r="G145" i="158"/>
  <c r="C145" i="158"/>
  <c r="I146" i="158"/>
  <c r="D146" i="158"/>
  <c r="J146" i="158"/>
  <c r="E146" i="158"/>
  <c r="F146" i="158"/>
  <c r="K146" i="158"/>
  <c r="G146" i="158"/>
  <c r="C146" i="158"/>
  <c r="I147" i="158"/>
  <c r="D147" i="158"/>
  <c r="J147" i="158"/>
  <c r="E147" i="158"/>
  <c r="F147" i="158"/>
  <c r="K147" i="158"/>
  <c r="G147" i="158"/>
  <c r="C147" i="158"/>
  <c r="I148" i="158"/>
  <c r="D148" i="158"/>
  <c r="J148" i="158"/>
  <c r="E148" i="158"/>
  <c r="F148" i="158"/>
  <c r="K148" i="158"/>
  <c r="G148" i="158"/>
  <c r="C148" i="158"/>
  <c r="I149" i="158"/>
  <c r="D149" i="158"/>
  <c r="J149" i="158"/>
  <c r="E149" i="158"/>
  <c r="F149" i="158"/>
  <c r="K149" i="158"/>
  <c r="G149" i="158"/>
  <c r="C149" i="158"/>
  <c r="I150" i="158"/>
  <c r="D150" i="158"/>
  <c r="J150" i="158"/>
  <c r="E150" i="158"/>
  <c r="F150" i="158"/>
  <c r="K150" i="158"/>
  <c r="G150" i="158"/>
  <c r="C150" i="158"/>
  <c r="I151" i="158"/>
  <c r="D151" i="158"/>
  <c r="J151" i="158"/>
  <c r="E151" i="158"/>
  <c r="F151" i="158"/>
  <c r="K151" i="158"/>
  <c r="G151" i="158"/>
  <c r="C151" i="158"/>
  <c r="I152" i="158"/>
  <c r="D152" i="158"/>
  <c r="J152" i="158"/>
  <c r="E152" i="158"/>
  <c r="F152" i="158"/>
  <c r="K152" i="158"/>
  <c r="G152" i="158"/>
  <c r="C152" i="158"/>
  <c r="I153" i="158"/>
  <c r="D153" i="158"/>
  <c r="J153" i="158"/>
  <c r="E153" i="158"/>
  <c r="F153" i="158"/>
  <c r="K153" i="158"/>
  <c r="G153" i="158"/>
  <c r="C153" i="158"/>
  <c r="I154" i="158"/>
  <c r="D154" i="158"/>
  <c r="J154" i="158"/>
  <c r="E154" i="158"/>
  <c r="F154" i="158"/>
  <c r="K154" i="158"/>
  <c r="G154" i="158"/>
  <c r="C154" i="158"/>
  <c r="I155" i="158"/>
  <c r="D155" i="158"/>
  <c r="J155" i="158"/>
  <c r="E155" i="158"/>
  <c r="F155" i="158"/>
  <c r="K155" i="158"/>
  <c r="G155" i="158"/>
  <c r="C155" i="158"/>
  <c r="I156" i="158"/>
  <c r="D156" i="158"/>
  <c r="J156" i="158"/>
  <c r="E156" i="158"/>
  <c r="F156" i="158"/>
  <c r="K156" i="158"/>
  <c r="G156" i="158"/>
  <c r="C156" i="158"/>
  <c r="I157" i="158"/>
  <c r="D157" i="158"/>
  <c r="J157" i="158"/>
  <c r="E157" i="158"/>
  <c r="F157" i="158"/>
  <c r="K157" i="158"/>
  <c r="G157" i="158"/>
  <c r="C157" i="158"/>
  <c r="I158" i="158"/>
  <c r="D158" i="158"/>
  <c r="J158" i="158"/>
  <c r="E158" i="158"/>
  <c r="F158" i="158"/>
  <c r="K158" i="158"/>
  <c r="G158" i="158"/>
  <c r="C158" i="158"/>
  <c r="I159" i="158"/>
  <c r="D159" i="158"/>
  <c r="J159" i="158"/>
  <c r="E159" i="158"/>
  <c r="F159" i="158"/>
  <c r="K159" i="158"/>
  <c r="G159" i="158"/>
  <c r="C159" i="158"/>
  <c r="I160" i="158"/>
  <c r="D160" i="158"/>
  <c r="J160" i="158"/>
  <c r="E160" i="158"/>
  <c r="F160" i="158"/>
  <c r="K160" i="158"/>
  <c r="G160" i="158"/>
  <c r="C160" i="158"/>
  <c r="I161" i="158"/>
  <c r="D161" i="158"/>
  <c r="J161" i="158"/>
  <c r="E161" i="158"/>
  <c r="F161" i="158"/>
  <c r="K161" i="158"/>
  <c r="G161" i="158"/>
  <c r="C161" i="158"/>
  <c r="I162" i="158"/>
  <c r="D162" i="158"/>
  <c r="J162" i="158"/>
  <c r="E162" i="158"/>
  <c r="F162" i="158"/>
  <c r="K162" i="158"/>
  <c r="G162" i="158"/>
  <c r="C162" i="158"/>
  <c r="I163" i="158"/>
  <c r="D163" i="158"/>
  <c r="J163" i="158"/>
  <c r="E163" i="158"/>
  <c r="F163" i="158"/>
  <c r="K163" i="158"/>
  <c r="G163" i="158"/>
  <c r="C163" i="158"/>
  <c r="I164" i="158"/>
  <c r="D164" i="158"/>
  <c r="J164" i="158"/>
  <c r="E164" i="158"/>
  <c r="F164" i="158"/>
  <c r="K164" i="158"/>
  <c r="G164" i="158"/>
  <c r="C164" i="158"/>
  <c r="I165" i="158"/>
  <c r="D165" i="158"/>
  <c r="J165" i="158"/>
  <c r="E165" i="158"/>
  <c r="F165" i="158"/>
  <c r="K165" i="158"/>
  <c r="G165" i="158"/>
  <c r="C165" i="158"/>
  <c r="I166" i="158"/>
  <c r="D166" i="158"/>
  <c r="J166" i="158"/>
  <c r="E166" i="158"/>
  <c r="F166" i="158"/>
  <c r="K166" i="158"/>
  <c r="G166" i="158"/>
  <c r="C166" i="158"/>
  <c r="I167" i="158"/>
  <c r="D167" i="158"/>
  <c r="J167" i="158"/>
  <c r="E167" i="158"/>
  <c r="F167" i="158"/>
  <c r="K167" i="158"/>
  <c r="G167" i="158"/>
  <c r="C167" i="158"/>
  <c r="I168" i="158"/>
  <c r="D168" i="158"/>
  <c r="J168" i="158"/>
  <c r="E168" i="158"/>
  <c r="F168" i="158"/>
  <c r="K168" i="158"/>
  <c r="G168" i="158"/>
  <c r="C168" i="158"/>
  <c r="I169" i="158"/>
  <c r="D169" i="158"/>
  <c r="J169" i="158"/>
  <c r="E169" i="158"/>
  <c r="F169" i="158"/>
  <c r="K169" i="158"/>
  <c r="G169" i="158"/>
  <c r="C169" i="158"/>
  <c r="I170" i="158"/>
  <c r="D170" i="158"/>
  <c r="J170" i="158"/>
  <c r="E170" i="158"/>
  <c r="F170" i="158"/>
  <c r="K170" i="158"/>
  <c r="G170" i="158"/>
  <c r="C170" i="158"/>
  <c r="I171" i="158"/>
  <c r="D171" i="158"/>
  <c r="J171" i="158"/>
  <c r="E171" i="158"/>
  <c r="F171" i="158"/>
  <c r="K171" i="158"/>
  <c r="G171" i="158"/>
  <c r="C171" i="158"/>
  <c r="I172" i="158"/>
  <c r="D172" i="158"/>
  <c r="J172" i="158"/>
  <c r="E172" i="158"/>
  <c r="F172" i="158"/>
  <c r="K172" i="158"/>
  <c r="G172" i="158"/>
  <c r="C172" i="158"/>
  <c r="I173" i="158"/>
  <c r="D173" i="158"/>
  <c r="J173" i="158"/>
  <c r="E173" i="158"/>
  <c r="F173" i="158"/>
  <c r="K173" i="158"/>
  <c r="G173" i="158"/>
  <c r="C173" i="158"/>
  <c r="I174" i="158"/>
  <c r="D174" i="158"/>
  <c r="J174" i="158"/>
  <c r="E174" i="158"/>
  <c r="F174" i="158"/>
  <c r="K174" i="158"/>
  <c r="G174" i="158"/>
  <c r="C174" i="158"/>
  <c r="I175" i="158"/>
  <c r="D175" i="158"/>
  <c r="J175" i="158"/>
  <c r="E175" i="158"/>
  <c r="F175" i="158"/>
  <c r="K175" i="158"/>
  <c r="G175" i="158"/>
  <c r="C175" i="158"/>
  <c r="I176" i="158"/>
  <c r="D176" i="158"/>
  <c r="J176" i="158"/>
  <c r="E176" i="158"/>
  <c r="F176" i="158"/>
  <c r="K176" i="158"/>
  <c r="G176" i="158"/>
  <c r="C176" i="158"/>
  <c r="I177" i="158"/>
  <c r="D177" i="158"/>
  <c r="J177" i="158"/>
  <c r="E177" i="158"/>
  <c r="F177" i="158"/>
  <c r="K177" i="158"/>
  <c r="G177" i="158"/>
  <c r="C177" i="158"/>
  <c r="I178" i="158"/>
  <c r="D178" i="158"/>
  <c r="J178" i="158"/>
  <c r="E178" i="158"/>
  <c r="F178" i="158"/>
  <c r="K178" i="158"/>
  <c r="G178" i="158"/>
  <c r="C178" i="158"/>
  <c r="I179" i="158"/>
  <c r="D179" i="158"/>
  <c r="J179" i="158"/>
  <c r="E179" i="158"/>
  <c r="F179" i="158"/>
  <c r="K179" i="158"/>
  <c r="G179" i="158"/>
  <c r="C179" i="158"/>
  <c r="I180" i="158"/>
  <c r="D180" i="158"/>
  <c r="J180" i="158"/>
  <c r="E180" i="158"/>
  <c r="F180" i="158"/>
  <c r="K180" i="158"/>
  <c r="G180" i="158"/>
  <c r="C180" i="158"/>
  <c r="I181" i="158"/>
  <c r="D181" i="158"/>
  <c r="J181" i="158"/>
  <c r="E181" i="158"/>
  <c r="F181" i="158"/>
  <c r="K181" i="158"/>
  <c r="G181" i="158"/>
  <c r="C181" i="158"/>
  <c r="I182" i="158"/>
  <c r="D182" i="158"/>
  <c r="J182" i="158"/>
  <c r="E182" i="158"/>
  <c r="F182" i="158"/>
  <c r="K182" i="158"/>
  <c r="G182" i="158"/>
  <c r="C182" i="158"/>
  <c r="I183" i="158"/>
  <c r="D183" i="158"/>
  <c r="J183" i="158"/>
  <c r="E183" i="158"/>
  <c r="F183" i="158"/>
  <c r="K183" i="158"/>
  <c r="G183" i="158"/>
  <c r="C183" i="158"/>
  <c r="I184" i="158"/>
  <c r="D184" i="158"/>
  <c r="J184" i="158"/>
  <c r="E184" i="158"/>
  <c r="F184" i="158"/>
  <c r="K184" i="158"/>
  <c r="G184" i="158"/>
  <c r="C184" i="158"/>
  <c r="I185" i="158"/>
  <c r="D185" i="158"/>
  <c r="J185" i="158"/>
  <c r="E185" i="158"/>
  <c r="F185" i="158"/>
  <c r="K185" i="158"/>
  <c r="G185" i="158"/>
  <c r="C185" i="158"/>
  <c r="I186" i="158"/>
  <c r="D186" i="158"/>
  <c r="J186" i="158"/>
  <c r="E186" i="158"/>
  <c r="F186" i="158"/>
  <c r="K186" i="158"/>
  <c r="G186" i="158"/>
  <c r="C186" i="158"/>
  <c r="I187" i="158"/>
  <c r="D187" i="158"/>
  <c r="J187" i="158"/>
  <c r="E187" i="158"/>
  <c r="F187" i="158"/>
  <c r="K187" i="158"/>
  <c r="G187" i="158"/>
  <c r="C187" i="158"/>
  <c r="I188" i="158"/>
  <c r="D188" i="158"/>
  <c r="J188" i="158"/>
  <c r="E188" i="158"/>
  <c r="F188" i="158"/>
  <c r="K188" i="158"/>
  <c r="G188" i="158"/>
  <c r="C188" i="158"/>
  <c r="I189" i="158"/>
  <c r="D189" i="158"/>
  <c r="J189" i="158"/>
  <c r="E189" i="158"/>
  <c r="F189" i="158"/>
  <c r="K189" i="158"/>
  <c r="G189" i="158"/>
  <c r="C189" i="158"/>
  <c r="I190" i="158"/>
  <c r="D190" i="158"/>
  <c r="J190" i="158"/>
  <c r="E190" i="158"/>
  <c r="F190" i="158"/>
  <c r="K190" i="158"/>
  <c r="G190" i="158"/>
  <c r="C190" i="158"/>
  <c r="I191" i="158"/>
  <c r="D191" i="158"/>
  <c r="J191" i="158"/>
  <c r="E191" i="158"/>
  <c r="F191" i="158"/>
  <c r="K191" i="158"/>
  <c r="G191" i="158"/>
  <c r="C191" i="158"/>
  <c r="I192" i="158"/>
  <c r="D192" i="158"/>
  <c r="J192" i="158"/>
  <c r="E192" i="158"/>
  <c r="F192" i="158"/>
  <c r="K192" i="158"/>
  <c r="G192" i="158"/>
  <c r="C192" i="158"/>
  <c r="I193" i="158"/>
  <c r="D193" i="158"/>
  <c r="J193" i="158"/>
  <c r="E193" i="158"/>
  <c r="F193" i="158"/>
  <c r="K193" i="158"/>
  <c r="G193" i="158"/>
  <c r="C193" i="158"/>
  <c r="I194" i="158"/>
  <c r="D194" i="158"/>
  <c r="J194" i="158"/>
  <c r="E194" i="158"/>
  <c r="F194" i="158"/>
  <c r="K194" i="158"/>
  <c r="G194" i="158"/>
  <c r="C194" i="158"/>
  <c r="I195" i="158"/>
  <c r="D195" i="158"/>
  <c r="J195" i="158"/>
  <c r="E195" i="158"/>
  <c r="F195" i="158"/>
  <c r="K195" i="158"/>
  <c r="G195" i="158"/>
  <c r="C195" i="158"/>
  <c r="I196" i="158"/>
  <c r="D196" i="158"/>
  <c r="J196" i="158"/>
  <c r="E196" i="158"/>
  <c r="F196" i="158"/>
  <c r="K196" i="158"/>
  <c r="G196" i="158"/>
  <c r="C196" i="158"/>
  <c r="I197" i="158"/>
  <c r="D197" i="158"/>
  <c r="J197" i="158"/>
  <c r="E197" i="158"/>
  <c r="F197" i="158"/>
  <c r="K197" i="158"/>
  <c r="G197" i="158"/>
  <c r="C197" i="158"/>
  <c r="I198" i="158"/>
  <c r="D198" i="158"/>
  <c r="J198" i="158"/>
  <c r="E198" i="158"/>
  <c r="F198" i="158"/>
  <c r="K198" i="158"/>
  <c r="G198" i="158"/>
  <c r="C198" i="158"/>
  <c r="I199" i="158"/>
  <c r="D199" i="158"/>
  <c r="J199" i="158"/>
  <c r="E199" i="158"/>
  <c r="F199" i="158"/>
  <c r="K199" i="158"/>
  <c r="G199" i="158"/>
  <c r="C199" i="158"/>
  <c r="I200" i="158"/>
  <c r="D200" i="158"/>
  <c r="J200" i="158"/>
  <c r="E200" i="158"/>
  <c r="F200" i="158"/>
  <c r="K200" i="158"/>
  <c r="G200" i="158"/>
  <c r="C200" i="158"/>
  <c r="I201" i="158"/>
  <c r="D201" i="158"/>
  <c r="J201" i="158"/>
  <c r="E201" i="158"/>
  <c r="F201" i="158"/>
  <c r="K201" i="158"/>
  <c r="G201" i="158"/>
  <c r="C201" i="158"/>
  <c r="I202" i="158"/>
  <c r="D202" i="158"/>
  <c r="J202" i="158"/>
  <c r="E202" i="158"/>
  <c r="F202" i="158"/>
  <c r="K202" i="158"/>
  <c r="G202" i="158"/>
  <c r="C202" i="158"/>
  <c r="I203" i="158"/>
  <c r="D203" i="158"/>
  <c r="J203" i="158"/>
  <c r="E203" i="158"/>
  <c r="F203" i="158"/>
  <c r="K203" i="158"/>
  <c r="G203" i="158"/>
  <c r="C203" i="158"/>
  <c r="I204" i="158"/>
  <c r="D204" i="158"/>
  <c r="J204" i="158"/>
  <c r="E204" i="158"/>
  <c r="F204" i="158"/>
  <c r="K204" i="158"/>
  <c r="G204" i="158"/>
  <c r="C204" i="158"/>
  <c r="I205" i="158"/>
  <c r="D205" i="158"/>
  <c r="J205" i="158"/>
  <c r="E205" i="158"/>
  <c r="F205" i="158"/>
  <c r="K205" i="158"/>
  <c r="G205" i="158"/>
  <c r="C205" i="158"/>
  <c r="I206" i="158"/>
  <c r="D206" i="158"/>
  <c r="J206" i="158"/>
  <c r="E206" i="158"/>
  <c r="F206" i="158"/>
  <c r="K206" i="158"/>
  <c r="G206" i="158"/>
  <c r="C206" i="158"/>
  <c r="I207" i="158"/>
  <c r="D207" i="158"/>
  <c r="J207" i="158"/>
  <c r="E207" i="158"/>
  <c r="F207" i="158"/>
  <c r="K207" i="158"/>
  <c r="G207" i="158"/>
  <c r="C207" i="158"/>
  <c r="I208" i="158"/>
  <c r="D208" i="158"/>
  <c r="J208" i="158"/>
  <c r="E208" i="158"/>
  <c r="F208" i="158"/>
  <c r="K208" i="158"/>
  <c r="G208" i="158"/>
  <c r="C208" i="158"/>
  <c r="I209" i="158"/>
  <c r="D209" i="158"/>
  <c r="J209" i="158"/>
  <c r="E209" i="158"/>
  <c r="F209" i="158"/>
  <c r="K209" i="158"/>
  <c r="G209" i="158"/>
  <c r="C209" i="158"/>
  <c r="I210" i="158"/>
  <c r="D210" i="158"/>
  <c r="J210" i="158"/>
  <c r="E210" i="158"/>
  <c r="F210" i="158"/>
  <c r="K210" i="158"/>
  <c r="G210" i="158"/>
  <c r="C210" i="158"/>
  <c r="I211" i="158"/>
  <c r="D211" i="158"/>
  <c r="J211" i="158"/>
  <c r="E211" i="158"/>
  <c r="F211" i="158"/>
  <c r="K211" i="158"/>
  <c r="G211" i="158"/>
  <c r="C211" i="158"/>
  <c r="I212" i="158"/>
  <c r="D212" i="158"/>
  <c r="J212" i="158"/>
  <c r="E212" i="158"/>
  <c r="F212" i="158"/>
  <c r="K212" i="158"/>
  <c r="G212" i="158"/>
  <c r="C212" i="158"/>
  <c r="I215" i="158"/>
  <c r="J215" i="158"/>
  <c r="D215" i="158"/>
  <c r="F215" i="158"/>
  <c r="K215" i="158"/>
  <c r="G215" i="158"/>
  <c r="C215" i="158"/>
  <c r="I216" i="158"/>
  <c r="J216" i="158"/>
  <c r="D216" i="158"/>
  <c r="F216" i="158"/>
  <c r="K216" i="158"/>
  <c r="G216" i="158"/>
  <c r="C216" i="158"/>
  <c r="I217" i="158"/>
  <c r="J217" i="158"/>
  <c r="D217" i="158"/>
  <c r="F217" i="158"/>
  <c r="K217" i="158"/>
  <c r="G217" i="158"/>
  <c r="C217" i="158"/>
  <c r="I218" i="158"/>
  <c r="J218" i="158"/>
  <c r="D218" i="158"/>
  <c r="F218" i="158"/>
  <c r="K218" i="158"/>
  <c r="G218" i="158"/>
  <c r="C218" i="158"/>
  <c r="I219" i="158"/>
  <c r="J219" i="158"/>
  <c r="D219" i="158"/>
  <c r="F219" i="158"/>
  <c r="K219" i="158"/>
  <c r="G219" i="158"/>
  <c r="C219" i="158"/>
  <c r="I220" i="158"/>
  <c r="J220" i="158"/>
  <c r="D220" i="158"/>
  <c r="F220" i="158"/>
  <c r="K220" i="158"/>
  <c r="G220" i="158"/>
  <c r="C220" i="158"/>
  <c r="I221" i="158"/>
  <c r="D221" i="158"/>
  <c r="J221" i="158"/>
  <c r="E221" i="158"/>
  <c r="F221" i="158"/>
  <c r="K221" i="158"/>
  <c r="G221" i="158"/>
  <c r="C221" i="158"/>
  <c r="I222" i="158"/>
  <c r="D222" i="158"/>
  <c r="J222" i="158"/>
  <c r="E222" i="158"/>
  <c r="F222" i="158"/>
  <c r="K222" i="158"/>
  <c r="G222" i="158"/>
  <c r="C222" i="158"/>
  <c r="I223" i="158"/>
  <c r="D223" i="158"/>
  <c r="J223" i="158"/>
  <c r="E223" i="158"/>
  <c r="F223" i="158"/>
  <c r="K223" i="158"/>
  <c r="G223" i="158"/>
  <c r="C223" i="158"/>
  <c r="I224" i="158"/>
  <c r="D224" i="158"/>
  <c r="J224" i="158"/>
  <c r="E224" i="158"/>
  <c r="F224" i="158"/>
  <c r="K224" i="158"/>
  <c r="G224" i="158"/>
  <c r="C224" i="158"/>
  <c r="I225" i="158"/>
  <c r="D225" i="158"/>
  <c r="J225" i="158"/>
  <c r="E225" i="158"/>
  <c r="F225" i="158"/>
  <c r="K225" i="158"/>
  <c r="G225" i="158"/>
  <c r="C225" i="158"/>
  <c r="I226" i="158"/>
  <c r="D226" i="158"/>
  <c r="J226" i="158"/>
  <c r="E226" i="158"/>
  <c r="F226" i="158"/>
  <c r="K226" i="158"/>
  <c r="G226" i="158"/>
  <c r="C226" i="158"/>
  <c r="I227" i="158"/>
  <c r="D227" i="158"/>
  <c r="J227" i="158"/>
  <c r="E227" i="158"/>
  <c r="F227" i="158"/>
  <c r="K227" i="158"/>
  <c r="G227" i="158"/>
  <c r="C227" i="158"/>
  <c r="I228" i="158"/>
  <c r="D228" i="158"/>
  <c r="J228" i="158"/>
  <c r="E228" i="158"/>
  <c r="F228" i="158"/>
  <c r="K228" i="158"/>
  <c r="G228" i="158"/>
  <c r="C228" i="158"/>
  <c r="I231" i="158"/>
  <c r="D231" i="158"/>
  <c r="J231" i="158"/>
  <c r="E231" i="158"/>
  <c r="F231" i="158"/>
  <c r="K231" i="158"/>
  <c r="G231" i="158"/>
  <c r="C231" i="158"/>
  <c r="I232" i="158"/>
  <c r="D232" i="158"/>
  <c r="J232" i="158"/>
  <c r="E232" i="158"/>
  <c r="F232" i="158"/>
  <c r="K232" i="158"/>
  <c r="G232" i="158"/>
  <c r="C232" i="158"/>
  <c r="I233" i="158"/>
  <c r="D233" i="158"/>
  <c r="J233" i="158"/>
  <c r="E233" i="158"/>
  <c r="F233" i="158"/>
  <c r="K233" i="158"/>
  <c r="G233" i="158"/>
  <c r="C233" i="158"/>
  <c r="I234" i="158"/>
  <c r="D234" i="158"/>
  <c r="J234" i="158"/>
  <c r="E234" i="158"/>
  <c r="F234" i="158"/>
  <c r="K234" i="158"/>
  <c r="G234" i="158"/>
  <c r="C234" i="158"/>
  <c r="I235" i="158"/>
  <c r="D235" i="158"/>
  <c r="J235" i="158"/>
  <c r="E235" i="158"/>
  <c r="F235" i="158"/>
  <c r="K235" i="158"/>
  <c r="G235" i="158"/>
  <c r="C235" i="158"/>
  <c r="I236" i="158"/>
  <c r="D236" i="158"/>
  <c r="J236" i="158"/>
  <c r="E236" i="158"/>
  <c r="F236" i="158"/>
  <c r="K236" i="158"/>
  <c r="G236" i="158"/>
  <c r="C236" i="158"/>
  <c r="I237" i="158"/>
  <c r="D237" i="158"/>
  <c r="J237" i="158"/>
  <c r="E237" i="158"/>
  <c r="F237" i="158"/>
  <c r="K237" i="158"/>
  <c r="G237" i="158"/>
  <c r="C237" i="158"/>
  <c r="I238" i="158"/>
  <c r="D238" i="158"/>
  <c r="J238" i="158"/>
  <c r="E238" i="158"/>
  <c r="F238" i="158"/>
  <c r="K238" i="158"/>
  <c r="G238" i="158"/>
  <c r="C238" i="158"/>
  <c r="I239" i="158"/>
  <c r="D239" i="158"/>
  <c r="J239" i="158"/>
  <c r="E239" i="158"/>
  <c r="F239" i="158"/>
  <c r="K239" i="158"/>
  <c r="G239" i="158"/>
  <c r="C239" i="158"/>
  <c r="I240" i="158"/>
  <c r="D240" i="158"/>
  <c r="J240" i="158"/>
  <c r="E240" i="158"/>
  <c r="F240" i="158"/>
  <c r="K240" i="158"/>
  <c r="G240" i="158"/>
  <c r="C240" i="158"/>
  <c r="I241" i="158"/>
  <c r="D241" i="158"/>
  <c r="J241" i="158"/>
  <c r="E241" i="158"/>
  <c r="F241" i="158"/>
  <c r="K241" i="158"/>
  <c r="G241" i="158"/>
  <c r="C241" i="158"/>
  <c r="I242" i="158"/>
  <c r="D242" i="158"/>
  <c r="J242" i="158"/>
  <c r="E242" i="158"/>
  <c r="F242" i="158"/>
  <c r="K242" i="158"/>
  <c r="G242" i="158"/>
  <c r="C242" i="158"/>
  <c r="I243" i="158"/>
  <c r="D243" i="158"/>
  <c r="J243" i="158"/>
  <c r="E243" i="158"/>
  <c r="F243" i="158"/>
  <c r="K243" i="158"/>
  <c r="G243" i="158"/>
  <c r="C243" i="158"/>
  <c r="I244" i="158"/>
  <c r="D244" i="158"/>
  <c r="J244" i="158"/>
  <c r="E244" i="158"/>
  <c r="F244" i="158"/>
  <c r="K244" i="158"/>
  <c r="G244" i="158"/>
  <c r="C244" i="158"/>
  <c r="I245" i="158"/>
  <c r="D245" i="158"/>
  <c r="J245" i="158"/>
  <c r="E245" i="158"/>
  <c r="F245" i="158"/>
  <c r="K245" i="158"/>
  <c r="G245" i="158"/>
  <c r="C245" i="158"/>
  <c r="I246" i="158"/>
  <c r="D246" i="158"/>
  <c r="J246" i="158"/>
  <c r="E246" i="158"/>
  <c r="F246" i="158"/>
  <c r="K246" i="158"/>
  <c r="G246" i="158"/>
  <c r="C246" i="158"/>
  <c r="I247" i="158"/>
  <c r="D247" i="158"/>
  <c r="J247" i="158"/>
  <c r="E247" i="158"/>
  <c r="F247" i="158"/>
  <c r="K247" i="158"/>
  <c r="G247" i="158"/>
  <c r="C247" i="158"/>
  <c r="I248" i="158"/>
  <c r="D248" i="158"/>
  <c r="J248" i="158"/>
  <c r="E248" i="158"/>
  <c r="F248" i="158"/>
  <c r="K248" i="158"/>
  <c r="G248" i="158"/>
  <c r="C248" i="158"/>
  <c r="I249" i="158"/>
  <c r="D249" i="158"/>
  <c r="J249" i="158"/>
  <c r="E249" i="158"/>
  <c r="F249" i="158"/>
  <c r="K249" i="158"/>
  <c r="G249" i="158"/>
  <c r="C249" i="158"/>
  <c r="I250" i="158"/>
  <c r="D250" i="158"/>
  <c r="J250" i="158"/>
  <c r="E250" i="158"/>
  <c r="F250" i="158"/>
  <c r="K250" i="158"/>
  <c r="G250" i="158"/>
  <c r="C250" i="158"/>
  <c r="I251" i="158"/>
  <c r="D251" i="158"/>
  <c r="J251" i="158"/>
  <c r="E251" i="158"/>
  <c r="F251" i="158"/>
  <c r="K251" i="158"/>
  <c r="G251" i="158"/>
  <c r="C251" i="158"/>
  <c r="I252" i="158"/>
  <c r="D252" i="158"/>
  <c r="J252" i="158"/>
  <c r="E252" i="158"/>
  <c r="F252" i="158"/>
  <c r="K252" i="158"/>
  <c r="G252" i="158"/>
  <c r="C252" i="158"/>
  <c r="I253" i="158"/>
  <c r="D253" i="158"/>
  <c r="J253" i="158"/>
  <c r="E253" i="158"/>
  <c r="F253" i="158"/>
  <c r="K253" i="158"/>
  <c r="G253" i="158"/>
  <c r="C253" i="158"/>
  <c r="I254" i="158"/>
  <c r="D254" i="158"/>
  <c r="J254" i="158"/>
  <c r="E254" i="158"/>
  <c r="F254" i="158"/>
  <c r="K254" i="158"/>
  <c r="G254" i="158"/>
  <c r="C254" i="158"/>
  <c r="I255" i="158"/>
  <c r="D255" i="158"/>
  <c r="J255" i="158"/>
  <c r="E255" i="158"/>
  <c r="F255" i="158"/>
  <c r="K255" i="158"/>
  <c r="G255" i="158"/>
  <c r="C255" i="158"/>
  <c r="I256" i="158"/>
  <c r="D256" i="158"/>
  <c r="J256" i="158"/>
  <c r="E256" i="158"/>
  <c r="F256" i="158"/>
  <c r="K256" i="158"/>
  <c r="G256" i="158"/>
  <c r="C256" i="158"/>
  <c r="I257" i="158"/>
  <c r="D257" i="158"/>
  <c r="J257" i="158"/>
  <c r="E257" i="158"/>
  <c r="F257" i="158"/>
  <c r="K257" i="158"/>
  <c r="G257" i="158"/>
  <c r="C257" i="158"/>
  <c r="I258" i="158"/>
  <c r="D258" i="158"/>
  <c r="J258" i="158"/>
  <c r="E258" i="158"/>
  <c r="F258" i="158"/>
  <c r="K258" i="158"/>
  <c r="G258" i="158"/>
  <c r="C258" i="158"/>
  <c r="I259" i="158"/>
  <c r="D259" i="158"/>
  <c r="J259" i="158"/>
  <c r="E259" i="158"/>
  <c r="F259" i="158"/>
  <c r="K259" i="158"/>
  <c r="G259" i="158"/>
  <c r="C259" i="158"/>
  <c r="I260" i="158"/>
  <c r="D260" i="158"/>
  <c r="J260" i="158"/>
  <c r="E260" i="158"/>
  <c r="F260" i="158"/>
  <c r="K260" i="158"/>
  <c r="G260" i="158"/>
  <c r="C260" i="158"/>
  <c r="I261" i="158"/>
  <c r="D261" i="158"/>
  <c r="J261" i="158"/>
  <c r="E261" i="158"/>
  <c r="F261" i="158"/>
  <c r="K261" i="158"/>
  <c r="G261" i="158"/>
  <c r="C261" i="158"/>
  <c r="I262" i="158"/>
  <c r="D262" i="158"/>
  <c r="J262" i="158"/>
  <c r="E262" i="158"/>
  <c r="F262" i="158"/>
  <c r="K262" i="158"/>
  <c r="G262" i="158"/>
  <c r="C262" i="158"/>
  <c r="I263" i="158"/>
  <c r="D263" i="158"/>
  <c r="J263" i="158"/>
  <c r="E263" i="158"/>
  <c r="F263" i="158"/>
  <c r="K263" i="158"/>
  <c r="G263" i="158"/>
  <c r="C263" i="158"/>
  <c r="I264" i="158"/>
  <c r="D264" i="158"/>
  <c r="J264" i="158"/>
  <c r="E264" i="158"/>
  <c r="F264" i="158"/>
  <c r="K264" i="158"/>
  <c r="G264" i="158"/>
  <c r="C264" i="158"/>
  <c r="I265" i="158"/>
  <c r="D265" i="158"/>
  <c r="J265" i="158"/>
  <c r="E265" i="158"/>
  <c r="F265" i="158"/>
  <c r="K265" i="158"/>
  <c r="G265" i="158"/>
  <c r="C265" i="158"/>
  <c r="I266" i="158"/>
  <c r="D266" i="158"/>
  <c r="J266" i="158"/>
  <c r="E266" i="158"/>
  <c r="F266" i="158"/>
  <c r="K266" i="158"/>
  <c r="G266" i="158"/>
  <c r="C266" i="158"/>
  <c r="I267" i="158"/>
  <c r="D267" i="158"/>
  <c r="J267" i="158"/>
  <c r="E267" i="158"/>
  <c r="F267" i="158"/>
  <c r="K267" i="158"/>
  <c r="G267" i="158"/>
  <c r="C267" i="158"/>
  <c r="I268" i="158"/>
  <c r="D268" i="158"/>
  <c r="J268" i="158"/>
  <c r="E268" i="158"/>
  <c r="F268" i="158"/>
  <c r="K268" i="158"/>
  <c r="G268" i="158"/>
  <c r="C268" i="158"/>
  <c r="I269" i="158"/>
  <c r="D269" i="158"/>
  <c r="J269" i="158"/>
  <c r="E269" i="158"/>
  <c r="F269" i="158"/>
  <c r="K269" i="158"/>
  <c r="G269" i="158"/>
  <c r="C269" i="158"/>
  <c r="I270" i="158"/>
  <c r="D270" i="158"/>
  <c r="J270" i="158"/>
  <c r="E270" i="158"/>
  <c r="F270" i="158"/>
  <c r="K270" i="158"/>
  <c r="G270" i="158"/>
  <c r="C270" i="158"/>
  <c r="I271" i="158"/>
  <c r="D271" i="158"/>
  <c r="J271" i="158"/>
  <c r="E271" i="158"/>
  <c r="F271" i="158"/>
  <c r="K271" i="158"/>
  <c r="G271" i="158"/>
  <c r="C271" i="158"/>
  <c r="I272" i="158"/>
  <c r="D272" i="158"/>
  <c r="J272" i="158"/>
  <c r="E272" i="158"/>
  <c r="F272" i="158"/>
  <c r="K272" i="158"/>
  <c r="G272" i="158"/>
  <c r="C272" i="158"/>
  <c r="I273" i="158"/>
  <c r="D273" i="158"/>
  <c r="J273" i="158"/>
  <c r="E273" i="158"/>
  <c r="F273" i="158"/>
  <c r="K273" i="158"/>
  <c r="G273" i="158"/>
  <c r="C273" i="158"/>
  <c r="I274" i="158"/>
  <c r="D274" i="158"/>
  <c r="J274" i="158"/>
  <c r="E274" i="158"/>
  <c r="F274" i="158"/>
  <c r="K274" i="158"/>
  <c r="G274" i="158"/>
  <c r="C274" i="158"/>
  <c r="I275" i="158"/>
  <c r="D275" i="158"/>
  <c r="J275" i="158"/>
  <c r="E275" i="158"/>
  <c r="F275" i="158"/>
  <c r="K275" i="158"/>
  <c r="G275" i="158"/>
  <c r="C275" i="158"/>
  <c r="I276" i="158"/>
  <c r="D276" i="158"/>
  <c r="J276" i="158"/>
  <c r="E276" i="158"/>
  <c r="F276" i="158"/>
  <c r="K276" i="158"/>
  <c r="G276" i="158"/>
  <c r="C276" i="158"/>
  <c r="I277" i="158"/>
  <c r="D277" i="158"/>
  <c r="J277" i="158"/>
  <c r="E277" i="158"/>
  <c r="F277" i="158"/>
  <c r="K277" i="158"/>
  <c r="G277" i="158"/>
  <c r="C277" i="158"/>
  <c r="I278" i="158"/>
  <c r="D278" i="158"/>
  <c r="J278" i="158"/>
  <c r="E278" i="158"/>
  <c r="F278" i="158"/>
  <c r="K278" i="158"/>
  <c r="G278" i="158"/>
  <c r="C278" i="158"/>
  <c r="I279" i="158"/>
  <c r="D279" i="158"/>
  <c r="J279" i="158"/>
  <c r="E279" i="158"/>
  <c r="F279" i="158"/>
  <c r="K279" i="158"/>
  <c r="G279" i="158"/>
  <c r="C279" i="158"/>
  <c r="I280" i="158"/>
  <c r="D280" i="158"/>
  <c r="J280" i="158"/>
  <c r="E280" i="158"/>
  <c r="F280" i="158"/>
  <c r="K280" i="158"/>
  <c r="G280" i="158"/>
  <c r="C280" i="158"/>
  <c r="I281" i="158"/>
  <c r="D281" i="158"/>
  <c r="J281" i="158"/>
  <c r="E281" i="158"/>
  <c r="F281" i="158"/>
  <c r="K281" i="158"/>
  <c r="G281" i="158"/>
  <c r="C281" i="158"/>
  <c r="I282" i="158"/>
  <c r="D282" i="158"/>
  <c r="J282" i="158"/>
  <c r="E282" i="158"/>
  <c r="F282" i="158"/>
  <c r="K282" i="158"/>
  <c r="G282" i="158"/>
  <c r="C282" i="158"/>
  <c r="I283" i="158"/>
  <c r="D283" i="158"/>
  <c r="J283" i="158"/>
  <c r="E283" i="158"/>
  <c r="F283" i="158"/>
  <c r="K283" i="158"/>
  <c r="G283" i="158"/>
  <c r="C283" i="158"/>
  <c r="I284" i="158"/>
  <c r="D284" i="158"/>
  <c r="J284" i="158"/>
  <c r="E284" i="158"/>
  <c r="F284" i="158"/>
  <c r="K284" i="158"/>
  <c r="G284" i="158"/>
  <c r="C284" i="158"/>
  <c r="I285" i="158"/>
  <c r="D285" i="158"/>
  <c r="J285" i="158"/>
  <c r="E285" i="158"/>
  <c r="F285" i="158"/>
  <c r="K285" i="158"/>
  <c r="G285" i="158"/>
  <c r="C285" i="158"/>
  <c r="I286" i="158"/>
  <c r="D286" i="158"/>
  <c r="J286" i="158"/>
  <c r="E286" i="158"/>
  <c r="F286" i="158"/>
  <c r="K286" i="158"/>
  <c r="G286" i="158"/>
  <c r="C286" i="158"/>
  <c r="I287" i="158"/>
  <c r="D287" i="158"/>
  <c r="J287" i="158"/>
  <c r="E287" i="158"/>
  <c r="F287" i="158"/>
  <c r="K287" i="158"/>
  <c r="G287" i="158"/>
  <c r="C287" i="158"/>
  <c r="I288" i="158"/>
  <c r="D288" i="158"/>
  <c r="J288" i="158"/>
  <c r="E288" i="158"/>
  <c r="F288" i="158"/>
  <c r="K288" i="158"/>
  <c r="G288" i="158"/>
  <c r="C288" i="158"/>
  <c r="I289" i="158"/>
  <c r="D289" i="158"/>
  <c r="J289" i="158"/>
  <c r="E289" i="158"/>
  <c r="F289" i="158"/>
  <c r="K289" i="158"/>
  <c r="G289" i="158"/>
  <c r="C289" i="158"/>
  <c r="I290" i="158"/>
  <c r="D290" i="158"/>
  <c r="J290" i="158"/>
  <c r="E290" i="158"/>
  <c r="F290" i="158"/>
  <c r="K290" i="158"/>
  <c r="G290" i="158"/>
  <c r="C290" i="158"/>
  <c r="I291" i="158"/>
  <c r="D291" i="158"/>
  <c r="J291" i="158"/>
  <c r="E291" i="158"/>
  <c r="F291" i="158"/>
  <c r="K291" i="158"/>
  <c r="G291" i="158"/>
  <c r="C291" i="158"/>
  <c r="I292" i="158"/>
  <c r="D292" i="158"/>
  <c r="J292" i="158"/>
  <c r="E292" i="158"/>
  <c r="F292" i="158"/>
  <c r="K292" i="158"/>
  <c r="G292" i="158"/>
  <c r="C292" i="158"/>
  <c r="I293" i="158"/>
  <c r="D293" i="158"/>
  <c r="J293" i="158"/>
  <c r="E293" i="158"/>
  <c r="F293" i="158"/>
  <c r="K293" i="158"/>
  <c r="G293" i="158"/>
  <c r="C293" i="158"/>
  <c r="I294" i="158"/>
  <c r="D294" i="158"/>
  <c r="J294" i="158"/>
  <c r="E294" i="158"/>
  <c r="F294" i="158"/>
  <c r="K294" i="158"/>
  <c r="G294" i="158"/>
  <c r="C294" i="158"/>
  <c r="I295" i="158"/>
  <c r="D295" i="158"/>
  <c r="J295" i="158"/>
  <c r="E295" i="158"/>
  <c r="F295" i="158"/>
  <c r="K295" i="158"/>
  <c r="G295" i="158"/>
  <c r="C295" i="158"/>
  <c r="I296" i="158"/>
  <c r="D296" i="158"/>
  <c r="J296" i="158"/>
  <c r="E296" i="158"/>
  <c r="F296" i="158"/>
  <c r="K296" i="158"/>
  <c r="G296" i="158"/>
  <c r="C296" i="158"/>
  <c r="I297" i="158"/>
  <c r="D297" i="158"/>
  <c r="J297" i="158"/>
  <c r="E297" i="158"/>
  <c r="F297" i="158"/>
  <c r="K297" i="158"/>
  <c r="G297" i="158"/>
  <c r="C297" i="158"/>
  <c r="I298" i="158"/>
  <c r="D298" i="158"/>
  <c r="J298" i="158"/>
  <c r="E298" i="158"/>
  <c r="F298" i="158"/>
  <c r="K298" i="158"/>
  <c r="G298" i="158"/>
  <c r="C298" i="158"/>
  <c r="I299" i="158"/>
  <c r="D299" i="158"/>
  <c r="J299" i="158"/>
  <c r="E299" i="158"/>
  <c r="F299" i="158"/>
  <c r="K299" i="158"/>
  <c r="G299" i="158"/>
  <c r="C299" i="158"/>
  <c r="I300" i="158"/>
  <c r="D300" i="158"/>
  <c r="J300" i="158"/>
  <c r="E300" i="158"/>
  <c r="F300" i="158"/>
  <c r="K300" i="158"/>
  <c r="G300" i="158"/>
  <c r="C300" i="158"/>
  <c r="I301" i="158"/>
  <c r="D301" i="158"/>
  <c r="J301" i="158"/>
  <c r="E301" i="158"/>
  <c r="F301" i="158"/>
  <c r="K301" i="158"/>
  <c r="G301" i="158"/>
  <c r="C301" i="158"/>
  <c r="I302" i="158"/>
  <c r="D302" i="158"/>
  <c r="J302" i="158"/>
  <c r="E302" i="158"/>
  <c r="F302" i="158"/>
  <c r="K302" i="158"/>
  <c r="G302" i="158"/>
  <c r="C302" i="158"/>
  <c r="I303" i="158"/>
  <c r="D303" i="158"/>
  <c r="J303" i="158"/>
  <c r="E303" i="158"/>
  <c r="F303" i="158"/>
  <c r="K303" i="158"/>
  <c r="G303" i="158"/>
  <c r="C303" i="158"/>
  <c r="I304" i="158"/>
  <c r="D304" i="158"/>
  <c r="J304" i="158"/>
  <c r="E304" i="158"/>
  <c r="F304" i="158"/>
  <c r="K304" i="158"/>
  <c r="G304" i="158"/>
  <c r="C304" i="158"/>
  <c r="I305" i="158"/>
  <c r="D305" i="158"/>
  <c r="J305" i="158"/>
  <c r="E305" i="158"/>
  <c r="F305" i="158"/>
  <c r="K305" i="158"/>
  <c r="G305" i="158"/>
  <c r="C305" i="158"/>
  <c r="I306" i="158"/>
  <c r="D306" i="158"/>
  <c r="J306" i="158"/>
  <c r="E306" i="158"/>
  <c r="F306" i="158"/>
  <c r="K306" i="158"/>
  <c r="G306" i="158"/>
  <c r="C306" i="158"/>
  <c r="I307" i="158"/>
  <c r="D307" i="158"/>
  <c r="J307" i="158"/>
  <c r="E307" i="158"/>
  <c r="F307" i="158"/>
  <c r="K307" i="158"/>
  <c r="G307" i="158"/>
  <c r="C307" i="158"/>
  <c r="I308" i="158"/>
  <c r="D308" i="158"/>
  <c r="J308" i="158"/>
  <c r="E308" i="158"/>
  <c r="F308" i="158"/>
  <c r="K308" i="158"/>
  <c r="G308" i="158"/>
  <c r="C308" i="158"/>
  <c r="I309" i="158"/>
  <c r="D309" i="158"/>
  <c r="J309" i="158"/>
  <c r="E309" i="158"/>
  <c r="F309" i="158"/>
  <c r="K309" i="158"/>
  <c r="G309" i="158"/>
  <c r="C309" i="158"/>
  <c r="I310" i="158"/>
  <c r="D310" i="158"/>
  <c r="J310" i="158"/>
  <c r="E310" i="158"/>
  <c r="F310" i="158"/>
  <c r="K310" i="158"/>
  <c r="G310" i="158"/>
  <c r="C310" i="158"/>
  <c r="I311" i="158"/>
  <c r="D311" i="158"/>
  <c r="J311" i="158"/>
  <c r="E311" i="158"/>
  <c r="F311" i="158"/>
  <c r="K311" i="158"/>
  <c r="G311" i="158"/>
  <c r="C311" i="158"/>
  <c r="I312" i="158"/>
  <c r="D312" i="158"/>
  <c r="J312" i="158"/>
  <c r="E312" i="158"/>
  <c r="F312" i="158"/>
  <c r="K312" i="158"/>
  <c r="G312" i="158"/>
  <c r="C312" i="158"/>
  <c r="I313" i="158"/>
  <c r="D313" i="158"/>
  <c r="J313" i="158"/>
  <c r="E313" i="158"/>
  <c r="F313" i="158"/>
  <c r="K313" i="158"/>
  <c r="G313" i="158"/>
  <c r="C313" i="158"/>
  <c r="I314" i="158"/>
  <c r="D314" i="158"/>
  <c r="J314" i="158"/>
  <c r="E314" i="158"/>
  <c r="F314" i="158"/>
  <c r="K314" i="158"/>
  <c r="G314" i="158"/>
  <c r="C314" i="158"/>
  <c r="I315" i="158"/>
  <c r="D315" i="158"/>
  <c r="J315" i="158"/>
  <c r="E315" i="158"/>
  <c r="F315" i="158"/>
  <c r="K315" i="158"/>
  <c r="G315" i="158"/>
  <c r="C315" i="158"/>
  <c r="I316" i="158"/>
  <c r="D316" i="158"/>
  <c r="J316" i="158"/>
  <c r="E316" i="158"/>
  <c r="F316" i="158"/>
  <c r="K316" i="158"/>
  <c r="G316" i="158"/>
  <c r="C316" i="158"/>
  <c r="I317" i="158"/>
  <c r="D317" i="158"/>
  <c r="J317" i="158"/>
  <c r="E317" i="158"/>
  <c r="F317" i="158"/>
  <c r="K317" i="158"/>
  <c r="G317" i="158"/>
  <c r="C317" i="158"/>
  <c r="I318" i="158"/>
  <c r="D318" i="158"/>
  <c r="J318" i="158"/>
  <c r="E318" i="158"/>
  <c r="F318" i="158"/>
  <c r="K318" i="158"/>
  <c r="G318" i="158"/>
  <c r="C318" i="158"/>
  <c r="I319" i="158"/>
  <c r="D319" i="158"/>
  <c r="J319" i="158"/>
  <c r="E319" i="158"/>
  <c r="F319" i="158"/>
  <c r="K319" i="158"/>
  <c r="G319" i="158"/>
  <c r="C319" i="158"/>
  <c r="I320" i="158"/>
  <c r="D320" i="158"/>
  <c r="J320" i="158"/>
  <c r="E320" i="158"/>
  <c r="F320" i="158"/>
  <c r="K320" i="158"/>
  <c r="G320" i="158"/>
  <c r="C320" i="158"/>
  <c r="I321" i="158"/>
  <c r="D321" i="158"/>
  <c r="J321" i="158"/>
  <c r="E321" i="158"/>
  <c r="F321" i="158"/>
  <c r="K321" i="158"/>
  <c r="G321" i="158"/>
  <c r="C321" i="158"/>
  <c r="I322" i="158"/>
  <c r="D322" i="158"/>
  <c r="J322" i="158"/>
  <c r="E322" i="158"/>
  <c r="F322" i="158"/>
  <c r="K322" i="158"/>
  <c r="G322" i="158"/>
  <c r="C322" i="158"/>
  <c r="I323" i="158"/>
  <c r="D323" i="158"/>
  <c r="J323" i="158"/>
  <c r="E323" i="158"/>
  <c r="F323" i="158"/>
  <c r="K323" i="158"/>
  <c r="G323" i="158"/>
  <c r="C323" i="158"/>
  <c r="I324" i="158"/>
  <c r="D324" i="158"/>
  <c r="J324" i="158"/>
  <c r="E324" i="158"/>
  <c r="F324" i="158"/>
  <c r="K324" i="158"/>
  <c r="G324" i="158"/>
  <c r="C324" i="158"/>
  <c r="I325" i="158"/>
  <c r="D325" i="158"/>
  <c r="J325" i="158"/>
  <c r="E325" i="158"/>
  <c r="F325" i="158"/>
  <c r="K325" i="158"/>
  <c r="G325" i="158"/>
  <c r="C325" i="158"/>
  <c r="I326" i="158"/>
  <c r="D326" i="158"/>
  <c r="J326" i="158"/>
  <c r="E326" i="158"/>
  <c r="F326" i="158"/>
  <c r="K326" i="158"/>
  <c r="G326" i="158"/>
  <c r="C326" i="158"/>
  <c r="I327" i="158"/>
  <c r="D327" i="158"/>
  <c r="J327" i="158"/>
  <c r="E327" i="158"/>
  <c r="F327" i="158"/>
  <c r="K327" i="158"/>
  <c r="G327" i="158"/>
  <c r="C327" i="158"/>
  <c r="I328" i="158"/>
  <c r="D328" i="158"/>
  <c r="J328" i="158"/>
  <c r="E328" i="158"/>
  <c r="F328" i="158"/>
  <c r="K328" i="158"/>
  <c r="G328" i="158"/>
  <c r="C328" i="158"/>
  <c r="I329" i="158"/>
  <c r="D329" i="158"/>
  <c r="J329" i="158"/>
  <c r="E329" i="158"/>
  <c r="F329" i="158"/>
  <c r="K329" i="158"/>
  <c r="G329" i="158"/>
  <c r="C329" i="158"/>
  <c r="I330" i="158"/>
  <c r="D330" i="158"/>
  <c r="J330" i="158"/>
  <c r="E330" i="158"/>
  <c r="F330" i="158"/>
  <c r="K330" i="158"/>
  <c r="G330" i="158"/>
  <c r="C330" i="158"/>
  <c r="I331" i="158"/>
  <c r="D331" i="158"/>
  <c r="J331" i="158"/>
  <c r="E331" i="158"/>
  <c r="F331" i="158"/>
  <c r="K331" i="158"/>
  <c r="G331" i="158"/>
  <c r="C331" i="158"/>
  <c r="I332" i="158"/>
  <c r="D332" i="158"/>
  <c r="J332" i="158"/>
  <c r="E332" i="158"/>
  <c r="F332" i="158"/>
  <c r="K332" i="158"/>
  <c r="G332" i="158"/>
  <c r="C332" i="158"/>
  <c r="I333" i="158"/>
  <c r="D333" i="158"/>
  <c r="J333" i="158"/>
  <c r="E333" i="158"/>
  <c r="F333" i="158"/>
  <c r="K333" i="158"/>
  <c r="G333" i="158"/>
  <c r="C333" i="158"/>
  <c r="I334" i="158"/>
  <c r="D334" i="158"/>
  <c r="J334" i="158"/>
  <c r="E334" i="158"/>
  <c r="F334" i="158"/>
  <c r="K334" i="158"/>
  <c r="G334" i="158"/>
  <c r="C334" i="158"/>
  <c r="I335" i="158"/>
  <c r="D335" i="158"/>
  <c r="J335" i="158"/>
  <c r="E335" i="158"/>
  <c r="F335" i="158"/>
  <c r="K335" i="158"/>
  <c r="G335" i="158"/>
  <c r="C335" i="158"/>
  <c r="I336" i="158"/>
  <c r="D336" i="158"/>
  <c r="J336" i="158"/>
  <c r="E336" i="158"/>
  <c r="F336" i="158"/>
  <c r="K336" i="158"/>
  <c r="G336" i="158"/>
  <c r="C336" i="158"/>
  <c r="I337" i="158"/>
  <c r="D337" i="158"/>
  <c r="J337" i="158"/>
  <c r="E337" i="158"/>
  <c r="F337" i="158"/>
  <c r="K337" i="158"/>
  <c r="G337" i="158"/>
  <c r="C337" i="158"/>
  <c r="I338" i="158"/>
  <c r="D338" i="158"/>
  <c r="J338" i="158"/>
  <c r="E338" i="158"/>
  <c r="F338" i="158"/>
  <c r="K338" i="158"/>
  <c r="G338" i="158"/>
  <c r="C338" i="158"/>
  <c r="I339" i="158"/>
  <c r="D339" i="158"/>
  <c r="J339" i="158"/>
  <c r="E339" i="158"/>
  <c r="F339" i="158"/>
  <c r="K339" i="158"/>
  <c r="G339" i="158"/>
  <c r="C339" i="158"/>
  <c r="I340" i="158"/>
  <c r="D340" i="158"/>
  <c r="J340" i="158"/>
  <c r="E340" i="158"/>
  <c r="F340" i="158"/>
  <c r="K340" i="158"/>
  <c r="G340" i="158"/>
  <c r="C340" i="158"/>
  <c r="E23" i="157"/>
  <c r="B10" i="157"/>
  <c r="F6" i="157"/>
  <c r="E6" i="157"/>
  <c r="B23" i="157"/>
  <c r="E26" i="157"/>
  <c r="B26" i="157"/>
  <c r="F5" i="157"/>
  <c r="E5" i="157"/>
  <c r="E28" i="157"/>
  <c r="B28" i="157"/>
  <c r="E29" i="157"/>
  <c r="B29" i="157"/>
  <c r="B21" i="157"/>
  <c r="B5" i="157"/>
  <c r="E19" i="157"/>
  <c r="B19" i="157"/>
  <c r="E24" i="157"/>
  <c r="B24" i="157"/>
  <c r="B17" i="157"/>
  <c r="C27" i="157"/>
  <c r="B6" i="157"/>
  <c r="E18" i="157"/>
  <c r="B18" i="157"/>
  <c r="E20" i="157"/>
  <c r="B20" i="157"/>
  <c r="E22" i="157"/>
  <c r="B22" i="157"/>
  <c r="E27" i="157"/>
  <c r="B27" i="157"/>
  <c r="B25" i="157"/>
  <c r="B30" i="157"/>
  <c r="B32" i="157"/>
  <c r="E19" i="153"/>
  <c r="B19" i="153"/>
  <c r="E24" i="153"/>
  <c r="B24" i="153"/>
  <c r="B17" i="153"/>
  <c r="B30" i="153"/>
  <c r="B32" i="153"/>
  <c r="E25" i="157"/>
  <c r="E17" i="157"/>
  <c r="H331" i="154"/>
  <c r="L331" i="154"/>
  <c r="M331" i="154"/>
  <c r="N331" i="154"/>
  <c r="A2" i="153"/>
  <c r="A36" i="153"/>
  <c r="G29" i="153"/>
  <c r="H29" i="153"/>
  <c r="O331" i="154"/>
  <c r="O2" i="154"/>
  <c r="O3" i="154"/>
  <c r="O4" i="154"/>
  <c r="O5" i="154"/>
  <c r="G17" i="153"/>
  <c r="E17" i="153"/>
  <c r="H17" i="153"/>
  <c r="O6" i="154"/>
  <c r="E18" i="153"/>
  <c r="G18" i="153"/>
  <c r="H18" i="153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G24" i="153"/>
  <c r="H24" i="153"/>
  <c r="O48" i="154"/>
  <c r="G25" i="153"/>
  <c r="H25" i="153"/>
  <c r="O49" i="154"/>
  <c r="G26" i="153"/>
  <c r="H26" i="153"/>
  <c r="O50" i="154"/>
  <c r="G19" i="153"/>
  <c r="H19" i="153"/>
  <c r="O51" i="154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O138" i="154"/>
  <c r="O139" i="154"/>
  <c r="O140" i="154"/>
  <c r="O141" i="154"/>
  <c r="G27" i="153"/>
  <c r="H27" i="153"/>
  <c r="O142" i="154"/>
  <c r="G28" i="153"/>
  <c r="H28" i="153"/>
  <c r="O143" i="154"/>
  <c r="O144" i="154"/>
  <c r="O145" i="154"/>
  <c r="O146" i="154"/>
  <c r="O147" i="154"/>
  <c r="O148" i="154"/>
  <c r="O149" i="154"/>
  <c r="O150" i="154"/>
  <c r="R4" i="153"/>
  <c r="O151" i="154"/>
  <c r="R5" i="153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R6" i="153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R3" i="153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O262" i="154"/>
  <c r="O263" i="154"/>
  <c r="O264" i="154"/>
  <c r="O265" i="154"/>
  <c r="O266" i="154"/>
  <c r="O267" i="154"/>
  <c r="O268" i="154"/>
  <c r="O269" i="154"/>
  <c r="G22" i="153"/>
  <c r="H22" i="153"/>
  <c r="O270" i="154"/>
  <c r="G23" i="153"/>
  <c r="H23" i="153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2" i="154"/>
  <c r="O333" i="154"/>
  <c r="O334" i="154"/>
  <c r="O335" i="154"/>
  <c r="O336" i="154"/>
  <c r="O337" i="154"/>
  <c r="O338" i="154"/>
  <c r="O339" i="154"/>
  <c r="O340" i="154"/>
  <c r="P331" i="154"/>
  <c r="H332" i="154"/>
  <c r="L332" i="154"/>
  <c r="M332" i="154"/>
  <c r="N332" i="154"/>
  <c r="P332" i="154"/>
  <c r="H333" i="154"/>
  <c r="L333" i="154"/>
  <c r="M333" i="154"/>
  <c r="N333" i="154"/>
  <c r="P333" i="154"/>
  <c r="H334" i="154"/>
  <c r="L334" i="154"/>
  <c r="M334" i="154"/>
  <c r="N334" i="154"/>
  <c r="P334" i="154"/>
  <c r="H335" i="154"/>
  <c r="L335" i="154"/>
  <c r="M335" i="154"/>
  <c r="N335" i="154"/>
  <c r="P335" i="154"/>
  <c r="H336" i="154"/>
  <c r="L336" i="154"/>
  <c r="M336" i="154"/>
  <c r="N336" i="154"/>
  <c r="P336" i="154"/>
  <c r="H337" i="154"/>
  <c r="L337" i="154"/>
  <c r="M337" i="154"/>
  <c r="N337" i="154"/>
  <c r="P337" i="154"/>
  <c r="H338" i="154"/>
  <c r="L338" i="154"/>
  <c r="M338" i="154"/>
  <c r="N338" i="154"/>
  <c r="P338" i="154"/>
  <c r="H339" i="154"/>
  <c r="L339" i="154"/>
  <c r="M339" i="154"/>
  <c r="N339" i="154"/>
  <c r="P339" i="154"/>
  <c r="H340" i="154"/>
  <c r="L340" i="154"/>
  <c r="M340" i="154"/>
  <c r="N340" i="154"/>
  <c r="P340" i="154"/>
  <c r="A331" i="154"/>
  <c r="A332" i="154"/>
  <c r="A333" i="154"/>
  <c r="A334" i="154"/>
  <c r="A335" i="154"/>
  <c r="A336" i="154"/>
  <c r="A337" i="154"/>
  <c r="A338" i="154"/>
  <c r="A339" i="154"/>
  <c r="A340" i="154"/>
  <c r="H331" i="158"/>
  <c r="L331" i="158"/>
  <c r="M331" i="158"/>
  <c r="N331" i="158"/>
  <c r="A2" i="157"/>
  <c r="A36" i="157"/>
  <c r="G29" i="157"/>
  <c r="H29" i="157"/>
  <c r="O331" i="158"/>
  <c r="O2" i="158"/>
  <c r="O3" i="158"/>
  <c r="O4" i="158"/>
  <c r="O5" i="158"/>
  <c r="G17" i="157"/>
  <c r="H17" i="157"/>
  <c r="O6" i="158"/>
  <c r="G18" i="157"/>
  <c r="H18" i="157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G24" i="157"/>
  <c r="H24" i="157"/>
  <c r="O48" i="158"/>
  <c r="G25" i="157"/>
  <c r="H25" i="157"/>
  <c r="O49" i="158"/>
  <c r="G26" i="157"/>
  <c r="H26" i="157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G27" i="157"/>
  <c r="H27" i="157"/>
  <c r="O142" i="158"/>
  <c r="G28" i="157"/>
  <c r="H28" i="157"/>
  <c r="O143" i="158"/>
  <c r="O144" i="158"/>
  <c r="O145" i="158"/>
  <c r="O146" i="158"/>
  <c r="O147" i="158"/>
  <c r="O148" i="158"/>
  <c r="O149" i="158"/>
  <c r="O150" i="158"/>
  <c r="R4" i="157"/>
  <c r="O151" i="158"/>
  <c r="R5" i="157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R6" i="157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R3" i="157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G22" i="157"/>
  <c r="H22" i="157"/>
  <c r="O270" i="158"/>
  <c r="G23" i="157"/>
  <c r="H23" i="157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2" i="158"/>
  <c r="O333" i="158"/>
  <c r="O334" i="158"/>
  <c r="O335" i="158"/>
  <c r="O336" i="158"/>
  <c r="O337" i="158"/>
  <c r="O338" i="158"/>
  <c r="O339" i="158"/>
  <c r="O340" i="158"/>
  <c r="P331" i="158"/>
  <c r="H332" i="158"/>
  <c r="L332" i="158"/>
  <c r="M332" i="158"/>
  <c r="N332" i="158"/>
  <c r="P332" i="158"/>
  <c r="H333" i="158"/>
  <c r="L333" i="158"/>
  <c r="M333" i="158"/>
  <c r="N333" i="158"/>
  <c r="P333" i="158"/>
  <c r="H334" i="158"/>
  <c r="L334" i="158"/>
  <c r="M334" i="158"/>
  <c r="N334" i="158"/>
  <c r="P334" i="158"/>
  <c r="H335" i="158"/>
  <c r="L335" i="158"/>
  <c r="M335" i="158"/>
  <c r="N335" i="158"/>
  <c r="P335" i="158"/>
  <c r="H336" i="158"/>
  <c r="L336" i="158"/>
  <c r="M336" i="158"/>
  <c r="N336" i="158"/>
  <c r="P336" i="158"/>
  <c r="H337" i="158"/>
  <c r="L337" i="158"/>
  <c r="M337" i="158"/>
  <c r="N337" i="158"/>
  <c r="P337" i="158"/>
  <c r="H338" i="158"/>
  <c r="L338" i="158"/>
  <c r="M338" i="158"/>
  <c r="N338" i="158"/>
  <c r="P338" i="158"/>
  <c r="H339" i="158"/>
  <c r="L339" i="158"/>
  <c r="M339" i="158"/>
  <c r="N339" i="158"/>
  <c r="P339" i="158"/>
  <c r="H340" i="158"/>
  <c r="L340" i="158"/>
  <c r="M340" i="158"/>
  <c r="N340" i="158"/>
  <c r="P340" i="158"/>
  <c r="A331" i="158"/>
  <c r="A332" i="158"/>
  <c r="A333" i="158"/>
  <c r="A334" i="158"/>
  <c r="A335" i="158"/>
  <c r="A336" i="158"/>
  <c r="A337" i="158"/>
  <c r="A338" i="158"/>
  <c r="A339" i="158"/>
  <c r="A340" i="158"/>
  <c r="F41" i="157"/>
  <c r="G41" i="157"/>
  <c r="H325" i="154"/>
  <c r="L325" i="154"/>
  <c r="M325" i="154"/>
  <c r="N325" i="154"/>
  <c r="P325" i="154"/>
  <c r="H326" i="154"/>
  <c r="L326" i="154"/>
  <c r="M326" i="154"/>
  <c r="N326" i="154"/>
  <c r="P326" i="154"/>
  <c r="H327" i="154"/>
  <c r="L327" i="154"/>
  <c r="M327" i="154"/>
  <c r="N327" i="154"/>
  <c r="P327" i="154"/>
  <c r="H328" i="154"/>
  <c r="L328" i="154"/>
  <c r="M328" i="154"/>
  <c r="N328" i="154"/>
  <c r="P328" i="154"/>
  <c r="H329" i="154"/>
  <c r="L329" i="154"/>
  <c r="M329" i="154"/>
  <c r="N329" i="154"/>
  <c r="P329" i="154"/>
  <c r="H330" i="154"/>
  <c r="L330" i="154"/>
  <c r="M330" i="154"/>
  <c r="N330" i="154"/>
  <c r="P330" i="154"/>
  <c r="A325" i="154"/>
  <c r="A326" i="154"/>
  <c r="A327" i="154"/>
  <c r="A328" i="154"/>
  <c r="A329" i="154"/>
  <c r="A330" i="154"/>
  <c r="H325" i="158"/>
  <c r="L325" i="158"/>
  <c r="M325" i="158"/>
  <c r="N325" i="158"/>
  <c r="P325" i="158"/>
  <c r="H326" i="158"/>
  <c r="L326" i="158"/>
  <c r="M326" i="158"/>
  <c r="N326" i="158"/>
  <c r="P326" i="158"/>
  <c r="H327" i="158"/>
  <c r="L327" i="158"/>
  <c r="M327" i="158"/>
  <c r="N327" i="158"/>
  <c r="P327" i="158"/>
  <c r="H328" i="158"/>
  <c r="L328" i="158"/>
  <c r="M328" i="158"/>
  <c r="N328" i="158"/>
  <c r="P328" i="158"/>
  <c r="H329" i="158"/>
  <c r="L329" i="158"/>
  <c r="M329" i="158"/>
  <c r="N329" i="158"/>
  <c r="P329" i="158"/>
  <c r="H330" i="158"/>
  <c r="L330" i="158"/>
  <c r="M330" i="158"/>
  <c r="N330" i="158"/>
  <c r="P330" i="158"/>
  <c r="A325" i="158"/>
  <c r="A326" i="158"/>
  <c r="A327" i="158"/>
  <c r="A328" i="158"/>
  <c r="A329" i="158"/>
  <c r="A330" i="158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F49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F49" i="157"/>
  <c r="F40" i="157"/>
  <c r="C4" i="103"/>
  <c r="E4" i="103"/>
  <c r="I3" i="159"/>
  <c r="D3" i="159"/>
  <c r="J3" i="159"/>
  <c r="E3" i="159"/>
  <c r="F3" i="159"/>
  <c r="C3" i="159"/>
  <c r="I4" i="159"/>
  <c r="D4" i="159"/>
  <c r="J4" i="159"/>
  <c r="E4" i="159"/>
  <c r="F4" i="159"/>
  <c r="C4" i="159"/>
  <c r="I5" i="159"/>
  <c r="D5" i="159"/>
  <c r="J5" i="159"/>
  <c r="E5" i="159"/>
  <c r="F5" i="159"/>
  <c r="C5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M5" i="153"/>
  <c r="M4" i="153"/>
  <c r="M3" i="153"/>
  <c r="F42" i="157"/>
  <c r="G42" i="157"/>
  <c r="M5" i="157"/>
  <c r="M4" i="157"/>
  <c r="M9" i="153"/>
  <c r="M8" i="153"/>
  <c r="M7" i="153"/>
  <c r="M6" i="153"/>
  <c r="R7" i="157"/>
  <c r="R8" i="157"/>
  <c r="R9" i="157"/>
  <c r="H320" i="154"/>
  <c r="L320" i="154"/>
  <c r="M320" i="154"/>
  <c r="N320" i="154"/>
  <c r="R7" i="153"/>
  <c r="R8" i="153"/>
  <c r="R9" i="153"/>
  <c r="H321" i="154"/>
  <c r="L321" i="154"/>
  <c r="M321" i="154"/>
  <c r="N321" i="154"/>
  <c r="H322" i="154"/>
  <c r="L322" i="154"/>
  <c r="M322" i="154"/>
  <c r="N322" i="154"/>
  <c r="H323" i="154"/>
  <c r="L323" i="154"/>
  <c r="M323" i="154"/>
  <c r="N323" i="154"/>
  <c r="H324" i="154"/>
  <c r="L324" i="154"/>
  <c r="M324" i="154"/>
  <c r="N324" i="154"/>
  <c r="A320" i="154"/>
  <c r="A321" i="154"/>
  <c r="A322" i="154"/>
  <c r="A323" i="154"/>
  <c r="A324" i="154"/>
  <c r="H320" i="158"/>
  <c r="L320" i="158"/>
  <c r="M320" i="158"/>
  <c r="N320" i="158"/>
  <c r="H321" i="158"/>
  <c r="L321" i="158"/>
  <c r="M321" i="158"/>
  <c r="N321" i="158"/>
  <c r="H322" i="158"/>
  <c r="L322" i="158"/>
  <c r="M322" i="158"/>
  <c r="N322" i="158"/>
  <c r="H323" i="158"/>
  <c r="L323" i="158"/>
  <c r="M323" i="158"/>
  <c r="N323" i="158"/>
  <c r="H324" i="158"/>
  <c r="L324" i="158"/>
  <c r="M324" i="158"/>
  <c r="N324" i="158"/>
  <c r="A320" i="158"/>
  <c r="A321" i="158"/>
  <c r="A322" i="158"/>
  <c r="A323" i="158"/>
  <c r="A324" i="158"/>
  <c r="H315" i="154"/>
  <c r="L315" i="154"/>
  <c r="M315" i="154"/>
  <c r="N315" i="154"/>
  <c r="H316" i="154"/>
  <c r="L316" i="154"/>
  <c r="M316" i="154"/>
  <c r="N316" i="154"/>
  <c r="H317" i="154"/>
  <c r="L317" i="154"/>
  <c r="M317" i="154"/>
  <c r="N317" i="154"/>
  <c r="H318" i="154"/>
  <c r="L318" i="154"/>
  <c r="M318" i="154"/>
  <c r="N318" i="154"/>
  <c r="H319" i="154"/>
  <c r="L319" i="154"/>
  <c r="M319" i="154"/>
  <c r="N319" i="154"/>
  <c r="A315" i="154"/>
  <c r="A316" i="154"/>
  <c r="A317" i="154"/>
  <c r="A318" i="154"/>
  <c r="A319" i="154"/>
  <c r="H315" i="158"/>
  <c r="L315" i="158"/>
  <c r="M315" i="158"/>
  <c r="N315" i="158"/>
  <c r="H316" i="158"/>
  <c r="L316" i="158"/>
  <c r="M316" i="158"/>
  <c r="N316" i="158"/>
  <c r="H317" i="158"/>
  <c r="L317" i="158"/>
  <c r="M317" i="158"/>
  <c r="N317" i="158"/>
  <c r="H318" i="158"/>
  <c r="L318" i="158"/>
  <c r="M318" i="158"/>
  <c r="N318" i="158"/>
  <c r="H319" i="158"/>
  <c r="L319" i="158"/>
  <c r="M319" i="158"/>
  <c r="N319" i="158"/>
  <c r="A315" i="158"/>
  <c r="A316" i="158"/>
  <c r="A317" i="158"/>
  <c r="A318" i="158"/>
  <c r="A319" i="158"/>
  <c r="H310" i="154"/>
  <c r="L310" i="154"/>
  <c r="M310" i="154"/>
  <c r="N310" i="154"/>
  <c r="H311" i="154"/>
  <c r="L311" i="154"/>
  <c r="M311" i="154"/>
  <c r="N311" i="154"/>
  <c r="H312" i="154"/>
  <c r="L312" i="154"/>
  <c r="M312" i="154"/>
  <c r="N312" i="154"/>
  <c r="H313" i="154"/>
  <c r="L313" i="154"/>
  <c r="M313" i="154"/>
  <c r="N313" i="154"/>
  <c r="H314" i="154"/>
  <c r="L314" i="154"/>
  <c r="M314" i="154"/>
  <c r="N314" i="154"/>
  <c r="A310" i="154"/>
  <c r="A311" i="154"/>
  <c r="A312" i="154"/>
  <c r="A313" i="154"/>
  <c r="A314" i="154"/>
  <c r="H310" i="158"/>
  <c r="L310" i="158"/>
  <c r="M310" i="158"/>
  <c r="N310" i="158"/>
  <c r="H311" i="158"/>
  <c r="L311" i="158"/>
  <c r="M311" i="158"/>
  <c r="N311" i="158"/>
  <c r="H312" i="158"/>
  <c r="L312" i="158"/>
  <c r="M312" i="158"/>
  <c r="N312" i="158"/>
  <c r="H313" i="158"/>
  <c r="L313" i="158"/>
  <c r="M313" i="158"/>
  <c r="N313" i="158"/>
  <c r="H314" i="158"/>
  <c r="L314" i="158"/>
  <c r="M314" i="158"/>
  <c r="N314" i="158"/>
  <c r="A310" i="158"/>
  <c r="A311" i="158"/>
  <c r="A312" i="158"/>
  <c r="A313" i="158"/>
  <c r="A314" i="158"/>
  <c r="A309" i="154"/>
  <c r="H309" i="154"/>
  <c r="L309" i="154"/>
  <c r="M309" i="154"/>
  <c r="N309" i="154"/>
  <c r="A305" i="154"/>
  <c r="H305" i="154"/>
  <c r="L305" i="154"/>
  <c r="M305" i="154"/>
  <c r="N305" i="154"/>
  <c r="A306" i="154"/>
  <c r="H306" i="154"/>
  <c r="L306" i="154"/>
  <c r="M306" i="154"/>
  <c r="N306" i="154"/>
  <c r="A307" i="154"/>
  <c r="H307" i="154"/>
  <c r="L307" i="154"/>
  <c r="M307" i="154"/>
  <c r="N307" i="154"/>
  <c r="A308" i="154"/>
  <c r="H308" i="154"/>
  <c r="L308" i="154"/>
  <c r="M308" i="154"/>
  <c r="N308" i="154"/>
  <c r="A304" i="154"/>
  <c r="A305" i="158"/>
  <c r="H305" i="158"/>
  <c r="L305" i="158"/>
  <c r="M305" i="158"/>
  <c r="N305" i="158"/>
  <c r="A306" i="158"/>
  <c r="H306" i="158"/>
  <c r="L306" i="158"/>
  <c r="M306" i="158"/>
  <c r="N306" i="158"/>
  <c r="A307" i="158"/>
  <c r="H307" i="158"/>
  <c r="L307" i="158"/>
  <c r="M307" i="158"/>
  <c r="N307" i="158"/>
  <c r="A308" i="158"/>
  <c r="H308" i="158"/>
  <c r="L308" i="158"/>
  <c r="M308" i="158"/>
  <c r="N308" i="158"/>
  <c r="A309" i="158"/>
  <c r="H309" i="158"/>
  <c r="L309" i="158"/>
  <c r="M309" i="158"/>
  <c r="N309" i="158"/>
  <c r="A300" i="154"/>
  <c r="H300" i="154"/>
  <c r="L300" i="154"/>
  <c r="M300" i="154"/>
  <c r="N300" i="154"/>
  <c r="A301" i="154"/>
  <c r="H301" i="154"/>
  <c r="L301" i="154"/>
  <c r="M301" i="154"/>
  <c r="N301" i="154"/>
  <c r="A302" i="154"/>
  <c r="H302" i="154"/>
  <c r="L302" i="154"/>
  <c r="M302" i="154"/>
  <c r="N302" i="154"/>
  <c r="A303" i="154"/>
  <c r="H303" i="154"/>
  <c r="L303" i="154"/>
  <c r="M303" i="154"/>
  <c r="N303" i="154"/>
  <c r="H304" i="154"/>
  <c r="L304" i="154"/>
  <c r="M304" i="154"/>
  <c r="N304" i="154"/>
  <c r="A300" i="158"/>
  <c r="H300" i="158"/>
  <c r="L300" i="158"/>
  <c r="M300" i="158"/>
  <c r="N300" i="158"/>
  <c r="A301" i="158"/>
  <c r="H301" i="158"/>
  <c r="L301" i="158"/>
  <c r="M301" i="158"/>
  <c r="N301" i="158"/>
  <c r="A302" i="158"/>
  <c r="H302" i="158"/>
  <c r="L302" i="158"/>
  <c r="M302" i="158"/>
  <c r="N302" i="158"/>
  <c r="A303" i="158"/>
  <c r="H303" i="158"/>
  <c r="L303" i="158"/>
  <c r="M303" i="158"/>
  <c r="N303" i="158"/>
  <c r="A304" i="158"/>
  <c r="H304" i="158"/>
  <c r="L304" i="158"/>
  <c r="M304" i="158"/>
  <c r="N304" i="158"/>
  <c r="A295" i="154"/>
  <c r="H295" i="154"/>
  <c r="L295" i="154"/>
  <c r="M295" i="154"/>
  <c r="N295" i="154"/>
  <c r="A296" i="154"/>
  <c r="H296" i="154"/>
  <c r="L296" i="154"/>
  <c r="M296" i="154"/>
  <c r="N296" i="154"/>
  <c r="A297" i="154"/>
  <c r="H297" i="154"/>
  <c r="L297" i="154"/>
  <c r="M297" i="154"/>
  <c r="N297" i="154"/>
  <c r="A298" i="154"/>
  <c r="H298" i="154"/>
  <c r="L298" i="154"/>
  <c r="M298" i="154"/>
  <c r="N298" i="154"/>
  <c r="A299" i="154"/>
  <c r="H299" i="154"/>
  <c r="L299" i="154"/>
  <c r="M299" i="154"/>
  <c r="N299" i="154"/>
  <c r="A295" i="158"/>
  <c r="H295" i="158"/>
  <c r="L295" i="158"/>
  <c r="M295" i="158"/>
  <c r="N295" i="158"/>
  <c r="A296" i="158"/>
  <c r="H296" i="158"/>
  <c r="L296" i="158"/>
  <c r="M296" i="158"/>
  <c r="N296" i="158"/>
  <c r="A297" i="158"/>
  <c r="H297" i="158"/>
  <c r="L297" i="158"/>
  <c r="M297" i="158"/>
  <c r="N297" i="158"/>
  <c r="A298" i="158"/>
  <c r="H298" i="158"/>
  <c r="L298" i="158"/>
  <c r="M298" i="158"/>
  <c r="N298" i="158"/>
  <c r="A299" i="158"/>
  <c r="H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9" i="157"/>
  <c r="C30" i="157"/>
  <c r="C31" i="157"/>
  <c r="C32" i="157"/>
  <c r="R10" i="153"/>
  <c r="R10" i="157"/>
  <c r="H290" i="158"/>
  <c r="L290" i="158"/>
  <c r="M290" i="158"/>
  <c r="N290" i="158"/>
  <c r="H291" i="158"/>
  <c r="L291" i="158"/>
  <c r="M291" i="158"/>
  <c r="N291" i="158"/>
  <c r="H292" i="158"/>
  <c r="L292" i="158"/>
  <c r="M292" i="158"/>
  <c r="N292" i="158"/>
  <c r="H293" i="158"/>
  <c r="L293" i="158"/>
  <c r="M293" i="158"/>
  <c r="N293" i="158"/>
  <c r="H294" i="158"/>
  <c r="L294" i="158"/>
  <c r="M294" i="158"/>
  <c r="N294" i="158"/>
  <c r="A290" i="158"/>
  <c r="A291" i="158"/>
  <c r="A292" i="158"/>
  <c r="A293" i="158"/>
  <c r="A294" i="158"/>
  <c r="A290" i="154"/>
  <c r="H290" i="154"/>
  <c r="L290" i="154"/>
  <c r="M290" i="154"/>
  <c r="N290" i="154"/>
  <c r="A291" i="154"/>
  <c r="H291" i="154"/>
  <c r="L291" i="154"/>
  <c r="M291" i="154"/>
  <c r="N291" i="154"/>
  <c r="A292" i="154"/>
  <c r="H292" i="154"/>
  <c r="L292" i="154"/>
  <c r="M292" i="154"/>
  <c r="N292" i="154"/>
  <c r="A293" i="154"/>
  <c r="H293" i="154"/>
  <c r="L293" i="154"/>
  <c r="M293" i="154"/>
  <c r="N293" i="154"/>
  <c r="A294" i="154"/>
  <c r="H294" i="154"/>
  <c r="L294" i="154"/>
  <c r="M294" i="154"/>
  <c r="N294" i="154"/>
  <c r="H287" i="154"/>
  <c r="L287" i="154"/>
  <c r="M287" i="154"/>
  <c r="N287" i="154"/>
  <c r="H288" i="154"/>
  <c r="L288" i="154"/>
  <c r="M288" i="154"/>
  <c r="N288" i="154"/>
  <c r="H289" i="154"/>
  <c r="L289" i="154"/>
  <c r="M289" i="154"/>
  <c r="N289" i="154"/>
  <c r="A287" i="154"/>
  <c r="A288" i="154"/>
  <c r="A289" i="154"/>
  <c r="A285" i="158"/>
  <c r="H285" i="158"/>
  <c r="L285" i="158"/>
  <c r="M285" i="158"/>
  <c r="N285" i="158"/>
  <c r="A286" i="158"/>
  <c r="H286" i="158"/>
  <c r="L286" i="158"/>
  <c r="M286" i="158"/>
  <c r="N286" i="158"/>
  <c r="A287" i="158"/>
  <c r="H287" i="158"/>
  <c r="L287" i="158"/>
  <c r="M287" i="158"/>
  <c r="N287" i="158"/>
  <c r="A288" i="158"/>
  <c r="H288" i="158"/>
  <c r="L288" i="158"/>
  <c r="M288" i="158"/>
  <c r="N288" i="158"/>
  <c r="A289" i="158"/>
  <c r="H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H284" i="158"/>
  <c r="A284" i="158"/>
  <c r="N283" i="158"/>
  <c r="M283" i="158"/>
  <c r="L283" i="158"/>
  <c r="H283" i="158"/>
  <c r="A283" i="158"/>
  <c r="N282" i="158"/>
  <c r="M282" i="158"/>
  <c r="L282" i="158"/>
  <c r="H282" i="158"/>
  <c r="A282" i="158"/>
  <c r="N281" i="158"/>
  <c r="M281" i="158"/>
  <c r="L281" i="158"/>
  <c r="H281" i="158"/>
  <c r="A281" i="158"/>
  <c r="N280" i="158"/>
  <c r="M280" i="158"/>
  <c r="L280" i="158"/>
  <c r="H280" i="158"/>
  <c r="A280" i="158"/>
  <c r="N279" i="158"/>
  <c r="M279" i="158"/>
  <c r="L279" i="158"/>
  <c r="H279" i="158"/>
  <c r="A279" i="158"/>
  <c r="N278" i="158"/>
  <c r="M278" i="158"/>
  <c r="L278" i="158"/>
  <c r="H278" i="158"/>
  <c r="A278" i="158"/>
  <c r="N277" i="158"/>
  <c r="M277" i="158"/>
  <c r="L277" i="158"/>
  <c r="H277" i="158"/>
  <c r="A277" i="158"/>
  <c r="N276" i="158"/>
  <c r="M276" i="158"/>
  <c r="L276" i="158"/>
  <c r="H276" i="158"/>
  <c r="A276" i="158"/>
  <c r="N275" i="158"/>
  <c r="M275" i="158"/>
  <c r="L275" i="158"/>
  <c r="H275" i="158"/>
  <c r="A275" i="158"/>
  <c r="N274" i="158"/>
  <c r="M274" i="158"/>
  <c r="L274" i="158"/>
  <c r="H274" i="158"/>
  <c r="A274" i="158"/>
  <c r="N273" i="158"/>
  <c r="M273" i="158"/>
  <c r="L273" i="158"/>
  <c r="H273" i="158"/>
  <c r="A273" i="158"/>
  <c r="N272" i="158"/>
  <c r="M272" i="158"/>
  <c r="L272" i="158"/>
  <c r="H272" i="158"/>
  <c r="A272" i="158"/>
  <c r="N271" i="158"/>
  <c r="M271" i="158"/>
  <c r="L271" i="158"/>
  <c r="H271" i="158"/>
  <c r="A271" i="158"/>
  <c r="N270" i="158"/>
  <c r="M270" i="158"/>
  <c r="L270" i="158"/>
  <c r="H270" i="158"/>
  <c r="A270" i="158"/>
  <c r="N269" i="158"/>
  <c r="M269" i="158"/>
  <c r="L269" i="158"/>
  <c r="H269" i="158"/>
  <c r="A269" i="158"/>
  <c r="N268" i="158"/>
  <c r="M268" i="158"/>
  <c r="L268" i="158"/>
  <c r="H268" i="158"/>
  <c r="A268" i="158"/>
  <c r="N267" i="158"/>
  <c r="M267" i="158"/>
  <c r="L267" i="158"/>
  <c r="H267" i="158"/>
  <c r="A267" i="158"/>
  <c r="N266" i="158"/>
  <c r="M266" i="158"/>
  <c r="L266" i="158"/>
  <c r="H266" i="158"/>
  <c r="A266" i="158"/>
  <c r="N265" i="158"/>
  <c r="M265" i="158"/>
  <c r="L265" i="158"/>
  <c r="H265" i="158"/>
  <c r="A265" i="158"/>
  <c r="N264" i="158"/>
  <c r="M264" i="158"/>
  <c r="L264" i="158"/>
  <c r="H264" i="158"/>
  <c r="A264" i="158"/>
  <c r="N263" i="158"/>
  <c r="M263" i="158"/>
  <c r="L263" i="158"/>
  <c r="H263" i="158"/>
  <c r="A263" i="158"/>
  <c r="N262" i="158"/>
  <c r="M262" i="158"/>
  <c r="L262" i="158"/>
  <c r="H262" i="158"/>
  <c r="A262" i="158"/>
  <c r="N261" i="158"/>
  <c r="M261" i="158"/>
  <c r="L261" i="158"/>
  <c r="H261" i="158"/>
  <c r="A261" i="158"/>
  <c r="N260" i="158"/>
  <c r="M260" i="158"/>
  <c r="L260" i="158"/>
  <c r="H260" i="158"/>
  <c r="A260" i="158"/>
  <c r="N259" i="158"/>
  <c r="M259" i="158"/>
  <c r="L259" i="158"/>
  <c r="H259" i="158"/>
  <c r="A259" i="158"/>
  <c r="N258" i="158"/>
  <c r="M258" i="158"/>
  <c r="L258" i="158"/>
  <c r="H258" i="158"/>
  <c r="A258" i="158"/>
  <c r="N257" i="158"/>
  <c r="M257" i="158"/>
  <c r="L257" i="158"/>
  <c r="H257" i="158"/>
  <c r="A257" i="158"/>
  <c r="N256" i="158"/>
  <c r="M256" i="158"/>
  <c r="L256" i="158"/>
  <c r="H256" i="158"/>
  <c r="A256" i="158"/>
  <c r="N255" i="158"/>
  <c r="M255" i="158"/>
  <c r="L255" i="158"/>
  <c r="H255" i="158"/>
  <c r="A255" i="158"/>
  <c r="N254" i="158"/>
  <c r="M254" i="158"/>
  <c r="L254" i="158"/>
  <c r="H254" i="158"/>
  <c r="A254" i="158"/>
  <c r="N253" i="158"/>
  <c r="M253" i="158"/>
  <c r="L253" i="158"/>
  <c r="H253" i="158"/>
  <c r="A253" i="158"/>
  <c r="N252" i="158"/>
  <c r="M252" i="158"/>
  <c r="L252" i="158"/>
  <c r="H252" i="158"/>
  <c r="A252" i="158"/>
  <c r="N251" i="158"/>
  <c r="M251" i="158"/>
  <c r="L251" i="158"/>
  <c r="H251" i="158"/>
  <c r="A251" i="158"/>
  <c r="N250" i="158"/>
  <c r="M250" i="158"/>
  <c r="L250" i="158"/>
  <c r="H250" i="158"/>
  <c r="A250" i="158"/>
  <c r="N249" i="158"/>
  <c r="M249" i="158"/>
  <c r="L249" i="158"/>
  <c r="H249" i="158"/>
  <c r="A249" i="158"/>
  <c r="N248" i="158"/>
  <c r="M248" i="158"/>
  <c r="L248" i="158"/>
  <c r="H248" i="158"/>
  <c r="A248" i="158"/>
  <c r="N247" i="158"/>
  <c r="M247" i="158"/>
  <c r="L247" i="158"/>
  <c r="H247" i="158"/>
  <c r="A247" i="158"/>
  <c r="N246" i="158"/>
  <c r="M246" i="158"/>
  <c r="L246" i="158"/>
  <c r="H246" i="158"/>
  <c r="A246" i="158"/>
  <c r="N245" i="158"/>
  <c r="M245" i="158"/>
  <c r="L245" i="158"/>
  <c r="H245" i="158"/>
  <c r="A245" i="158"/>
  <c r="N244" i="158"/>
  <c r="M244" i="158"/>
  <c r="L244" i="158"/>
  <c r="H244" i="158"/>
  <c r="A244" i="158"/>
  <c r="N243" i="158"/>
  <c r="M243" i="158"/>
  <c r="L243" i="158"/>
  <c r="H243" i="158"/>
  <c r="A243" i="158"/>
  <c r="N242" i="158"/>
  <c r="M242" i="158"/>
  <c r="L242" i="158"/>
  <c r="H242" i="158"/>
  <c r="A242" i="158"/>
  <c r="N241" i="158"/>
  <c r="M241" i="158"/>
  <c r="L241" i="158"/>
  <c r="H241" i="158"/>
  <c r="A241" i="158"/>
  <c r="N240" i="158"/>
  <c r="M240" i="158"/>
  <c r="L240" i="158"/>
  <c r="H240" i="158"/>
  <c r="A240" i="158"/>
  <c r="N239" i="158"/>
  <c r="M239" i="158"/>
  <c r="L239" i="158"/>
  <c r="H239" i="158"/>
  <c r="A239" i="158"/>
  <c r="N238" i="158"/>
  <c r="M238" i="158"/>
  <c r="L238" i="158"/>
  <c r="H238" i="158"/>
  <c r="A238" i="158"/>
  <c r="N237" i="158"/>
  <c r="M237" i="158"/>
  <c r="L237" i="158"/>
  <c r="H237" i="158"/>
  <c r="A237" i="158"/>
  <c r="N236" i="158"/>
  <c r="M236" i="158"/>
  <c r="L236" i="158"/>
  <c r="H236" i="158"/>
  <c r="A236" i="158"/>
  <c r="N235" i="158"/>
  <c r="M235" i="158"/>
  <c r="L235" i="158"/>
  <c r="H235" i="158"/>
  <c r="A235" i="158"/>
  <c r="N234" i="158"/>
  <c r="M234" i="158"/>
  <c r="L234" i="158"/>
  <c r="H234" i="158"/>
  <c r="A234" i="158"/>
  <c r="N233" i="158"/>
  <c r="M233" i="158"/>
  <c r="L233" i="158"/>
  <c r="H233" i="158"/>
  <c r="A233" i="158"/>
  <c r="N232" i="158"/>
  <c r="M232" i="158"/>
  <c r="L232" i="158"/>
  <c r="H232" i="158"/>
  <c r="A232" i="158"/>
  <c r="N231" i="158"/>
  <c r="M231" i="158"/>
  <c r="L231" i="158"/>
  <c r="H231" i="158"/>
  <c r="A231" i="158"/>
  <c r="N230" i="158"/>
  <c r="M230" i="158"/>
  <c r="L230" i="158"/>
  <c r="H230" i="158"/>
  <c r="A230" i="158"/>
  <c r="N229" i="158"/>
  <c r="M229" i="158"/>
  <c r="L229" i="158"/>
  <c r="H229" i="158"/>
  <c r="A229" i="158"/>
  <c r="N228" i="158"/>
  <c r="M228" i="158"/>
  <c r="L228" i="158"/>
  <c r="H228" i="158"/>
  <c r="A228" i="158"/>
  <c r="N227" i="158"/>
  <c r="M227" i="158"/>
  <c r="L227" i="158"/>
  <c r="H227" i="158"/>
  <c r="A227" i="158"/>
  <c r="N226" i="158"/>
  <c r="M226" i="158"/>
  <c r="L226" i="158"/>
  <c r="H226" i="158"/>
  <c r="A226" i="158"/>
  <c r="N225" i="158"/>
  <c r="M225" i="158"/>
  <c r="L225" i="158"/>
  <c r="H225" i="158"/>
  <c r="A225" i="158"/>
  <c r="N224" i="158"/>
  <c r="M224" i="158"/>
  <c r="L224" i="158"/>
  <c r="H224" i="158"/>
  <c r="A224" i="158"/>
  <c r="N223" i="158"/>
  <c r="M223" i="158"/>
  <c r="L223" i="158"/>
  <c r="H223" i="158"/>
  <c r="A223" i="158"/>
  <c r="N222" i="158"/>
  <c r="M222" i="158"/>
  <c r="L222" i="158"/>
  <c r="H222" i="158"/>
  <c r="A222" i="158"/>
  <c r="N221" i="158"/>
  <c r="M221" i="158"/>
  <c r="L221" i="158"/>
  <c r="H221" i="158"/>
  <c r="A221" i="158"/>
  <c r="N220" i="158"/>
  <c r="M220" i="158"/>
  <c r="L220" i="158"/>
  <c r="H220" i="158"/>
  <c r="A220" i="158"/>
  <c r="N219" i="158"/>
  <c r="M219" i="158"/>
  <c r="L219" i="158"/>
  <c r="H219" i="158"/>
  <c r="A219" i="158"/>
  <c r="N218" i="158"/>
  <c r="M218" i="158"/>
  <c r="L218" i="158"/>
  <c r="H218" i="158"/>
  <c r="A218" i="158"/>
  <c r="N217" i="158"/>
  <c r="M217" i="158"/>
  <c r="L217" i="158"/>
  <c r="H217" i="158"/>
  <c r="A217" i="158"/>
  <c r="N216" i="158"/>
  <c r="M216" i="158"/>
  <c r="L216" i="158"/>
  <c r="H216" i="158"/>
  <c r="A216" i="158"/>
  <c r="N215" i="158"/>
  <c r="M215" i="158"/>
  <c r="L215" i="158"/>
  <c r="H215" i="158"/>
  <c r="A215" i="158"/>
  <c r="N214" i="158"/>
  <c r="M214" i="158"/>
  <c r="L214" i="158"/>
  <c r="H214" i="158"/>
  <c r="A214" i="158"/>
  <c r="N213" i="158"/>
  <c r="M213" i="158"/>
  <c r="L213" i="158"/>
  <c r="H213" i="158"/>
  <c r="A213" i="158"/>
  <c r="N212" i="158"/>
  <c r="M212" i="158"/>
  <c r="L212" i="158"/>
  <c r="H212" i="158"/>
  <c r="A212" i="158"/>
  <c r="N211" i="158"/>
  <c r="M211" i="158"/>
  <c r="L211" i="158"/>
  <c r="H211" i="158"/>
  <c r="A211" i="158"/>
  <c r="N210" i="158"/>
  <c r="M210" i="158"/>
  <c r="L210" i="158"/>
  <c r="H210" i="158"/>
  <c r="A210" i="158"/>
  <c r="N209" i="158"/>
  <c r="M209" i="158"/>
  <c r="L209" i="158"/>
  <c r="H209" i="158"/>
  <c r="A209" i="158"/>
  <c r="N208" i="158"/>
  <c r="M208" i="158"/>
  <c r="L208" i="158"/>
  <c r="H208" i="158"/>
  <c r="A208" i="158"/>
  <c r="N207" i="158"/>
  <c r="M207" i="158"/>
  <c r="L207" i="158"/>
  <c r="H207" i="158"/>
  <c r="A207" i="158"/>
  <c r="N206" i="158"/>
  <c r="M206" i="158"/>
  <c r="L206" i="158"/>
  <c r="H206" i="158"/>
  <c r="A206" i="158"/>
  <c r="N205" i="158"/>
  <c r="M205" i="158"/>
  <c r="L205" i="158"/>
  <c r="H205" i="158"/>
  <c r="A205" i="158"/>
  <c r="N204" i="158"/>
  <c r="M204" i="158"/>
  <c r="L204" i="158"/>
  <c r="H204" i="158"/>
  <c r="A204" i="158"/>
  <c r="N203" i="158"/>
  <c r="M203" i="158"/>
  <c r="L203" i="158"/>
  <c r="H203" i="158"/>
  <c r="A203" i="158"/>
  <c r="N202" i="158"/>
  <c r="M202" i="158"/>
  <c r="L202" i="158"/>
  <c r="H202" i="158"/>
  <c r="A202" i="158"/>
  <c r="N201" i="158"/>
  <c r="M201" i="158"/>
  <c r="L201" i="158"/>
  <c r="H201" i="158"/>
  <c r="A201" i="158"/>
  <c r="N200" i="158"/>
  <c r="M200" i="158"/>
  <c r="L200" i="158"/>
  <c r="H200" i="158"/>
  <c r="A200" i="158"/>
  <c r="N199" i="158"/>
  <c r="M199" i="158"/>
  <c r="L199" i="158"/>
  <c r="H199" i="158"/>
  <c r="A199" i="158"/>
  <c r="N198" i="158"/>
  <c r="M198" i="158"/>
  <c r="L198" i="158"/>
  <c r="H198" i="158"/>
  <c r="A198" i="158"/>
  <c r="N197" i="158"/>
  <c r="M197" i="158"/>
  <c r="L197" i="158"/>
  <c r="H197" i="158"/>
  <c r="A197" i="158"/>
  <c r="N196" i="158"/>
  <c r="M196" i="158"/>
  <c r="L196" i="158"/>
  <c r="H196" i="158"/>
  <c r="A196" i="158"/>
  <c r="N195" i="158"/>
  <c r="M195" i="158"/>
  <c r="L195" i="158"/>
  <c r="H195" i="158"/>
  <c r="A195" i="158"/>
  <c r="N194" i="158"/>
  <c r="M194" i="158"/>
  <c r="L194" i="158"/>
  <c r="H194" i="158"/>
  <c r="A194" i="158"/>
  <c r="N193" i="158"/>
  <c r="M193" i="158"/>
  <c r="L193" i="158"/>
  <c r="H193" i="158"/>
  <c r="A193" i="158"/>
  <c r="N192" i="158"/>
  <c r="M192" i="158"/>
  <c r="L192" i="158"/>
  <c r="H192" i="158"/>
  <c r="A192" i="158"/>
  <c r="N191" i="158"/>
  <c r="M191" i="158"/>
  <c r="L191" i="158"/>
  <c r="H191" i="158"/>
  <c r="A191" i="158"/>
  <c r="N190" i="158"/>
  <c r="M190" i="158"/>
  <c r="L190" i="158"/>
  <c r="H190" i="158"/>
  <c r="A190" i="158"/>
  <c r="N189" i="158"/>
  <c r="M189" i="158"/>
  <c r="L189" i="158"/>
  <c r="H189" i="158"/>
  <c r="A189" i="158"/>
  <c r="N188" i="158"/>
  <c r="M188" i="158"/>
  <c r="L188" i="158"/>
  <c r="H188" i="158"/>
  <c r="A188" i="158"/>
  <c r="N187" i="158"/>
  <c r="M187" i="158"/>
  <c r="L187" i="158"/>
  <c r="H187" i="158"/>
  <c r="A187" i="158"/>
  <c r="N186" i="158"/>
  <c r="M186" i="158"/>
  <c r="L186" i="158"/>
  <c r="H186" i="158"/>
  <c r="A186" i="158"/>
  <c r="N185" i="158"/>
  <c r="M185" i="158"/>
  <c r="L185" i="158"/>
  <c r="H185" i="158"/>
  <c r="A185" i="158"/>
  <c r="N184" i="158"/>
  <c r="M184" i="158"/>
  <c r="L184" i="158"/>
  <c r="H184" i="158"/>
  <c r="A184" i="158"/>
  <c r="N183" i="158"/>
  <c r="M183" i="158"/>
  <c r="L183" i="158"/>
  <c r="H183" i="158"/>
  <c r="A183" i="158"/>
  <c r="N182" i="158"/>
  <c r="M182" i="158"/>
  <c r="L182" i="158"/>
  <c r="H182" i="158"/>
  <c r="A182" i="158"/>
  <c r="N181" i="158"/>
  <c r="M181" i="158"/>
  <c r="L181" i="158"/>
  <c r="H181" i="158"/>
  <c r="A181" i="158"/>
  <c r="N180" i="158"/>
  <c r="M180" i="158"/>
  <c r="L180" i="158"/>
  <c r="H180" i="158"/>
  <c r="A180" i="158"/>
  <c r="N179" i="158"/>
  <c r="M179" i="158"/>
  <c r="L179" i="158"/>
  <c r="H179" i="158"/>
  <c r="A179" i="158"/>
  <c r="N178" i="158"/>
  <c r="M178" i="158"/>
  <c r="L178" i="158"/>
  <c r="H178" i="158"/>
  <c r="A178" i="158"/>
  <c r="N177" i="158"/>
  <c r="M177" i="158"/>
  <c r="L177" i="158"/>
  <c r="H177" i="158"/>
  <c r="A177" i="158"/>
  <c r="N176" i="158"/>
  <c r="M176" i="158"/>
  <c r="L176" i="158"/>
  <c r="H176" i="158"/>
  <c r="A176" i="158"/>
  <c r="N175" i="158"/>
  <c r="M175" i="158"/>
  <c r="L175" i="158"/>
  <c r="H175" i="158"/>
  <c r="A175" i="158"/>
  <c r="N174" i="158"/>
  <c r="M174" i="158"/>
  <c r="L174" i="158"/>
  <c r="H174" i="158"/>
  <c r="A174" i="158"/>
  <c r="N173" i="158"/>
  <c r="M173" i="158"/>
  <c r="L173" i="158"/>
  <c r="H173" i="158"/>
  <c r="A173" i="158"/>
  <c r="N172" i="158"/>
  <c r="M172" i="158"/>
  <c r="L172" i="158"/>
  <c r="H172" i="158"/>
  <c r="A172" i="158"/>
  <c r="N171" i="158"/>
  <c r="M171" i="158"/>
  <c r="L171" i="158"/>
  <c r="H171" i="158"/>
  <c r="A171" i="158"/>
  <c r="N170" i="158"/>
  <c r="M170" i="158"/>
  <c r="L170" i="158"/>
  <c r="H170" i="158"/>
  <c r="A170" i="158"/>
  <c r="N169" i="158"/>
  <c r="M169" i="158"/>
  <c r="L169" i="158"/>
  <c r="H169" i="158"/>
  <c r="A169" i="158"/>
  <c r="N168" i="158"/>
  <c r="M168" i="158"/>
  <c r="L168" i="158"/>
  <c r="H168" i="158"/>
  <c r="A168" i="158"/>
  <c r="N167" i="158"/>
  <c r="M167" i="158"/>
  <c r="L167" i="158"/>
  <c r="H167" i="158"/>
  <c r="A167" i="158"/>
  <c r="N166" i="158"/>
  <c r="M166" i="158"/>
  <c r="L166" i="158"/>
  <c r="H166" i="158"/>
  <c r="A166" i="158"/>
  <c r="N165" i="158"/>
  <c r="M165" i="158"/>
  <c r="L165" i="158"/>
  <c r="H165" i="158"/>
  <c r="A165" i="158"/>
  <c r="N164" i="158"/>
  <c r="M164" i="158"/>
  <c r="L164" i="158"/>
  <c r="H164" i="158"/>
  <c r="A164" i="158"/>
  <c r="N163" i="158"/>
  <c r="M163" i="158"/>
  <c r="L163" i="158"/>
  <c r="H163" i="158"/>
  <c r="A163" i="158"/>
  <c r="N162" i="158"/>
  <c r="M162" i="158"/>
  <c r="L162" i="158"/>
  <c r="H162" i="158"/>
  <c r="A162" i="158"/>
  <c r="N161" i="158"/>
  <c r="M161" i="158"/>
  <c r="L161" i="158"/>
  <c r="H161" i="158"/>
  <c r="A161" i="158"/>
  <c r="N160" i="158"/>
  <c r="M160" i="158"/>
  <c r="L160" i="158"/>
  <c r="H160" i="158"/>
  <c r="A160" i="158"/>
  <c r="N159" i="158"/>
  <c r="M159" i="158"/>
  <c r="L159" i="158"/>
  <c r="H159" i="158"/>
  <c r="A159" i="158"/>
  <c r="N158" i="158"/>
  <c r="M158" i="158"/>
  <c r="L158" i="158"/>
  <c r="H158" i="158"/>
  <c r="A158" i="158"/>
  <c r="N157" i="158"/>
  <c r="M157" i="158"/>
  <c r="L157" i="158"/>
  <c r="H157" i="158"/>
  <c r="A157" i="158"/>
  <c r="N156" i="158"/>
  <c r="M156" i="158"/>
  <c r="L156" i="158"/>
  <c r="H156" i="158"/>
  <c r="A156" i="158"/>
  <c r="N155" i="158"/>
  <c r="M155" i="158"/>
  <c r="L155" i="158"/>
  <c r="H155" i="158"/>
  <c r="A155" i="158"/>
  <c r="N154" i="158"/>
  <c r="M154" i="158"/>
  <c r="L154" i="158"/>
  <c r="H154" i="158"/>
  <c r="A154" i="158"/>
  <c r="N153" i="158"/>
  <c r="M153" i="158"/>
  <c r="L153" i="158"/>
  <c r="H153" i="158"/>
  <c r="A153" i="158"/>
  <c r="N152" i="158"/>
  <c r="M152" i="158"/>
  <c r="L152" i="158"/>
  <c r="H152" i="158"/>
  <c r="A152" i="158"/>
  <c r="N151" i="158"/>
  <c r="M151" i="158"/>
  <c r="L151" i="158"/>
  <c r="H151" i="158"/>
  <c r="A151" i="158"/>
  <c r="N150" i="158"/>
  <c r="M150" i="158"/>
  <c r="L150" i="158"/>
  <c r="H150" i="158"/>
  <c r="A150" i="158"/>
  <c r="N149" i="158"/>
  <c r="M149" i="158"/>
  <c r="L149" i="158"/>
  <c r="H149" i="158"/>
  <c r="A149" i="158"/>
  <c r="N148" i="158"/>
  <c r="M148" i="158"/>
  <c r="L148" i="158"/>
  <c r="H148" i="158"/>
  <c r="A148" i="158"/>
  <c r="N147" i="158"/>
  <c r="M147" i="158"/>
  <c r="L147" i="158"/>
  <c r="H147" i="158"/>
  <c r="A147" i="158"/>
  <c r="N146" i="158"/>
  <c r="M146" i="158"/>
  <c r="L146" i="158"/>
  <c r="H146" i="158"/>
  <c r="A146" i="158"/>
  <c r="N145" i="158"/>
  <c r="M145" i="158"/>
  <c r="L145" i="158"/>
  <c r="H145" i="158"/>
  <c r="A145" i="158"/>
  <c r="N144" i="158"/>
  <c r="M144" i="158"/>
  <c r="L144" i="158"/>
  <c r="H144" i="158"/>
  <c r="A144" i="158"/>
  <c r="N143" i="158"/>
  <c r="M143" i="158"/>
  <c r="L143" i="158"/>
  <c r="H143" i="158"/>
  <c r="A143" i="158"/>
  <c r="N142" i="158"/>
  <c r="M142" i="158"/>
  <c r="L142" i="158"/>
  <c r="H142" i="158"/>
  <c r="A142" i="158"/>
  <c r="N141" i="158"/>
  <c r="M141" i="158"/>
  <c r="L141" i="158"/>
  <c r="H141" i="158"/>
  <c r="A141" i="158"/>
  <c r="N140" i="158"/>
  <c r="M140" i="158"/>
  <c r="L140" i="158"/>
  <c r="H140" i="158"/>
  <c r="A140" i="158"/>
  <c r="N139" i="158"/>
  <c r="M139" i="158"/>
  <c r="L139" i="158"/>
  <c r="H139" i="158"/>
  <c r="A139" i="158"/>
  <c r="N138" i="158"/>
  <c r="M138" i="158"/>
  <c r="L138" i="158"/>
  <c r="H138" i="158"/>
  <c r="A138" i="158"/>
  <c r="N137" i="158"/>
  <c r="M137" i="158"/>
  <c r="L137" i="158"/>
  <c r="H137" i="158"/>
  <c r="A137" i="158"/>
  <c r="N136" i="158"/>
  <c r="M136" i="158"/>
  <c r="L136" i="158"/>
  <c r="H136" i="158"/>
  <c r="A136" i="158"/>
  <c r="N135" i="158"/>
  <c r="M135" i="158"/>
  <c r="L135" i="158"/>
  <c r="H135" i="158"/>
  <c r="A135" i="158"/>
  <c r="N134" i="158"/>
  <c r="M134" i="158"/>
  <c r="L134" i="158"/>
  <c r="H134" i="158"/>
  <c r="A134" i="158"/>
  <c r="N133" i="158"/>
  <c r="M133" i="158"/>
  <c r="L133" i="158"/>
  <c r="H133" i="158"/>
  <c r="A133" i="158"/>
  <c r="N132" i="158"/>
  <c r="M132" i="158"/>
  <c r="L132" i="158"/>
  <c r="H132" i="158"/>
  <c r="A132" i="158"/>
  <c r="N131" i="158"/>
  <c r="M131" i="158"/>
  <c r="L131" i="158"/>
  <c r="H131" i="158"/>
  <c r="A131" i="158"/>
  <c r="N130" i="158"/>
  <c r="M130" i="158"/>
  <c r="L130" i="158"/>
  <c r="H130" i="158"/>
  <c r="A130" i="158"/>
  <c r="N129" i="158"/>
  <c r="M129" i="158"/>
  <c r="L129" i="158"/>
  <c r="H129" i="158"/>
  <c r="A129" i="158"/>
  <c r="N128" i="158"/>
  <c r="M128" i="158"/>
  <c r="L128" i="158"/>
  <c r="H128" i="158"/>
  <c r="A128" i="158"/>
  <c r="N127" i="158"/>
  <c r="M127" i="158"/>
  <c r="L127" i="158"/>
  <c r="H127" i="158"/>
  <c r="A127" i="158"/>
  <c r="N126" i="158"/>
  <c r="M126" i="158"/>
  <c r="L126" i="158"/>
  <c r="H126" i="158"/>
  <c r="A126" i="158"/>
  <c r="N125" i="158"/>
  <c r="M125" i="158"/>
  <c r="L125" i="158"/>
  <c r="H125" i="158"/>
  <c r="A125" i="158"/>
  <c r="N124" i="158"/>
  <c r="M124" i="158"/>
  <c r="L124" i="158"/>
  <c r="H124" i="158"/>
  <c r="A124" i="158"/>
  <c r="N123" i="158"/>
  <c r="M123" i="158"/>
  <c r="L123" i="158"/>
  <c r="H123" i="158"/>
  <c r="A123" i="158"/>
  <c r="N122" i="158"/>
  <c r="M122" i="158"/>
  <c r="L122" i="158"/>
  <c r="H122" i="158"/>
  <c r="A122" i="158"/>
  <c r="N121" i="158"/>
  <c r="M121" i="158"/>
  <c r="L121" i="158"/>
  <c r="H121" i="158"/>
  <c r="A121" i="158"/>
  <c r="N120" i="158"/>
  <c r="M120" i="158"/>
  <c r="L120" i="158"/>
  <c r="H120" i="158"/>
  <c r="A120" i="158"/>
  <c r="N119" i="158"/>
  <c r="M119" i="158"/>
  <c r="L119" i="158"/>
  <c r="H119" i="158"/>
  <c r="A119" i="158"/>
  <c r="N118" i="158"/>
  <c r="M118" i="158"/>
  <c r="L118" i="158"/>
  <c r="H118" i="158"/>
  <c r="A118" i="158"/>
  <c r="N117" i="158"/>
  <c r="M117" i="158"/>
  <c r="L117" i="158"/>
  <c r="H117" i="158"/>
  <c r="A117" i="158"/>
  <c r="N116" i="158"/>
  <c r="M116" i="158"/>
  <c r="L116" i="158"/>
  <c r="H116" i="158"/>
  <c r="A116" i="158"/>
  <c r="N115" i="158"/>
  <c r="M115" i="158"/>
  <c r="L115" i="158"/>
  <c r="H115" i="158"/>
  <c r="A115" i="158"/>
  <c r="N114" i="158"/>
  <c r="M114" i="158"/>
  <c r="L114" i="158"/>
  <c r="H114" i="158"/>
  <c r="A114" i="158"/>
  <c r="N113" i="158"/>
  <c r="M113" i="158"/>
  <c r="L113" i="158"/>
  <c r="H113" i="158"/>
  <c r="A113" i="158"/>
  <c r="N112" i="158"/>
  <c r="M112" i="158"/>
  <c r="L112" i="158"/>
  <c r="H112" i="158"/>
  <c r="A112" i="158"/>
  <c r="N111" i="158"/>
  <c r="M111" i="158"/>
  <c r="L111" i="158"/>
  <c r="H111" i="158"/>
  <c r="A111" i="158"/>
  <c r="N110" i="158"/>
  <c r="M110" i="158"/>
  <c r="L110" i="158"/>
  <c r="H110" i="158"/>
  <c r="A110" i="158"/>
  <c r="N109" i="158"/>
  <c r="M109" i="158"/>
  <c r="L109" i="158"/>
  <c r="H109" i="158"/>
  <c r="A109" i="158"/>
  <c r="N108" i="158"/>
  <c r="M108" i="158"/>
  <c r="L108" i="158"/>
  <c r="H108" i="158"/>
  <c r="A108" i="158"/>
  <c r="N107" i="158"/>
  <c r="M107" i="158"/>
  <c r="L107" i="158"/>
  <c r="H107" i="158"/>
  <c r="A107" i="158"/>
  <c r="N106" i="158"/>
  <c r="M106" i="158"/>
  <c r="L106" i="158"/>
  <c r="H106" i="158"/>
  <c r="A106" i="158"/>
  <c r="N105" i="158"/>
  <c r="M105" i="158"/>
  <c r="L105" i="158"/>
  <c r="H105" i="158"/>
  <c r="A105" i="158"/>
  <c r="N104" i="158"/>
  <c r="M104" i="158"/>
  <c r="L104" i="158"/>
  <c r="H104" i="158"/>
  <c r="A104" i="158"/>
  <c r="N103" i="158"/>
  <c r="M103" i="158"/>
  <c r="L103" i="158"/>
  <c r="H103" i="158"/>
  <c r="A103" i="158"/>
  <c r="N102" i="158"/>
  <c r="M102" i="158"/>
  <c r="L102" i="158"/>
  <c r="H102" i="158"/>
  <c r="A102" i="158"/>
  <c r="N101" i="158"/>
  <c r="M101" i="158"/>
  <c r="L101" i="158"/>
  <c r="H101" i="158"/>
  <c r="A101" i="158"/>
  <c r="N100" i="158"/>
  <c r="M100" i="158"/>
  <c r="L100" i="158"/>
  <c r="H100" i="158"/>
  <c r="A100" i="158"/>
  <c r="N99" i="158"/>
  <c r="M99" i="158"/>
  <c r="L99" i="158"/>
  <c r="H99" i="158"/>
  <c r="A99" i="158"/>
  <c r="N98" i="158"/>
  <c r="M98" i="158"/>
  <c r="L98" i="158"/>
  <c r="H98" i="158"/>
  <c r="A98" i="158"/>
  <c r="N97" i="158"/>
  <c r="M97" i="158"/>
  <c r="L97" i="158"/>
  <c r="H97" i="158"/>
  <c r="A97" i="158"/>
  <c r="N96" i="158"/>
  <c r="M96" i="158"/>
  <c r="L96" i="158"/>
  <c r="H96" i="158"/>
  <c r="A96" i="158"/>
  <c r="N95" i="158"/>
  <c r="M95" i="158"/>
  <c r="L95" i="158"/>
  <c r="H95" i="158"/>
  <c r="A95" i="158"/>
  <c r="N94" i="158"/>
  <c r="M94" i="158"/>
  <c r="L94" i="158"/>
  <c r="H94" i="158"/>
  <c r="A94" i="158"/>
  <c r="N93" i="158"/>
  <c r="M93" i="158"/>
  <c r="L93" i="158"/>
  <c r="H93" i="158"/>
  <c r="A93" i="158"/>
  <c r="N92" i="158"/>
  <c r="M92" i="158"/>
  <c r="L92" i="158"/>
  <c r="H92" i="158"/>
  <c r="A92" i="158"/>
  <c r="N91" i="158"/>
  <c r="M91" i="158"/>
  <c r="L91" i="158"/>
  <c r="H91" i="158"/>
  <c r="A91" i="158"/>
  <c r="N90" i="158"/>
  <c r="M90" i="158"/>
  <c r="L90" i="158"/>
  <c r="H90" i="158"/>
  <c r="A90" i="158"/>
  <c r="N89" i="158"/>
  <c r="M89" i="158"/>
  <c r="L89" i="158"/>
  <c r="H89" i="158"/>
  <c r="A89" i="158"/>
  <c r="N88" i="158"/>
  <c r="M88" i="158"/>
  <c r="L88" i="158"/>
  <c r="H88" i="158"/>
  <c r="A88" i="158"/>
  <c r="N87" i="158"/>
  <c r="M87" i="158"/>
  <c r="L87" i="158"/>
  <c r="H87" i="158"/>
  <c r="A87" i="158"/>
  <c r="N86" i="158"/>
  <c r="M86" i="158"/>
  <c r="L86" i="158"/>
  <c r="H86" i="158"/>
  <c r="A86" i="158"/>
  <c r="N85" i="158"/>
  <c r="M85" i="158"/>
  <c r="L85" i="158"/>
  <c r="H85" i="158"/>
  <c r="A85" i="158"/>
  <c r="N84" i="158"/>
  <c r="M84" i="158"/>
  <c r="L84" i="158"/>
  <c r="H84" i="158"/>
  <c r="A84" i="158"/>
  <c r="N83" i="158"/>
  <c r="M83" i="158"/>
  <c r="L83" i="158"/>
  <c r="H83" i="158"/>
  <c r="A83" i="158"/>
  <c r="N82" i="158"/>
  <c r="M82" i="158"/>
  <c r="L82" i="158"/>
  <c r="H82" i="158"/>
  <c r="A82" i="158"/>
  <c r="N81" i="158"/>
  <c r="M81" i="158"/>
  <c r="L81" i="158"/>
  <c r="H81" i="158"/>
  <c r="A81" i="158"/>
  <c r="N80" i="158"/>
  <c r="M80" i="158"/>
  <c r="L80" i="158"/>
  <c r="H80" i="158"/>
  <c r="A80" i="158"/>
  <c r="N79" i="158"/>
  <c r="M79" i="158"/>
  <c r="L79" i="158"/>
  <c r="H79" i="158"/>
  <c r="A79" i="158"/>
  <c r="N78" i="158"/>
  <c r="M78" i="158"/>
  <c r="L78" i="158"/>
  <c r="H78" i="158"/>
  <c r="A78" i="158"/>
  <c r="N77" i="158"/>
  <c r="M77" i="158"/>
  <c r="L77" i="158"/>
  <c r="H77" i="158"/>
  <c r="A77" i="158"/>
  <c r="N76" i="158"/>
  <c r="M76" i="158"/>
  <c r="L76" i="158"/>
  <c r="H76" i="158"/>
  <c r="A76" i="158"/>
  <c r="N75" i="158"/>
  <c r="M75" i="158"/>
  <c r="L75" i="158"/>
  <c r="H75" i="158"/>
  <c r="A75" i="158"/>
  <c r="N74" i="158"/>
  <c r="M74" i="158"/>
  <c r="L74" i="158"/>
  <c r="H74" i="158"/>
  <c r="A74" i="158"/>
  <c r="N73" i="158"/>
  <c r="M73" i="158"/>
  <c r="L73" i="158"/>
  <c r="H73" i="158"/>
  <c r="A73" i="158"/>
  <c r="N72" i="158"/>
  <c r="M72" i="158"/>
  <c r="L72" i="158"/>
  <c r="H72" i="158"/>
  <c r="A72" i="158"/>
  <c r="N71" i="158"/>
  <c r="M71" i="158"/>
  <c r="L71" i="158"/>
  <c r="H71" i="158"/>
  <c r="A71" i="158"/>
  <c r="N70" i="158"/>
  <c r="M70" i="158"/>
  <c r="L70" i="158"/>
  <c r="H70" i="158"/>
  <c r="A70" i="158"/>
  <c r="N69" i="158"/>
  <c r="M69" i="158"/>
  <c r="L69" i="158"/>
  <c r="H69" i="158"/>
  <c r="A69" i="158"/>
  <c r="N68" i="158"/>
  <c r="M68" i="158"/>
  <c r="L68" i="158"/>
  <c r="H68" i="158"/>
  <c r="A68" i="158"/>
  <c r="N67" i="158"/>
  <c r="M67" i="158"/>
  <c r="L67" i="158"/>
  <c r="H67" i="158"/>
  <c r="A67" i="158"/>
  <c r="N66" i="158"/>
  <c r="M66" i="158"/>
  <c r="L66" i="158"/>
  <c r="H66" i="158"/>
  <c r="A66" i="158"/>
  <c r="N65" i="158"/>
  <c r="M65" i="158"/>
  <c r="L65" i="158"/>
  <c r="H65" i="158"/>
  <c r="A65" i="158"/>
  <c r="N64" i="158"/>
  <c r="M64" i="158"/>
  <c r="L64" i="158"/>
  <c r="H64" i="158"/>
  <c r="A64" i="158"/>
  <c r="N63" i="158"/>
  <c r="M63" i="158"/>
  <c r="L63" i="158"/>
  <c r="H63" i="158"/>
  <c r="A63" i="158"/>
  <c r="N62" i="158"/>
  <c r="M62" i="158"/>
  <c r="L62" i="158"/>
  <c r="H62" i="158"/>
  <c r="A62" i="158"/>
  <c r="N61" i="158"/>
  <c r="M61" i="158"/>
  <c r="L61" i="158"/>
  <c r="H61" i="158"/>
  <c r="A61" i="158"/>
  <c r="N60" i="158"/>
  <c r="M60" i="158"/>
  <c r="L60" i="158"/>
  <c r="H60" i="158"/>
  <c r="A60" i="158"/>
  <c r="N59" i="158"/>
  <c r="M59" i="158"/>
  <c r="L59" i="158"/>
  <c r="H59" i="158"/>
  <c r="A59" i="158"/>
  <c r="N58" i="158"/>
  <c r="M58" i="158"/>
  <c r="L58" i="158"/>
  <c r="H58" i="158"/>
  <c r="A58" i="158"/>
  <c r="N57" i="158"/>
  <c r="M57" i="158"/>
  <c r="L57" i="158"/>
  <c r="H57" i="158"/>
  <c r="A57" i="158"/>
  <c r="N56" i="158"/>
  <c r="M56" i="158"/>
  <c r="L56" i="158"/>
  <c r="H56" i="158"/>
  <c r="A56" i="158"/>
  <c r="N55" i="158"/>
  <c r="M55" i="158"/>
  <c r="L55" i="158"/>
  <c r="H55" i="158"/>
  <c r="A55" i="158"/>
  <c r="N54" i="158"/>
  <c r="M54" i="158"/>
  <c r="L54" i="158"/>
  <c r="H54" i="158"/>
  <c r="A54" i="158"/>
  <c r="N53" i="158"/>
  <c r="M53" i="158"/>
  <c r="L53" i="158"/>
  <c r="H53" i="158"/>
  <c r="A53" i="158"/>
  <c r="N52" i="158"/>
  <c r="M52" i="158"/>
  <c r="L52" i="158"/>
  <c r="H52" i="158"/>
  <c r="A52" i="158"/>
  <c r="N51" i="158"/>
  <c r="M51" i="158"/>
  <c r="L51" i="158"/>
  <c r="H51" i="158"/>
  <c r="A51" i="158"/>
  <c r="N50" i="158"/>
  <c r="M50" i="158"/>
  <c r="L50" i="158"/>
  <c r="H50" i="158"/>
  <c r="A50" i="158"/>
  <c r="N49" i="158"/>
  <c r="M49" i="158"/>
  <c r="L49" i="158"/>
  <c r="H49" i="158"/>
  <c r="A49" i="158"/>
  <c r="N48" i="158"/>
  <c r="M48" i="158"/>
  <c r="L48" i="158"/>
  <c r="H48" i="158"/>
  <c r="A48" i="158"/>
  <c r="N47" i="158"/>
  <c r="M47" i="158"/>
  <c r="L47" i="158"/>
  <c r="H47" i="158"/>
  <c r="A47" i="158"/>
  <c r="N46" i="158"/>
  <c r="M46" i="158"/>
  <c r="L46" i="158"/>
  <c r="H46" i="158"/>
  <c r="A46" i="158"/>
  <c r="N45" i="158"/>
  <c r="M45" i="158"/>
  <c r="L45" i="158"/>
  <c r="H45" i="158"/>
  <c r="A45" i="158"/>
  <c r="N44" i="158"/>
  <c r="M44" i="158"/>
  <c r="L44" i="158"/>
  <c r="H44" i="158"/>
  <c r="A44" i="158"/>
  <c r="N43" i="158"/>
  <c r="M43" i="158"/>
  <c r="L43" i="158"/>
  <c r="H43" i="158"/>
  <c r="A43" i="158"/>
  <c r="N42" i="158"/>
  <c r="M42" i="158"/>
  <c r="L42" i="158"/>
  <c r="H42" i="158"/>
  <c r="A42" i="158"/>
  <c r="N41" i="158"/>
  <c r="M41" i="158"/>
  <c r="L41" i="158"/>
  <c r="H41" i="158"/>
  <c r="A41" i="158"/>
  <c r="N40" i="158"/>
  <c r="M40" i="158"/>
  <c r="L40" i="158"/>
  <c r="H40" i="158"/>
  <c r="A40" i="158"/>
  <c r="N39" i="158"/>
  <c r="M39" i="158"/>
  <c r="L39" i="158"/>
  <c r="H39" i="158"/>
  <c r="A39" i="158"/>
  <c r="N38" i="158"/>
  <c r="M38" i="158"/>
  <c r="L38" i="158"/>
  <c r="H38" i="158"/>
  <c r="A38" i="158"/>
  <c r="N37" i="158"/>
  <c r="M37" i="158"/>
  <c r="L37" i="158"/>
  <c r="H37" i="158"/>
  <c r="A37" i="158"/>
  <c r="N36" i="158"/>
  <c r="M36" i="158"/>
  <c r="L36" i="158"/>
  <c r="H36" i="158"/>
  <c r="A36" i="158"/>
  <c r="N35" i="158"/>
  <c r="M35" i="158"/>
  <c r="L35" i="158"/>
  <c r="H35" i="158"/>
  <c r="A35" i="158"/>
  <c r="N34" i="158"/>
  <c r="M34" i="158"/>
  <c r="L34" i="158"/>
  <c r="H34" i="158"/>
  <c r="A34" i="158"/>
  <c r="N33" i="158"/>
  <c r="M33" i="158"/>
  <c r="L33" i="158"/>
  <c r="H33" i="158"/>
  <c r="A33" i="158"/>
  <c r="N32" i="158"/>
  <c r="M32" i="158"/>
  <c r="L32" i="158"/>
  <c r="H32" i="158"/>
  <c r="A32" i="158"/>
  <c r="N31" i="158"/>
  <c r="M31" i="158"/>
  <c r="L31" i="158"/>
  <c r="H31" i="158"/>
  <c r="A31" i="158"/>
  <c r="N30" i="158"/>
  <c r="M30" i="158"/>
  <c r="L30" i="158"/>
  <c r="H30" i="158"/>
  <c r="A30" i="158"/>
  <c r="N29" i="158"/>
  <c r="M29" i="158"/>
  <c r="L29" i="158"/>
  <c r="H29" i="158"/>
  <c r="A29" i="158"/>
  <c r="N28" i="158"/>
  <c r="M28" i="158"/>
  <c r="L28" i="158"/>
  <c r="H28" i="158"/>
  <c r="A28" i="158"/>
  <c r="N27" i="158"/>
  <c r="M27" i="158"/>
  <c r="L27" i="158"/>
  <c r="H27" i="158"/>
  <c r="A27" i="158"/>
  <c r="N26" i="158"/>
  <c r="M26" i="158"/>
  <c r="L26" i="158"/>
  <c r="H26" i="158"/>
  <c r="A26" i="158"/>
  <c r="N25" i="158"/>
  <c r="M25" i="158"/>
  <c r="L25" i="158"/>
  <c r="H25" i="158"/>
  <c r="A25" i="158"/>
  <c r="N24" i="158"/>
  <c r="M24" i="158"/>
  <c r="L24" i="158"/>
  <c r="H24" i="158"/>
  <c r="A24" i="158"/>
  <c r="N23" i="158"/>
  <c r="M23" i="158"/>
  <c r="L23" i="158"/>
  <c r="H23" i="158"/>
  <c r="A23" i="158"/>
  <c r="N22" i="158"/>
  <c r="M22" i="158"/>
  <c r="L22" i="158"/>
  <c r="H22" i="158"/>
  <c r="A22" i="158"/>
  <c r="N21" i="158"/>
  <c r="M21" i="158"/>
  <c r="L21" i="158"/>
  <c r="H21" i="158"/>
  <c r="A21" i="158"/>
  <c r="N20" i="158"/>
  <c r="M20" i="158"/>
  <c r="L20" i="158"/>
  <c r="H20" i="158"/>
  <c r="A20" i="158"/>
  <c r="N19" i="158"/>
  <c r="M19" i="158"/>
  <c r="L19" i="158"/>
  <c r="H19" i="158"/>
  <c r="A19" i="158"/>
  <c r="N18" i="158"/>
  <c r="M18" i="158"/>
  <c r="L18" i="158"/>
  <c r="H18" i="158"/>
  <c r="A18" i="158"/>
  <c r="N17" i="158"/>
  <c r="M17" i="158"/>
  <c r="L17" i="158"/>
  <c r="H17" i="158"/>
  <c r="A17" i="158"/>
  <c r="N16" i="158"/>
  <c r="M16" i="158"/>
  <c r="L16" i="158"/>
  <c r="H16" i="158"/>
  <c r="A16" i="158"/>
  <c r="N15" i="158"/>
  <c r="M15" i="158"/>
  <c r="L15" i="158"/>
  <c r="H15" i="158"/>
  <c r="A15" i="158"/>
  <c r="N14" i="158"/>
  <c r="M14" i="158"/>
  <c r="L14" i="158"/>
  <c r="H14" i="158"/>
  <c r="A14" i="158"/>
  <c r="N13" i="158"/>
  <c r="M13" i="158"/>
  <c r="L13" i="158"/>
  <c r="H13" i="158"/>
  <c r="A13" i="158"/>
  <c r="N12" i="158"/>
  <c r="M12" i="158"/>
  <c r="L12" i="158"/>
  <c r="H12" i="158"/>
  <c r="A12" i="158"/>
  <c r="N11" i="158"/>
  <c r="M11" i="158"/>
  <c r="L11" i="158"/>
  <c r="H11" i="158"/>
  <c r="A11" i="158"/>
  <c r="N10" i="158"/>
  <c r="M10" i="158"/>
  <c r="L10" i="158"/>
  <c r="H10" i="158"/>
  <c r="A10" i="158"/>
  <c r="N9" i="158"/>
  <c r="M9" i="158"/>
  <c r="L9" i="158"/>
  <c r="H9" i="158"/>
  <c r="A9" i="158"/>
  <c r="N8" i="158"/>
  <c r="M8" i="158"/>
  <c r="L8" i="158"/>
  <c r="H8" i="158"/>
  <c r="A8" i="158"/>
  <c r="N7" i="158"/>
  <c r="M7" i="158"/>
  <c r="L7" i="158"/>
  <c r="H7" i="158"/>
  <c r="A7" i="158"/>
  <c r="N6" i="158"/>
  <c r="M6" i="158"/>
  <c r="L6" i="158"/>
  <c r="H6" i="158"/>
  <c r="A6" i="158"/>
  <c r="N5" i="158"/>
  <c r="M5" i="158"/>
  <c r="L5" i="158"/>
  <c r="H5" i="158"/>
  <c r="A5" i="158"/>
  <c r="N4" i="158"/>
  <c r="M4" i="158"/>
  <c r="L4" i="158"/>
  <c r="H4" i="158"/>
  <c r="A4" i="158"/>
  <c r="N3" i="158"/>
  <c r="M3" i="158"/>
  <c r="L3" i="158"/>
  <c r="H3" i="158"/>
  <c r="A3" i="158"/>
  <c r="N2" i="158"/>
  <c r="M2" i="158"/>
  <c r="L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G40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V4" i="157"/>
  <c r="P4" i="157"/>
  <c r="O4" i="157"/>
  <c r="V3" i="157"/>
  <c r="P3" i="157"/>
  <c r="O3" i="157"/>
  <c r="M3" i="157"/>
  <c r="V2" i="157"/>
  <c r="A285" i="154"/>
  <c r="H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L286" i="154"/>
  <c r="M286" i="154"/>
  <c r="N286" i="154"/>
  <c r="A284" i="154"/>
  <c r="H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H283" i="154"/>
  <c r="A283" i="154"/>
  <c r="N282" i="154"/>
  <c r="M282" i="154"/>
  <c r="L282" i="154"/>
  <c r="H282" i="154"/>
  <c r="A282" i="154"/>
  <c r="N281" i="154"/>
  <c r="M281" i="154"/>
  <c r="L281" i="154"/>
  <c r="H281" i="154"/>
  <c r="A281" i="154"/>
  <c r="N280" i="154"/>
  <c r="M280" i="154"/>
  <c r="L280" i="154"/>
  <c r="H280" i="154"/>
  <c r="A280" i="154"/>
  <c r="N279" i="154"/>
  <c r="M279" i="154"/>
  <c r="L279" i="154"/>
  <c r="H279" i="154"/>
  <c r="A279" i="154"/>
  <c r="N278" i="154"/>
  <c r="M278" i="154"/>
  <c r="L278" i="154"/>
  <c r="H278" i="154"/>
  <c r="A278" i="154"/>
  <c r="N277" i="154"/>
  <c r="M277" i="154"/>
  <c r="L277" i="154"/>
  <c r="H277" i="154"/>
  <c r="A277" i="154"/>
  <c r="N276" i="154"/>
  <c r="M276" i="154"/>
  <c r="L276" i="154"/>
  <c r="H276" i="154"/>
  <c r="A276" i="154"/>
  <c r="N275" i="154"/>
  <c r="M275" i="154"/>
  <c r="L275" i="154"/>
  <c r="H275" i="154"/>
  <c r="A275" i="154"/>
  <c r="N274" i="154"/>
  <c r="M274" i="154"/>
  <c r="L274" i="154"/>
  <c r="H274" i="154"/>
  <c r="A274" i="154"/>
  <c r="N273" i="154"/>
  <c r="M273" i="154"/>
  <c r="L273" i="154"/>
  <c r="H273" i="154"/>
  <c r="A273" i="154"/>
  <c r="N272" i="154"/>
  <c r="M272" i="154"/>
  <c r="L272" i="154"/>
  <c r="H272" i="154"/>
  <c r="A272" i="154"/>
  <c r="N271" i="154"/>
  <c r="M271" i="154"/>
  <c r="L271" i="154"/>
  <c r="H271" i="154"/>
  <c r="A271" i="154"/>
  <c r="N270" i="154"/>
  <c r="M270" i="154"/>
  <c r="L270" i="154"/>
  <c r="H270" i="154"/>
  <c r="A270" i="154"/>
  <c r="N269" i="154"/>
  <c r="M269" i="154"/>
  <c r="L269" i="154"/>
  <c r="H269" i="154"/>
  <c r="A269" i="154"/>
  <c r="N268" i="154"/>
  <c r="M268" i="154"/>
  <c r="L268" i="154"/>
  <c r="H268" i="154"/>
  <c r="A268" i="154"/>
  <c r="N267" i="154"/>
  <c r="M267" i="154"/>
  <c r="L267" i="154"/>
  <c r="H267" i="154"/>
  <c r="A267" i="154"/>
  <c r="N266" i="154"/>
  <c r="M266" i="154"/>
  <c r="L266" i="154"/>
  <c r="H266" i="154"/>
  <c r="A266" i="154"/>
  <c r="N265" i="154"/>
  <c r="M265" i="154"/>
  <c r="L265" i="154"/>
  <c r="H265" i="154"/>
  <c r="A265" i="154"/>
  <c r="N264" i="154"/>
  <c r="M264" i="154"/>
  <c r="L264" i="154"/>
  <c r="H264" i="154"/>
  <c r="A264" i="154"/>
  <c r="N263" i="154"/>
  <c r="M263" i="154"/>
  <c r="L263" i="154"/>
  <c r="H263" i="154"/>
  <c r="A263" i="154"/>
  <c r="N262" i="154"/>
  <c r="M262" i="154"/>
  <c r="L262" i="154"/>
  <c r="H262" i="154"/>
  <c r="A262" i="154"/>
  <c r="N261" i="154"/>
  <c r="M261" i="154"/>
  <c r="L261" i="154"/>
  <c r="H261" i="154"/>
  <c r="A261" i="154"/>
  <c r="N260" i="154"/>
  <c r="M260" i="154"/>
  <c r="L260" i="154"/>
  <c r="H260" i="154"/>
  <c r="A260" i="154"/>
  <c r="N259" i="154"/>
  <c r="M259" i="154"/>
  <c r="L259" i="154"/>
  <c r="H259" i="154"/>
  <c r="A259" i="154"/>
  <c r="N258" i="154"/>
  <c r="M258" i="154"/>
  <c r="L258" i="154"/>
  <c r="H258" i="154"/>
  <c r="A258" i="154"/>
  <c r="N257" i="154"/>
  <c r="M257" i="154"/>
  <c r="L257" i="154"/>
  <c r="H257" i="154"/>
  <c r="A257" i="154"/>
  <c r="N256" i="154"/>
  <c r="M256" i="154"/>
  <c r="L256" i="154"/>
  <c r="H256" i="154"/>
  <c r="A256" i="154"/>
  <c r="N255" i="154"/>
  <c r="M255" i="154"/>
  <c r="L255" i="154"/>
  <c r="H255" i="154"/>
  <c r="A255" i="154"/>
  <c r="N254" i="154"/>
  <c r="M254" i="154"/>
  <c r="L254" i="154"/>
  <c r="H254" i="154"/>
  <c r="A254" i="154"/>
  <c r="N253" i="154"/>
  <c r="M253" i="154"/>
  <c r="L253" i="154"/>
  <c r="H253" i="154"/>
  <c r="A253" i="154"/>
  <c r="N252" i="154"/>
  <c r="M252" i="154"/>
  <c r="L252" i="154"/>
  <c r="H252" i="154"/>
  <c r="A252" i="154"/>
  <c r="N251" i="154"/>
  <c r="M251" i="154"/>
  <c r="L251" i="154"/>
  <c r="H251" i="154"/>
  <c r="A251" i="154"/>
  <c r="N250" i="154"/>
  <c r="M250" i="154"/>
  <c r="L250" i="154"/>
  <c r="H250" i="154"/>
  <c r="A250" i="154"/>
  <c r="N249" i="154"/>
  <c r="M249" i="154"/>
  <c r="L249" i="154"/>
  <c r="H249" i="154"/>
  <c r="A249" i="154"/>
  <c r="N248" i="154"/>
  <c r="M248" i="154"/>
  <c r="L248" i="154"/>
  <c r="H248" i="154"/>
  <c r="A248" i="154"/>
  <c r="N247" i="154"/>
  <c r="M247" i="154"/>
  <c r="L247" i="154"/>
  <c r="H247" i="154"/>
  <c r="A247" i="154"/>
  <c r="N246" i="154"/>
  <c r="M246" i="154"/>
  <c r="L246" i="154"/>
  <c r="H246" i="154"/>
  <c r="A246" i="154"/>
  <c r="N245" i="154"/>
  <c r="M245" i="154"/>
  <c r="L245" i="154"/>
  <c r="H245" i="154"/>
  <c r="A245" i="154"/>
  <c r="N244" i="154"/>
  <c r="M244" i="154"/>
  <c r="L244" i="154"/>
  <c r="H244" i="154"/>
  <c r="A244" i="154"/>
  <c r="N243" i="154"/>
  <c r="M243" i="154"/>
  <c r="L243" i="154"/>
  <c r="H243" i="154"/>
  <c r="A243" i="154"/>
  <c r="N242" i="154"/>
  <c r="M242" i="154"/>
  <c r="L242" i="154"/>
  <c r="H242" i="154"/>
  <c r="A242" i="154"/>
  <c r="N241" i="154"/>
  <c r="M241" i="154"/>
  <c r="L241" i="154"/>
  <c r="H241" i="154"/>
  <c r="A241" i="154"/>
  <c r="N240" i="154"/>
  <c r="M240" i="154"/>
  <c r="L240" i="154"/>
  <c r="H240" i="154"/>
  <c r="A240" i="154"/>
  <c r="N239" i="154"/>
  <c r="M239" i="154"/>
  <c r="L239" i="154"/>
  <c r="H239" i="154"/>
  <c r="A239" i="154"/>
  <c r="N238" i="154"/>
  <c r="M238" i="154"/>
  <c r="L238" i="154"/>
  <c r="H238" i="154"/>
  <c r="A238" i="154"/>
  <c r="N237" i="154"/>
  <c r="M237" i="154"/>
  <c r="L237" i="154"/>
  <c r="H237" i="154"/>
  <c r="A237" i="154"/>
  <c r="N236" i="154"/>
  <c r="M236" i="154"/>
  <c r="L236" i="154"/>
  <c r="H236" i="154"/>
  <c r="A236" i="154"/>
  <c r="N235" i="154"/>
  <c r="M235" i="154"/>
  <c r="L235" i="154"/>
  <c r="H235" i="154"/>
  <c r="A235" i="154"/>
  <c r="N234" i="154"/>
  <c r="M234" i="154"/>
  <c r="L234" i="154"/>
  <c r="H234" i="154"/>
  <c r="A234" i="154"/>
  <c r="N233" i="154"/>
  <c r="M233" i="154"/>
  <c r="L233" i="154"/>
  <c r="H233" i="154"/>
  <c r="A233" i="154"/>
  <c r="N232" i="154"/>
  <c r="M232" i="154"/>
  <c r="L232" i="154"/>
  <c r="H232" i="154"/>
  <c r="A232" i="154"/>
  <c r="N231" i="154"/>
  <c r="M231" i="154"/>
  <c r="L231" i="154"/>
  <c r="H231" i="154"/>
  <c r="A231" i="154"/>
  <c r="N230" i="154"/>
  <c r="M230" i="154"/>
  <c r="L230" i="154"/>
  <c r="H230" i="154"/>
  <c r="A230" i="154"/>
  <c r="N229" i="154"/>
  <c r="M229" i="154"/>
  <c r="L229" i="154"/>
  <c r="H229" i="154"/>
  <c r="A229" i="154"/>
  <c r="N228" i="154"/>
  <c r="M228" i="154"/>
  <c r="L228" i="154"/>
  <c r="H228" i="154"/>
  <c r="A228" i="154"/>
  <c r="N227" i="154"/>
  <c r="M227" i="154"/>
  <c r="L227" i="154"/>
  <c r="H227" i="154"/>
  <c r="A227" i="154"/>
  <c r="N226" i="154"/>
  <c r="M226" i="154"/>
  <c r="L226" i="154"/>
  <c r="H226" i="154"/>
  <c r="A226" i="154"/>
  <c r="N225" i="154"/>
  <c r="M225" i="154"/>
  <c r="L225" i="154"/>
  <c r="H225" i="154"/>
  <c r="A225" i="154"/>
  <c r="N224" i="154"/>
  <c r="M224" i="154"/>
  <c r="L224" i="154"/>
  <c r="H224" i="154"/>
  <c r="A224" i="154"/>
  <c r="N223" i="154"/>
  <c r="M223" i="154"/>
  <c r="L223" i="154"/>
  <c r="H223" i="154"/>
  <c r="A223" i="154"/>
  <c r="N222" i="154"/>
  <c r="M222" i="154"/>
  <c r="L222" i="154"/>
  <c r="H222" i="154"/>
  <c r="A222" i="154"/>
  <c r="N221" i="154"/>
  <c r="M221" i="154"/>
  <c r="L221" i="154"/>
  <c r="H221" i="154"/>
  <c r="A221" i="154"/>
  <c r="N220" i="154"/>
  <c r="M220" i="154"/>
  <c r="L220" i="154"/>
  <c r="H220" i="154"/>
  <c r="A220" i="154"/>
  <c r="N219" i="154"/>
  <c r="M219" i="154"/>
  <c r="L219" i="154"/>
  <c r="H219" i="154"/>
  <c r="A219" i="154"/>
  <c r="N218" i="154"/>
  <c r="M218" i="154"/>
  <c r="L218" i="154"/>
  <c r="H218" i="154"/>
  <c r="A218" i="154"/>
  <c r="N217" i="154"/>
  <c r="M217" i="154"/>
  <c r="L217" i="154"/>
  <c r="H217" i="154"/>
  <c r="A217" i="154"/>
  <c r="N216" i="154"/>
  <c r="M216" i="154"/>
  <c r="L216" i="154"/>
  <c r="H216" i="154"/>
  <c r="A216" i="154"/>
  <c r="N215" i="154"/>
  <c r="M215" i="154"/>
  <c r="L215" i="154"/>
  <c r="H215" i="154"/>
  <c r="A215" i="154"/>
  <c r="N214" i="154"/>
  <c r="M214" i="154"/>
  <c r="L214" i="154"/>
  <c r="H214" i="154"/>
  <c r="A214" i="154"/>
  <c r="N213" i="154"/>
  <c r="M213" i="154"/>
  <c r="L213" i="154"/>
  <c r="H213" i="154"/>
  <c r="A213" i="154"/>
  <c r="N212" i="154"/>
  <c r="M212" i="154"/>
  <c r="L212" i="154"/>
  <c r="H212" i="154"/>
  <c r="A212" i="154"/>
  <c r="N211" i="154"/>
  <c r="M211" i="154"/>
  <c r="L211" i="154"/>
  <c r="H211" i="154"/>
  <c r="A211" i="154"/>
  <c r="N210" i="154"/>
  <c r="M210" i="154"/>
  <c r="L210" i="154"/>
  <c r="H210" i="154"/>
  <c r="A210" i="154"/>
  <c r="N209" i="154"/>
  <c r="M209" i="154"/>
  <c r="L209" i="154"/>
  <c r="H209" i="154"/>
  <c r="A209" i="154"/>
  <c r="N208" i="154"/>
  <c r="M208" i="154"/>
  <c r="L208" i="154"/>
  <c r="H208" i="154"/>
  <c r="A208" i="154"/>
  <c r="N207" i="154"/>
  <c r="M207" i="154"/>
  <c r="L207" i="154"/>
  <c r="H207" i="154"/>
  <c r="A207" i="154"/>
  <c r="N206" i="154"/>
  <c r="M206" i="154"/>
  <c r="L206" i="154"/>
  <c r="H206" i="154"/>
  <c r="A206" i="154"/>
  <c r="N205" i="154"/>
  <c r="M205" i="154"/>
  <c r="L205" i="154"/>
  <c r="H205" i="154"/>
  <c r="A205" i="154"/>
  <c r="N204" i="154"/>
  <c r="M204" i="154"/>
  <c r="L204" i="154"/>
  <c r="H204" i="154"/>
  <c r="A204" i="154"/>
  <c r="N203" i="154"/>
  <c r="M203" i="154"/>
  <c r="L203" i="154"/>
  <c r="H203" i="154"/>
  <c r="A203" i="154"/>
  <c r="N202" i="154"/>
  <c r="M202" i="154"/>
  <c r="L202" i="154"/>
  <c r="H202" i="154"/>
  <c r="A202" i="154"/>
  <c r="N201" i="154"/>
  <c r="M201" i="154"/>
  <c r="L201" i="154"/>
  <c r="H201" i="154"/>
  <c r="A201" i="154"/>
  <c r="N200" i="154"/>
  <c r="M200" i="154"/>
  <c r="L200" i="154"/>
  <c r="H200" i="154"/>
  <c r="A200" i="154"/>
  <c r="N199" i="154"/>
  <c r="M199" i="154"/>
  <c r="L199" i="154"/>
  <c r="H199" i="154"/>
  <c r="A199" i="154"/>
  <c r="N198" i="154"/>
  <c r="M198" i="154"/>
  <c r="L198" i="154"/>
  <c r="H198" i="154"/>
  <c r="A198" i="154"/>
  <c r="N197" i="154"/>
  <c r="M197" i="154"/>
  <c r="L197" i="154"/>
  <c r="H197" i="154"/>
  <c r="A197" i="154"/>
  <c r="N196" i="154"/>
  <c r="M196" i="154"/>
  <c r="L196" i="154"/>
  <c r="H196" i="154"/>
  <c r="A196" i="154"/>
  <c r="N195" i="154"/>
  <c r="M195" i="154"/>
  <c r="L195" i="154"/>
  <c r="H195" i="154"/>
  <c r="A195" i="154"/>
  <c r="N194" i="154"/>
  <c r="M194" i="154"/>
  <c r="L194" i="154"/>
  <c r="H194" i="154"/>
  <c r="A194" i="154"/>
  <c r="N193" i="154"/>
  <c r="M193" i="154"/>
  <c r="L193" i="154"/>
  <c r="H193" i="154"/>
  <c r="A193" i="154"/>
  <c r="N192" i="154"/>
  <c r="M192" i="154"/>
  <c r="L192" i="154"/>
  <c r="H192" i="154"/>
  <c r="A192" i="154"/>
  <c r="N191" i="154"/>
  <c r="M191" i="154"/>
  <c r="L191" i="154"/>
  <c r="H191" i="154"/>
  <c r="A191" i="154"/>
  <c r="N190" i="154"/>
  <c r="M190" i="154"/>
  <c r="L190" i="154"/>
  <c r="H190" i="154"/>
  <c r="A190" i="154"/>
  <c r="N189" i="154"/>
  <c r="M189" i="154"/>
  <c r="L189" i="154"/>
  <c r="H189" i="154"/>
  <c r="A189" i="154"/>
  <c r="N188" i="154"/>
  <c r="M188" i="154"/>
  <c r="L188" i="154"/>
  <c r="H188" i="154"/>
  <c r="A188" i="154"/>
  <c r="N187" i="154"/>
  <c r="M187" i="154"/>
  <c r="L187" i="154"/>
  <c r="H187" i="154"/>
  <c r="A187" i="154"/>
  <c r="N186" i="154"/>
  <c r="M186" i="154"/>
  <c r="L186" i="154"/>
  <c r="H186" i="154"/>
  <c r="A186" i="154"/>
  <c r="N185" i="154"/>
  <c r="M185" i="154"/>
  <c r="L185" i="154"/>
  <c r="H185" i="154"/>
  <c r="A185" i="154"/>
  <c r="N184" i="154"/>
  <c r="M184" i="154"/>
  <c r="L184" i="154"/>
  <c r="H184" i="154"/>
  <c r="A184" i="154"/>
  <c r="N183" i="154"/>
  <c r="M183" i="154"/>
  <c r="L183" i="154"/>
  <c r="H183" i="154"/>
  <c r="A183" i="154"/>
  <c r="N182" i="154"/>
  <c r="M182" i="154"/>
  <c r="L182" i="154"/>
  <c r="H182" i="154"/>
  <c r="A182" i="154"/>
  <c r="N181" i="154"/>
  <c r="M181" i="154"/>
  <c r="L181" i="154"/>
  <c r="H181" i="154"/>
  <c r="A181" i="154"/>
  <c r="N180" i="154"/>
  <c r="M180" i="154"/>
  <c r="L180" i="154"/>
  <c r="H180" i="154"/>
  <c r="A180" i="154"/>
  <c r="N179" i="154"/>
  <c r="M179" i="154"/>
  <c r="L179" i="154"/>
  <c r="H179" i="154"/>
  <c r="A179" i="154"/>
  <c r="N178" i="154"/>
  <c r="M178" i="154"/>
  <c r="L178" i="154"/>
  <c r="H178" i="154"/>
  <c r="A178" i="154"/>
  <c r="N177" i="154"/>
  <c r="M177" i="154"/>
  <c r="L177" i="154"/>
  <c r="H177" i="154"/>
  <c r="A177" i="154"/>
  <c r="N176" i="154"/>
  <c r="M176" i="154"/>
  <c r="L176" i="154"/>
  <c r="H176" i="154"/>
  <c r="A176" i="154"/>
  <c r="N175" i="154"/>
  <c r="M175" i="154"/>
  <c r="L175" i="154"/>
  <c r="H175" i="154"/>
  <c r="A175" i="154"/>
  <c r="N174" i="154"/>
  <c r="M174" i="154"/>
  <c r="L174" i="154"/>
  <c r="H174" i="154"/>
  <c r="A174" i="154"/>
  <c r="N173" i="154"/>
  <c r="M173" i="154"/>
  <c r="L173" i="154"/>
  <c r="H173" i="154"/>
  <c r="A173" i="154"/>
  <c r="N172" i="154"/>
  <c r="M172" i="154"/>
  <c r="L172" i="154"/>
  <c r="H172" i="154"/>
  <c r="A172" i="154"/>
  <c r="N171" i="154"/>
  <c r="M171" i="154"/>
  <c r="L171" i="154"/>
  <c r="H171" i="154"/>
  <c r="A171" i="154"/>
  <c r="N170" i="154"/>
  <c r="M170" i="154"/>
  <c r="L170" i="154"/>
  <c r="H170" i="154"/>
  <c r="A170" i="154"/>
  <c r="N169" i="154"/>
  <c r="M169" i="154"/>
  <c r="L169" i="154"/>
  <c r="H169" i="154"/>
  <c r="A169" i="154"/>
  <c r="N168" i="154"/>
  <c r="M168" i="154"/>
  <c r="L168" i="154"/>
  <c r="H168" i="154"/>
  <c r="A168" i="154"/>
  <c r="N167" i="154"/>
  <c r="M167" i="154"/>
  <c r="L167" i="154"/>
  <c r="H167" i="154"/>
  <c r="A167" i="154"/>
  <c r="N166" i="154"/>
  <c r="M166" i="154"/>
  <c r="L166" i="154"/>
  <c r="H166" i="154"/>
  <c r="A166" i="154"/>
  <c r="N165" i="154"/>
  <c r="M165" i="154"/>
  <c r="L165" i="154"/>
  <c r="H165" i="154"/>
  <c r="A165" i="154"/>
  <c r="N164" i="154"/>
  <c r="M164" i="154"/>
  <c r="L164" i="154"/>
  <c r="H164" i="154"/>
  <c r="A164" i="154"/>
  <c r="N163" i="154"/>
  <c r="M163" i="154"/>
  <c r="L163" i="154"/>
  <c r="H163" i="154"/>
  <c r="A163" i="154"/>
  <c r="N162" i="154"/>
  <c r="M162" i="154"/>
  <c r="L162" i="154"/>
  <c r="H162" i="154"/>
  <c r="A162" i="154"/>
  <c r="N161" i="154"/>
  <c r="M161" i="154"/>
  <c r="L161" i="154"/>
  <c r="H161" i="154"/>
  <c r="A161" i="154"/>
  <c r="N160" i="154"/>
  <c r="M160" i="154"/>
  <c r="L160" i="154"/>
  <c r="H160" i="154"/>
  <c r="A160" i="154"/>
  <c r="N159" i="154"/>
  <c r="M159" i="154"/>
  <c r="L159" i="154"/>
  <c r="H159" i="154"/>
  <c r="A159" i="154"/>
  <c r="N158" i="154"/>
  <c r="M158" i="154"/>
  <c r="L158" i="154"/>
  <c r="H158" i="154"/>
  <c r="A158" i="154"/>
  <c r="N157" i="154"/>
  <c r="M157" i="154"/>
  <c r="L157" i="154"/>
  <c r="H157" i="154"/>
  <c r="A157" i="154"/>
  <c r="N156" i="154"/>
  <c r="M156" i="154"/>
  <c r="L156" i="154"/>
  <c r="H156" i="154"/>
  <c r="A156" i="154"/>
  <c r="N155" i="154"/>
  <c r="M155" i="154"/>
  <c r="L155" i="154"/>
  <c r="H155" i="154"/>
  <c r="A155" i="154"/>
  <c r="N154" i="154"/>
  <c r="M154" i="154"/>
  <c r="L154" i="154"/>
  <c r="H154" i="154"/>
  <c r="A154" i="154"/>
  <c r="N153" i="154"/>
  <c r="M153" i="154"/>
  <c r="L153" i="154"/>
  <c r="H153" i="154"/>
  <c r="A153" i="154"/>
  <c r="N152" i="154"/>
  <c r="M152" i="154"/>
  <c r="L152" i="154"/>
  <c r="H152" i="154"/>
  <c r="A152" i="154"/>
  <c r="N151" i="154"/>
  <c r="M151" i="154"/>
  <c r="L151" i="154"/>
  <c r="H151" i="154"/>
  <c r="A151" i="154"/>
  <c r="N150" i="154"/>
  <c r="M150" i="154"/>
  <c r="L150" i="154"/>
  <c r="H150" i="154"/>
  <c r="A150" i="154"/>
  <c r="N149" i="154"/>
  <c r="M149" i="154"/>
  <c r="L149" i="154"/>
  <c r="H149" i="154"/>
  <c r="A149" i="154"/>
  <c r="N148" i="154"/>
  <c r="M148" i="154"/>
  <c r="L148" i="154"/>
  <c r="H148" i="154"/>
  <c r="A148" i="154"/>
  <c r="N147" i="154"/>
  <c r="M147" i="154"/>
  <c r="L147" i="154"/>
  <c r="H147" i="154"/>
  <c r="A147" i="154"/>
  <c r="N146" i="154"/>
  <c r="M146" i="154"/>
  <c r="L146" i="154"/>
  <c r="H146" i="154"/>
  <c r="A146" i="154"/>
  <c r="N145" i="154"/>
  <c r="M145" i="154"/>
  <c r="L145" i="154"/>
  <c r="H145" i="154"/>
  <c r="A145" i="154"/>
  <c r="N144" i="154"/>
  <c r="M144" i="154"/>
  <c r="L144" i="154"/>
  <c r="H144" i="154"/>
  <c r="A144" i="154"/>
  <c r="N143" i="154"/>
  <c r="M143" i="154"/>
  <c r="L143" i="154"/>
  <c r="H143" i="154"/>
  <c r="A143" i="154"/>
  <c r="N142" i="154"/>
  <c r="M142" i="154"/>
  <c r="L142" i="154"/>
  <c r="H142" i="154"/>
  <c r="A142" i="154"/>
  <c r="N141" i="154"/>
  <c r="M141" i="154"/>
  <c r="L141" i="154"/>
  <c r="H141" i="154"/>
  <c r="A141" i="154"/>
  <c r="N140" i="154"/>
  <c r="M140" i="154"/>
  <c r="L140" i="154"/>
  <c r="H140" i="154"/>
  <c r="A140" i="154"/>
  <c r="N139" i="154"/>
  <c r="M139" i="154"/>
  <c r="L139" i="154"/>
  <c r="H139" i="154"/>
  <c r="A139" i="154"/>
  <c r="N138" i="154"/>
  <c r="M138" i="154"/>
  <c r="L138" i="154"/>
  <c r="H138" i="154"/>
  <c r="A138" i="154"/>
  <c r="N137" i="154"/>
  <c r="M137" i="154"/>
  <c r="L137" i="154"/>
  <c r="H137" i="154"/>
  <c r="A137" i="154"/>
  <c r="N136" i="154"/>
  <c r="M136" i="154"/>
  <c r="L136" i="154"/>
  <c r="H136" i="154"/>
  <c r="A136" i="154"/>
  <c r="N135" i="154"/>
  <c r="M135" i="154"/>
  <c r="L135" i="154"/>
  <c r="H135" i="154"/>
  <c r="A135" i="154"/>
  <c r="N134" i="154"/>
  <c r="M134" i="154"/>
  <c r="L134" i="154"/>
  <c r="H134" i="154"/>
  <c r="A134" i="154"/>
  <c r="N133" i="154"/>
  <c r="M133" i="154"/>
  <c r="L133" i="154"/>
  <c r="H133" i="154"/>
  <c r="A133" i="154"/>
  <c r="N132" i="154"/>
  <c r="M132" i="154"/>
  <c r="L132" i="154"/>
  <c r="H132" i="154"/>
  <c r="A132" i="154"/>
  <c r="N131" i="154"/>
  <c r="M131" i="154"/>
  <c r="L131" i="154"/>
  <c r="H131" i="154"/>
  <c r="A131" i="154"/>
  <c r="N130" i="154"/>
  <c r="M130" i="154"/>
  <c r="L130" i="154"/>
  <c r="H130" i="154"/>
  <c r="A130" i="154"/>
  <c r="N129" i="154"/>
  <c r="M129" i="154"/>
  <c r="L129" i="154"/>
  <c r="H129" i="154"/>
  <c r="A129" i="154"/>
  <c r="N128" i="154"/>
  <c r="M128" i="154"/>
  <c r="L128" i="154"/>
  <c r="H128" i="154"/>
  <c r="A128" i="154"/>
  <c r="N127" i="154"/>
  <c r="M127" i="154"/>
  <c r="L127" i="154"/>
  <c r="H127" i="154"/>
  <c r="A127" i="154"/>
  <c r="N126" i="154"/>
  <c r="M126" i="154"/>
  <c r="L126" i="154"/>
  <c r="H126" i="154"/>
  <c r="A126" i="154"/>
  <c r="N125" i="154"/>
  <c r="M125" i="154"/>
  <c r="L125" i="154"/>
  <c r="H125" i="154"/>
  <c r="A125" i="154"/>
  <c r="N124" i="154"/>
  <c r="M124" i="154"/>
  <c r="L124" i="154"/>
  <c r="H124" i="154"/>
  <c r="A124" i="154"/>
  <c r="N123" i="154"/>
  <c r="M123" i="154"/>
  <c r="L123" i="154"/>
  <c r="H123" i="154"/>
  <c r="A123" i="154"/>
  <c r="N122" i="154"/>
  <c r="M122" i="154"/>
  <c r="L122" i="154"/>
  <c r="H122" i="154"/>
  <c r="A122" i="154"/>
  <c r="N121" i="154"/>
  <c r="M121" i="154"/>
  <c r="L121" i="154"/>
  <c r="H121" i="154"/>
  <c r="A121" i="154"/>
  <c r="N120" i="154"/>
  <c r="M120" i="154"/>
  <c r="L120" i="154"/>
  <c r="H120" i="154"/>
  <c r="A120" i="154"/>
  <c r="N119" i="154"/>
  <c r="M119" i="154"/>
  <c r="L119" i="154"/>
  <c r="H119" i="154"/>
  <c r="A119" i="154"/>
  <c r="N118" i="154"/>
  <c r="M118" i="154"/>
  <c r="L118" i="154"/>
  <c r="H118" i="154"/>
  <c r="A118" i="154"/>
  <c r="N117" i="154"/>
  <c r="M117" i="154"/>
  <c r="L117" i="154"/>
  <c r="H117" i="154"/>
  <c r="A117" i="154"/>
  <c r="N116" i="154"/>
  <c r="M116" i="154"/>
  <c r="L116" i="154"/>
  <c r="H116" i="154"/>
  <c r="A116" i="154"/>
  <c r="N115" i="154"/>
  <c r="M115" i="154"/>
  <c r="L115" i="154"/>
  <c r="H115" i="154"/>
  <c r="A115" i="154"/>
  <c r="N114" i="154"/>
  <c r="M114" i="154"/>
  <c r="L114" i="154"/>
  <c r="H114" i="154"/>
  <c r="A114" i="154"/>
  <c r="N113" i="154"/>
  <c r="M113" i="154"/>
  <c r="L113" i="154"/>
  <c r="H113" i="154"/>
  <c r="A113" i="154"/>
  <c r="N112" i="154"/>
  <c r="M112" i="154"/>
  <c r="L112" i="154"/>
  <c r="H112" i="154"/>
  <c r="A112" i="154"/>
  <c r="N111" i="154"/>
  <c r="M111" i="154"/>
  <c r="L111" i="154"/>
  <c r="H111" i="154"/>
  <c r="A111" i="154"/>
  <c r="N110" i="154"/>
  <c r="M110" i="154"/>
  <c r="L110" i="154"/>
  <c r="H110" i="154"/>
  <c r="A110" i="154"/>
  <c r="N109" i="154"/>
  <c r="M109" i="154"/>
  <c r="L109" i="154"/>
  <c r="H109" i="154"/>
  <c r="A109" i="154"/>
  <c r="N108" i="154"/>
  <c r="M108" i="154"/>
  <c r="L108" i="154"/>
  <c r="H108" i="154"/>
  <c r="A108" i="154"/>
  <c r="N107" i="154"/>
  <c r="M107" i="154"/>
  <c r="L107" i="154"/>
  <c r="H107" i="154"/>
  <c r="A107" i="154"/>
  <c r="N106" i="154"/>
  <c r="M106" i="154"/>
  <c r="L106" i="154"/>
  <c r="H106" i="154"/>
  <c r="A106" i="154"/>
  <c r="N105" i="154"/>
  <c r="M105" i="154"/>
  <c r="L105" i="154"/>
  <c r="H105" i="154"/>
  <c r="A105" i="154"/>
  <c r="N104" i="154"/>
  <c r="M104" i="154"/>
  <c r="L104" i="154"/>
  <c r="H104" i="154"/>
  <c r="A104" i="154"/>
  <c r="N103" i="154"/>
  <c r="M103" i="154"/>
  <c r="L103" i="154"/>
  <c r="H103" i="154"/>
  <c r="A103" i="154"/>
  <c r="N102" i="154"/>
  <c r="M102" i="154"/>
  <c r="L102" i="154"/>
  <c r="H102" i="154"/>
  <c r="A102" i="154"/>
  <c r="N101" i="154"/>
  <c r="M101" i="154"/>
  <c r="L101" i="154"/>
  <c r="H101" i="154"/>
  <c r="A101" i="154"/>
  <c r="N100" i="154"/>
  <c r="M100" i="154"/>
  <c r="L100" i="154"/>
  <c r="H100" i="154"/>
  <c r="A100" i="154"/>
  <c r="N99" i="154"/>
  <c r="M99" i="154"/>
  <c r="L99" i="154"/>
  <c r="H99" i="154"/>
  <c r="A99" i="154"/>
  <c r="N98" i="154"/>
  <c r="M98" i="154"/>
  <c r="L98" i="154"/>
  <c r="H98" i="154"/>
  <c r="A98" i="154"/>
  <c r="N97" i="154"/>
  <c r="M97" i="154"/>
  <c r="L97" i="154"/>
  <c r="H97" i="154"/>
  <c r="A97" i="154"/>
  <c r="N96" i="154"/>
  <c r="M96" i="154"/>
  <c r="L96" i="154"/>
  <c r="H96" i="154"/>
  <c r="A96" i="154"/>
  <c r="N95" i="154"/>
  <c r="M95" i="154"/>
  <c r="L95" i="154"/>
  <c r="H95" i="154"/>
  <c r="A95" i="154"/>
  <c r="N94" i="154"/>
  <c r="M94" i="154"/>
  <c r="L94" i="154"/>
  <c r="H94" i="154"/>
  <c r="A94" i="154"/>
  <c r="N93" i="154"/>
  <c r="M93" i="154"/>
  <c r="L93" i="154"/>
  <c r="H93" i="154"/>
  <c r="A93" i="154"/>
  <c r="N92" i="154"/>
  <c r="M92" i="154"/>
  <c r="L92" i="154"/>
  <c r="H92" i="154"/>
  <c r="A92" i="154"/>
  <c r="N91" i="154"/>
  <c r="M91" i="154"/>
  <c r="L91" i="154"/>
  <c r="H91" i="154"/>
  <c r="A91" i="154"/>
  <c r="N90" i="154"/>
  <c r="M90" i="154"/>
  <c r="L90" i="154"/>
  <c r="H90" i="154"/>
  <c r="A90" i="154"/>
  <c r="N89" i="154"/>
  <c r="M89" i="154"/>
  <c r="L89" i="154"/>
  <c r="H89" i="154"/>
  <c r="A89" i="154"/>
  <c r="N88" i="154"/>
  <c r="M88" i="154"/>
  <c r="L88" i="154"/>
  <c r="H88" i="154"/>
  <c r="A88" i="154"/>
  <c r="N87" i="154"/>
  <c r="M87" i="154"/>
  <c r="L87" i="154"/>
  <c r="H87" i="154"/>
  <c r="A87" i="154"/>
  <c r="N86" i="154"/>
  <c r="M86" i="154"/>
  <c r="L86" i="154"/>
  <c r="H86" i="154"/>
  <c r="A86" i="154"/>
  <c r="N85" i="154"/>
  <c r="M85" i="154"/>
  <c r="L85" i="154"/>
  <c r="H85" i="154"/>
  <c r="A85" i="154"/>
  <c r="N84" i="154"/>
  <c r="M84" i="154"/>
  <c r="L84" i="154"/>
  <c r="H84" i="154"/>
  <c r="A84" i="154"/>
  <c r="N83" i="154"/>
  <c r="M83" i="154"/>
  <c r="L83" i="154"/>
  <c r="H83" i="154"/>
  <c r="A83" i="154"/>
  <c r="N82" i="154"/>
  <c r="M82" i="154"/>
  <c r="L82" i="154"/>
  <c r="H82" i="154"/>
  <c r="A82" i="154"/>
  <c r="N81" i="154"/>
  <c r="M81" i="154"/>
  <c r="L81" i="154"/>
  <c r="H81" i="154"/>
  <c r="A81" i="154"/>
  <c r="N80" i="154"/>
  <c r="M80" i="154"/>
  <c r="L80" i="154"/>
  <c r="H80" i="154"/>
  <c r="A80" i="154"/>
  <c r="N79" i="154"/>
  <c r="M79" i="154"/>
  <c r="L79" i="154"/>
  <c r="H79" i="154"/>
  <c r="A79" i="154"/>
  <c r="N78" i="154"/>
  <c r="M78" i="154"/>
  <c r="L78" i="154"/>
  <c r="H78" i="154"/>
  <c r="A78" i="154"/>
  <c r="N77" i="154"/>
  <c r="M77" i="154"/>
  <c r="L77" i="154"/>
  <c r="H77" i="154"/>
  <c r="A77" i="154"/>
  <c r="N76" i="154"/>
  <c r="M76" i="154"/>
  <c r="L76" i="154"/>
  <c r="H76" i="154"/>
  <c r="A76" i="154"/>
  <c r="N75" i="154"/>
  <c r="M75" i="154"/>
  <c r="L75" i="154"/>
  <c r="H75" i="154"/>
  <c r="A75" i="154"/>
  <c r="N74" i="154"/>
  <c r="M74" i="154"/>
  <c r="L74" i="154"/>
  <c r="H74" i="154"/>
  <c r="A74" i="154"/>
  <c r="N73" i="154"/>
  <c r="M73" i="154"/>
  <c r="L73" i="154"/>
  <c r="H73" i="154"/>
  <c r="A73" i="154"/>
  <c r="N72" i="154"/>
  <c r="M72" i="154"/>
  <c r="L72" i="154"/>
  <c r="H72" i="154"/>
  <c r="A72" i="154"/>
  <c r="N71" i="154"/>
  <c r="M71" i="154"/>
  <c r="L71" i="154"/>
  <c r="H71" i="154"/>
  <c r="A71" i="154"/>
  <c r="N70" i="154"/>
  <c r="M70" i="154"/>
  <c r="L70" i="154"/>
  <c r="H70" i="154"/>
  <c r="A70" i="154"/>
  <c r="N69" i="154"/>
  <c r="M69" i="154"/>
  <c r="L69" i="154"/>
  <c r="H69" i="154"/>
  <c r="A69" i="154"/>
  <c r="N68" i="154"/>
  <c r="M68" i="154"/>
  <c r="L68" i="154"/>
  <c r="H68" i="154"/>
  <c r="A68" i="154"/>
  <c r="N67" i="154"/>
  <c r="M67" i="154"/>
  <c r="L67" i="154"/>
  <c r="H67" i="154"/>
  <c r="A67" i="154"/>
  <c r="N66" i="154"/>
  <c r="M66" i="154"/>
  <c r="L66" i="154"/>
  <c r="H66" i="154"/>
  <c r="A66" i="154"/>
  <c r="N65" i="154"/>
  <c r="M65" i="154"/>
  <c r="L65" i="154"/>
  <c r="H65" i="154"/>
  <c r="A65" i="154"/>
  <c r="N64" i="154"/>
  <c r="M64" i="154"/>
  <c r="L64" i="154"/>
  <c r="H64" i="154"/>
  <c r="A64" i="154"/>
  <c r="N63" i="154"/>
  <c r="M63" i="154"/>
  <c r="L63" i="154"/>
  <c r="H63" i="154"/>
  <c r="A63" i="154"/>
  <c r="N62" i="154"/>
  <c r="M62" i="154"/>
  <c r="L62" i="154"/>
  <c r="H62" i="154"/>
  <c r="A62" i="154"/>
  <c r="N61" i="154"/>
  <c r="M61" i="154"/>
  <c r="L61" i="154"/>
  <c r="H61" i="154"/>
  <c r="A61" i="154"/>
  <c r="N60" i="154"/>
  <c r="M60" i="154"/>
  <c r="L60" i="154"/>
  <c r="H60" i="154"/>
  <c r="A60" i="154"/>
  <c r="N59" i="154"/>
  <c r="M59" i="154"/>
  <c r="L59" i="154"/>
  <c r="H59" i="154"/>
  <c r="A59" i="154"/>
  <c r="N58" i="154"/>
  <c r="M58" i="154"/>
  <c r="L58" i="154"/>
  <c r="H58" i="154"/>
  <c r="A58" i="154"/>
  <c r="N57" i="154"/>
  <c r="M57" i="154"/>
  <c r="L57" i="154"/>
  <c r="H57" i="154"/>
  <c r="A57" i="154"/>
  <c r="N56" i="154"/>
  <c r="M56" i="154"/>
  <c r="L56" i="154"/>
  <c r="H56" i="154"/>
  <c r="A56" i="154"/>
  <c r="N55" i="154"/>
  <c r="M55" i="154"/>
  <c r="L55" i="154"/>
  <c r="H55" i="154"/>
  <c r="A55" i="154"/>
  <c r="N54" i="154"/>
  <c r="M54" i="154"/>
  <c r="L54" i="154"/>
  <c r="H54" i="154"/>
  <c r="A54" i="154"/>
  <c r="N53" i="154"/>
  <c r="M53" i="154"/>
  <c r="L53" i="154"/>
  <c r="H53" i="154"/>
  <c r="A53" i="154"/>
  <c r="N52" i="154"/>
  <c r="M52" i="154"/>
  <c r="L52" i="154"/>
  <c r="H52" i="154"/>
  <c r="A52" i="154"/>
  <c r="N51" i="154"/>
  <c r="M51" i="154"/>
  <c r="L51" i="154"/>
  <c r="H51" i="154"/>
  <c r="A51" i="154"/>
  <c r="N50" i="154"/>
  <c r="M50" i="154"/>
  <c r="L50" i="154"/>
  <c r="H50" i="154"/>
  <c r="A50" i="154"/>
  <c r="N49" i="154"/>
  <c r="M49" i="154"/>
  <c r="L49" i="154"/>
  <c r="H49" i="154"/>
  <c r="A49" i="154"/>
  <c r="N48" i="154"/>
  <c r="M48" i="154"/>
  <c r="L48" i="154"/>
  <c r="H48" i="154"/>
  <c r="A48" i="154"/>
  <c r="N47" i="154"/>
  <c r="M47" i="154"/>
  <c r="L47" i="154"/>
  <c r="H47" i="154"/>
  <c r="A47" i="154"/>
  <c r="N46" i="154"/>
  <c r="M46" i="154"/>
  <c r="L46" i="154"/>
  <c r="H46" i="154"/>
  <c r="A46" i="154"/>
  <c r="N45" i="154"/>
  <c r="M45" i="154"/>
  <c r="L45" i="154"/>
  <c r="H45" i="154"/>
  <c r="A45" i="154"/>
  <c r="N44" i="154"/>
  <c r="M44" i="154"/>
  <c r="L44" i="154"/>
  <c r="H44" i="154"/>
  <c r="A44" i="154"/>
  <c r="N43" i="154"/>
  <c r="M43" i="154"/>
  <c r="L43" i="154"/>
  <c r="H43" i="154"/>
  <c r="A43" i="154"/>
  <c r="N42" i="154"/>
  <c r="M42" i="154"/>
  <c r="L42" i="154"/>
  <c r="H42" i="154"/>
  <c r="A42" i="154"/>
  <c r="N41" i="154"/>
  <c r="M41" i="154"/>
  <c r="L41" i="154"/>
  <c r="H41" i="154"/>
  <c r="A41" i="154"/>
  <c r="N40" i="154"/>
  <c r="M40" i="154"/>
  <c r="L40" i="154"/>
  <c r="H40" i="154"/>
  <c r="A40" i="154"/>
  <c r="N39" i="154"/>
  <c r="M39" i="154"/>
  <c r="L39" i="154"/>
  <c r="H39" i="154"/>
  <c r="A39" i="154"/>
  <c r="N38" i="154"/>
  <c r="M38" i="154"/>
  <c r="L38" i="154"/>
  <c r="H38" i="154"/>
  <c r="A38" i="154"/>
  <c r="N37" i="154"/>
  <c r="M37" i="154"/>
  <c r="L37" i="154"/>
  <c r="H37" i="154"/>
  <c r="A37" i="154"/>
  <c r="N36" i="154"/>
  <c r="M36" i="154"/>
  <c r="L36" i="154"/>
  <c r="H36" i="154"/>
  <c r="A36" i="154"/>
  <c r="N35" i="154"/>
  <c r="M35" i="154"/>
  <c r="L35" i="154"/>
  <c r="H35" i="154"/>
  <c r="A35" i="154"/>
  <c r="N34" i="154"/>
  <c r="M34" i="154"/>
  <c r="L34" i="154"/>
  <c r="H34" i="154"/>
  <c r="A34" i="154"/>
  <c r="N33" i="154"/>
  <c r="M33" i="154"/>
  <c r="L33" i="154"/>
  <c r="H33" i="154"/>
  <c r="A33" i="154"/>
  <c r="N32" i="154"/>
  <c r="M32" i="154"/>
  <c r="L32" i="154"/>
  <c r="H32" i="154"/>
  <c r="A32" i="154"/>
  <c r="N31" i="154"/>
  <c r="M31" i="154"/>
  <c r="L31" i="154"/>
  <c r="H31" i="154"/>
  <c r="A31" i="154"/>
  <c r="N30" i="154"/>
  <c r="M30" i="154"/>
  <c r="L30" i="154"/>
  <c r="H30" i="154"/>
  <c r="A30" i="154"/>
  <c r="N29" i="154"/>
  <c r="M29" i="154"/>
  <c r="L29" i="154"/>
  <c r="H29" i="154"/>
  <c r="A29" i="154"/>
  <c r="N28" i="154"/>
  <c r="M28" i="154"/>
  <c r="L28" i="154"/>
  <c r="H28" i="154"/>
  <c r="A28" i="154"/>
  <c r="N27" i="154"/>
  <c r="M27" i="154"/>
  <c r="L27" i="154"/>
  <c r="H27" i="154"/>
  <c r="A27" i="154"/>
  <c r="N26" i="154"/>
  <c r="M26" i="154"/>
  <c r="L26" i="154"/>
  <c r="H26" i="154"/>
  <c r="A26" i="154"/>
  <c r="N25" i="154"/>
  <c r="M25" i="154"/>
  <c r="L25" i="154"/>
  <c r="H25" i="154"/>
  <c r="A25" i="154"/>
  <c r="N24" i="154"/>
  <c r="M24" i="154"/>
  <c r="L24" i="154"/>
  <c r="H24" i="154"/>
  <c r="A24" i="154"/>
  <c r="N23" i="154"/>
  <c r="M23" i="154"/>
  <c r="L23" i="154"/>
  <c r="H23" i="154"/>
  <c r="A23" i="154"/>
  <c r="N22" i="154"/>
  <c r="M22" i="154"/>
  <c r="L22" i="154"/>
  <c r="H22" i="154"/>
  <c r="A22" i="154"/>
  <c r="N21" i="154"/>
  <c r="M21" i="154"/>
  <c r="L21" i="154"/>
  <c r="H21" i="154"/>
  <c r="A21" i="154"/>
  <c r="N20" i="154"/>
  <c r="M20" i="154"/>
  <c r="L20" i="154"/>
  <c r="H20" i="154"/>
  <c r="A20" i="154"/>
  <c r="N19" i="154"/>
  <c r="M19" i="154"/>
  <c r="L19" i="154"/>
  <c r="H19" i="154"/>
  <c r="A19" i="154"/>
  <c r="N18" i="154"/>
  <c r="M18" i="154"/>
  <c r="L18" i="154"/>
  <c r="H18" i="154"/>
  <c r="A18" i="154"/>
  <c r="N17" i="154"/>
  <c r="M17" i="154"/>
  <c r="L17" i="154"/>
  <c r="H17" i="154"/>
  <c r="A17" i="154"/>
  <c r="N16" i="154"/>
  <c r="M16" i="154"/>
  <c r="L16" i="154"/>
  <c r="H16" i="154"/>
  <c r="A16" i="154"/>
  <c r="N15" i="154"/>
  <c r="M15" i="154"/>
  <c r="L15" i="154"/>
  <c r="H15" i="154"/>
  <c r="A15" i="154"/>
  <c r="N14" i="154"/>
  <c r="M14" i="154"/>
  <c r="L14" i="154"/>
  <c r="H14" i="154"/>
  <c r="A14" i="154"/>
  <c r="N13" i="154"/>
  <c r="M13" i="154"/>
  <c r="L13" i="154"/>
  <c r="H13" i="154"/>
  <c r="A13" i="154"/>
  <c r="N12" i="154"/>
  <c r="M12" i="154"/>
  <c r="L12" i="154"/>
  <c r="H12" i="154"/>
  <c r="A12" i="154"/>
  <c r="N11" i="154"/>
  <c r="M11" i="154"/>
  <c r="L11" i="154"/>
  <c r="H11" i="154"/>
  <c r="A11" i="154"/>
  <c r="N10" i="154"/>
  <c r="M10" i="154"/>
  <c r="L10" i="154"/>
  <c r="H10" i="154"/>
  <c r="A10" i="154"/>
  <c r="N9" i="154"/>
  <c r="M9" i="154"/>
  <c r="L9" i="154"/>
  <c r="H9" i="154"/>
  <c r="A9" i="154"/>
  <c r="N8" i="154"/>
  <c r="M8" i="154"/>
  <c r="L8" i="154"/>
  <c r="H8" i="154"/>
  <c r="A8" i="154"/>
  <c r="N7" i="154"/>
  <c r="M7" i="154"/>
  <c r="L7" i="154"/>
  <c r="H7" i="154"/>
  <c r="A7" i="154"/>
  <c r="N6" i="154"/>
  <c r="M6" i="154"/>
  <c r="L6" i="154"/>
  <c r="H6" i="154"/>
  <c r="A6" i="154"/>
  <c r="N5" i="154"/>
  <c r="M5" i="154"/>
  <c r="L5" i="154"/>
  <c r="H5" i="154"/>
  <c r="A5" i="154"/>
  <c r="N4" i="154"/>
  <c r="M4" i="154"/>
  <c r="L4" i="154"/>
  <c r="H4" i="154"/>
  <c r="A4" i="154"/>
  <c r="N3" i="154"/>
  <c r="M3" i="154"/>
  <c r="L3" i="154"/>
  <c r="H3" i="154"/>
  <c r="A3" i="154"/>
  <c r="N2" i="154"/>
  <c r="M2" i="154"/>
  <c r="L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<sst xmlns="http://schemas.openxmlformats.org/spreadsheetml/2006/main" count="550" uniqueCount="271">
  <si>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</si>
  <si>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</si>
  <si>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</si>
  <si>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</si>
  <si>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</si>
  <si>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</si>
  <si>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</si>
  <si>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</si>
  <si>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</si>
  <si>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</si>
  <si>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</si>
  <si>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</si>
  <si>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</si>
  <si>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</si>
  <si>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</si>
  <si>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</si>
  <si>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</si>
  <si>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</si>
  <si>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</si>
  <si>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</si>
  <si>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</si>
  <si>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</si>
  <si>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</si>
  <si>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</si>
  <si>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</si>
  <si>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</si>
  <si>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</si>
  <si>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</si>
  <si>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</si>
  <si>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</si>
  <si>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</si>
  <si>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</si>
  <si>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</si>
  <si>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</si>
  <si>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</si>
  <si>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</si>
  <si>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</si>
  <si>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</si>
  <si>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</si>
  <si>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</si>
  <si>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</si>
  <si>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</si>
  <si>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</si>
  <si>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</si>
  <si>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</si>
  <si>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</si>
  <si>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</si>
  <si>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</si>
  <si>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</si>
  <si>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</si>
  <si>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</si>
  <si>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</si>
  <si>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</si>
  <si>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</si>
  <si>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</si>
  <si>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</si>
  <si>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</si>
  <si>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</si>
  <si>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</si>
  <si>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</si>
  <si>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</si>
  <si>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</si>
  <si>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</si>
  <si>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</si>
  <si>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</si>
  <si>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</si>
  <si>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</si>
  <si>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</si>
  <si>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</si>
  <si>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</si>
  <si>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</si>
  <si>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</si>
  <si>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</si>
  <si>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</si>
  <si>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</si>
  <si>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</si>
  <si>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</si>
  <si>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</si>
  <si>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</si>
  <si>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</si>
  <si>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</si>
  <si>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</si>
  <si>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</si>
  <si>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</si>
  <si>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</si>
  <si>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</si>
  <si>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</si>
  <si>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</si>
  <si>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</si>
  <si>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</si>
  <si>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</si>
  <si>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</si>
  <si>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</si>
  <si>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</si>
  <si>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</si>
  <si>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</si>
  <si>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</si>
  <si>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</si>
  <si>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</si>
  <si>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</si>
  <si>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</si>
  <si>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</si>
  <si>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</si>
  <si>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</si>
  <si>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</si>
  <si>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</si>
  <si>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</si>
  <si>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</si>
  <si>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</si>
  <si>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</si>
  <si>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</si>
  <si>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</si>
  <si>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</si>
  <si>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</si>
  <si>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</si>
  <si>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</si>
  <si>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</si>
  <si>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</si>
  <si>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</si>
  <si>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</si>
  <si>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</si>
  <si>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</si>
  <si>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</si>
  <si>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</si>
  <si>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</si>
  <si>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</si>
  <si>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</si>
  <si>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</si>
  <si>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</si>
  <si>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</si>
  <si>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</si>
  <si>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</si>
  <si>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</si>
  <si>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</si>
  <si>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</si>
  <si>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</si>
  <si>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</si>
  <si>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</si>
  <si>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</si>
  <si>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</si>
  <si>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</si>
  <si>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</si>
  <si>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</si>
  <si>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</si>
  <si>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</si>
  <si>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</si>
  <si>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</si>
  <si>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</si>
  <si>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</si>
  <si>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</si>
  <si>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</si>
  <si>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</si>
  <si>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</si>
  <si>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</si>
  <si>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</si>
  <si>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</si>
  <si>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</si>
  <si>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</si>
  <si>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</si>
  <si>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</si>
  <si>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</si>
  <si>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</si>
  <si>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</si>
  <si>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</si>
  <si>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</si>
  <si>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</si>
  <si>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</si>
  <si>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</si>
  <si>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</si>
  <si>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</si>
  <si>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</si>
  <si>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</si>
  <si>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</si>
  <si>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</si>
  <si>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</si>
  <si>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</si>
  <si>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</si>
  <si>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</si>
  <si>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</si>
  <si>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</si>
  <si>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</si>
  <si>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</si>
  <si>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</si>
  <si>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</si>
  <si>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</si>
  <si>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</si>
  <si>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</si>
  <si>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</si>
  <si>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</si>
  <si>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</si>
  <si>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</si>
  <si>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</si>
  <si>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</si>
  <si>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</si>
  <si>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</si>
  <si>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</si>
  <si>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</si>
  <si>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</si>
  <si>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</si>
  <si>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</si>
  <si>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</si>
  <si>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</si>
  <si>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</si>
  <si>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</si>
  <si>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</si>
  <si>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</si>
  <si>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</si>
  <si>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</si>
  <si>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</si>
  <si>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</si>
  <si>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</si>
  <si>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</si>
  <si>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</si>
  <si>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</si>
  <si>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</si>
  <si>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</si>
  <si>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</si>
  <si>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</si>
  <si>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</si>
  <si>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</si>
  <si>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</si>
  <si>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</si>
  <si>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</si>
  <si>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</si>
  <si>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</si>
  <si>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</si>
  <si>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</si>
  <si>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</si>
  <si>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</si>
  <si>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</si>
  <si>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</si>
  <si>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</si>
  <si>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</si>
  <si>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</si>
  <si>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</si>
  <si>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</si>
  <si>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</si>
  <si>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</si>
  <si>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</si>
  <si>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</si>
  <si>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</si>
  <si>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</si>
  <si>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</si>
  <si>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</si>
  <si>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</si>
  <si>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</si>
  <si>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</si>
  <si>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</si>
  <si>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</si>
  <si>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PremiumW3</t>
    <phoneticPr fontId="21"/>
  </si>
  <si>
    <t>PremiumW3color</t>
  </si>
  <si>
    <t>PremiumW4color</t>
  </si>
  <si>
    <t>Premium3color</t>
  </si>
  <si>
    <t>Premium4color</t>
  </si>
  <si>
    <t>Premium5color</t>
  </si>
  <si>
    <t>Premium4R3lesscolor</t>
  </si>
  <si>
    <t>Premium5R3lesscolor</t>
  </si>
  <si>
    <t>Premium3R6releasecolor</t>
  </si>
  <si>
    <t>Premium4R6releasecolor</t>
  </si>
  <si>
    <t>Premium5R6releasecolor</t>
  </si>
  <si>
    <t>PremiumSS4color</t>
  </si>
  <si>
    <t>PremiumSS5color</t>
  </si>
  <si>
    <t>PremiumSS5R5onlycolor</t>
  </si>
  <si>
    <t>PremiumSSS4R3lesscolor</t>
  </si>
  <si>
    <t>PremiumSSS5R3lesscolor</t>
  </si>
  <si>
    <t>PremiumSSw</t>
    <phoneticPr fontId="21"/>
  </si>
  <si>
    <t>tables_490100</t>
    <phoneticPr fontId="21"/>
  </si>
  <si>
    <t>tables_490010</t>
    <phoneticPr fontId="21"/>
  </si>
  <si>
    <t>tables_settle_490105</t>
    <phoneticPr fontId="21"/>
  </si>
  <si>
    <t>ピックアップ確率</t>
    <phoneticPr fontId="21"/>
  </si>
  <si>
    <t>ピックアップ確率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</si>
</sst>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101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" fillId="4" borderId="1" xfId="2978" applyFont="1" applyFill="1" applyBorder="1"/>
    <xf numFmtId="176" fontId="0" fillId="0" borderId="0" xfId="3575" applyNumberFormat="1" applyFont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balance</v>
          </cell>
          <cell r="L1263" t="str">
            <v>バランスタイプ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balance</v>
          </cell>
          <cell r="L1264" t="str">
            <v>バランスタイプ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アウリ(元狛犬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アウリ(元狛犬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8077</v>
          </cell>
          <cell r="B1473" t="str">
            <v>ja</v>
          </cell>
          <cell r="C1473" t="str">
            <v>鄭成功</v>
          </cell>
          <cell r="D1473" t="str">
            <v>ポムポムプリン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blue</v>
          </cell>
          <cell r="I1473">
            <v>5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8078</v>
          </cell>
          <cell r="B1474" t="str">
            <v>ja</v>
          </cell>
          <cell r="C1474" t="str">
            <v>レア６鄭成功</v>
          </cell>
          <cell r="D1474" t="str">
            <v>ポムポムプリン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attack</v>
          </cell>
          <cell r="L1474" t="str">
            <v>攻撃タイプ</v>
          </cell>
          <cell r="M1474" t="str">
            <v>human</v>
          </cell>
        </row>
        <row r="1475">
          <cell r="A1475">
            <v>8079</v>
          </cell>
          <cell r="B1475" t="str">
            <v>ja</v>
          </cell>
          <cell r="C1475" t="str">
            <v>赤鬼</v>
          </cell>
          <cell r="D1475" t="str">
            <v>ポムポムプリン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red</v>
          </cell>
          <cell r="I1475">
            <v>5</v>
          </cell>
          <cell r="J1475" t="str">
            <v>DropWizS</v>
          </cell>
          <cell r="K1475" t="str">
            <v>hp</v>
          </cell>
          <cell r="L1475" t="str">
            <v>体力タイプ</v>
          </cell>
          <cell r="M1475" t="str">
            <v>dragon</v>
          </cell>
        </row>
        <row r="1476">
          <cell r="A1476">
            <v>8080</v>
          </cell>
          <cell r="B1476" t="str">
            <v>ja</v>
          </cell>
          <cell r="C1476" t="str">
            <v>レア６赤鬼</v>
          </cell>
          <cell r="D1476" t="str">
            <v>ポムポムプリン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hp</v>
          </cell>
          <cell r="L1476" t="str">
            <v>体力タイプ</v>
          </cell>
          <cell r="M1476" t="str">
            <v>dragon</v>
          </cell>
        </row>
        <row r="1477">
          <cell r="A1477">
            <v>8095</v>
          </cell>
          <cell r="B1477" t="str">
            <v>ja</v>
          </cell>
          <cell r="C1477" t="str">
            <v>バハムートダック赤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red</v>
          </cell>
          <cell r="I1477">
            <v>6</v>
          </cell>
          <cell r="J1477" t="str">
            <v>Material</v>
          </cell>
          <cell r="K1477" t="str">
            <v>exp</v>
          </cell>
          <cell r="L1477" t="str">
            <v>強化素材タイプ</v>
          </cell>
          <cell r="M1477" t="str">
            <v>unknown</v>
          </cell>
        </row>
        <row r="1478">
          <cell r="A1478">
            <v>8096</v>
          </cell>
          <cell r="B1478" t="str">
            <v>ja</v>
          </cell>
          <cell r="C1478" t="str">
            <v>バハムートダック緑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6</v>
          </cell>
          <cell r="J1478" t="str">
            <v>Material</v>
          </cell>
          <cell r="K1478" t="str">
            <v>exp</v>
          </cell>
          <cell r="L1478" t="str">
            <v>強化素材タイプ</v>
          </cell>
          <cell r="M1478" t="str">
            <v>unknown</v>
          </cell>
        </row>
        <row r="1479">
          <cell r="A1479">
            <v>8097</v>
          </cell>
          <cell r="B1479" t="str">
            <v>ja</v>
          </cell>
          <cell r="C1479" t="str">
            <v>バハムートダック青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blue</v>
          </cell>
          <cell r="I1479">
            <v>6</v>
          </cell>
          <cell r="J1479" t="str">
            <v>Material</v>
          </cell>
          <cell r="K1479" t="str">
            <v>exp</v>
          </cell>
          <cell r="L1479" t="str">
            <v>強化素材タイプ</v>
          </cell>
          <cell r="M1479" t="str">
            <v>unknown</v>
          </cell>
        </row>
        <row r="1480">
          <cell r="A1480">
            <v>8098</v>
          </cell>
          <cell r="B1480" t="str">
            <v>ja</v>
          </cell>
          <cell r="C1480" t="str">
            <v>バハムートダック黄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6</v>
          </cell>
          <cell r="J1480" t="str">
            <v>Material</v>
          </cell>
          <cell r="K1480" t="str">
            <v>exp</v>
          </cell>
          <cell r="L1480" t="str">
            <v>強化素材タイプ</v>
          </cell>
          <cell r="M1480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H14" sqref="H14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G7" sqref="G7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245</v>
      </c>
      <c r="B2" s="61" t="s">
        <v>110</v>
      </c>
      <c r="C2" s="50" t="str">
        <f t="shared" ref="C2" si="0">RIGHT(F2,6)</f>
        <v>490100</v>
      </c>
      <c r="D2" s="19" t="s">
        <v>45</v>
      </c>
      <c r="E2" s="17" t="str">
        <f t="shared" ref="E2" si="1">B2&amp;C2&amp;D2</f>
        <v>gacha_select_tables_490100.tmp</v>
      </c>
      <c r="F2" s="99" t="s">
        <v>266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245</v>
      </c>
      <c r="B3" s="61" t="s">
        <v>110</v>
      </c>
      <c r="C3" s="50" t="str">
        <f t="shared" ref="C3:C7" si="2">RIGHT(F3,6)</f>
        <v>490010</v>
      </c>
      <c r="D3" s="19" t="s">
        <v>45</v>
      </c>
      <c r="E3" s="17" t="str">
        <f t="shared" ref="E3:E10" si="3">B3&amp;C3&amp;D3</f>
        <v>gacha_select_tables_490010.tmp</v>
      </c>
      <c r="F3" s="99" t="s">
        <v>267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246</v>
      </c>
      <c r="B4" s="96" t="s">
        <v>247</v>
      </c>
      <c r="C4" s="97" t="str">
        <f t="shared" si="2"/>
        <v>490105</v>
      </c>
      <c r="D4" s="19" t="s">
        <v>248</v>
      </c>
      <c r="E4" s="17" t="str">
        <f t="shared" si="3"/>
        <v>gacha_settle_tables_490105.tmp</v>
      </c>
      <c r="F4" s="99" t="s">
        <v>268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29" sqref="B29"/>
    </sheetView>
  </sheetViews>
  <sheetFormatPr baseColWidth="12" defaultRowHeight="14" x14ac:dyDescent="0.15"/>
  <cols>
    <col min="1" max="2" width="24.19921875" bestFit="1" customWidth="1"/>
    <col min="17" max="17" width="15.3984375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594</v>
      </c>
      <c r="M3" s="37" t="str">
        <f>VLOOKUP(L3,[1]characters!$A:$C,3,FALSE)</f>
        <v>アルフヘイム</v>
      </c>
      <c r="N3" s="63">
        <v>1.4999999999999999E-2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VLOOKUP(L3,tables_490010!B:C,2,FALSE)</f>
        <v>PremiumSS4color</v>
      </c>
      <c r="R3" s="62">
        <f t="shared" ref="R3:R20" si="1">N3*A$36</f>
        <v>99000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595</v>
      </c>
      <c r="M4" s="37" t="str">
        <f>VLOOKUP(L4,[1]characters!$A:$C,3,FALSE)</f>
        <v>光華なる神域 アルフヘイム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VLOOKUP(L4,tables_490010!B:C,2,FALSE)</f>
        <v>PremiumSS5color</v>
      </c>
      <c r="R4" s="62">
        <f t="shared" si="1"/>
        <v>99000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1E-3</v>
      </c>
      <c r="F5">
        <f>(COUNTIF(tables_490010!C:C,input_490010!A28)+COUNTIF(tables_490010!C:C,input_490010!A29))</f>
        <v>17</v>
      </c>
      <c r="G5" s="100"/>
      <c r="H5" s="84">
        <v>0.06</v>
      </c>
      <c r="I5" s="31">
        <v>2</v>
      </c>
      <c r="L5" s="60">
        <v>499</v>
      </c>
      <c r="M5" s="37" t="str">
        <f>VLOOKUP(L5,[1]characters!$A:$C,3,FALSE)</f>
        <v>ラプンツェル</v>
      </c>
      <c r="N5" s="63">
        <v>1.4999999999999999E-2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VLOOKUP(L5,tables_490010!B:C,2,FALSE)</f>
        <v>PremiumSS4color</v>
      </c>
      <c r="R5" s="62">
        <f t="shared" si="1"/>
        <v>99000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4.2045454545454546E-2</v>
      </c>
      <c r="F6">
        <f>(COUNTIF(tables_490010!C:C,input_490010!A25)+COUNTIF(tables_490010!C:C,input_490010!A18)+COUNTIF(tables_490010!C:C,input_490010!A20)+COUNTIF(tables_490010!C:C,input_490010!A22))</f>
        <v>22</v>
      </c>
      <c r="G6" s="100"/>
      <c r="H6" s="89">
        <v>0</v>
      </c>
      <c r="I6" s="31">
        <v>0</v>
      </c>
      <c r="L6" s="93">
        <v>500</v>
      </c>
      <c r="M6" s="37" t="str">
        <f>VLOOKUP(L6,[1]characters!$A:$C,3,FALSE)</f>
        <v>脈動の禁髪 ラプンツェル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VLOOKUP(L6,tables_490010!B:C,2,FALSE)</f>
        <v>PremiumSS5color</v>
      </c>
      <c r="R6" s="62">
        <f t="shared" si="1"/>
        <v>99000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VLOOKUP(L7,tables_490010!B:C,2,FALSE)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VLOOKUP(L8,tables_490010!B:C,2,FALSE)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269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250</v>
      </c>
      <c r="B17" s="82">
        <f>B$5-B19-B24</f>
        <v>0.20568181818181816</v>
      </c>
      <c r="C17" s="85">
        <f t="shared" ref="C17:C31" si="2">SUMIF(Q:Q,A17,N:N)</f>
        <v>0</v>
      </c>
      <c r="D17" s="74">
        <f t="shared" ref="D17:D32" si="3">B17-C17</f>
        <v>0.20568181818181816</v>
      </c>
      <c r="E17">
        <f>COUNTIF(tables_490010!C:C,input_490010!A17)-COUNTIF(Q:Q,A17)</f>
        <v>5</v>
      </c>
      <c r="F17" s="43">
        <f>IFERROR(B17/E17,0)</f>
        <v>4.1136363636363631E-2</v>
      </c>
      <c r="G17">
        <f t="shared" ref="G17:G31" si="4">A$36*B17</f>
        <v>1357499.9999999998</v>
      </c>
      <c r="H17">
        <f t="shared" ref="H17:H31" si="5">IFERROR(ROUND(G17/E17,5),0)</f>
        <v>271500</v>
      </c>
      <c r="I17">
        <f t="shared" ref="I17:I31" si="6">MOD(H17,1)</f>
        <v>0</v>
      </c>
      <c r="J17">
        <f t="shared" ref="J17:J31" si="7">IFERROR(1/I17,1)</f>
        <v>1</v>
      </c>
      <c r="K17" s="33" t="s">
        <v>249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251</v>
      </c>
      <c r="B18" s="56">
        <f>E$6*E18-B17</f>
        <v>4.5454545454545747E-3</v>
      </c>
      <c r="C18" s="85">
        <f t="shared" si="2"/>
        <v>0</v>
      </c>
      <c r="D18" s="74">
        <f t="shared" si="3"/>
        <v>4.5454545454545747E-3</v>
      </c>
      <c r="E18">
        <f>COUNTIF(tables_490010!C:C,input_490010!A18)-COUNTIF(Q:Q,A18)</f>
        <v>5</v>
      </c>
      <c r="F18" s="43">
        <f>IFERROR(B18/E18,0)</f>
        <v>9.0909090909091494E-4</v>
      </c>
      <c r="G18">
        <f t="shared" si="4"/>
        <v>30000.000000000193</v>
      </c>
      <c r="H18">
        <f t="shared" si="5"/>
        <v>6000</v>
      </c>
      <c r="I18">
        <f t="shared" si="6"/>
        <v>0</v>
      </c>
      <c r="J18">
        <f t="shared" si="7"/>
        <v>1</v>
      </c>
      <c r="K18" s="33" t="s">
        <v>191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252</v>
      </c>
      <c r="B19" s="56">
        <f>E$6*E19*B$5</f>
        <v>0.27329545454545456</v>
      </c>
      <c r="C19" s="85">
        <f t="shared" si="2"/>
        <v>0</v>
      </c>
      <c r="D19" s="74">
        <f t="shared" si="3"/>
        <v>0.27329545454545456</v>
      </c>
      <c r="E19">
        <f>COUNTIF(tables_490010!C:C,input_490010!A19)-COUNTIF(Q:Q,A19)</f>
        <v>13</v>
      </c>
      <c r="F19" s="43">
        <f t="shared" ref="F19:F31" si="8">IFERROR(B19/E19,0)</f>
        <v>2.1022727272727273E-2</v>
      </c>
      <c r="G19">
        <f t="shared" si="4"/>
        <v>1803750.0000000002</v>
      </c>
      <c r="H19">
        <f t="shared" si="5"/>
        <v>138750</v>
      </c>
      <c r="I19">
        <f t="shared" si="6"/>
        <v>0</v>
      </c>
      <c r="J19">
        <f t="shared" si="7"/>
        <v>1</v>
      </c>
      <c r="K19" s="33" t="s">
        <v>97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253</v>
      </c>
      <c r="B20" s="94">
        <f>E$6*E20*B$6</f>
        <v>0.24596590909090912</v>
      </c>
      <c r="C20" s="85">
        <f t="shared" si="2"/>
        <v>0</v>
      </c>
      <c r="D20" s="74">
        <f t="shared" si="3"/>
        <v>0.24596590909090912</v>
      </c>
      <c r="E20">
        <f>COUNTIF(tables_490010!C:C,input_490010!A20)-COUNTIF(Q:Q,A20)</f>
        <v>13</v>
      </c>
      <c r="F20" s="43">
        <f t="shared" si="8"/>
        <v>1.8920454545454549E-2</v>
      </c>
      <c r="G20">
        <f t="shared" si="4"/>
        <v>1623375.0000000002</v>
      </c>
      <c r="H20">
        <f t="shared" si="5"/>
        <v>124875</v>
      </c>
      <c r="I20">
        <f t="shared" si="6"/>
        <v>0</v>
      </c>
      <c r="J20">
        <f t="shared" si="7"/>
        <v>1</v>
      </c>
      <c r="K20" s="33" t="s">
        <v>98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254</v>
      </c>
      <c r="B21" s="56">
        <f>B7-B23-B26-B28-B29-C28</f>
        <v>1.3409090909090871E-3</v>
      </c>
      <c r="C21" s="85">
        <f t="shared" si="2"/>
        <v>0</v>
      </c>
      <c r="D21" s="74">
        <f t="shared" si="3"/>
        <v>1.3409090909090871E-3</v>
      </c>
      <c r="E21">
        <f>COUNTIF(tables_490010!C:C,input_490010!A21)-COUNTIF(Q:Q,A21)</f>
        <v>15</v>
      </c>
      <c r="F21" s="43">
        <f t="shared" si="8"/>
        <v>8.9393939393939131E-5</v>
      </c>
      <c r="G21">
        <f t="shared" si="4"/>
        <v>8849.9999999999745</v>
      </c>
      <c r="H21">
        <f t="shared" si="5"/>
        <v>590</v>
      </c>
      <c r="I21">
        <f t="shared" si="6"/>
        <v>0</v>
      </c>
      <c r="J21">
        <f t="shared" si="7"/>
        <v>1</v>
      </c>
      <c r="K21" s="33" t="s">
        <v>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255</v>
      </c>
      <c r="B22" s="75">
        <f>E$6*E22-B23</f>
        <v>0.11982954545454545</v>
      </c>
      <c r="C22" s="85">
        <f t="shared" si="2"/>
        <v>0</v>
      </c>
      <c r="D22" s="74">
        <f t="shared" si="3"/>
        <v>0.11982954545454545</v>
      </c>
      <c r="E22">
        <f>COUNTIF(tables_490010!C:C,input_490010!A22)-COUNTIF(Q:Q,A22)</f>
        <v>3</v>
      </c>
      <c r="F22" s="43">
        <f t="shared" si="8"/>
        <v>3.9943181818181815E-2</v>
      </c>
      <c r="G22">
        <f t="shared" si="4"/>
        <v>790875</v>
      </c>
      <c r="H22">
        <f t="shared" si="5"/>
        <v>263625</v>
      </c>
      <c r="I22">
        <f t="shared" si="6"/>
        <v>0</v>
      </c>
      <c r="J22">
        <f t="shared" si="7"/>
        <v>1</v>
      </c>
      <c r="K22" s="33" t="s">
        <v>196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256</v>
      </c>
      <c r="B23" s="70">
        <f>E23*E6*B7</f>
        <v>6.3068181818181817E-3</v>
      </c>
      <c r="C23" s="85">
        <f t="shared" si="2"/>
        <v>0</v>
      </c>
      <c r="D23" s="74">
        <f t="shared" si="3"/>
        <v>6.3068181818181817E-3</v>
      </c>
      <c r="E23">
        <f>COUNTIF(tables_490010!C:C,input_490010!A23)-COUNTIF(Q:Q,A23)</f>
        <v>3</v>
      </c>
      <c r="F23" s="43">
        <f t="shared" si="8"/>
        <v>2.1022727272727274E-3</v>
      </c>
      <c r="G23">
        <f t="shared" si="4"/>
        <v>41625</v>
      </c>
      <c r="H23">
        <f t="shared" si="5"/>
        <v>13875</v>
      </c>
      <c r="I23">
        <f t="shared" si="6"/>
        <v>0</v>
      </c>
      <c r="J23">
        <f t="shared" si="7"/>
        <v>1</v>
      </c>
      <c r="K23" s="33" t="s">
        <v>197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257</v>
      </c>
      <c r="B24" s="56">
        <f>E$6*E24*B$5</f>
        <v>2.1022727272727273E-2</v>
      </c>
      <c r="C24" s="85">
        <f t="shared" si="2"/>
        <v>0</v>
      </c>
      <c r="D24" s="74">
        <f t="shared" si="3"/>
        <v>2.1022727272727273E-2</v>
      </c>
      <c r="E24">
        <f>COUNTIF(tables_490010!C:C,input_490010!A24)-COUNTIF(Q:Q,A24)</f>
        <v>1</v>
      </c>
      <c r="F24" s="43">
        <f t="shared" si="8"/>
        <v>2.1022727272727273E-2</v>
      </c>
      <c r="G24">
        <f t="shared" si="4"/>
        <v>138750</v>
      </c>
      <c r="H24">
        <f t="shared" si="5"/>
        <v>138750</v>
      </c>
      <c r="I24">
        <f t="shared" si="6"/>
        <v>0</v>
      </c>
      <c r="J24">
        <f t="shared" si="7"/>
        <v>1</v>
      </c>
      <c r="K24" s="33" t="s">
        <v>193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258</v>
      </c>
      <c r="B25" s="56">
        <f>B6-B18-B20-B22-B27-C27</f>
        <v>4.4909090909090857E-2</v>
      </c>
      <c r="C25" s="85">
        <f t="shared" si="2"/>
        <v>0</v>
      </c>
      <c r="D25" s="74">
        <f t="shared" si="3"/>
        <v>4.4909090909090857E-2</v>
      </c>
      <c r="E25">
        <f>COUNTIF(tables_490010!C:C,input_490010!A25)-COUNTIF(Q:Q,A25)</f>
        <v>1</v>
      </c>
      <c r="F25" s="43">
        <f t="shared" si="8"/>
        <v>4.4909090909090857E-2</v>
      </c>
      <c r="G25">
        <f t="shared" si="4"/>
        <v>296399.99999999965</v>
      </c>
      <c r="H25">
        <f t="shared" si="5"/>
        <v>296400</v>
      </c>
      <c r="I25">
        <f t="shared" si="6"/>
        <v>0</v>
      </c>
      <c r="J25">
        <f t="shared" si="7"/>
        <v>1</v>
      </c>
      <c r="K25" s="33" t="s">
        <v>194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259</v>
      </c>
      <c r="B26" s="56">
        <f>E$6*B$7*E26</f>
        <v>2.1022727272727274E-3</v>
      </c>
      <c r="C26" s="85">
        <f t="shared" si="2"/>
        <v>0</v>
      </c>
      <c r="D26" s="74">
        <f t="shared" si="3"/>
        <v>2.1022727272727274E-3</v>
      </c>
      <c r="E26">
        <f>COUNTIF(tables_490010!C:C,input_490010!A26)-COUNTIF(Q:Q,A26)</f>
        <v>1</v>
      </c>
      <c r="F26" s="43">
        <f t="shared" si="8"/>
        <v>2.1022727272727274E-3</v>
      </c>
      <c r="G26">
        <f t="shared" si="4"/>
        <v>13875</v>
      </c>
      <c r="H26">
        <f t="shared" si="5"/>
        <v>13875</v>
      </c>
      <c r="I26">
        <f t="shared" si="6"/>
        <v>0</v>
      </c>
      <c r="J26">
        <f t="shared" si="7"/>
        <v>1</v>
      </c>
      <c r="K26" s="33" t="s">
        <v>195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260</v>
      </c>
      <c r="B27" s="56">
        <f>E$5*E27*(B$5+B$6)</f>
        <v>4.7499999999999999E-3</v>
      </c>
      <c r="C27" s="85">
        <f>SUMIF(Q:Q,A27,N:N)</f>
        <v>0.03</v>
      </c>
      <c r="D27" s="74">
        <f t="shared" si="3"/>
        <v>-2.5249999999999998E-2</v>
      </c>
      <c r="E27">
        <f>COUNTIF(tables_490010!C:C,input_490010!A27)-COUNTIF(Q:Q,A27)</f>
        <v>5</v>
      </c>
      <c r="F27" s="43">
        <f>IFERROR(B27/E27,0)</f>
        <v>9.5E-4</v>
      </c>
      <c r="G27">
        <f t="shared" si="4"/>
        <v>31350</v>
      </c>
      <c r="H27">
        <f t="shared" si="5"/>
        <v>6270</v>
      </c>
      <c r="I27">
        <f t="shared" si="6"/>
        <v>0</v>
      </c>
      <c r="J27">
        <f t="shared" si="7"/>
        <v>1</v>
      </c>
      <c r="K27" s="33" t="s">
        <v>106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261</v>
      </c>
      <c r="B28" s="56">
        <f>E$5*E28*B$7</f>
        <v>2.5000000000000001E-4</v>
      </c>
      <c r="C28" s="85">
        <f t="shared" si="2"/>
        <v>0.03</v>
      </c>
      <c r="D28" s="74">
        <f t="shared" si="3"/>
        <v>-2.9749999999999999E-2</v>
      </c>
      <c r="E28">
        <f>COUNTIF(tables_490010!C:C,input_490010!A28)-COUNTIF(Q:Q,A28)</f>
        <v>5</v>
      </c>
      <c r="F28" s="43">
        <f t="shared" si="8"/>
        <v>5.0000000000000002E-5</v>
      </c>
      <c r="G28">
        <f t="shared" si="4"/>
        <v>1650</v>
      </c>
      <c r="H28">
        <f t="shared" si="5"/>
        <v>330</v>
      </c>
      <c r="I28">
        <f t="shared" si="6"/>
        <v>0</v>
      </c>
      <c r="J28">
        <f t="shared" si="7"/>
        <v>1</v>
      </c>
      <c r="K28" s="33" t="s">
        <v>107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262</v>
      </c>
      <c r="B29" s="56">
        <f>E$5*E29</f>
        <v>0.01</v>
      </c>
      <c r="C29" s="85">
        <f t="shared" si="2"/>
        <v>0</v>
      </c>
      <c r="D29" s="74">
        <f t="shared" si="3"/>
        <v>0.01</v>
      </c>
      <c r="E29">
        <f>COUNTIF(tables_490010!C:C,input_490010!A29)-COUNTIF(Q:Q,A29)</f>
        <v>10</v>
      </c>
      <c r="F29" s="43">
        <f t="shared" si="8"/>
        <v>1E-3</v>
      </c>
      <c r="G29">
        <f t="shared" si="4"/>
        <v>66000</v>
      </c>
      <c r="H29">
        <f t="shared" si="5"/>
        <v>6600</v>
      </c>
      <c r="I29">
        <f t="shared" si="6"/>
        <v>0</v>
      </c>
      <c r="J29">
        <f t="shared" si="7"/>
        <v>1</v>
      </c>
      <c r="K29" s="33" t="s">
        <v>199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263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COUNTIF(tables_490010!C:C,input_490010!A30)-COUNTIF(Q:Q,A30)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K30" s="33" t="s">
        <v>239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264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COUNTIF(tables_490010!C:C,input_490010!A31)-COUNTIF(Q:Q,A31)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K31" s="33" t="s">
        <v>240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0.94000000000000006</v>
      </c>
      <c r="C32" s="41">
        <f>SUM(C19:C31)</f>
        <v>0.06</v>
      </c>
      <c r="D32" s="42">
        <f t="shared" si="3"/>
        <v>0.88000000000000012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</row>
    <row r="35" spans="1:7" x14ac:dyDescent="0.15">
      <c r="A35" t="s">
        <v>73</v>
      </c>
    </row>
    <row r="36" spans="1:7" x14ac:dyDescent="0.15">
      <c r="A36" s="31">
        <f>LCM(F5-I5,F6-I6)*1000*2*2*5</f>
        <v>6600000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SUMIF(tables_490010!C:C,input_490010!A40,tables_490010!O:O)</f>
        <v>0</v>
      </c>
      <c r="C40" s="54" t="e">
        <f t="shared" ref="C40:C46" ca="1" si="9">B40/B$47</f>
        <v>#DIV/0!</v>
      </c>
      <c r="E40">
        <v>3</v>
      </c>
      <c r="F40">
        <f ca="1">SUMIF(tables_490010!J:J,input_490010!E40,tables_490010!O:O)</f>
        <v>3300000</v>
      </c>
      <c r="G40">
        <f ca="1">F40/A36</f>
        <v>0.5</v>
      </c>
    </row>
    <row r="41" spans="1:7" x14ac:dyDescent="0.15">
      <c r="A41" s="33" t="s">
        <v>104</v>
      </c>
      <c r="B41">
        <f ca="1">SUMIF(tables_490010!C:C,input_490010!A41,tables_490010!O:O)</f>
        <v>0</v>
      </c>
      <c r="C41" s="54" t="e">
        <f t="shared" ca="1" si="9"/>
        <v>#DIV/0!</v>
      </c>
      <c r="E41">
        <v>4</v>
      </c>
      <c r="F41">
        <f ca="1">SUMIF(tables_490010!J:J,input_490010!E41,tables_490010!O:O)</f>
        <v>2970000</v>
      </c>
      <c r="G41">
        <f ca="1">F41/A36</f>
        <v>0.45</v>
      </c>
    </row>
    <row r="42" spans="1:7" x14ac:dyDescent="0.15">
      <c r="A42" s="33" t="s">
        <v>106</v>
      </c>
      <c r="B42">
        <f ca="1">SUMIF(tables_490010!C:C,input_490010!A42,tables_490010!O:O)</f>
        <v>0</v>
      </c>
      <c r="C42" s="54" t="e">
        <f t="shared" ca="1" si="9"/>
        <v>#DIV/0!</v>
      </c>
      <c r="E42">
        <v>5</v>
      </c>
      <c r="F42">
        <f ca="1">SUMIF(tables_490010!J:J,input_490010!E42,tables_490010!O:O)</f>
        <v>330000</v>
      </c>
      <c r="G42">
        <f ca="1">F42/A36</f>
        <v>0.05</v>
      </c>
    </row>
    <row r="43" spans="1:7" x14ac:dyDescent="0.15">
      <c r="A43" s="33" t="s">
        <v>109</v>
      </c>
      <c r="B43">
        <f>SUMIF(tables_490010!C:C,input_490010!A43,tables_490010!O:O)</f>
        <v>0</v>
      </c>
      <c r="C43" s="54" t="e">
        <f t="shared" ca="1" si="9"/>
        <v>#DIV/0!</v>
      </c>
      <c r="F43" s="55"/>
    </row>
    <row r="44" spans="1:7" x14ac:dyDescent="0.15">
      <c r="A44" s="33" t="s">
        <v>105</v>
      </c>
      <c r="B44">
        <f ca="1">SUMIF(tables_490010!C:C,input_490010!A44,tables_490010!O:O)</f>
        <v>0</v>
      </c>
      <c r="C44" s="54" t="e">
        <f t="shared" ca="1" si="9"/>
        <v>#DIV/0!</v>
      </c>
      <c r="E44" t="s">
        <v>54</v>
      </c>
      <c r="F44" s="55"/>
    </row>
    <row r="45" spans="1:7" x14ac:dyDescent="0.15">
      <c r="A45" s="33" t="s">
        <v>107</v>
      </c>
      <c r="B45">
        <f ca="1">SUMIF(tables_490010!C:C,input_490010!A45,tables_490010!O:O)</f>
        <v>0</v>
      </c>
      <c r="C45" s="54" t="e">
        <f t="shared" ca="1" si="9"/>
        <v>#DIV/0!</v>
      </c>
      <c r="E45" t="s">
        <v>204</v>
      </c>
      <c r="F45" s="55">
        <f ca="1">SUMIF(tables_490010!I:I,input_490010!E45,tables_490010!P:P)</f>
        <v>0.21040606060606065</v>
      </c>
    </row>
    <row r="46" spans="1:7" x14ac:dyDescent="0.15">
      <c r="A46" s="33" t="s">
        <v>108</v>
      </c>
      <c r="B46">
        <f>SUMIF(tables_490010!C:C,input_490010!A46,tables_490010!O:O)</f>
        <v>0</v>
      </c>
      <c r="C46" s="54" t="e">
        <f t="shared" ca="1" si="9"/>
        <v>#DIV/0!</v>
      </c>
      <c r="E46" t="s">
        <v>205</v>
      </c>
      <c r="F46" s="55">
        <f ca="1">SUMIF(tables_490010!I:I,input_490010!E46,tables_490010!P:P)</f>
        <v>0.20016287878787881</v>
      </c>
    </row>
    <row r="47" spans="1:7" x14ac:dyDescent="0.15">
      <c r="A47" s="39" t="s">
        <v>59</v>
      </c>
      <c r="B47">
        <f ca="1">SUM(B40:B46)</f>
        <v>0</v>
      </c>
      <c r="C47" s="55" t="e">
        <f ca="1">SUM(C40:C46)</f>
        <v>#DIV/0!</v>
      </c>
      <c r="E47" t="s">
        <v>206</v>
      </c>
      <c r="F47" s="55">
        <f ca="1">SUMIF(tables_490010!I:I,input_490010!E47,tables_490010!P:P)</f>
        <v>0.51443106060606048</v>
      </c>
    </row>
    <row r="48" spans="1:7" x14ac:dyDescent="0.15">
      <c r="E48" t="s">
        <v>207</v>
      </c>
      <c r="F48" s="55">
        <f ca="1">SUMIF(tables_490010!I:I,input_490010!E48,tables_490010!P:P)</f>
        <v>7.400000000000001E-2</v>
      </c>
    </row>
    <row r="49" spans="5:6" x14ac:dyDescent="0.15">
      <c r="E49" t="s">
        <v>265</v>
      </c>
      <c r="F49" s="55">
        <f ca="1">SUMIF(tables_490010!I:I,input_490010!E49,tables_490010!P:P)</f>
        <v>1E-3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 activeCell="J245" sqref="J24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input_490010!A$2</f>
        <v>490010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IFERROR(VLOOKUP(B2,input_490010!L:R,7,FALSE),IFERROR(VLOOKUP(tables_490010!C2,input_490010!A:H,8,FALSE),0))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input_490010!A$2</f>
        <v>490010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IF(K3="yellow","color","")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IFERROR(VLOOKUP(B3,input_490010!L:R,7,FALSE),IFERROR(VLOOKUP(tables_490010!C3,input_490010!A:H,8,FALSE),0))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input_490010!A$2</f>
        <v>490010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IFERROR(VLOOKUP(B4,input_490010!L:R,7,FALSE),IFERROR(VLOOKUP(tables_490010!C4,input_490010!A:H,8,FALSE),0))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input_490010!A$2</f>
        <v>490010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IFERROR(VLOOKUP(B5,input_490010!L:R,7,FALSE),IFERROR(VLOOKUP(tables_490010!C5,input_490010!A:H,8,FALSE),0))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input_490010!A$2</f>
        <v>490010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IFERROR(VLOOKUP(B6,input_490010!L:R,7,FALSE),IFERROR(VLOOKUP(tables_490010!C6,input_490010!A:H,8,FALSE),0))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input_490010!A$2</f>
        <v>490010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IFERROR(VLOOKUP(B7,input_490010!L:R,7,FALSE),IFERROR(VLOOKUP(tables_490010!C7,input_490010!A:H,8,FALSE),0))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input_490010!A$2</f>
        <v>490010</v>
      </c>
      <c r="B8" s="6">
        <v>132</v>
      </c>
      <c r="C8" s="7" t="str">
        <f t="shared" si="0"/>
        <v>PremiumW3color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IFERROR(VLOOKUP(B8,input_490010!L:R,7,FALSE),IFERROR(VLOOKUP(tables_490010!C8,input_490010!A:H,8,FALSE),0))</f>
        <v>271500</v>
      </c>
      <c r="P8" s="46">
        <f t="shared" ca="1" si="1"/>
        <v>4.1136363636363638E-2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input_490010!A$2</f>
        <v>490010</v>
      </c>
      <c r="B9" s="6">
        <v>133</v>
      </c>
      <c r="C9" s="7" t="str">
        <f t="shared" si="0"/>
        <v>PremiumW4color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IFERROR(VLOOKUP(B9,input_490010!L:R,7,FALSE),IFERROR(VLOOKUP(tables_490010!C9,input_490010!A:H,8,FALSE),0))</f>
        <v>6000</v>
      </c>
      <c r="P9" s="46">
        <f t="shared" ca="1" si="1"/>
        <v>9.0909090909090909E-4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input_490010!A$2</f>
        <v>490010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IFERROR(VLOOKUP(B10,input_490010!L:R,7,FALSE),IFERROR(VLOOKUP(tables_490010!C10,input_490010!A:H,8,FALSE),0))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input_490010!A$2</f>
        <v>490010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IFERROR(VLOOKUP(B11,input_490010!L:R,7,FALSE),IFERROR(VLOOKUP(tables_490010!C11,input_490010!A:H,8,FALSE),0))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input_490010!A$2</f>
        <v>490010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IFERROR(VLOOKUP(B12,input_490010!L:R,7,FALSE),IFERROR(VLOOKUP(tables_490010!C12,input_490010!A:H,8,FALSE),0))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input_490010!A$2</f>
        <v>490010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IFERROR(VLOOKUP(B13,input_490010!L:R,7,FALSE),IFERROR(VLOOKUP(tables_490010!C13,input_490010!A:H,8,FALSE),0))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input_490010!A$2</f>
        <v>490010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IFERROR(VLOOKUP(B14,input_490010!L:R,7,FALSE),IFERROR(VLOOKUP(tables_490010!C14,input_490010!A:H,8,FALSE),0))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input_490010!A$2</f>
        <v>490010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IFERROR(VLOOKUP(B15,input_490010!L:R,7,FALSE),IFERROR(VLOOKUP(tables_490010!C15,input_490010!A:H,8,FALSE),0))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input_490010!A$2</f>
        <v>490010</v>
      </c>
      <c r="B16" s="10">
        <v>140</v>
      </c>
      <c r="C16" s="7" t="str">
        <f t="shared" si="0"/>
        <v>PremiumW3color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IFERROR(VLOOKUP(B16,input_490010!L:R,7,FALSE),IFERROR(VLOOKUP(tables_490010!C16,input_490010!A:H,8,FALSE),0))</f>
        <v>271500</v>
      </c>
      <c r="P16" s="46">
        <f t="shared" ca="1" si="1"/>
        <v>4.1136363636363638E-2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input_490010!A$2</f>
        <v>490010</v>
      </c>
      <c r="B17" s="11">
        <v>141</v>
      </c>
      <c r="C17" s="7" t="str">
        <f t="shared" si="0"/>
        <v>PremiumW4color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IFERROR(VLOOKUP(B17,input_490010!L:R,7,FALSE),IFERROR(VLOOKUP(tables_490010!C17,input_490010!A:H,8,FALSE),0))</f>
        <v>6000</v>
      </c>
      <c r="P17" s="46">
        <f t="shared" ca="1" si="1"/>
        <v>9.0909090909090909E-4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input_490010!A$2</f>
        <v>490010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IFERROR(VLOOKUP(B18,input_490010!L:R,7,FALSE),IFERROR(VLOOKUP(tables_490010!C18,input_490010!A:H,8,FALSE),0))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input_490010!A$2</f>
        <v>490010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IFERROR(VLOOKUP(B19,input_490010!L:R,7,FALSE),IFERROR(VLOOKUP(tables_490010!C19,input_490010!A:H,8,FALSE),0))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input_490010!A$2</f>
        <v>490010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IFERROR(VLOOKUP(B20,input_490010!L:R,7,FALSE),IFERROR(VLOOKUP(tables_490010!C20,input_490010!A:H,8,FALSE),0))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input_490010!A$2</f>
        <v>490010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IFERROR(VLOOKUP(B21,input_490010!L:R,7,FALSE),IFERROR(VLOOKUP(tables_490010!C21,input_490010!A:H,8,FALSE),0))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input_490010!A$2</f>
        <v>490010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IFERROR(VLOOKUP(B22,input_490010!L:R,7,FALSE),IFERROR(VLOOKUP(tables_490010!C22,input_490010!A:H,8,FALSE),0))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input_490010!A$2</f>
        <v>490010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IFERROR(VLOOKUP(B23,input_490010!L:R,7,FALSE),IFERROR(VLOOKUP(tables_490010!C23,input_490010!A:H,8,FALSE),0))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input_490010!A$2</f>
        <v>490010</v>
      </c>
      <c r="B24" s="6">
        <v>148</v>
      </c>
      <c r="C24" s="7" t="str">
        <f t="shared" si="0"/>
        <v>PremiumW3color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IFERROR(VLOOKUP(B24,input_490010!L:R,7,FALSE),IFERROR(VLOOKUP(tables_490010!C24,input_490010!A:H,8,FALSE),0))</f>
        <v>271500</v>
      </c>
      <c r="P24" s="46">
        <f t="shared" ca="1" si="1"/>
        <v>4.1136363636363638E-2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input_490010!A$2</f>
        <v>490010</v>
      </c>
      <c r="B25" s="6">
        <v>149</v>
      </c>
      <c r="C25" s="7" t="str">
        <f t="shared" si="0"/>
        <v>PremiumW4color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IFERROR(VLOOKUP(B25,input_490010!L:R,7,FALSE),IFERROR(VLOOKUP(tables_490010!C25,input_490010!A:H,8,FALSE),0))</f>
        <v>6000</v>
      </c>
      <c r="P25" s="46">
        <f t="shared" ca="1" si="1"/>
        <v>9.0909090909090909E-4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input_490010!A$2</f>
        <v>490010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IFERROR(VLOOKUP(B26,input_490010!L:R,7,FALSE),IFERROR(VLOOKUP(tables_490010!C26,input_490010!A:H,8,FALSE),0))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input_490010!A$2</f>
        <v>490010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IFERROR(VLOOKUP(B27,input_490010!L:R,7,FALSE),IFERROR(VLOOKUP(tables_490010!C27,input_490010!A:H,8,FALSE),0))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input_490010!A$2</f>
        <v>490010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IFERROR(VLOOKUP(B28,input_490010!L:R,7,FALSE),IFERROR(VLOOKUP(tables_490010!C28,input_490010!A:H,8,FALSE),0))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input_490010!A$2</f>
        <v>490010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IFERROR(VLOOKUP(B29,input_490010!L:R,7,FALSE),IFERROR(VLOOKUP(tables_490010!C29,input_490010!A:H,8,FALSE),0))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input_490010!A$2</f>
        <v>490010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IFERROR(VLOOKUP(B30,input_490010!L:R,7,FALSE),IFERROR(VLOOKUP(tables_490010!C30,input_490010!A:H,8,FALSE),0))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input_490010!A$2</f>
        <v>490010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IFERROR(VLOOKUP(B31,input_490010!L:R,7,FALSE),IFERROR(VLOOKUP(tables_490010!C31,input_490010!A:H,8,FALSE),0))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input_490010!A$2</f>
        <v>490010</v>
      </c>
      <c r="B32" s="6">
        <v>156</v>
      </c>
      <c r="C32" s="7" t="str">
        <f t="shared" si="0"/>
        <v>PremiumW3color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IFERROR(VLOOKUP(B32,input_490010!L:R,7,FALSE),IFERROR(VLOOKUP(tables_490010!C32,input_490010!A:H,8,FALSE),0))</f>
        <v>271500</v>
      </c>
      <c r="P32" s="46">
        <f t="shared" ca="1" si="1"/>
        <v>4.1136363636363638E-2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input_490010!A$2</f>
        <v>490010</v>
      </c>
      <c r="B33" s="6">
        <v>157</v>
      </c>
      <c r="C33" s="7" t="str">
        <f t="shared" si="0"/>
        <v>PremiumW4color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IFERROR(VLOOKUP(B33,input_490010!L:R,7,FALSE),IFERROR(VLOOKUP(tables_490010!C33,input_490010!A:H,8,FALSE),0))</f>
        <v>6000</v>
      </c>
      <c r="P33" s="46">
        <f t="shared" ca="1" si="1"/>
        <v>9.0909090909090909E-4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input_490010!A$2</f>
        <v>490010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IFERROR(VLOOKUP(B34,input_490010!L:R,7,FALSE),IFERROR(VLOOKUP(tables_490010!C34,input_490010!A:H,8,FALSE),0))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input_490010!A$2</f>
        <v>490010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IFERROR(VLOOKUP(B35,input_490010!L:R,7,FALSE),IFERROR(VLOOKUP(tables_490010!C35,input_490010!A:H,8,FALSE),0))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input_490010!A$2</f>
        <v>490010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IFERROR(VLOOKUP(B36,input_490010!L:R,7,FALSE),IFERROR(VLOOKUP(tables_490010!C36,input_490010!A:H,8,FALSE),0))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input_490010!A$2</f>
        <v>490010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IFERROR(VLOOKUP(B37,input_490010!L:R,7,FALSE),IFERROR(VLOOKUP(tables_490010!C37,input_490010!A:H,8,FALSE),0))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input_490010!A$2</f>
        <v>490010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IFERROR(VLOOKUP(B38,input_490010!L:R,7,FALSE),IFERROR(VLOOKUP(tables_490010!C38,input_490010!A:H,8,FALSE),0))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input_490010!A$2</f>
        <v>490010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IFERROR(VLOOKUP(B39,input_490010!L:R,7,FALSE),IFERROR(VLOOKUP(tables_490010!C39,input_490010!A:H,8,FALSE),0))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input_490010!A$2</f>
        <v>490010</v>
      </c>
      <c r="B40" s="6">
        <v>164</v>
      </c>
      <c r="C40" s="7" t="str">
        <f t="shared" si="0"/>
        <v>PremiumW3color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IFERROR(VLOOKUP(B40,input_490010!L:R,7,FALSE),IFERROR(VLOOKUP(tables_490010!C40,input_490010!A:H,8,FALSE),0))</f>
        <v>271500</v>
      </c>
      <c r="P40" s="46">
        <f t="shared" ca="1" si="1"/>
        <v>4.1136363636363638E-2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input_490010!A$2</f>
        <v>490010</v>
      </c>
      <c r="B41" s="6">
        <v>165</v>
      </c>
      <c r="C41" s="7" t="str">
        <f t="shared" si="0"/>
        <v>PremiumW4color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IFERROR(VLOOKUP(B41,input_490010!L:R,7,FALSE),IFERROR(VLOOKUP(tables_490010!C41,input_490010!A:H,8,FALSE),0))</f>
        <v>6000</v>
      </c>
      <c r="P41" s="46">
        <f t="shared" ca="1" si="1"/>
        <v>9.0909090909090909E-4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input_490010!A$2</f>
        <v>490010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IFERROR(VLOOKUP(B42,input_490010!L:R,7,FALSE),IFERROR(VLOOKUP(tables_490010!C42,input_490010!A:H,8,FALSE),0))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input_490010!A$2</f>
        <v>490010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IFERROR(VLOOKUP(B43,input_490010!L:R,7,FALSE),IFERROR(VLOOKUP(tables_490010!C43,input_490010!A:H,8,FALSE),0))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input_490010!A$2</f>
        <v>490010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IFERROR(VLOOKUP(B44,input_490010!L:R,7,FALSE),IFERROR(VLOOKUP(tables_490010!C44,input_490010!A:H,8,FALSE),0))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input_490010!A$2</f>
        <v>490010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IFERROR(VLOOKUP(B45,input_490010!L:R,7,FALSE),IFERROR(VLOOKUP(tables_490010!C45,input_490010!A:H,8,FALSE),0))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input_490010!A$2</f>
        <v>490010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IFERROR(VLOOKUP(B46,input_490010!L:R,7,FALSE),IFERROR(VLOOKUP(tables_490010!C46,input_490010!A:H,8,FALSE),0))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input_490010!A$2</f>
        <v>490010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IFERROR(VLOOKUP(B47,input_490010!L:R,7,FALSE),IFERROR(VLOOKUP(tables_490010!C47,input_490010!A:H,8,FALSE),0))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input_490010!A$2</f>
        <v>490010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IFERROR(VLOOKUP(B48,input_490010!L:R,7,FALSE),IFERROR(VLOOKUP(tables_490010!C48,input_490010!A:H,8,FALSE),0))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input_490010!A$2</f>
        <v>490010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IFERROR(VLOOKUP(B49,input_490010!L:R,7,FALSE),IFERROR(VLOOKUP(tables_490010!C49,input_490010!A:H,8,FALSE),0))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input_490010!A$2</f>
        <v>490010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IFERROR(VLOOKUP(B50,input_490010!L:R,7,FALSE),IFERROR(VLOOKUP(tables_490010!C50,input_490010!A:H,8,FALSE),0))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input_490010!A$2</f>
        <v>490010</v>
      </c>
      <c r="B51" s="6">
        <v>175</v>
      </c>
      <c r="C51" s="7" t="str">
        <f t="shared" si="0"/>
        <v>Premium3color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IFERROR(VLOOKUP(B51,input_490010!L:R,7,FALSE),IFERROR(VLOOKUP(tables_490010!C51,input_490010!A:H,8,FALSE),0))</f>
        <v>138750</v>
      </c>
      <c r="P51" s="46">
        <f t="shared" ca="1" si="1"/>
        <v>2.1022727272727273E-2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input_490010!A$2</f>
        <v>490010</v>
      </c>
      <c r="B52" s="6">
        <v>176</v>
      </c>
      <c r="C52" s="7" t="str">
        <f t="shared" si="0"/>
        <v>Premium4color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IFERROR(VLOOKUP(B52,input_490010!L:R,7,FALSE),IFERROR(VLOOKUP(tables_490010!C52,input_490010!A:H,8,FALSE),0))</f>
        <v>124875</v>
      </c>
      <c r="P52" s="46">
        <f t="shared" ca="1" si="1"/>
        <v>1.8920454545454546E-2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input_490010!A$2</f>
        <v>490010</v>
      </c>
      <c r="B53" s="6">
        <v>177</v>
      </c>
      <c r="C53" s="7" t="str">
        <f t="shared" si="0"/>
        <v>Premium5color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IFERROR(VLOOKUP(B53,input_490010!L:R,7,FALSE),IFERROR(VLOOKUP(tables_490010!C53,input_490010!A:H,8,FALSE),0))</f>
        <v>590</v>
      </c>
      <c r="P53" s="46">
        <f t="shared" ca="1" si="1"/>
        <v>8.9393939393939389E-5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input_490010!A$2</f>
        <v>490010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IFERROR(VLOOKUP(B54,input_490010!L:R,7,FALSE),IFERROR(VLOOKUP(tables_490010!C54,input_490010!A:H,8,FALSE),0))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input_490010!A$2</f>
        <v>490010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IFERROR(VLOOKUP(B55,input_490010!L:R,7,FALSE),IFERROR(VLOOKUP(tables_490010!C55,input_490010!A:H,8,FALSE),0))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input_490010!A$2</f>
        <v>490010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IFERROR(VLOOKUP(B56,input_490010!L:R,7,FALSE),IFERROR(VLOOKUP(tables_490010!C56,input_490010!A:H,8,FALSE),0))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input_490010!A$2</f>
        <v>490010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IFERROR(VLOOKUP(B57,input_490010!L:R,7,FALSE),IFERROR(VLOOKUP(tables_490010!C57,input_490010!A:H,8,FALSE),0))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input_490010!A$2</f>
        <v>490010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IFERROR(VLOOKUP(B58,input_490010!L:R,7,FALSE),IFERROR(VLOOKUP(tables_490010!C58,input_490010!A:H,8,FALSE),0))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input_490010!A$2</f>
        <v>490010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IFERROR(VLOOKUP(B59,input_490010!L:R,7,FALSE),IFERROR(VLOOKUP(tables_490010!C59,input_490010!A:H,8,FALSE),0))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input_490010!A$2</f>
        <v>490010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IFERROR(VLOOKUP(B60,input_490010!L:R,7,FALSE),IFERROR(VLOOKUP(tables_490010!C60,input_490010!A:H,8,FALSE),0))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input_490010!A$2</f>
        <v>490010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IFERROR(VLOOKUP(B61,input_490010!L:R,7,FALSE),IFERROR(VLOOKUP(tables_490010!C61,input_490010!A:H,8,FALSE),0))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input_490010!A$2</f>
        <v>490010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IFERROR(VLOOKUP(B62,input_490010!L:R,7,FALSE),IFERROR(VLOOKUP(tables_490010!C62,input_490010!A:H,8,FALSE),0))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input_490010!A$2</f>
        <v>490010</v>
      </c>
      <c r="B63" s="8">
        <v>187</v>
      </c>
      <c r="C63" s="7" t="str">
        <f t="shared" si="0"/>
        <v>Premium3color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IFERROR(VLOOKUP(B63,input_490010!L:R,7,FALSE),IFERROR(VLOOKUP(tables_490010!C63,input_490010!A:H,8,FALSE),0))</f>
        <v>138750</v>
      </c>
      <c r="P63" s="46">
        <f t="shared" ca="1" si="1"/>
        <v>2.1022727272727273E-2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input_490010!A$2</f>
        <v>490010</v>
      </c>
      <c r="B64" s="8">
        <v>188</v>
      </c>
      <c r="C64" s="7" t="str">
        <f t="shared" si="0"/>
        <v>Premium4color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IFERROR(VLOOKUP(B64,input_490010!L:R,7,FALSE),IFERROR(VLOOKUP(tables_490010!C64,input_490010!A:H,8,FALSE),0))</f>
        <v>124875</v>
      </c>
      <c r="P64" s="46">
        <f t="shared" ca="1" si="1"/>
        <v>1.8920454545454546E-2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input_490010!A$2</f>
        <v>490010</v>
      </c>
      <c r="B65" s="8">
        <v>189</v>
      </c>
      <c r="C65" s="7" t="str">
        <f t="shared" si="0"/>
        <v>Premium5color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IFERROR(VLOOKUP(B65,input_490010!L:R,7,FALSE),IFERROR(VLOOKUP(tables_490010!C65,input_490010!A:H,8,FALSE),0))</f>
        <v>590</v>
      </c>
      <c r="P65" s="46">
        <f t="shared" ca="1" si="1"/>
        <v>8.9393939393939389E-5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input_490010!A$2</f>
        <v>490010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IFERROR(VLOOKUP(B66,input_490010!L:R,7,FALSE),IFERROR(VLOOKUP(tables_490010!C66,input_490010!A:H,8,FALSE),0))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input_490010!A$2</f>
        <v>490010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IF(K67="yellow","color","")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IFERROR(VLOOKUP(B67,input_490010!L:R,7,FALSE),IFERROR(VLOOKUP(tables_490010!C67,input_490010!A:H,8,FALSE),0))</f>
        <v>0</v>
      </c>
      <c r="P67" s="46">
        <f t="shared" ca="1" si="5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input_490010!A$2</f>
        <v>490010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IFERROR(VLOOKUP(B68,input_490010!L:R,7,FALSE),IFERROR(VLOOKUP(tables_490010!C68,input_490010!A:H,8,FALSE),0))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input_490010!A$2</f>
        <v>490010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IFERROR(VLOOKUP(B69,input_490010!L:R,7,FALSE),IFERROR(VLOOKUP(tables_490010!C69,input_490010!A:H,8,FALSE),0))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input_490010!A$2</f>
        <v>490010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IFERROR(VLOOKUP(B70,input_490010!L:R,7,FALSE),IFERROR(VLOOKUP(tables_490010!C70,input_490010!A:H,8,FALSE),0))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input_490010!A$2</f>
        <v>490010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IFERROR(VLOOKUP(B71,input_490010!L:R,7,FALSE),IFERROR(VLOOKUP(tables_490010!C71,input_490010!A:H,8,FALSE),0))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input_490010!A$2</f>
        <v>490010</v>
      </c>
      <c r="B72" s="10">
        <v>196</v>
      </c>
      <c r="C72" s="7" t="str">
        <f t="shared" si="4"/>
        <v>Premium3color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IFERROR(VLOOKUP(B72,input_490010!L:R,7,FALSE),IFERROR(VLOOKUP(tables_490010!C72,input_490010!A:H,8,FALSE),0))</f>
        <v>138750</v>
      </c>
      <c r="P72" s="46">
        <f t="shared" ca="1" si="5"/>
        <v>2.1022727272727273E-2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input_490010!A$2</f>
        <v>490010</v>
      </c>
      <c r="B73" s="11">
        <v>197</v>
      </c>
      <c r="C73" s="7" t="str">
        <f t="shared" si="4"/>
        <v>Premium4color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IFERROR(VLOOKUP(B73,input_490010!L:R,7,FALSE),IFERROR(VLOOKUP(tables_490010!C73,input_490010!A:H,8,FALSE),0))</f>
        <v>124875</v>
      </c>
      <c r="P73" s="46">
        <f t="shared" ca="1" si="5"/>
        <v>1.8920454545454546E-2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input_490010!A$2</f>
        <v>490010</v>
      </c>
      <c r="B74" s="6">
        <v>198</v>
      </c>
      <c r="C74" s="7" t="str">
        <f t="shared" si="4"/>
        <v>Premium5color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IFERROR(VLOOKUP(B74,input_490010!L:R,7,FALSE),IFERROR(VLOOKUP(tables_490010!C74,input_490010!A:H,8,FALSE),0))</f>
        <v>590</v>
      </c>
      <c r="P74" s="46">
        <f t="shared" ca="1" si="5"/>
        <v>8.9393939393939389E-5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input_490010!A$2</f>
        <v>490010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IFERROR(VLOOKUP(B75,input_490010!L:R,7,FALSE),IFERROR(VLOOKUP(tables_490010!C75,input_490010!A:H,8,FALSE),0))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input_490010!A$2</f>
        <v>490010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IFERROR(VLOOKUP(B76,input_490010!L:R,7,FALSE),IFERROR(VLOOKUP(tables_490010!C76,input_490010!A:H,8,FALSE),0))</f>
        <v>0</v>
      </c>
      <c r="P76" s="46">
        <f t="shared" ca="1" si="5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input_490010!A$2</f>
        <v>490010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IFERROR(VLOOKUP(B77,input_490010!L:R,7,FALSE),IFERROR(VLOOKUP(tables_490010!C77,input_490010!A:H,8,FALSE),0))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input_490010!A$2</f>
        <v>490010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IFERROR(VLOOKUP(B78,input_490010!L:R,7,FALSE),IFERROR(VLOOKUP(tables_490010!C78,input_490010!A:H,8,FALSE),0))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input_490010!A$2</f>
        <v>490010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IFERROR(VLOOKUP(B79,input_490010!L:R,7,FALSE),IFERROR(VLOOKUP(tables_490010!C79,input_490010!A:H,8,FALSE),0))</f>
        <v>0</v>
      </c>
      <c r="P79" s="46">
        <f t="shared" ca="1" si="5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input_490010!A$2</f>
        <v>490010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IFERROR(VLOOKUP(B80,input_490010!L:R,7,FALSE),IFERROR(VLOOKUP(tables_490010!C80,input_490010!A:H,8,FALSE),0))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input_490010!A$2</f>
        <v>490010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IFERROR(VLOOKUP(B81,input_490010!L:R,7,FALSE),IFERROR(VLOOKUP(tables_490010!C81,input_490010!A:H,8,FALSE),0))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input_490010!A$2</f>
        <v>490010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IFERROR(VLOOKUP(B82,input_490010!L:R,7,FALSE),IFERROR(VLOOKUP(tables_490010!C82,input_490010!A:H,8,FALSE),0))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input_490010!A$2</f>
        <v>490010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IFERROR(VLOOKUP(B83,input_490010!L:R,7,FALSE),IFERROR(VLOOKUP(tables_490010!C83,input_490010!A:H,8,FALSE),0))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input_490010!A$2</f>
        <v>490010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IFERROR(VLOOKUP(B84,input_490010!L:R,7,FALSE),IFERROR(VLOOKUP(tables_490010!C84,input_490010!A:H,8,FALSE),0))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input_490010!A$2</f>
        <v>490010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IFERROR(VLOOKUP(B85,input_490010!L:R,7,FALSE),IFERROR(VLOOKUP(tables_490010!C85,input_490010!A:H,8,FALSE),0))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input_490010!A$2</f>
        <v>490010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IFERROR(VLOOKUP(B86,input_490010!L:R,7,FALSE),IFERROR(VLOOKUP(tables_490010!C86,input_490010!A:H,8,FALSE),0))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input_490010!A$2</f>
        <v>490010</v>
      </c>
      <c r="B87" s="5">
        <v>211</v>
      </c>
      <c r="C87" s="7" t="str">
        <f t="shared" si="4"/>
        <v>Premium3color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IFERROR(VLOOKUP(B87,input_490010!L:R,7,FALSE),IFERROR(VLOOKUP(tables_490010!C87,input_490010!A:H,8,FALSE),0))</f>
        <v>138750</v>
      </c>
      <c r="P87" s="46">
        <f t="shared" ca="1" si="5"/>
        <v>2.1022727272727273E-2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input_490010!A$2</f>
        <v>490010</v>
      </c>
      <c r="B88" s="5">
        <v>212</v>
      </c>
      <c r="C88" s="7" t="str">
        <f t="shared" si="4"/>
        <v>Premium4color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IFERROR(VLOOKUP(B88,input_490010!L:R,7,FALSE),IFERROR(VLOOKUP(tables_490010!C88,input_490010!A:H,8,FALSE),0))</f>
        <v>124875</v>
      </c>
      <c r="P88" s="46">
        <f t="shared" ca="1" si="5"/>
        <v>1.8920454545454546E-2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input_490010!A$2</f>
        <v>490010</v>
      </c>
      <c r="B89" s="5">
        <v>213</v>
      </c>
      <c r="C89" s="7" t="str">
        <f t="shared" si="4"/>
        <v>Premium5color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IFERROR(VLOOKUP(B89,input_490010!L:R,7,FALSE),IFERROR(VLOOKUP(tables_490010!C89,input_490010!A:H,8,FALSE),0))</f>
        <v>590</v>
      </c>
      <c r="P89" s="46">
        <f t="shared" ca="1" si="5"/>
        <v>8.9393939393939389E-5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input_490010!A$2</f>
        <v>490010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IFERROR(VLOOKUP(B90,input_490010!L:R,7,FALSE),IFERROR(VLOOKUP(tables_490010!C90,input_490010!A:H,8,FALSE),0))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input_490010!A$2</f>
        <v>490010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IFERROR(VLOOKUP(B91,input_490010!L:R,7,FALSE),IFERROR(VLOOKUP(tables_490010!C91,input_490010!A:H,8,FALSE),0))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input_490010!A$2</f>
        <v>490010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IFERROR(VLOOKUP(B92,input_490010!L:R,7,FALSE),IFERROR(VLOOKUP(tables_490010!C92,input_490010!A:H,8,FALSE),0))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input_490010!A$2</f>
        <v>490010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IFERROR(VLOOKUP(B93,input_490010!L:R,7,FALSE),IFERROR(VLOOKUP(tables_490010!C93,input_490010!A:H,8,FALSE),0))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input_490010!A$2</f>
        <v>490010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IFERROR(VLOOKUP(B94,input_490010!L:R,7,FALSE),IFERROR(VLOOKUP(tables_490010!C94,input_490010!A:H,8,FALSE),0))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input_490010!A$2</f>
        <v>490010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IFERROR(VLOOKUP(B95,input_490010!L:R,7,FALSE),IFERROR(VLOOKUP(tables_490010!C95,input_490010!A:H,8,FALSE),0))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input_490010!A$2</f>
        <v>490010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IFERROR(VLOOKUP(B96,input_490010!L:R,7,FALSE),IFERROR(VLOOKUP(tables_490010!C96,input_490010!A:H,8,FALSE),0))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input_490010!A$2</f>
        <v>490010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IFERROR(VLOOKUP(B97,input_490010!L:R,7,FALSE),IFERROR(VLOOKUP(tables_490010!C97,input_490010!A:H,8,FALSE),0))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input_490010!A$2</f>
        <v>490010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IFERROR(VLOOKUP(B98,input_490010!L:R,7,FALSE),IFERROR(VLOOKUP(tables_490010!C98,input_490010!A:H,8,FALSE),0))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input_490010!A$2</f>
        <v>490010</v>
      </c>
      <c r="B99" s="5">
        <v>223</v>
      </c>
      <c r="C99" s="7" t="str">
        <f t="shared" si="4"/>
        <v>Premium3color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IFERROR(VLOOKUP(B99,input_490010!L:R,7,FALSE),IFERROR(VLOOKUP(tables_490010!C99,input_490010!A:H,8,FALSE),0))</f>
        <v>138750</v>
      </c>
      <c r="P99" s="46">
        <f t="shared" ca="1" si="5"/>
        <v>2.1022727272727273E-2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input_490010!A$2</f>
        <v>490010</v>
      </c>
      <c r="B100" s="5">
        <v>224</v>
      </c>
      <c r="C100" s="7" t="str">
        <f t="shared" si="4"/>
        <v>Premium4color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IFERROR(VLOOKUP(B100,input_490010!L:R,7,FALSE),IFERROR(VLOOKUP(tables_490010!C100,input_490010!A:H,8,FALSE),0))</f>
        <v>124875</v>
      </c>
      <c r="P100" s="46">
        <f t="shared" ca="1" si="5"/>
        <v>1.8920454545454546E-2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input_490010!A$2</f>
        <v>490010</v>
      </c>
      <c r="B101" s="5">
        <v>225</v>
      </c>
      <c r="C101" s="7" t="str">
        <f t="shared" si="4"/>
        <v>Premium5color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IFERROR(VLOOKUP(B101,input_490010!L:R,7,FALSE),IFERROR(VLOOKUP(tables_490010!C101,input_490010!A:H,8,FALSE),0))</f>
        <v>590</v>
      </c>
      <c r="P101" s="46">
        <f t="shared" ca="1" si="5"/>
        <v>8.9393939393939389E-5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input_490010!A$2</f>
        <v>490010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IFERROR(VLOOKUP(B102,input_490010!L:R,7,FALSE),IFERROR(VLOOKUP(tables_490010!C102,input_490010!A:H,8,FALSE),0))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input_490010!A$2</f>
        <v>490010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IFERROR(VLOOKUP(B103,input_490010!L:R,7,FALSE),IFERROR(VLOOKUP(tables_490010!C103,input_490010!A:H,8,FALSE),0))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input_490010!A$2</f>
        <v>490010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IFERROR(VLOOKUP(B104,input_490010!L:R,7,FALSE),IFERROR(VLOOKUP(tables_490010!C104,input_490010!A:H,8,FALSE),0))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input_490010!A$2</f>
        <v>490010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IFERROR(VLOOKUP(B105,input_490010!L:R,7,FALSE),IFERROR(VLOOKUP(tables_490010!C105,input_490010!A:H,8,FALSE),0))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input_490010!A$2</f>
        <v>490010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IFERROR(VLOOKUP(B106,input_490010!L:R,7,FALSE),IFERROR(VLOOKUP(tables_490010!C106,input_490010!A:H,8,FALSE),0))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input_490010!A$2</f>
        <v>490010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IFERROR(VLOOKUP(B107,input_490010!L:R,7,FALSE),IFERROR(VLOOKUP(tables_490010!C107,input_490010!A:H,8,FALSE),0))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input_490010!A$2</f>
        <v>490010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IFERROR(VLOOKUP(B108,input_490010!L:R,7,FALSE),IFERROR(VLOOKUP(tables_490010!C108,input_490010!A:H,8,FALSE),0))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input_490010!A$2</f>
        <v>490010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IFERROR(VLOOKUP(B109,input_490010!L:R,7,FALSE),IFERROR(VLOOKUP(tables_490010!C109,input_490010!A:H,8,FALSE),0))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input_490010!A$2</f>
        <v>490010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IFERROR(VLOOKUP(B110,input_490010!L:R,7,FALSE),IFERROR(VLOOKUP(tables_490010!C110,input_490010!A:H,8,FALSE),0))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input_490010!A$2</f>
        <v>490010</v>
      </c>
      <c r="B111" s="5">
        <v>235</v>
      </c>
      <c r="C111" s="7" t="str">
        <f t="shared" si="4"/>
        <v>Premium3R6releasecolor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IFERROR(VLOOKUP(B111,input_490010!L:R,7,FALSE),IFERROR(VLOOKUP(tables_490010!C111,input_490010!A:H,8,FALSE),0))</f>
        <v>138750</v>
      </c>
      <c r="P111" s="46">
        <f t="shared" ca="1" si="5"/>
        <v>2.1022727272727273E-2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input_490010!A$2</f>
        <v>490010</v>
      </c>
      <c r="B112" s="5">
        <v>236</v>
      </c>
      <c r="C112" s="7" t="str">
        <f t="shared" si="4"/>
        <v>Premium4R6releasecolor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IFERROR(VLOOKUP(B112,input_490010!L:R,7,FALSE),IFERROR(VLOOKUP(tables_490010!C112,input_490010!A:H,8,FALSE),0))</f>
        <v>296400</v>
      </c>
      <c r="P112" s="46">
        <f t="shared" ca="1" si="5"/>
        <v>4.4909090909090912E-2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input_490010!A$2</f>
        <v>490010</v>
      </c>
      <c r="B113" s="5">
        <v>237</v>
      </c>
      <c r="C113" s="7" t="str">
        <f t="shared" si="4"/>
        <v>Premium5R6releasecolor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IFERROR(VLOOKUP(B113,input_490010!L:R,7,FALSE),IFERROR(VLOOKUP(tables_490010!C113,input_490010!A:H,8,FALSE),0))</f>
        <v>13875</v>
      </c>
      <c r="P113" s="46">
        <f t="shared" ca="1" si="5"/>
        <v>2.1022727272727274E-3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input_490010!A$2</f>
        <v>490010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IFERROR(VLOOKUP(B114,input_490010!L:R,7,FALSE),IFERROR(VLOOKUP(tables_490010!C114,input_490010!A:H,8,FALSE),0))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input_490010!A$2</f>
        <v>490010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IFERROR(VLOOKUP(B115,input_490010!L:R,7,FALSE),IFERROR(VLOOKUP(tables_490010!C115,input_490010!A:H,8,FALSE),0))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input_490010!A$2</f>
        <v>490010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IFERROR(VLOOKUP(B116,input_490010!L:R,7,FALSE),IFERROR(VLOOKUP(tables_490010!C116,input_490010!A:H,8,FALSE),0))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input_490010!A$2</f>
        <v>490010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IFERROR(VLOOKUP(B117,input_490010!L:R,7,FALSE),IFERROR(VLOOKUP(tables_490010!C117,input_490010!A:H,8,FALSE),0))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input_490010!A$2</f>
        <v>490010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IFERROR(VLOOKUP(B118,input_490010!L:R,7,FALSE),IFERROR(VLOOKUP(tables_490010!C118,input_490010!A:H,8,FALSE),0))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input_490010!A$2</f>
        <v>490010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IFERROR(VLOOKUP(B119,input_490010!L:R,7,FALSE),IFERROR(VLOOKUP(tables_490010!C119,input_490010!A:H,8,FALSE),0))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input_490010!A$2</f>
        <v>490010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IFERROR(VLOOKUP(B120,input_490010!L:R,7,FALSE),IFERROR(VLOOKUP(tables_490010!C120,input_490010!A:H,8,FALSE),0))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input_490010!A$2</f>
        <v>490010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IFERROR(VLOOKUP(B121,input_490010!L:R,7,FALSE),IFERROR(VLOOKUP(tables_490010!C121,input_490010!A:H,8,FALSE),0))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input_490010!A$2</f>
        <v>490010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IFERROR(VLOOKUP(B122,input_490010!L:R,7,FALSE),IFERROR(VLOOKUP(tables_490010!C122,input_490010!A:H,8,FALSE),0))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input_490010!A$2</f>
        <v>490010</v>
      </c>
      <c r="B123" s="5">
        <v>247</v>
      </c>
      <c r="C123" s="7" t="str">
        <f t="shared" si="4"/>
        <v>Premium3color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IFERROR(VLOOKUP(B123,input_490010!L:R,7,FALSE),IFERROR(VLOOKUP(tables_490010!C123,input_490010!A:H,8,FALSE),0))</f>
        <v>138750</v>
      </c>
      <c r="P123" s="46">
        <f t="shared" ca="1" si="5"/>
        <v>2.1022727272727273E-2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input_490010!A$2</f>
        <v>490010</v>
      </c>
      <c r="B124" s="5">
        <v>248</v>
      </c>
      <c r="C124" s="7" t="str">
        <f t="shared" si="4"/>
        <v>Premium4color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IFERROR(VLOOKUP(B124,input_490010!L:R,7,FALSE),IFERROR(VLOOKUP(tables_490010!C124,input_490010!A:H,8,FALSE),0))</f>
        <v>124875</v>
      </c>
      <c r="P124" s="46">
        <f t="shared" ca="1" si="5"/>
        <v>1.8920454545454546E-2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input_490010!A$2</f>
        <v>490010</v>
      </c>
      <c r="B125" s="6">
        <v>249</v>
      </c>
      <c r="C125" s="7" t="str">
        <f t="shared" si="4"/>
        <v>Premium5color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IFERROR(VLOOKUP(B125,input_490010!L:R,7,FALSE),IFERROR(VLOOKUP(tables_490010!C125,input_490010!A:H,8,FALSE),0))</f>
        <v>590</v>
      </c>
      <c r="P125" s="46">
        <f t="shared" ca="1" si="5"/>
        <v>8.9393939393939389E-5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input_490010!A$2</f>
        <v>490010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IFERROR(VLOOKUP(B126,input_490010!L:R,7,FALSE),IFERROR(VLOOKUP(tables_490010!C126,input_490010!A:H,8,FALSE),0))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input_490010!A$2</f>
        <v>490010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IFERROR(VLOOKUP(B127,input_490010!L:R,7,FALSE),IFERROR(VLOOKUP(tables_490010!C127,input_490010!A:H,8,FALSE),0))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input_490010!A$2</f>
        <v>490010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IFERROR(VLOOKUP(B128,input_490010!L:R,7,FALSE),IFERROR(VLOOKUP(tables_490010!C128,input_490010!A:H,8,FALSE),0))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input_490010!A$2</f>
        <v>490010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IFERROR(VLOOKUP(B129,input_490010!L:R,7,FALSE),IFERROR(VLOOKUP(tables_490010!C129,input_490010!A:H,8,FALSE),0))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input_490010!A$2</f>
        <v>490010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IFERROR(VLOOKUP(B130,input_490010!L:R,7,FALSE),IFERROR(VLOOKUP(tables_490010!C130,input_490010!A:H,8,FALSE),0))</f>
        <v>0</v>
      </c>
      <c r="P130" s="46">
        <f t="shared" ref="P130:P193" ca="1" si="9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input_490010!A$2</f>
        <v>490010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IF(K131="yellow","color","")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IFERROR(VLOOKUP(B131,input_490010!L:R,7,FALSE),IFERROR(VLOOKUP(tables_490010!C131,input_490010!A:H,8,FALSE),0))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input_490010!A$2</f>
        <v>490010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IFERROR(VLOOKUP(B132,input_490010!L:R,7,FALSE),IFERROR(VLOOKUP(tables_490010!C132,input_490010!A:H,8,FALSE),0))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input_490010!A$2</f>
        <v>490010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IFERROR(VLOOKUP(B133,input_490010!L:R,7,FALSE),IFERROR(VLOOKUP(tables_490010!C133,input_490010!A:H,8,FALSE),0))</f>
        <v>0</v>
      </c>
      <c r="P133" s="46">
        <f t="shared" ca="1" si="9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input_490010!A$2</f>
        <v>490010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IFERROR(VLOOKUP(B134,input_490010!L:R,7,FALSE),IFERROR(VLOOKUP(tables_490010!C134,input_490010!A:H,8,FALSE),0))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input_490010!A$2</f>
        <v>490010</v>
      </c>
      <c r="B135" s="6">
        <v>259</v>
      </c>
      <c r="C135" s="7" t="str">
        <f t="shared" si="8"/>
        <v>Premium3color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IFERROR(VLOOKUP(B135,input_490010!L:R,7,FALSE),IFERROR(VLOOKUP(tables_490010!C135,input_490010!A:H,8,FALSE),0))</f>
        <v>138750</v>
      </c>
      <c r="P135" s="46">
        <f t="shared" ca="1" si="9"/>
        <v>2.1022727272727273E-2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input_490010!A$2</f>
        <v>490010</v>
      </c>
      <c r="B136" s="8">
        <v>260</v>
      </c>
      <c r="C136" s="7" t="str">
        <f t="shared" si="8"/>
        <v>Premium4color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IFERROR(VLOOKUP(B136,input_490010!L:R,7,FALSE),IFERROR(VLOOKUP(tables_490010!C136,input_490010!A:H,8,FALSE),0))</f>
        <v>124875</v>
      </c>
      <c r="P136" s="46">
        <f t="shared" ca="1" si="9"/>
        <v>1.8920454545454546E-2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input_490010!A$2</f>
        <v>490010</v>
      </c>
      <c r="B137" s="8">
        <v>261</v>
      </c>
      <c r="C137" s="7" t="str">
        <f t="shared" si="8"/>
        <v>Premium5color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IFERROR(VLOOKUP(B137,input_490010!L:R,7,FALSE),IFERROR(VLOOKUP(tables_490010!C137,input_490010!A:H,8,FALSE),0))</f>
        <v>590</v>
      </c>
      <c r="P137" s="46">
        <f t="shared" ca="1" si="9"/>
        <v>8.9393939393939389E-5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input_490010!A$2</f>
        <v>490010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IFERROR(VLOOKUP(B138,input_490010!L:R,7,FALSE),IFERROR(VLOOKUP(tables_490010!C138,input_490010!A:H,8,FALSE),0))</f>
        <v>0</v>
      </c>
      <c r="P138" s="46">
        <f t="shared" ca="1" si="9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input_490010!A$2</f>
        <v>490010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IFERROR(VLOOKUP(B139,input_490010!L:R,7,FALSE),IFERROR(VLOOKUP(tables_490010!C139,input_490010!A:H,8,FALSE),0))</f>
        <v>0</v>
      </c>
      <c r="P139" s="46">
        <f t="shared" ca="1" si="9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input_490010!A$2</f>
        <v>490010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IFERROR(VLOOKUP(B140,input_490010!L:R,7,FALSE),IFERROR(VLOOKUP(tables_490010!C140,input_490010!A:H,8,FALSE),0))</f>
        <v>0</v>
      </c>
      <c r="P140" s="46">
        <f t="shared" ca="1" si="9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input_490010!A$2</f>
        <v>490010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IFERROR(VLOOKUP(B141,input_490010!L:R,7,FALSE),IFERROR(VLOOKUP(tables_490010!C141,input_490010!A:H,8,FALSE),0))</f>
        <v>0</v>
      </c>
      <c r="P141" s="46">
        <f t="shared" ca="1" si="9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input_490010!A$2</f>
        <v>490010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IFERROR(VLOOKUP(B142,input_490010!L:R,7,FALSE),IFERROR(VLOOKUP(tables_490010!C142,input_490010!A:H,8,FALSE),0))</f>
        <v>0</v>
      </c>
      <c r="P142" s="46">
        <f t="shared" ca="1" si="9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input_490010!A$2</f>
        <v>490010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IFERROR(VLOOKUP(B143,input_490010!L:R,7,FALSE),IFERROR(VLOOKUP(tables_490010!C143,input_490010!A:H,8,FALSE),0))</f>
        <v>0</v>
      </c>
      <c r="P143" s="46">
        <f t="shared" ca="1" si="9"/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input_490010!A$2</f>
        <v>490010</v>
      </c>
      <c r="B144" s="6">
        <v>326</v>
      </c>
      <c r="C144" s="7" t="str">
        <f t="shared" si="8"/>
        <v>PremiumSS4color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IFERROR(VLOOKUP(B144,input_490010!L:R,7,FALSE),IFERROR(VLOOKUP(tables_490010!C144,input_490010!A:H,8,FALSE),0))</f>
        <v>6270</v>
      </c>
      <c r="P144" s="46">
        <f t="shared" ca="1" si="9"/>
        <v>9.5E-4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input_490010!A$2</f>
        <v>490010</v>
      </c>
      <c r="B145" s="6">
        <v>327</v>
      </c>
      <c r="C145" s="7" t="str">
        <f t="shared" si="8"/>
        <v>PremiumSS5color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IFERROR(VLOOKUP(B145,input_490010!L:R,7,FALSE),IFERROR(VLOOKUP(tables_490010!C145,input_490010!A:H,8,FALSE),0))</f>
        <v>330</v>
      </c>
      <c r="P145" s="46">
        <f t="shared" ca="1" si="9"/>
        <v>5.0000000000000002E-5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input_490010!A$2</f>
        <v>490010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IFERROR(VLOOKUP(B146,input_490010!L:R,7,FALSE),IFERROR(VLOOKUP(tables_490010!C146,input_490010!A:H,8,FALSE),0))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input_490010!A$2</f>
        <v>490010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IFERROR(VLOOKUP(B147,input_490010!L:R,7,FALSE),IFERROR(VLOOKUP(tables_490010!C147,input_490010!A:H,8,FALSE),0))</f>
        <v>0</v>
      </c>
      <c r="P147" s="46">
        <f t="shared" ca="1" si="9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input_490010!A$2</f>
        <v>490010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IFERROR(VLOOKUP(B148,input_490010!L:R,7,FALSE),IFERROR(VLOOKUP(tables_490010!C148,input_490010!A:H,8,FALSE),0))</f>
        <v>0</v>
      </c>
      <c r="P148" s="46">
        <f t="shared" ca="1" si="9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input_490010!A$2</f>
        <v>490010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IFERROR(VLOOKUP(B149,input_490010!L:R,7,FALSE),IFERROR(VLOOKUP(tables_490010!C149,input_490010!A:H,8,FALSE),0))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input_490010!A$2</f>
        <v>490010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IFERROR(VLOOKUP(B150,input_490010!L:R,7,FALSE),IFERROR(VLOOKUP(tables_490010!C150,input_490010!A:H,8,FALSE),0))</f>
        <v>0</v>
      </c>
      <c r="P150" s="46">
        <f t="shared" ca="1" si="9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input_490010!A$2</f>
        <v>490010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IFERROR(VLOOKUP(B151,input_490010!L:R,7,FALSE),IFERROR(VLOOKUP(tables_490010!C151,input_490010!A:H,8,FALSE),0))</f>
        <v>0</v>
      </c>
      <c r="P151" s="46">
        <f t="shared" ca="1" si="9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input_490010!A$2</f>
        <v>490010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IFERROR(VLOOKUP(B152,input_490010!L:R,7,FALSE),IFERROR(VLOOKUP(tables_490010!C152,input_490010!A:H,8,FALSE),0))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input_490010!A$2</f>
        <v>490010</v>
      </c>
      <c r="B153" s="6">
        <v>387</v>
      </c>
      <c r="C153" s="7" t="str">
        <f t="shared" si="8"/>
        <v>Premium3color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IFERROR(VLOOKUP(B153,input_490010!L:R,7,FALSE),IFERROR(VLOOKUP(tables_490010!C153,input_490010!A:H,8,FALSE),0))</f>
        <v>138750</v>
      </c>
      <c r="P153" s="46">
        <f t="shared" ca="1" si="9"/>
        <v>2.1022727272727273E-2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input_490010!A$2</f>
        <v>490010</v>
      </c>
      <c r="B154" s="6">
        <v>388</v>
      </c>
      <c r="C154" s="7" t="str">
        <f t="shared" si="8"/>
        <v>Premium4color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IFERROR(VLOOKUP(B154,input_490010!L:R,7,FALSE),IFERROR(VLOOKUP(tables_490010!C154,input_490010!A:H,8,FALSE),0))</f>
        <v>124875</v>
      </c>
      <c r="P154" s="46">
        <f t="shared" ca="1" si="9"/>
        <v>1.8920454545454546E-2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input_490010!A$2</f>
        <v>490010</v>
      </c>
      <c r="B155" s="6">
        <v>389</v>
      </c>
      <c r="C155" s="7" t="str">
        <f t="shared" si="8"/>
        <v>Premium5color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IFERROR(VLOOKUP(B155,input_490010!L:R,7,FALSE),IFERROR(VLOOKUP(tables_490010!C155,input_490010!A:H,8,FALSE),0))</f>
        <v>590</v>
      </c>
      <c r="P155" s="46">
        <f t="shared" ca="1" si="9"/>
        <v>8.9393939393939389E-5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input_490010!A$2</f>
        <v>490010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IFERROR(VLOOKUP(B156,input_490010!L:R,7,FALSE),IFERROR(VLOOKUP(tables_490010!C156,input_490010!A:H,8,FALSE),0))</f>
        <v>0</v>
      </c>
      <c r="P156" s="46">
        <f t="shared" ca="1" si="9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input_490010!A$2</f>
        <v>490010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IFERROR(VLOOKUP(B157,input_490010!L:R,7,FALSE),IFERROR(VLOOKUP(tables_490010!C157,input_490010!A:H,8,FALSE),0))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input_490010!A$2</f>
        <v>490010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IFERROR(VLOOKUP(B158,input_490010!L:R,7,FALSE),IFERROR(VLOOKUP(tables_490010!C158,input_490010!A:H,8,FALSE),0))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input_490010!A$2</f>
        <v>490010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IFERROR(VLOOKUP(B159,input_490010!L:R,7,FALSE),IFERROR(VLOOKUP(tables_490010!C159,input_490010!A:H,8,FALSE),0))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input_490010!A$2</f>
        <v>490010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IFERROR(VLOOKUP(B160,input_490010!L:R,7,FALSE),IFERROR(VLOOKUP(tables_490010!C160,input_490010!A:H,8,FALSE),0))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input_490010!A$2</f>
        <v>490010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IFERROR(VLOOKUP(B161,input_490010!L:R,7,FALSE),IFERROR(VLOOKUP(tables_490010!C161,input_490010!A:H,8,FALSE),0))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input_490010!A$2</f>
        <v>490010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IFERROR(VLOOKUP(B162,input_490010!L:R,7,FALSE),IFERROR(VLOOKUP(tables_490010!C162,input_490010!A:H,8,FALSE),0))</f>
        <v>0</v>
      </c>
      <c r="P162" s="46">
        <f t="shared" ca="1" si="9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input_490010!A$2</f>
        <v>490010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IFERROR(VLOOKUP(B163,input_490010!L:R,7,FALSE),IFERROR(VLOOKUP(tables_490010!C163,input_490010!A:H,8,FALSE),0))</f>
        <v>0</v>
      </c>
      <c r="P163" s="46">
        <f t="shared" ca="1" si="9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input_490010!A$2</f>
        <v>490010</v>
      </c>
      <c r="B164" s="6">
        <v>398</v>
      </c>
      <c r="C164" s="7" t="str">
        <f t="shared" si="8"/>
        <v>PremiumSS4color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IFERROR(VLOOKUP(B164,input_490010!L:R,7,FALSE),IFERROR(VLOOKUP(tables_490010!C164,input_490010!A:H,8,FALSE),0))</f>
        <v>6270</v>
      </c>
      <c r="P164" s="46">
        <f t="shared" ca="1" si="9"/>
        <v>9.5E-4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input_490010!A$2</f>
        <v>490010</v>
      </c>
      <c r="B165" s="6">
        <v>399</v>
      </c>
      <c r="C165" s="7" t="str">
        <f t="shared" si="8"/>
        <v>PremiumSS5color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IFERROR(VLOOKUP(B165,input_490010!L:R,7,FALSE),IFERROR(VLOOKUP(tables_490010!C165,input_490010!A:H,8,FALSE),0))</f>
        <v>330</v>
      </c>
      <c r="P165" s="46">
        <f t="shared" ca="1" si="9"/>
        <v>5.0000000000000002E-5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input_490010!A$2</f>
        <v>490010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IFERROR(VLOOKUP(B166,input_490010!L:R,7,FALSE),IFERROR(VLOOKUP(tables_490010!C166,input_490010!A:H,8,FALSE),0))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input_490010!A$2</f>
        <v>490010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IFERROR(VLOOKUP(B167,input_490010!L:R,7,FALSE),IFERROR(VLOOKUP(tables_490010!C167,input_490010!A:H,8,FALSE),0))</f>
        <v>0</v>
      </c>
      <c r="P167" s="46">
        <f t="shared" ca="1" si="9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input_490010!A$2</f>
        <v>490010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IFERROR(VLOOKUP(B168,input_490010!L:R,7,FALSE),IFERROR(VLOOKUP(tables_490010!C168,input_490010!A:H,8,FALSE),0))</f>
        <v>0</v>
      </c>
      <c r="P168" s="46">
        <f t="shared" ca="1" si="9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input_490010!A$2</f>
        <v>490010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IFERROR(VLOOKUP(B169,input_490010!L:R,7,FALSE),IFERROR(VLOOKUP(tables_490010!C169,input_490010!A:H,8,FALSE),0))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input_490010!A$2</f>
        <v>490010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IFERROR(VLOOKUP(B170,input_490010!L:R,7,FALSE),IFERROR(VLOOKUP(tables_490010!C170,input_490010!A:H,8,FALSE),0))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input_490010!A$2</f>
        <v>490010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IFERROR(VLOOKUP(B171,input_490010!L:R,7,FALSE),IFERROR(VLOOKUP(tables_490010!C171,input_490010!A:H,8,FALSE),0))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input_490010!A$2</f>
        <v>490010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IFERROR(VLOOKUP(B172,input_490010!L:R,7,FALSE),IFERROR(VLOOKUP(tables_490010!C172,input_490010!A:H,8,FALSE),0))</f>
        <v>0</v>
      </c>
      <c r="P172" s="46">
        <f t="shared" ca="1" si="9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input_490010!A$2</f>
        <v>490010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IFERROR(VLOOKUP(B173,input_490010!L:R,7,FALSE),IFERROR(VLOOKUP(tables_490010!C173,input_490010!A:H,8,FALSE),0))</f>
        <v>0</v>
      </c>
      <c r="P173" s="46">
        <f t="shared" ca="1" si="9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input_490010!A$2</f>
        <v>490010</v>
      </c>
      <c r="B174" s="6">
        <v>408</v>
      </c>
      <c r="C174" s="7" t="str">
        <f t="shared" si="8"/>
        <v>PremiumSS4color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IFERROR(VLOOKUP(B174,input_490010!L:R,7,FALSE),IFERROR(VLOOKUP(tables_490010!C174,input_490010!A:H,8,FALSE),0))</f>
        <v>6270</v>
      </c>
      <c r="P174" s="46">
        <f t="shared" ca="1" si="9"/>
        <v>9.5E-4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input_490010!A$2</f>
        <v>490010</v>
      </c>
      <c r="B175" s="6">
        <v>409</v>
      </c>
      <c r="C175" s="7" t="str">
        <f t="shared" si="8"/>
        <v>PremiumSS5color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IFERROR(VLOOKUP(B175,input_490010!L:R,7,FALSE),IFERROR(VLOOKUP(tables_490010!C175,input_490010!A:H,8,FALSE),0))</f>
        <v>330</v>
      </c>
      <c r="P175" s="46">
        <f t="shared" ca="1" si="9"/>
        <v>5.0000000000000002E-5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input_490010!A$2</f>
        <v>490010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IFERROR(VLOOKUP(B176,input_490010!L:R,7,FALSE),IFERROR(VLOOKUP(tables_490010!C176,input_490010!A:H,8,FALSE),0))</f>
        <v>0</v>
      </c>
      <c r="P176" s="46">
        <f t="shared" ca="1" si="9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input_490010!A$2</f>
        <v>490010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IFERROR(VLOOKUP(B177,input_490010!L:R,7,FALSE),IFERROR(VLOOKUP(tables_490010!C177,input_490010!A:H,8,FALSE),0))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input_490010!A$2</f>
        <v>490010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IFERROR(VLOOKUP(B178,input_490010!L:R,7,FALSE),IFERROR(VLOOKUP(tables_490010!C178,input_490010!A:H,8,FALSE),0))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input_490010!A$2</f>
        <v>490010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IFERROR(VLOOKUP(B179,input_490010!L:R,7,FALSE),IFERROR(VLOOKUP(tables_490010!C179,input_490010!A:H,8,FALSE),0))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input_490010!A$2</f>
        <v>490010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IFERROR(VLOOKUP(B180,input_490010!L:R,7,FALSE),IFERROR(VLOOKUP(tables_490010!C180,input_490010!A:H,8,FALSE),0))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input_490010!A$2</f>
        <v>490010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IFERROR(VLOOKUP(B181,input_490010!L:R,7,FALSE),IFERROR(VLOOKUP(tables_490010!C181,input_490010!A:H,8,FALSE),0))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input_490010!A$2</f>
        <v>490010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IFERROR(VLOOKUP(B182,input_490010!L:R,7,FALSE),IFERROR(VLOOKUP(tables_490010!C182,input_490010!A:H,8,FALSE),0))</f>
        <v>0</v>
      </c>
      <c r="P182" s="46">
        <f t="shared" ca="1" si="9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input_490010!A$2</f>
        <v>490010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IFERROR(VLOOKUP(B183,input_490010!L:R,7,FALSE),IFERROR(VLOOKUP(tables_490010!C183,input_490010!A:H,8,FALSE),0))</f>
        <v>0</v>
      </c>
      <c r="P183" s="46">
        <f t="shared" ca="1" si="9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input_490010!A$2</f>
        <v>490010</v>
      </c>
      <c r="B184" s="6">
        <v>442</v>
      </c>
      <c r="C184" s="7" t="str">
        <f t="shared" si="8"/>
        <v>PremiumSS4color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IFERROR(VLOOKUP(B184,input_490010!L:R,7,FALSE),IFERROR(VLOOKUP(tables_490010!C184,input_490010!A:H,8,FALSE),0))</f>
        <v>6270</v>
      </c>
      <c r="P184" s="46">
        <f t="shared" ca="1" si="9"/>
        <v>9.5E-4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input_490010!A$2</f>
        <v>490010</v>
      </c>
      <c r="B185" s="6">
        <v>443</v>
      </c>
      <c r="C185" s="7" t="str">
        <f t="shared" si="8"/>
        <v>PremiumSS5color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IFERROR(VLOOKUP(B185,input_490010!L:R,7,FALSE),IFERROR(VLOOKUP(tables_490010!C185,input_490010!A:H,8,FALSE),0))</f>
        <v>330</v>
      </c>
      <c r="P185" s="46">
        <f t="shared" ca="1" si="9"/>
        <v>5.0000000000000002E-5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input_490010!A$2</f>
        <v>490010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IFERROR(VLOOKUP(B186,input_490010!L:R,7,FALSE),IFERROR(VLOOKUP(tables_490010!C186,input_490010!A:H,8,FALSE),0))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input_490010!A$2</f>
        <v>490010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IFERROR(VLOOKUP(B187,input_490010!L:R,7,FALSE),IFERROR(VLOOKUP(tables_490010!C187,input_490010!A:H,8,FALSE),0))</f>
        <v>0</v>
      </c>
      <c r="P187" s="46">
        <f t="shared" ca="1" si="9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input_490010!A$2</f>
        <v>490010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IFERROR(VLOOKUP(B188,input_490010!L:R,7,FALSE),IFERROR(VLOOKUP(tables_490010!C188,input_490010!A:H,8,FALSE),0))</f>
        <v>0</v>
      </c>
      <c r="P188" s="46">
        <f t="shared" ca="1" si="9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input_490010!A$2</f>
        <v>490010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IFERROR(VLOOKUP(B189,input_490010!L:R,7,FALSE),IFERROR(VLOOKUP(tables_490010!C189,input_490010!A:H,8,FALSE),0))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input_490010!A$2</f>
        <v>490010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IFERROR(VLOOKUP(B190,input_490010!L:R,7,FALSE),IFERROR(VLOOKUP(tables_490010!C190,input_490010!A:H,8,FALSE),0))</f>
        <v>0</v>
      </c>
      <c r="P190" s="46">
        <f t="shared" ca="1" si="9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input_490010!A$2</f>
        <v>490010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IFERROR(VLOOKUP(B191,input_490010!L:R,7,FALSE),IFERROR(VLOOKUP(tables_490010!C191,input_490010!A:H,8,FALSE),0))</f>
        <v>0</v>
      </c>
      <c r="P191" s="46">
        <f t="shared" ca="1" si="9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input_490010!A$2</f>
        <v>490010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IFERROR(VLOOKUP(B192,input_490010!L:R,7,FALSE),IFERROR(VLOOKUP(tables_490010!C192,input_490010!A:H,8,FALSE),0))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input_490010!A$2</f>
        <v>490010</v>
      </c>
      <c r="B193" s="6">
        <v>469</v>
      </c>
      <c r="C193" s="7" t="str">
        <f t="shared" si="8"/>
        <v>Premium3color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IFERROR(VLOOKUP(B193,input_490010!L:R,7,FALSE),IFERROR(VLOOKUP(tables_490010!C193,input_490010!A:H,8,FALSE),0))</f>
        <v>138750</v>
      </c>
      <c r="P193" s="46">
        <f t="shared" ca="1" si="9"/>
        <v>2.1022727272727273E-2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input_490010!A$2</f>
        <v>490010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IFERROR(VLOOKUP(B194,input_490010!L:R,7,FALSE),IFERROR(VLOOKUP(tables_490010!C194,input_490010!A:H,8,FALSE),0))</f>
        <v>124875</v>
      </c>
      <c r="P194" s="46">
        <f t="shared" ref="P194:P257" ca="1" si="13">O194/SUM(O:O)</f>
        <v>1.8920454545454546E-2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input_490010!A$2</f>
        <v>490010</v>
      </c>
      <c r="B195" s="6">
        <v>471</v>
      </c>
      <c r="C195" s="7" t="str">
        <f t="shared" si="12"/>
        <v>Premium5color</v>
      </c>
      <c r="D195" s="7" t="str">
        <f t="shared" ref="D195:D258" si="14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IF(K195="yellow","color","")</f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IFERROR(VLOOKUP(B195,input_490010!L:R,7,FALSE),IFERROR(VLOOKUP(tables_490010!C195,input_490010!A:H,8,FALSE),0))</f>
        <v>590</v>
      </c>
      <c r="P195" s="46">
        <f t="shared" ca="1" si="13"/>
        <v>8.9393939393939389E-5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input_490010!A$2</f>
        <v>490010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IFERROR(VLOOKUP(B196,input_490010!L:R,7,FALSE),IFERROR(VLOOKUP(tables_490010!C196,input_490010!A:H,8,FALSE),0))</f>
        <v>0</v>
      </c>
      <c r="P196" s="46">
        <f t="shared" ca="1" si="13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input_490010!A$2</f>
        <v>490010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IFERROR(VLOOKUP(B197,input_490010!L:R,7,FALSE),IFERROR(VLOOKUP(tables_490010!C197,input_490010!A:H,8,FALSE),0))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input_490010!A$2</f>
        <v>490010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IFERROR(VLOOKUP(B198,input_490010!L:R,7,FALSE),IFERROR(VLOOKUP(tables_490010!C198,input_490010!A:H,8,FALSE),0))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input_490010!A$2</f>
        <v>490010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IFERROR(VLOOKUP(B199,input_490010!L:R,7,FALSE),IFERROR(VLOOKUP(tables_490010!C199,input_490010!A:H,8,FALSE),0))</f>
        <v>0</v>
      </c>
      <c r="P199" s="46">
        <f t="shared" ca="1" si="13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input_490010!A$2</f>
        <v>490010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IFERROR(VLOOKUP(B200,input_490010!L:R,7,FALSE),IFERROR(VLOOKUP(tables_490010!C200,input_490010!A:H,8,FALSE),0))</f>
        <v>0</v>
      </c>
      <c r="P200" s="46">
        <f t="shared" ca="1" si="13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input_490010!A$2</f>
        <v>490010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IFERROR(VLOOKUP(B201,input_490010!L:R,7,FALSE),IFERROR(VLOOKUP(tables_490010!C201,input_490010!A:H,8,FALSE),0))</f>
        <v>0</v>
      </c>
      <c r="P201" s="46">
        <f t="shared" ca="1" si="13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input_490010!A$2</f>
        <v>490010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IFERROR(VLOOKUP(B202,input_490010!L:R,7,FALSE),IFERROR(VLOOKUP(tables_490010!C202,input_490010!A:H,8,FALSE),0))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input_490010!A$2</f>
        <v>490010</v>
      </c>
      <c r="B203" s="6">
        <v>481</v>
      </c>
      <c r="C203" s="7" t="str">
        <f t="shared" si="12"/>
        <v>Premium3color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IFERROR(VLOOKUP(B203,input_490010!L:R,7,FALSE),IFERROR(VLOOKUP(tables_490010!C203,input_490010!A:H,8,FALSE),0))</f>
        <v>138750</v>
      </c>
      <c r="P203" s="46">
        <f t="shared" ca="1" si="13"/>
        <v>2.1022727272727273E-2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input_490010!A$2</f>
        <v>490010</v>
      </c>
      <c r="B204" s="6">
        <v>482</v>
      </c>
      <c r="C204" s="7" t="str">
        <f t="shared" si="12"/>
        <v>Premium4color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IFERROR(VLOOKUP(B204,input_490010!L:R,7,FALSE),IFERROR(VLOOKUP(tables_490010!C204,input_490010!A:H,8,FALSE),0))</f>
        <v>124875</v>
      </c>
      <c r="P204" s="46">
        <f t="shared" ca="1" si="13"/>
        <v>1.8920454545454546E-2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input_490010!A$2</f>
        <v>490010</v>
      </c>
      <c r="B205" s="6">
        <v>483</v>
      </c>
      <c r="C205" s="7" t="str">
        <f t="shared" si="12"/>
        <v>Premium5color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IFERROR(VLOOKUP(B205,input_490010!L:R,7,FALSE),IFERROR(VLOOKUP(tables_490010!C205,input_490010!A:H,8,FALSE),0))</f>
        <v>590</v>
      </c>
      <c r="P205" s="46">
        <f t="shared" ca="1" si="13"/>
        <v>8.9393939393939389E-5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input_490010!A$2</f>
        <v>490010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IFERROR(VLOOKUP(B206,input_490010!L:R,7,FALSE),IFERROR(VLOOKUP(tables_490010!C206,input_490010!A:H,8,FALSE),0))</f>
        <v>0</v>
      </c>
      <c r="P206" s="46">
        <f t="shared" ca="1" si="13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input_490010!A$2</f>
        <v>490010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IFERROR(VLOOKUP(B207,input_490010!L:R,7,FALSE),IFERROR(VLOOKUP(tables_490010!C207,input_490010!A:H,8,FALSE),0))</f>
        <v>0</v>
      </c>
      <c r="P207" s="46">
        <f t="shared" ca="1" si="13"/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input_490010!A$2</f>
        <v>490010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IFERROR(VLOOKUP(B208,input_490010!L:R,7,FALSE),IFERROR(VLOOKUP(tables_490010!C208,input_490010!A:H,8,FALSE),0))</f>
        <v>0</v>
      </c>
      <c r="P208" s="46">
        <f t="shared" ca="1" si="13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input_490010!A$2</f>
        <v>490010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IFERROR(VLOOKUP(B209,input_490010!L:R,7,FALSE),IFERROR(VLOOKUP(tables_490010!C209,input_490010!A:H,8,FALSE),0))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input_490010!A$2</f>
        <v>490010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IFERROR(VLOOKUP(B210,input_490010!L:R,7,FALSE),IFERROR(VLOOKUP(tables_490010!C210,input_490010!A:H,8,FALSE),0))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input_490010!A$2</f>
        <v>490010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IFERROR(VLOOKUP(B211,input_490010!L:R,7,FALSE),IFERROR(VLOOKUP(tables_490010!C211,input_490010!A:H,8,FALSE),0))</f>
        <v>0</v>
      </c>
      <c r="P211" s="46">
        <f t="shared" ca="1" si="13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input_490010!A$2</f>
        <v>490010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IFERROR(VLOOKUP(B212,input_490010!L:R,7,FALSE),IFERROR(VLOOKUP(tables_490010!C212,input_490010!A:H,8,FALSE),0))</f>
        <v>0</v>
      </c>
      <c r="P212" s="46">
        <f t="shared" ca="1" si="13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input_490010!A$2</f>
        <v>490010</v>
      </c>
      <c r="B213" s="6">
        <v>499</v>
      </c>
      <c r="C213" s="7" t="str">
        <f t="shared" si="12"/>
        <v>PremiumSS4color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IFERROR(VLOOKUP(B213,input_490010!L:R,7,FALSE),IFERROR(VLOOKUP(tables_490010!C213,input_490010!A:H,8,FALSE),0))</f>
        <v>99000</v>
      </c>
      <c r="P213" s="46">
        <f t="shared" ca="1" si="13"/>
        <v>1.4999999999999999E-2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input_490010!A$2</f>
        <v>490010</v>
      </c>
      <c r="B214" s="6">
        <v>500</v>
      </c>
      <c r="C214" s="7" t="str">
        <f t="shared" si="12"/>
        <v>PremiumSS5color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IFERROR(VLOOKUP(B214,input_490010!L:R,7,FALSE),IFERROR(VLOOKUP(tables_490010!C214,input_490010!A:H,8,FALSE),0))</f>
        <v>99000</v>
      </c>
      <c r="P214" s="46">
        <f t="shared" ca="1" si="13"/>
        <v>1.4999999999999999E-2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input_490010!A$2</f>
        <v>490010</v>
      </c>
      <c r="B215" s="6">
        <v>560</v>
      </c>
      <c r="C215" s="7" t="str">
        <f t="shared" si="12"/>
        <v>premium5</v>
      </c>
      <c r="D215" s="7" t="str">
        <f t="shared" si="14"/>
        <v>premium</v>
      </c>
      <c r="E215" s="7"/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IFERROR(VLOOKUP(B215,input_490010!L:R,7,FALSE),IFERROR(VLOOKUP(tables_490010!C215,input_490010!A:H,8,FALSE),0))</f>
        <v>0</v>
      </c>
      <c r="P215" s="46">
        <f t="shared" ca="1" si="13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input_490010!A$2</f>
        <v>490010</v>
      </c>
      <c r="B216" s="6">
        <v>561</v>
      </c>
      <c r="C216" s="7" t="str">
        <f t="shared" si="12"/>
        <v>premium5</v>
      </c>
      <c r="D216" s="7" t="str">
        <f t="shared" si="14"/>
        <v>premium</v>
      </c>
      <c r="E216" s="7"/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IFERROR(VLOOKUP(B216,input_490010!L:R,7,FALSE),IFERROR(VLOOKUP(tables_490010!C216,input_490010!A:H,8,FALSE),0))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input_490010!A$2</f>
        <v>490010</v>
      </c>
      <c r="B217" s="6">
        <v>562</v>
      </c>
      <c r="C217" s="7" t="str">
        <f t="shared" si="12"/>
        <v>premium5</v>
      </c>
      <c r="D217" s="7" t="str">
        <f t="shared" si="14"/>
        <v>premium</v>
      </c>
      <c r="E217" s="7"/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IFERROR(VLOOKUP(B217,input_490010!L:R,7,FALSE),IFERROR(VLOOKUP(tables_490010!C217,input_490010!A:H,8,FALSE),0))</f>
        <v>0</v>
      </c>
      <c r="P217" s="46">
        <f t="shared" ca="1" si="13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input_490010!A$2</f>
        <v>490010</v>
      </c>
      <c r="B218" s="6">
        <v>563</v>
      </c>
      <c r="C218" s="7" t="str">
        <f t="shared" si="12"/>
        <v>premium5color</v>
      </c>
      <c r="D218" s="7" t="str">
        <f t="shared" si="14"/>
        <v>premium</v>
      </c>
      <c r="E218" s="7"/>
      <c r="F218" s="7" t="str">
        <f>IF(COUNTIF('R6開放'!A:A,B218)&gt;0,"R6release","")</f>
        <v/>
      </c>
      <c r="G218" s="7" t="str">
        <f t="shared" si="15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IFERROR(VLOOKUP(B218,input_490010!L:R,7,FALSE),IFERROR(VLOOKUP(tables_490010!C218,input_490010!A:H,8,FALSE),0))</f>
        <v>590</v>
      </c>
      <c r="P218" s="46">
        <f t="shared" ca="1" si="13"/>
        <v>8.9393939393939389E-5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input_490010!A$2</f>
        <v>490010</v>
      </c>
      <c r="B219" s="6">
        <v>566</v>
      </c>
      <c r="C219" s="7" t="str">
        <f t="shared" si="12"/>
        <v>premium5</v>
      </c>
      <c r="D219" s="7" t="str">
        <f t="shared" si="14"/>
        <v>premium</v>
      </c>
      <c r="E219" s="7"/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IFERROR(VLOOKUP(B219,input_490010!L:R,7,FALSE),IFERROR(VLOOKUP(tables_490010!C219,input_490010!A:H,8,FALSE),0))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input_490010!A$2</f>
        <v>490010</v>
      </c>
      <c r="B220" s="6">
        <v>567</v>
      </c>
      <c r="C220" s="7" t="str">
        <f t="shared" si="12"/>
        <v>premium5color</v>
      </c>
      <c r="D220" s="7" t="str">
        <f t="shared" si="14"/>
        <v>premium</v>
      </c>
      <c r="E220" s="7"/>
      <c r="F220" s="7" t="str">
        <f>IF(COUNTIF('R6開放'!A:A,B220)&gt;0,"R6release","")</f>
        <v/>
      </c>
      <c r="G220" s="7" t="str">
        <f t="shared" si="15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IFERROR(VLOOKUP(B220,input_490010!L:R,7,FALSE),IFERROR(VLOOKUP(tables_490010!C220,input_490010!A:H,8,FALSE),0))</f>
        <v>590</v>
      </c>
      <c r="P220" s="46">
        <f t="shared" ca="1" si="13"/>
        <v>8.9393939393939389E-5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input_490010!A$2</f>
        <v>490010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IFERROR(VLOOKUP(B221,input_490010!L:R,7,FALSE),IFERROR(VLOOKUP(tables_490010!C221,input_490010!A:H,8,FALSE),0))</f>
        <v>0</v>
      </c>
      <c r="P221" s="46">
        <f t="shared" ca="1" si="13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input_490010!A$2</f>
        <v>490010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IFERROR(VLOOKUP(B222,input_490010!L:R,7,FALSE),IFERROR(VLOOKUP(tables_490010!C222,input_490010!A:H,8,FALSE),0))</f>
        <v>0</v>
      </c>
      <c r="P222" s="46">
        <f t="shared" ca="1" si="13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input_490010!A$2</f>
        <v>490010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IFERROR(VLOOKUP(B223,input_490010!L:R,7,FALSE),IFERROR(VLOOKUP(tables_490010!C223,input_490010!A:H,8,FALSE),0))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input_490010!A$2</f>
        <v>490010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IFERROR(VLOOKUP(B224,input_490010!L:R,7,FALSE),IFERROR(VLOOKUP(tables_490010!C224,input_490010!A:H,8,FALSE),0))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input_490010!A$2</f>
        <v>490010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IFERROR(VLOOKUP(B225,input_490010!L:R,7,FALSE),IFERROR(VLOOKUP(tables_490010!C225,input_490010!A:H,8,FALSE),0))</f>
        <v>0</v>
      </c>
      <c r="P225" s="46">
        <f t="shared" ca="1" si="13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input_490010!A$2</f>
        <v>490010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IFERROR(VLOOKUP(B226,input_490010!L:R,7,FALSE),IFERROR(VLOOKUP(tables_490010!C226,input_490010!A:H,8,FALSE),0))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input_490010!A$2</f>
        <v>490010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IFERROR(VLOOKUP(B227,input_490010!L:R,7,FALSE),IFERROR(VLOOKUP(tables_490010!C227,input_490010!A:H,8,FALSE),0))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input_490010!A$2</f>
        <v>490010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IFERROR(VLOOKUP(B228,input_490010!L:R,7,FALSE),IFERROR(VLOOKUP(tables_490010!C228,input_490010!A:H,8,FALSE),0))</f>
        <v>0</v>
      </c>
      <c r="P228" s="46">
        <f t="shared" ca="1" si="13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input_490010!A$2</f>
        <v>490010</v>
      </c>
      <c r="B229" s="6">
        <v>594</v>
      </c>
      <c r="C229" s="7" t="str">
        <f t="shared" si="12"/>
        <v>PremiumSS4color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>IFERROR(VLOOKUP(B229,input_490010!L:R,7,FALSE),IFERROR(VLOOKUP(tables_490010!C229,input_490010!A:H,8,FALSE),0))</f>
        <v>99000</v>
      </c>
      <c r="P229" s="46">
        <f t="shared" ca="1" si="13"/>
        <v>1.4999999999999999E-2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input_490010!A$2</f>
        <v>490010</v>
      </c>
      <c r="B230" s="6">
        <v>595</v>
      </c>
      <c r="C230" s="7" t="str">
        <f t="shared" si="12"/>
        <v>PremiumSS5color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>IFERROR(VLOOKUP(B230,input_490010!L:R,7,FALSE),IFERROR(VLOOKUP(tables_490010!C230,input_490010!A:H,8,FALSE),0))</f>
        <v>99000</v>
      </c>
      <c r="P230" s="46">
        <f t="shared" ca="1" si="13"/>
        <v>1.4999999999999999E-2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input_490010!A$2</f>
        <v>490010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IFERROR(VLOOKUP(B231,input_490010!L:R,7,FALSE),IFERROR(VLOOKUP(tables_490010!C231,input_490010!A:H,8,FALSE),0))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input_490010!A$2</f>
        <v>490010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IFERROR(VLOOKUP(B232,input_490010!L:R,7,FALSE),IFERROR(VLOOKUP(tables_490010!C232,input_490010!A:H,8,FALSE),0))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input_490010!A$2</f>
        <v>490010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IFERROR(VLOOKUP(B233,input_490010!L:R,7,FALSE),IFERROR(VLOOKUP(tables_490010!C233,input_490010!A:H,8,FALSE),0))</f>
        <v>0</v>
      </c>
      <c r="P233" s="46">
        <f t="shared" ca="1" si="13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input_490010!A$2</f>
        <v>490010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IFERROR(VLOOKUP(B234,input_490010!L:R,7,FALSE),IFERROR(VLOOKUP(tables_490010!C234,input_490010!A:H,8,FALSE),0))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input_490010!A$2</f>
        <v>490010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IFERROR(VLOOKUP(B235,input_490010!L:R,7,FALSE),IFERROR(VLOOKUP(tables_490010!C235,input_490010!A:H,8,FALSE),0))</f>
        <v>0</v>
      </c>
      <c r="P235" s="46">
        <f t="shared" ca="1" si="13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input_490010!A$2</f>
        <v>490010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IFERROR(VLOOKUP(B236,input_490010!L:R,7,FALSE),IFERROR(VLOOKUP(tables_490010!C236,input_490010!A:H,8,FALSE),0))</f>
        <v>0</v>
      </c>
      <c r="P236" s="46">
        <f t="shared" ca="1" si="13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input_490010!A$2</f>
        <v>490010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IFERROR(VLOOKUP(B237,input_490010!L:R,7,FALSE),IFERROR(VLOOKUP(tables_490010!C237,input_490010!A:H,8,FALSE),0))</f>
        <v>0</v>
      </c>
      <c r="P237" s="46">
        <f t="shared" ca="1" si="13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input_490010!A$2</f>
        <v>490010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IFERROR(VLOOKUP(B238,input_490010!L:R,7,FALSE),IFERROR(VLOOKUP(tables_490010!C238,input_490010!A:H,8,FALSE),0))</f>
        <v>0</v>
      </c>
      <c r="P238" s="46">
        <f t="shared" ca="1" si="13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input_490010!A$2</f>
        <v>490010</v>
      </c>
      <c r="B239" s="6">
        <v>604</v>
      </c>
      <c r="C239" s="7" t="str">
        <f t="shared" si="12"/>
        <v>Premium3color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IFERROR(VLOOKUP(B239,input_490010!L:R,7,FALSE),IFERROR(VLOOKUP(tables_490010!C239,input_490010!A:H,8,FALSE),0))</f>
        <v>138750</v>
      </c>
      <c r="P239" s="46">
        <f t="shared" ca="1" si="13"/>
        <v>2.1022727272727273E-2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input_490010!A$2</f>
        <v>490010</v>
      </c>
      <c r="B240" s="6">
        <v>605</v>
      </c>
      <c r="C240" s="7" t="str">
        <f t="shared" si="12"/>
        <v>Premium4color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IFERROR(VLOOKUP(B240,input_490010!L:R,7,FALSE),IFERROR(VLOOKUP(tables_490010!C240,input_490010!A:H,8,FALSE),0))</f>
        <v>124875</v>
      </c>
      <c r="P240" s="46">
        <f t="shared" ca="1" si="13"/>
        <v>1.8920454545454546E-2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input_490010!A$2</f>
        <v>490010</v>
      </c>
      <c r="B241" s="6">
        <v>606</v>
      </c>
      <c r="C241" s="7" t="str">
        <f t="shared" si="12"/>
        <v>Premium5color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IFERROR(VLOOKUP(B241,input_490010!L:R,7,FALSE),IFERROR(VLOOKUP(tables_490010!C241,input_490010!A:H,8,FALSE),0))</f>
        <v>590</v>
      </c>
      <c r="P241" s="46">
        <f t="shared" ca="1" si="13"/>
        <v>8.9393939393939389E-5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input_490010!A$2</f>
        <v>490010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IFERROR(VLOOKUP(B242,input_490010!L:R,7,FALSE),IFERROR(VLOOKUP(tables_490010!C242,input_490010!A:H,8,FALSE),0))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input_490010!A$2</f>
        <v>490010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IFERROR(VLOOKUP(B243,input_490010!L:R,7,FALSE),IFERROR(VLOOKUP(tables_490010!C243,input_490010!A:H,8,FALSE),0))</f>
        <v>0</v>
      </c>
      <c r="P243" s="46">
        <f t="shared" ca="1" si="13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input_490010!A$2</f>
        <v>490010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IFERROR(VLOOKUP(B244,input_490010!L:R,7,FALSE),IFERROR(VLOOKUP(tables_490010!C244,input_490010!A:H,8,FALSE),0))</f>
        <v>0</v>
      </c>
      <c r="P244" s="46">
        <f t="shared" ca="1" si="13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input_490010!A$2</f>
        <v>490010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IFERROR(VLOOKUP(B245,input_490010!L:R,7,FALSE),IFERROR(VLOOKUP(tables_490010!C245,input_490010!A:H,8,FALSE),0))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input_490010!A$2</f>
        <v>490010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IFERROR(VLOOKUP(B246,input_490010!L:R,7,FALSE),IFERROR(VLOOKUP(tables_490010!C246,input_490010!A:H,8,FALSE),0))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input_490010!A$2</f>
        <v>490010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IFERROR(VLOOKUP(B247,input_490010!L:R,7,FALSE),IFERROR(VLOOKUP(tables_490010!C247,input_490010!A:H,8,FALSE),0))</f>
        <v>0</v>
      </c>
      <c r="P247" s="46">
        <f t="shared" ca="1" si="13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input_490010!A$2</f>
        <v>490010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IFERROR(VLOOKUP(B248,input_490010!L:R,7,FALSE),IFERROR(VLOOKUP(tables_490010!C248,input_490010!A:H,8,FALSE),0))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input_490010!A$2</f>
        <v>490010</v>
      </c>
      <c r="B249" s="60">
        <v>665</v>
      </c>
      <c r="C249" s="7" t="str">
        <f t="shared" si="12"/>
        <v>Premium3color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IFERROR(VLOOKUP(B249,input_490010!L:R,7,FALSE),IFERROR(VLOOKUP(tables_490010!C249,input_490010!A:H,8,FALSE),0))</f>
        <v>138750</v>
      </c>
      <c r="P249" s="46">
        <f t="shared" ca="1" si="13"/>
        <v>2.1022727272727273E-2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input_490010!A$2</f>
        <v>490010</v>
      </c>
      <c r="B250" s="60">
        <v>666</v>
      </c>
      <c r="C250" s="7" t="str">
        <f t="shared" si="12"/>
        <v>Premium4color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IFERROR(VLOOKUP(B250,input_490010!L:R,7,FALSE),IFERROR(VLOOKUP(tables_490010!C250,input_490010!A:H,8,FALSE),0))</f>
        <v>124875</v>
      </c>
      <c r="P250" s="46">
        <f t="shared" ca="1" si="13"/>
        <v>1.8920454545454546E-2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input_490010!A$2</f>
        <v>490010</v>
      </c>
      <c r="B251" s="60">
        <v>667</v>
      </c>
      <c r="C251" s="7" t="str">
        <f t="shared" si="12"/>
        <v>Premium5color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IFERROR(VLOOKUP(B251,input_490010!L:R,7,FALSE),IFERROR(VLOOKUP(tables_490010!C251,input_490010!A:H,8,FALSE),0))</f>
        <v>590</v>
      </c>
      <c r="P251" s="46">
        <f t="shared" ca="1" si="13"/>
        <v>8.9393939393939389E-5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input_490010!A$2</f>
        <v>490010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IFERROR(VLOOKUP(B252,input_490010!L:R,7,FALSE),IFERROR(VLOOKUP(tables_490010!C252,input_490010!A:H,8,FALSE),0))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input_490010!A$2</f>
        <v>490010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IFERROR(VLOOKUP(B253,input_490010!L:R,7,FALSE),IFERROR(VLOOKUP(tables_490010!C253,input_490010!A:H,8,FALSE),0))</f>
        <v>0</v>
      </c>
      <c r="P253" s="46">
        <f t="shared" ca="1" si="13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input_490010!A$2</f>
        <v>490010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IFERROR(VLOOKUP(B254,input_490010!L:R,7,FALSE),IFERROR(VLOOKUP(tables_490010!C254,input_490010!A:H,8,FALSE),0))</f>
        <v>0</v>
      </c>
      <c r="P254" s="46">
        <f t="shared" ca="1" si="13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input_490010!A$2</f>
        <v>490010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IFERROR(VLOOKUP(B255,input_490010!L:R,7,FALSE),IFERROR(VLOOKUP(tables_490010!C255,input_490010!A:H,8,FALSE),0))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input_490010!A$2</f>
        <v>490010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IFERROR(VLOOKUP(B256,input_490010!L:R,7,FALSE),IFERROR(VLOOKUP(tables_490010!C256,input_490010!A:H,8,FALSE),0))</f>
        <v>0</v>
      </c>
      <c r="P256" s="46">
        <f t="shared" ca="1" si="13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input_490010!A$2</f>
        <v>490010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IFERROR(VLOOKUP(B257,input_490010!L:R,7,FALSE),IFERROR(VLOOKUP(tables_490010!C257,input_490010!A:H,8,FALSE),0))</f>
        <v>0</v>
      </c>
      <c r="P257" s="46">
        <f t="shared" ca="1" si="13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input_490010!A$2</f>
        <v>490010</v>
      </c>
      <c r="B258" s="60">
        <v>674</v>
      </c>
      <c r="C258" s="7" t="str">
        <f t="shared" ref="C258:C284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IFERROR(VLOOKUP(B258,input_490010!L:R,7,FALSE),IFERROR(VLOOKUP(tables_490010!C258,input_490010!A:H,8,FALSE),0))</f>
        <v>0</v>
      </c>
      <c r="P258" s="46">
        <f t="shared" ref="P258:P294" ca="1" si="17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input_490010!A$2</f>
        <v>490010</v>
      </c>
      <c r="B259" s="60">
        <v>675</v>
      </c>
      <c r="C259" s="7" t="str">
        <f t="shared" si="16"/>
        <v>PremiumSS5</v>
      </c>
      <c r="D259" s="7" t="str">
        <f t="shared" ref="D259:D322" si="18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IF(K259="yellow","color","")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IFERROR(VLOOKUP(B259,input_490010!L:R,7,FALSE),IFERROR(VLOOKUP(tables_490010!C259,input_490010!A:H,8,FALSE),0))</f>
        <v>0</v>
      </c>
      <c r="P259" s="46">
        <f t="shared" ca="1" si="17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input_490010!A$2</f>
        <v>490010</v>
      </c>
      <c r="B260" s="60">
        <v>676</v>
      </c>
      <c r="C260" s="7" t="str">
        <f t="shared" si="16"/>
        <v>PremiumSS4color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IFERROR(VLOOKUP(B260,input_490010!L:R,7,FALSE),IFERROR(VLOOKUP(tables_490010!C260,input_490010!A:H,8,FALSE),0))</f>
        <v>6270</v>
      </c>
      <c r="P260" s="46">
        <f t="shared" ca="1" si="17"/>
        <v>9.5E-4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input_490010!A$2</f>
        <v>490010</v>
      </c>
      <c r="B261" s="60">
        <v>677</v>
      </c>
      <c r="C261" s="7" t="str">
        <f t="shared" si="16"/>
        <v>PremiumSS5color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IFERROR(VLOOKUP(B261,input_490010!L:R,7,FALSE),IFERROR(VLOOKUP(tables_490010!C261,input_490010!A:H,8,FALSE),0))</f>
        <v>330</v>
      </c>
      <c r="P261" s="46">
        <f t="shared" ca="1" si="17"/>
        <v>5.0000000000000002E-5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input_490010!A$2</f>
        <v>490010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IFERROR(VLOOKUP(B262,input_490010!L:R,7,FALSE),IFERROR(VLOOKUP(tables_490010!C262,input_490010!A:H,8,FALSE),0))</f>
        <v>0</v>
      </c>
      <c r="P262" s="46">
        <f t="shared" ca="1" si="17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input_490010!A$2</f>
        <v>490010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IFERROR(VLOOKUP(B263,input_490010!L:R,7,FALSE),IFERROR(VLOOKUP(tables_490010!C263,input_490010!A:H,8,FALSE),0))</f>
        <v>0</v>
      </c>
      <c r="P263" s="46">
        <f t="shared" ca="1" si="17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input_490010!A$2</f>
        <v>490010</v>
      </c>
      <c r="B264" s="60">
        <v>730</v>
      </c>
      <c r="C264" s="7" t="str">
        <f>D264&amp;J264&amp;E264&amp;F264&amp;G264</f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IFERROR(VLOOKUP(B264,input_490010!L:R,7,FALSE),IFERROR(VLOOKUP(tables_490010!C264,input_490010!A:H,8,FALSE),0))</f>
        <v>0</v>
      </c>
      <c r="P264" s="46">
        <f t="shared" ca="1" si="17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input_490010!A$2</f>
        <v>490010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IFERROR(VLOOKUP(B265,input_490010!L:R,7,FALSE),IFERROR(VLOOKUP(tables_490010!C265,input_490010!A:H,8,FALSE),0))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input_490010!A$2</f>
        <v>490010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IFERROR(VLOOKUP(B266,input_490010!L:R,7,FALSE),IFERROR(VLOOKUP(tables_490010!C266,input_490010!A:H,8,FALSE),0))</f>
        <v>0</v>
      </c>
      <c r="P266" s="46">
        <f t="shared" ca="1" si="17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input_490010!A$2</f>
        <v>490010</v>
      </c>
      <c r="B267" s="60">
        <v>734</v>
      </c>
      <c r="C267" s="7" t="str">
        <f t="shared" si="16"/>
        <v>PremiumSS5R5onlycolor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IFERROR(VLOOKUP(B267,input_490010!L:R,7,FALSE),IFERROR(VLOOKUP(tables_490010!C267,input_490010!A:H,8,FALSE),0))</f>
        <v>6600</v>
      </c>
      <c r="P267" s="46">
        <f t="shared" ca="1" si="17"/>
        <v>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input_490010!A$2</f>
        <v>490010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IFERROR(VLOOKUP(B268,input_490010!L:R,7,FALSE),IFERROR(VLOOKUP(tables_490010!C268,input_490010!A:H,8,FALSE),0))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input_490010!A$2</f>
        <v>490010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IFERROR(VLOOKUP(B269,input_490010!L:R,7,FALSE),IFERROR(VLOOKUP(tables_490010!C269,input_490010!A:H,8,FALSE),0))</f>
        <v>0</v>
      </c>
      <c r="P269" s="46">
        <f t="shared" ca="1" si="17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input_490010!A$2</f>
        <v>490010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IFERROR(VLOOKUP(B270,input_490010!L:R,7,FALSE),IFERROR(VLOOKUP(tables_490010!C270,input_490010!A:H,8,FALSE),0))</f>
        <v>0</v>
      </c>
      <c r="P270" s="46">
        <f t="shared" ca="1" si="17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input_490010!A$2</f>
        <v>490010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IFERROR(VLOOKUP(B271,input_490010!L:R,7,FALSE),IFERROR(VLOOKUP(tables_490010!C271,input_490010!A:H,8,FALSE),0))</f>
        <v>0</v>
      </c>
      <c r="P271" s="46">
        <f t="shared" ca="1" si="17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input_490010!A$2</f>
        <v>490010</v>
      </c>
      <c r="B272" s="81">
        <v>748</v>
      </c>
      <c r="C272" s="7" t="str">
        <f t="shared" si="16"/>
        <v>Premium4R3lesscolor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IFERROR(VLOOKUP(B272,input_490010!L:R,7,FALSE),IFERROR(VLOOKUP(tables_490010!C272,input_490010!A:H,8,FALSE),0))</f>
        <v>263625</v>
      </c>
      <c r="P272" s="46">
        <f t="shared" ca="1" si="17"/>
        <v>3.9943181818181815E-2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input_490010!A$2</f>
        <v>490010</v>
      </c>
      <c r="B273" s="81">
        <v>749</v>
      </c>
      <c r="C273" s="7" t="str">
        <f t="shared" si="16"/>
        <v>Premium5R3lesscolor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IFERROR(VLOOKUP(B273,input_490010!L:R,7,FALSE),IFERROR(VLOOKUP(tables_490010!C273,input_490010!A:H,8,FALSE),0))</f>
        <v>13875</v>
      </c>
      <c r="P273" s="46">
        <f t="shared" ca="1" si="17"/>
        <v>2.1022727272727274E-3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input_490010!A$2</f>
        <v>490010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IFERROR(VLOOKUP(B274,input_490010!L:R,7,FALSE),IFERROR(VLOOKUP(tables_490010!C274,input_490010!A:H,8,FALSE),0))</f>
        <v>0</v>
      </c>
      <c r="P274" s="46">
        <f t="shared" ca="1" si="17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input_490010!A$2</f>
        <v>490010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IFERROR(VLOOKUP(B275,input_490010!L:R,7,FALSE),IFERROR(VLOOKUP(tables_490010!C275,input_490010!A:H,8,FALSE),0))</f>
        <v>0</v>
      </c>
      <c r="P275" s="46">
        <f t="shared" ca="1" si="17"/>
        <v>0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input_490010!A$2</f>
        <v>490010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IFERROR(VLOOKUP(B276,input_490010!L:R,7,FALSE),IFERROR(VLOOKUP(tables_490010!C276,input_490010!A:H,8,FALSE),0))</f>
        <v>0</v>
      </c>
      <c r="P276" s="46">
        <f t="shared" ca="1" si="17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input_490010!A$2</f>
        <v>490010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IFERROR(VLOOKUP(B277,input_490010!L:R,7,FALSE),IFERROR(VLOOKUP(tables_490010!C277,input_490010!A:H,8,FALSE),0))</f>
        <v>0</v>
      </c>
      <c r="P277" s="46">
        <f t="shared" ca="1" si="17"/>
        <v>0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input_490010!A$2</f>
        <v>490010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IFERROR(VLOOKUP(B278,input_490010!L:R,7,FALSE),IFERROR(VLOOKUP(tables_490010!C278,input_490010!A:H,8,FALSE),0))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input_490010!A$2</f>
        <v>490010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IFERROR(VLOOKUP(B279,input_490010!L:R,7,FALSE),IFERROR(VLOOKUP(tables_490010!C279,input_490010!A:H,8,FALSE),0))</f>
        <v>0</v>
      </c>
      <c r="P279" s="46">
        <f t="shared" ca="1" si="17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input_490010!A$2</f>
        <v>490010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IFERROR(VLOOKUP(B280,input_490010!L:R,7,FALSE),IFERROR(VLOOKUP(tables_490010!C280,input_490010!A:H,8,FALSE),0))</f>
        <v>0</v>
      </c>
      <c r="P280" s="46">
        <f t="shared" ca="1" si="17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input_490010!A$2</f>
        <v>490010</v>
      </c>
      <c r="B281" s="81">
        <v>777</v>
      </c>
      <c r="C281" s="7" t="str">
        <f t="shared" si="16"/>
        <v>Premium3color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IFERROR(VLOOKUP(B281,input_490010!L:R,7,FALSE),IFERROR(VLOOKUP(tables_490010!C281,input_490010!A:H,8,FALSE),0))</f>
        <v>138750</v>
      </c>
      <c r="P281" s="46">
        <f t="shared" ca="1" si="17"/>
        <v>2.1022727272727273E-2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input_490010!A$2</f>
        <v>490010</v>
      </c>
      <c r="B282" s="81">
        <v>778</v>
      </c>
      <c r="C282" s="7" t="str">
        <f t="shared" si="16"/>
        <v>Premium4color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IFERROR(VLOOKUP(B282,input_490010!L:R,7,FALSE),IFERROR(VLOOKUP(tables_490010!C282,input_490010!A:H,8,FALSE),0))</f>
        <v>124875</v>
      </c>
      <c r="P282" s="46">
        <f t="shared" ca="1" si="17"/>
        <v>1.8920454545454546E-2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input_490010!A$2</f>
        <v>490010</v>
      </c>
      <c r="B283" s="5">
        <v>779</v>
      </c>
      <c r="C283" s="7" t="str">
        <f t="shared" si="16"/>
        <v>Premium5color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IFERROR(VLOOKUP(B283,input_490010!L:R,7,FALSE),IFERROR(VLOOKUP(tables_490010!C283,input_490010!A:H,8,FALSE),0))</f>
        <v>590</v>
      </c>
      <c r="P283" s="46">
        <f t="shared" ca="1" si="17"/>
        <v>8.9393939393939389E-5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input_490010!A$2</f>
        <v>490010</v>
      </c>
      <c r="B284" s="5">
        <v>848</v>
      </c>
      <c r="C284" s="7" t="str">
        <f t="shared" si="16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IFERROR(VLOOKUP(B284,input_490010!L:R,7,FALSE),IFERROR(VLOOKUP(tables_490010!C284,input_490010!A:H,8,FALSE),0))</f>
        <v>0</v>
      </c>
      <c r="P284" s="46">
        <f t="shared" ca="1" si="17"/>
        <v>0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input_490010!A$2</f>
        <v>490010</v>
      </c>
      <c r="B285" s="5">
        <v>850</v>
      </c>
      <c r="C285" s="7" t="str">
        <f t="shared" ref="C285:C289" si="20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IFERROR(VLOOKUP(B285,input_490010!L:R,7,FALSE),IFERROR(VLOOKUP(tables_490010!C285,input_490010!A:H,8,FALSE),0))</f>
        <v>0</v>
      </c>
      <c r="P285" s="46">
        <f t="shared" ca="1" si="17"/>
        <v>0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input_490010!A$2</f>
        <v>490010</v>
      </c>
      <c r="B286" s="5">
        <v>852</v>
      </c>
      <c r="C286" s="7" t="str">
        <f t="shared" si="20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IFERROR(VLOOKUP(B286,input_490010!L:R,7,FALSE),IFERROR(VLOOKUP(tables_490010!C286,input_490010!A:H,8,FALSE),0))</f>
        <v>0</v>
      </c>
      <c r="P286" s="46">
        <f t="shared" ca="1" si="17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input_490010!A$2</f>
        <v>490010</v>
      </c>
      <c r="B287" s="5">
        <v>853</v>
      </c>
      <c r="C287" s="7" t="str">
        <f t="shared" si="20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IFERROR(VLOOKUP(B287,input_490010!L:R,7,FALSE),IFERROR(VLOOKUP(tables_490010!C287,input_490010!A:H,8,FALSE),0))</f>
        <v>0</v>
      </c>
      <c r="P287" s="46">
        <f t="shared" ca="1" si="17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input_490010!A$2</f>
        <v>490010</v>
      </c>
      <c r="B288" s="5">
        <v>854</v>
      </c>
      <c r="C288" s="7" t="str">
        <f t="shared" si="20"/>
        <v>Premium4R3lesscolor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IFERROR(VLOOKUP(B288,input_490010!L:R,7,FALSE),IFERROR(VLOOKUP(tables_490010!C288,input_490010!A:H,8,FALSE),0))</f>
        <v>263625</v>
      </c>
      <c r="P288" s="46">
        <f t="shared" ca="1" si="17"/>
        <v>3.9943181818181815E-2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input_490010!A$2</f>
        <v>490010</v>
      </c>
      <c r="B289" s="5">
        <v>855</v>
      </c>
      <c r="C289" s="7" t="str">
        <f t="shared" si="20"/>
        <v>Premium5R3lesscolor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IFERROR(VLOOKUP(B289,input_490010!L:R,7,FALSE),IFERROR(VLOOKUP(tables_490010!C289,input_490010!A:H,8,FALSE),0))</f>
        <v>13875</v>
      </c>
      <c r="P289" s="46">
        <f t="shared" ca="1" si="17"/>
        <v>2.1022727272727274E-3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input_490010!A$2</f>
        <v>490010</v>
      </c>
      <c r="B290" s="5">
        <v>862</v>
      </c>
      <c r="C290" s="7" t="str">
        <f t="shared" ref="C290:C294" si="21">D290&amp;J290&amp;E290&amp;F290&amp;G290</f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IFERROR(VLOOKUP(B290,input_490010!L:R,7,FALSE),IFERROR(VLOOKUP(tables_490010!C290,input_490010!A:H,8,FALSE),0))</f>
        <v>0</v>
      </c>
      <c r="P290" s="46">
        <f t="shared" ca="1" si="17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input_490010!A$2</f>
        <v>490010</v>
      </c>
      <c r="B291" s="5">
        <v>863</v>
      </c>
      <c r="C291" s="7" t="str">
        <f t="shared" si="21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IFERROR(VLOOKUP(B291,input_490010!L:R,7,FALSE),IFERROR(VLOOKUP(tables_490010!C291,input_490010!A:H,8,FALSE),0))</f>
        <v>0</v>
      </c>
      <c r="P291" s="46">
        <f t="shared" ca="1" si="17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input_490010!A$2</f>
        <v>490010</v>
      </c>
      <c r="B292" s="5">
        <v>864</v>
      </c>
      <c r="C292" s="7" t="str">
        <f t="shared" si="21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IFERROR(VLOOKUP(B292,input_490010!L:R,7,FALSE),IFERROR(VLOOKUP(tables_490010!C292,input_490010!A:H,8,FALSE),0))</f>
        <v>0</v>
      </c>
      <c r="P292" s="46">
        <f t="shared" ca="1" si="17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input_490010!A$2</f>
        <v>490010</v>
      </c>
      <c r="B293" s="5">
        <v>865</v>
      </c>
      <c r="C293" s="7" t="str">
        <f t="shared" si="21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IFERROR(VLOOKUP(B293,input_490010!L:R,7,FALSE),IFERROR(VLOOKUP(tables_490010!C293,input_490010!A:H,8,FALSE),0))</f>
        <v>0</v>
      </c>
      <c r="P293" s="46">
        <f t="shared" ca="1" si="17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input_490010!A$2</f>
        <v>490010</v>
      </c>
      <c r="B294" s="5">
        <v>866</v>
      </c>
      <c r="C294" s="7" t="str">
        <f t="shared" si="21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IFERROR(VLOOKUP(B294,input_490010!L:R,7,FALSE),IFERROR(VLOOKUP(tables_490010!C294,input_490010!A:H,8,FALSE),0))</f>
        <v>0</v>
      </c>
      <c r="P294" s="46">
        <f t="shared" ca="1" si="17"/>
        <v>0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input_490010!A$2</f>
        <v>490010</v>
      </c>
      <c r="B295" s="5">
        <v>868</v>
      </c>
      <c r="C295" s="7" t="str">
        <f t="shared" ref="C295:C299" si="22">D295&amp;J295&amp;E295&amp;F295&amp;G295</f>
        <v>PremiumSS5R5onlycolor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IFERROR(VLOOKUP(B295,input_490010!L:R,7,FALSE),IFERROR(VLOOKUP(tables_490010!C295,input_490010!A:H,8,FALSE),0))</f>
        <v>6600</v>
      </c>
      <c r="P295" s="46">
        <f t="shared" ref="P295:P299" ca="1" si="23">O295/SUM(O:O)</f>
        <v>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input_490010!A$2</f>
        <v>490010</v>
      </c>
      <c r="B296" s="5">
        <v>937</v>
      </c>
      <c r="C296" s="7" t="str">
        <f t="shared" si="22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IFERROR(VLOOKUP(B296,input_490010!L:R,7,FALSE),IFERROR(VLOOKUP(tables_490010!C296,input_490010!A:H,8,FALSE),0))</f>
        <v>0</v>
      </c>
      <c r="P296" s="46">
        <f t="shared" ca="1" si="23"/>
        <v>0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input_490010!A$2</f>
        <v>490010</v>
      </c>
      <c r="B297" s="5">
        <v>939</v>
      </c>
      <c r="C297" s="7" t="str">
        <f t="shared" si="22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IFERROR(VLOOKUP(B297,input_490010!L:R,7,FALSE),IFERROR(VLOOKUP(tables_490010!C297,input_490010!A:H,8,FALSE),0))</f>
        <v>0</v>
      </c>
      <c r="P297" s="46">
        <f t="shared" ca="1" si="2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input_490010!A$2</f>
        <v>490010</v>
      </c>
      <c r="B298" s="5">
        <v>940</v>
      </c>
      <c r="C298" s="7" t="str">
        <f t="shared" si="22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IFERROR(VLOOKUP(B298,input_490010!L:R,7,FALSE),IFERROR(VLOOKUP(tables_490010!C298,input_490010!A:H,8,FALSE),0))</f>
        <v>0</v>
      </c>
      <c r="P298" s="46">
        <f t="shared" ca="1" si="23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input_490010!A$2</f>
        <v>490010</v>
      </c>
      <c r="B299" s="5">
        <v>941</v>
      </c>
      <c r="C299" s="7" t="str">
        <f t="shared" si="22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IFERROR(VLOOKUP(B299,input_490010!L:R,7,FALSE),IFERROR(VLOOKUP(tables_490010!C299,input_490010!A:H,8,FALSE),0))</f>
        <v>0</v>
      </c>
      <c r="P299" s="46">
        <f t="shared" ca="1" si="23"/>
        <v>0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input_490010!A$2</f>
        <v>490010</v>
      </c>
      <c r="B300" s="5">
        <v>943</v>
      </c>
      <c r="C300" s="7" t="str">
        <f t="shared" ref="C300:C304" si="24">D300&amp;J300&amp;E300&amp;F300&amp;G300</f>
        <v>PremiumSS5R5onlycolor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IFERROR(VLOOKUP(B300,input_490010!L:R,7,FALSE),IFERROR(VLOOKUP(tables_490010!C300,input_490010!A:H,8,FALSE),0))</f>
        <v>6600</v>
      </c>
      <c r="P300" s="46">
        <f t="shared" ref="P300:P304" ca="1" si="25">O300/SUM(O:O)</f>
        <v>1E-3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input_490010!A$2</f>
        <v>490010</v>
      </c>
      <c r="B301" s="5">
        <v>1012</v>
      </c>
      <c r="C301" s="7" t="str">
        <f t="shared" si="24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IFERROR(VLOOKUP(B301,input_490010!L:R,7,FALSE),IFERROR(VLOOKUP(tables_490010!C301,input_490010!A:H,8,FALSE),0))</f>
        <v>0</v>
      </c>
      <c r="P301" s="46">
        <f t="shared" ca="1" si="25"/>
        <v>0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input_490010!A$2</f>
        <v>490010</v>
      </c>
      <c r="B302" s="5">
        <v>1014</v>
      </c>
      <c r="C302" s="7" t="str">
        <f t="shared" si="24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IFERROR(VLOOKUP(B302,input_490010!L:R,7,FALSE),IFERROR(VLOOKUP(tables_490010!C302,input_490010!A:H,8,FALSE),0))</f>
        <v>0</v>
      </c>
      <c r="P302" s="46">
        <f t="shared" ca="1" si="25"/>
        <v>0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input_490010!A$2</f>
        <v>490010</v>
      </c>
      <c r="B303" s="5">
        <v>1016</v>
      </c>
      <c r="C303" s="7" t="str">
        <f t="shared" si="24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IFERROR(VLOOKUP(B303,input_490010!L:R,7,FALSE),IFERROR(VLOOKUP(tables_490010!C303,input_490010!A:H,8,FALSE),0))</f>
        <v>0</v>
      </c>
      <c r="P303" s="46">
        <f t="shared" ca="1" si="25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input_490010!A$2</f>
        <v>490010</v>
      </c>
      <c r="B304" s="5">
        <v>1017</v>
      </c>
      <c r="C304" s="7" t="str">
        <f t="shared" si="24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IFERROR(VLOOKUP(B304,input_490010!L:R,7,FALSE),IFERROR(VLOOKUP(tables_490010!C304,input_490010!A:H,8,FALSE),0))</f>
        <v>0</v>
      </c>
      <c r="P304" s="46">
        <f t="shared" ca="1" si="25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input_490010!A$2</f>
        <v>490010</v>
      </c>
      <c r="B305" s="5">
        <v>1018</v>
      </c>
      <c r="C305" s="7" t="str">
        <f t="shared" ref="C305:C309" si="26">D305&amp;J305&amp;E305&amp;F305&amp;G305</f>
        <v>PremiumSS5R5onlycolor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IFERROR(VLOOKUP(B305,input_490010!L:R,7,FALSE),IFERROR(VLOOKUP(tables_490010!C305,input_490010!A:H,8,FALSE),0))</f>
        <v>6600</v>
      </c>
      <c r="P305" s="46">
        <f t="shared" ref="P305:P309" ca="1" si="27">O305/SUM(O:O)</f>
        <v>1E-3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input_490010!A$2</f>
        <v>490010</v>
      </c>
      <c r="B306" s="5">
        <v>1026</v>
      </c>
      <c r="C306" s="7" t="str">
        <f t="shared" si="26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IFERROR(VLOOKUP(B306,input_490010!L:R,7,FALSE),IFERROR(VLOOKUP(tables_490010!C306,input_490010!A:H,8,FALSE),0))</f>
        <v>0</v>
      </c>
      <c r="P306" s="46">
        <f t="shared" ca="1" si="27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input_490010!A$2</f>
        <v>490010</v>
      </c>
      <c r="B307" s="5">
        <v>1027</v>
      </c>
      <c r="C307" s="7" t="str">
        <f t="shared" si="26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IFERROR(VLOOKUP(B307,input_490010!L:R,7,FALSE),IFERROR(VLOOKUP(tables_490010!C307,input_490010!A:H,8,FALSE),0))</f>
        <v>0</v>
      </c>
      <c r="P307" s="46">
        <f t="shared" ca="1" si="27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input_490010!A$2</f>
        <v>490010</v>
      </c>
      <c r="B308" s="5">
        <v>1028</v>
      </c>
      <c r="C308" s="7" t="str">
        <f t="shared" si="26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IFERROR(VLOOKUP(B308,input_490010!L:R,7,FALSE),IFERROR(VLOOKUP(tables_490010!C308,input_490010!A:H,8,FALSE),0))</f>
        <v>0</v>
      </c>
      <c r="P308" s="46">
        <f t="shared" ca="1" si="27"/>
        <v>0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input_490010!A$2</f>
        <v>490010</v>
      </c>
      <c r="B309" s="5">
        <v>1031</v>
      </c>
      <c r="C309" s="7" t="str">
        <f t="shared" si="26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IFERROR(VLOOKUP(B309,input_490010!L:R,7,FALSE),IFERROR(VLOOKUP(tables_490010!C309,input_490010!A:H,8,FALSE),0))</f>
        <v>0</v>
      </c>
      <c r="P309" s="46">
        <f t="shared" ca="1" si="27"/>
        <v>0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input_490010!A$2</f>
        <v>490010</v>
      </c>
      <c r="B310" s="5">
        <v>1033</v>
      </c>
      <c r="C310" s="7" t="str">
        <f t="shared" ref="C310:C314" si="28">D310&amp;J310&amp;E310&amp;F310&amp;G310</f>
        <v>PremiumSS5R5onlycolor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IFERROR(VLOOKUP(B310,input_490010!L:R,7,FALSE),IFERROR(VLOOKUP(tables_490010!C310,input_490010!A:H,8,FALSE),0))</f>
        <v>6600</v>
      </c>
      <c r="P310" s="46">
        <f t="shared" ref="P310:P314" ca="1" si="29">O310/SUM(O:O)</f>
        <v>1E-3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input_490010!A$2</f>
        <v>490010</v>
      </c>
      <c r="B311" s="5">
        <v>1067</v>
      </c>
      <c r="C311" s="7" t="str">
        <f t="shared" si="28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IFERROR(VLOOKUP(B311,input_490010!L:R,7,FALSE),IFERROR(VLOOKUP(tables_490010!C311,input_490010!A:H,8,FALSE),0))</f>
        <v>0</v>
      </c>
      <c r="P311" s="46">
        <f t="shared" ca="1" si="29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input_490010!A$2</f>
        <v>490010</v>
      </c>
      <c r="B312" s="5">
        <v>1068</v>
      </c>
      <c r="C312" s="7" t="str">
        <f t="shared" si="28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IFERROR(VLOOKUP(B312,input_490010!L:R,7,FALSE),IFERROR(VLOOKUP(tables_490010!C312,input_490010!A:H,8,FALSE),0))</f>
        <v>0</v>
      </c>
      <c r="P312" s="46">
        <f t="shared" ca="1" si="29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input_490010!A$2</f>
        <v>490010</v>
      </c>
      <c r="B313" s="5">
        <v>1069</v>
      </c>
      <c r="C313" s="7" t="str">
        <f t="shared" si="28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IFERROR(VLOOKUP(B313,input_490010!L:R,7,FALSE),IFERROR(VLOOKUP(tables_490010!C313,input_490010!A:H,8,FALSE),0))</f>
        <v>0</v>
      </c>
      <c r="P313" s="46">
        <f t="shared" ca="1" si="29"/>
        <v>0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input_490010!A$2</f>
        <v>490010</v>
      </c>
      <c r="B314" s="5">
        <v>1072</v>
      </c>
      <c r="C314" s="7" t="str">
        <f t="shared" si="28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IFERROR(VLOOKUP(B314,input_490010!L:R,7,FALSE),IFERROR(VLOOKUP(tables_490010!C314,input_490010!A:H,8,FALSE),0))</f>
        <v>0</v>
      </c>
      <c r="P314" s="46">
        <f t="shared" ca="1" si="29"/>
        <v>0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input_490010!A$2</f>
        <v>490010</v>
      </c>
      <c r="B315" s="5">
        <v>1074</v>
      </c>
      <c r="C315" s="7" t="str">
        <f t="shared" ref="C315:C319" si="30">D315&amp;J315&amp;E315&amp;F315&amp;G315</f>
        <v>PremiumSS5R5onlycolor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IFERROR(VLOOKUP(B315,input_490010!L:R,7,FALSE),IFERROR(VLOOKUP(tables_490010!C315,input_490010!A:H,8,FALSE),0))</f>
        <v>6600</v>
      </c>
      <c r="P315" s="46">
        <f t="shared" ref="P315:P319" ca="1" si="31">O315/SUM(O:O)</f>
        <v>1E-3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input_490010!A$2</f>
        <v>490010</v>
      </c>
      <c r="B316" s="5">
        <v>1100</v>
      </c>
      <c r="C316" s="7" t="str">
        <f t="shared" si="30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IFERROR(VLOOKUP(B316,input_490010!L:R,7,FALSE),IFERROR(VLOOKUP(tables_490010!C316,input_490010!A:H,8,FALSE),0))</f>
        <v>0</v>
      </c>
      <c r="P316" s="46">
        <f t="shared" ca="1" si="31"/>
        <v>0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input_490010!A$2</f>
        <v>490010</v>
      </c>
      <c r="B317" s="5">
        <v>1102</v>
      </c>
      <c r="C317" s="7" t="str">
        <f t="shared" si="30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IFERROR(VLOOKUP(B317,input_490010!L:R,7,FALSE),IFERROR(VLOOKUP(tables_490010!C317,input_490010!A:H,8,FALSE),0))</f>
        <v>0</v>
      </c>
      <c r="P317" s="46">
        <f t="shared" ca="1" si="31"/>
        <v>0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input_490010!A$2</f>
        <v>490010</v>
      </c>
      <c r="B318" s="5">
        <v>1104</v>
      </c>
      <c r="C318" s="7" t="str">
        <f t="shared" si="30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IFERROR(VLOOKUP(B318,input_490010!L:R,7,FALSE),IFERROR(VLOOKUP(tables_490010!C318,input_490010!A:H,8,FALSE),0))</f>
        <v>0</v>
      </c>
      <c r="P318" s="46">
        <f t="shared" ca="1" si="31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input_490010!A$2</f>
        <v>490010</v>
      </c>
      <c r="B319" s="5">
        <v>1105</v>
      </c>
      <c r="C319" s="7" t="str">
        <f t="shared" si="30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IFERROR(VLOOKUP(B319,input_490010!L:R,7,FALSE),IFERROR(VLOOKUP(tables_490010!C319,input_490010!A:H,8,FALSE),0))</f>
        <v>0</v>
      </c>
      <c r="P319" s="46">
        <f t="shared" ca="1" si="31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input_490010!A$2</f>
        <v>490010</v>
      </c>
      <c r="B320" s="5">
        <v>1106</v>
      </c>
      <c r="C320" s="7" t="str">
        <f t="shared" ref="C320:C324" si="32">D320&amp;J320&amp;E320&amp;F320&amp;G320</f>
        <v>PremiumSS5R5onlycolor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IFERROR(VLOOKUP(B320,input_490010!L:R,7,FALSE),IFERROR(VLOOKUP(tables_490010!C320,input_490010!A:H,8,FALSE),0))</f>
        <v>6600</v>
      </c>
      <c r="P320" s="46">
        <f t="shared" ref="P320:P324" ca="1" si="33">O320/SUM(O:O)</f>
        <v>1E-3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input_490010!A$2</f>
        <v>490010</v>
      </c>
      <c r="B321" s="5">
        <v>1137</v>
      </c>
      <c r="C321" s="7" t="str">
        <f t="shared" si="32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IFERROR(VLOOKUP(B321,input_490010!L:R,7,FALSE),IFERROR(VLOOKUP(tables_490010!C321,input_490010!A:H,8,FALSE),0))</f>
        <v>0</v>
      </c>
      <c r="P321" s="46">
        <f t="shared" ca="1" si="33"/>
        <v>0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input_490010!A$2</f>
        <v>490010</v>
      </c>
      <c r="B322" s="5">
        <v>1139</v>
      </c>
      <c r="C322" s="7" t="str">
        <f t="shared" si="32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IFERROR(VLOOKUP(B322,input_490010!L:R,7,FALSE),IFERROR(VLOOKUP(tables_490010!C322,input_490010!A:H,8,FALSE),0))</f>
        <v>0</v>
      </c>
      <c r="P322" s="46">
        <f t="shared" ca="1" si="33"/>
        <v>0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input_490010!A$2</f>
        <v>490010</v>
      </c>
      <c r="B323" s="5">
        <v>1141</v>
      </c>
      <c r="C323" s="7" t="str">
        <f t="shared" si="32"/>
        <v>PremiumSS5R5only</v>
      </c>
      <c r="D323" s="7" t="str">
        <f t="shared" ref="D323:D330" si="3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0" si="35">IF(K323="yellow","color","")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IFERROR(VLOOKUP(B323,input_490010!L:R,7,FALSE),IFERROR(VLOOKUP(tables_490010!C323,input_490010!A:H,8,FALSE),0))</f>
        <v>0</v>
      </c>
      <c r="P323" s="46">
        <f t="shared" ca="1" si="33"/>
        <v>0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input_490010!A$2</f>
        <v>490010</v>
      </c>
      <c r="B324" s="2">
        <v>1143</v>
      </c>
      <c r="C324" s="7" t="str">
        <f t="shared" si="32"/>
        <v>Premium4R3lesscolor</v>
      </c>
      <c r="D324" s="7" t="str">
        <f t="shared" si="3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35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IFERROR(VLOOKUP(B324,input_490010!L:R,7,FALSE),IFERROR(VLOOKUP(tables_490010!C324,input_490010!A:H,8,FALSE),0))</f>
        <v>263625</v>
      </c>
      <c r="P324" s="46">
        <f t="shared" ca="1" si="33"/>
        <v>3.9943181818181815E-2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input_490010!A$2</f>
        <v>490010</v>
      </c>
      <c r="B325" s="2">
        <v>1144</v>
      </c>
      <c r="C325" s="7" t="str">
        <f t="shared" ref="C325:C330" si="36">D325&amp;J325&amp;E325&amp;F325&amp;G325</f>
        <v>Premium5R3lesscolor</v>
      </c>
      <c r="D325" s="7" t="str">
        <f t="shared" si="3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35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IFERROR(VLOOKUP(B325,input_490010!L:R,7,FALSE),IFERROR(VLOOKUP(tables_490010!C325,input_490010!A:H,8,FALSE),0))</f>
        <v>13875</v>
      </c>
      <c r="P325" s="46">
        <f t="shared" ref="P325:P330" ca="1" si="37">O325/SUM(O:O)</f>
        <v>2.1022727272727274E-3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input_490010!A$2</f>
        <v>490010</v>
      </c>
      <c r="B326" s="2">
        <v>1151</v>
      </c>
      <c r="C326" s="7" t="str">
        <f t="shared" si="36"/>
        <v>Premium4R3less</v>
      </c>
      <c r="D326" s="7" t="str">
        <f t="shared" si="3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35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IFERROR(VLOOKUP(B326,input_490010!L:R,7,FALSE),IFERROR(VLOOKUP(tables_490010!C326,input_490010!A:H,8,FALSE),0))</f>
        <v>0</v>
      </c>
      <c r="P326" s="46">
        <f t="shared" ca="1" si="37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input_490010!A$2</f>
        <v>490010</v>
      </c>
      <c r="B327" s="2">
        <v>1152</v>
      </c>
      <c r="C327" s="7" t="str">
        <f t="shared" si="36"/>
        <v>Premium5R3less</v>
      </c>
      <c r="D327" s="7" t="str">
        <f t="shared" si="3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35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IFERROR(VLOOKUP(B327,input_490010!L:R,7,FALSE),IFERROR(VLOOKUP(tables_490010!C327,input_490010!A:H,8,FALSE),0))</f>
        <v>0</v>
      </c>
      <c r="P327" s="46">
        <f t="shared" ca="1" si="37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input_490010!A$2</f>
        <v>490010</v>
      </c>
      <c r="B328" s="2">
        <v>1153</v>
      </c>
      <c r="C328" s="7" t="str">
        <f t="shared" si="36"/>
        <v>PremiumSS5R5only</v>
      </c>
      <c r="D328" s="7" t="str">
        <f t="shared" si="3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35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IFERROR(VLOOKUP(B328,input_490010!L:R,7,FALSE),IFERROR(VLOOKUP(tables_490010!C328,input_490010!A:H,8,FALSE),0))</f>
        <v>0</v>
      </c>
      <c r="P328" s="46">
        <f t="shared" ca="1" si="37"/>
        <v>0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input_490010!A$2</f>
        <v>490010</v>
      </c>
      <c r="B329" s="2">
        <v>1155</v>
      </c>
      <c r="C329" s="7" t="str">
        <f t="shared" si="36"/>
        <v>PremiumSS5R5only</v>
      </c>
      <c r="D329" s="7" t="str">
        <f t="shared" si="3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35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IFERROR(VLOOKUP(B329,input_490010!L:R,7,FALSE),IFERROR(VLOOKUP(tables_490010!C329,input_490010!A:H,8,FALSE),0))</f>
        <v>0</v>
      </c>
      <c r="P329" s="46">
        <f t="shared" ca="1" si="37"/>
        <v>0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input_490010!A$2</f>
        <v>490010</v>
      </c>
      <c r="B330" s="2">
        <v>1157</v>
      </c>
      <c r="C330" s="7" t="str">
        <f t="shared" si="36"/>
        <v>PremiumSS5R5onlycolor</v>
      </c>
      <c r="D330" s="98" t="str">
        <f t="shared" si="3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35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IFERROR(VLOOKUP(B330,input_490010!L:R,7,FALSE),IFERROR(VLOOKUP(tables_490010!C330,input_490010!A:H,8,FALSE),0))</f>
        <v>6600</v>
      </c>
      <c r="P330" s="46">
        <f t="shared" ca="1" si="37"/>
        <v>1E-3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input_490010!A$2</f>
        <v>490010</v>
      </c>
      <c r="B331" s="60">
        <v>1214</v>
      </c>
      <c r="C331" s="7" t="str">
        <f t="shared" ref="C331:C340" si="38">D331&amp;J331&amp;E331&amp;F331&amp;G331</f>
        <v>PremiumSS5R5onlycolor</v>
      </c>
      <c r="D331" s="98" t="str">
        <f t="shared" ref="D331:D340" si="39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35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IFERROR(VLOOKUP(B331,input_490010!L:R,7,FALSE),IFERROR(VLOOKUP(tables_490010!C331,input_490010!A:H,8,FALSE),0))</f>
        <v>6600</v>
      </c>
      <c r="P331" s="46">
        <f t="shared" ref="P331:P340" ca="1" si="40">O331/SUM(O:O)</f>
        <v>1E-3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input_490010!A$2</f>
        <v>490010</v>
      </c>
      <c r="B332" s="60">
        <v>1212</v>
      </c>
      <c r="C332" s="7" t="str">
        <f t="shared" si="38"/>
        <v>PremiumSS5R5only</v>
      </c>
      <c r="D332" s="98" t="str">
        <f t="shared" si="39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35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IFERROR(VLOOKUP(B332,input_490010!L:R,7,FALSE),IFERROR(VLOOKUP(tables_490010!C332,input_490010!A:H,8,FALSE),0))</f>
        <v>0</v>
      </c>
      <c r="P332" s="46">
        <f t="shared" ca="1" si="40"/>
        <v>0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input_490010!A$2</f>
        <v>490010</v>
      </c>
      <c r="B333" s="60">
        <v>1208</v>
      </c>
      <c r="C333" s="7" t="str">
        <f t="shared" si="38"/>
        <v>PremiumSS5R5only</v>
      </c>
      <c r="D333" s="98" t="str">
        <f t="shared" si="39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35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IFERROR(VLOOKUP(B333,input_490010!L:R,7,FALSE),IFERROR(VLOOKUP(tables_490010!C333,input_490010!A:H,8,FALSE),0))</f>
        <v>0</v>
      </c>
      <c r="P333" s="46">
        <f t="shared" ca="1" si="40"/>
        <v>0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input_490010!A$2</f>
        <v>490010</v>
      </c>
      <c r="B334" s="93">
        <v>1210</v>
      </c>
      <c r="C334" s="7" t="str">
        <f t="shared" si="38"/>
        <v>Premium4R3less</v>
      </c>
      <c r="D334" s="98" t="str">
        <f t="shared" si="39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35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IFERROR(VLOOKUP(B334,input_490010!L:R,7,FALSE),IFERROR(VLOOKUP(tables_490010!C334,input_490010!A:H,8,FALSE),0))</f>
        <v>0</v>
      </c>
      <c r="P334" s="46">
        <f t="shared" ca="1" si="40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input_490010!A$2</f>
        <v>490010</v>
      </c>
      <c r="B335" s="60">
        <v>1211</v>
      </c>
      <c r="C335" s="7" t="str">
        <f t="shared" si="38"/>
        <v>Premium5R3less</v>
      </c>
      <c r="D335" s="98" t="str">
        <f t="shared" si="39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35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IFERROR(VLOOKUP(B335,input_490010!L:R,7,FALSE),IFERROR(VLOOKUP(tables_490010!C335,input_490010!A:H,8,FALSE),0))</f>
        <v>0</v>
      </c>
      <c r="P335" s="46">
        <f t="shared" ca="1" si="40"/>
        <v>0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input_490010!A$2</f>
        <v>490010</v>
      </c>
      <c r="B336" s="2">
        <v>1224</v>
      </c>
      <c r="C336" s="7" t="str">
        <f t="shared" si="38"/>
        <v>Premium4R3less</v>
      </c>
      <c r="D336" s="98" t="str">
        <f t="shared" si="39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35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IFERROR(VLOOKUP(B336,input_490010!L:R,7,FALSE),IFERROR(VLOOKUP(tables_490010!C336,input_490010!A:H,8,FALSE),0))</f>
        <v>0</v>
      </c>
      <c r="P336" s="46">
        <f t="shared" ca="1" si="40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input_490010!A$2</f>
        <v>490010</v>
      </c>
      <c r="B337" s="2">
        <v>1225</v>
      </c>
      <c r="C337" s="7" t="str">
        <f t="shared" si="38"/>
        <v>Premium5R3less</v>
      </c>
      <c r="D337" s="98" t="str">
        <f t="shared" si="3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35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IFERROR(VLOOKUP(B337,input_490010!L:R,7,FALSE),IFERROR(VLOOKUP(tables_490010!C337,input_490010!A:H,8,FALSE),0))</f>
        <v>0</v>
      </c>
      <c r="P337" s="46">
        <f t="shared" ca="1" si="40"/>
        <v>0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input_490010!A$2</f>
        <v>490010</v>
      </c>
      <c r="B338" s="2">
        <v>1226</v>
      </c>
      <c r="C338" s="7" t="str">
        <f t="shared" si="38"/>
        <v>PremiumSS5R5only</v>
      </c>
      <c r="D338" s="98" t="str">
        <f t="shared" si="3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35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IFERROR(VLOOKUP(B338,input_490010!L:R,7,FALSE),IFERROR(VLOOKUP(tables_490010!C338,input_490010!A:H,8,FALSE),0))</f>
        <v>0</v>
      </c>
      <c r="P338" s="46">
        <f t="shared" ca="1" si="40"/>
        <v>0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input_490010!A$2</f>
        <v>490010</v>
      </c>
      <c r="B339" s="2">
        <v>1228</v>
      </c>
      <c r="C339" s="7" t="str">
        <f t="shared" si="38"/>
        <v>PremiumSS5R5only</v>
      </c>
      <c r="D339" s="98" t="str">
        <f t="shared" si="3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35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IFERROR(VLOOKUP(B339,input_490010!L:R,7,FALSE),IFERROR(VLOOKUP(tables_490010!C339,input_490010!A:H,8,FALSE),0))</f>
        <v>0</v>
      </c>
      <c r="P339" s="46">
        <f t="shared" ca="1" si="40"/>
        <v>0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input_490010!A$2</f>
        <v>490010</v>
      </c>
      <c r="B340" s="2">
        <v>1230</v>
      </c>
      <c r="C340" s="7" t="str">
        <f t="shared" si="38"/>
        <v>PremiumSS5R5onlycolor</v>
      </c>
      <c r="D340" s="98" t="str">
        <f t="shared" si="3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35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IFERROR(VLOOKUP(B340,input_490010!L:R,7,FALSE),IFERROR(VLOOKUP(tables_490010!C340,input_490010!A:H,8,FALSE),0))</f>
        <v>6600</v>
      </c>
      <c r="P340" s="46">
        <f t="shared" ca="1" si="40"/>
        <v>1E-3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340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D51" sqref="D5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490100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594</v>
      </c>
      <c r="M3" s="37" t="str">
        <f>VLOOKUP(L3,[1]characters!$A:$C,3,FALSE)</f>
        <v>アルフヘイム</v>
      </c>
      <c r="N3" s="63">
        <v>1.4999999999999999E-2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VLOOKUP(L3,tables_490100!B:C,2,FALSE)</f>
        <v>PremiumSS4color</v>
      </c>
      <c r="R3" s="62">
        <f t="shared" ref="R3:R20" si="1">N3*A$36</f>
        <v>99000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595</v>
      </c>
      <c r="M4" s="37" t="str">
        <f>VLOOKUP(L4,[1]characters!$A:$C,3,FALSE)</f>
        <v>光華なる神域 アルフヘイム</v>
      </c>
      <c r="N4" s="63">
        <v>1.4999999999999999E-2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VLOOKUP(L4,tables_490100!B:C,2,FALSE)</f>
        <v>PremiumSS5color</v>
      </c>
      <c r="R4" s="62">
        <f t="shared" si="1"/>
        <v>99000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1E-3</v>
      </c>
      <c r="F5">
        <f>(COUNTIF(tables_490100!C:C,input_490100!A28)+COUNTIF(tables_490100!C:C,input_490100!A29))</f>
        <v>17</v>
      </c>
      <c r="H5" s="84">
        <v>0.06</v>
      </c>
      <c r="I5" s="31">
        <v>2</v>
      </c>
      <c r="L5" s="60">
        <v>499</v>
      </c>
      <c r="M5" s="37" t="str">
        <f>VLOOKUP(L5,[1]characters!$A:$C,3,FALSE)</f>
        <v>ラプンツェル</v>
      </c>
      <c r="N5" s="63">
        <v>1.4999999999999999E-2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VLOOKUP(L5,tables_490100!B:C,2,FALSE)</f>
        <v>PremiumSS4color</v>
      </c>
      <c r="R5" s="62">
        <f t="shared" si="1"/>
        <v>99000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4.2045454545454546E-2</v>
      </c>
      <c r="F6">
        <f>(COUNTIF(tables_490100!C:C,input_490100!A25)+COUNTIF(tables_490100!C:C,input_490100!A18)+COUNTIF(tables_490100!C:C,input_490100!A20)+COUNTIF(tables_490100!C:C,input_490100!A22))</f>
        <v>22</v>
      </c>
      <c r="H6" s="89">
        <v>0</v>
      </c>
      <c r="I6" s="31">
        <v>0</v>
      </c>
      <c r="L6" s="93">
        <v>500</v>
      </c>
      <c r="M6" s="37" t="str">
        <f>VLOOKUP(L6,[1]characters!$A:$C,3,FALSE)</f>
        <v>脈動の禁髪 ラプンツェル</v>
      </c>
      <c r="N6" s="63">
        <v>1.4999999999999999E-2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VLOOKUP(L6,tables_490100!B:C,2,FALSE)</f>
        <v>PremiumSS5color</v>
      </c>
      <c r="R6" s="62">
        <f t="shared" si="1"/>
        <v>99000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VLOOKUP(L7,tables_490100!B:C,2,FALSE)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VLOOKUP(L8,tables_490100!B:C,2,FALSE)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VLOOKUP(L9,tables_490100!B:C,2,FALSE)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VLOOKUP(L10,tables_490100!B:C,2,FALSE)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270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VLOOKUP(L11,tables_490100!B:C,2,FALSE)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VLOOKUP(L12,tables_490100!B:C,2,FALSE)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VLOOKUP(L13,tables_490100!B:C,2,FALSE)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VLOOKUP(L14,tables_490100!B:C,2,FALSE)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VLOOKUP(L15,tables_490100!B:C,2,FALSE)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VLOOKUP(L16,tables_490100!B:C,2,FALSE)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250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COUNTIF(tables_490100!C:C,input_490100!A17)-COUNTIF(Q:Q,A17)</f>
        <v>5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VLOOKUP(L17,tables_490100!B:C,2,FALSE)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251</v>
      </c>
      <c r="B18" s="56">
        <f>B6-SUM(C27,B27,B25,B22,B20,)</f>
        <v>0.23621590909090906</v>
      </c>
      <c r="C18" s="85">
        <f t="shared" si="2"/>
        <v>0</v>
      </c>
      <c r="D18" s="74">
        <f t="shared" si="3"/>
        <v>0.23621590909090906</v>
      </c>
      <c r="E18">
        <f>COUNTIF(tables_490100!C:C,input_490100!A18)-COUNTIF(Q:Q,A18)</f>
        <v>5</v>
      </c>
      <c r="F18" s="43">
        <f>IFERROR(B18/E18,0)</f>
        <v>4.7243181818181809E-2</v>
      </c>
      <c r="G18">
        <f t="shared" si="4"/>
        <v>1559024.9999999998</v>
      </c>
      <c r="H18">
        <f t="shared" si="5"/>
        <v>311805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VLOOKUP(L18,tables_490100!B:C,2,FALSE)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252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COUNTIF(tables_490100!C:C,input_490100!A19)-COUNTIF(Q:Q,A19)</f>
        <v>13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VLOOKUP(L19,tables_490100!B:C,2,FALSE)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253</v>
      </c>
      <c r="B20" s="94">
        <f>E$6*E20*B$6</f>
        <v>0.51926136363636366</v>
      </c>
      <c r="C20" s="85">
        <f t="shared" si="2"/>
        <v>0</v>
      </c>
      <c r="D20" s="74">
        <f t="shared" si="3"/>
        <v>0.51926136363636366</v>
      </c>
      <c r="E20">
        <f>COUNTIF(tables_490100!C:C,input_490100!A20)-COUNTIF(Q:Q,A20)</f>
        <v>13</v>
      </c>
      <c r="F20" s="43">
        <f t="shared" si="8"/>
        <v>3.9943181818181822E-2</v>
      </c>
      <c r="G20">
        <f t="shared" si="4"/>
        <v>3427125</v>
      </c>
      <c r="H20">
        <f t="shared" si="5"/>
        <v>263625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VLOOKUP(L20,tables_490100!B:C,2,FALSE)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254</v>
      </c>
      <c r="B21" s="56">
        <f>B7-B23-B26-B28-B29-E35-C28</f>
        <v>1.3409090909090871E-3</v>
      </c>
      <c r="C21" s="85">
        <f t="shared" si="2"/>
        <v>0</v>
      </c>
      <c r="D21" s="74">
        <f t="shared" si="3"/>
        <v>1.3409090909090871E-3</v>
      </c>
      <c r="E21">
        <f>COUNTIF(tables_490100!C:C,input_490100!A21)-COUNTIF(Q:Q,A21)</f>
        <v>13</v>
      </c>
      <c r="F21" s="43">
        <f t="shared" si="8"/>
        <v>1.0314685314685285E-4</v>
      </c>
      <c r="G21">
        <f t="shared" si="4"/>
        <v>8849.9999999999745</v>
      </c>
      <c r="H21">
        <f t="shared" si="5"/>
        <v>680.76922999999999</v>
      </c>
      <c r="I21">
        <f t="shared" si="6"/>
        <v>0.7692299999999932</v>
      </c>
      <c r="J21">
        <f t="shared" si="7"/>
        <v>1.3000013000013115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255</v>
      </c>
      <c r="B22" s="75">
        <f>E$6*E22-B23</f>
        <v>0.11982954545454545</v>
      </c>
      <c r="C22" s="85">
        <f t="shared" si="2"/>
        <v>0</v>
      </c>
      <c r="D22" s="74">
        <f t="shared" si="3"/>
        <v>0.11982954545454545</v>
      </c>
      <c r="E22">
        <f>COUNTIF(tables_490100!C:C,input_490100!A22)-COUNTIF(Q:Q,A22)</f>
        <v>3</v>
      </c>
      <c r="F22" s="43">
        <f t="shared" si="8"/>
        <v>3.9943181818181815E-2</v>
      </c>
      <c r="G22">
        <f t="shared" si="4"/>
        <v>790875</v>
      </c>
      <c r="H22">
        <f t="shared" si="5"/>
        <v>263625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256</v>
      </c>
      <c r="B23" s="70">
        <f>E23*E6*B7</f>
        <v>6.3068181818181817E-3</v>
      </c>
      <c r="C23" s="85">
        <f t="shared" si="2"/>
        <v>0</v>
      </c>
      <c r="D23" s="74">
        <f t="shared" si="3"/>
        <v>6.3068181818181817E-3</v>
      </c>
      <c r="E23">
        <f>COUNTIF(tables_490100!C:C,input_490100!A23)-COUNTIF(Q:Q,A23)</f>
        <v>3</v>
      </c>
      <c r="F23" s="43">
        <f t="shared" si="8"/>
        <v>2.1022727272727274E-3</v>
      </c>
      <c r="G23">
        <f t="shared" si="4"/>
        <v>41625</v>
      </c>
      <c r="H23">
        <f t="shared" si="5"/>
        <v>13875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257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COUNTIF(tables_490100!C:C,input_490100!A24)-COUNTIF(Q:Q,A24)</f>
        <v>1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258</v>
      </c>
      <c r="B25" s="56">
        <f>E$6*B$6*E25</f>
        <v>3.9943181818181815E-2</v>
      </c>
      <c r="C25" s="85">
        <f t="shared" si="2"/>
        <v>0</v>
      </c>
      <c r="D25" s="74">
        <f t="shared" si="3"/>
        <v>3.9943181818181815E-2</v>
      </c>
      <c r="E25">
        <f>COUNTIF(tables_490100!C:C,input_490100!A25)-COUNTIF(Q:Q,A25)</f>
        <v>1</v>
      </c>
      <c r="F25" s="43">
        <f t="shared" si="8"/>
        <v>3.9943181818181815E-2</v>
      </c>
      <c r="G25">
        <f t="shared" si="4"/>
        <v>263625</v>
      </c>
      <c r="H25">
        <f t="shared" si="5"/>
        <v>263625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259</v>
      </c>
      <c r="B26" s="56">
        <f>E$6*B$7*E26</f>
        <v>2.1022727272727274E-3</v>
      </c>
      <c r="C26" s="85">
        <f t="shared" si="2"/>
        <v>0</v>
      </c>
      <c r="D26" s="74">
        <f t="shared" si="3"/>
        <v>2.1022727272727274E-3</v>
      </c>
      <c r="E26">
        <f>COUNTIF(tables_490100!C:C,input_490100!A26)-COUNTIF(Q:Q,A26)</f>
        <v>1</v>
      </c>
      <c r="F26" s="43">
        <f t="shared" si="8"/>
        <v>2.1022727272727274E-3</v>
      </c>
      <c r="G26">
        <f t="shared" si="4"/>
        <v>13875</v>
      </c>
      <c r="H26">
        <f t="shared" si="5"/>
        <v>13875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260</v>
      </c>
      <c r="B27" s="56">
        <f>E$5*E27*(B$5+B$6)</f>
        <v>4.7499999999999999E-3</v>
      </c>
      <c r="C27" s="85">
        <f t="shared" si="2"/>
        <v>0.03</v>
      </c>
      <c r="D27" s="74">
        <f t="shared" si="3"/>
        <v>-2.5249999999999998E-2</v>
      </c>
      <c r="E27">
        <f>COUNTIF(tables_490100!C:C,input_490100!A27)-COUNTIF(Q:Q,A27)</f>
        <v>5</v>
      </c>
      <c r="F27" s="43">
        <f>IFERROR(B27/E27,0)</f>
        <v>9.5E-4</v>
      </c>
      <c r="G27">
        <f t="shared" si="4"/>
        <v>31350</v>
      </c>
      <c r="H27">
        <f t="shared" si="5"/>
        <v>6270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261</v>
      </c>
      <c r="B28" s="56">
        <f>E$5*E28*B$7</f>
        <v>2.5000000000000001E-4</v>
      </c>
      <c r="C28" s="85">
        <f t="shared" si="2"/>
        <v>0.03</v>
      </c>
      <c r="D28" s="74">
        <f t="shared" si="3"/>
        <v>-2.9749999999999999E-2</v>
      </c>
      <c r="E28">
        <f>COUNTIF(tables_490100!C:C,input_490100!A28)-COUNTIF(Q:Q,A28)</f>
        <v>5</v>
      </c>
      <c r="F28" s="43">
        <f t="shared" si="8"/>
        <v>5.0000000000000002E-5</v>
      </c>
      <c r="G28">
        <f t="shared" si="4"/>
        <v>1650</v>
      </c>
      <c r="H28">
        <f t="shared" si="5"/>
        <v>330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262</v>
      </c>
      <c r="B29" s="56">
        <f>E$5*E29</f>
        <v>0.01</v>
      </c>
      <c r="C29" s="85">
        <f t="shared" si="2"/>
        <v>0</v>
      </c>
      <c r="D29" s="74">
        <f t="shared" si="3"/>
        <v>0.01</v>
      </c>
      <c r="E29">
        <f>COUNTIF(tables_490100!C:C,input_490100!A29)-COUNTIF(Q:Q,A29)</f>
        <v>10</v>
      </c>
      <c r="F29" s="43">
        <f t="shared" si="8"/>
        <v>1E-3</v>
      </c>
      <c r="G29">
        <f t="shared" si="4"/>
        <v>66000</v>
      </c>
      <c r="H29">
        <f t="shared" si="5"/>
        <v>6600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263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COUNTIF(tables_490100!C:C,input_490100!A30)-COUNTIF(Q:Q,A30)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264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COUNTIF(tables_490100!C:C,input_490100!A31)-COUNTIF(Q:Q,A31)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0.94000000000000006</v>
      </c>
      <c r="C32" s="41">
        <f>SUM(C19:C31)</f>
        <v>0.06</v>
      </c>
      <c r="D32" s="42">
        <f t="shared" si="3"/>
        <v>0.88000000000000012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</row>
    <row r="35" spans="1:7" x14ac:dyDescent="0.15">
      <c r="A35" t="s">
        <v>73</v>
      </c>
    </row>
    <row r="36" spans="1:7" x14ac:dyDescent="0.15">
      <c r="A36" s="31">
        <f>LCM(F5-I5,F6-I6)*1000*2*2*5</f>
        <v>6600000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SUMIF(tables_490100!C:C,input_490100!A40,tables_490100!O:O)</f>
        <v>0</v>
      </c>
      <c r="C40" s="54" t="e">
        <f t="shared" ref="C40:C46" ca="1" si="9">B40/B$47</f>
        <v>#DIV/0!</v>
      </c>
      <c r="E40">
        <v>3</v>
      </c>
      <c r="F40">
        <f ca="1">SUMIF(tables_490100!J:J,input_490100!E40,tables_490100!O:O)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SUMIF(tables_490100!C:C,input_490100!A41,tables_490100!O:O)</f>
        <v>0</v>
      </c>
      <c r="C41" s="54" t="e">
        <f t="shared" ca="1" si="9"/>
        <v>#DIV/0!</v>
      </c>
      <c r="E41">
        <v>4</v>
      </c>
      <c r="F41">
        <f ca="1">SUMIF(tables_490100!J:J,input_490100!E41,tables_490100!O:O)</f>
        <v>6270000</v>
      </c>
      <c r="G41">
        <f ca="1">F41/A36</f>
        <v>0.95</v>
      </c>
    </row>
    <row r="42" spans="1:7" x14ac:dyDescent="0.15">
      <c r="A42" s="33" t="s">
        <v>106</v>
      </c>
      <c r="B42">
        <f ca="1">SUMIF(tables_490100!C:C,input_490100!A42,tables_490100!O:O)</f>
        <v>0</v>
      </c>
      <c r="C42" s="54" t="e">
        <f t="shared" ca="1" si="9"/>
        <v>#DIV/0!</v>
      </c>
      <c r="E42">
        <v>5</v>
      </c>
      <c r="F42">
        <f ca="1">SUMIF(tables_490100!J:J,input_490100!E42,tables_490100!O:O)</f>
        <v>329999.99999000004</v>
      </c>
      <c r="G42">
        <f ca="1">F42/A36</f>
        <v>4.9999999998484854E-2</v>
      </c>
    </row>
    <row r="43" spans="1:7" x14ac:dyDescent="0.15">
      <c r="A43" s="33" t="s">
        <v>109</v>
      </c>
      <c r="B43">
        <f>SUMIF(tables_490100!C:C,input_490100!A43,tables_490100!O:O)</f>
        <v>0</v>
      </c>
      <c r="C43" s="54" t="e">
        <f t="shared" ca="1" si="9"/>
        <v>#DIV/0!</v>
      </c>
      <c r="F43" s="55"/>
    </row>
    <row r="44" spans="1:7" x14ac:dyDescent="0.15">
      <c r="A44" s="33" t="s">
        <v>105</v>
      </c>
      <c r="B44">
        <f ca="1">SUMIF(tables_490100!C:C,input_490100!A44,tables_490100!O:O)</f>
        <v>0</v>
      </c>
      <c r="C44" s="54" t="e">
        <f t="shared" ca="1" si="9"/>
        <v>#DIV/0!</v>
      </c>
      <c r="E44" t="s">
        <v>54</v>
      </c>
      <c r="F44" s="55"/>
    </row>
    <row r="45" spans="1:7" x14ac:dyDescent="0.15">
      <c r="A45" s="33" t="s">
        <v>107</v>
      </c>
      <c r="B45">
        <f ca="1">SUMIF(tables_490100!C:C,input_490100!A45,tables_490100!O:O)</f>
        <v>0</v>
      </c>
      <c r="C45" s="54" t="e">
        <f t="shared" ca="1" si="9"/>
        <v>#DIV/0!</v>
      </c>
      <c r="E45" t="s">
        <v>204</v>
      </c>
      <c r="F45" s="55">
        <f ca="1">SUMIF(tables_490100!I:I,input_490100!E45,tables_490100!P:P)</f>
        <v>0.236215909091267</v>
      </c>
    </row>
    <row r="46" spans="1:7" x14ac:dyDescent="0.15">
      <c r="A46" s="33" t="s">
        <v>108</v>
      </c>
      <c r="B46">
        <f>SUMIF(tables_490100!C:C,input_490100!A46,tables_490100!O:O)</f>
        <v>0</v>
      </c>
      <c r="C46" s="54" t="e">
        <f t="shared" ca="1" si="9"/>
        <v>#DIV/0!</v>
      </c>
      <c r="E46" t="s">
        <v>205</v>
      </c>
      <c r="F46" s="55">
        <f ca="1">SUMIF(tables_490100!I:I,input_490100!E46,tables_490100!P:P)</f>
        <v>0.20023164335636398</v>
      </c>
    </row>
    <row r="47" spans="1:7" x14ac:dyDescent="0.15">
      <c r="A47" s="39" t="s">
        <v>59</v>
      </c>
      <c r="B47">
        <f ca="1">SUM(B40:B46)</f>
        <v>0</v>
      </c>
      <c r="C47" s="55" t="e">
        <f ca="1">SUM(C40:C46)</f>
        <v>#DIV/0!</v>
      </c>
      <c r="E47" t="s">
        <v>206</v>
      </c>
      <c r="F47" s="55">
        <f ca="1">SUMIF(tables_490100!I:I,input_490100!E47,tables_490100!P:P)</f>
        <v>0.48855244755225552</v>
      </c>
    </row>
    <row r="48" spans="1:7" x14ac:dyDescent="0.15">
      <c r="E48" t="s">
        <v>207</v>
      </c>
      <c r="F48" s="55">
        <f ca="1">SUMIF(tables_490100!I:I,input_490100!E48,tables_490100!P:P)</f>
        <v>7.4000000000112101E-2</v>
      </c>
    </row>
    <row r="49" spans="5:6" x14ac:dyDescent="0.15">
      <c r="E49" t="s">
        <v>265</v>
      </c>
      <c r="F49" s="55">
        <f ca="1">SUMIF(tables_490100!I:I,input_490100!E49,tables_490100!P:P)</f>
        <v>1.0000000000015151E-3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A5" sqref="A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input_490100!A$2</f>
        <v>490100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 t="str">
        <f>IF(K2="yellow","color","")</f>
        <v/>
      </c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IFERROR(VLOOKUP(B2,input_490100!L:R,7,FALSE),IFERROR(VLOOKUP(tables_490100!C2,input_490100!A:H,8,FALSE),0))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input_490100!A$2</f>
        <v>490100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 t="str">
        <f t="shared" ref="G3:G66" si="3">IF(K3="yellow","color","")</f>
        <v/>
      </c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IFERROR(VLOOKUP(B3,input_490100!L:R,7,FALSE),IFERROR(VLOOKUP(tables_490100!C3,input_490100!A:H,8,FALSE),0))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input_490100!A$2</f>
        <v>490100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 t="str">
        <f t="shared" si="3"/>
        <v/>
      </c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IFERROR(VLOOKUP(B4,input_490100!L:R,7,FALSE),IFERROR(VLOOKUP(tables_490100!C4,input_490100!A:H,8,FALSE),0))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input_490100!A$2</f>
        <v>490100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 t="str">
        <f t="shared" si="3"/>
        <v/>
      </c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IFERROR(VLOOKUP(B5,input_490100!L:R,7,FALSE),IFERROR(VLOOKUP(tables_490100!C5,input_490100!A:H,8,FALSE),0))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input_490100!A$2</f>
        <v>490100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 t="str">
        <f t="shared" si="3"/>
        <v/>
      </c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IFERROR(VLOOKUP(B6,input_490100!L:R,7,FALSE),IFERROR(VLOOKUP(tables_490100!C6,input_490100!A:H,8,FALSE),0))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input_490100!A$2</f>
        <v>490100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 t="str">
        <f t="shared" si="3"/>
        <v/>
      </c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IFERROR(VLOOKUP(B7,input_490100!L:R,7,FALSE),IFERROR(VLOOKUP(tables_490100!C7,input_490100!A:H,8,FALSE),0))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input_490100!A$2</f>
        <v>490100</v>
      </c>
      <c r="B8" s="6">
        <v>132</v>
      </c>
      <c r="C8" s="7" t="str">
        <f t="shared" si="0"/>
        <v>PremiumW3color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 t="str">
        <f t="shared" si="3"/>
        <v>color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IFERROR(VLOOKUP(B8,input_490100!L:R,7,FALSE),IFERROR(VLOOKUP(tables_490100!C8,input_490100!A:H,8,FALSE),0))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input_490100!A$2</f>
        <v>490100</v>
      </c>
      <c r="B9" s="6">
        <v>133</v>
      </c>
      <c r="C9" s="7" t="str">
        <f t="shared" si="0"/>
        <v>PremiumW4color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 t="str">
        <f t="shared" si="3"/>
        <v>color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IFERROR(VLOOKUP(B9,input_490100!L:R,7,FALSE),IFERROR(VLOOKUP(tables_490100!C9,input_490100!A:H,8,FALSE),0))</f>
        <v>311805</v>
      </c>
      <c r="P9" s="46">
        <f t="shared" ca="1" si="1"/>
        <v>4.7243181818253398E-2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input_490100!A$2</f>
        <v>490100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 t="str">
        <f t="shared" si="3"/>
        <v/>
      </c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IFERROR(VLOOKUP(B10,input_490100!L:R,7,FALSE),IFERROR(VLOOKUP(tables_490100!C10,input_490100!A:H,8,FALSE),0))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input_490100!A$2</f>
        <v>490100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 t="str">
        <f t="shared" si="3"/>
        <v/>
      </c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IFERROR(VLOOKUP(B11,input_490100!L:R,7,FALSE),IFERROR(VLOOKUP(tables_490100!C11,input_490100!A:H,8,FALSE),0))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input_490100!A$2</f>
        <v>490100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 t="str">
        <f t="shared" si="3"/>
        <v/>
      </c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IFERROR(VLOOKUP(B12,input_490100!L:R,7,FALSE),IFERROR(VLOOKUP(tables_490100!C12,input_490100!A:H,8,FALSE),0))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input_490100!A$2</f>
        <v>490100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 t="str">
        <f t="shared" si="3"/>
        <v/>
      </c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IFERROR(VLOOKUP(B13,input_490100!L:R,7,FALSE),IFERROR(VLOOKUP(tables_490100!C13,input_490100!A:H,8,FALSE),0))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input_490100!A$2</f>
        <v>490100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 t="str">
        <f t="shared" si="3"/>
        <v/>
      </c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IFERROR(VLOOKUP(B14,input_490100!L:R,7,FALSE),IFERROR(VLOOKUP(tables_490100!C14,input_490100!A:H,8,FALSE),0))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input_490100!A$2</f>
        <v>490100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 t="str">
        <f t="shared" si="3"/>
        <v/>
      </c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IFERROR(VLOOKUP(B15,input_490100!L:R,7,FALSE),IFERROR(VLOOKUP(tables_490100!C15,input_490100!A:H,8,FALSE),0))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input_490100!A$2</f>
        <v>490100</v>
      </c>
      <c r="B16" s="10">
        <v>140</v>
      </c>
      <c r="C16" s="7" t="str">
        <f t="shared" si="0"/>
        <v>PremiumW3color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 t="str">
        <f t="shared" si="3"/>
        <v>color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IFERROR(VLOOKUP(B16,input_490100!L:R,7,FALSE),IFERROR(VLOOKUP(tables_490100!C16,input_490100!A:H,8,FALSE),0))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input_490100!A$2</f>
        <v>490100</v>
      </c>
      <c r="B17" s="11">
        <v>141</v>
      </c>
      <c r="C17" s="7" t="str">
        <f t="shared" si="0"/>
        <v>PremiumW4color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 t="str">
        <f t="shared" si="3"/>
        <v>color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IFERROR(VLOOKUP(B17,input_490100!L:R,7,FALSE),IFERROR(VLOOKUP(tables_490100!C17,input_490100!A:H,8,FALSE),0))</f>
        <v>311805</v>
      </c>
      <c r="P17" s="46">
        <f t="shared" ca="1" si="1"/>
        <v>4.7243181818253398E-2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input_490100!A$2</f>
        <v>490100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 t="str">
        <f t="shared" si="3"/>
        <v/>
      </c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IFERROR(VLOOKUP(B18,input_490100!L:R,7,FALSE),IFERROR(VLOOKUP(tables_490100!C18,input_490100!A:H,8,FALSE),0))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input_490100!A$2</f>
        <v>490100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 t="str">
        <f t="shared" si="3"/>
        <v/>
      </c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IFERROR(VLOOKUP(B19,input_490100!L:R,7,FALSE),IFERROR(VLOOKUP(tables_490100!C19,input_490100!A:H,8,FALSE),0))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input_490100!A$2</f>
        <v>490100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 t="str">
        <f t="shared" si="3"/>
        <v/>
      </c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IFERROR(VLOOKUP(B20,input_490100!L:R,7,FALSE),IFERROR(VLOOKUP(tables_490100!C20,input_490100!A:H,8,FALSE),0))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input_490100!A$2</f>
        <v>490100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 t="str">
        <f t="shared" si="3"/>
        <v/>
      </c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IFERROR(VLOOKUP(B21,input_490100!L:R,7,FALSE),IFERROR(VLOOKUP(tables_490100!C21,input_490100!A:H,8,FALSE),0))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input_490100!A$2</f>
        <v>490100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 t="str">
        <f t="shared" si="3"/>
        <v/>
      </c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IFERROR(VLOOKUP(B22,input_490100!L:R,7,FALSE),IFERROR(VLOOKUP(tables_490100!C22,input_490100!A:H,8,FALSE),0))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input_490100!A$2</f>
        <v>490100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 t="str">
        <f t="shared" si="3"/>
        <v/>
      </c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IFERROR(VLOOKUP(B23,input_490100!L:R,7,FALSE),IFERROR(VLOOKUP(tables_490100!C23,input_490100!A:H,8,FALSE),0))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input_490100!A$2</f>
        <v>490100</v>
      </c>
      <c r="B24" s="6">
        <v>148</v>
      </c>
      <c r="C24" s="7" t="str">
        <f t="shared" si="0"/>
        <v>PremiumW3color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 t="str">
        <f t="shared" si="3"/>
        <v>color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IFERROR(VLOOKUP(B24,input_490100!L:R,7,FALSE),IFERROR(VLOOKUP(tables_490100!C24,input_490100!A:H,8,FALSE),0))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input_490100!A$2</f>
        <v>490100</v>
      </c>
      <c r="B25" s="6">
        <v>149</v>
      </c>
      <c r="C25" s="7" t="str">
        <f t="shared" si="0"/>
        <v>PremiumW4color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 t="str">
        <f t="shared" si="3"/>
        <v>color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IFERROR(VLOOKUP(B25,input_490100!L:R,7,FALSE),IFERROR(VLOOKUP(tables_490100!C25,input_490100!A:H,8,FALSE),0))</f>
        <v>311805</v>
      </c>
      <c r="P25" s="46">
        <f t="shared" ca="1" si="1"/>
        <v>4.7243181818253398E-2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input_490100!A$2</f>
        <v>490100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 t="str">
        <f t="shared" si="3"/>
        <v/>
      </c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IFERROR(VLOOKUP(B26,input_490100!L:R,7,FALSE),IFERROR(VLOOKUP(tables_490100!C26,input_490100!A:H,8,FALSE),0))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input_490100!A$2</f>
        <v>490100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 t="str">
        <f t="shared" si="3"/>
        <v/>
      </c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IFERROR(VLOOKUP(B27,input_490100!L:R,7,FALSE),IFERROR(VLOOKUP(tables_490100!C27,input_490100!A:H,8,FALSE),0))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input_490100!A$2</f>
        <v>490100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 t="str">
        <f t="shared" si="3"/>
        <v/>
      </c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IFERROR(VLOOKUP(B28,input_490100!L:R,7,FALSE),IFERROR(VLOOKUP(tables_490100!C28,input_490100!A:H,8,FALSE),0))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input_490100!A$2</f>
        <v>490100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 t="str">
        <f t="shared" si="3"/>
        <v/>
      </c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IFERROR(VLOOKUP(B29,input_490100!L:R,7,FALSE),IFERROR(VLOOKUP(tables_490100!C29,input_490100!A:H,8,FALSE),0))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input_490100!A$2</f>
        <v>490100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 t="str">
        <f t="shared" si="3"/>
        <v/>
      </c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IFERROR(VLOOKUP(B30,input_490100!L:R,7,FALSE),IFERROR(VLOOKUP(tables_490100!C30,input_490100!A:H,8,FALSE),0))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input_490100!A$2</f>
        <v>490100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 t="str">
        <f t="shared" si="3"/>
        <v/>
      </c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IFERROR(VLOOKUP(B31,input_490100!L:R,7,FALSE),IFERROR(VLOOKUP(tables_490100!C31,input_490100!A:H,8,FALSE),0))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input_490100!A$2</f>
        <v>490100</v>
      </c>
      <c r="B32" s="6">
        <v>156</v>
      </c>
      <c r="C32" s="7" t="str">
        <f t="shared" si="0"/>
        <v>PremiumW3color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 t="str">
        <f t="shared" si="3"/>
        <v>color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IFERROR(VLOOKUP(B32,input_490100!L:R,7,FALSE),IFERROR(VLOOKUP(tables_490100!C32,input_490100!A:H,8,FALSE),0))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input_490100!A$2</f>
        <v>490100</v>
      </c>
      <c r="B33" s="6">
        <v>157</v>
      </c>
      <c r="C33" s="7" t="str">
        <f t="shared" si="0"/>
        <v>PremiumW4color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 t="str">
        <f t="shared" si="3"/>
        <v>color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IFERROR(VLOOKUP(B33,input_490100!L:R,7,FALSE),IFERROR(VLOOKUP(tables_490100!C33,input_490100!A:H,8,FALSE),0))</f>
        <v>311805</v>
      </c>
      <c r="P33" s="46">
        <f t="shared" ca="1" si="1"/>
        <v>4.7243181818253398E-2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input_490100!A$2</f>
        <v>490100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 t="str">
        <f t="shared" si="3"/>
        <v/>
      </c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IFERROR(VLOOKUP(B34,input_490100!L:R,7,FALSE),IFERROR(VLOOKUP(tables_490100!C34,input_490100!A:H,8,FALSE),0))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input_490100!A$2</f>
        <v>490100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 t="str">
        <f t="shared" si="3"/>
        <v/>
      </c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IFERROR(VLOOKUP(B35,input_490100!L:R,7,FALSE),IFERROR(VLOOKUP(tables_490100!C35,input_490100!A:H,8,FALSE),0))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input_490100!A$2</f>
        <v>490100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 t="str">
        <f t="shared" si="3"/>
        <v/>
      </c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IFERROR(VLOOKUP(B36,input_490100!L:R,7,FALSE),IFERROR(VLOOKUP(tables_490100!C36,input_490100!A:H,8,FALSE),0))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input_490100!A$2</f>
        <v>490100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 t="str">
        <f t="shared" si="3"/>
        <v/>
      </c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IFERROR(VLOOKUP(B37,input_490100!L:R,7,FALSE),IFERROR(VLOOKUP(tables_490100!C37,input_490100!A:H,8,FALSE),0))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input_490100!A$2</f>
        <v>490100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 t="str">
        <f t="shared" si="3"/>
        <v/>
      </c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IFERROR(VLOOKUP(B38,input_490100!L:R,7,FALSE),IFERROR(VLOOKUP(tables_490100!C38,input_490100!A:H,8,FALSE),0))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input_490100!A$2</f>
        <v>490100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 t="str">
        <f t="shared" si="3"/>
        <v/>
      </c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IFERROR(VLOOKUP(B39,input_490100!L:R,7,FALSE),IFERROR(VLOOKUP(tables_490100!C39,input_490100!A:H,8,FALSE),0))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input_490100!A$2</f>
        <v>490100</v>
      </c>
      <c r="B40" s="6">
        <v>164</v>
      </c>
      <c r="C40" s="7" t="str">
        <f t="shared" si="0"/>
        <v>PremiumW3color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 t="str">
        <f t="shared" si="3"/>
        <v>color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IFERROR(VLOOKUP(B40,input_490100!L:R,7,FALSE),IFERROR(VLOOKUP(tables_490100!C40,input_490100!A:H,8,FALSE),0))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input_490100!A$2</f>
        <v>490100</v>
      </c>
      <c r="B41" s="6">
        <v>165</v>
      </c>
      <c r="C41" s="7" t="str">
        <f t="shared" si="0"/>
        <v>PremiumW4color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 t="str">
        <f t="shared" si="3"/>
        <v>color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IFERROR(VLOOKUP(B41,input_490100!L:R,7,FALSE),IFERROR(VLOOKUP(tables_490100!C41,input_490100!A:H,8,FALSE),0))</f>
        <v>311805</v>
      </c>
      <c r="P41" s="46">
        <f t="shared" ca="1" si="1"/>
        <v>4.7243181818253398E-2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input_490100!A$2</f>
        <v>490100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 t="str">
        <f t="shared" si="3"/>
        <v/>
      </c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IFERROR(VLOOKUP(B42,input_490100!L:R,7,FALSE),IFERROR(VLOOKUP(tables_490100!C42,input_490100!A:H,8,FALSE),0))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input_490100!A$2</f>
        <v>490100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 t="str">
        <f t="shared" si="3"/>
        <v/>
      </c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IFERROR(VLOOKUP(B43,input_490100!L:R,7,FALSE),IFERROR(VLOOKUP(tables_490100!C43,input_490100!A:H,8,FALSE),0))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input_490100!A$2</f>
        <v>490100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 t="str">
        <f t="shared" si="3"/>
        <v/>
      </c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IFERROR(VLOOKUP(B44,input_490100!L:R,7,FALSE),IFERROR(VLOOKUP(tables_490100!C44,input_490100!A:H,8,FALSE),0))</f>
        <v>0</v>
      </c>
      <c r="P44" s="46">
        <f t="shared" ca="1" si="1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input_490100!A$2</f>
        <v>490100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 t="str">
        <f t="shared" si="3"/>
        <v/>
      </c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IFERROR(VLOOKUP(B45,input_490100!L:R,7,FALSE),IFERROR(VLOOKUP(tables_490100!C45,input_490100!A:H,8,FALSE),0))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input_490100!A$2</f>
        <v>490100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 t="str">
        <f t="shared" si="3"/>
        <v/>
      </c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IFERROR(VLOOKUP(B46,input_490100!L:R,7,FALSE),IFERROR(VLOOKUP(tables_490100!C46,input_490100!A:H,8,FALSE),0))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input_490100!A$2</f>
        <v>490100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 t="str">
        <f t="shared" si="3"/>
        <v/>
      </c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IFERROR(VLOOKUP(B47,input_490100!L:R,7,FALSE),IFERROR(VLOOKUP(tables_490100!C47,input_490100!A:H,8,FALSE),0))</f>
        <v>0</v>
      </c>
      <c r="P47" s="46">
        <f t="shared" ca="1" si="1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input_490100!A$2</f>
        <v>490100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 t="str">
        <f t="shared" si="3"/>
        <v/>
      </c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IFERROR(VLOOKUP(B48,input_490100!L:R,7,FALSE),IFERROR(VLOOKUP(tables_490100!C48,input_490100!A:H,8,FALSE),0))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input_490100!A$2</f>
        <v>490100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 t="str">
        <f t="shared" si="3"/>
        <v/>
      </c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IFERROR(VLOOKUP(B49,input_490100!L:R,7,FALSE),IFERROR(VLOOKUP(tables_490100!C49,input_490100!A:H,8,FALSE),0))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input_490100!A$2</f>
        <v>490100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 t="str">
        <f t="shared" si="3"/>
        <v/>
      </c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IFERROR(VLOOKUP(B50,input_490100!L:R,7,FALSE),IFERROR(VLOOKUP(tables_490100!C50,input_490100!A:H,8,FALSE),0))</f>
        <v>0</v>
      </c>
      <c r="P50" s="46">
        <f t="shared" ca="1" si="1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input_490100!A$2</f>
        <v>490100</v>
      </c>
      <c r="B51" s="6">
        <v>175</v>
      </c>
      <c r="C51" s="7" t="str">
        <f t="shared" si="0"/>
        <v>Premium3color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 t="str">
        <f t="shared" si="3"/>
        <v>color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IFERROR(VLOOKUP(B51,input_490100!L:R,7,FALSE),IFERROR(VLOOKUP(tables_490100!C51,input_490100!A:H,8,FALSE),0))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input_490100!A$2</f>
        <v>490100</v>
      </c>
      <c r="B52" s="6">
        <v>176</v>
      </c>
      <c r="C52" s="7" t="str">
        <f t="shared" si="0"/>
        <v>Premium4color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 t="str">
        <f t="shared" si="3"/>
        <v>color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IFERROR(VLOOKUP(B52,input_490100!L:R,7,FALSE),IFERROR(VLOOKUP(tables_490100!C52,input_490100!A:H,8,FALSE),0))</f>
        <v>263625</v>
      </c>
      <c r="P52" s="46">
        <f t="shared" ca="1" si="1"/>
        <v>3.9943181818242336E-2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input_490100!A$2</f>
        <v>490100</v>
      </c>
      <c r="B53" s="6">
        <v>177</v>
      </c>
      <c r="C53" s="7" t="str">
        <f t="shared" si="0"/>
        <v>Premium5color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 t="str">
        <f t="shared" si="3"/>
        <v>color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IFERROR(VLOOKUP(B53,input_490100!L:R,7,FALSE),IFERROR(VLOOKUP(tables_490100!C53,input_490100!A:H,8,FALSE),0))</f>
        <v>680.76922999999999</v>
      </c>
      <c r="P53" s="46">
        <f t="shared" ca="1" si="1"/>
        <v>1.031468530304593E-4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input_490100!A$2</f>
        <v>490100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 t="str">
        <f t="shared" si="3"/>
        <v/>
      </c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IFERROR(VLOOKUP(B54,input_490100!L:R,7,FALSE),IFERROR(VLOOKUP(tables_490100!C54,input_490100!A:H,8,FALSE),0))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input_490100!A$2</f>
        <v>490100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 t="str">
        <f t="shared" si="3"/>
        <v/>
      </c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IFERROR(VLOOKUP(B55,input_490100!L:R,7,FALSE),IFERROR(VLOOKUP(tables_490100!C55,input_490100!A:H,8,FALSE),0))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input_490100!A$2</f>
        <v>490100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 t="str">
        <f t="shared" si="3"/>
        <v/>
      </c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IFERROR(VLOOKUP(B56,input_490100!L:R,7,FALSE),IFERROR(VLOOKUP(tables_490100!C56,input_490100!A:H,8,FALSE),0))</f>
        <v>0</v>
      </c>
      <c r="P56" s="46">
        <f t="shared" ca="1" si="1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input_490100!A$2</f>
        <v>490100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 t="str">
        <f t="shared" si="3"/>
        <v/>
      </c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IFERROR(VLOOKUP(B57,input_490100!L:R,7,FALSE),IFERROR(VLOOKUP(tables_490100!C57,input_490100!A:H,8,FALSE),0))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input_490100!A$2</f>
        <v>490100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 t="str">
        <f t="shared" si="3"/>
        <v/>
      </c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IFERROR(VLOOKUP(B58,input_490100!L:R,7,FALSE),IFERROR(VLOOKUP(tables_490100!C58,input_490100!A:H,8,FALSE),0))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input_490100!A$2</f>
        <v>490100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 t="str">
        <f t="shared" si="3"/>
        <v/>
      </c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IFERROR(VLOOKUP(B59,input_490100!L:R,7,FALSE),IFERROR(VLOOKUP(tables_490100!C59,input_490100!A:H,8,FALSE),0))</f>
        <v>0</v>
      </c>
      <c r="P59" s="46">
        <f t="shared" ca="1" si="1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input_490100!A$2</f>
        <v>490100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 t="str">
        <f t="shared" si="3"/>
        <v/>
      </c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IFERROR(VLOOKUP(B60,input_490100!L:R,7,FALSE),IFERROR(VLOOKUP(tables_490100!C60,input_490100!A:H,8,FALSE),0))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input_490100!A$2</f>
        <v>490100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 t="str">
        <f t="shared" si="3"/>
        <v/>
      </c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IFERROR(VLOOKUP(B61,input_490100!L:R,7,FALSE),IFERROR(VLOOKUP(tables_490100!C61,input_490100!A:H,8,FALSE),0))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input_490100!A$2</f>
        <v>490100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 t="str">
        <f t="shared" si="3"/>
        <v/>
      </c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IFERROR(VLOOKUP(B62,input_490100!L:R,7,FALSE),IFERROR(VLOOKUP(tables_490100!C62,input_490100!A:H,8,FALSE),0))</f>
        <v>0</v>
      </c>
      <c r="P62" s="46">
        <f t="shared" ca="1" si="1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input_490100!A$2</f>
        <v>490100</v>
      </c>
      <c r="B63" s="8">
        <v>187</v>
      </c>
      <c r="C63" s="7" t="str">
        <f t="shared" si="0"/>
        <v>Premium3color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 t="str">
        <f t="shared" si="3"/>
        <v>color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IFERROR(VLOOKUP(B63,input_490100!L:R,7,FALSE),IFERROR(VLOOKUP(tables_490100!C63,input_490100!A:H,8,FALSE),0))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input_490100!A$2</f>
        <v>490100</v>
      </c>
      <c r="B64" s="8">
        <v>188</v>
      </c>
      <c r="C64" s="7" t="str">
        <f t="shared" si="0"/>
        <v>Premium4color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 t="str">
        <f t="shared" si="3"/>
        <v>color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IFERROR(VLOOKUP(B64,input_490100!L:R,7,FALSE),IFERROR(VLOOKUP(tables_490100!C64,input_490100!A:H,8,FALSE),0))</f>
        <v>263625</v>
      </c>
      <c r="P64" s="46">
        <f t="shared" ca="1" si="1"/>
        <v>3.9943181818242336E-2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input_490100!A$2</f>
        <v>490100</v>
      </c>
      <c r="B65" s="8">
        <v>189</v>
      </c>
      <c r="C65" s="7" t="str">
        <f t="shared" si="0"/>
        <v>Premium5color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 t="str">
        <f t="shared" si="3"/>
        <v>color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IFERROR(VLOOKUP(B65,input_490100!L:R,7,FALSE),IFERROR(VLOOKUP(tables_490100!C65,input_490100!A:H,8,FALSE),0))</f>
        <v>680.76922999999999</v>
      </c>
      <c r="P65" s="46">
        <f t="shared" ca="1" si="1"/>
        <v>1.031468530304593E-4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input_490100!A$2</f>
        <v>490100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 t="str">
        <f t="shared" si="3"/>
        <v/>
      </c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IFERROR(VLOOKUP(B66,input_490100!L:R,7,FALSE),IFERROR(VLOOKUP(tables_490100!C66,input_490100!A:H,8,FALSE),0))</f>
        <v>0</v>
      </c>
      <c r="P66" s="46">
        <f t="shared" ref="P66:P129" ca="1" si="5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input_490100!A$2</f>
        <v>490100</v>
      </c>
      <c r="B67" s="6">
        <v>191</v>
      </c>
      <c r="C67" s="7" t="str">
        <f t="shared" si="4"/>
        <v>Premium4</v>
      </c>
      <c r="D67" s="7" t="str">
        <f t="shared" ref="D67:D130" si="6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 t="str">
        <f t="shared" ref="G67:G130" si="7">IF(K67="yellow","color","")</f>
        <v/>
      </c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IFERROR(VLOOKUP(B67,input_490100!L:R,7,FALSE),IFERROR(VLOOKUP(tables_490100!C67,input_490100!A:H,8,FALSE),0))</f>
        <v>0</v>
      </c>
      <c r="P67" s="46">
        <f t="shared" ca="1" si="5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input_490100!A$2</f>
        <v>490100</v>
      </c>
      <c r="B68" s="6">
        <v>192</v>
      </c>
      <c r="C68" s="7" t="str">
        <f t="shared" si="4"/>
        <v>Premium5</v>
      </c>
      <c r="D68" s="7" t="str">
        <f t="shared" si="6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 t="str">
        <f t="shared" si="7"/>
        <v/>
      </c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IFERROR(VLOOKUP(B68,input_490100!L:R,7,FALSE),IFERROR(VLOOKUP(tables_490100!C68,input_490100!A:H,8,FALSE),0))</f>
        <v>0</v>
      </c>
      <c r="P68" s="46">
        <f t="shared" ca="1" si="5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input_490100!A$2</f>
        <v>490100</v>
      </c>
      <c r="B69" s="6">
        <v>193</v>
      </c>
      <c r="C69" s="7" t="str">
        <f t="shared" si="4"/>
        <v>Premium3</v>
      </c>
      <c r="D69" s="7" t="str">
        <f t="shared" si="6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 t="str">
        <f t="shared" si="7"/>
        <v/>
      </c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IFERROR(VLOOKUP(B69,input_490100!L:R,7,FALSE),IFERROR(VLOOKUP(tables_490100!C69,input_490100!A:H,8,FALSE),0))</f>
        <v>0</v>
      </c>
      <c r="P69" s="46">
        <f t="shared" ca="1" si="5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input_490100!A$2</f>
        <v>490100</v>
      </c>
      <c r="B70" s="10">
        <v>194</v>
      </c>
      <c r="C70" s="7" t="str">
        <f t="shared" si="4"/>
        <v>Premium4</v>
      </c>
      <c r="D70" s="7" t="str">
        <f t="shared" si="6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 t="str">
        <f t="shared" si="7"/>
        <v/>
      </c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IFERROR(VLOOKUP(B70,input_490100!L:R,7,FALSE),IFERROR(VLOOKUP(tables_490100!C70,input_490100!A:H,8,FALSE),0))</f>
        <v>0</v>
      </c>
      <c r="P70" s="46">
        <f t="shared" ca="1" si="5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input_490100!A$2</f>
        <v>490100</v>
      </c>
      <c r="B71" s="6">
        <v>195</v>
      </c>
      <c r="C71" s="7" t="str">
        <f t="shared" si="4"/>
        <v>Premium5</v>
      </c>
      <c r="D71" s="7" t="str">
        <f t="shared" si="6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 t="str">
        <f t="shared" si="7"/>
        <v/>
      </c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IFERROR(VLOOKUP(B71,input_490100!L:R,7,FALSE),IFERROR(VLOOKUP(tables_490100!C71,input_490100!A:H,8,FALSE),0))</f>
        <v>0</v>
      </c>
      <c r="P71" s="46">
        <f t="shared" ca="1" si="5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input_490100!A$2</f>
        <v>490100</v>
      </c>
      <c r="B72" s="10">
        <v>196</v>
      </c>
      <c r="C72" s="7" t="str">
        <f t="shared" si="4"/>
        <v>Premium3color</v>
      </c>
      <c r="D72" s="7" t="str">
        <f t="shared" si="6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 t="str">
        <f t="shared" si="7"/>
        <v>color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IFERROR(VLOOKUP(B72,input_490100!L:R,7,FALSE),IFERROR(VLOOKUP(tables_490100!C72,input_490100!A:H,8,FALSE),0))</f>
        <v>0</v>
      </c>
      <c r="P72" s="46">
        <f t="shared" ca="1" si="5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input_490100!A$2</f>
        <v>490100</v>
      </c>
      <c r="B73" s="11">
        <v>197</v>
      </c>
      <c r="C73" s="7" t="str">
        <f t="shared" si="4"/>
        <v>Premium4color</v>
      </c>
      <c r="D73" s="7" t="str">
        <f t="shared" si="6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 t="str">
        <f t="shared" si="7"/>
        <v>color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IFERROR(VLOOKUP(B73,input_490100!L:R,7,FALSE),IFERROR(VLOOKUP(tables_490100!C73,input_490100!A:H,8,FALSE),0))</f>
        <v>263625</v>
      </c>
      <c r="P73" s="46">
        <f t="shared" ca="1" si="5"/>
        <v>3.9943181818242336E-2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input_490100!A$2</f>
        <v>490100</v>
      </c>
      <c r="B74" s="6">
        <v>198</v>
      </c>
      <c r="C74" s="7" t="str">
        <f t="shared" si="4"/>
        <v>Premium5color</v>
      </c>
      <c r="D74" s="7" t="str">
        <f t="shared" si="6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 t="str">
        <f t="shared" si="7"/>
        <v>color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IFERROR(VLOOKUP(B74,input_490100!L:R,7,FALSE),IFERROR(VLOOKUP(tables_490100!C74,input_490100!A:H,8,FALSE),0))</f>
        <v>680.76922999999999</v>
      </c>
      <c r="P74" s="46">
        <f t="shared" ca="1" si="5"/>
        <v>1.031468530304593E-4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input_490100!A$2</f>
        <v>490100</v>
      </c>
      <c r="B75" s="6">
        <v>199</v>
      </c>
      <c r="C75" s="7" t="str">
        <f t="shared" si="4"/>
        <v>Premium3</v>
      </c>
      <c r="D75" s="7" t="str">
        <f t="shared" si="6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 t="str">
        <f t="shared" si="7"/>
        <v/>
      </c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IFERROR(VLOOKUP(B75,input_490100!L:R,7,FALSE),IFERROR(VLOOKUP(tables_490100!C75,input_490100!A:H,8,FALSE),0))</f>
        <v>0</v>
      </c>
      <c r="P75" s="46">
        <f t="shared" ca="1" si="5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input_490100!A$2</f>
        <v>490100</v>
      </c>
      <c r="B76" s="6">
        <v>200</v>
      </c>
      <c r="C76" s="7" t="str">
        <f t="shared" si="4"/>
        <v>Premium4</v>
      </c>
      <c r="D76" s="7" t="str">
        <f t="shared" si="6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 t="str">
        <f t="shared" si="7"/>
        <v/>
      </c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IFERROR(VLOOKUP(B76,input_490100!L:R,7,FALSE),IFERROR(VLOOKUP(tables_490100!C76,input_490100!A:H,8,FALSE),0))</f>
        <v>0</v>
      </c>
      <c r="P76" s="46">
        <f t="shared" ca="1" si="5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input_490100!A$2</f>
        <v>490100</v>
      </c>
      <c r="B77" s="5">
        <v>201</v>
      </c>
      <c r="C77" s="7" t="str">
        <f t="shared" si="4"/>
        <v>Premium5</v>
      </c>
      <c r="D77" s="7" t="str">
        <f t="shared" si="6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 t="str">
        <f t="shared" si="7"/>
        <v/>
      </c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IFERROR(VLOOKUP(B77,input_490100!L:R,7,FALSE),IFERROR(VLOOKUP(tables_490100!C77,input_490100!A:H,8,FALSE),0))</f>
        <v>0</v>
      </c>
      <c r="P77" s="46">
        <f t="shared" ca="1" si="5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input_490100!A$2</f>
        <v>490100</v>
      </c>
      <c r="B78" s="5">
        <v>202</v>
      </c>
      <c r="C78" s="7" t="str">
        <f t="shared" si="4"/>
        <v>Premium3</v>
      </c>
      <c r="D78" s="7" t="str">
        <f t="shared" si="6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 t="str">
        <f t="shared" si="7"/>
        <v/>
      </c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IFERROR(VLOOKUP(B78,input_490100!L:R,7,FALSE),IFERROR(VLOOKUP(tables_490100!C78,input_490100!A:H,8,FALSE),0))</f>
        <v>0</v>
      </c>
      <c r="P78" s="46">
        <f t="shared" ca="1" si="5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input_490100!A$2</f>
        <v>490100</v>
      </c>
      <c r="B79" s="5">
        <v>203</v>
      </c>
      <c r="C79" s="7" t="str">
        <f t="shared" si="4"/>
        <v>Premium4</v>
      </c>
      <c r="D79" s="7" t="str">
        <f t="shared" si="6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 t="str">
        <f t="shared" si="7"/>
        <v/>
      </c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IFERROR(VLOOKUP(B79,input_490100!L:R,7,FALSE),IFERROR(VLOOKUP(tables_490100!C79,input_490100!A:H,8,FALSE),0))</f>
        <v>0</v>
      </c>
      <c r="P79" s="46">
        <f t="shared" ca="1" si="5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input_490100!A$2</f>
        <v>490100</v>
      </c>
      <c r="B80" s="5">
        <v>204</v>
      </c>
      <c r="C80" s="7" t="str">
        <f t="shared" si="4"/>
        <v>Premium5</v>
      </c>
      <c r="D80" s="7" t="str">
        <f t="shared" si="6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 t="str">
        <f t="shared" si="7"/>
        <v/>
      </c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IFERROR(VLOOKUP(B80,input_490100!L:R,7,FALSE),IFERROR(VLOOKUP(tables_490100!C80,input_490100!A:H,8,FALSE),0))</f>
        <v>0</v>
      </c>
      <c r="P80" s="46">
        <f t="shared" ca="1" si="5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input_490100!A$2</f>
        <v>490100</v>
      </c>
      <c r="B81" s="5">
        <v>205</v>
      </c>
      <c r="C81" s="7" t="str">
        <f t="shared" si="4"/>
        <v>Premium3</v>
      </c>
      <c r="D81" s="7" t="str">
        <f t="shared" si="6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 t="str">
        <f t="shared" si="7"/>
        <v/>
      </c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IFERROR(VLOOKUP(B81,input_490100!L:R,7,FALSE),IFERROR(VLOOKUP(tables_490100!C81,input_490100!A:H,8,FALSE),0))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input_490100!A$2</f>
        <v>490100</v>
      </c>
      <c r="B82" s="5">
        <v>206</v>
      </c>
      <c r="C82" s="7" t="str">
        <f t="shared" si="4"/>
        <v>Premium4</v>
      </c>
      <c r="D82" s="7" t="str">
        <f t="shared" si="6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 t="str">
        <f t="shared" si="7"/>
        <v/>
      </c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IFERROR(VLOOKUP(B82,input_490100!L:R,7,FALSE),IFERROR(VLOOKUP(tables_490100!C82,input_490100!A:H,8,FALSE),0))</f>
        <v>0</v>
      </c>
      <c r="P82" s="46">
        <f t="shared" ca="1" si="5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input_490100!A$2</f>
        <v>490100</v>
      </c>
      <c r="B83" s="5">
        <v>207</v>
      </c>
      <c r="C83" s="7" t="str">
        <f t="shared" si="4"/>
        <v>Premium5</v>
      </c>
      <c r="D83" s="7" t="str">
        <f t="shared" si="6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 t="str">
        <f t="shared" si="7"/>
        <v/>
      </c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IFERROR(VLOOKUP(B83,input_490100!L:R,7,FALSE),IFERROR(VLOOKUP(tables_490100!C83,input_490100!A:H,8,FALSE),0))</f>
        <v>0</v>
      </c>
      <c r="P83" s="46">
        <f t="shared" ca="1" si="5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input_490100!A$2</f>
        <v>490100</v>
      </c>
      <c r="B84" s="5">
        <v>208</v>
      </c>
      <c r="C84" s="7" t="str">
        <f t="shared" si="4"/>
        <v>Premium3</v>
      </c>
      <c r="D84" s="7" t="str">
        <f t="shared" si="6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 t="str">
        <f t="shared" si="7"/>
        <v/>
      </c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IFERROR(VLOOKUP(B84,input_490100!L:R,7,FALSE),IFERROR(VLOOKUP(tables_490100!C84,input_490100!A:H,8,FALSE),0))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input_490100!A$2</f>
        <v>490100</v>
      </c>
      <c r="B85" s="5">
        <v>209</v>
      </c>
      <c r="C85" s="7" t="str">
        <f t="shared" si="4"/>
        <v>Premium4</v>
      </c>
      <c r="D85" s="7" t="str">
        <f t="shared" si="6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 t="str">
        <f t="shared" si="7"/>
        <v/>
      </c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IFERROR(VLOOKUP(B85,input_490100!L:R,7,FALSE),IFERROR(VLOOKUP(tables_490100!C85,input_490100!A:H,8,FALSE),0))</f>
        <v>0</v>
      </c>
      <c r="P85" s="46">
        <f t="shared" ca="1" si="5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input_490100!A$2</f>
        <v>490100</v>
      </c>
      <c r="B86" s="5">
        <v>210</v>
      </c>
      <c r="C86" s="7" t="str">
        <f t="shared" si="4"/>
        <v>Premium5</v>
      </c>
      <c r="D86" s="7" t="str">
        <f t="shared" si="6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 t="str">
        <f t="shared" si="7"/>
        <v/>
      </c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IFERROR(VLOOKUP(B86,input_490100!L:R,7,FALSE),IFERROR(VLOOKUP(tables_490100!C86,input_490100!A:H,8,FALSE),0))</f>
        <v>0</v>
      </c>
      <c r="P86" s="46">
        <f t="shared" ca="1" si="5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input_490100!A$2</f>
        <v>490100</v>
      </c>
      <c r="B87" s="5">
        <v>211</v>
      </c>
      <c r="C87" s="7" t="str">
        <f t="shared" si="4"/>
        <v>Premium3color</v>
      </c>
      <c r="D87" s="7" t="str">
        <f t="shared" si="6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 t="str">
        <f t="shared" si="7"/>
        <v>color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IFERROR(VLOOKUP(B87,input_490100!L:R,7,FALSE),IFERROR(VLOOKUP(tables_490100!C87,input_490100!A:H,8,FALSE),0))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input_490100!A$2</f>
        <v>490100</v>
      </c>
      <c r="B88" s="5">
        <v>212</v>
      </c>
      <c r="C88" s="7" t="str">
        <f t="shared" si="4"/>
        <v>Premium4color</v>
      </c>
      <c r="D88" s="7" t="str">
        <f t="shared" si="6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 t="str">
        <f t="shared" si="7"/>
        <v>color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IFERROR(VLOOKUP(B88,input_490100!L:R,7,FALSE),IFERROR(VLOOKUP(tables_490100!C88,input_490100!A:H,8,FALSE),0))</f>
        <v>263625</v>
      </c>
      <c r="P88" s="46">
        <f t="shared" ca="1" si="5"/>
        <v>3.9943181818242336E-2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input_490100!A$2</f>
        <v>490100</v>
      </c>
      <c r="B89" s="5">
        <v>213</v>
      </c>
      <c r="C89" s="7" t="str">
        <f t="shared" si="4"/>
        <v>Premium5color</v>
      </c>
      <c r="D89" s="7" t="str">
        <f t="shared" si="6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 t="str">
        <f t="shared" si="7"/>
        <v>color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IFERROR(VLOOKUP(B89,input_490100!L:R,7,FALSE),IFERROR(VLOOKUP(tables_490100!C89,input_490100!A:H,8,FALSE),0))</f>
        <v>680.76922999999999</v>
      </c>
      <c r="P89" s="46">
        <f t="shared" ca="1" si="5"/>
        <v>1.031468530304593E-4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input_490100!A$2</f>
        <v>490100</v>
      </c>
      <c r="B90" s="5">
        <v>214</v>
      </c>
      <c r="C90" s="7" t="str">
        <f t="shared" si="4"/>
        <v>Premium3</v>
      </c>
      <c r="D90" s="7" t="str">
        <f t="shared" si="6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 t="str">
        <f t="shared" si="7"/>
        <v/>
      </c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IFERROR(VLOOKUP(B90,input_490100!L:R,7,FALSE),IFERROR(VLOOKUP(tables_490100!C90,input_490100!A:H,8,FALSE),0))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input_490100!A$2</f>
        <v>490100</v>
      </c>
      <c r="B91" s="5">
        <v>215</v>
      </c>
      <c r="C91" s="7" t="str">
        <f t="shared" si="4"/>
        <v>Premium4</v>
      </c>
      <c r="D91" s="7" t="str">
        <f t="shared" si="6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 t="str">
        <f t="shared" si="7"/>
        <v/>
      </c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IFERROR(VLOOKUP(B91,input_490100!L:R,7,FALSE),IFERROR(VLOOKUP(tables_490100!C91,input_490100!A:H,8,FALSE),0))</f>
        <v>0</v>
      </c>
      <c r="P91" s="46">
        <f t="shared" ca="1" si="5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input_490100!A$2</f>
        <v>490100</v>
      </c>
      <c r="B92" s="5">
        <v>216</v>
      </c>
      <c r="C92" s="7" t="str">
        <f t="shared" si="4"/>
        <v>Premium5</v>
      </c>
      <c r="D92" s="7" t="str">
        <f t="shared" si="6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 t="str">
        <f t="shared" si="7"/>
        <v/>
      </c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IFERROR(VLOOKUP(B92,input_490100!L:R,7,FALSE),IFERROR(VLOOKUP(tables_490100!C92,input_490100!A:H,8,FALSE),0))</f>
        <v>0</v>
      </c>
      <c r="P92" s="46">
        <f t="shared" ca="1" si="5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input_490100!A$2</f>
        <v>490100</v>
      </c>
      <c r="B93" s="5">
        <v>217</v>
      </c>
      <c r="C93" s="7" t="str">
        <f t="shared" si="4"/>
        <v>Premium3</v>
      </c>
      <c r="D93" s="7" t="str">
        <f t="shared" si="6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 t="str">
        <f t="shared" si="7"/>
        <v/>
      </c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IFERROR(VLOOKUP(B93,input_490100!L:R,7,FALSE),IFERROR(VLOOKUP(tables_490100!C93,input_490100!A:H,8,FALSE),0))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input_490100!A$2</f>
        <v>490100</v>
      </c>
      <c r="B94" s="5">
        <v>218</v>
      </c>
      <c r="C94" s="7" t="str">
        <f t="shared" si="4"/>
        <v>Premium4</v>
      </c>
      <c r="D94" s="7" t="str">
        <f t="shared" si="6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 t="str">
        <f t="shared" si="7"/>
        <v/>
      </c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IFERROR(VLOOKUP(B94,input_490100!L:R,7,FALSE),IFERROR(VLOOKUP(tables_490100!C94,input_490100!A:H,8,FALSE),0))</f>
        <v>0</v>
      </c>
      <c r="P94" s="46">
        <f t="shared" ca="1" si="5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input_490100!A$2</f>
        <v>490100</v>
      </c>
      <c r="B95" s="5">
        <v>219</v>
      </c>
      <c r="C95" s="7" t="str">
        <f t="shared" si="4"/>
        <v>Premium5</v>
      </c>
      <c r="D95" s="7" t="str">
        <f t="shared" si="6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 t="str">
        <f t="shared" si="7"/>
        <v/>
      </c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IFERROR(VLOOKUP(B95,input_490100!L:R,7,FALSE),IFERROR(VLOOKUP(tables_490100!C95,input_490100!A:H,8,FALSE),0))</f>
        <v>0</v>
      </c>
      <c r="P95" s="46">
        <f t="shared" ca="1" si="5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input_490100!A$2</f>
        <v>490100</v>
      </c>
      <c r="B96" s="5">
        <v>220</v>
      </c>
      <c r="C96" s="7" t="str">
        <f t="shared" si="4"/>
        <v>Premium3</v>
      </c>
      <c r="D96" s="7" t="str">
        <f t="shared" si="6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 t="str">
        <f t="shared" si="7"/>
        <v/>
      </c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IFERROR(VLOOKUP(B96,input_490100!L:R,7,FALSE),IFERROR(VLOOKUP(tables_490100!C96,input_490100!A:H,8,FALSE),0))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input_490100!A$2</f>
        <v>490100</v>
      </c>
      <c r="B97" s="5">
        <v>221</v>
      </c>
      <c r="C97" s="7" t="str">
        <f t="shared" si="4"/>
        <v>Premium4</v>
      </c>
      <c r="D97" s="7" t="str">
        <f t="shared" si="6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 t="str">
        <f t="shared" si="7"/>
        <v/>
      </c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IFERROR(VLOOKUP(B97,input_490100!L:R,7,FALSE),IFERROR(VLOOKUP(tables_490100!C97,input_490100!A:H,8,FALSE),0))</f>
        <v>0</v>
      </c>
      <c r="P97" s="46">
        <f t="shared" ca="1" si="5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input_490100!A$2</f>
        <v>490100</v>
      </c>
      <c r="B98" s="5">
        <v>222</v>
      </c>
      <c r="C98" s="7" t="str">
        <f t="shared" si="4"/>
        <v>Premium5</v>
      </c>
      <c r="D98" s="7" t="str">
        <f t="shared" si="6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 t="str">
        <f t="shared" si="7"/>
        <v/>
      </c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IFERROR(VLOOKUP(B98,input_490100!L:R,7,FALSE),IFERROR(VLOOKUP(tables_490100!C98,input_490100!A:H,8,FALSE),0))</f>
        <v>0</v>
      </c>
      <c r="P98" s="46">
        <f t="shared" ca="1" si="5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input_490100!A$2</f>
        <v>490100</v>
      </c>
      <c r="B99" s="5">
        <v>223</v>
      </c>
      <c r="C99" s="7" t="str">
        <f t="shared" si="4"/>
        <v>Premium3color</v>
      </c>
      <c r="D99" s="7" t="str">
        <f t="shared" si="6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 t="str">
        <f t="shared" si="7"/>
        <v>color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IFERROR(VLOOKUP(B99,input_490100!L:R,7,FALSE),IFERROR(VLOOKUP(tables_490100!C99,input_490100!A:H,8,FALSE),0))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input_490100!A$2</f>
        <v>490100</v>
      </c>
      <c r="B100" s="5">
        <v>224</v>
      </c>
      <c r="C100" s="7" t="str">
        <f t="shared" si="4"/>
        <v>Premium4color</v>
      </c>
      <c r="D100" s="7" t="str">
        <f t="shared" si="6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 t="str">
        <f t="shared" si="7"/>
        <v>color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IFERROR(VLOOKUP(B100,input_490100!L:R,7,FALSE),IFERROR(VLOOKUP(tables_490100!C100,input_490100!A:H,8,FALSE),0))</f>
        <v>263625</v>
      </c>
      <c r="P100" s="46">
        <f t="shared" ca="1" si="5"/>
        <v>3.9943181818242336E-2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input_490100!A$2</f>
        <v>490100</v>
      </c>
      <c r="B101" s="5">
        <v>225</v>
      </c>
      <c r="C101" s="7" t="str">
        <f t="shared" si="4"/>
        <v>Premium5color</v>
      </c>
      <c r="D101" s="7" t="str">
        <f t="shared" si="6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 t="str">
        <f t="shared" si="7"/>
        <v>color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IFERROR(VLOOKUP(B101,input_490100!L:R,7,FALSE),IFERROR(VLOOKUP(tables_490100!C101,input_490100!A:H,8,FALSE),0))</f>
        <v>680.76922999999999</v>
      </c>
      <c r="P101" s="46">
        <f t="shared" ca="1" si="5"/>
        <v>1.031468530304593E-4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input_490100!A$2</f>
        <v>490100</v>
      </c>
      <c r="B102" s="5">
        <v>226</v>
      </c>
      <c r="C102" s="7" t="str">
        <f t="shared" si="4"/>
        <v>Premium3</v>
      </c>
      <c r="D102" s="7" t="str">
        <f t="shared" si="6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 t="str">
        <f t="shared" si="7"/>
        <v/>
      </c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IFERROR(VLOOKUP(B102,input_490100!L:R,7,FALSE),IFERROR(VLOOKUP(tables_490100!C102,input_490100!A:H,8,FALSE),0))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input_490100!A$2</f>
        <v>490100</v>
      </c>
      <c r="B103" s="5">
        <v>227</v>
      </c>
      <c r="C103" s="7" t="str">
        <f t="shared" si="4"/>
        <v>Premium4</v>
      </c>
      <c r="D103" s="7" t="str">
        <f t="shared" si="6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 t="str">
        <f t="shared" si="7"/>
        <v/>
      </c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IFERROR(VLOOKUP(B103,input_490100!L:R,7,FALSE),IFERROR(VLOOKUP(tables_490100!C103,input_490100!A:H,8,FALSE),0))</f>
        <v>0</v>
      </c>
      <c r="P103" s="46">
        <f t="shared" ca="1" si="5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input_490100!A$2</f>
        <v>490100</v>
      </c>
      <c r="B104" s="5">
        <v>228</v>
      </c>
      <c r="C104" s="7" t="str">
        <f t="shared" si="4"/>
        <v>Premium5</v>
      </c>
      <c r="D104" s="7" t="str">
        <f t="shared" si="6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 t="str">
        <f t="shared" si="7"/>
        <v/>
      </c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IFERROR(VLOOKUP(B104,input_490100!L:R,7,FALSE),IFERROR(VLOOKUP(tables_490100!C104,input_490100!A:H,8,FALSE),0))</f>
        <v>0</v>
      </c>
      <c r="P104" s="46">
        <f t="shared" ca="1" si="5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input_490100!A$2</f>
        <v>490100</v>
      </c>
      <c r="B105" s="5">
        <v>229</v>
      </c>
      <c r="C105" s="7" t="str">
        <f t="shared" si="4"/>
        <v>Premium3</v>
      </c>
      <c r="D105" s="7" t="str">
        <f t="shared" si="6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 t="str">
        <f t="shared" si="7"/>
        <v/>
      </c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IFERROR(VLOOKUP(B105,input_490100!L:R,7,FALSE),IFERROR(VLOOKUP(tables_490100!C105,input_490100!A:H,8,FALSE),0))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input_490100!A$2</f>
        <v>490100</v>
      </c>
      <c r="B106" s="5">
        <v>230</v>
      </c>
      <c r="C106" s="7" t="str">
        <f t="shared" si="4"/>
        <v>Premium4</v>
      </c>
      <c r="D106" s="7" t="str">
        <f t="shared" si="6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 t="str">
        <f t="shared" si="7"/>
        <v/>
      </c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IFERROR(VLOOKUP(B106,input_490100!L:R,7,FALSE),IFERROR(VLOOKUP(tables_490100!C106,input_490100!A:H,8,FALSE),0))</f>
        <v>0</v>
      </c>
      <c r="P106" s="46">
        <f t="shared" ca="1" si="5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input_490100!A$2</f>
        <v>490100</v>
      </c>
      <c r="B107" s="5">
        <v>231</v>
      </c>
      <c r="C107" s="7" t="str">
        <f t="shared" si="4"/>
        <v>Premium5</v>
      </c>
      <c r="D107" s="7" t="str">
        <f t="shared" si="6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 t="str">
        <f t="shared" si="7"/>
        <v/>
      </c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IFERROR(VLOOKUP(B107,input_490100!L:R,7,FALSE),IFERROR(VLOOKUP(tables_490100!C107,input_490100!A:H,8,FALSE),0))</f>
        <v>0</v>
      </c>
      <c r="P107" s="46">
        <f t="shared" ca="1" si="5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input_490100!A$2</f>
        <v>490100</v>
      </c>
      <c r="B108" s="5">
        <v>232</v>
      </c>
      <c r="C108" s="7" t="str">
        <f t="shared" si="4"/>
        <v>Premium3</v>
      </c>
      <c r="D108" s="7" t="str">
        <f t="shared" si="6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 t="str">
        <f t="shared" si="7"/>
        <v/>
      </c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IFERROR(VLOOKUP(B108,input_490100!L:R,7,FALSE),IFERROR(VLOOKUP(tables_490100!C108,input_490100!A:H,8,FALSE),0))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input_490100!A$2</f>
        <v>490100</v>
      </c>
      <c r="B109" s="5">
        <v>233</v>
      </c>
      <c r="C109" s="7" t="str">
        <f t="shared" si="4"/>
        <v>Premium4</v>
      </c>
      <c r="D109" s="7" t="str">
        <f t="shared" si="6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 t="str">
        <f t="shared" si="7"/>
        <v/>
      </c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IFERROR(VLOOKUP(B109,input_490100!L:R,7,FALSE),IFERROR(VLOOKUP(tables_490100!C109,input_490100!A:H,8,FALSE),0))</f>
        <v>0</v>
      </c>
      <c r="P109" s="46">
        <f t="shared" ca="1" si="5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input_490100!A$2</f>
        <v>490100</v>
      </c>
      <c r="B110" s="5">
        <v>234</v>
      </c>
      <c r="C110" s="7" t="str">
        <f t="shared" si="4"/>
        <v>Premium5</v>
      </c>
      <c r="D110" s="7" t="str">
        <f t="shared" si="6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 t="str">
        <f t="shared" si="7"/>
        <v/>
      </c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IFERROR(VLOOKUP(B110,input_490100!L:R,7,FALSE),IFERROR(VLOOKUP(tables_490100!C110,input_490100!A:H,8,FALSE),0))</f>
        <v>0</v>
      </c>
      <c r="P110" s="46">
        <f t="shared" ca="1" si="5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input_490100!A$2</f>
        <v>490100</v>
      </c>
      <c r="B111" s="5">
        <v>235</v>
      </c>
      <c r="C111" s="7" t="str">
        <f t="shared" si="4"/>
        <v>Premium3R6releasecolor</v>
      </c>
      <c r="D111" s="7" t="str">
        <f t="shared" si="6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 t="str">
        <f t="shared" si="7"/>
        <v>color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IFERROR(VLOOKUP(B111,input_490100!L:R,7,FALSE),IFERROR(VLOOKUP(tables_490100!C111,input_490100!A:H,8,FALSE),0))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input_490100!A$2</f>
        <v>490100</v>
      </c>
      <c r="B112" s="5">
        <v>236</v>
      </c>
      <c r="C112" s="7" t="str">
        <f t="shared" si="4"/>
        <v>Premium4R6releasecolor</v>
      </c>
      <c r="D112" s="7" t="str">
        <f t="shared" si="6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 t="str">
        <f t="shared" si="7"/>
        <v>color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IFERROR(VLOOKUP(B112,input_490100!L:R,7,FALSE),IFERROR(VLOOKUP(tables_490100!C112,input_490100!A:H,8,FALSE),0))</f>
        <v>263625</v>
      </c>
      <c r="P112" s="46">
        <f t="shared" ca="1" si="5"/>
        <v>3.9943181818242336E-2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input_490100!A$2</f>
        <v>490100</v>
      </c>
      <c r="B113" s="5">
        <v>237</v>
      </c>
      <c r="C113" s="7" t="str">
        <f t="shared" si="4"/>
        <v>Premium5R6releasecolor</v>
      </c>
      <c r="D113" s="7" t="str">
        <f t="shared" si="6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 t="str">
        <f t="shared" si="7"/>
        <v>color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IFERROR(VLOOKUP(B113,input_490100!L:R,7,FALSE),IFERROR(VLOOKUP(tables_490100!C113,input_490100!A:H,8,FALSE),0))</f>
        <v>13875</v>
      </c>
      <c r="P113" s="46">
        <f t="shared" ca="1" si="5"/>
        <v>2.1022727272759123E-3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input_490100!A$2</f>
        <v>490100</v>
      </c>
      <c r="B114" s="5">
        <v>238</v>
      </c>
      <c r="C114" s="7" t="str">
        <f t="shared" si="4"/>
        <v>Premium3</v>
      </c>
      <c r="D114" s="7" t="str">
        <f t="shared" si="6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 t="str">
        <f t="shared" si="7"/>
        <v/>
      </c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IFERROR(VLOOKUP(B114,input_490100!L:R,7,FALSE),IFERROR(VLOOKUP(tables_490100!C114,input_490100!A:H,8,FALSE),0))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input_490100!A$2</f>
        <v>490100</v>
      </c>
      <c r="B115" s="5">
        <v>239</v>
      </c>
      <c r="C115" s="7" t="str">
        <f t="shared" si="4"/>
        <v>Premium4</v>
      </c>
      <c r="D115" s="7" t="str">
        <f t="shared" si="6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 t="str">
        <f t="shared" si="7"/>
        <v/>
      </c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IFERROR(VLOOKUP(B115,input_490100!L:R,7,FALSE),IFERROR(VLOOKUP(tables_490100!C115,input_490100!A:H,8,FALSE),0))</f>
        <v>0</v>
      </c>
      <c r="P115" s="46">
        <f t="shared" ca="1" si="5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input_490100!A$2</f>
        <v>490100</v>
      </c>
      <c r="B116" s="5">
        <v>240</v>
      </c>
      <c r="C116" s="7" t="str">
        <f t="shared" si="4"/>
        <v>Premium5</v>
      </c>
      <c r="D116" s="7" t="str">
        <f t="shared" si="6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 t="str">
        <f t="shared" si="7"/>
        <v/>
      </c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IFERROR(VLOOKUP(B116,input_490100!L:R,7,FALSE),IFERROR(VLOOKUP(tables_490100!C116,input_490100!A:H,8,FALSE),0))</f>
        <v>0</v>
      </c>
      <c r="P116" s="46">
        <f t="shared" ca="1" si="5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input_490100!A$2</f>
        <v>490100</v>
      </c>
      <c r="B117" s="5">
        <v>241</v>
      </c>
      <c r="C117" s="7" t="str">
        <f t="shared" si="4"/>
        <v>Premium3</v>
      </c>
      <c r="D117" s="7" t="str">
        <f t="shared" si="6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 t="str">
        <f t="shared" si="7"/>
        <v/>
      </c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IFERROR(VLOOKUP(B117,input_490100!L:R,7,FALSE),IFERROR(VLOOKUP(tables_490100!C117,input_490100!A:H,8,FALSE),0))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input_490100!A$2</f>
        <v>490100</v>
      </c>
      <c r="B118" s="5">
        <v>242</v>
      </c>
      <c r="C118" s="7" t="str">
        <f t="shared" si="4"/>
        <v>Premium4</v>
      </c>
      <c r="D118" s="7" t="str">
        <f t="shared" si="6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 t="str">
        <f t="shared" si="7"/>
        <v/>
      </c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IFERROR(VLOOKUP(B118,input_490100!L:R,7,FALSE),IFERROR(VLOOKUP(tables_490100!C118,input_490100!A:H,8,FALSE),0))</f>
        <v>0</v>
      </c>
      <c r="P118" s="46">
        <f t="shared" ca="1" si="5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input_490100!A$2</f>
        <v>490100</v>
      </c>
      <c r="B119" s="5">
        <v>243</v>
      </c>
      <c r="C119" s="7" t="str">
        <f t="shared" si="4"/>
        <v>Premium5</v>
      </c>
      <c r="D119" s="7" t="str">
        <f t="shared" si="6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 t="str">
        <f t="shared" si="7"/>
        <v/>
      </c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IFERROR(VLOOKUP(B119,input_490100!L:R,7,FALSE),IFERROR(VLOOKUP(tables_490100!C119,input_490100!A:H,8,FALSE),0))</f>
        <v>0</v>
      </c>
      <c r="P119" s="46">
        <f t="shared" ca="1" si="5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input_490100!A$2</f>
        <v>490100</v>
      </c>
      <c r="B120" s="5">
        <v>244</v>
      </c>
      <c r="C120" s="7" t="str">
        <f t="shared" si="4"/>
        <v>Premium3</v>
      </c>
      <c r="D120" s="7" t="str">
        <f t="shared" si="6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 t="str">
        <f t="shared" si="7"/>
        <v/>
      </c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IFERROR(VLOOKUP(B120,input_490100!L:R,7,FALSE),IFERROR(VLOOKUP(tables_490100!C120,input_490100!A:H,8,FALSE),0))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input_490100!A$2</f>
        <v>490100</v>
      </c>
      <c r="B121" s="5">
        <v>245</v>
      </c>
      <c r="C121" s="7" t="str">
        <f t="shared" si="4"/>
        <v>Premium4</v>
      </c>
      <c r="D121" s="7" t="str">
        <f t="shared" si="6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 t="str">
        <f t="shared" si="7"/>
        <v/>
      </c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IFERROR(VLOOKUP(B121,input_490100!L:R,7,FALSE),IFERROR(VLOOKUP(tables_490100!C121,input_490100!A:H,8,FALSE),0))</f>
        <v>0</v>
      </c>
      <c r="P121" s="46">
        <f t="shared" ca="1" si="5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input_490100!A$2</f>
        <v>490100</v>
      </c>
      <c r="B122" s="5">
        <v>246</v>
      </c>
      <c r="C122" s="7" t="str">
        <f t="shared" si="4"/>
        <v>Premium5</v>
      </c>
      <c r="D122" s="7" t="str">
        <f t="shared" si="6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 t="str">
        <f t="shared" si="7"/>
        <v/>
      </c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IFERROR(VLOOKUP(B122,input_490100!L:R,7,FALSE),IFERROR(VLOOKUP(tables_490100!C122,input_490100!A:H,8,FALSE),0))</f>
        <v>0</v>
      </c>
      <c r="P122" s="46">
        <f t="shared" ca="1" si="5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input_490100!A$2</f>
        <v>490100</v>
      </c>
      <c r="B123" s="5">
        <v>247</v>
      </c>
      <c r="C123" s="7" t="str">
        <f t="shared" si="4"/>
        <v>Premium3color</v>
      </c>
      <c r="D123" s="7" t="str">
        <f t="shared" si="6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 t="str">
        <f t="shared" si="7"/>
        <v>color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IFERROR(VLOOKUP(B123,input_490100!L:R,7,FALSE),IFERROR(VLOOKUP(tables_490100!C123,input_490100!A:H,8,FALSE),0))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input_490100!A$2</f>
        <v>490100</v>
      </c>
      <c r="B124" s="5">
        <v>248</v>
      </c>
      <c r="C124" s="7" t="str">
        <f t="shared" si="4"/>
        <v>Premium4color</v>
      </c>
      <c r="D124" s="7" t="str">
        <f t="shared" si="6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 t="str">
        <f t="shared" si="7"/>
        <v>color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IFERROR(VLOOKUP(B124,input_490100!L:R,7,FALSE),IFERROR(VLOOKUP(tables_490100!C124,input_490100!A:H,8,FALSE),0))</f>
        <v>263625</v>
      </c>
      <c r="P124" s="46">
        <f t="shared" ca="1" si="5"/>
        <v>3.9943181818242336E-2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input_490100!A$2</f>
        <v>490100</v>
      </c>
      <c r="B125" s="6">
        <v>249</v>
      </c>
      <c r="C125" s="7" t="str">
        <f t="shared" si="4"/>
        <v>Premium5color</v>
      </c>
      <c r="D125" s="7" t="str">
        <f t="shared" si="6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 t="str">
        <f t="shared" si="7"/>
        <v>color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IFERROR(VLOOKUP(B125,input_490100!L:R,7,FALSE),IFERROR(VLOOKUP(tables_490100!C125,input_490100!A:H,8,FALSE),0))</f>
        <v>680.76922999999999</v>
      </c>
      <c r="P125" s="46">
        <f t="shared" ca="1" si="5"/>
        <v>1.031468530304593E-4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input_490100!A$2</f>
        <v>490100</v>
      </c>
      <c r="B126" s="6">
        <v>250</v>
      </c>
      <c r="C126" s="7" t="str">
        <f t="shared" si="4"/>
        <v>Premium3</v>
      </c>
      <c r="D126" s="7" t="str">
        <f t="shared" si="6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 t="str">
        <f t="shared" si="7"/>
        <v/>
      </c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IFERROR(VLOOKUP(B126,input_490100!L:R,7,FALSE),IFERROR(VLOOKUP(tables_490100!C126,input_490100!A:H,8,FALSE),0))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input_490100!A$2</f>
        <v>490100</v>
      </c>
      <c r="B127" s="6">
        <v>251</v>
      </c>
      <c r="C127" s="7" t="str">
        <f t="shared" si="4"/>
        <v>Premium4</v>
      </c>
      <c r="D127" s="7" t="str">
        <f t="shared" si="6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 t="str">
        <f t="shared" si="7"/>
        <v/>
      </c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IFERROR(VLOOKUP(B127,input_490100!L:R,7,FALSE),IFERROR(VLOOKUP(tables_490100!C127,input_490100!A:H,8,FALSE),0))</f>
        <v>0</v>
      </c>
      <c r="P127" s="46">
        <f t="shared" ca="1" si="5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input_490100!A$2</f>
        <v>490100</v>
      </c>
      <c r="B128" s="6">
        <v>252</v>
      </c>
      <c r="C128" s="7" t="str">
        <f t="shared" si="4"/>
        <v>Premium5</v>
      </c>
      <c r="D128" s="7" t="str">
        <f t="shared" si="6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 t="str">
        <f t="shared" si="7"/>
        <v/>
      </c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IFERROR(VLOOKUP(B128,input_490100!L:R,7,FALSE),IFERROR(VLOOKUP(tables_490100!C128,input_490100!A:H,8,FALSE),0))</f>
        <v>0</v>
      </c>
      <c r="P128" s="46">
        <f t="shared" ca="1" si="5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input_490100!A$2</f>
        <v>490100</v>
      </c>
      <c r="B129" s="6">
        <v>253</v>
      </c>
      <c r="C129" s="7" t="str">
        <f t="shared" si="4"/>
        <v>Premium3</v>
      </c>
      <c r="D129" s="7" t="str">
        <f t="shared" si="6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 t="str">
        <f t="shared" si="7"/>
        <v/>
      </c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IFERROR(VLOOKUP(B129,input_490100!L:R,7,FALSE),IFERROR(VLOOKUP(tables_490100!C129,input_490100!A:H,8,FALSE),0))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input_490100!A$2</f>
        <v>490100</v>
      </c>
      <c r="B130" s="6">
        <v>254</v>
      </c>
      <c r="C130" s="7" t="str">
        <f t="shared" ref="C130:C193" si="8">D130&amp;J130&amp;E130&amp;F130&amp;G130</f>
        <v>Premium4</v>
      </c>
      <c r="D130" s="7" t="str">
        <f t="shared" si="6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 t="str">
        <f t="shared" si="7"/>
        <v/>
      </c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IFERROR(VLOOKUP(B130,input_490100!L:R,7,FALSE),IFERROR(VLOOKUP(tables_490100!C130,input_490100!A:H,8,FALSE),0))</f>
        <v>0</v>
      </c>
      <c r="P130" s="46">
        <f t="shared" ref="P130:P193" ca="1" si="9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input_490100!A$2</f>
        <v>490100</v>
      </c>
      <c r="B131" s="6">
        <v>255</v>
      </c>
      <c r="C131" s="7" t="str">
        <f t="shared" si="8"/>
        <v>Premium5</v>
      </c>
      <c r="D131" s="7" t="str">
        <f t="shared" ref="D131:D194" si="10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 t="str">
        <f t="shared" ref="G131:G194" si="11">IF(K131="yellow","color","")</f>
        <v/>
      </c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IFERROR(VLOOKUP(B131,input_490100!L:R,7,FALSE),IFERROR(VLOOKUP(tables_490100!C131,input_490100!A:H,8,FALSE),0))</f>
        <v>0</v>
      </c>
      <c r="P131" s="46">
        <f t="shared" ca="1" si="9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input_490100!A$2</f>
        <v>490100</v>
      </c>
      <c r="B132" s="6">
        <v>256</v>
      </c>
      <c r="C132" s="7" t="str">
        <f t="shared" si="8"/>
        <v>Premium3</v>
      </c>
      <c r="D132" s="7" t="str">
        <f t="shared" si="10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 t="str">
        <f t="shared" si="11"/>
        <v/>
      </c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IFERROR(VLOOKUP(B132,input_490100!L:R,7,FALSE),IFERROR(VLOOKUP(tables_490100!C132,input_490100!A:H,8,FALSE),0))</f>
        <v>0</v>
      </c>
      <c r="P132" s="46">
        <f t="shared" ca="1" si="9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input_490100!A$2</f>
        <v>490100</v>
      </c>
      <c r="B133" s="6">
        <v>257</v>
      </c>
      <c r="C133" s="7" t="str">
        <f t="shared" si="8"/>
        <v>Premium4</v>
      </c>
      <c r="D133" s="7" t="str">
        <f t="shared" si="10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 t="str">
        <f t="shared" si="11"/>
        <v/>
      </c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IFERROR(VLOOKUP(B133,input_490100!L:R,7,FALSE),IFERROR(VLOOKUP(tables_490100!C133,input_490100!A:H,8,FALSE),0))</f>
        <v>0</v>
      </c>
      <c r="P133" s="46">
        <f t="shared" ca="1" si="9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input_490100!A$2</f>
        <v>490100</v>
      </c>
      <c r="B134" s="6">
        <v>258</v>
      </c>
      <c r="C134" s="7" t="str">
        <f t="shared" si="8"/>
        <v>Premium5</v>
      </c>
      <c r="D134" s="7" t="str">
        <f t="shared" si="10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 t="str">
        <f t="shared" si="11"/>
        <v/>
      </c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IFERROR(VLOOKUP(B134,input_490100!L:R,7,FALSE),IFERROR(VLOOKUP(tables_490100!C134,input_490100!A:H,8,FALSE),0))</f>
        <v>0</v>
      </c>
      <c r="P134" s="46">
        <f t="shared" ca="1" si="9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input_490100!A$2</f>
        <v>490100</v>
      </c>
      <c r="B135" s="6">
        <v>259</v>
      </c>
      <c r="C135" s="7" t="str">
        <f t="shared" si="8"/>
        <v>Premium3color</v>
      </c>
      <c r="D135" s="7" t="str">
        <f t="shared" si="10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 t="str">
        <f t="shared" si="11"/>
        <v>color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IFERROR(VLOOKUP(B135,input_490100!L:R,7,FALSE),IFERROR(VLOOKUP(tables_490100!C135,input_490100!A:H,8,FALSE),0))</f>
        <v>0</v>
      </c>
      <c r="P135" s="46">
        <f t="shared" ca="1" si="9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input_490100!A$2</f>
        <v>490100</v>
      </c>
      <c r="B136" s="8">
        <v>260</v>
      </c>
      <c r="C136" s="7" t="str">
        <f t="shared" si="8"/>
        <v>Premium4color</v>
      </c>
      <c r="D136" s="7" t="str">
        <f t="shared" si="10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 t="str">
        <f t="shared" si="11"/>
        <v>color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IFERROR(VLOOKUP(B136,input_490100!L:R,7,FALSE),IFERROR(VLOOKUP(tables_490100!C136,input_490100!A:H,8,FALSE),0))</f>
        <v>263625</v>
      </c>
      <c r="P136" s="46">
        <f t="shared" ca="1" si="9"/>
        <v>3.9943181818242336E-2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input_490100!A$2</f>
        <v>490100</v>
      </c>
      <c r="B137" s="8">
        <v>261</v>
      </c>
      <c r="C137" s="7" t="str">
        <f t="shared" si="8"/>
        <v>Premium5color</v>
      </c>
      <c r="D137" s="7" t="str">
        <f t="shared" si="10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 t="str">
        <f t="shared" si="11"/>
        <v>color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IFERROR(VLOOKUP(B137,input_490100!L:R,7,FALSE),IFERROR(VLOOKUP(tables_490100!C137,input_490100!A:H,8,FALSE),0))</f>
        <v>680.76922999999999</v>
      </c>
      <c r="P137" s="46">
        <f t="shared" ca="1" si="9"/>
        <v>1.031468530304593E-4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input_490100!A$2</f>
        <v>490100</v>
      </c>
      <c r="B138" s="6">
        <v>320</v>
      </c>
      <c r="C138" s="7" t="str">
        <f t="shared" si="8"/>
        <v>PremiumSS4</v>
      </c>
      <c r="D138" s="7" t="str">
        <f t="shared" si="10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 t="str">
        <f t="shared" si="11"/>
        <v/>
      </c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IFERROR(VLOOKUP(B138,input_490100!L:R,7,FALSE),IFERROR(VLOOKUP(tables_490100!C138,input_490100!A:H,8,FALSE),0))</f>
        <v>0</v>
      </c>
      <c r="P138" s="46">
        <f t="shared" ca="1" si="9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input_490100!A$2</f>
        <v>490100</v>
      </c>
      <c r="B139" s="6">
        <v>321</v>
      </c>
      <c r="C139" s="7" t="str">
        <f t="shared" si="8"/>
        <v>PremiumSS5</v>
      </c>
      <c r="D139" s="7" t="str">
        <f t="shared" si="10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 t="str">
        <f t="shared" si="11"/>
        <v/>
      </c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IFERROR(VLOOKUP(B139,input_490100!L:R,7,FALSE),IFERROR(VLOOKUP(tables_490100!C139,input_490100!A:H,8,FALSE),0))</f>
        <v>0</v>
      </c>
      <c r="P139" s="46">
        <f t="shared" ca="1" si="9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input_490100!A$2</f>
        <v>490100</v>
      </c>
      <c r="B140" s="6">
        <v>322</v>
      </c>
      <c r="C140" s="7" t="str">
        <f t="shared" si="8"/>
        <v>PremiumSS4</v>
      </c>
      <c r="D140" s="7" t="str">
        <f t="shared" si="10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 t="str">
        <f t="shared" si="11"/>
        <v/>
      </c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IFERROR(VLOOKUP(B140,input_490100!L:R,7,FALSE),IFERROR(VLOOKUP(tables_490100!C140,input_490100!A:H,8,FALSE),0))</f>
        <v>0</v>
      </c>
      <c r="P140" s="46">
        <f t="shared" ca="1" si="9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input_490100!A$2</f>
        <v>490100</v>
      </c>
      <c r="B141" s="6">
        <v>323</v>
      </c>
      <c r="C141" s="7" t="str">
        <f t="shared" si="8"/>
        <v>PremiumSS5</v>
      </c>
      <c r="D141" s="7" t="str">
        <f t="shared" si="10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 t="str">
        <f t="shared" si="11"/>
        <v/>
      </c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IFERROR(VLOOKUP(B141,input_490100!L:R,7,FALSE),IFERROR(VLOOKUP(tables_490100!C141,input_490100!A:H,8,FALSE),0))</f>
        <v>0</v>
      </c>
      <c r="P141" s="46">
        <f t="shared" ca="1" si="9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input_490100!A$2</f>
        <v>490100</v>
      </c>
      <c r="B142" s="6">
        <v>324</v>
      </c>
      <c r="C142" s="7" t="str">
        <f t="shared" si="8"/>
        <v>PremiumSS4</v>
      </c>
      <c r="D142" s="7" t="str">
        <f t="shared" si="10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 t="str">
        <f t="shared" si="11"/>
        <v/>
      </c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IFERROR(VLOOKUP(B142,input_490100!L:R,7,FALSE),IFERROR(VLOOKUP(tables_490100!C142,input_490100!A:H,8,FALSE),0))</f>
        <v>0</v>
      </c>
      <c r="P142" s="46">
        <f t="shared" ca="1" si="9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input_490100!A$2</f>
        <v>490100</v>
      </c>
      <c r="B143" s="6">
        <v>325</v>
      </c>
      <c r="C143" s="7" t="str">
        <f t="shared" si="8"/>
        <v>PremiumSS5</v>
      </c>
      <c r="D143" s="7" t="str">
        <f t="shared" si="10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 t="str">
        <f t="shared" si="11"/>
        <v/>
      </c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IFERROR(VLOOKUP(B143,input_490100!L:R,7,FALSE),IFERROR(VLOOKUP(tables_490100!C143,input_490100!A:H,8,FALSE),0))</f>
        <v>0</v>
      </c>
      <c r="P143" s="46">
        <f t="shared" ca="1" si="9"/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input_490100!A$2</f>
        <v>490100</v>
      </c>
      <c r="B144" s="6">
        <v>326</v>
      </c>
      <c r="C144" s="7" t="str">
        <f t="shared" si="8"/>
        <v>PremiumSS4color</v>
      </c>
      <c r="D144" s="7" t="str">
        <f t="shared" si="10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 t="str">
        <f t="shared" si="11"/>
        <v>color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IFERROR(VLOOKUP(B144,input_490100!L:R,7,FALSE),IFERROR(VLOOKUP(tables_490100!C144,input_490100!A:H,8,FALSE),0))</f>
        <v>6270</v>
      </c>
      <c r="P144" s="46">
        <f t="shared" ca="1" si="9"/>
        <v>9.5000000000143938E-4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input_490100!A$2</f>
        <v>490100</v>
      </c>
      <c r="B145" s="6">
        <v>327</v>
      </c>
      <c r="C145" s="7" t="str">
        <f t="shared" si="8"/>
        <v>PremiumSS5color</v>
      </c>
      <c r="D145" s="7" t="str">
        <f t="shared" si="10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 t="str">
        <f t="shared" si="11"/>
        <v>color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IFERROR(VLOOKUP(B145,input_490100!L:R,7,FALSE),IFERROR(VLOOKUP(tables_490100!C145,input_490100!A:H,8,FALSE),0))</f>
        <v>330</v>
      </c>
      <c r="P145" s="46">
        <f t="shared" ca="1" si="9"/>
        <v>5.0000000000075754E-5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input_490100!A$2</f>
        <v>490100</v>
      </c>
      <c r="B146" s="6">
        <v>380</v>
      </c>
      <c r="C146" s="7" t="str">
        <f t="shared" si="8"/>
        <v>Premium3</v>
      </c>
      <c r="D146" s="7" t="str">
        <f t="shared" si="10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 t="str">
        <f t="shared" si="11"/>
        <v/>
      </c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IFERROR(VLOOKUP(B146,input_490100!L:R,7,FALSE),IFERROR(VLOOKUP(tables_490100!C146,input_490100!A:H,8,FALSE),0))</f>
        <v>0</v>
      </c>
      <c r="P146" s="46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input_490100!A$2</f>
        <v>490100</v>
      </c>
      <c r="B147" s="6">
        <v>381</v>
      </c>
      <c r="C147" s="7" t="str">
        <f t="shared" si="8"/>
        <v>Premium4</v>
      </c>
      <c r="D147" s="7" t="str">
        <f t="shared" si="10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 t="str">
        <f t="shared" si="11"/>
        <v/>
      </c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IFERROR(VLOOKUP(B147,input_490100!L:R,7,FALSE),IFERROR(VLOOKUP(tables_490100!C147,input_490100!A:H,8,FALSE),0))</f>
        <v>0</v>
      </c>
      <c r="P147" s="46">
        <f t="shared" ca="1" si="9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input_490100!A$2</f>
        <v>490100</v>
      </c>
      <c r="B148" s="6">
        <v>382</v>
      </c>
      <c r="C148" s="7" t="str">
        <f t="shared" si="8"/>
        <v>Premium5</v>
      </c>
      <c r="D148" s="7" t="str">
        <f t="shared" si="10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 t="str">
        <f t="shared" si="11"/>
        <v/>
      </c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IFERROR(VLOOKUP(B148,input_490100!L:R,7,FALSE),IFERROR(VLOOKUP(tables_490100!C148,input_490100!A:H,8,FALSE),0))</f>
        <v>0</v>
      </c>
      <c r="P148" s="46">
        <f t="shared" ca="1" si="9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input_490100!A$2</f>
        <v>490100</v>
      </c>
      <c r="B149" s="6">
        <v>383</v>
      </c>
      <c r="C149" s="7" t="str">
        <f t="shared" si="8"/>
        <v>PremiumSS4</v>
      </c>
      <c r="D149" s="7" t="str">
        <f t="shared" si="10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 t="str">
        <f t="shared" si="11"/>
        <v/>
      </c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IFERROR(VLOOKUP(B149,input_490100!L:R,7,FALSE),IFERROR(VLOOKUP(tables_490100!C149,input_490100!A:H,8,FALSE),0))</f>
        <v>0</v>
      </c>
      <c r="P149" s="46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input_490100!A$2</f>
        <v>490100</v>
      </c>
      <c r="B150" s="6">
        <v>384</v>
      </c>
      <c r="C150" s="7" t="str">
        <f t="shared" si="8"/>
        <v>PremiumSS5</v>
      </c>
      <c r="D150" s="7" t="str">
        <f t="shared" si="10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 t="str">
        <f t="shared" si="11"/>
        <v/>
      </c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IFERROR(VLOOKUP(B150,input_490100!L:R,7,FALSE),IFERROR(VLOOKUP(tables_490100!C150,input_490100!A:H,8,FALSE),0))</f>
        <v>0</v>
      </c>
      <c r="P150" s="46">
        <f t="shared" ca="1" si="9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input_490100!A$2</f>
        <v>490100</v>
      </c>
      <c r="B151" s="6">
        <v>385</v>
      </c>
      <c r="C151" s="7" t="str">
        <f t="shared" si="8"/>
        <v>PremiumSS4</v>
      </c>
      <c r="D151" s="7" t="str">
        <f t="shared" si="10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 t="str">
        <f t="shared" si="11"/>
        <v/>
      </c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IFERROR(VLOOKUP(B151,input_490100!L:R,7,FALSE),IFERROR(VLOOKUP(tables_490100!C151,input_490100!A:H,8,FALSE),0))</f>
        <v>0</v>
      </c>
      <c r="P151" s="46">
        <f t="shared" ca="1" si="9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input_490100!A$2</f>
        <v>490100</v>
      </c>
      <c r="B152" s="6">
        <v>386</v>
      </c>
      <c r="C152" s="7" t="str">
        <f t="shared" si="8"/>
        <v>PremiumSS5</v>
      </c>
      <c r="D152" s="7" t="str">
        <f t="shared" si="10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 t="str">
        <f t="shared" si="11"/>
        <v/>
      </c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IFERROR(VLOOKUP(B152,input_490100!L:R,7,FALSE),IFERROR(VLOOKUP(tables_490100!C152,input_490100!A:H,8,FALSE),0))</f>
        <v>0</v>
      </c>
      <c r="P152" s="46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input_490100!A$2</f>
        <v>490100</v>
      </c>
      <c r="B153" s="6">
        <v>387</v>
      </c>
      <c r="C153" s="7" t="str">
        <f t="shared" si="8"/>
        <v>Premium3color</v>
      </c>
      <c r="D153" s="7" t="str">
        <f t="shared" si="10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 t="str">
        <f t="shared" si="11"/>
        <v>color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IFERROR(VLOOKUP(B153,input_490100!L:R,7,FALSE),IFERROR(VLOOKUP(tables_490100!C153,input_490100!A:H,8,FALSE),0))</f>
        <v>0</v>
      </c>
      <c r="P153" s="46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input_490100!A$2</f>
        <v>490100</v>
      </c>
      <c r="B154" s="6">
        <v>388</v>
      </c>
      <c r="C154" s="7" t="str">
        <f t="shared" si="8"/>
        <v>Premium4color</v>
      </c>
      <c r="D154" s="7" t="str">
        <f t="shared" si="10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 t="str">
        <f t="shared" si="11"/>
        <v>color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IFERROR(VLOOKUP(B154,input_490100!L:R,7,FALSE),IFERROR(VLOOKUP(tables_490100!C154,input_490100!A:H,8,FALSE),0))</f>
        <v>263625</v>
      </c>
      <c r="P154" s="46">
        <f t="shared" ca="1" si="9"/>
        <v>3.9943181818242336E-2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input_490100!A$2</f>
        <v>490100</v>
      </c>
      <c r="B155" s="6">
        <v>389</v>
      </c>
      <c r="C155" s="7" t="str">
        <f t="shared" si="8"/>
        <v>Premium5color</v>
      </c>
      <c r="D155" s="7" t="str">
        <f t="shared" si="10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 t="str">
        <f t="shared" si="11"/>
        <v>color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IFERROR(VLOOKUP(B155,input_490100!L:R,7,FALSE),IFERROR(VLOOKUP(tables_490100!C155,input_490100!A:H,8,FALSE),0))</f>
        <v>680.76922999999999</v>
      </c>
      <c r="P155" s="46">
        <f t="shared" ca="1" si="9"/>
        <v>1.031468530304593E-4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input_490100!A$2</f>
        <v>490100</v>
      </c>
      <c r="B156" s="6">
        <v>390</v>
      </c>
      <c r="C156" s="7" t="str">
        <f t="shared" si="8"/>
        <v>PremiumSS4</v>
      </c>
      <c r="D156" s="7" t="str">
        <f t="shared" si="10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 t="str">
        <f t="shared" si="11"/>
        <v/>
      </c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IFERROR(VLOOKUP(B156,input_490100!L:R,7,FALSE),IFERROR(VLOOKUP(tables_490100!C156,input_490100!A:H,8,FALSE),0))</f>
        <v>0</v>
      </c>
      <c r="P156" s="46">
        <f t="shared" ca="1" si="9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input_490100!A$2</f>
        <v>490100</v>
      </c>
      <c r="B157" s="6">
        <v>391</v>
      </c>
      <c r="C157" s="7" t="str">
        <f t="shared" si="8"/>
        <v>PremiumSS5</v>
      </c>
      <c r="D157" s="7" t="str">
        <f t="shared" si="10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 t="str">
        <f t="shared" si="11"/>
        <v/>
      </c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IFERROR(VLOOKUP(B157,input_490100!L:R,7,FALSE),IFERROR(VLOOKUP(tables_490100!C157,input_490100!A:H,8,FALSE),0))</f>
        <v>0</v>
      </c>
      <c r="P157" s="46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input_490100!A$2</f>
        <v>490100</v>
      </c>
      <c r="B158" s="6">
        <v>392</v>
      </c>
      <c r="C158" s="7" t="str">
        <f t="shared" si="8"/>
        <v>Premium3</v>
      </c>
      <c r="D158" s="7" t="str">
        <f t="shared" si="10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 t="str">
        <f t="shared" si="11"/>
        <v/>
      </c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IFERROR(VLOOKUP(B158,input_490100!L:R,7,FALSE),IFERROR(VLOOKUP(tables_490100!C158,input_490100!A:H,8,FALSE),0))</f>
        <v>0</v>
      </c>
      <c r="P158" s="46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input_490100!A$2</f>
        <v>490100</v>
      </c>
      <c r="B159" s="6">
        <v>393</v>
      </c>
      <c r="C159" s="7" t="str">
        <f t="shared" si="8"/>
        <v>Premium4</v>
      </c>
      <c r="D159" s="7" t="str">
        <f t="shared" si="10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 t="str">
        <f t="shared" si="11"/>
        <v/>
      </c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IFERROR(VLOOKUP(B159,input_490100!L:R,7,FALSE),IFERROR(VLOOKUP(tables_490100!C159,input_490100!A:H,8,FALSE),0))</f>
        <v>0</v>
      </c>
      <c r="P159" s="46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input_490100!A$2</f>
        <v>490100</v>
      </c>
      <c r="B160" s="6">
        <v>394</v>
      </c>
      <c r="C160" s="7" t="str">
        <f t="shared" si="8"/>
        <v>Premium5</v>
      </c>
      <c r="D160" s="7" t="str">
        <f t="shared" si="10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 t="str">
        <f t="shared" si="11"/>
        <v/>
      </c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IFERROR(VLOOKUP(B160,input_490100!L:R,7,FALSE),IFERROR(VLOOKUP(tables_490100!C160,input_490100!A:H,8,FALSE),0))</f>
        <v>0</v>
      </c>
      <c r="P160" s="46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input_490100!A$2</f>
        <v>490100</v>
      </c>
      <c r="B161" s="6">
        <v>395</v>
      </c>
      <c r="C161" s="7" t="str">
        <f t="shared" si="8"/>
        <v>Premium3</v>
      </c>
      <c r="D161" s="7" t="str">
        <f t="shared" si="10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 t="str">
        <f t="shared" si="11"/>
        <v/>
      </c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IFERROR(VLOOKUP(B161,input_490100!L:R,7,FALSE),IFERROR(VLOOKUP(tables_490100!C161,input_490100!A:H,8,FALSE),0))</f>
        <v>0</v>
      </c>
      <c r="P161" s="46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input_490100!A$2</f>
        <v>490100</v>
      </c>
      <c r="B162" s="6">
        <v>396</v>
      </c>
      <c r="C162" s="7" t="str">
        <f t="shared" si="8"/>
        <v>Premium4</v>
      </c>
      <c r="D162" s="7" t="str">
        <f t="shared" si="10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 t="str">
        <f t="shared" si="11"/>
        <v/>
      </c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IFERROR(VLOOKUP(B162,input_490100!L:R,7,FALSE),IFERROR(VLOOKUP(tables_490100!C162,input_490100!A:H,8,FALSE),0))</f>
        <v>0</v>
      </c>
      <c r="P162" s="46">
        <f t="shared" ca="1" si="9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input_490100!A$2</f>
        <v>490100</v>
      </c>
      <c r="B163" s="6">
        <v>397</v>
      </c>
      <c r="C163" s="7" t="str">
        <f t="shared" si="8"/>
        <v>Premium5</v>
      </c>
      <c r="D163" s="7" t="str">
        <f t="shared" si="10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 t="str">
        <f t="shared" si="11"/>
        <v/>
      </c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IFERROR(VLOOKUP(B163,input_490100!L:R,7,FALSE),IFERROR(VLOOKUP(tables_490100!C163,input_490100!A:H,8,FALSE),0))</f>
        <v>0</v>
      </c>
      <c r="P163" s="46">
        <f t="shared" ca="1" si="9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input_490100!A$2</f>
        <v>490100</v>
      </c>
      <c r="B164" s="6">
        <v>398</v>
      </c>
      <c r="C164" s="7" t="str">
        <f t="shared" si="8"/>
        <v>PremiumSS4color</v>
      </c>
      <c r="D164" s="7" t="str">
        <f t="shared" si="10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 t="str">
        <f t="shared" si="11"/>
        <v>color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IFERROR(VLOOKUP(B164,input_490100!L:R,7,FALSE),IFERROR(VLOOKUP(tables_490100!C164,input_490100!A:H,8,FALSE),0))</f>
        <v>6270</v>
      </c>
      <c r="P164" s="46">
        <f t="shared" ca="1" si="9"/>
        <v>9.5000000000143938E-4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input_490100!A$2</f>
        <v>490100</v>
      </c>
      <c r="B165" s="6">
        <v>399</v>
      </c>
      <c r="C165" s="7" t="str">
        <f t="shared" si="8"/>
        <v>PremiumSS5color</v>
      </c>
      <c r="D165" s="7" t="str">
        <f t="shared" si="10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 t="str">
        <f t="shared" si="11"/>
        <v>color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IFERROR(VLOOKUP(B165,input_490100!L:R,7,FALSE),IFERROR(VLOOKUP(tables_490100!C165,input_490100!A:H,8,FALSE),0))</f>
        <v>330</v>
      </c>
      <c r="P165" s="46">
        <f t="shared" ca="1" si="9"/>
        <v>5.0000000000075754E-5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input_490100!A$2</f>
        <v>490100</v>
      </c>
      <c r="B166" s="6">
        <v>400</v>
      </c>
      <c r="C166" s="7" t="str">
        <f t="shared" si="8"/>
        <v>Premium3</v>
      </c>
      <c r="D166" s="7" t="str">
        <f t="shared" si="10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 t="str">
        <f t="shared" si="11"/>
        <v/>
      </c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IFERROR(VLOOKUP(B166,input_490100!L:R,7,FALSE),IFERROR(VLOOKUP(tables_490100!C166,input_490100!A:H,8,FALSE),0))</f>
        <v>0</v>
      </c>
      <c r="P166" s="46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input_490100!A$2</f>
        <v>490100</v>
      </c>
      <c r="B167" s="6">
        <v>401</v>
      </c>
      <c r="C167" s="7" t="str">
        <f t="shared" si="8"/>
        <v>Premium4</v>
      </c>
      <c r="D167" s="7" t="str">
        <f t="shared" si="10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 t="str">
        <f t="shared" si="11"/>
        <v/>
      </c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IFERROR(VLOOKUP(B167,input_490100!L:R,7,FALSE),IFERROR(VLOOKUP(tables_490100!C167,input_490100!A:H,8,FALSE),0))</f>
        <v>0</v>
      </c>
      <c r="P167" s="46">
        <f t="shared" ca="1" si="9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input_490100!A$2</f>
        <v>490100</v>
      </c>
      <c r="B168" s="6">
        <v>402</v>
      </c>
      <c r="C168" s="7" t="str">
        <f t="shared" si="8"/>
        <v>Premium5</v>
      </c>
      <c r="D168" s="7" t="str">
        <f t="shared" si="10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 t="str">
        <f t="shared" si="11"/>
        <v/>
      </c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IFERROR(VLOOKUP(B168,input_490100!L:R,7,FALSE),IFERROR(VLOOKUP(tables_490100!C168,input_490100!A:H,8,FALSE),0))</f>
        <v>0</v>
      </c>
      <c r="P168" s="46">
        <f t="shared" ca="1" si="9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input_490100!A$2</f>
        <v>490100</v>
      </c>
      <c r="B169" s="6">
        <v>403</v>
      </c>
      <c r="C169" s="7" t="str">
        <f t="shared" si="8"/>
        <v>PremiumSS4</v>
      </c>
      <c r="D169" s="7" t="str">
        <f t="shared" si="10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 t="str">
        <f t="shared" si="11"/>
        <v/>
      </c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IFERROR(VLOOKUP(B169,input_490100!L:R,7,FALSE),IFERROR(VLOOKUP(tables_490100!C169,input_490100!A:H,8,FALSE),0))</f>
        <v>0</v>
      </c>
      <c r="P169" s="46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input_490100!A$2</f>
        <v>490100</v>
      </c>
      <c r="B170" s="6">
        <v>404</v>
      </c>
      <c r="C170" s="7" t="str">
        <f t="shared" si="8"/>
        <v>PremiumSS5</v>
      </c>
      <c r="D170" s="7" t="str">
        <f t="shared" si="10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 t="str">
        <f t="shared" si="11"/>
        <v/>
      </c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IFERROR(VLOOKUP(B170,input_490100!L:R,7,FALSE),IFERROR(VLOOKUP(tables_490100!C170,input_490100!A:H,8,FALSE),0))</f>
        <v>0</v>
      </c>
      <c r="P170" s="46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input_490100!A$2</f>
        <v>490100</v>
      </c>
      <c r="B171" s="6">
        <v>405</v>
      </c>
      <c r="C171" s="7" t="str">
        <f t="shared" si="8"/>
        <v>Premium3</v>
      </c>
      <c r="D171" s="7" t="str">
        <f t="shared" si="10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 t="str">
        <f t="shared" si="11"/>
        <v/>
      </c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IFERROR(VLOOKUP(B171,input_490100!L:R,7,FALSE),IFERROR(VLOOKUP(tables_490100!C171,input_490100!A:H,8,FALSE),0))</f>
        <v>0</v>
      </c>
      <c r="P171" s="46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input_490100!A$2</f>
        <v>490100</v>
      </c>
      <c r="B172" s="6">
        <v>406</v>
      </c>
      <c r="C172" s="7" t="str">
        <f t="shared" si="8"/>
        <v>Premium4</v>
      </c>
      <c r="D172" s="7" t="str">
        <f t="shared" si="10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 t="str">
        <f t="shared" si="11"/>
        <v/>
      </c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IFERROR(VLOOKUP(B172,input_490100!L:R,7,FALSE),IFERROR(VLOOKUP(tables_490100!C172,input_490100!A:H,8,FALSE),0))</f>
        <v>0</v>
      </c>
      <c r="P172" s="46">
        <f t="shared" ca="1" si="9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input_490100!A$2</f>
        <v>490100</v>
      </c>
      <c r="B173" s="6">
        <v>407</v>
      </c>
      <c r="C173" s="7" t="str">
        <f t="shared" si="8"/>
        <v>Premium5</v>
      </c>
      <c r="D173" s="7" t="str">
        <f t="shared" si="10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 t="str">
        <f t="shared" si="11"/>
        <v/>
      </c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IFERROR(VLOOKUP(B173,input_490100!L:R,7,FALSE),IFERROR(VLOOKUP(tables_490100!C173,input_490100!A:H,8,FALSE),0))</f>
        <v>0</v>
      </c>
      <c r="P173" s="46">
        <f t="shared" ca="1" si="9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input_490100!A$2</f>
        <v>490100</v>
      </c>
      <c r="B174" s="6">
        <v>408</v>
      </c>
      <c r="C174" s="7" t="str">
        <f t="shared" si="8"/>
        <v>PremiumSS4color</v>
      </c>
      <c r="D174" s="7" t="str">
        <f t="shared" si="10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 t="str">
        <f t="shared" si="11"/>
        <v>color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IFERROR(VLOOKUP(B174,input_490100!L:R,7,FALSE),IFERROR(VLOOKUP(tables_490100!C174,input_490100!A:H,8,FALSE),0))</f>
        <v>6270</v>
      </c>
      <c r="P174" s="46">
        <f t="shared" ca="1" si="9"/>
        <v>9.5000000000143938E-4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input_490100!A$2</f>
        <v>490100</v>
      </c>
      <c r="B175" s="6">
        <v>409</v>
      </c>
      <c r="C175" s="7" t="str">
        <f t="shared" si="8"/>
        <v>PremiumSS5color</v>
      </c>
      <c r="D175" s="7" t="str">
        <f t="shared" si="10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 t="str">
        <f t="shared" si="11"/>
        <v>color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IFERROR(VLOOKUP(B175,input_490100!L:R,7,FALSE),IFERROR(VLOOKUP(tables_490100!C175,input_490100!A:H,8,FALSE),0))</f>
        <v>330</v>
      </c>
      <c r="P175" s="46">
        <f t="shared" ca="1" si="9"/>
        <v>5.0000000000075754E-5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input_490100!A$2</f>
        <v>490100</v>
      </c>
      <c r="B176" s="6">
        <v>434</v>
      </c>
      <c r="C176" s="7" t="str">
        <f t="shared" si="8"/>
        <v>PremiumSS4</v>
      </c>
      <c r="D176" s="7" t="str">
        <f t="shared" si="10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 t="str">
        <f t="shared" si="11"/>
        <v/>
      </c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IFERROR(VLOOKUP(B176,input_490100!L:R,7,FALSE),IFERROR(VLOOKUP(tables_490100!C176,input_490100!A:H,8,FALSE),0))</f>
        <v>0</v>
      </c>
      <c r="P176" s="46">
        <f t="shared" ca="1" si="9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input_490100!A$2</f>
        <v>490100</v>
      </c>
      <c r="B177" s="6">
        <v>435</v>
      </c>
      <c r="C177" s="7" t="str">
        <f t="shared" si="8"/>
        <v>PremiumSS5</v>
      </c>
      <c r="D177" s="7" t="str">
        <f t="shared" si="10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 t="str">
        <f t="shared" si="11"/>
        <v/>
      </c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IFERROR(VLOOKUP(B177,input_490100!L:R,7,FALSE),IFERROR(VLOOKUP(tables_490100!C177,input_490100!A:H,8,FALSE),0))</f>
        <v>0</v>
      </c>
      <c r="P177" s="46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input_490100!A$2</f>
        <v>490100</v>
      </c>
      <c r="B178" s="6">
        <v>436</v>
      </c>
      <c r="C178" s="7" t="str">
        <f t="shared" si="8"/>
        <v>Premium3</v>
      </c>
      <c r="D178" s="7" t="str">
        <f t="shared" si="10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 t="str">
        <f t="shared" si="11"/>
        <v/>
      </c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IFERROR(VLOOKUP(B178,input_490100!L:R,7,FALSE),IFERROR(VLOOKUP(tables_490100!C178,input_490100!A:H,8,FALSE),0))</f>
        <v>0</v>
      </c>
      <c r="P178" s="46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input_490100!A$2</f>
        <v>490100</v>
      </c>
      <c r="B179" s="6">
        <v>437</v>
      </c>
      <c r="C179" s="7" t="str">
        <f t="shared" si="8"/>
        <v>Premium4</v>
      </c>
      <c r="D179" s="7" t="str">
        <f t="shared" si="10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 t="str">
        <f t="shared" si="11"/>
        <v/>
      </c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IFERROR(VLOOKUP(B179,input_490100!L:R,7,FALSE),IFERROR(VLOOKUP(tables_490100!C179,input_490100!A:H,8,FALSE),0))</f>
        <v>0</v>
      </c>
      <c r="P179" s="46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input_490100!A$2</f>
        <v>490100</v>
      </c>
      <c r="B180" s="6">
        <v>438</v>
      </c>
      <c r="C180" s="7" t="str">
        <f t="shared" si="8"/>
        <v>Premium5</v>
      </c>
      <c r="D180" s="7" t="str">
        <f t="shared" si="10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 t="str">
        <f t="shared" si="11"/>
        <v/>
      </c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IFERROR(VLOOKUP(B180,input_490100!L:R,7,FALSE),IFERROR(VLOOKUP(tables_490100!C180,input_490100!A:H,8,FALSE),0))</f>
        <v>0</v>
      </c>
      <c r="P180" s="46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input_490100!A$2</f>
        <v>490100</v>
      </c>
      <c r="B181" s="6">
        <v>439</v>
      </c>
      <c r="C181" s="7" t="str">
        <f t="shared" si="8"/>
        <v>Premium3</v>
      </c>
      <c r="D181" s="7" t="str">
        <f t="shared" si="10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 t="str">
        <f t="shared" si="11"/>
        <v/>
      </c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IFERROR(VLOOKUP(B181,input_490100!L:R,7,FALSE),IFERROR(VLOOKUP(tables_490100!C181,input_490100!A:H,8,FALSE),0))</f>
        <v>0</v>
      </c>
      <c r="P181" s="46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input_490100!A$2</f>
        <v>490100</v>
      </c>
      <c r="B182" s="6">
        <v>440</v>
      </c>
      <c r="C182" s="7" t="str">
        <f t="shared" si="8"/>
        <v>Premium4</v>
      </c>
      <c r="D182" s="7" t="str">
        <f t="shared" si="10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 t="str">
        <f t="shared" si="11"/>
        <v/>
      </c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IFERROR(VLOOKUP(B182,input_490100!L:R,7,FALSE),IFERROR(VLOOKUP(tables_490100!C182,input_490100!A:H,8,FALSE),0))</f>
        <v>0</v>
      </c>
      <c r="P182" s="46">
        <f t="shared" ca="1" si="9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input_490100!A$2</f>
        <v>490100</v>
      </c>
      <c r="B183" s="6">
        <v>441</v>
      </c>
      <c r="C183" s="7" t="str">
        <f t="shared" si="8"/>
        <v>Premium5</v>
      </c>
      <c r="D183" s="7" t="str">
        <f t="shared" si="10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 t="str">
        <f t="shared" si="11"/>
        <v/>
      </c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IFERROR(VLOOKUP(B183,input_490100!L:R,7,FALSE),IFERROR(VLOOKUP(tables_490100!C183,input_490100!A:H,8,FALSE),0))</f>
        <v>0</v>
      </c>
      <c r="P183" s="46">
        <f t="shared" ca="1" si="9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input_490100!A$2</f>
        <v>490100</v>
      </c>
      <c r="B184" s="6">
        <v>442</v>
      </c>
      <c r="C184" s="7" t="str">
        <f t="shared" si="8"/>
        <v>PremiumSS4color</v>
      </c>
      <c r="D184" s="7" t="str">
        <f t="shared" si="10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 t="str">
        <f t="shared" si="11"/>
        <v>color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IFERROR(VLOOKUP(B184,input_490100!L:R,7,FALSE),IFERROR(VLOOKUP(tables_490100!C184,input_490100!A:H,8,FALSE),0))</f>
        <v>6270</v>
      </c>
      <c r="P184" s="46">
        <f t="shared" ca="1" si="9"/>
        <v>9.5000000000143938E-4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input_490100!A$2</f>
        <v>490100</v>
      </c>
      <c r="B185" s="6">
        <v>443</v>
      </c>
      <c r="C185" s="7" t="str">
        <f t="shared" si="8"/>
        <v>PremiumSS5color</v>
      </c>
      <c r="D185" s="7" t="str">
        <f t="shared" si="10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 t="str">
        <f t="shared" si="11"/>
        <v>color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IFERROR(VLOOKUP(B185,input_490100!L:R,7,FALSE),IFERROR(VLOOKUP(tables_490100!C185,input_490100!A:H,8,FALSE),0))</f>
        <v>330</v>
      </c>
      <c r="P185" s="46">
        <f t="shared" ca="1" si="9"/>
        <v>5.0000000000075754E-5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input_490100!A$2</f>
        <v>490100</v>
      </c>
      <c r="B186" s="8">
        <v>462</v>
      </c>
      <c r="C186" s="7" t="str">
        <f t="shared" si="8"/>
        <v>Premium3</v>
      </c>
      <c r="D186" s="7" t="str">
        <f t="shared" si="10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 t="str">
        <f t="shared" si="11"/>
        <v/>
      </c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IFERROR(VLOOKUP(B186,input_490100!L:R,7,FALSE),IFERROR(VLOOKUP(tables_490100!C186,input_490100!A:H,8,FALSE),0))</f>
        <v>0</v>
      </c>
      <c r="P186" s="46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input_490100!A$2</f>
        <v>490100</v>
      </c>
      <c r="B187" s="8">
        <v>463</v>
      </c>
      <c r="C187" s="7" t="str">
        <f t="shared" si="8"/>
        <v>Premium4</v>
      </c>
      <c r="D187" s="7" t="str">
        <f t="shared" si="10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 t="str">
        <f t="shared" si="11"/>
        <v/>
      </c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IFERROR(VLOOKUP(B187,input_490100!L:R,7,FALSE),IFERROR(VLOOKUP(tables_490100!C187,input_490100!A:H,8,FALSE),0))</f>
        <v>0</v>
      </c>
      <c r="P187" s="46">
        <f t="shared" ca="1" si="9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input_490100!A$2</f>
        <v>490100</v>
      </c>
      <c r="B188" s="8">
        <v>464</v>
      </c>
      <c r="C188" s="7" t="str">
        <f t="shared" si="8"/>
        <v>Premium5</v>
      </c>
      <c r="D188" s="7" t="str">
        <f t="shared" si="10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 t="str">
        <f t="shared" si="11"/>
        <v/>
      </c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IFERROR(VLOOKUP(B188,input_490100!L:R,7,FALSE),IFERROR(VLOOKUP(tables_490100!C188,input_490100!A:H,8,FALSE),0))</f>
        <v>0</v>
      </c>
      <c r="P188" s="46">
        <f t="shared" ca="1" si="9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input_490100!A$2</f>
        <v>490100</v>
      </c>
      <c r="B189" s="8">
        <v>465</v>
      </c>
      <c r="C189" s="7" t="str">
        <f t="shared" si="8"/>
        <v>PremiumSS4</v>
      </c>
      <c r="D189" s="7" t="str">
        <f t="shared" si="10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 t="str">
        <f t="shared" si="11"/>
        <v/>
      </c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IFERROR(VLOOKUP(B189,input_490100!L:R,7,FALSE),IFERROR(VLOOKUP(tables_490100!C189,input_490100!A:H,8,FALSE),0))</f>
        <v>0</v>
      </c>
      <c r="P189" s="46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input_490100!A$2</f>
        <v>490100</v>
      </c>
      <c r="B190" s="6">
        <v>466</v>
      </c>
      <c r="C190" s="7" t="str">
        <f t="shared" si="8"/>
        <v>PremiumSS5</v>
      </c>
      <c r="D190" s="7" t="str">
        <f t="shared" si="10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 t="str">
        <f t="shared" si="11"/>
        <v/>
      </c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IFERROR(VLOOKUP(B190,input_490100!L:R,7,FALSE),IFERROR(VLOOKUP(tables_490100!C190,input_490100!A:H,8,FALSE),0))</f>
        <v>0</v>
      </c>
      <c r="P190" s="46">
        <f t="shared" ca="1" si="9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input_490100!A$2</f>
        <v>490100</v>
      </c>
      <c r="B191" s="6">
        <v>467</v>
      </c>
      <c r="C191" s="7" t="str">
        <f t="shared" si="8"/>
        <v>PremiumSS4</v>
      </c>
      <c r="D191" s="7" t="str">
        <f t="shared" si="10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 t="str">
        <f t="shared" si="11"/>
        <v/>
      </c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IFERROR(VLOOKUP(B191,input_490100!L:R,7,FALSE),IFERROR(VLOOKUP(tables_490100!C191,input_490100!A:H,8,FALSE),0))</f>
        <v>0</v>
      </c>
      <c r="P191" s="46">
        <f t="shared" ca="1" si="9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input_490100!A$2</f>
        <v>490100</v>
      </c>
      <c r="B192" s="6">
        <v>468</v>
      </c>
      <c r="C192" s="7" t="str">
        <f t="shared" si="8"/>
        <v>PremiumSS5</v>
      </c>
      <c r="D192" s="7" t="str">
        <f t="shared" si="10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 t="str">
        <f t="shared" si="11"/>
        <v/>
      </c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IFERROR(VLOOKUP(B192,input_490100!L:R,7,FALSE),IFERROR(VLOOKUP(tables_490100!C192,input_490100!A:H,8,FALSE),0))</f>
        <v>0</v>
      </c>
      <c r="P192" s="46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input_490100!A$2</f>
        <v>490100</v>
      </c>
      <c r="B193" s="6">
        <v>469</v>
      </c>
      <c r="C193" s="7" t="str">
        <f t="shared" si="8"/>
        <v>Premium3color</v>
      </c>
      <c r="D193" s="7" t="str">
        <f t="shared" si="10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 t="str">
        <f t="shared" si="11"/>
        <v>color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IFERROR(VLOOKUP(B193,input_490100!L:R,7,FALSE),IFERROR(VLOOKUP(tables_490100!C193,input_490100!A:H,8,FALSE),0))</f>
        <v>0</v>
      </c>
      <c r="P193" s="46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input_490100!A$2</f>
        <v>490100</v>
      </c>
      <c r="B194" s="6">
        <v>470</v>
      </c>
      <c r="C194" s="7" t="str">
        <f t="shared" ref="C194:C257" si="12">D194&amp;J194&amp;E194&amp;F194&amp;G194</f>
        <v>Premium4color</v>
      </c>
      <c r="D194" s="7" t="str">
        <f t="shared" si="10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 t="str">
        <f t="shared" si="11"/>
        <v>color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IFERROR(VLOOKUP(B194,input_490100!L:R,7,FALSE),IFERROR(VLOOKUP(tables_490100!C194,input_490100!A:H,8,FALSE),0))</f>
        <v>263625</v>
      </c>
      <c r="P194" s="46">
        <f t="shared" ref="P194:P257" ca="1" si="13">O194/SUM(O:O)</f>
        <v>3.9943181818242336E-2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input_490100!A$2</f>
        <v>490100</v>
      </c>
      <c r="B195" s="6">
        <v>471</v>
      </c>
      <c r="C195" s="7" t="str">
        <f t="shared" si="12"/>
        <v>Premium5color</v>
      </c>
      <c r="D195" s="7" t="str">
        <f t="shared" ref="D195:D258" si="14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 t="str">
        <f t="shared" ref="G195:G258" si="15">IF(K195="yellow","color","")</f>
        <v>color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IFERROR(VLOOKUP(B195,input_490100!L:R,7,FALSE),IFERROR(VLOOKUP(tables_490100!C195,input_490100!A:H,8,FALSE),0))</f>
        <v>680.76922999999999</v>
      </c>
      <c r="P195" s="46">
        <f t="shared" ca="1" si="13"/>
        <v>1.031468530304593E-4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input_490100!A$2</f>
        <v>490100</v>
      </c>
      <c r="B196" s="6">
        <v>474</v>
      </c>
      <c r="C196" s="7" t="str">
        <f t="shared" si="12"/>
        <v>PremiumSS4</v>
      </c>
      <c r="D196" s="7" t="str">
        <f t="shared" si="14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 t="str">
        <f t="shared" si="15"/>
        <v/>
      </c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IFERROR(VLOOKUP(B196,input_490100!L:R,7,FALSE),IFERROR(VLOOKUP(tables_490100!C196,input_490100!A:H,8,FALSE),0))</f>
        <v>0</v>
      </c>
      <c r="P196" s="46">
        <f t="shared" ca="1" si="13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input_490100!A$2</f>
        <v>490100</v>
      </c>
      <c r="B197" s="6">
        <v>475</v>
      </c>
      <c r="C197" s="7" t="str">
        <f t="shared" si="12"/>
        <v>PremiumSS5</v>
      </c>
      <c r="D197" s="7" t="str">
        <f t="shared" si="14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 t="str">
        <f t="shared" si="15"/>
        <v/>
      </c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IFERROR(VLOOKUP(B197,input_490100!L:R,7,FALSE),IFERROR(VLOOKUP(tables_490100!C197,input_490100!A:H,8,FALSE),0))</f>
        <v>0</v>
      </c>
      <c r="P197" s="46">
        <f t="shared" ca="1" si="13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input_490100!A$2</f>
        <v>490100</v>
      </c>
      <c r="B198" s="6">
        <v>476</v>
      </c>
      <c r="C198" s="7" t="str">
        <f t="shared" si="12"/>
        <v>Premium3</v>
      </c>
      <c r="D198" s="7" t="str">
        <f t="shared" si="14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 t="str">
        <f t="shared" si="15"/>
        <v/>
      </c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IFERROR(VLOOKUP(B198,input_490100!L:R,7,FALSE),IFERROR(VLOOKUP(tables_490100!C198,input_490100!A:H,8,FALSE),0))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input_490100!A$2</f>
        <v>490100</v>
      </c>
      <c r="B199" s="6">
        <v>477</v>
      </c>
      <c r="C199" s="7" t="str">
        <f t="shared" si="12"/>
        <v>Premium4</v>
      </c>
      <c r="D199" s="7" t="str">
        <f t="shared" si="14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 t="str">
        <f t="shared" si="15"/>
        <v/>
      </c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IFERROR(VLOOKUP(B199,input_490100!L:R,7,FALSE),IFERROR(VLOOKUP(tables_490100!C199,input_490100!A:H,8,FALSE),0))</f>
        <v>0</v>
      </c>
      <c r="P199" s="46">
        <f t="shared" ca="1" si="13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input_490100!A$2</f>
        <v>490100</v>
      </c>
      <c r="B200" s="6">
        <v>478</v>
      </c>
      <c r="C200" s="7" t="str">
        <f t="shared" si="12"/>
        <v>Premium5</v>
      </c>
      <c r="D200" s="7" t="str">
        <f t="shared" si="14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 t="str">
        <f t="shared" si="15"/>
        <v/>
      </c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IFERROR(VLOOKUP(B200,input_490100!L:R,7,FALSE),IFERROR(VLOOKUP(tables_490100!C200,input_490100!A:H,8,FALSE),0))</f>
        <v>0</v>
      </c>
      <c r="P200" s="46">
        <f t="shared" ca="1" si="13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input_490100!A$2</f>
        <v>490100</v>
      </c>
      <c r="B201" s="6">
        <v>479</v>
      </c>
      <c r="C201" s="7" t="str">
        <f t="shared" si="12"/>
        <v>PremiumSS4</v>
      </c>
      <c r="D201" s="7" t="str">
        <f t="shared" si="14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 t="str">
        <f t="shared" si="15"/>
        <v/>
      </c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IFERROR(VLOOKUP(B201,input_490100!L:R,7,FALSE),IFERROR(VLOOKUP(tables_490100!C201,input_490100!A:H,8,FALSE),0))</f>
        <v>0</v>
      </c>
      <c r="P201" s="46">
        <f t="shared" ca="1" si="13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input_490100!A$2</f>
        <v>490100</v>
      </c>
      <c r="B202" s="6">
        <v>480</v>
      </c>
      <c r="C202" s="7" t="str">
        <f t="shared" si="12"/>
        <v>PremiumSS5</v>
      </c>
      <c r="D202" s="7" t="str">
        <f t="shared" si="14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 t="str">
        <f t="shared" si="15"/>
        <v/>
      </c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IFERROR(VLOOKUP(B202,input_490100!L:R,7,FALSE),IFERROR(VLOOKUP(tables_490100!C202,input_490100!A:H,8,FALSE),0))</f>
        <v>0</v>
      </c>
      <c r="P202" s="46">
        <f t="shared" ca="1" si="13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input_490100!A$2</f>
        <v>490100</v>
      </c>
      <c r="B203" s="6">
        <v>481</v>
      </c>
      <c r="C203" s="7" t="str">
        <f t="shared" si="12"/>
        <v>Premium3color</v>
      </c>
      <c r="D203" s="7" t="str">
        <f t="shared" si="14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 t="str">
        <f t="shared" si="15"/>
        <v>color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IFERROR(VLOOKUP(B203,input_490100!L:R,7,FALSE),IFERROR(VLOOKUP(tables_490100!C203,input_490100!A:H,8,FALSE),0))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input_490100!A$2</f>
        <v>490100</v>
      </c>
      <c r="B204" s="6">
        <v>482</v>
      </c>
      <c r="C204" s="7" t="str">
        <f t="shared" si="12"/>
        <v>Premium4color</v>
      </c>
      <c r="D204" s="7" t="str">
        <f t="shared" si="14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 t="str">
        <f t="shared" si="15"/>
        <v>color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IFERROR(VLOOKUP(B204,input_490100!L:R,7,FALSE),IFERROR(VLOOKUP(tables_490100!C204,input_490100!A:H,8,FALSE),0))</f>
        <v>263625</v>
      </c>
      <c r="P204" s="46">
        <f t="shared" ca="1" si="13"/>
        <v>3.9943181818242336E-2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input_490100!A$2</f>
        <v>490100</v>
      </c>
      <c r="B205" s="6">
        <v>483</v>
      </c>
      <c r="C205" s="7" t="str">
        <f t="shared" si="12"/>
        <v>Premium5color</v>
      </c>
      <c r="D205" s="7" t="str">
        <f t="shared" si="14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 t="str">
        <f t="shared" si="15"/>
        <v>color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IFERROR(VLOOKUP(B205,input_490100!L:R,7,FALSE),IFERROR(VLOOKUP(tables_490100!C205,input_490100!A:H,8,FALSE),0))</f>
        <v>680.76922999999999</v>
      </c>
      <c r="P205" s="46">
        <f t="shared" ca="1" si="13"/>
        <v>1.031468530304593E-4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input_490100!A$2</f>
        <v>490100</v>
      </c>
      <c r="B206" s="6">
        <v>492</v>
      </c>
      <c r="C206" s="7" t="str">
        <f t="shared" si="12"/>
        <v>PremiumSS4</v>
      </c>
      <c r="D206" s="7" t="str">
        <f t="shared" si="14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 t="str">
        <f t="shared" si="15"/>
        <v/>
      </c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IFERROR(VLOOKUP(B206,input_490100!L:R,7,FALSE),IFERROR(VLOOKUP(tables_490100!C206,input_490100!A:H,8,FALSE),0))</f>
        <v>0</v>
      </c>
      <c r="P206" s="46">
        <f t="shared" ca="1" si="13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input_490100!A$2</f>
        <v>490100</v>
      </c>
      <c r="B207" s="6">
        <v>493</v>
      </c>
      <c r="C207" s="7" t="str">
        <f t="shared" si="12"/>
        <v>PremiumSS5</v>
      </c>
      <c r="D207" s="7" t="str">
        <f t="shared" si="14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 t="str">
        <f t="shared" si="15"/>
        <v/>
      </c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IFERROR(VLOOKUP(B207,input_490100!L:R,7,FALSE),IFERROR(VLOOKUP(tables_490100!C207,input_490100!A:H,8,FALSE),0))</f>
        <v>0</v>
      </c>
      <c r="P207" s="46">
        <f t="shared" ca="1" si="13"/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input_490100!A$2</f>
        <v>490100</v>
      </c>
      <c r="B208" s="6">
        <v>494</v>
      </c>
      <c r="C208" s="7" t="str">
        <f t="shared" si="12"/>
        <v>PremiumSS4</v>
      </c>
      <c r="D208" s="7" t="str">
        <f t="shared" si="14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 t="str">
        <f t="shared" si="15"/>
        <v/>
      </c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IFERROR(VLOOKUP(B208,input_490100!L:R,7,FALSE),IFERROR(VLOOKUP(tables_490100!C208,input_490100!A:H,8,FALSE),0))</f>
        <v>0</v>
      </c>
      <c r="P208" s="46">
        <f t="shared" ca="1" si="13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input_490100!A$2</f>
        <v>490100</v>
      </c>
      <c r="B209" s="6">
        <v>495</v>
      </c>
      <c r="C209" s="7" t="str">
        <f t="shared" si="12"/>
        <v>PremiumSS5</v>
      </c>
      <c r="D209" s="7" t="str">
        <f t="shared" si="14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 t="str">
        <f t="shared" si="15"/>
        <v/>
      </c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IFERROR(VLOOKUP(B209,input_490100!L:R,7,FALSE),IFERROR(VLOOKUP(tables_490100!C209,input_490100!A:H,8,FALSE),0))</f>
        <v>0</v>
      </c>
      <c r="P209" s="46">
        <f t="shared" ca="1" si="13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input_490100!A$2</f>
        <v>490100</v>
      </c>
      <c r="B210" s="6">
        <v>496</v>
      </c>
      <c r="C210" s="7" t="str">
        <f t="shared" si="12"/>
        <v>Premium3</v>
      </c>
      <c r="D210" s="7" t="str">
        <f t="shared" si="14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 t="str">
        <f t="shared" si="15"/>
        <v/>
      </c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IFERROR(VLOOKUP(B210,input_490100!L:R,7,FALSE),IFERROR(VLOOKUP(tables_490100!C210,input_490100!A:H,8,FALSE),0))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input_490100!A$2</f>
        <v>490100</v>
      </c>
      <c r="B211" s="6">
        <v>497</v>
      </c>
      <c r="C211" s="7" t="str">
        <f t="shared" si="12"/>
        <v>Premium4</v>
      </c>
      <c r="D211" s="7" t="str">
        <f t="shared" si="14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 t="str">
        <f t="shared" si="15"/>
        <v/>
      </c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IFERROR(VLOOKUP(B211,input_490100!L:R,7,FALSE),IFERROR(VLOOKUP(tables_490100!C211,input_490100!A:H,8,FALSE),0))</f>
        <v>0</v>
      </c>
      <c r="P211" s="46">
        <f t="shared" ca="1" si="13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input_490100!A$2</f>
        <v>490100</v>
      </c>
      <c r="B212" s="6">
        <v>498</v>
      </c>
      <c r="C212" s="7" t="str">
        <f t="shared" si="12"/>
        <v>Premium5</v>
      </c>
      <c r="D212" s="7" t="str">
        <f t="shared" si="14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 t="str">
        <f t="shared" si="15"/>
        <v/>
      </c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IFERROR(VLOOKUP(B212,input_490100!L:R,7,FALSE),IFERROR(VLOOKUP(tables_490100!C212,input_490100!A:H,8,FALSE),0))</f>
        <v>0</v>
      </c>
      <c r="P212" s="46">
        <f t="shared" ca="1" si="13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input_490100!A$2</f>
        <v>490100</v>
      </c>
      <c r="B213" s="6">
        <v>499</v>
      </c>
      <c r="C213" s="7" t="str">
        <f t="shared" si="12"/>
        <v>PremiumSS4color</v>
      </c>
      <c r="D213" s="7" t="str">
        <f t="shared" si="14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 t="str">
        <f t="shared" si="15"/>
        <v>color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>IFERROR(VLOOKUP(B213,input_490100!L:R,7,FALSE),IFERROR(VLOOKUP(tables_490100!C213,input_490100!A:H,8,FALSE),0))</f>
        <v>99000</v>
      </c>
      <c r="P213" s="46">
        <f t="shared" ca="1" si="13"/>
        <v>1.5000000000022726E-2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input_490100!A$2</f>
        <v>490100</v>
      </c>
      <c r="B214" s="6">
        <v>500</v>
      </c>
      <c r="C214" s="7" t="str">
        <f t="shared" si="12"/>
        <v>PremiumSS5color</v>
      </c>
      <c r="D214" s="7" t="str">
        <f t="shared" si="14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 t="str">
        <f t="shared" si="15"/>
        <v>color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>IFERROR(VLOOKUP(B214,input_490100!L:R,7,FALSE),IFERROR(VLOOKUP(tables_490100!C214,input_490100!A:H,8,FALSE),0))</f>
        <v>99000</v>
      </c>
      <c r="P214" s="46">
        <f t="shared" ca="1" si="13"/>
        <v>1.5000000000022726E-2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input_490100!A$2</f>
        <v>490100</v>
      </c>
      <c r="B215" s="6">
        <v>560</v>
      </c>
      <c r="C215" s="7" t="str">
        <f t="shared" si="12"/>
        <v>PremiumW5R3less</v>
      </c>
      <c r="D215" s="7" t="str">
        <f t="shared" si="14"/>
        <v>PremiumW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 t="str">
        <f t="shared" si="15"/>
        <v/>
      </c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IFERROR(VLOOKUP(B215,input_490100!L:R,7,FALSE),IFERROR(VLOOKUP(tables_490100!C215,input_490100!A:H,8,FALSE),0))</f>
        <v>0</v>
      </c>
      <c r="P215" s="46">
        <f t="shared" ca="1" si="13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input_490100!A$2</f>
        <v>490100</v>
      </c>
      <c r="B216" s="6">
        <v>561</v>
      </c>
      <c r="C216" s="7" t="str">
        <f t="shared" si="12"/>
        <v>PremiumW5R3less</v>
      </c>
      <c r="D216" s="7" t="str">
        <f t="shared" si="14"/>
        <v>PremiumW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 t="str">
        <f t="shared" si="15"/>
        <v/>
      </c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IFERROR(VLOOKUP(B216,input_490100!L:R,7,FALSE),IFERROR(VLOOKUP(tables_490100!C216,input_490100!A:H,8,FALSE),0))</f>
        <v>0</v>
      </c>
      <c r="P216" s="46">
        <f t="shared" ca="1" si="13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input_490100!A$2</f>
        <v>490100</v>
      </c>
      <c r="B217" s="6">
        <v>562</v>
      </c>
      <c r="C217" s="7" t="str">
        <f t="shared" si="12"/>
        <v>PremiumW5R3less</v>
      </c>
      <c r="D217" s="7" t="str">
        <f t="shared" si="14"/>
        <v>PremiumW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 t="str">
        <f t="shared" si="15"/>
        <v/>
      </c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IFERROR(VLOOKUP(B217,input_490100!L:R,7,FALSE),IFERROR(VLOOKUP(tables_490100!C217,input_490100!A:H,8,FALSE),0))</f>
        <v>0</v>
      </c>
      <c r="P217" s="46">
        <f t="shared" ca="1" si="13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input_490100!A$2</f>
        <v>490100</v>
      </c>
      <c r="B218" s="6">
        <v>563</v>
      </c>
      <c r="C218" s="7" t="str">
        <f t="shared" si="12"/>
        <v>PremiumW5R3lesscolor</v>
      </c>
      <c r="D218" s="7" t="str">
        <f t="shared" si="14"/>
        <v>PremiumW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 t="str">
        <f t="shared" si="15"/>
        <v>color</v>
      </c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IFERROR(VLOOKUP(B218,input_490100!L:R,7,FALSE),IFERROR(VLOOKUP(tables_490100!C218,input_490100!A:H,8,FALSE),0))</f>
        <v>0</v>
      </c>
      <c r="P218" s="46">
        <f t="shared" ca="1" si="13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input_490100!A$2</f>
        <v>490100</v>
      </c>
      <c r="B219" s="6">
        <v>566</v>
      </c>
      <c r="C219" s="7" t="str">
        <f t="shared" si="12"/>
        <v>PremiumW5R3less</v>
      </c>
      <c r="D219" s="7" t="str">
        <f t="shared" si="14"/>
        <v>PremiumW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 t="str">
        <f t="shared" si="15"/>
        <v/>
      </c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IFERROR(VLOOKUP(B219,input_490100!L:R,7,FALSE),IFERROR(VLOOKUP(tables_490100!C219,input_490100!A:H,8,FALSE),0))</f>
        <v>0</v>
      </c>
      <c r="P219" s="46">
        <f t="shared" ca="1" si="13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input_490100!A$2</f>
        <v>490100</v>
      </c>
      <c r="B220" s="6">
        <v>567</v>
      </c>
      <c r="C220" s="7" t="str">
        <f t="shared" si="12"/>
        <v>PremiumW5R3lesscolor</v>
      </c>
      <c r="D220" s="7" t="str">
        <f t="shared" si="14"/>
        <v>PremiumW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 t="str">
        <f t="shared" si="15"/>
        <v>color</v>
      </c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IFERROR(VLOOKUP(B220,input_490100!L:R,7,FALSE),IFERROR(VLOOKUP(tables_490100!C220,input_490100!A:H,8,FALSE),0))</f>
        <v>0</v>
      </c>
      <c r="P220" s="46">
        <f t="shared" ca="1" si="13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input_490100!A$2</f>
        <v>490100</v>
      </c>
      <c r="B221" s="6">
        <v>586</v>
      </c>
      <c r="C221" s="7" t="str">
        <f t="shared" si="12"/>
        <v>PremiumSS4</v>
      </c>
      <c r="D221" s="7" t="str">
        <f t="shared" si="14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 t="str">
        <f t="shared" si="15"/>
        <v/>
      </c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IFERROR(VLOOKUP(B221,input_490100!L:R,7,FALSE),IFERROR(VLOOKUP(tables_490100!C221,input_490100!A:H,8,FALSE),0))</f>
        <v>0</v>
      </c>
      <c r="P221" s="46">
        <f t="shared" ca="1" si="13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input_490100!A$2</f>
        <v>490100</v>
      </c>
      <c r="B222" s="6">
        <v>587</v>
      </c>
      <c r="C222" s="7" t="str">
        <f t="shared" si="12"/>
        <v>PremiumSS5</v>
      </c>
      <c r="D222" s="7" t="str">
        <f t="shared" si="14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 t="str">
        <f t="shared" si="15"/>
        <v/>
      </c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IFERROR(VLOOKUP(B222,input_490100!L:R,7,FALSE),IFERROR(VLOOKUP(tables_490100!C222,input_490100!A:H,8,FALSE),0))</f>
        <v>0</v>
      </c>
      <c r="P222" s="46">
        <f t="shared" ca="1" si="13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input_490100!A$2</f>
        <v>490100</v>
      </c>
      <c r="B223" s="6">
        <v>588</v>
      </c>
      <c r="C223" s="7" t="str">
        <f t="shared" si="12"/>
        <v>Premium3</v>
      </c>
      <c r="D223" s="7" t="str">
        <f t="shared" si="14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 t="str">
        <f t="shared" si="15"/>
        <v/>
      </c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IFERROR(VLOOKUP(B223,input_490100!L:R,7,FALSE),IFERROR(VLOOKUP(tables_490100!C223,input_490100!A:H,8,FALSE),0))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input_490100!A$2</f>
        <v>490100</v>
      </c>
      <c r="B224" s="6">
        <v>589</v>
      </c>
      <c r="C224" s="7" t="str">
        <f t="shared" si="12"/>
        <v>Premium4</v>
      </c>
      <c r="D224" s="7" t="str">
        <f t="shared" si="14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 t="str">
        <f t="shared" si="15"/>
        <v/>
      </c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IFERROR(VLOOKUP(B224,input_490100!L:R,7,FALSE),IFERROR(VLOOKUP(tables_490100!C224,input_490100!A:H,8,FALSE),0))</f>
        <v>0</v>
      </c>
      <c r="P224" s="46">
        <f t="shared" ca="1" si="13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input_490100!A$2</f>
        <v>490100</v>
      </c>
      <c r="B225" s="6">
        <v>590</v>
      </c>
      <c r="C225" s="7" t="str">
        <f t="shared" si="12"/>
        <v>Premium5</v>
      </c>
      <c r="D225" s="7" t="str">
        <f t="shared" si="14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 t="str">
        <f t="shared" si="15"/>
        <v/>
      </c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IFERROR(VLOOKUP(B225,input_490100!L:R,7,FALSE),IFERROR(VLOOKUP(tables_490100!C225,input_490100!A:H,8,FALSE),0))</f>
        <v>0</v>
      </c>
      <c r="P225" s="46">
        <f t="shared" ca="1" si="13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input_490100!A$2</f>
        <v>490100</v>
      </c>
      <c r="B226" s="6">
        <v>591</v>
      </c>
      <c r="C226" s="7" t="str">
        <f t="shared" si="12"/>
        <v>Premium3</v>
      </c>
      <c r="D226" s="7" t="str">
        <f t="shared" si="14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 t="str">
        <f t="shared" si="15"/>
        <v/>
      </c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IFERROR(VLOOKUP(B226,input_490100!L:R,7,FALSE),IFERROR(VLOOKUP(tables_490100!C226,input_490100!A:H,8,FALSE),0))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input_490100!A$2</f>
        <v>490100</v>
      </c>
      <c r="B227" s="6">
        <v>592</v>
      </c>
      <c r="C227" s="7" t="str">
        <f t="shared" si="12"/>
        <v>Premium4</v>
      </c>
      <c r="D227" s="7" t="str">
        <f t="shared" si="14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 t="str">
        <f t="shared" si="15"/>
        <v/>
      </c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IFERROR(VLOOKUP(B227,input_490100!L:R,7,FALSE),IFERROR(VLOOKUP(tables_490100!C227,input_490100!A:H,8,FALSE),0))</f>
        <v>0</v>
      </c>
      <c r="P227" s="46">
        <f t="shared" ca="1" si="13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input_490100!A$2</f>
        <v>490100</v>
      </c>
      <c r="B228" s="6">
        <v>593</v>
      </c>
      <c r="C228" s="7" t="str">
        <f t="shared" si="12"/>
        <v>Premium5</v>
      </c>
      <c r="D228" s="7" t="str">
        <f t="shared" si="14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 t="str">
        <f t="shared" si="15"/>
        <v/>
      </c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IFERROR(VLOOKUP(B228,input_490100!L:R,7,FALSE),IFERROR(VLOOKUP(tables_490100!C228,input_490100!A:H,8,FALSE),0))</f>
        <v>0</v>
      </c>
      <c r="P228" s="46">
        <f t="shared" ca="1" si="13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input_490100!A$2</f>
        <v>490100</v>
      </c>
      <c r="B229" s="6">
        <v>594</v>
      </c>
      <c r="C229" s="7" t="str">
        <f t="shared" si="12"/>
        <v>PremiumSS4color</v>
      </c>
      <c r="D229" s="7" t="str">
        <f t="shared" si="14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 t="str">
        <f t="shared" si="15"/>
        <v>color</v>
      </c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>IFERROR(VLOOKUP(B229,input_490100!L:R,7,FALSE),IFERROR(VLOOKUP(tables_490100!C229,input_490100!A:H,8,FALSE),0))</f>
        <v>99000</v>
      </c>
      <c r="P229" s="46">
        <f t="shared" ca="1" si="13"/>
        <v>1.5000000000022726E-2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input_490100!A$2</f>
        <v>490100</v>
      </c>
      <c r="B230" s="6">
        <v>595</v>
      </c>
      <c r="C230" s="7" t="str">
        <f t="shared" si="12"/>
        <v>PremiumSS5color</v>
      </c>
      <c r="D230" s="7" t="str">
        <f t="shared" si="14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 t="str">
        <f t="shared" si="15"/>
        <v>color</v>
      </c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>IFERROR(VLOOKUP(B230,input_490100!L:R,7,FALSE),IFERROR(VLOOKUP(tables_490100!C230,input_490100!A:H,8,FALSE),0))</f>
        <v>99000</v>
      </c>
      <c r="P230" s="46">
        <f t="shared" ca="1" si="13"/>
        <v>1.5000000000022726E-2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input_490100!A$2</f>
        <v>490100</v>
      </c>
      <c r="B231" s="6">
        <v>596</v>
      </c>
      <c r="C231" s="7" t="str">
        <f t="shared" si="12"/>
        <v>Premium3</v>
      </c>
      <c r="D231" s="7" t="str">
        <f t="shared" si="14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 t="str">
        <f t="shared" si="15"/>
        <v/>
      </c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IFERROR(VLOOKUP(B231,input_490100!L:R,7,FALSE),IFERROR(VLOOKUP(tables_490100!C231,input_490100!A:H,8,FALSE),0))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input_490100!A$2</f>
        <v>490100</v>
      </c>
      <c r="B232" s="6">
        <v>597</v>
      </c>
      <c r="C232" s="7" t="str">
        <f t="shared" si="12"/>
        <v>Premium4</v>
      </c>
      <c r="D232" s="7" t="str">
        <f t="shared" si="14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 t="str">
        <f t="shared" si="15"/>
        <v/>
      </c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IFERROR(VLOOKUP(B232,input_490100!L:R,7,FALSE),IFERROR(VLOOKUP(tables_490100!C232,input_490100!A:H,8,FALSE),0))</f>
        <v>0</v>
      </c>
      <c r="P232" s="46">
        <f t="shared" ca="1" si="13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input_490100!A$2</f>
        <v>490100</v>
      </c>
      <c r="B233" s="6">
        <v>598</v>
      </c>
      <c r="C233" s="7" t="str">
        <f t="shared" si="12"/>
        <v>Premium5</v>
      </c>
      <c r="D233" s="7" t="str">
        <f t="shared" si="14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 t="str">
        <f t="shared" si="15"/>
        <v/>
      </c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IFERROR(VLOOKUP(B233,input_490100!L:R,7,FALSE),IFERROR(VLOOKUP(tables_490100!C233,input_490100!A:H,8,FALSE),0))</f>
        <v>0</v>
      </c>
      <c r="P233" s="46">
        <f t="shared" ca="1" si="13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input_490100!A$2</f>
        <v>490100</v>
      </c>
      <c r="B234" s="6">
        <v>599</v>
      </c>
      <c r="C234" s="7" t="str">
        <f t="shared" si="12"/>
        <v>Premium3</v>
      </c>
      <c r="D234" s="7" t="str">
        <f t="shared" si="14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 t="str">
        <f t="shared" si="15"/>
        <v/>
      </c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IFERROR(VLOOKUP(B234,input_490100!L:R,7,FALSE),IFERROR(VLOOKUP(tables_490100!C234,input_490100!A:H,8,FALSE),0))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input_490100!A$2</f>
        <v>490100</v>
      </c>
      <c r="B235" s="6">
        <v>600</v>
      </c>
      <c r="C235" s="7" t="str">
        <f t="shared" si="12"/>
        <v>Premium4</v>
      </c>
      <c r="D235" s="7" t="str">
        <f t="shared" si="14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 t="str">
        <f t="shared" si="15"/>
        <v/>
      </c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IFERROR(VLOOKUP(B235,input_490100!L:R,7,FALSE),IFERROR(VLOOKUP(tables_490100!C235,input_490100!A:H,8,FALSE),0))</f>
        <v>0</v>
      </c>
      <c r="P235" s="46">
        <f t="shared" ca="1" si="13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input_490100!A$2</f>
        <v>490100</v>
      </c>
      <c r="B236" s="6">
        <v>601</v>
      </c>
      <c r="C236" s="7" t="str">
        <f t="shared" si="12"/>
        <v>Premium5</v>
      </c>
      <c r="D236" s="7" t="str">
        <f t="shared" si="14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 t="str">
        <f t="shared" si="15"/>
        <v/>
      </c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IFERROR(VLOOKUP(B236,input_490100!L:R,7,FALSE),IFERROR(VLOOKUP(tables_490100!C236,input_490100!A:H,8,FALSE),0))</f>
        <v>0</v>
      </c>
      <c r="P236" s="46">
        <f t="shared" ca="1" si="13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input_490100!A$2</f>
        <v>490100</v>
      </c>
      <c r="B237" s="6">
        <v>602</v>
      </c>
      <c r="C237" s="7" t="str">
        <f t="shared" si="12"/>
        <v>PremiumSS4</v>
      </c>
      <c r="D237" s="7" t="str">
        <f t="shared" si="14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 t="str">
        <f t="shared" si="15"/>
        <v/>
      </c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IFERROR(VLOOKUP(B237,input_490100!L:R,7,FALSE),IFERROR(VLOOKUP(tables_490100!C237,input_490100!A:H,8,FALSE),0))</f>
        <v>0</v>
      </c>
      <c r="P237" s="46">
        <f t="shared" ca="1" si="13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input_490100!A$2</f>
        <v>490100</v>
      </c>
      <c r="B238" s="6">
        <v>603</v>
      </c>
      <c r="C238" s="7" t="str">
        <f t="shared" si="12"/>
        <v>PremiumSS5</v>
      </c>
      <c r="D238" s="7" t="str">
        <f t="shared" si="14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 t="str">
        <f t="shared" si="15"/>
        <v/>
      </c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IFERROR(VLOOKUP(B238,input_490100!L:R,7,FALSE),IFERROR(VLOOKUP(tables_490100!C238,input_490100!A:H,8,FALSE),0))</f>
        <v>0</v>
      </c>
      <c r="P238" s="46">
        <f t="shared" ca="1" si="13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input_490100!A$2</f>
        <v>490100</v>
      </c>
      <c r="B239" s="6">
        <v>604</v>
      </c>
      <c r="C239" s="7" t="str">
        <f t="shared" si="12"/>
        <v>Premium3color</v>
      </c>
      <c r="D239" s="7" t="str">
        <f t="shared" si="14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 t="str">
        <f t="shared" si="15"/>
        <v>color</v>
      </c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IFERROR(VLOOKUP(B239,input_490100!L:R,7,FALSE),IFERROR(VLOOKUP(tables_490100!C239,input_490100!A:H,8,FALSE),0))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input_490100!A$2</f>
        <v>490100</v>
      </c>
      <c r="B240" s="6">
        <v>605</v>
      </c>
      <c r="C240" s="7" t="str">
        <f t="shared" si="12"/>
        <v>Premium4color</v>
      </c>
      <c r="D240" s="7" t="str">
        <f t="shared" si="14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 t="str">
        <f t="shared" si="15"/>
        <v>color</v>
      </c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IFERROR(VLOOKUP(B240,input_490100!L:R,7,FALSE),IFERROR(VLOOKUP(tables_490100!C240,input_490100!A:H,8,FALSE),0))</f>
        <v>263625</v>
      </c>
      <c r="P240" s="46">
        <f t="shared" ca="1" si="13"/>
        <v>3.9943181818242336E-2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input_490100!A$2</f>
        <v>490100</v>
      </c>
      <c r="B241" s="6">
        <v>606</v>
      </c>
      <c r="C241" s="7" t="str">
        <f t="shared" si="12"/>
        <v>Premium5color</v>
      </c>
      <c r="D241" s="7" t="str">
        <f t="shared" si="14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 t="str">
        <f t="shared" si="15"/>
        <v>color</v>
      </c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IFERROR(VLOOKUP(B241,input_490100!L:R,7,FALSE),IFERROR(VLOOKUP(tables_490100!C241,input_490100!A:H,8,FALSE),0))</f>
        <v>680.76922999999999</v>
      </c>
      <c r="P241" s="46">
        <f t="shared" ca="1" si="13"/>
        <v>1.031468530304593E-4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input_490100!A$2</f>
        <v>490100</v>
      </c>
      <c r="B242" s="6">
        <v>658</v>
      </c>
      <c r="C242" s="7" t="str">
        <f t="shared" si="12"/>
        <v>PremiumSS4</v>
      </c>
      <c r="D242" s="7" t="str">
        <f t="shared" si="14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 t="str">
        <f t="shared" si="15"/>
        <v/>
      </c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IFERROR(VLOOKUP(B242,input_490100!L:R,7,FALSE),IFERROR(VLOOKUP(tables_490100!C242,input_490100!A:H,8,FALSE),0))</f>
        <v>0</v>
      </c>
      <c r="P242" s="46">
        <f t="shared" ca="1" si="13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input_490100!A$2</f>
        <v>490100</v>
      </c>
      <c r="B243" s="6">
        <v>659</v>
      </c>
      <c r="C243" s="7" t="str">
        <f t="shared" si="12"/>
        <v>PremiumSS5</v>
      </c>
      <c r="D243" s="7" t="str">
        <f t="shared" si="14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 t="str">
        <f t="shared" si="15"/>
        <v/>
      </c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IFERROR(VLOOKUP(B243,input_490100!L:R,7,FALSE),IFERROR(VLOOKUP(tables_490100!C243,input_490100!A:H,8,FALSE),0))</f>
        <v>0</v>
      </c>
      <c r="P243" s="46">
        <f t="shared" ca="1" si="13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input_490100!A$2</f>
        <v>490100</v>
      </c>
      <c r="B244" s="6">
        <v>660</v>
      </c>
      <c r="C244" s="7" t="str">
        <f t="shared" si="12"/>
        <v>PremiumSS4</v>
      </c>
      <c r="D244" s="7" t="str">
        <f t="shared" si="14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 t="str">
        <f t="shared" si="15"/>
        <v/>
      </c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IFERROR(VLOOKUP(B244,input_490100!L:R,7,FALSE),IFERROR(VLOOKUP(tables_490100!C244,input_490100!A:H,8,FALSE),0))</f>
        <v>0</v>
      </c>
      <c r="P244" s="46">
        <f t="shared" ca="1" si="13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input_490100!A$2</f>
        <v>490100</v>
      </c>
      <c r="B245" s="60">
        <v>661</v>
      </c>
      <c r="C245" s="7" t="str">
        <f t="shared" si="12"/>
        <v>PremiumSS5</v>
      </c>
      <c r="D245" s="7" t="str">
        <f t="shared" si="14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 t="str">
        <f t="shared" si="15"/>
        <v/>
      </c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IFERROR(VLOOKUP(B245,input_490100!L:R,7,FALSE),IFERROR(VLOOKUP(tables_490100!C245,input_490100!A:H,8,FALSE),0))</f>
        <v>0</v>
      </c>
      <c r="P245" s="46">
        <f t="shared" ca="1" si="13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input_490100!A$2</f>
        <v>490100</v>
      </c>
      <c r="B246" s="60">
        <v>662</v>
      </c>
      <c r="C246" s="7" t="str">
        <f t="shared" si="12"/>
        <v>Premium3</v>
      </c>
      <c r="D246" s="7" t="str">
        <f t="shared" si="14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 t="str">
        <f t="shared" si="15"/>
        <v/>
      </c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IFERROR(VLOOKUP(B246,input_490100!L:R,7,FALSE),IFERROR(VLOOKUP(tables_490100!C246,input_490100!A:H,8,FALSE),0))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input_490100!A$2</f>
        <v>490100</v>
      </c>
      <c r="B247" s="60">
        <v>663</v>
      </c>
      <c r="C247" s="7" t="str">
        <f t="shared" si="12"/>
        <v>Premium4</v>
      </c>
      <c r="D247" s="7" t="str">
        <f t="shared" si="14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 t="str">
        <f t="shared" si="15"/>
        <v/>
      </c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IFERROR(VLOOKUP(B247,input_490100!L:R,7,FALSE),IFERROR(VLOOKUP(tables_490100!C247,input_490100!A:H,8,FALSE),0))</f>
        <v>0</v>
      </c>
      <c r="P247" s="46">
        <f t="shared" ca="1" si="13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input_490100!A$2</f>
        <v>490100</v>
      </c>
      <c r="B248" s="60">
        <v>664</v>
      </c>
      <c r="C248" s="7" t="str">
        <f t="shared" si="12"/>
        <v>Premium5</v>
      </c>
      <c r="D248" s="7" t="str">
        <f t="shared" si="14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 t="str">
        <f t="shared" si="15"/>
        <v/>
      </c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IFERROR(VLOOKUP(B248,input_490100!L:R,7,FALSE),IFERROR(VLOOKUP(tables_490100!C248,input_490100!A:H,8,FALSE),0))</f>
        <v>0</v>
      </c>
      <c r="P248" s="46">
        <f t="shared" ca="1" si="13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input_490100!A$2</f>
        <v>490100</v>
      </c>
      <c r="B249" s="60">
        <v>665</v>
      </c>
      <c r="C249" s="7" t="str">
        <f t="shared" si="12"/>
        <v>Premium3color</v>
      </c>
      <c r="D249" s="7" t="str">
        <f t="shared" si="14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 t="str">
        <f t="shared" si="15"/>
        <v>color</v>
      </c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IFERROR(VLOOKUP(B249,input_490100!L:R,7,FALSE),IFERROR(VLOOKUP(tables_490100!C249,input_490100!A:H,8,FALSE),0))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input_490100!A$2</f>
        <v>490100</v>
      </c>
      <c r="B250" s="60">
        <v>666</v>
      </c>
      <c r="C250" s="7" t="str">
        <f t="shared" si="12"/>
        <v>Premium4color</v>
      </c>
      <c r="D250" s="7" t="str">
        <f t="shared" si="14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 t="str">
        <f t="shared" si="15"/>
        <v>color</v>
      </c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IFERROR(VLOOKUP(B250,input_490100!L:R,7,FALSE),IFERROR(VLOOKUP(tables_490100!C250,input_490100!A:H,8,FALSE),0))</f>
        <v>263625</v>
      </c>
      <c r="P250" s="46">
        <f t="shared" ca="1" si="13"/>
        <v>3.9943181818242336E-2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input_490100!A$2</f>
        <v>490100</v>
      </c>
      <c r="B251" s="60">
        <v>667</v>
      </c>
      <c r="C251" s="7" t="str">
        <f t="shared" si="12"/>
        <v>Premium5color</v>
      </c>
      <c r="D251" s="7" t="str">
        <f t="shared" si="14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 t="str">
        <f t="shared" si="15"/>
        <v>color</v>
      </c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IFERROR(VLOOKUP(B251,input_490100!L:R,7,FALSE),IFERROR(VLOOKUP(tables_490100!C251,input_490100!A:H,8,FALSE),0))</f>
        <v>680.76922999999999</v>
      </c>
      <c r="P251" s="46">
        <f t="shared" ca="1" si="13"/>
        <v>1.031468530304593E-4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input_490100!A$2</f>
        <v>490100</v>
      </c>
      <c r="B252" s="60">
        <v>668</v>
      </c>
      <c r="C252" s="7" t="str">
        <f t="shared" si="12"/>
        <v>Premium3</v>
      </c>
      <c r="D252" s="7" t="str">
        <f t="shared" si="14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 t="str">
        <f t="shared" si="15"/>
        <v/>
      </c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IFERROR(VLOOKUP(B252,input_490100!L:R,7,FALSE),IFERROR(VLOOKUP(tables_490100!C252,input_490100!A:H,8,FALSE),0))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input_490100!A$2</f>
        <v>490100</v>
      </c>
      <c r="B253" s="60">
        <v>669</v>
      </c>
      <c r="C253" s="7" t="str">
        <f t="shared" si="12"/>
        <v>Premium4</v>
      </c>
      <c r="D253" s="7" t="str">
        <f t="shared" si="14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 t="str">
        <f t="shared" si="15"/>
        <v/>
      </c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IFERROR(VLOOKUP(B253,input_490100!L:R,7,FALSE),IFERROR(VLOOKUP(tables_490100!C253,input_490100!A:H,8,FALSE),0))</f>
        <v>0</v>
      </c>
      <c r="P253" s="46">
        <f t="shared" ca="1" si="13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input_490100!A$2</f>
        <v>490100</v>
      </c>
      <c r="B254" s="60">
        <v>670</v>
      </c>
      <c r="C254" s="7" t="str">
        <f t="shared" si="12"/>
        <v>Premium5</v>
      </c>
      <c r="D254" s="7" t="str">
        <f t="shared" si="14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 t="str">
        <f t="shared" si="15"/>
        <v/>
      </c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IFERROR(VLOOKUP(B254,input_490100!L:R,7,FALSE),IFERROR(VLOOKUP(tables_490100!C254,input_490100!A:H,8,FALSE),0))</f>
        <v>0</v>
      </c>
      <c r="P254" s="46">
        <f t="shared" ca="1" si="13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input_490100!A$2</f>
        <v>490100</v>
      </c>
      <c r="B255" s="60">
        <v>671</v>
      </c>
      <c r="C255" s="7" t="str">
        <f t="shared" si="12"/>
        <v>Premium3</v>
      </c>
      <c r="D255" s="7" t="str">
        <f t="shared" si="14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 t="str">
        <f t="shared" si="15"/>
        <v/>
      </c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IFERROR(VLOOKUP(B255,input_490100!L:R,7,FALSE),IFERROR(VLOOKUP(tables_490100!C255,input_490100!A:H,8,FALSE),0))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input_490100!A$2</f>
        <v>490100</v>
      </c>
      <c r="B256" s="60">
        <v>672</v>
      </c>
      <c r="C256" s="7" t="str">
        <f t="shared" si="12"/>
        <v>Premium4</v>
      </c>
      <c r="D256" s="7" t="str">
        <f t="shared" si="14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 t="str">
        <f t="shared" si="15"/>
        <v/>
      </c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IFERROR(VLOOKUP(B256,input_490100!L:R,7,FALSE),IFERROR(VLOOKUP(tables_490100!C256,input_490100!A:H,8,FALSE),0))</f>
        <v>0</v>
      </c>
      <c r="P256" s="46">
        <f t="shared" ca="1" si="13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input_490100!A$2</f>
        <v>490100</v>
      </c>
      <c r="B257" s="60">
        <v>673</v>
      </c>
      <c r="C257" s="7" t="str">
        <f t="shared" si="12"/>
        <v>Premium5</v>
      </c>
      <c r="D257" s="7" t="str">
        <f t="shared" si="14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 t="str">
        <f t="shared" si="15"/>
        <v/>
      </c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IFERROR(VLOOKUP(B257,input_490100!L:R,7,FALSE),IFERROR(VLOOKUP(tables_490100!C257,input_490100!A:H,8,FALSE),0))</f>
        <v>0</v>
      </c>
      <c r="P257" s="46">
        <f t="shared" ca="1" si="13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input_490100!A$2</f>
        <v>490100</v>
      </c>
      <c r="B258" s="60">
        <v>674</v>
      </c>
      <c r="C258" s="7" t="str">
        <f t="shared" ref="C258:C283" si="16">D258&amp;J258&amp;E258&amp;F258&amp;G258</f>
        <v>PremiumSS4</v>
      </c>
      <c r="D258" s="7" t="str">
        <f t="shared" si="14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 t="str">
        <f t="shared" si="15"/>
        <v/>
      </c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IFERROR(VLOOKUP(B258,input_490100!L:R,7,FALSE),IFERROR(VLOOKUP(tables_490100!C258,input_490100!A:H,8,FALSE),0))</f>
        <v>0</v>
      </c>
      <c r="P258" s="46">
        <f t="shared" ref="P258:P294" ca="1" si="17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input_490100!A$2</f>
        <v>490100</v>
      </c>
      <c r="B259" s="60">
        <v>675</v>
      </c>
      <c r="C259" s="7" t="str">
        <f t="shared" si="16"/>
        <v>PremiumSS5</v>
      </c>
      <c r="D259" s="7" t="str">
        <f t="shared" ref="D259:D309" si="18">IF(OR(I259="PremiumSS",I259="PremiumSSw"),"PremiumSS",IF(I259="PremiumSSS",I259,IF(I259="PremiumW",I259,"Premium")))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 t="str">
        <f t="shared" ref="G259:G322" si="19">IF(K259="yellow","color","")</f>
        <v/>
      </c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IFERROR(VLOOKUP(B259,input_490100!L:R,7,FALSE),IFERROR(VLOOKUP(tables_490100!C259,input_490100!A:H,8,FALSE),0))</f>
        <v>0</v>
      </c>
      <c r="P259" s="46">
        <f t="shared" ca="1" si="17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input_490100!A$2</f>
        <v>490100</v>
      </c>
      <c r="B260" s="60">
        <v>676</v>
      </c>
      <c r="C260" s="7" t="str">
        <f t="shared" si="16"/>
        <v>PremiumSS4color</v>
      </c>
      <c r="D260" s="7" t="str">
        <f t="shared" si="18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 t="str">
        <f t="shared" si="19"/>
        <v>color</v>
      </c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IFERROR(VLOOKUP(B260,input_490100!L:R,7,FALSE),IFERROR(VLOOKUP(tables_490100!C260,input_490100!A:H,8,FALSE),0))</f>
        <v>6270</v>
      </c>
      <c r="P260" s="46">
        <f t="shared" ca="1" si="17"/>
        <v>9.5000000000143938E-4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input_490100!A$2</f>
        <v>490100</v>
      </c>
      <c r="B261" s="60">
        <v>677</v>
      </c>
      <c r="C261" s="7" t="str">
        <f t="shared" si="16"/>
        <v>PremiumSS5color</v>
      </c>
      <c r="D261" s="7" t="str">
        <f t="shared" si="18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 t="str">
        <f t="shared" si="19"/>
        <v>color</v>
      </c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IFERROR(VLOOKUP(B261,input_490100!L:R,7,FALSE),IFERROR(VLOOKUP(tables_490100!C261,input_490100!A:H,8,FALSE),0))</f>
        <v>330</v>
      </c>
      <c r="P261" s="46">
        <f t="shared" ca="1" si="17"/>
        <v>5.0000000000075754E-5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input_490100!A$2</f>
        <v>490100</v>
      </c>
      <c r="B262" s="60">
        <v>728</v>
      </c>
      <c r="C262" s="7" t="str">
        <f t="shared" si="16"/>
        <v>Premium4R3less</v>
      </c>
      <c r="D262" s="7" t="str">
        <f t="shared" si="18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 t="str">
        <f t="shared" si="19"/>
        <v/>
      </c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IFERROR(VLOOKUP(B262,input_490100!L:R,7,FALSE),IFERROR(VLOOKUP(tables_490100!C262,input_490100!A:H,8,FALSE),0))</f>
        <v>0</v>
      </c>
      <c r="P262" s="46">
        <f t="shared" ca="1" si="17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input_490100!A$2</f>
        <v>490100</v>
      </c>
      <c r="B263" s="60">
        <v>729</v>
      </c>
      <c r="C263" s="7" t="str">
        <f t="shared" si="16"/>
        <v>Premium5R3less</v>
      </c>
      <c r="D263" s="7" t="str">
        <f t="shared" si="18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 t="str">
        <f t="shared" si="19"/>
        <v/>
      </c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IFERROR(VLOOKUP(B263,input_490100!L:R,7,FALSE),IFERROR(VLOOKUP(tables_490100!C263,input_490100!A:H,8,FALSE),0))</f>
        <v>0</v>
      </c>
      <c r="P263" s="46">
        <f t="shared" ca="1" si="17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input_490100!A$2</f>
        <v>490100</v>
      </c>
      <c r="B264" s="60">
        <v>730</v>
      </c>
      <c r="C264" s="7" t="str">
        <f t="shared" si="16"/>
        <v>Premium4R3less</v>
      </c>
      <c r="D264" s="7" t="str">
        <f t="shared" si="18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 t="str">
        <f t="shared" si="19"/>
        <v/>
      </c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IFERROR(VLOOKUP(B264,input_490100!L:R,7,FALSE),IFERROR(VLOOKUP(tables_490100!C264,input_490100!A:H,8,FALSE),0))</f>
        <v>0</v>
      </c>
      <c r="P264" s="46">
        <f t="shared" ca="1" si="17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input_490100!A$2</f>
        <v>490100</v>
      </c>
      <c r="B265" s="60">
        <v>731</v>
      </c>
      <c r="C265" s="7" t="str">
        <f t="shared" si="16"/>
        <v>Premium5R3less</v>
      </c>
      <c r="D265" s="7" t="str">
        <f t="shared" si="18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 t="str">
        <f t="shared" si="19"/>
        <v/>
      </c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IFERROR(VLOOKUP(B265,input_490100!L:R,7,FALSE),IFERROR(VLOOKUP(tables_490100!C265,input_490100!A:H,8,FALSE),0))</f>
        <v>0</v>
      </c>
      <c r="P265" s="46">
        <f t="shared" ca="1" si="17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input_490100!A$2</f>
        <v>490100</v>
      </c>
      <c r="B266" s="60">
        <v>732</v>
      </c>
      <c r="C266" s="7" t="str">
        <f t="shared" si="16"/>
        <v>PremiumSS5R5only</v>
      </c>
      <c r="D266" s="7" t="str">
        <f t="shared" si="18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 t="str">
        <f t="shared" si="19"/>
        <v/>
      </c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IFERROR(VLOOKUP(B266,input_490100!L:R,7,FALSE),IFERROR(VLOOKUP(tables_490100!C266,input_490100!A:H,8,FALSE),0))</f>
        <v>0</v>
      </c>
      <c r="P266" s="46">
        <f t="shared" ca="1" si="17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input_490100!A$2</f>
        <v>490100</v>
      </c>
      <c r="B267" s="60">
        <v>734</v>
      </c>
      <c r="C267" s="7" t="str">
        <f t="shared" si="16"/>
        <v>PremiumSS5R5onlycolor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 t="str">
        <f t="shared" si="19"/>
        <v>color</v>
      </c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IFERROR(VLOOKUP(B267,input_490100!L:R,7,FALSE),IFERROR(VLOOKUP(tables_490100!C267,input_490100!A:H,8,FALSE),0))</f>
        <v>6600</v>
      </c>
      <c r="P267" s="46">
        <f t="shared" ca="1" si="17"/>
        <v>1.0000000000015151E-3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input_490100!A$2</f>
        <v>490100</v>
      </c>
      <c r="B268" s="60">
        <v>742</v>
      </c>
      <c r="C268" s="7" t="str">
        <f t="shared" si="16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 t="str">
        <f t="shared" si="19"/>
        <v/>
      </c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IFERROR(VLOOKUP(B268,input_490100!L:R,7,FALSE),IFERROR(VLOOKUP(tables_490100!C268,input_490100!A:H,8,FALSE),0))</f>
        <v>0</v>
      </c>
      <c r="P268" s="46">
        <f t="shared" ca="1" si="17"/>
        <v>0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input_490100!A$2</f>
        <v>490100</v>
      </c>
      <c r="B269" s="60">
        <v>744</v>
      </c>
      <c r="C269" s="7" t="str">
        <f t="shared" si="16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 t="str">
        <f t="shared" si="19"/>
        <v/>
      </c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IFERROR(VLOOKUP(B269,input_490100!L:R,7,FALSE),IFERROR(VLOOKUP(tables_490100!C269,input_490100!A:H,8,FALSE),0))</f>
        <v>0</v>
      </c>
      <c r="P269" s="46">
        <f t="shared" ca="1" si="17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input_490100!A$2</f>
        <v>490100</v>
      </c>
      <c r="B270" s="60">
        <v>746</v>
      </c>
      <c r="C270" s="7" t="str">
        <f t="shared" si="16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 t="str">
        <f t="shared" si="19"/>
        <v/>
      </c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IFERROR(VLOOKUP(B270,input_490100!L:R,7,FALSE),IFERROR(VLOOKUP(tables_490100!C270,input_490100!A:H,8,FALSE),0))</f>
        <v>0</v>
      </c>
      <c r="P270" s="46">
        <f t="shared" ca="1" si="17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input_490100!A$2</f>
        <v>490100</v>
      </c>
      <c r="B271" s="81">
        <v>747</v>
      </c>
      <c r="C271" s="7" t="str">
        <f t="shared" si="16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 t="str">
        <f t="shared" si="19"/>
        <v/>
      </c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IFERROR(VLOOKUP(B271,input_490100!L:R,7,FALSE),IFERROR(VLOOKUP(tables_490100!C271,input_490100!A:H,8,FALSE),0))</f>
        <v>0</v>
      </c>
      <c r="P271" s="46">
        <f t="shared" ca="1" si="17"/>
        <v>0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input_490100!A$2</f>
        <v>490100</v>
      </c>
      <c r="B272" s="81">
        <v>748</v>
      </c>
      <c r="C272" s="7" t="str">
        <f t="shared" si="16"/>
        <v>Premium4R3lesscolor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 t="str">
        <f t="shared" si="19"/>
        <v>color</v>
      </c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IFERROR(VLOOKUP(B272,input_490100!L:R,7,FALSE),IFERROR(VLOOKUP(tables_490100!C272,input_490100!A:H,8,FALSE),0))</f>
        <v>263625</v>
      </c>
      <c r="P272" s="46">
        <f t="shared" ca="1" si="17"/>
        <v>3.9943181818242336E-2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input_490100!A$2</f>
        <v>490100</v>
      </c>
      <c r="B273" s="81">
        <v>749</v>
      </c>
      <c r="C273" s="7" t="str">
        <f t="shared" si="16"/>
        <v>Premium5R3lesscolor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 t="str">
        <f t="shared" si="19"/>
        <v>color</v>
      </c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IFERROR(VLOOKUP(B273,input_490100!L:R,7,FALSE),IFERROR(VLOOKUP(tables_490100!C273,input_490100!A:H,8,FALSE),0))</f>
        <v>13875</v>
      </c>
      <c r="P273" s="46">
        <f t="shared" ca="1" si="17"/>
        <v>2.1022727272759123E-3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input_490100!A$2</f>
        <v>490100</v>
      </c>
      <c r="B274" s="81">
        <v>770</v>
      </c>
      <c r="C274" s="7" t="str">
        <f t="shared" si="16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 t="str">
        <f t="shared" si="19"/>
        <v/>
      </c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IFERROR(VLOOKUP(B274,input_490100!L:R,7,FALSE),IFERROR(VLOOKUP(tables_490100!C274,input_490100!A:H,8,FALSE),0))</f>
        <v>0</v>
      </c>
      <c r="P274" s="46">
        <f t="shared" ca="1" si="17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input_490100!A$2</f>
        <v>490100</v>
      </c>
      <c r="B275" s="81">
        <v>771</v>
      </c>
      <c r="C275" s="7" t="str">
        <f t="shared" si="16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 t="str">
        <f t="shared" si="19"/>
        <v/>
      </c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IFERROR(VLOOKUP(B275,input_490100!L:R,7,FALSE),IFERROR(VLOOKUP(tables_490100!C275,input_490100!A:H,8,FALSE),0))</f>
        <v>0</v>
      </c>
      <c r="P275" s="46">
        <f t="shared" ca="1" si="17"/>
        <v>0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input_490100!A$2</f>
        <v>490100</v>
      </c>
      <c r="B276" s="81">
        <v>772</v>
      </c>
      <c r="C276" s="7" t="str">
        <f t="shared" si="16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 t="str">
        <f t="shared" si="19"/>
        <v/>
      </c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IFERROR(VLOOKUP(B276,input_490100!L:R,7,FALSE),IFERROR(VLOOKUP(tables_490100!C276,input_490100!A:H,8,FALSE),0))</f>
        <v>0</v>
      </c>
      <c r="P276" s="46">
        <f t="shared" ca="1" si="17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input_490100!A$2</f>
        <v>490100</v>
      </c>
      <c r="B277" s="81">
        <v>773</v>
      </c>
      <c r="C277" s="7" t="str">
        <f t="shared" si="16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 t="str">
        <f t="shared" si="19"/>
        <v/>
      </c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IFERROR(VLOOKUP(B277,input_490100!L:R,7,FALSE),IFERROR(VLOOKUP(tables_490100!C277,input_490100!A:H,8,FALSE),0))</f>
        <v>0</v>
      </c>
      <c r="P277" s="46">
        <f t="shared" ca="1" si="17"/>
        <v>0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input_490100!A$2</f>
        <v>490100</v>
      </c>
      <c r="B278" s="81">
        <v>774</v>
      </c>
      <c r="C278" s="7" t="str">
        <f t="shared" si="16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 t="str">
        <f t="shared" si="19"/>
        <v/>
      </c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IFERROR(VLOOKUP(B278,input_490100!L:R,7,FALSE),IFERROR(VLOOKUP(tables_490100!C278,input_490100!A:H,8,FALSE),0))</f>
        <v>0</v>
      </c>
      <c r="P278" s="46">
        <f t="shared" ca="1" si="17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input_490100!A$2</f>
        <v>490100</v>
      </c>
      <c r="B279" s="81">
        <v>775</v>
      </c>
      <c r="C279" s="7" t="str">
        <f t="shared" si="16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 t="str">
        <f t="shared" si="19"/>
        <v/>
      </c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IFERROR(VLOOKUP(B279,input_490100!L:R,7,FALSE),IFERROR(VLOOKUP(tables_490100!C279,input_490100!A:H,8,FALSE),0))</f>
        <v>0</v>
      </c>
      <c r="P279" s="46">
        <f t="shared" ca="1" si="17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input_490100!A$2</f>
        <v>490100</v>
      </c>
      <c r="B280" s="81">
        <v>776</v>
      </c>
      <c r="C280" s="7" t="str">
        <f t="shared" si="16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 t="str">
        <f t="shared" si="19"/>
        <v/>
      </c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IFERROR(VLOOKUP(B280,input_490100!L:R,7,FALSE),IFERROR(VLOOKUP(tables_490100!C280,input_490100!A:H,8,FALSE),0))</f>
        <v>0</v>
      </c>
      <c r="P280" s="46">
        <f t="shared" ca="1" si="17"/>
        <v>0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input_490100!A$2</f>
        <v>490100</v>
      </c>
      <c r="B281" s="81">
        <v>777</v>
      </c>
      <c r="C281" s="7" t="str">
        <f t="shared" si="16"/>
        <v>Premium3color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 t="str">
        <f t="shared" si="19"/>
        <v>color</v>
      </c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IFERROR(VLOOKUP(B281,input_490100!L:R,7,FALSE),IFERROR(VLOOKUP(tables_490100!C281,input_490100!A:H,8,FALSE),0))</f>
        <v>0</v>
      </c>
      <c r="P281" s="46">
        <f t="shared" ca="1" si="17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input_490100!A$2</f>
        <v>490100</v>
      </c>
      <c r="B282" s="81">
        <v>778</v>
      </c>
      <c r="C282" s="7" t="str">
        <f t="shared" si="16"/>
        <v>Premium4color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 t="str">
        <f t="shared" si="19"/>
        <v>color</v>
      </c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IFERROR(VLOOKUP(B282,input_490100!L:R,7,FALSE),IFERROR(VLOOKUP(tables_490100!C282,input_490100!A:H,8,FALSE),0))</f>
        <v>263625</v>
      </c>
      <c r="P282" s="46">
        <f t="shared" ca="1" si="17"/>
        <v>3.9943181818242336E-2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input_490100!A$2</f>
        <v>490100</v>
      </c>
      <c r="B283" s="5">
        <v>779</v>
      </c>
      <c r="C283" s="7" t="str">
        <f t="shared" si="16"/>
        <v>Premium5color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 t="str">
        <f t="shared" si="19"/>
        <v>color</v>
      </c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IFERROR(VLOOKUP(B283,input_490100!L:R,7,FALSE),IFERROR(VLOOKUP(tables_490100!C283,input_490100!A:H,8,FALSE),0))</f>
        <v>680.76922999999999</v>
      </c>
      <c r="P283" s="46">
        <f t="shared" ca="1" si="17"/>
        <v>1.031468530304593E-4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input_490100!A$2</f>
        <v>490100</v>
      </c>
      <c r="B284" s="5">
        <v>848</v>
      </c>
      <c r="C284" s="7" t="str">
        <f t="shared" ref="C284" si="20">D284&amp;J284&amp;E284&amp;F284&amp;G284</f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 t="str">
        <f t="shared" si="19"/>
        <v/>
      </c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IFERROR(VLOOKUP(B284,input_490100!L:R,7,FALSE),IFERROR(VLOOKUP(tables_490100!C284,input_490100!A:H,8,FALSE),0))</f>
        <v>0</v>
      </c>
      <c r="P284" s="46">
        <f t="shared" ca="1" si="17"/>
        <v>0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input_490100!A$2</f>
        <v>490100</v>
      </c>
      <c r="B285" s="5">
        <v>850</v>
      </c>
      <c r="C285" s="7" t="str">
        <f t="shared" ref="C285:C286" si="21">D285&amp;J285&amp;E285&amp;F285&amp;G285</f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 t="str">
        <f t="shared" si="19"/>
        <v/>
      </c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IFERROR(VLOOKUP(B285,input_490100!L:R,7,FALSE),IFERROR(VLOOKUP(tables_490100!C285,input_490100!A:H,8,FALSE),0))</f>
        <v>0</v>
      </c>
      <c r="P285" s="46">
        <f t="shared" ca="1" si="17"/>
        <v>0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input_490100!A$2</f>
        <v>490100</v>
      </c>
      <c r="B286" s="5">
        <v>852</v>
      </c>
      <c r="C286" s="7" t="str">
        <f t="shared" si="21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 t="str">
        <f t="shared" si="19"/>
        <v/>
      </c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IFERROR(VLOOKUP(B286,input_490100!L:R,7,FALSE),IFERROR(VLOOKUP(tables_490100!C286,input_490100!A:H,8,FALSE),0))</f>
        <v>0</v>
      </c>
      <c r="P286" s="46">
        <f t="shared" ca="1" si="17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input_490100!A$2</f>
        <v>490100</v>
      </c>
      <c r="B287" s="5">
        <v>853</v>
      </c>
      <c r="C287" s="7" t="str">
        <f t="shared" ref="C287:C289" si="22">D287&amp;J287&amp;E287&amp;F287&amp;G287</f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 t="str">
        <f t="shared" si="19"/>
        <v/>
      </c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IFERROR(VLOOKUP(B287,input_490100!L:R,7,FALSE),IFERROR(VLOOKUP(tables_490100!C287,input_490100!A:H,8,FALSE),0))</f>
        <v>0</v>
      </c>
      <c r="P287" s="46">
        <f t="shared" ca="1" si="17"/>
        <v>0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input_490100!A$2</f>
        <v>490100</v>
      </c>
      <c r="B288" s="5">
        <v>854</v>
      </c>
      <c r="C288" s="7" t="str">
        <f t="shared" si="22"/>
        <v>Premium4R3lesscolor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 t="str">
        <f t="shared" si="19"/>
        <v>color</v>
      </c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IFERROR(VLOOKUP(B288,input_490100!L:R,7,FALSE),IFERROR(VLOOKUP(tables_490100!C288,input_490100!A:H,8,FALSE),0))</f>
        <v>263625</v>
      </c>
      <c r="P288" s="46">
        <f t="shared" ca="1" si="17"/>
        <v>3.9943181818242336E-2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input_490100!A$2</f>
        <v>490100</v>
      </c>
      <c r="B289" s="5">
        <v>855</v>
      </c>
      <c r="C289" s="7" t="str">
        <f t="shared" si="22"/>
        <v>Premium5R3lesscolor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 t="str">
        <f t="shared" si="19"/>
        <v>color</v>
      </c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IFERROR(VLOOKUP(B289,input_490100!L:R,7,FALSE),IFERROR(VLOOKUP(tables_490100!C289,input_490100!A:H,8,FALSE),0))</f>
        <v>13875</v>
      </c>
      <c r="P289" s="46">
        <f t="shared" ca="1" si="17"/>
        <v>2.1022727272759123E-3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input_490100!A$2</f>
        <v>490100</v>
      </c>
      <c r="B290" s="5">
        <v>862</v>
      </c>
      <c r="C290" s="7" t="str">
        <f t="shared" ref="C290:C294" si="23">D290&amp;J290&amp;E290&amp;F290&amp;G290</f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 t="str">
        <f t="shared" si="19"/>
        <v/>
      </c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IFERROR(VLOOKUP(B290,input_490100!L:R,7,FALSE),IFERROR(VLOOKUP(tables_490100!C290,input_490100!A:H,8,FALSE),0))</f>
        <v>0</v>
      </c>
      <c r="P290" s="46">
        <f t="shared" ca="1" si="17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input_490100!A$2</f>
        <v>490100</v>
      </c>
      <c r="B291" s="5">
        <v>863</v>
      </c>
      <c r="C291" s="7" t="str">
        <f t="shared" si="23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 t="str">
        <f t="shared" si="19"/>
        <v/>
      </c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IFERROR(VLOOKUP(B291,input_490100!L:R,7,FALSE),IFERROR(VLOOKUP(tables_490100!C291,input_490100!A:H,8,FALSE),0))</f>
        <v>0</v>
      </c>
      <c r="P291" s="46">
        <f t="shared" ca="1" si="17"/>
        <v>0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input_490100!A$2</f>
        <v>490100</v>
      </c>
      <c r="B292" s="5">
        <v>864</v>
      </c>
      <c r="C292" s="7" t="str">
        <f t="shared" si="23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 t="str">
        <f t="shared" si="19"/>
        <v/>
      </c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IFERROR(VLOOKUP(B292,input_490100!L:R,7,FALSE),IFERROR(VLOOKUP(tables_490100!C292,input_490100!A:H,8,FALSE),0))</f>
        <v>0</v>
      </c>
      <c r="P292" s="46">
        <f t="shared" ca="1" si="17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input_490100!A$2</f>
        <v>490100</v>
      </c>
      <c r="B293" s="5">
        <v>865</v>
      </c>
      <c r="C293" s="7" t="str">
        <f t="shared" si="23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 t="str">
        <f t="shared" si="19"/>
        <v/>
      </c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IFERROR(VLOOKUP(B293,input_490100!L:R,7,FALSE),IFERROR(VLOOKUP(tables_490100!C293,input_490100!A:H,8,FALSE),0))</f>
        <v>0</v>
      </c>
      <c r="P293" s="46">
        <f t="shared" ca="1" si="17"/>
        <v>0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input_490100!A$2</f>
        <v>490100</v>
      </c>
      <c r="B294" s="5">
        <v>866</v>
      </c>
      <c r="C294" s="7" t="str">
        <f t="shared" si="23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 t="str">
        <f t="shared" si="19"/>
        <v/>
      </c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IFERROR(VLOOKUP(B294,input_490100!L:R,7,FALSE),IFERROR(VLOOKUP(tables_490100!C294,input_490100!A:H,8,FALSE),0))</f>
        <v>0</v>
      </c>
      <c r="P294" s="46">
        <f t="shared" ca="1" si="17"/>
        <v>0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input_490100!A$2</f>
        <v>490100</v>
      </c>
      <c r="B295" s="5">
        <v>868</v>
      </c>
      <c r="C295" s="7" t="str">
        <f t="shared" ref="C295:C299" si="24">D295&amp;J295&amp;E295&amp;F295&amp;G295</f>
        <v>PremiumSS5R5onlycolor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 t="str">
        <f t="shared" si="19"/>
        <v>color</v>
      </c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IFERROR(VLOOKUP(B295,input_490100!L:R,7,FALSE),IFERROR(VLOOKUP(tables_490100!C295,input_490100!A:H,8,FALSE),0))</f>
        <v>6600</v>
      </c>
      <c r="P295" s="46">
        <f t="shared" ref="P295:P299" ca="1" si="25">O295/SUM(O:O)</f>
        <v>1.0000000000015151E-3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input_490100!A$2</f>
        <v>490100</v>
      </c>
      <c r="B296" s="5">
        <v>937</v>
      </c>
      <c r="C296" s="7" t="str">
        <f t="shared" si="24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 t="str">
        <f t="shared" si="19"/>
        <v/>
      </c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IFERROR(VLOOKUP(B296,input_490100!L:R,7,FALSE),IFERROR(VLOOKUP(tables_490100!C296,input_490100!A:H,8,FALSE),0))</f>
        <v>0</v>
      </c>
      <c r="P296" s="46">
        <f t="shared" ca="1" si="25"/>
        <v>0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input_490100!A$2</f>
        <v>490100</v>
      </c>
      <c r="B297" s="5">
        <v>939</v>
      </c>
      <c r="C297" s="7" t="str">
        <f t="shared" si="24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 t="str">
        <f t="shared" si="19"/>
        <v/>
      </c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IFERROR(VLOOKUP(B297,input_490100!L:R,7,FALSE),IFERROR(VLOOKUP(tables_490100!C297,input_490100!A:H,8,FALSE),0))</f>
        <v>0</v>
      </c>
      <c r="P297" s="46">
        <f t="shared" ca="1" si="25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input_490100!A$2</f>
        <v>490100</v>
      </c>
      <c r="B298" s="5">
        <v>940</v>
      </c>
      <c r="C298" s="7" t="str">
        <f t="shared" si="24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 t="str">
        <f t="shared" si="19"/>
        <v/>
      </c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IFERROR(VLOOKUP(B298,input_490100!L:R,7,FALSE),IFERROR(VLOOKUP(tables_490100!C298,input_490100!A:H,8,FALSE),0))</f>
        <v>0</v>
      </c>
      <c r="P298" s="46">
        <f t="shared" ca="1" si="25"/>
        <v>0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input_490100!A$2</f>
        <v>490100</v>
      </c>
      <c r="B299" s="5">
        <v>941</v>
      </c>
      <c r="C299" s="7" t="str">
        <f t="shared" si="24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 t="str">
        <f t="shared" si="19"/>
        <v/>
      </c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IFERROR(VLOOKUP(B299,input_490100!L:R,7,FALSE),IFERROR(VLOOKUP(tables_490100!C299,input_490100!A:H,8,FALSE),0))</f>
        <v>0</v>
      </c>
      <c r="P299" s="46">
        <f t="shared" ca="1" si="25"/>
        <v>0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input_490100!A$2</f>
        <v>490100</v>
      </c>
      <c r="B300" s="5">
        <v>943</v>
      </c>
      <c r="C300" s="7" t="str">
        <f t="shared" ref="C300:C304" si="26">D300&amp;J300&amp;E300&amp;F300&amp;G300</f>
        <v>PremiumSS5R5onlycolor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 t="str">
        <f t="shared" si="19"/>
        <v>color</v>
      </c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IFERROR(VLOOKUP(B300,input_490100!L:R,7,FALSE),IFERROR(VLOOKUP(tables_490100!C300,input_490100!A:H,8,FALSE),0))</f>
        <v>6600</v>
      </c>
      <c r="P300" s="46">
        <f t="shared" ref="P300:P304" ca="1" si="27">O300/SUM(O:O)</f>
        <v>1.0000000000015151E-3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input_490100!A$2</f>
        <v>490100</v>
      </c>
      <c r="B301" s="5">
        <v>1012</v>
      </c>
      <c r="C301" s="7" t="str">
        <f t="shared" si="26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 t="str">
        <f t="shared" si="19"/>
        <v/>
      </c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IFERROR(VLOOKUP(B301,input_490100!L:R,7,FALSE),IFERROR(VLOOKUP(tables_490100!C301,input_490100!A:H,8,FALSE),0))</f>
        <v>0</v>
      </c>
      <c r="P301" s="46">
        <f t="shared" ca="1" si="27"/>
        <v>0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input_490100!A$2</f>
        <v>490100</v>
      </c>
      <c r="B302" s="5">
        <v>1014</v>
      </c>
      <c r="C302" s="7" t="str">
        <f t="shared" si="26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 t="str">
        <f t="shared" si="19"/>
        <v/>
      </c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IFERROR(VLOOKUP(B302,input_490100!L:R,7,FALSE),IFERROR(VLOOKUP(tables_490100!C302,input_490100!A:H,8,FALSE),0))</f>
        <v>0</v>
      </c>
      <c r="P302" s="46">
        <f t="shared" ca="1" si="27"/>
        <v>0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input_490100!A$2</f>
        <v>490100</v>
      </c>
      <c r="B303" s="5">
        <v>1016</v>
      </c>
      <c r="C303" s="7" t="str">
        <f t="shared" si="26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 t="str">
        <f t="shared" si="19"/>
        <v/>
      </c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IFERROR(VLOOKUP(B303,input_490100!L:R,7,FALSE),IFERROR(VLOOKUP(tables_490100!C303,input_490100!A:H,8,FALSE),0))</f>
        <v>0</v>
      </c>
      <c r="P303" s="46">
        <f t="shared" ca="1" si="27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input_490100!A$2</f>
        <v>490100</v>
      </c>
      <c r="B304" s="5">
        <v>1017</v>
      </c>
      <c r="C304" s="7" t="str">
        <f t="shared" si="26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 t="str">
        <f t="shared" si="19"/>
        <v/>
      </c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IFERROR(VLOOKUP(B304,input_490100!L:R,7,FALSE),IFERROR(VLOOKUP(tables_490100!C304,input_490100!A:H,8,FALSE),0))</f>
        <v>0</v>
      </c>
      <c r="P304" s="46">
        <f t="shared" ca="1" si="27"/>
        <v>0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input_490100!A$2</f>
        <v>490100</v>
      </c>
      <c r="B305" s="5">
        <v>1018</v>
      </c>
      <c r="C305" s="7" t="str">
        <f t="shared" ref="C305:C308" si="28">D305&amp;J305&amp;E305&amp;F305&amp;G305</f>
        <v>PremiumSS5R5onlycolor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 t="str">
        <f t="shared" si="19"/>
        <v>color</v>
      </c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IFERROR(VLOOKUP(B305,input_490100!L:R,7,FALSE),IFERROR(VLOOKUP(tables_490100!C305,input_490100!A:H,8,FALSE),0))</f>
        <v>6600</v>
      </c>
      <c r="P305" s="46">
        <f t="shared" ref="P305:P308" ca="1" si="29">O305/SUM(O:O)</f>
        <v>1.0000000000015151E-3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input_490100!A$2</f>
        <v>490100</v>
      </c>
      <c r="B306" s="5">
        <v>1026</v>
      </c>
      <c r="C306" s="7" t="str">
        <f t="shared" si="28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 t="str">
        <f t="shared" si="19"/>
        <v/>
      </c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IFERROR(VLOOKUP(B306,input_490100!L:R,7,FALSE),IFERROR(VLOOKUP(tables_490100!C306,input_490100!A:H,8,FALSE),0))</f>
        <v>0</v>
      </c>
      <c r="P306" s="46">
        <f t="shared" ca="1" si="29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input_490100!A$2</f>
        <v>490100</v>
      </c>
      <c r="B307" s="5">
        <v>1027</v>
      </c>
      <c r="C307" s="7" t="str">
        <f t="shared" si="28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 t="str">
        <f t="shared" si="19"/>
        <v/>
      </c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IFERROR(VLOOKUP(B307,input_490100!L:R,7,FALSE),IFERROR(VLOOKUP(tables_490100!C307,input_490100!A:H,8,FALSE),0))</f>
        <v>0</v>
      </c>
      <c r="P307" s="46">
        <f t="shared" ca="1" si="29"/>
        <v>0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input_490100!A$2</f>
        <v>490100</v>
      </c>
      <c r="B308" s="5">
        <v>1028</v>
      </c>
      <c r="C308" s="7" t="str">
        <f t="shared" si="28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 t="str">
        <f t="shared" si="19"/>
        <v/>
      </c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IFERROR(VLOOKUP(B308,input_490100!L:R,7,FALSE),IFERROR(VLOOKUP(tables_490100!C308,input_490100!A:H,8,FALSE),0))</f>
        <v>0</v>
      </c>
      <c r="P308" s="46">
        <f t="shared" ca="1" si="29"/>
        <v>0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input_490100!A$2</f>
        <v>490100</v>
      </c>
      <c r="B309" s="5">
        <v>1031</v>
      </c>
      <c r="C309" s="7" t="str">
        <f t="shared" ref="C309" si="30">D309&amp;J309&amp;E309&amp;F309&amp;G309</f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 t="str">
        <f t="shared" si="19"/>
        <v/>
      </c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IFERROR(VLOOKUP(B309,input_490100!L:R,7,FALSE),IFERROR(VLOOKUP(tables_490100!C309,input_490100!A:H,8,FALSE),0))</f>
        <v>0</v>
      </c>
      <c r="P309" s="46">
        <f t="shared" ref="P309" ca="1" si="31">O309/SUM(O:O)</f>
        <v>0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input_490100!A$2</f>
        <v>490100</v>
      </c>
      <c r="B310" s="5">
        <v>1033</v>
      </c>
      <c r="C310" s="7" t="str">
        <f t="shared" ref="C310:C314" si="32">D310&amp;J310&amp;E310&amp;F310&amp;G310</f>
        <v>PremiumSS5R5onlycolor</v>
      </c>
      <c r="D310" s="7" t="str">
        <f t="shared" ref="D310:D314" si="33">IF(OR(I310="PremiumSS",I310="PremiumSSw"),"PremiumSS",IF(I310="PremiumSSS",I310,IF(I310="PremiumW",I310,"Premium")))</f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 t="str">
        <f t="shared" si="19"/>
        <v>color</v>
      </c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IFERROR(VLOOKUP(B310,input_490100!L:R,7,FALSE),IFERROR(VLOOKUP(tables_490100!C310,input_490100!A:H,8,FALSE),0))</f>
        <v>6600</v>
      </c>
      <c r="P310" s="46">
        <f t="shared" ref="P310:P314" ca="1" si="34">O310/SUM(O:O)</f>
        <v>1.0000000000015151E-3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input_490100!A$2</f>
        <v>490100</v>
      </c>
      <c r="B311" s="5">
        <v>1067</v>
      </c>
      <c r="C311" s="7" t="str">
        <f t="shared" si="32"/>
        <v>Premium4R3less</v>
      </c>
      <c r="D311" s="7" t="str">
        <f t="shared" si="33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 t="str">
        <f t="shared" si="19"/>
        <v/>
      </c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IFERROR(VLOOKUP(B311,input_490100!L:R,7,FALSE),IFERROR(VLOOKUP(tables_490100!C311,input_490100!A:H,8,FALSE),0))</f>
        <v>0</v>
      </c>
      <c r="P311" s="46">
        <f t="shared" ca="1" si="34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input_490100!A$2</f>
        <v>490100</v>
      </c>
      <c r="B312" s="5">
        <v>1068</v>
      </c>
      <c r="C312" s="7" t="str">
        <f t="shared" si="32"/>
        <v>Premium5R3less</v>
      </c>
      <c r="D312" s="7" t="str">
        <f t="shared" si="33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 t="str">
        <f t="shared" si="19"/>
        <v/>
      </c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IFERROR(VLOOKUP(B312,input_490100!L:R,7,FALSE),IFERROR(VLOOKUP(tables_490100!C312,input_490100!A:H,8,FALSE),0))</f>
        <v>0</v>
      </c>
      <c r="P312" s="46">
        <f t="shared" ca="1" si="34"/>
        <v>0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input_490100!A$2</f>
        <v>490100</v>
      </c>
      <c r="B313" s="5">
        <v>1069</v>
      </c>
      <c r="C313" s="7" t="str">
        <f t="shared" si="32"/>
        <v>PremiumSS5R5only</v>
      </c>
      <c r="D313" s="7" t="str">
        <f t="shared" si="33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 t="str">
        <f t="shared" si="19"/>
        <v/>
      </c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IFERROR(VLOOKUP(B313,input_490100!L:R,7,FALSE),IFERROR(VLOOKUP(tables_490100!C313,input_490100!A:H,8,FALSE),0))</f>
        <v>0</v>
      </c>
      <c r="P313" s="46">
        <f t="shared" ca="1" si="34"/>
        <v>0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input_490100!A$2</f>
        <v>490100</v>
      </c>
      <c r="B314" s="5">
        <v>1072</v>
      </c>
      <c r="C314" s="7" t="str">
        <f t="shared" si="32"/>
        <v>PremiumSS5R5only</v>
      </c>
      <c r="D314" s="7" t="str">
        <f t="shared" si="33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 t="str">
        <f t="shared" si="19"/>
        <v/>
      </c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IFERROR(VLOOKUP(B314,input_490100!L:R,7,FALSE),IFERROR(VLOOKUP(tables_490100!C314,input_490100!A:H,8,FALSE),0))</f>
        <v>0</v>
      </c>
      <c r="P314" s="46">
        <f t="shared" ca="1" si="34"/>
        <v>0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input_490100!A$2</f>
        <v>490100</v>
      </c>
      <c r="B315" s="5">
        <v>1074</v>
      </c>
      <c r="C315" s="7" t="str">
        <f t="shared" ref="C315:C319" si="35">D315&amp;J315&amp;E315&amp;F315&amp;G315</f>
        <v>PremiumSS5R5onlycolor</v>
      </c>
      <c r="D315" s="7" t="str">
        <f t="shared" ref="D315:D319" si="36">IF(OR(I315="PremiumSS",I315="PremiumSSw"),"PremiumSS",IF(I315="PremiumSSS",I315,IF(I315="PremiumW",I315,"Premium")))</f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 t="str">
        <f t="shared" si="19"/>
        <v>color</v>
      </c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IFERROR(VLOOKUP(B315,input_490100!L:R,7,FALSE),IFERROR(VLOOKUP(tables_490100!C315,input_490100!A:H,8,FALSE),0))</f>
        <v>6600</v>
      </c>
      <c r="P315" s="46">
        <f t="shared" ref="P315:P319" ca="1" si="37">O315/SUM(O:O)</f>
        <v>1.0000000000015151E-3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input_490100!A$2</f>
        <v>490100</v>
      </c>
      <c r="B316" s="5">
        <v>1100</v>
      </c>
      <c r="C316" s="7" t="str">
        <f t="shared" si="35"/>
        <v>PremiumSS5R5only</v>
      </c>
      <c r="D316" s="7" t="str">
        <f t="shared" si="36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 t="str">
        <f t="shared" si="19"/>
        <v/>
      </c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IFERROR(VLOOKUP(B316,input_490100!L:R,7,FALSE),IFERROR(VLOOKUP(tables_490100!C316,input_490100!A:H,8,FALSE),0))</f>
        <v>0</v>
      </c>
      <c r="P316" s="46">
        <f t="shared" ca="1" si="37"/>
        <v>0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input_490100!A$2</f>
        <v>490100</v>
      </c>
      <c r="B317" s="5">
        <v>1102</v>
      </c>
      <c r="C317" s="7" t="str">
        <f t="shared" si="35"/>
        <v>PremiumSS5R5only</v>
      </c>
      <c r="D317" s="7" t="str">
        <f t="shared" si="36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 t="str">
        <f t="shared" si="19"/>
        <v/>
      </c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IFERROR(VLOOKUP(B317,input_490100!L:R,7,FALSE),IFERROR(VLOOKUP(tables_490100!C317,input_490100!A:H,8,FALSE),0))</f>
        <v>0</v>
      </c>
      <c r="P317" s="46">
        <f t="shared" ca="1" si="37"/>
        <v>0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input_490100!A$2</f>
        <v>490100</v>
      </c>
      <c r="B318" s="5">
        <v>1104</v>
      </c>
      <c r="C318" s="7" t="str">
        <f t="shared" si="35"/>
        <v>Premium4R3less</v>
      </c>
      <c r="D318" s="7" t="str">
        <f t="shared" si="36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 t="str">
        <f t="shared" si="19"/>
        <v/>
      </c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IFERROR(VLOOKUP(B318,input_490100!L:R,7,FALSE),IFERROR(VLOOKUP(tables_490100!C318,input_490100!A:H,8,FALSE),0))</f>
        <v>0</v>
      </c>
      <c r="P318" s="46">
        <f t="shared" ca="1" si="37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input_490100!A$2</f>
        <v>490100</v>
      </c>
      <c r="B319" s="5">
        <v>1105</v>
      </c>
      <c r="C319" s="7" t="str">
        <f t="shared" si="35"/>
        <v>Premium5R3less</v>
      </c>
      <c r="D319" s="7" t="str">
        <f t="shared" si="36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 t="str">
        <f t="shared" si="19"/>
        <v/>
      </c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IFERROR(VLOOKUP(B319,input_490100!L:R,7,FALSE),IFERROR(VLOOKUP(tables_490100!C319,input_490100!A:H,8,FALSE),0))</f>
        <v>0</v>
      </c>
      <c r="P319" s="46">
        <f t="shared" ca="1" si="37"/>
        <v>0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input_490100!A$2</f>
        <v>490100</v>
      </c>
      <c r="B320" s="5">
        <v>1106</v>
      </c>
      <c r="C320" s="7" t="str">
        <f t="shared" ref="C320:C324" si="38">D320&amp;J320&amp;E320&amp;F320&amp;G320</f>
        <v>PremiumSS5R5onlycolor</v>
      </c>
      <c r="D320" s="7" t="str">
        <f t="shared" ref="D320:D324" si="39">IF(OR(I320="PremiumSS",I320="PremiumSSw"),"PremiumSS",IF(I320="PremiumSSS",I320,IF(I320="PremiumW",I320,"Premium")))</f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 t="str">
        <f t="shared" si="19"/>
        <v>color</v>
      </c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IFERROR(VLOOKUP(B320,input_490100!L:R,7,FALSE),IFERROR(VLOOKUP(tables_490100!C320,input_490100!A:H,8,FALSE),0))</f>
        <v>6600</v>
      </c>
      <c r="P320" s="46">
        <f t="shared" ref="P320:P324" ca="1" si="40">O320/SUM(O:O)</f>
        <v>1.0000000000015151E-3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input_490100!A$2</f>
        <v>490100</v>
      </c>
      <c r="B321" s="5">
        <v>1137</v>
      </c>
      <c r="C321" s="7" t="str">
        <f t="shared" si="38"/>
        <v>PremiumSS5R5only</v>
      </c>
      <c r="D321" s="7" t="str">
        <f t="shared" si="39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 t="str">
        <f t="shared" si="19"/>
        <v/>
      </c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IFERROR(VLOOKUP(B321,input_490100!L:R,7,FALSE),IFERROR(VLOOKUP(tables_490100!C321,input_490100!A:H,8,FALSE),0))</f>
        <v>0</v>
      </c>
      <c r="P321" s="46">
        <f t="shared" ca="1" si="40"/>
        <v>0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input_490100!A$2</f>
        <v>490100</v>
      </c>
      <c r="B322" s="5">
        <v>1139</v>
      </c>
      <c r="C322" s="7" t="str">
        <f t="shared" si="38"/>
        <v>PremiumSS5R5only</v>
      </c>
      <c r="D322" s="7" t="str">
        <f t="shared" si="39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 t="str">
        <f t="shared" si="19"/>
        <v/>
      </c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IFERROR(VLOOKUP(B322,input_490100!L:R,7,FALSE),IFERROR(VLOOKUP(tables_490100!C322,input_490100!A:H,8,FALSE),0))</f>
        <v>0</v>
      </c>
      <c r="P322" s="46">
        <f t="shared" ca="1" si="40"/>
        <v>0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input_490100!A$2</f>
        <v>490100</v>
      </c>
      <c r="B323" s="5">
        <v>1141</v>
      </c>
      <c r="C323" s="7" t="str">
        <f t="shared" si="38"/>
        <v>PremiumSS5R5only</v>
      </c>
      <c r="D323" s="7" t="str">
        <f t="shared" si="39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 t="str">
        <f t="shared" ref="G323:G340" si="41">IF(K323="yellow","color","")</f>
        <v/>
      </c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IFERROR(VLOOKUP(B323,input_490100!L:R,7,FALSE),IFERROR(VLOOKUP(tables_490100!C323,input_490100!A:H,8,FALSE),0))</f>
        <v>0</v>
      </c>
      <c r="P323" s="46">
        <f t="shared" ca="1" si="40"/>
        <v>0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input_490100!A$2</f>
        <v>490100</v>
      </c>
      <c r="B324" s="2">
        <v>1143</v>
      </c>
      <c r="C324" s="7" t="str">
        <f t="shared" si="38"/>
        <v>Premium4R3lesscolor</v>
      </c>
      <c r="D324" s="7" t="str">
        <f t="shared" si="39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 t="str">
        <f t="shared" si="41"/>
        <v>color</v>
      </c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IFERROR(VLOOKUP(B324,input_490100!L:R,7,FALSE),IFERROR(VLOOKUP(tables_490100!C324,input_490100!A:H,8,FALSE),0))</f>
        <v>263625</v>
      </c>
      <c r="P324" s="46">
        <f t="shared" ca="1" si="40"/>
        <v>3.9943181818242336E-2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input_490100!A$2</f>
        <v>490100</v>
      </c>
      <c r="B325" s="2">
        <v>1144</v>
      </c>
      <c r="C325" s="7" t="str">
        <f t="shared" ref="C325:C330" si="42">D325&amp;J325&amp;E325&amp;F325&amp;G325</f>
        <v>Premium5R3lesscolor</v>
      </c>
      <c r="D325" s="7" t="str">
        <f t="shared" ref="D325:D330" si="43">IF(OR(I325="PremiumSS",I325="PremiumSSw"),"PremiumSS",IF(I325="PremiumSSS",I325,IF(I325="PremiumW",I325,"Premium")))</f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 t="str">
        <f t="shared" si="41"/>
        <v>color</v>
      </c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IFERROR(VLOOKUP(B325,input_490100!L:R,7,FALSE),IFERROR(VLOOKUP(tables_490100!C325,input_490100!A:H,8,FALSE),0))</f>
        <v>13875</v>
      </c>
      <c r="P325" s="46">
        <f t="shared" ref="P325:P330" ca="1" si="44">O325/SUM(O:O)</f>
        <v>2.1022727272759123E-3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input_490100!A$2</f>
        <v>490100</v>
      </c>
      <c r="B326" s="2">
        <v>1151</v>
      </c>
      <c r="C326" s="7" t="str">
        <f t="shared" si="42"/>
        <v>Premium4R3less</v>
      </c>
      <c r="D326" s="7" t="str">
        <f t="shared" si="4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 t="str">
        <f t="shared" si="41"/>
        <v/>
      </c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IFERROR(VLOOKUP(B326,input_490100!L:R,7,FALSE),IFERROR(VLOOKUP(tables_490100!C326,input_490100!A:H,8,FALSE),0))</f>
        <v>0</v>
      </c>
      <c r="P326" s="46">
        <f t="shared" ca="1" si="44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input_490100!A$2</f>
        <v>490100</v>
      </c>
      <c r="B327" s="2">
        <v>1152</v>
      </c>
      <c r="C327" s="7" t="str">
        <f t="shared" si="42"/>
        <v>Premium5R3less</v>
      </c>
      <c r="D327" s="7" t="str">
        <f t="shared" si="4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 t="str">
        <f t="shared" si="41"/>
        <v/>
      </c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IFERROR(VLOOKUP(B327,input_490100!L:R,7,FALSE),IFERROR(VLOOKUP(tables_490100!C327,input_490100!A:H,8,FALSE),0))</f>
        <v>0</v>
      </c>
      <c r="P327" s="46">
        <f t="shared" ca="1" si="44"/>
        <v>0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input_490100!A$2</f>
        <v>490100</v>
      </c>
      <c r="B328" s="2">
        <v>1153</v>
      </c>
      <c r="C328" s="7" t="str">
        <f t="shared" si="42"/>
        <v>PremiumSS5R5only</v>
      </c>
      <c r="D328" s="7" t="str">
        <f t="shared" si="4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 t="str">
        <f t="shared" si="41"/>
        <v/>
      </c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IFERROR(VLOOKUP(B328,input_490100!L:R,7,FALSE),IFERROR(VLOOKUP(tables_490100!C328,input_490100!A:H,8,FALSE),0))</f>
        <v>0</v>
      </c>
      <c r="P328" s="46">
        <f t="shared" ca="1" si="44"/>
        <v>0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input_490100!A$2</f>
        <v>490100</v>
      </c>
      <c r="B329" s="2">
        <v>1155</v>
      </c>
      <c r="C329" s="7" t="str">
        <f t="shared" si="42"/>
        <v>PremiumSS5R5only</v>
      </c>
      <c r="D329" s="7" t="str">
        <f t="shared" si="4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 t="str">
        <f t="shared" si="41"/>
        <v/>
      </c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IFERROR(VLOOKUP(B329,input_490100!L:R,7,FALSE),IFERROR(VLOOKUP(tables_490100!C329,input_490100!A:H,8,FALSE),0))</f>
        <v>0</v>
      </c>
      <c r="P329" s="46">
        <f t="shared" ca="1" si="44"/>
        <v>0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input_490100!A$2</f>
        <v>490100</v>
      </c>
      <c r="B330" s="2">
        <v>1157</v>
      </c>
      <c r="C330" s="7" t="str">
        <f t="shared" si="42"/>
        <v>PremiumSS5R5onlycolor</v>
      </c>
      <c r="D330" s="7" t="str">
        <f t="shared" si="4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 t="str">
        <f t="shared" si="41"/>
        <v>color</v>
      </c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IFERROR(VLOOKUP(B330,input_490100!L:R,7,FALSE),IFERROR(VLOOKUP(tables_490100!C330,input_490100!A:H,8,FALSE),0))</f>
        <v>6600</v>
      </c>
      <c r="P330" s="46">
        <f t="shared" ca="1" si="44"/>
        <v>1.0000000000015151E-3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input_490100!A$2</f>
        <v>490100</v>
      </c>
      <c r="B331" s="60">
        <v>1214</v>
      </c>
      <c r="C331" s="7" t="str">
        <f t="shared" ref="C331:C340" si="45">D331&amp;J331&amp;E331&amp;F331&amp;G331</f>
        <v>PremiumSS5R5onlycolor</v>
      </c>
      <c r="D331" s="7" t="str">
        <f t="shared" ref="D331:D340" si="46">IF(OR(I331="PremiumSS",I331="PremiumSSw"),"PremiumSS",IF(I331="PremiumSSS",I331,IF(I331="PremiumW",I331,"Premium")))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 t="str">
        <f t="shared" si="41"/>
        <v>color</v>
      </c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IFERROR(VLOOKUP(B331,input_490100!L:R,7,FALSE),IFERROR(VLOOKUP(tables_490100!C331,input_490100!A:H,8,FALSE),0))</f>
        <v>6600</v>
      </c>
      <c r="P331" s="46">
        <f t="shared" ref="P331:P340" ca="1" si="47">O331/SUM(O:O)</f>
        <v>1.0000000000015151E-3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input_490100!A$2</f>
        <v>490100</v>
      </c>
      <c r="B332" s="60">
        <v>1212</v>
      </c>
      <c r="C332" s="7" t="str">
        <f t="shared" si="45"/>
        <v>PremiumSS5R5only</v>
      </c>
      <c r="D332" s="7" t="str">
        <f t="shared" si="46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 t="str">
        <f t="shared" si="41"/>
        <v/>
      </c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IFERROR(VLOOKUP(B332,input_490100!L:R,7,FALSE),IFERROR(VLOOKUP(tables_490100!C332,input_490100!A:H,8,FALSE),0))</f>
        <v>0</v>
      </c>
      <c r="P332" s="46">
        <f t="shared" ca="1" si="47"/>
        <v>0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input_490100!A$2</f>
        <v>490100</v>
      </c>
      <c r="B333" s="60">
        <v>1208</v>
      </c>
      <c r="C333" s="7" t="str">
        <f t="shared" si="45"/>
        <v>PremiumSS5R5only</v>
      </c>
      <c r="D333" s="7" t="str">
        <f t="shared" si="46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 t="str">
        <f t="shared" si="41"/>
        <v/>
      </c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IFERROR(VLOOKUP(B333,input_490100!L:R,7,FALSE),IFERROR(VLOOKUP(tables_490100!C333,input_490100!A:H,8,FALSE),0))</f>
        <v>0</v>
      </c>
      <c r="P333" s="46">
        <f t="shared" ca="1" si="47"/>
        <v>0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input_490100!A$2</f>
        <v>490100</v>
      </c>
      <c r="B334" s="93">
        <v>1210</v>
      </c>
      <c r="C334" s="7" t="str">
        <f t="shared" si="45"/>
        <v>Premium4R3less</v>
      </c>
      <c r="D334" s="7" t="str">
        <f t="shared" si="46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 t="str">
        <f t="shared" si="41"/>
        <v/>
      </c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IFERROR(VLOOKUP(B334,input_490100!L:R,7,FALSE),IFERROR(VLOOKUP(tables_490100!C334,input_490100!A:H,8,FALSE),0))</f>
        <v>0</v>
      </c>
      <c r="P334" s="46">
        <f t="shared" ca="1" si="47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input_490100!A$2</f>
        <v>490100</v>
      </c>
      <c r="B335" s="60">
        <v>1211</v>
      </c>
      <c r="C335" s="7" t="str">
        <f t="shared" si="45"/>
        <v>Premium5R3less</v>
      </c>
      <c r="D335" s="7" t="str">
        <f t="shared" si="46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 t="str">
        <f t="shared" si="41"/>
        <v/>
      </c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IFERROR(VLOOKUP(B335,input_490100!L:R,7,FALSE),IFERROR(VLOOKUP(tables_490100!C335,input_490100!A:H,8,FALSE),0))</f>
        <v>0</v>
      </c>
      <c r="P335" s="46">
        <f t="shared" ca="1" si="47"/>
        <v>0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input_490100!A$2</f>
        <v>490100</v>
      </c>
      <c r="B336" s="2">
        <v>1224</v>
      </c>
      <c r="C336" s="7" t="str">
        <f t="shared" si="45"/>
        <v>Premium4R3less</v>
      </c>
      <c r="D336" s="7" t="str">
        <f t="shared" si="46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 t="str">
        <f t="shared" si="41"/>
        <v/>
      </c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IFERROR(VLOOKUP(B336,input_490100!L:R,7,FALSE),IFERROR(VLOOKUP(tables_490100!C336,input_490100!A:H,8,FALSE),0))</f>
        <v>0</v>
      </c>
      <c r="P336" s="46">
        <f t="shared" ca="1" si="47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input_490100!A$2</f>
        <v>490100</v>
      </c>
      <c r="B337" s="2">
        <v>1225</v>
      </c>
      <c r="C337" s="7" t="str">
        <f t="shared" si="45"/>
        <v>Premium5R3less</v>
      </c>
      <c r="D337" s="7" t="str">
        <f t="shared" si="46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 t="str">
        <f t="shared" si="41"/>
        <v/>
      </c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IFERROR(VLOOKUP(B337,input_490100!L:R,7,FALSE),IFERROR(VLOOKUP(tables_490100!C337,input_490100!A:H,8,FALSE),0))</f>
        <v>0</v>
      </c>
      <c r="P337" s="46">
        <f t="shared" ca="1" si="47"/>
        <v>0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input_490100!A$2</f>
        <v>490100</v>
      </c>
      <c r="B338" s="2">
        <v>1226</v>
      </c>
      <c r="C338" s="7" t="str">
        <f t="shared" si="45"/>
        <v>PremiumSS5R5only</v>
      </c>
      <c r="D338" s="7" t="str">
        <f t="shared" si="46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 t="str">
        <f t="shared" si="41"/>
        <v/>
      </c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IFERROR(VLOOKUP(B338,input_490100!L:R,7,FALSE),IFERROR(VLOOKUP(tables_490100!C338,input_490100!A:H,8,FALSE),0))</f>
        <v>0</v>
      </c>
      <c r="P338" s="46">
        <f t="shared" ca="1" si="47"/>
        <v>0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input_490100!A$2</f>
        <v>490100</v>
      </c>
      <c r="B339" s="2">
        <v>1228</v>
      </c>
      <c r="C339" s="7" t="str">
        <f t="shared" si="45"/>
        <v>PremiumSS5R5only</v>
      </c>
      <c r="D339" s="7" t="str">
        <f t="shared" si="46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 t="str">
        <f t="shared" si="41"/>
        <v/>
      </c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IFERROR(VLOOKUP(B339,input_490100!L:R,7,FALSE),IFERROR(VLOOKUP(tables_490100!C339,input_490100!A:H,8,FALSE),0))</f>
        <v>0</v>
      </c>
      <c r="P339" s="46">
        <f t="shared" ca="1" si="47"/>
        <v>0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input_490100!A$2</f>
        <v>490100</v>
      </c>
      <c r="B340" s="2">
        <v>1230</v>
      </c>
      <c r="C340" s="7" t="str">
        <f t="shared" si="45"/>
        <v>PremiumSS5R5onlycolor</v>
      </c>
      <c r="D340" s="7" t="str">
        <f t="shared" si="46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 t="str">
        <f t="shared" si="41"/>
        <v>color</v>
      </c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IFERROR(VLOOKUP(B340,input_490100!L:R,7,FALSE),IFERROR(VLOOKUP(tables_490100!C340,input_490100!A:H,8,FALSE),0))</f>
        <v>6600</v>
      </c>
      <c r="P340" s="46">
        <f t="shared" ca="1" si="47"/>
        <v>1.0000000000015151E-3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A2" sqref="A2:A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490105</v>
      </c>
      <c r="B2" s="60">
        <v>594</v>
      </c>
      <c r="C2" s="7" t="str">
        <f t="shared" ref="C2" si="0">D2&amp;J2&amp;E2&amp;F2&amp;G2</f>
        <v>PremiumSS4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アルフヘイム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dragon</v>
      </c>
      <c r="N2" s="7" t="str">
        <f>VLOOKUP(B2,[1]characters!$A:$G,7,FALSE)</f>
        <v>不明</v>
      </c>
      <c r="O2" s="45">
        <v>10</v>
      </c>
      <c r="P2" s="46">
        <f>O2/SUM(O:O)</f>
        <v>0.25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490105</v>
      </c>
      <c r="B3" s="60">
        <v>595</v>
      </c>
      <c r="C3" s="7" t="str">
        <f t="shared" ref="C3:C5" si="1">D3&amp;J3&amp;E3&amp;F3&amp;G3</f>
        <v>PremiumSS5</v>
      </c>
      <c r="D3" s="7" t="str">
        <f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光華なる神域 アルフヘイム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dragon</v>
      </c>
      <c r="N3" s="7" t="str">
        <f>VLOOKUP(B3,[1]characters!$A:$G,7,FALSE)</f>
        <v>不明</v>
      </c>
      <c r="O3" s="45">
        <v>10</v>
      </c>
      <c r="P3" s="46">
        <f>O3/SUM(O:O)</f>
        <v>0.25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490105</v>
      </c>
      <c r="B4" s="60">
        <v>499</v>
      </c>
      <c r="C4" s="7" t="str">
        <f t="shared" si="1"/>
        <v>PremiumSS4</v>
      </c>
      <c r="D4" s="7" t="str">
        <f t="shared" ref="D4:D5" si="2">IF(OR(I4="PremiumSS",I4="PremiumSSw"),"PremiumSS",IF(I4="PremiumSSS",I4,IF(I4="PremiumW",I4,"Premium")))</f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ラプンツェル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10</v>
      </c>
      <c r="P4" s="46">
        <f>O4/SUM(O:O)</f>
        <v>0.25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490105</v>
      </c>
      <c r="B5" s="93">
        <v>500</v>
      </c>
      <c r="C5" s="7" t="str">
        <f t="shared" si="1"/>
        <v>PremiumSS5</v>
      </c>
      <c r="D5" s="7" t="str">
        <f t="shared" si="2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脈動の禁髪 ラプンツェル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</sheetData>
  <autoFilter ref="A1:V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input_490010</vt:lpstr>
      <vt:lpstr>tables_490010</vt:lpstr>
      <vt:lpstr>input_490100</vt:lpstr>
      <vt:lpstr>tables_490100</vt:lpstr>
      <vt:lpstr>tables_settle_490105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2016-12-16T03:25:08Z</dcterms:modified>
</cp:coreProperties>
</file>