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3680" yWindow="1320" windowWidth="21900" windowHeight="1672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stage_hints_failure!$B$1:$M$3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8" l="1"/>
  <c r="D15" i="18"/>
  <c r="C14" i="18"/>
  <c r="D14" i="18"/>
  <c r="C13" i="18"/>
  <c r="D13" i="18"/>
  <c r="J60" i="11"/>
  <c r="O63" i="9"/>
  <c r="N63" i="9"/>
  <c r="M63" i="9"/>
  <c r="L63" i="9"/>
  <c r="K63" i="9"/>
  <c r="J63" i="9"/>
  <c r="I63" i="9"/>
  <c r="H63" i="9"/>
  <c r="G63" i="9"/>
  <c r="E63" i="9"/>
  <c r="D63" i="9"/>
  <c r="A63" i="9"/>
  <c r="J59" i="11"/>
  <c r="O62" i="9"/>
  <c r="N62" i="9"/>
  <c r="M62" i="9"/>
  <c r="L62" i="9"/>
  <c r="K62" i="9"/>
  <c r="J62" i="9"/>
  <c r="I62" i="9"/>
  <c r="H62" i="9"/>
  <c r="G62" i="9"/>
  <c r="E62" i="9"/>
  <c r="D62" i="9"/>
  <c r="A62" i="9"/>
  <c r="J61" i="11"/>
  <c r="O64" i="9"/>
  <c r="N64" i="9"/>
  <c r="M64" i="9"/>
  <c r="L64" i="9"/>
  <c r="K64" i="9"/>
  <c r="J64" i="9"/>
  <c r="I64" i="9"/>
  <c r="H64" i="9"/>
  <c r="G64" i="9"/>
  <c r="E64" i="9"/>
  <c r="D64" i="9"/>
  <c r="A64" i="9"/>
  <c r="J62" i="1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C12" i="18"/>
  <c r="D12" i="18"/>
  <c r="C11" i="18"/>
  <c r="D11" i="18"/>
  <c r="C10" i="18"/>
  <c r="C9" i="18"/>
  <c r="C8" i="18"/>
  <c r="C7" i="18"/>
  <c r="C6" i="18"/>
  <c r="C5" i="18"/>
  <c r="C4" i="18"/>
  <c r="C3" i="18"/>
  <c r="C2" i="18"/>
  <c r="D10" i="18"/>
  <c r="D9" i="18"/>
  <c r="D8" i="18"/>
  <c r="D7" i="18"/>
  <c r="D6" i="18"/>
  <c r="D5" i="18"/>
  <c r="D4" i="18"/>
  <c r="D3" i="18"/>
  <c r="D2" i="18"/>
  <c r="J66" i="11"/>
  <c r="O58" i="9"/>
  <c r="N58" i="9"/>
  <c r="M58" i="9"/>
  <c r="L58" i="9"/>
  <c r="K58" i="9"/>
  <c r="J58" i="9"/>
  <c r="I58" i="9"/>
  <c r="H58" i="9"/>
  <c r="G58" i="9"/>
  <c r="E58" i="9"/>
  <c r="D58" i="9"/>
  <c r="A58" i="9"/>
  <c r="O51" i="9"/>
  <c r="N51" i="9"/>
  <c r="M51" i="9"/>
  <c r="L51" i="9"/>
  <c r="K51" i="9"/>
  <c r="J51" i="9"/>
  <c r="I51" i="9"/>
  <c r="H51" i="9"/>
  <c r="G51" i="9"/>
  <c r="E51" i="9"/>
  <c r="D51" i="9"/>
  <c r="A51" i="9"/>
  <c r="G63" i="10"/>
  <c r="H63" i="10"/>
  <c r="I63" i="10"/>
  <c r="J63" i="10"/>
  <c r="K63" i="10"/>
  <c r="L63" i="10"/>
  <c r="M63" i="10"/>
  <c r="N63" i="10"/>
  <c r="O63" i="10"/>
  <c r="P63" i="10"/>
  <c r="Q63" i="10"/>
  <c r="R63" i="10"/>
  <c r="S63" i="10"/>
  <c r="T63" i="10"/>
  <c r="U63" i="10"/>
  <c r="V63" i="10"/>
  <c r="W63" i="10"/>
  <c r="X63" i="10"/>
  <c r="Y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G66" i="9"/>
  <c r="H66" i="9"/>
  <c r="I66" i="9"/>
  <c r="J66" i="9"/>
  <c r="K66" i="9"/>
  <c r="L66" i="9"/>
  <c r="M66" i="9"/>
  <c r="N66" i="9"/>
  <c r="J63" i="11"/>
  <c r="O66" i="9"/>
  <c r="G67" i="9"/>
  <c r="H67" i="9"/>
  <c r="I67" i="9"/>
  <c r="J67" i="9"/>
  <c r="K67" i="9"/>
  <c r="L67" i="9"/>
  <c r="M67" i="9"/>
  <c r="N67" i="9"/>
  <c r="J64" i="11"/>
  <c r="O67" i="9"/>
  <c r="J65" i="11"/>
  <c r="A67" i="9"/>
  <c r="D67" i="9"/>
  <c r="E67" i="9"/>
  <c r="A66" i="9"/>
  <c r="D66" i="9"/>
  <c r="E66" i="9"/>
  <c r="G37" i="9"/>
  <c r="H37" i="9"/>
  <c r="I37" i="9"/>
  <c r="J37" i="9"/>
  <c r="K37" i="9"/>
  <c r="L37" i="9"/>
  <c r="M37" i="9"/>
  <c r="N37" i="9"/>
  <c r="J36" i="11"/>
  <c r="O37" i="9"/>
  <c r="G38" i="9"/>
  <c r="H38" i="9"/>
  <c r="I38" i="9"/>
  <c r="J38" i="9"/>
  <c r="K38" i="9"/>
  <c r="L38" i="9"/>
  <c r="M38" i="9"/>
  <c r="N38" i="9"/>
  <c r="J37" i="11"/>
  <c r="O38" i="9"/>
  <c r="G39" i="9"/>
  <c r="H39" i="9"/>
  <c r="I39" i="9"/>
  <c r="J39" i="9"/>
  <c r="K39" i="9"/>
  <c r="L39" i="9"/>
  <c r="M39" i="9"/>
  <c r="N39" i="9"/>
  <c r="J38" i="11"/>
  <c r="O39" i="9"/>
  <c r="G40" i="9"/>
  <c r="H40" i="9"/>
  <c r="I40" i="9"/>
  <c r="J40" i="9"/>
  <c r="K40" i="9"/>
  <c r="L40" i="9"/>
  <c r="M40" i="9"/>
  <c r="N40" i="9"/>
  <c r="J39" i="11"/>
  <c r="O40" i="9"/>
  <c r="G41" i="9"/>
  <c r="H41" i="9"/>
  <c r="I41" i="9"/>
  <c r="J41" i="9"/>
  <c r="K41" i="9"/>
  <c r="L41" i="9"/>
  <c r="M41" i="9"/>
  <c r="N41" i="9"/>
  <c r="J40" i="11"/>
  <c r="O41" i="9"/>
  <c r="G42" i="9"/>
  <c r="H42" i="9"/>
  <c r="I42" i="9"/>
  <c r="J42" i="9"/>
  <c r="K42" i="9"/>
  <c r="L42" i="9"/>
  <c r="M42" i="9"/>
  <c r="N42" i="9"/>
  <c r="J41" i="11"/>
  <c r="O42" i="9"/>
  <c r="G43" i="9"/>
  <c r="H43" i="9"/>
  <c r="I43" i="9"/>
  <c r="J43" i="9"/>
  <c r="K43" i="9"/>
  <c r="L43" i="9"/>
  <c r="M43" i="9"/>
  <c r="N43" i="9"/>
  <c r="J42" i="11"/>
  <c r="O43" i="9"/>
  <c r="G44" i="9"/>
  <c r="H44" i="9"/>
  <c r="I44" i="9"/>
  <c r="J44" i="9"/>
  <c r="K44" i="9"/>
  <c r="L44" i="9"/>
  <c r="M44" i="9"/>
  <c r="N44" i="9"/>
  <c r="J43" i="11"/>
  <c r="O44" i="9"/>
  <c r="G45" i="9"/>
  <c r="H45" i="9"/>
  <c r="I45" i="9"/>
  <c r="J45" i="9"/>
  <c r="K45" i="9"/>
  <c r="L45" i="9"/>
  <c r="M45" i="9"/>
  <c r="N45" i="9"/>
  <c r="J44" i="11"/>
  <c r="O45" i="9"/>
  <c r="G46" i="9"/>
  <c r="H46" i="9"/>
  <c r="I46" i="9"/>
  <c r="J46" i="9"/>
  <c r="K46" i="9"/>
  <c r="L46" i="9"/>
  <c r="M46" i="9"/>
  <c r="N46" i="9"/>
  <c r="J45" i="11"/>
  <c r="O46" i="9"/>
  <c r="G47" i="9"/>
  <c r="H47" i="9"/>
  <c r="I47" i="9"/>
  <c r="J47" i="9"/>
  <c r="K47" i="9"/>
  <c r="L47" i="9"/>
  <c r="M47" i="9"/>
  <c r="N47" i="9"/>
  <c r="J46" i="11"/>
  <c r="O47" i="9"/>
  <c r="G48" i="9"/>
  <c r="H48" i="9"/>
  <c r="I48" i="9"/>
  <c r="J48" i="9"/>
  <c r="K48" i="9"/>
  <c r="L48" i="9"/>
  <c r="M48" i="9"/>
  <c r="N48" i="9"/>
  <c r="J47" i="11"/>
  <c r="O48" i="9"/>
  <c r="G49" i="9"/>
  <c r="H49" i="9"/>
  <c r="I49" i="9"/>
  <c r="J49" i="9"/>
  <c r="K49" i="9"/>
  <c r="L49" i="9"/>
  <c r="M49" i="9"/>
  <c r="N49" i="9"/>
  <c r="J49" i="11"/>
  <c r="O49" i="9"/>
  <c r="G50" i="9"/>
  <c r="H50" i="9"/>
  <c r="I50" i="9"/>
  <c r="J50" i="9"/>
  <c r="K50" i="9"/>
  <c r="L50" i="9"/>
  <c r="M50" i="9"/>
  <c r="N50" i="9"/>
  <c r="J48" i="11"/>
  <c r="O50" i="9"/>
  <c r="G52" i="9"/>
  <c r="H52" i="9"/>
  <c r="I52" i="9"/>
  <c r="J52" i="9"/>
  <c r="K52" i="9"/>
  <c r="L52" i="9"/>
  <c r="M52" i="9"/>
  <c r="N52" i="9"/>
  <c r="J50" i="11"/>
  <c r="O52" i="9"/>
  <c r="G53" i="9"/>
  <c r="H53" i="9"/>
  <c r="I53" i="9"/>
  <c r="J53" i="9"/>
  <c r="K53" i="9"/>
  <c r="L53" i="9"/>
  <c r="M53" i="9"/>
  <c r="N53" i="9"/>
  <c r="J51" i="11"/>
  <c r="O53" i="9"/>
  <c r="G54" i="9"/>
  <c r="H54" i="9"/>
  <c r="I54" i="9"/>
  <c r="J54" i="9"/>
  <c r="K54" i="9"/>
  <c r="L54" i="9"/>
  <c r="M54" i="9"/>
  <c r="N54" i="9"/>
  <c r="J52" i="11"/>
  <c r="O54" i="9"/>
  <c r="G55" i="9"/>
  <c r="H55" i="9"/>
  <c r="I55" i="9"/>
  <c r="J55" i="9"/>
  <c r="K55" i="9"/>
  <c r="L55" i="9"/>
  <c r="M55" i="9"/>
  <c r="N55" i="9"/>
  <c r="J53" i="11"/>
  <c r="O55" i="9"/>
  <c r="G56" i="9"/>
  <c r="H56" i="9"/>
  <c r="I56" i="9"/>
  <c r="J56" i="9"/>
  <c r="K56" i="9"/>
  <c r="L56" i="9"/>
  <c r="M56" i="9"/>
  <c r="N56" i="9"/>
  <c r="J54" i="11"/>
  <c r="O56" i="9"/>
  <c r="G57" i="9"/>
  <c r="H57" i="9"/>
  <c r="I57" i="9"/>
  <c r="J57" i="9"/>
  <c r="K57" i="9"/>
  <c r="L57" i="9"/>
  <c r="M57" i="9"/>
  <c r="N57" i="9"/>
  <c r="J55" i="11"/>
  <c r="O57" i="9"/>
  <c r="G59" i="9"/>
  <c r="H59" i="9"/>
  <c r="I59" i="9"/>
  <c r="J59" i="9"/>
  <c r="K59" i="9"/>
  <c r="L59" i="9"/>
  <c r="M59" i="9"/>
  <c r="N59" i="9"/>
  <c r="J56" i="11"/>
  <c r="O59" i="9"/>
  <c r="G60" i="9"/>
  <c r="H60" i="9"/>
  <c r="I60" i="9"/>
  <c r="J60" i="9"/>
  <c r="K60" i="9"/>
  <c r="L60" i="9"/>
  <c r="M60" i="9"/>
  <c r="N60" i="9"/>
  <c r="J57" i="11"/>
  <c r="O60" i="9"/>
  <c r="G61" i="9"/>
  <c r="H61" i="9"/>
  <c r="I61" i="9"/>
  <c r="J61" i="9"/>
  <c r="K61" i="9"/>
  <c r="L61" i="9"/>
  <c r="M61" i="9"/>
  <c r="N61" i="9"/>
  <c r="J58" i="11"/>
  <c r="O61" i="9"/>
  <c r="G65" i="9"/>
  <c r="H65" i="9"/>
  <c r="I65" i="9"/>
  <c r="J65" i="9"/>
  <c r="K65" i="9"/>
  <c r="L65" i="9"/>
  <c r="M65" i="9"/>
  <c r="N65" i="9"/>
  <c r="O65" i="9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B7" i="21"/>
  <c r="C7" i="21"/>
  <c r="D7" i="21"/>
  <c r="F7" i="21"/>
  <c r="G7" i="21"/>
  <c r="I7" i="21"/>
  <c r="J7" i="21"/>
  <c r="B2" i="21"/>
  <c r="I2" i="21"/>
  <c r="J2" i="21"/>
  <c r="G2" i="21"/>
  <c r="F2" i="21"/>
  <c r="D2" i="21"/>
  <c r="C2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G3" i="9"/>
  <c r="H3" i="9"/>
  <c r="I3" i="9"/>
  <c r="J3" i="9"/>
  <c r="K3" i="9"/>
  <c r="L3" i="9"/>
  <c r="M3" i="9"/>
  <c r="N3" i="9"/>
  <c r="J9" i="11"/>
  <c r="O3" i="9"/>
  <c r="G4" i="9"/>
  <c r="H4" i="9"/>
  <c r="I4" i="9"/>
  <c r="J4" i="9"/>
  <c r="K4" i="9"/>
  <c r="L4" i="9"/>
  <c r="M4" i="9"/>
  <c r="N4" i="9"/>
  <c r="J3" i="11"/>
  <c r="O4" i="9"/>
  <c r="G5" i="9"/>
  <c r="H5" i="9"/>
  <c r="I5" i="9"/>
  <c r="J5" i="9"/>
  <c r="K5" i="9"/>
  <c r="L5" i="9"/>
  <c r="M5" i="9"/>
  <c r="N5" i="9"/>
  <c r="J4" i="11"/>
  <c r="O5" i="9"/>
  <c r="G6" i="9"/>
  <c r="H6" i="9"/>
  <c r="I6" i="9"/>
  <c r="J6" i="9"/>
  <c r="K6" i="9"/>
  <c r="L6" i="9"/>
  <c r="M6" i="9"/>
  <c r="N6" i="9"/>
  <c r="J5" i="11"/>
  <c r="O6" i="9"/>
  <c r="G7" i="9"/>
  <c r="H7" i="9"/>
  <c r="I7" i="9"/>
  <c r="J7" i="9"/>
  <c r="K7" i="9"/>
  <c r="L7" i="9"/>
  <c r="M7" i="9"/>
  <c r="N7" i="9"/>
  <c r="J6" i="11"/>
  <c r="O7" i="9"/>
  <c r="G8" i="9"/>
  <c r="H8" i="9"/>
  <c r="I8" i="9"/>
  <c r="J8" i="9"/>
  <c r="K8" i="9"/>
  <c r="L8" i="9"/>
  <c r="M8" i="9"/>
  <c r="N8" i="9"/>
  <c r="J7" i="11"/>
  <c r="O8" i="9"/>
  <c r="G9" i="9"/>
  <c r="H9" i="9"/>
  <c r="I9" i="9"/>
  <c r="J9" i="9"/>
  <c r="K9" i="9"/>
  <c r="L9" i="9"/>
  <c r="M9" i="9"/>
  <c r="N9" i="9"/>
  <c r="J8" i="11"/>
  <c r="O9" i="9"/>
  <c r="G10" i="9"/>
  <c r="H10" i="9"/>
  <c r="I10" i="9"/>
  <c r="J10" i="9"/>
  <c r="K10" i="9"/>
  <c r="L10" i="9"/>
  <c r="M10" i="9"/>
  <c r="N10" i="9"/>
  <c r="O10" i="9"/>
  <c r="G11" i="9"/>
  <c r="H11" i="9"/>
  <c r="I11" i="9"/>
  <c r="J11" i="9"/>
  <c r="K11" i="9"/>
  <c r="L11" i="9"/>
  <c r="M11" i="9"/>
  <c r="N11" i="9"/>
  <c r="J10" i="11"/>
  <c r="O11" i="9"/>
  <c r="G12" i="9"/>
  <c r="H12" i="9"/>
  <c r="I12" i="9"/>
  <c r="J12" i="9"/>
  <c r="K12" i="9"/>
  <c r="L12" i="9"/>
  <c r="M12" i="9"/>
  <c r="N12" i="9"/>
  <c r="J11" i="11"/>
  <c r="O12" i="9"/>
  <c r="G13" i="9"/>
  <c r="H13" i="9"/>
  <c r="I13" i="9"/>
  <c r="J13" i="9"/>
  <c r="K13" i="9"/>
  <c r="L13" i="9"/>
  <c r="M13" i="9"/>
  <c r="N13" i="9"/>
  <c r="J12" i="11"/>
  <c r="O13" i="9"/>
  <c r="G14" i="9"/>
  <c r="H14" i="9"/>
  <c r="I14" i="9"/>
  <c r="J14" i="9"/>
  <c r="K14" i="9"/>
  <c r="L14" i="9"/>
  <c r="M14" i="9"/>
  <c r="N14" i="9"/>
  <c r="J13" i="11"/>
  <c r="O14" i="9"/>
  <c r="G15" i="9"/>
  <c r="H15" i="9"/>
  <c r="I15" i="9"/>
  <c r="J15" i="9"/>
  <c r="K15" i="9"/>
  <c r="L15" i="9"/>
  <c r="M15" i="9"/>
  <c r="N15" i="9"/>
  <c r="J14" i="11"/>
  <c r="O15" i="9"/>
  <c r="G16" i="9"/>
  <c r="H16" i="9"/>
  <c r="I16" i="9"/>
  <c r="J16" i="9"/>
  <c r="K16" i="9"/>
  <c r="L16" i="9"/>
  <c r="M16" i="9"/>
  <c r="N16" i="9"/>
  <c r="J15" i="11"/>
  <c r="O16" i="9"/>
  <c r="G17" i="9"/>
  <c r="H17" i="9"/>
  <c r="I17" i="9"/>
  <c r="J17" i="9"/>
  <c r="K17" i="9"/>
  <c r="L17" i="9"/>
  <c r="M17" i="9"/>
  <c r="N17" i="9"/>
  <c r="J16" i="11"/>
  <c r="O17" i="9"/>
  <c r="G18" i="9"/>
  <c r="H18" i="9"/>
  <c r="I18" i="9"/>
  <c r="J18" i="9"/>
  <c r="K18" i="9"/>
  <c r="L18" i="9"/>
  <c r="M18" i="9"/>
  <c r="N18" i="9"/>
  <c r="J17" i="11"/>
  <c r="O18" i="9"/>
  <c r="G19" i="9"/>
  <c r="H19" i="9"/>
  <c r="I19" i="9"/>
  <c r="J19" i="9"/>
  <c r="K19" i="9"/>
  <c r="L19" i="9"/>
  <c r="M19" i="9"/>
  <c r="N19" i="9"/>
  <c r="J18" i="11"/>
  <c r="O19" i="9"/>
  <c r="G20" i="9"/>
  <c r="H20" i="9"/>
  <c r="I20" i="9"/>
  <c r="J20" i="9"/>
  <c r="K20" i="9"/>
  <c r="L20" i="9"/>
  <c r="M20" i="9"/>
  <c r="N20" i="9"/>
  <c r="J19" i="11"/>
  <c r="O20" i="9"/>
  <c r="G21" i="9"/>
  <c r="H21" i="9"/>
  <c r="I21" i="9"/>
  <c r="J21" i="9"/>
  <c r="K21" i="9"/>
  <c r="L21" i="9"/>
  <c r="M21" i="9"/>
  <c r="N21" i="9"/>
  <c r="J20" i="11"/>
  <c r="O21" i="9"/>
  <c r="G22" i="9"/>
  <c r="H22" i="9"/>
  <c r="I22" i="9"/>
  <c r="J22" i="9"/>
  <c r="K22" i="9"/>
  <c r="L22" i="9"/>
  <c r="M22" i="9"/>
  <c r="N22" i="9"/>
  <c r="J21" i="11"/>
  <c r="O22" i="9"/>
  <c r="G23" i="9"/>
  <c r="H23" i="9"/>
  <c r="I23" i="9"/>
  <c r="J23" i="9"/>
  <c r="K23" i="9"/>
  <c r="L23" i="9"/>
  <c r="M23" i="9"/>
  <c r="N23" i="9"/>
  <c r="J22" i="11"/>
  <c r="O23" i="9"/>
  <c r="G24" i="9"/>
  <c r="H24" i="9"/>
  <c r="I24" i="9"/>
  <c r="J24" i="9"/>
  <c r="K24" i="9"/>
  <c r="L24" i="9"/>
  <c r="M24" i="9"/>
  <c r="N24" i="9"/>
  <c r="J23" i="11"/>
  <c r="O24" i="9"/>
  <c r="G25" i="9"/>
  <c r="H25" i="9"/>
  <c r="I25" i="9"/>
  <c r="J25" i="9"/>
  <c r="K25" i="9"/>
  <c r="L25" i="9"/>
  <c r="M25" i="9"/>
  <c r="N25" i="9"/>
  <c r="J24" i="11"/>
  <c r="O25" i="9"/>
  <c r="G26" i="9"/>
  <c r="H26" i="9"/>
  <c r="I26" i="9"/>
  <c r="J26" i="9"/>
  <c r="K26" i="9"/>
  <c r="L26" i="9"/>
  <c r="M26" i="9"/>
  <c r="N26" i="9"/>
  <c r="J25" i="11"/>
  <c r="O26" i="9"/>
  <c r="G27" i="9"/>
  <c r="H27" i="9"/>
  <c r="I27" i="9"/>
  <c r="J27" i="9"/>
  <c r="K27" i="9"/>
  <c r="L27" i="9"/>
  <c r="M27" i="9"/>
  <c r="N27" i="9"/>
  <c r="J26" i="11"/>
  <c r="O27" i="9"/>
  <c r="G28" i="9"/>
  <c r="H28" i="9"/>
  <c r="I28" i="9"/>
  <c r="J28" i="9"/>
  <c r="K28" i="9"/>
  <c r="L28" i="9"/>
  <c r="M28" i="9"/>
  <c r="N28" i="9"/>
  <c r="J27" i="11"/>
  <c r="O28" i="9"/>
  <c r="G29" i="9"/>
  <c r="H29" i="9"/>
  <c r="I29" i="9"/>
  <c r="J29" i="9"/>
  <c r="K29" i="9"/>
  <c r="L29" i="9"/>
  <c r="M29" i="9"/>
  <c r="N29" i="9"/>
  <c r="J28" i="11"/>
  <c r="O29" i="9"/>
  <c r="G30" i="9"/>
  <c r="H30" i="9"/>
  <c r="I30" i="9"/>
  <c r="J30" i="9"/>
  <c r="K30" i="9"/>
  <c r="L30" i="9"/>
  <c r="M30" i="9"/>
  <c r="N30" i="9"/>
  <c r="J29" i="11"/>
  <c r="O30" i="9"/>
  <c r="G31" i="9"/>
  <c r="H31" i="9"/>
  <c r="I31" i="9"/>
  <c r="J31" i="9"/>
  <c r="K31" i="9"/>
  <c r="L31" i="9"/>
  <c r="M31" i="9"/>
  <c r="N31" i="9"/>
  <c r="J30" i="11"/>
  <c r="O31" i="9"/>
  <c r="G32" i="9"/>
  <c r="H32" i="9"/>
  <c r="I32" i="9"/>
  <c r="J32" i="9"/>
  <c r="K32" i="9"/>
  <c r="L32" i="9"/>
  <c r="M32" i="9"/>
  <c r="N32" i="9"/>
  <c r="J31" i="11"/>
  <c r="O32" i="9"/>
  <c r="G33" i="9"/>
  <c r="H33" i="9"/>
  <c r="I33" i="9"/>
  <c r="J33" i="9"/>
  <c r="K33" i="9"/>
  <c r="L33" i="9"/>
  <c r="M33" i="9"/>
  <c r="N33" i="9"/>
  <c r="J32" i="11"/>
  <c r="O33" i="9"/>
  <c r="G34" i="9"/>
  <c r="H34" i="9"/>
  <c r="I34" i="9"/>
  <c r="J34" i="9"/>
  <c r="K34" i="9"/>
  <c r="L34" i="9"/>
  <c r="M34" i="9"/>
  <c r="N34" i="9"/>
  <c r="J33" i="11"/>
  <c r="O34" i="9"/>
  <c r="G35" i="9"/>
  <c r="H35" i="9"/>
  <c r="I35" i="9"/>
  <c r="J35" i="9"/>
  <c r="K35" i="9"/>
  <c r="L35" i="9"/>
  <c r="M35" i="9"/>
  <c r="N35" i="9"/>
  <c r="J34" i="11"/>
  <c r="O35" i="9"/>
  <c r="G36" i="9"/>
  <c r="H36" i="9"/>
  <c r="I36" i="9"/>
  <c r="J36" i="9"/>
  <c r="K36" i="9"/>
  <c r="L36" i="9"/>
  <c r="M36" i="9"/>
  <c r="N36" i="9"/>
  <c r="J35" i="11"/>
  <c r="O36" i="9"/>
  <c r="E3" i="9"/>
  <c r="D3" i="9"/>
  <c r="A3" i="9"/>
  <c r="M2" i="10"/>
  <c r="T2" i="10"/>
  <c r="W2" i="10"/>
  <c r="V2" i="10"/>
  <c r="X2" i="10"/>
  <c r="U2" i="10"/>
  <c r="Y2" i="10"/>
  <c r="M13" i="10"/>
  <c r="M28" i="10"/>
  <c r="M42" i="10"/>
  <c r="M51" i="10"/>
  <c r="N51" i="10"/>
  <c r="Q51" i="10"/>
  <c r="P51" i="10"/>
  <c r="R51" i="10"/>
  <c r="O51" i="10"/>
  <c r="S51" i="10"/>
  <c r="N42" i="10"/>
  <c r="Q42" i="10"/>
  <c r="P42" i="10"/>
  <c r="R42" i="10"/>
  <c r="O42" i="10"/>
  <c r="S42" i="10"/>
  <c r="N28" i="10"/>
  <c r="Q28" i="10"/>
  <c r="P28" i="10"/>
  <c r="R28" i="10"/>
  <c r="O28" i="10"/>
  <c r="S28" i="10"/>
  <c r="N13" i="10"/>
  <c r="Q13" i="10"/>
  <c r="P13" i="10"/>
  <c r="R13" i="10"/>
  <c r="O13" i="10"/>
  <c r="S13" i="10"/>
  <c r="N2" i="10"/>
  <c r="Q2" i="10"/>
  <c r="P2" i="10"/>
  <c r="R2" i="10"/>
  <c r="O2" i="10"/>
  <c r="S2" i="10"/>
  <c r="G2" i="10"/>
  <c r="J2" i="10"/>
  <c r="I2" i="10"/>
  <c r="K2" i="10"/>
  <c r="H2" i="10"/>
  <c r="L2" i="10"/>
  <c r="E36" i="9"/>
  <c r="D36" i="9"/>
  <c r="A36" i="9"/>
  <c r="A18" i="9"/>
  <c r="D18" i="9"/>
  <c r="E18" i="9"/>
  <c r="A65" i="9"/>
  <c r="D65" i="9"/>
  <c r="E65" i="9"/>
  <c r="G59" i="10"/>
  <c r="H59" i="10"/>
  <c r="I59" i="10"/>
  <c r="J59" i="10"/>
  <c r="K59" i="10"/>
  <c r="L59" i="10"/>
  <c r="M59" i="10"/>
  <c r="N59" i="10"/>
  <c r="O59" i="10"/>
  <c r="P59" i="10"/>
  <c r="Q59" i="10"/>
  <c r="R59" i="10"/>
  <c r="S59" i="10"/>
  <c r="T59" i="10"/>
  <c r="U59" i="10"/>
  <c r="V59" i="10"/>
  <c r="W59" i="10"/>
  <c r="X59" i="10"/>
  <c r="Y59" i="10"/>
  <c r="A55" i="9"/>
  <c r="D55" i="9"/>
  <c r="E55" i="9"/>
  <c r="A56" i="9"/>
  <c r="D56" i="9"/>
  <c r="E56" i="9"/>
  <c r="A57" i="9"/>
  <c r="D57" i="9"/>
  <c r="E57" i="9"/>
  <c r="A59" i="9"/>
  <c r="D59" i="9"/>
  <c r="E59" i="9"/>
  <c r="A60" i="9"/>
  <c r="D60" i="9"/>
  <c r="E60" i="9"/>
  <c r="A61" i="9"/>
  <c r="D61" i="9"/>
  <c r="E61" i="9"/>
  <c r="G53" i="10"/>
  <c r="H53" i="10"/>
  <c r="I53" i="10"/>
  <c r="J53" i="10"/>
  <c r="K53" i="10"/>
  <c r="L53" i="10"/>
  <c r="M53" i="10"/>
  <c r="N53" i="10"/>
  <c r="O53" i="10"/>
  <c r="P53" i="10"/>
  <c r="Q53" i="10"/>
  <c r="R53" i="10"/>
  <c r="S53" i="10"/>
  <c r="T53" i="10"/>
  <c r="U53" i="10"/>
  <c r="V53" i="10"/>
  <c r="W53" i="10"/>
  <c r="X53" i="10"/>
  <c r="Y53" i="10"/>
  <c r="G54" i="10"/>
  <c r="H54" i="10"/>
  <c r="I54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G56" i="10"/>
  <c r="H56" i="10"/>
  <c r="I56" i="10"/>
  <c r="J56" i="10"/>
  <c r="K56" i="10"/>
  <c r="L56" i="10"/>
  <c r="M56" i="10"/>
  <c r="N56" i="10"/>
  <c r="O56" i="10"/>
  <c r="P56" i="10"/>
  <c r="Q56" i="10"/>
  <c r="R56" i="10"/>
  <c r="S56" i="10"/>
  <c r="T56" i="10"/>
  <c r="U56" i="10"/>
  <c r="V56" i="10"/>
  <c r="W56" i="10"/>
  <c r="X56" i="10"/>
  <c r="Y56" i="10"/>
  <c r="G57" i="10"/>
  <c r="H57" i="10"/>
  <c r="I57" i="10"/>
  <c r="J57" i="10"/>
  <c r="K57" i="10"/>
  <c r="L57" i="10"/>
  <c r="M57" i="10"/>
  <c r="N57" i="10"/>
  <c r="O57" i="10"/>
  <c r="P57" i="10"/>
  <c r="Q57" i="10"/>
  <c r="R57" i="10"/>
  <c r="S57" i="10"/>
  <c r="T57" i="10"/>
  <c r="U57" i="10"/>
  <c r="V57" i="10"/>
  <c r="W57" i="10"/>
  <c r="X57" i="10"/>
  <c r="Y57" i="10"/>
  <c r="G58" i="10"/>
  <c r="H58" i="10"/>
  <c r="I58" i="10"/>
  <c r="J58" i="10"/>
  <c r="K58" i="10"/>
  <c r="L58" i="10"/>
  <c r="M58" i="10"/>
  <c r="N58" i="10"/>
  <c r="O58" i="10"/>
  <c r="P58" i="10"/>
  <c r="Q58" i="10"/>
  <c r="R58" i="10"/>
  <c r="S58" i="10"/>
  <c r="T58" i="10"/>
  <c r="U58" i="10"/>
  <c r="V58" i="10"/>
  <c r="W58" i="10"/>
  <c r="X58" i="10"/>
  <c r="Y58" i="10"/>
  <c r="A38" i="9"/>
  <c r="D38" i="9"/>
  <c r="E38" i="9"/>
  <c r="A39" i="9"/>
  <c r="D39" i="9"/>
  <c r="E39" i="9"/>
  <c r="A40" i="9"/>
  <c r="D40" i="9"/>
  <c r="E40" i="9"/>
  <c r="A41" i="9"/>
  <c r="D41" i="9"/>
  <c r="E41" i="9"/>
  <c r="A42" i="9"/>
  <c r="D42" i="9"/>
  <c r="E42" i="9"/>
  <c r="A43" i="9"/>
  <c r="D43" i="9"/>
  <c r="E43" i="9"/>
  <c r="A44" i="9"/>
  <c r="D44" i="9"/>
  <c r="E44" i="9"/>
  <c r="A45" i="9"/>
  <c r="D45" i="9"/>
  <c r="E45" i="9"/>
  <c r="A46" i="9"/>
  <c r="D46" i="9"/>
  <c r="E46" i="9"/>
  <c r="A47" i="9"/>
  <c r="D47" i="9"/>
  <c r="E47" i="9"/>
  <c r="A48" i="9"/>
  <c r="D48" i="9"/>
  <c r="E48" i="9"/>
  <c r="A49" i="9"/>
  <c r="D49" i="9"/>
  <c r="E49" i="9"/>
  <c r="A50" i="9"/>
  <c r="D50" i="9"/>
  <c r="E50" i="9"/>
  <c r="A52" i="9"/>
  <c r="D52" i="9"/>
  <c r="E52" i="9"/>
  <c r="A53" i="9"/>
  <c r="D53" i="9"/>
  <c r="E53" i="9"/>
  <c r="A54" i="9"/>
  <c r="D54" i="9"/>
  <c r="E54" i="9"/>
  <c r="A17" i="9"/>
  <c r="D17" i="9"/>
  <c r="E17" i="9"/>
  <c r="A19" i="9"/>
  <c r="D19" i="9"/>
  <c r="E19" i="9"/>
  <c r="A20" i="9"/>
  <c r="D20" i="9"/>
  <c r="E20" i="9"/>
  <c r="A21" i="9"/>
  <c r="D21" i="9"/>
  <c r="E21" i="9"/>
  <c r="A22" i="9"/>
  <c r="D22" i="9"/>
  <c r="E22" i="9"/>
  <c r="A23" i="9"/>
  <c r="D23" i="9"/>
  <c r="E23" i="9"/>
  <c r="A24" i="9"/>
  <c r="D24" i="9"/>
  <c r="E24" i="9"/>
  <c r="A25" i="9"/>
  <c r="D25" i="9"/>
  <c r="E25" i="9"/>
  <c r="A26" i="9"/>
  <c r="D26" i="9"/>
  <c r="E26" i="9"/>
  <c r="A27" i="9"/>
  <c r="D27" i="9"/>
  <c r="E27" i="9"/>
  <c r="A28" i="9"/>
  <c r="D28" i="9"/>
  <c r="E28" i="9"/>
  <c r="A29" i="9"/>
  <c r="D29" i="9"/>
  <c r="E29" i="9"/>
  <c r="A30" i="9"/>
  <c r="D30" i="9"/>
  <c r="E30" i="9"/>
  <c r="A31" i="9"/>
  <c r="D31" i="9"/>
  <c r="E31" i="9"/>
  <c r="A32" i="9"/>
  <c r="D32" i="9"/>
  <c r="E32" i="9"/>
  <c r="A33" i="9"/>
  <c r="D33" i="9"/>
  <c r="E33" i="9"/>
  <c r="A34" i="9"/>
  <c r="D34" i="9"/>
  <c r="E34" i="9"/>
  <c r="A35" i="9"/>
  <c r="D35" i="9"/>
  <c r="E35" i="9"/>
  <c r="A37" i="9"/>
  <c r="D37" i="9"/>
  <c r="E37" i="9"/>
  <c r="J2" i="11"/>
  <c r="O2" i="9"/>
  <c r="N2" i="9"/>
  <c r="M2" i="9"/>
  <c r="L2" i="9"/>
  <c r="K2" i="9"/>
  <c r="J2" i="9"/>
  <c r="I2" i="9"/>
  <c r="H2" i="9"/>
  <c r="G2" i="9"/>
  <c r="E2" i="9"/>
  <c r="D2" i="9"/>
  <c r="A2" i="9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G51" i="10"/>
  <c r="H51" i="10"/>
  <c r="I51" i="10"/>
  <c r="J51" i="10"/>
  <c r="K51" i="10"/>
  <c r="L51" i="10"/>
  <c r="T51" i="10"/>
  <c r="U51" i="10"/>
  <c r="V51" i="10"/>
  <c r="W51" i="10"/>
  <c r="X51" i="10"/>
  <c r="Y51" i="10"/>
  <c r="G52" i="10"/>
  <c r="H52" i="10"/>
  <c r="I52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G37" i="10"/>
  <c r="G6" i="10"/>
  <c r="J6" i="10"/>
  <c r="I6" i="10"/>
  <c r="K6" i="10"/>
  <c r="H6" i="10"/>
  <c r="L6" i="10"/>
  <c r="M6" i="10"/>
  <c r="M21" i="10"/>
  <c r="N21" i="10"/>
  <c r="Q21" i="10"/>
  <c r="P21" i="10"/>
  <c r="R21" i="10"/>
  <c r="O21" i="10"/>
  <c r="S21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J7" i="10"/>
  <c r="I7" i="10"/>
  <c r="K7" i="10"/>
  <c r="H7" i="10"/>
  <c r="L7" i="10"/>
  <c r="M7" i="10"/>
  <c r="M22" i="10"/>
  <c r="M37" i="10"/>
  <c r="N37" i="10"/>
  <c r="Q37" i="10"/>
  <c r="P37" i="10"/>
  <c r="R37" i="10"/>
  <c r="O37" i="10"/>
  <c r="S37" i="10"/>
  <c r="N22" i="10"/>
  <c r="Q22" i="10"/>
  <c r="P22" i="10"/>
  <c r="R22" i="10"/>
  <c r="O22" i="10"/>
  <c r="S22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J8" i="10"/>
  <c r="I8" i="10"/>
  <c r="K8" i="10"/>
  <c r="H8" i="10"/>
  <c r="L8" i="10"/>
  <c r="M8" i="10"/>
  <c r="M23" i="10"/>
  <c r="N23" i="10"/>
  <c r="Q23" i="10"/>
  <c r="P23" i="10"/>
  <c r="R23" i="10"/>
  <c r="O23" i="10"/>
  <c r="S23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J9" i="10"/>
  <c r="I9" i="10"/>
  <c r="K9" i="10"/>
  <c r="H9" i="10"/>
  <c r="L9" i="10"/>
  <c r="M9" i="10"/>
  <c r="M24" i="10"/>
  <c r="M38" i="10"/>
  <c r="N38" i="10"/>
  <c r="Q38" i="10"/>
  <c r="P38" i="10"/>
  <c r="R38" i="10"/>
  <c r="O38" i="10"/>
  <c r="S38" i="10"/>
  <c r="N24" i="10"/>
  <c r="Q24" i="10"/>
  <c r="P24" i="10"/>
  <c r="R24" i="10"/>
  <c r="O24" i="10"/>
  <c r="S24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J10" i="10"/>
  <c r="I10" i="10"/>
  <c r="K10" i="10"/>
  <c r="H10" i="10"/>
  <c r="L10" i="10"/>
  <c r="M10" i="10"/>
  <c r="M25" i="10"/>
  <c r="M39" i="10"/>
  <c r="N39" i="10"/>
  <c r="Q39" i="10"/>
  <c r="P39" i="10"/>
  <c r="R39" i="10"/>
  <c r="O39" i="10"/>
  <c r="S39" i="10"/>
  <c r="N25" i="10"/>
  <c r="Q25" i="10"/>
  <c r="P25" i="10"/>
  <c r="R25" i="10"/>
  <c r="O25" i="10"/>
  <c r="S25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J11" i="10"/>
  <c r="I11" i="10"/>
  <c r="K11" i="10"/>
  <c r="H11" i="10"/>
  <c r="L11" i="10"/>
  <c r="M11" i="10"/>
  <c r="M26" i="10"/>
  <c r="M40" i="10"/>
  <c r="N40" i="10"/>
  <c r="Q40" i="10"/>
  <c r="P40" i="10"/>
  <c r="R40" i="10"/>
  <c r="O40" i="10"/>
  <c r="S40" i="10"/>
  <c r="N26" i="10"/>
  <c r="Q26" i="10"/>
  <c r="P26" i="10"/>
  <c r="R26" i="10"/>
  <c r="O26" i="10"/>
  <c r="S26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J12" i="10"/>
  <c r="I12" i="10"/>
  <c r="K12" i="10"/>
  <c r="H12" i="10"/>
  <c r="L12" i="10"/>
  <c r="M12" i="10"/>
  <c r="M27" i="10"/>
  <c r="M41" i="10"/>
  <c r="N41" i="10"/>
  <c r="Q41" i="10"/>
  <c r="P41" i="10"/>
  <c r="R41" i="10"/>
  <c r="O41" i="10"/>
  <c r="S41" i="10"/>
  <c r="N27" i="10"/>
  <c r="Q27" i="10"/>
  <c r="P27" i="10"/>
  <c r="R27" i="10"/>
  <c r="O27" i="10"/>
  <c r="S27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J13" i="10"/>
  <c r="I13" i="10"/>
  <c r="K13" i="10"/>
  <c r="H13" i="10"/>
  <c r="L13" i="10"/>
  <c r="T13" i="10"/>
  <c r="U13" i="10"/>
  <c r="V13" i="10"/>
  <c r="W13" i="10"/>
  <c r="X13" i="10"/>
  <c r="Y13" i="10"/>
  <c r="G14" i="10"/>
  <c r="J14" i="10"/>
  <c r="I14" i="10"/>
  <c r="K14" i="10"/>
  <c r="H14" i="10"/>
  <c r="L14" i="10"/>
  <c r="M14" i="10"/>
  <c r="M29" i="10"/>
  <c r="M43" i="10"/>
  <c r="N43" i="10"/>
  <c r="Q43" i="10"/>
  <c r="P43" i="10"/>
  <c r="R43" i="10"/>
  <c r="O43" i="10"/>
  <c r="S43" i="10"/>
  <c r="N29" i="10"/>
  <c r="Q29" i="10"/>
  <c r="P29" i="10"/>
  <c r="R29" i="10"/>
  <c r="O29" i="10"/>
  <c r="S29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L15" i="10"/>
  <c r="M15" i="10"/>
  <c r="M30" i="10"/>
  <c r="M44" i="10"/>
  <c r="N44" i="10"/>
  <c r="Q44" i="10"/>
  <c r="P44" i="10"/>
  <c r="R44" i="10"/>
  <c r="O44" i="10"/>
  <c r="S44" i="10"/>
  <c r="N30" i="10"/>
  <c r="Q30" i="10"/>
  <c r="P30" i="10"/>
  <c r="R30" i="10"/>
  <c r="O30" i="10"/>
  <c r="S30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L16" i="10"/>
  <c r="M16" i="10"/>
  <c r="M31" i="10"/>
  <c r="N31" i="10"/>
  <c r="Q31" i="10"/>
  <c r="P31" i="10"/>
  <c r="R31" i="10"/>
  <c r="O31" i="10"/>
  <c r="S31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M32" i="10"/>
  <c r="N32" i="10"/>
  <c r="Q32" i="10"/>
  <c r="P32" i="10"/>
  <c r="R32" i="10"/>
  <c r="O32" i="10"/>
  <c r="S32" i="10"/>
  <c r="M33" i="10"/>
  <c r="N33" i="10"/>
  <c r="Q33" i="10"/>
  <c r="P33" i="10"/>
  <c r="R33" i="10"/>
  <c r="O33" i="10"/>
  <c r="S33" i="10"/>
  <c r="G17" i="10"/>
  <c r="J17" i="10"/>
  <c r="I17" i="10"/>
  <c r="K17" i="10"/>
  <c r="H17" i="10"/>
  <c r="L17" i="10"/>
  <c r="M17" i="10"/>
  <c r="M34" i="10"/>
  <c r="N34" i="10"/>
  <c r="Q34" i="10"/>
  <c r="P34" i="10"/>
  <c r="R34" i="10"/>
  <c r="O34" i="10"/>
  <c r="S34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G18" i="10"/>
  <c r="J18" i="10"/>
  <c r="I18" i="10"/>
  <c r="K18" i="10"/>
  <c r="H18" i="10"/>
  <c r="L18" i="10"/>
  <c r="M18" i="10"/>
  <c r="M35" i="10"/>
  <c r="N35" i="10"/>
  <c r="Q35" i="10"/>
  <c r="P35" i="10"/>
  <c r="R35" i="10"/>
  <c r="O35" i="10"/>
  <c r="S35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19" i="10"/>
  <c r="J19" i="10"/>
  <c r="I19" i="10"/>
  <c r="K19" i="10"/>
  <c r="H19" i="10"/>
  <c r="L19" i="10"/>
  <c r="M19" i="10"/>
  <c r="M36" i="10"/>
  <c r="N36" i="10"/>
  <c r="Q36" i="10"/>
  <c r="P36" i="10"/>
  <c r="R36" i="10"/>
  <c r="O36" i="10"/>
  <c r="S36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20" i="10"/>
  <c r="J20" i="10"/>
  <c r="I20" i="10"/>
  <c r="K20" i="10"/>
  <c r="H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G21" i="10"/>
  <c r="J21" i="10"/>
  <c r="I21" i="10"/>
  <c r="K21" i="10"/>
  <c r="H21" i="10"/>
  <c r="L21" i="10"/>
  <c r="T21" i="10"/>
  <c r="U21" i="10"/>
  <c r="V21" i="10"/>
  <c r="W21" i="10"/>
  <c r="X21" i="10"/>
  <c r="Y21" i="10"/>
  <c r="G22" i="10"/>
  <c r="J22" i="10"/>
  <c r="I22" i="10"/>
  <c r="K22" i="10"/>
  <c r="H22" i="10"/>
  <c r="L22" i="10"/>
  <c r="T22" i="10"/>
  <c r="U22" i="10"/>
  <c r="V22" i="10"/>
  <c r="W22" i="10"/>
  <c r="X22" i="10"/>
  <c r="Y22" i="10"/>
  <c r="G23" i="10"/>
  <c r="J23" i="10"/>
  <c r="I23" i="10"/>
  <c r="K23" i="10"/>
  <c r="H23" i="10"/>
  <c r="L23" i="10"/>
  <c r="T23" i="10"/>
  <c r="U23" i="10"/>
  <c r="V23" i="10"/>
  <c r="W23" i="10"/>
  <c r="X23" i="10"/>
  <c r="Y23" i="10"/>
  <c r="G24" i="10"/>
  <c r="J24" i="10"/>
  <c r="I24" i="10"/>
  <c r="K24" i="10"/>
  <c r="H24" i="10"/>
  <c r="L24" i="10"/>
  <c r="T24" i="10"/>
  <c r="U24" i="10"/>
  <c r="V24" i="10"/>
  <c r="W24" i="10"/>
  <c r="X24" i="10"/>
  <c r="Y24" i="10"/>
  <c r="G25" i="10"/>
  <c r="J25" i="10"/>
  <c r="I25" i="10"/>
  <c r="K25" i="10"/>
  <c r="H25" i="10"/>
  <c r="L25" i="10"/>
  <c r="T25" i="10"/>
  <c r="U25" i="10"/>
  <c r="V25" i="10"/>
  <c r="W25" i="10"/>
  <c r="X25" i="10"/>
  <c r="Y25" i="10"/>
  <c r="G26" i="10"/>
  <c r="J26" i="10"/>
  <c r="I26" i="10"/>
  <c r="K26" i="10"/>
  <c r="H26" i="10"/>
  <c r="L26" i="10"/>
  <c r="T26" i="10"/>
  <c r="U26" i="10"/>
  <c r="V26" i="10"/>
  <c r="W26" i="10"/>
  <c r="X26" i="10"/>
  <c r="Y26" i="10"/>
  <c r="G27" i="10"/>
  <c r="J27" i="10"/>
  <c r="I27" i="10"/>
  <c r="K27" i="10"/>
  <c r="H27" i="10"/>
  <c r="L27" i="10"/>
  <c r="T27" i="10"/>
  <c r="U27" i="10"/>
  <c r="V27" i="10"/>
  <c r="W27" i="10"/>
  <c r="X27" i="10"/>
  <c r="Y27" i="10"/>
  <c r="G28" i="10"/>
  <c r="J28" i="10"/>
  <c r="I28" i="10"/>
  <c r="K28" i="10"/>
  <c r="H28" i="10"/>
  <c r="L28" i="10"/>
  <c r="T28" i="10"/>
  <c r="U28" i="10"/>
  <c r="V28" i="10"/>
  <c r="W28" i="10"/>
  <c r="X28" i="10"/>
  <c r="Y28" i="10"/>
  <c r="G29" i="10"/>
  <c r="J29" i="10"/>
  <c r="I29" i="10"/>
  <c r="K29" i="10"/>
  <c r="H29" i="10"/>
  <c r="L29" i="10"/>
  <c r="T29" i="10"/>
  <c r="U29" i="10"/>
  <c r="V29" i="10"/>
  <c r="W29" i="10"/>
  <c r="X29" i="10"/>
  <c r="Y29" i="10"/>
  <c r="G30" i="10"/>
  <c r="J30" i="10"/>
  <c r="I30" i="10"/>
  <c r="K30" i="10"/>
  <c r="H30" i="10"/>
  <c r="L30" i="10"/>
  <c r="T30" i="10"/>
  <c r="U30" i="10"/>
  <c r="V30" i="10"/>
  <c r="W30" i="10"/>
  <c r="X30" i="10"/>
  <c r="Y30" i="10"/>
  <c r="G31" i="10"/>
  <c r="J31" i="10"/>
  <c r="I31" i="10"/>
  <c r="K31" i="10"/>
  <c r="H31" i="10"/>
  <c r="L31" i="10"/>
  <c r="T31" i="10"/>
  <c r="U31" i="10"/>
  <c r="V31" i="10"/>
  <c r="W31" i="10"/>
  <c r="X31" i="10"/>
  <c r="Y31" i="10"/>
  <c r="G32" i="10"/>
  <c r="J32" i="10"/>
  <c r="I32" i="10"/>
  <c r="K32" i="10"/>
  <c r="H32" i="10"/>
  <c r="L32" i="10"/>
  <c r="T32" i="10"/>
  <c r="U32" i="10"/>
  <c r="V32" i="10"/>
  <c r="W32" i="10"/>
  <c r="X32" i="10"/>
  <c r="Y32" i="10"/>
  <c r="G33" i="10"/>
  <c r="J33" i="10"/>
  <c r="I33" i="10"/>
  <c r="K33" i="10"/>
  <c r="H33" i="10"/>
  <c r="L33" i="10"/>
  <c r="T33" i="10"/>
  <c r="U33" i="10"/>
  <c r="V33" i="10"/>
  <c r="W33" i="10"/>
  <c r="X33" i="10"/>
  <c r="Y33" i="10"/>
  <c r="G34" i="10"/>
  <c r="J34" i="10"/>
  <c r="I34" i="10"/>
  <c r="K34" i="10"/>
  <c r="H34" i="10"/>
  <c r="L34" i="10"/>
  <c r="T34" i="10"/>
  <c r="U34" i="10"/>
  <c r="V34" i="10"/>
  <c r="W34" i="10"/>
  <c r="X34" i="10"/>
  <c r="Y34" i="10"/>
  <c r="G35" i="10"/>
  <c r="J35" i="10"/>
  <c r="I35" i="10"/>
  <c r="K35" i="10"/>
  <c r="H35" i="10"/>
  <c r="L35" i="10"/>
  <c r="T35" i="10"/>
  <c r="U35" i="10"/>
  <c r="V35" i="10"/>
  <c r="W35" i="10"/>
  <c r="X35" i="10"/>
  <c r="Y35" i="10"/>
  <c r="G36" i="10"/>
  <c r="J36" i="10"/>
  <c r="I36" i="10"/>
  <c r="K36" i="10"/>
  <c r="H36" i="10"/>
  <c r="L36" i="10"/>
  <c r="T36" i="10"/>
  <c r="U36" i="10"/>
  <c r="V36" i="10"/>
  <c r="W36" i="10"/>
  <c r="X36" i="10"/>
  <c r="Y36" i="10"/>
  <c r="J37" i="10"/>
  <c r="I37" i="10"/>
  <c r="K37" i="10"/>
  <c r="H37" i="10"/>
  <c r="L37" i="10"/>
  <c r="T37" i="10"/>
  <c r="U37" i="10"/>
  <c r="V37" i="10"/>
  <c r="W37" i="10"/>
  <c r="X37" i="10"/>
  <c r="Y37" i="10"/>
  <c r="G38" i="10"/>
  <c r="J38" i="10"/>
  <c r="I38" i="10"/>
  <c r="K38" i="10"/>
  <c r="H38" i="10"/>
  <c r="L38" i="10"/>
  <c r="T38" i="10"/>
  <c r="U38" i="10"/>
  <c r="V38" i="10"/>
  <c r="W38" i="10"/>
  <c r="X38" i="10"/>
  <c r="Y38" i="10"/>
  <c r="E5" i="9"/>
  <c r="D5" i="9"/>
  <c r="A5" i="9"/>
  <c r="G39" i="10"/>
  <c r="H39" i="10"/>
  <c r="I39" i="10"/>
  <c r="J39" i="10"/>
  <c r="K39" i="10"/>
  <c r="L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T40" i="10"/>
  <c r="U40" i="10"/>
  <c r="V40" i="10"/>
  <c r="W40" i="10"/>
  <c r="X40" i="10"/>
  <c r="Y40" i="10"/>
  <c r="G41" i="10"/>
  <c r="H41" i="10"/>
  <c r="I41" i="10"/>
  <c r="J41" i="10"/>
  <c r="K41" i="10"/>
  <c r="L41" i="10"/>
  <c r="T41" i="10"/>
  <c r="U41" i="10"/>
  <c r="V41" i="10"/>
  <c r="W41" i="10"/>
  <c r="X41" i="10"/>
  <c r="Y41" i="10"/>
  <c r="G42" i="10"/>
  <c r="H42" i="10"/>
  <c r="I42" i="10"/>
  <c r="J42" i="10"/>
  <c r="K42" i="10"/>
  <c r="L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T43" i="10"/>
  <c r="U43" i="10"/>
  <c r="V43" i="10"/>
  <c r="W43" i="10"/>
  <c r="X43" i="10"/>
  <c r="Y43" i="10"/>
  <c r="G44" i="10"/>
  <c r="H44" i="10"/>
  <c r="I44" i="10"/>
  <c r="J44" i="10"/>
  <c r="K44" i="10"/>
  <c r="L44" i="10"/>
  <c r="T44" i="10"/>
  <c r="U44" i="10"/>
  <c r="V44" i="10"/>
  <c r="W44" i="10"/>
  <c r="X44" i="10"/>
  <c r="Y44" i="10"/>
  <c r="D4" i="9"/>
  <c r="E4" i="9"/>
  <c r="D6" i="9"/>
  <c r="E6" i="9"/>
  <c r="D7" i="9"/>
  <c r="E7" i="9"/>
  <c r="A4" i="9"/>
  <c r="A6" i="9"/>
  <c r="A7" i="9"/>
  <c r="D8" i="9"/>
  <c r="E8" i="9"/>
  <c r="D9" i="9"/>
  <c r="E9" i="9"/>
  <c r="D10" i="9"/>
  <c r="E10" i="9"/>
  <c r="D11" i="9"/>
  <c r="E11" i="9"/>
  <c r="D12" i="9"/>
  <c r="E12" i="9"/>
  <c r="D13" i="9"/>
  <c r="E13" i="9"/>
  <c r="D14" i="9"/>
  <c r="E14" i="9"/>
  <c r="D15" i="9"/>
  <c r="E15" i="9"/>
  <c r="D16" i="9"/>
  <c r="E16" i="9"/>
  <c r="A16" i="9"/>
  <c r="A15" i="9"/>
  <c r="A14" i="9"/>
  <c r="A13" i="9"/>
  <c r="A12" i="9"/>
  <c r="A11" i="9"/>
  <c r="A10" i="9"/>
  <c r="A9" i="9"/>
  <c r="A8" i="9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2" i="2"/>
  <c r="A2" i="2"/>
  <c r="AB6" i="1"/>
  <c r="AD6" i="1"/>
  <c r="AG6" i="1"/>
  <c r="AE6" i="1"/>
  <c r="AC6" i="1"/>
  <c r="V6" i="1"/>
  <c r="Q6" i="1"/>
  <c r="P6" i="1"/>
  <c r="O6" i="1"/>
  <c r="N6" i="1"/>
  <c r="M6" i="1"/>
  <c r="H6" i="1"/>
  <c r="G3" i="2"/>
  <c r="A3" i="2"/>
  <c r="G4" i="2"/>
  <c r="A4" i="2"/>
  <c r="G5" i="2"/>
  <c r="A5" i="2"/>
  <c r="J6" i="1"/>
  <c r="I6" i="1"/>
  <c r="D6" i="1"/>
  <c r="F6" i="1"/>
  <c r="E6" i="1"/>
  <c r="A6" i="1"/>
  <c r="H2" i="1"/>
  <c r="I2" i="1"/>
  <c r="J2" i="1"/>
  <c r="H3" i="1"/>
  <c r="I3" i="1"/>
  <c r="J3" i="1"/>
  <c r="H4" i="1"/>
  <c r="I4" i="1"/>
  <c r="J4" i="1"/>
  <c r="H2" i="2"/>
  <c r="H3" i="2"/>
  <c r="H4" i="2"/>
  <c r="A5" i="7"/>
  <c r="D5" i="7"/>
  <c r="E5" i="7"/>
  <c r="F5" i="7"/>
  <c r="H5" i="7"/>
  <c r="I5" i="7"/>
  <c r="J5" i="7"/>
  <c r="N5" i="7"/>
  <c r="O5" i="7"/>
  <c r="P5" i="7"/>
  <c r="Q5" i="7"/>
  <c r="R5" i="7"/>
  <c r="W5" i="7"/>
  <c r="A3" i="7"/>
  <c r="D3" i="7"/>
  <c r="E3" i="7"/>
  <c r="F3" i="7"/>
  <c r="H3" i="7"/>
  <c r="I3" i="7"/>
  <c r="J3" i="7"/>
  <c r="N3" i="7"/>
  <c r="O3" i="7"/>
  <c r="P3" i="7"/>
  <c r="Q3" i="7"/>
  <c r="R3" i="7"/>
  <c r="W3" i="7"/>
  <c r="A4" i="7"/>
  <c r="D4" i="7"/>
  <c r="E4" i="7"/>
  <c r="F4" i="7"/>
  <c r="H4" i="7"/>
  <c r="I4" i="7"/>
  <c r="J4" i="7"/>
  <c r="N4" i="7"/>
  <c r="O4" i="7"/>
  <c r="P4" i="7"/>
  <c r="Q4" i="7"/>
  <c r="R4" i="7"/>
  <c r="W4" i="7"/>
  <c r="V3" i="1"/>
  <c r="AB3" i="1"/>
  <c r="AC3" i="1"/>
  <c r="AD3" i="1"/>
  <c r="AE3" i="1"/>
  <c r="AG3" i="1"/>
  <c r="V4" i="1"/>
  <c r="AB4" i="1"/>
  <c r="AC4" i="1"/>
  <c r="AD4" i="1"/>
  <c r="AE4" i="1"/>
  <c r="AG4" i="1"/>
  <c r="V5" i="1"/>
  <c r="AB5" i="1"/>
  <c r="AC5" i="1"/>
  <c r="AD5" i="1"/>
  <c r="AE5" i="1"/>
  <c r="AG5" i="1"/>
  <c r="V7" i="1"/>
  <c r="AB7" i="1"/>
  <c r="AC7" i="1"/>
  <c r="AD7" i="1"/>
  <c r="AE7" i="1"/>
  <c r="AG7" i="1"/>
  <c r="V8" i="1"/>
  <c r="AC8" i="1"/>
  <c r="AD8" i="1"/>
  <c r="AE8" i="1"/>
  <c r="AG8" i="1"/>
  <c r="A4" i="1"/>
  <c r="D4" i="1"/>
  <c r="E4" i="1"/>
  <c r="F4" i="1"/>
  <c r="M4" i="1"/>
  <c r="N4" i="1"/>
  <c r="O4" i="1"/>
  <c r="P4" i="1"/>
  <c r="Q4" i="1"/>
  <c r="A5" i="1"/>
  <c r="D5" i="1"/>
  <c r="E5" i="1"/>
  <c r="F5" i="1"/>
  <c r="H5" i="1"/>
  <c r="I5" i="1"/>
  <c r="J5" i="1"/>
  <c r="M5" i="1"/>
  <c r="N5" i="1"/>
  <c r="O5" i="1"/>
  <c r="P5" i="1"/>
  <c r="Q5" i="1"/>
  <c r="A7" i="1"/>
  <c r="D7" i="1"/>
  <c r="E7" i="1"/>
  <c r="F7" i="1"/>
  <c r="H7" i="1"/>
  <c r="I7" i="1"/>
  <c r="J7" i="1"/>
  <c r="M7" i="1"/>
  <c r="N7" i="1"/>
  <c r="O7" i="1"/>
  <c r="P7" i="1"/>
  <c r="Q7" i="1"/>
  <c r="A8" i="1"/>
  <c r="D8" i="1"/>
  <c r="E8" i="1"/>
  <c r="F8" i="1"/>
  <c r="H8" i="1"/>
  <c r="I8" i="1"/>
  <c r="J8" i="1"/>
  <c r="M8" i="1"/>
  <c r="N8" i="1"/>
  <c r="O8" i="1"/>
  <c r="P8" i="1"/>
  <c r="Q8" i="1"/>
  <c r="B5" i="2"/>
  <c r="D5" i="2"/>
  <c r="E5" i="2"/>
  <c r="H5" i="2"/>
  <c r="B3" i="2"/>
  <c r="D3" i="2"/>
  <c r="E3" i="2"/>
  <c r="B4" i="2"/>
  <c r="D4" i="2"/>
  <c r="E4" i="2"/>
  <c r="B3" i="21"/>
  <c r="I3" i="21"/>
  <c r="J3" i="21"/>
  <c r="G3" i="21"/>
  <c r="F3" i="21"/>
  <c r="D3" i="21"/>
  <c r="C3" i="21"/>
  <c r="E12" i="16"/>
  <c r="E11" i="16"/>
  <c r="E10" i="16"/>
  <c r="E9" i="16"/>
  <c r="W2" i="7"/>
  <c r="V2" i="1"/>
  <c r="R2" i="7"/>
  <c r="Q2" i="7"/>
  <c r="P2" i="7"/>
  <c r="O2" i="7"/>
  <c r="N2" i="7"/>
  <c r="AB2" i="1"/>
  <c r="AE2" i="1"/>
  <c r="AD2" i="1"/>
  <c r="AC2" i="1"/>
  <c r="Q3" i="1"/>
  <c r="P3" i="1"/>
  <c r="O3" i="1"/>
  <c r="N3" i="1"/>
  <c r="M3" i="1"/>
  <c r="Q2" i="1"/>
  <c r="P2" i="1"/>
  <c r="O2" i="1"/>
  <c r="N2" i="1"/>
  <c r="M2" i="1"/>
  <c r="M3" i="10"/>
  <c r="T3" i="10"/>
  <c r="V3" i="10"/>
  <c r="N3" i="10"/>
  <c r="P3" i="10"/>
  <c r="G3" i="10"/>
  <c r="I3" i="10"/>
  <c r="X3" i="10"/>
  <c r="W3" i="10"/>
  <c r="U3" i="10"/>
  <c r="Y3" i="10"/>
  <c r="R3" i="10"/>
  <c r="Q3" i="10"/>
  <c r="O3" i="10"/>
  <c r="S3" i="10"/>
  <c r="K3" i="10"/>
  <c r="J3" i="10"/>
  <c r="H3" i="10"/>
  <c r="L3" i="10"/>
  <c r="AG2" i="1"/>
  <c r="H2" i="7"/>
  <c r="J2" i="7"/>
  <c r="E8" i="16"/>
  <c r="E7" i="16"/>
  <c r="E6" i="16"/>
  <c r="E5" i="16"/>
  <c r="E4" i="16"/>
  <c r="E3" i="16"/>
  <c r="E2" i="16"/>
  <c r="A3" i="1"/>
  <c r="A2" i="1"/>
  <c r="D3" i="1"/>
  <c r="F3" i="1"/>
  <c r="E3" i="1"/>
  <c r="A2" i="7"/>
  <c r="I2" i="7"/>
  <c r="D2" i="7"/>
  <c r="F2" i="7"/>
  <c r="E2" i="7"/>
  <c r="D2" i="2"/>
  <c r="E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<sst xmlns="http://schemas.openxmlformats.org/spreadsheetml/2006/main" count="902" uniqueCount="404">
  <si>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</si>
  <si>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</si>
  <si>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</si>
  <si>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</si>
  <si>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</si>
  <si>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</si>
  <si>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</si>
  <si>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</si>
  <si>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</si>
  <si>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</si>
  <si>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</si>
  <si>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</si>
  <si>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</si>
  <si>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</si>
  <si>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</si>
  <si>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</si>
  <si>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</si>
  <si>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</si>
  <si>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</si>
  <si>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</si>
  <si>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</si>
  <si>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</si>
  <si>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</si>
  <si>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</si>
  <si>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</si>
  <si>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</si>
  <si>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</si>
  <si>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</si>
  <si>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</si>
  <si>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</si>
  <si>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</si>
  <si>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</si>
  <si>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</si>
  <si>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</si>
  <si>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</si>
  <si>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</si>
  <si>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</si>
  <si>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</si>
  <si>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</si>
  <si>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</si>
  <si>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</si>
  <si>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</si>
  <si>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</si>
  <si>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</si>
  <si>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</si>
  <si>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</si>
  <si>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</si>
  <si>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</si>
  <si>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</si>
  <si>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</si>
  <si>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</si>
  <si>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</si>
  <si>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</si>
  <si>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</si>
  <si>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</si>
  <si>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</si>
  <si>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</si>
  <si>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</si>
  <si>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</si>
  <si>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</si>
  <si>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</si>
  <si>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</si>
  <si>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</si>
  <si>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</si>
  <si>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</si>
  <si>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</si>
  <si>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</si>
  <si>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</si>
  <si>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</si>
  <si>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</si>
  <si>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</si>
  <si>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</si>
  <si>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</si>
  <si>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</si>
  <si>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</si>
  <si>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</si>
  <si>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</si>
  <si>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</si>
  <si>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</si>
  <si>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</si>
  <si>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</si>
  <si>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</si>
  <si>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</si>
  <si>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</si>
  <si>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</si>
  <si>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</si>
  <si>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</si>
  <si>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</si>
  <si>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</si>
  <si>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</si>
  <si>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</si>
  <si>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</si>
  <si>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</si>
  <si>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</si>
  <si>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</si>
  <si>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</si>
  <si>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</si>
  <si>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</si>
  <si>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</si>
  <si>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</si>
  <si>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</si>
  <si>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</si>
  <si>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</si>
  <si>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</si>
  <si>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</si>
  <si>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</si>
  <si>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</si>
  <si>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</si>
  <si>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</si>
  <si>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</si>
  <si>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</si>
  <si>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</si>
  <si>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</si>
  <si>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</si>
  <si>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</si>
  <si>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</si>
  <si>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</si>
  <si>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</si>
  <si>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</si>
  <si>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</si>
  <si>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</si>
  <si>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</si>
  <si>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</si>
  <si>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</si>
  <si>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</si>
  <si>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</si>
  <si>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</si>
  <si>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</si>
  <si>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</si>
  <si>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</si>
  <si>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</si>
  <si>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</si>
  <si>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</si>
  <si>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</si>
  <si>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</si>
  <si>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</si>
  <si>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</si>
  <si>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</si>
  <si>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</si>
  <si>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</si>
  <si>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</si>
  <si>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</si>
  <si>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</si>
  <si>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</si>
  <si>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</si>
  <si>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</si>
  <si>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</si>
  <si>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</si>
  <si>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</si>
  <si>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</si>
  <si>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</si>
  <si>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</si>
  <si>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</si>
  <si>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</si>
  <si>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</si>
  <si>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</si>
  <si>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</si>
  <si>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</si>
  <si>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</si>
  <si>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</si>
  <si>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</si>
  <si>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</si>
  <si>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</si>
  <si>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</si>
  <si>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</si>
  <si>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</si>
  <si>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</si>
  <si>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</si>
  <si>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</si>
  <si>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</si>
  <si>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</si>
  <si>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</si>
  <si>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</si>
  <si>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</si>
  <si>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</si>
  <si>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</si>
  <si>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</si>
  <si>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</si>
  <si>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</si>
  <si>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</si>
  <si>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</si>
  <si>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</si>
  <si>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</si>
  <si>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</si>
  <si>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</si>
  <si>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</si>
  <si>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</si>
  <si>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</si>
  <si>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</si>
  <si>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</si>
  <si>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</si>
  <si>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</si>
  <si>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</si>
  <si>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</si>
  <si>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</si>
  <si>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</si>
  <si>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</si>
  <si>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</si>
  <si>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</si>
  <si>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</si>
  <si>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</si>
  <si>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</si>
  <si>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</si>
  <si>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</si>
  <si>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</si>
  <si>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</si>
  <si>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</si>
  <si>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</si>
  <si>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</si>
  <si>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</si>
  <si>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</si>
  <si>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old</t>
  </si>
  <si>
    <t>[effect:fix_speed, target:myself, turn:1],[effect:change_attribute, target:myself, color:green, turn:-1, animation:change_attribute_green]</t>
    <phoneticPr fontId="5"/>
  </si>
  <si>
    <t>null</t>
  </si>
  <si>
    <t>大洪水</t>
    <rPh sb="0" eb="1">
      <t>dai</t>
    </rPh>
    <rPh sb="1" eb="3">
      <t>コウズイ</t>
    </rPh>
    <phoneticPr fontId="5"/>
  </si>
  <si>
    <t>クリティカル！</t>
    <phoneticPr fontId="5"/>
  </si>
  <si>
    <t>敵全体を回復</t>
    <rPh sb="0" eb="1">
      <t>teki</t>
    </rPh>
    <rPh sb="1" eb="3">
      <t>ゼンタイ</t>
    </rPh>
    <rPh sb="4" eb="6">
      <t>カイフク</t>
    </rPh>
    <phoneticPr fontId="5"/>
  </si>
  <si>
    <t>私からの洗礼です！！</t>
    <rPh sb="0" eb="1">
      <t>ワタシ</t>
    </rPh>
    <rPh sb="4" eb="6">
      <t>seンンrei</t>
    </rPh>
    <phoneticPr fontId="5"/>
  </si>
  <si>
    <t>ヒーリング</t>
    <phoneticPr fontId="5"/>
  </si>
  <si>
    <t>奇跡を見せますねっ！！</t>
    <rPh sb="0" eb="2">
      <t>キセキ</t>
    </rPh>
    <rPh sb="3" eb="4">
      <t>ミ</t>
    </rPh>
    <phoneticPr fontId="5"/>
  </si>
  <si>
    <t>[effect:enemy_message, val1:1.2, val2:0, dead_type:suicide]</t>
  </si>
  <si>
    <t xml:space="preserve">[effect:heal, target:enemy_all, val:0.1, animation:enemy_heal]    </t>
    <phoneticPr fontId="5"/>
  </si>
  <si>
    <t>クリティカル！</t>
    <phoneticPr fontId="5"/>
  </si>
  <si>
    <t>[effect:change_panel_ratio, turn:8, block_type:blue, val:0.04, animation:block_incidence04]</t>
    <phoneticPr fontId="5"/>
  </si>
  <si>
    <t>[effect:fix_speed, target:myself, turn:3],[effect:enhance_enemy, target:myself, turn:3, status:defense, val:5000, calc:add, animation:enemy_enhance_defense]</t>
    <phoneticPr fontId="5"/>
  </si>
  <si>
    <t>[effect:fix_speed, target:myself, turn:1],[effect:change_attribute, target:myself, color:yellow, turn:-1, animation:change_attribute_yellow],[effect:rush, count:10, val:0.2]</t>
    <phoneticPr fontId="5"/>
  </si>
  <si>
    <t>[effect:rush, count:10, val:0.2]</t>
    <phoneticPr fontId="5"/>
  </si>
  <si>
    <t>[effect:enhance_enemy, target:myself, turn:1, status:defense, val:5000, calc:add, animation:enemy_enhance_defense]</t>
    <phoneticPr fontId="5"/>
  </si>
  <si>
    <t>[effect:spread, val:0.25],[effect:rush, count:4, val:0.08]</t>
    <phoneticPr fontId="5"/>
  </si>
  <si>
    <t>[effect:nothing]</t>
    <phoneticPr fontId="5"/>
  </si>
  <si>
    <t xml:space="preserve">[effect:crash_growth, count:-1, val:-100, animation:change_block],[effect:tolerance, target:myself, turn:-1, tolerance_effect:hungup, count:-1],[effect:tolerance, target:myself, turn:-1, tolerance_effect:virus, count:-1],[effect:tolerance, target:myself, turn:-1, tolerance_effect:sleep, count:-1, animation:enemy_tolerance] </t>
    <phoneticPr fontId="5"/>
  </si>
  <si>
    <t>これが私の散り様…か…</t>
    <rPh sb="3" eb="4">
      <t>ワタシ</t>
    </rPh>
    <rPh sb="5" eb="6">
      <t>チ</t>
    </rPh>
    <rPh sb="7" eb="8">
      <t>ザマ</t>
    </rPh>
    <phoneticPr fontId="5"/>
  </si>
  <si>
    <t>「 散りぬべき　時知りてこそ　世の中の　
　花も花なれ　人も人なれ 」</t>
    <phoneticPr fontId="5"/>
  </si>
  <si>
    <t>「 大ていは 地に任せて 肌骨好し
 紅粉を塗らず 自ら風流 」</t>
    <phoneticPr fontId="5"/>
  </si>
  <si>
    <t>[effect:enemy_message, val1:1.2, val2:0, dead_type:suicide]</t>
    <phoneticPr fontId="5"/>
  </si>
  <si>
    <t>「 梅が香を 袖に移して とどめおき
 春は過ぐとも かたみならまし 」</t>
    <rPh sb="2" eb="6">
      <t xml:space="preserve"> </t>
    </rPh>
    <phoneticPr fontId="5"/>
  </si>
  <si>
    <t>ふん…俺は俺なりに戦ったさ。</t>
    <rPh sb="3" eb="4">
      <t>オレ</t>
    </rPh>
    <rPh sb="5" eb="6">
      <t>オレ</t>
    </rPh>
    <rPh sb="9" eb="10">
      <t>タタカ</t>
    </rPh>
    <phoneticPr fontId="5"/>
  </si>
  <si>
    <t>御館様…！</t>
    <rPh sb="0" eb="1">
      <t>オ</t>
    </rPh>
    <rPh sb="1" eb="3">
      <t>ヤカタサマ</t>
    </rPh>
    <phoneticPr fontId="5"/>
  </si>
  <si>
    <t>信長は俺の獲物だ！</t>
    <rPh sb="0" eb="2">
      <t>ノブナガタ</t>
    </rPh>
    <rPh sb="3" eb="4">
      <t>オレ</t>
    </rPh>
    <rPh sb="5" eb="7">
      <t>エモノ</t>
    </rPh>
    <phoneticPr fontId="5"/>
  </si>
  <si>
    <t>null</t>
    <phoneticPr fontId="5"/>
  </si>
  <si>
    <t>[effect:break_attack_fix, val:250, lowest_val:500, count:6, block:block_yellow, target:unit_all]</t>
    <phoneticPr fontId="5"/>
  </si>
  <si>
    <t>[effect:damage_anti_color, target:unit_all, color:red, val1:0.5, val2:0.25]</t>
    <phoneticPr fontId="5"/>
  </si>
  <si>
    <t>null</t>
    <phoneticPr fontId="5"/>
  </si>
  <si>
    <t>[effect:fix_speed, target:enemy_blue, turn:1],[effect:fix_speed, target:enemy_green, turn:2]</t>
    <phoneticPr fontId="5"/>
  </si>
  <si>
    <t>[effect:enhance_enemy, target:myself, turn:1, status:defense, val:5000, calc:add, animation:enemy_enhance_defense],[effect:fix_speed, target:enemy_blue, turn:1],[effect:fix_speed, target:enemy_yellow, turn:1]</t>
    <phoneticPr fontId="5"/>
  </si>
  <si>
    <t xml:space="preserve">[effect:break_enchance_enemy, val:0.01, lowest_val:0.2, count :-1, status:attack, turn:1, block:block_green, target:myself, calc:mul, animation:enemy_enhance_attack]    </t>
    <phoneticPr fontId="5"/>
  </si>
  <si>
    <t>[effect:critical, val:2.5]</t>
    <phoneticPr fontId="5"/>
  </si>
  <si>
    <t>[effect:rush, count:12, val:0.12]</t>
    <phoneticPr fontId="5"/>
  </si>
  <si>
    <t>[effect:critical, val:1.5]</t>
    <phoneticPr fontId="5"/>
  </si>
  <si>
    <t>[effect:rush, count:12, val:0.12]</t>
    <phoneticPr fontId="5"/>
  </si>
  <si>
    <t xml:space="preserve">[effect:degrade_unit, target:unit_all, turn:1, status:action, val:2, calc:add, animation:enemy_tap_down],[effect:damage_fix_absolute, target:unit_one, val:6000]    </t>
    <phoneticPr fontId="5"/>
  </si>
  <si>
    <t>[effect:force_change_block, new_block:block_green, target:block_heart, ignore:crash, ignore02:crack_bomb, count:8, val:0, animation:change_block],[effect:damage_fix_absolute, target:unit_one, val:6500]</t>
    <phoneticPr fontId="5"/>
  </si>
  <si>
    <t xml:space="preserve">[effect:freq_turn, target:myself, turn:-1, val:1, animation:enemy_freq_turn],[effect:damage_fix_absolute, target:unit_one, val:7000]    </t>
    <phoneticPr fontId="5"/>
  </si>
  <si>
    <t xml:space="preserve">[effect:dis_panel, target:block_red, turn:1, animation:enemy_dis_red],[effect:damage_fix_absolute, target:unit_one, val:8000]    </t>
    <phoneticPr fontId="5"/>
  </si>
  <si>
    <t>[effect:hungup, target:unit_all, turn:1, rate:1, animation:hungup01],[effect:damage_fix_absolute, target:unit_one, val:8500]</t>
    <phoneticPr fontId="5"/>
  </si>
  <si>
    <t>[effect:damage_anti_tribe, target:unit_all, tribe:animal, val1:0.5, val2:0.37]</t>
    <phoneticPr fontId="5"/>
  </si>
  <si>
    <t>[effect:damage_anti_tribe, target:unit_all, tribe:animal, val1:0.5, val2:0.4]</t>
    <phoneticPr fontId="5"/>
  </si>
  <si>
    <t>[effect:rush, count:10, val:0.08]</t>
    <phoneticPr fontId="5"/>
  </si>
  <si>
    <t>[effect:enhance_enemy, target:myself, turn:1, status:defense, val:5000, calc:add, animation:enemy_enhance_defense]</t>
    <phoneticPr fontId="5"/>
  </si>
  <si>
    <t>[effect:spread, val:0.3]</t>
    <phoneticPr fontId="5"/>
  </si>
  <si>
    <t>[effect:spread, val:0.3]</t>
    <phoneticPr fontId="5"/>
  </si>
  <si>
    <t>[effect:critical, val:1.3]</t>
    <phoneticPr fontId="5"/>
  </si>
  <si>
    <t xml:space="preserve">[effect:heal, target:myself, val:0.4, animation:enemy_heal]    </t>
    <phoneticPr fontId="5"/>
  </si>
  <si>
    <t>防御力UP</t>
    <rPh sb="0" eb="3">
      <t>ボウギョリョク</t>
    </rPh>
    <phoneticPr fontId="5"/>
  </si>
  <si>
    <t>全体攻撃</t>
    <rPh sb="0" eb="4">
      <t>ゼンタイコウゲキ</t>
    </rPh>
    <phoneticPr fontId="5"/>
  </si>
  <si>
    <t>防御力UP</t>
    <rPh sb="0" eb="2">
      <t>ボウギョ</t>
    </rPh>
    <rPh sb="2" eb="3">
      <t>リョク</t>
    </rPh>
    <phoneticPr fontId="5"/>
  </si>
  <si>
    <t>クリティカル</t>
    <phoneticPr fontId="5"/>
  </si>
  <si>
    <t>連続攻撃</t>
    <rPh sb="0" eb="4">
      <t>レンゾクコウゲキ</t>
    </rPh>
    <phoneticPr fontId="5"/>
  </si>
  <si>
    <t>お邪魔パネルを1個生成</t>
    <rPh sb="1" eb="3">
      <t>ジャマ</t>
    </rPh>
    <rPh sb="8" eb="9">
      <t>コ</t>
    </rPh>
    <rPh sb="9" eb="11">
      <t>コセイセイ</t>
    </rPh>
    <phoneticPr fontId="5"/>
  </si>
  <si>
    <t>3ターンの間ウィルス状態</t>
    <rPh sb="5" eb="6">
      <t>アイダ</t>
    </rPh>
    <rPh sb="10" eb="12">
      <t>ジョウタイ</t>
    </rPh>
    <phoneticPr fontId="5"/>
  </si>
  <si>
    <t>種族ゴッドに大ダメージ！</t>
    <rPh sb="0" eb="2">
      <t>シュゾク</t>
    </rPh>
    <rPh sb="6" eb="7">
      <t>ダイ</t>
    </rPh>
    <phoneticPr fontId="5"/>
  </si>
  <si>
    <t>次のターンに超連続攻撃！</t>
    <rPh sb="0" eb="1">
      <t>ツギ</t>
    </rPh>
    <rPh sb="6" eb="11">
      <t>チョウレンゾクコウゲキ</t>
    </rPh>
    <phoneticPr fontId="5"/>
  </si>
  <si>
    <t>状態異常無効＋お邪魔パネル3個生成</t>
    <rPh sb="0" eb="6">
      <t>ジョウタイイジョウムコウ</t>
    </rPh>
    <rPh sb="8" eb="10">
      <t>ジャマ</t>
    </rPh>
    <rPh sb="14" eb="15">
      <t>コ</t>
    </rPh>
    <rPh sb="15" eb="17">
      <t>セイセイ</t>
    </rPh>
    <phoneticPr fontId="5"/>
  </si>
  <si>
    <t>状態異常無効
＋緑パネルが時限パネルとしてドロップ</t>
    <rPh sb="0" eb="6">
      <t>ジョウタイイジョウムコウ</t>
    </rPh>
    <rPh sb="8" eb="9">
      <t>ミドリ</t>
    </rPh>
    <rPh sb="13" eb="15">
      <t>ジゲン</t>
    </rPh>
    <phoneticPr fontId="5"/>
  </si>
  <si>
    <t>連続攻撃＋1ターン防御力UP</t>
    <rPh sb="0" eb="4">
      <t>レンゾクコウゲキ</t>
    </rPh>
    <rPh sb="9" eb="11">
      <t>ボウギョ</t>
    </rPh>
    <rPh sb="11" eb="12">
      <t>リョク</t>
    </rPh>
    <phoneticPr fontId="5"/>
  </si>
  <si>
    <t>種族ゴッドに超大ダメージ！</t>
    <rPh sb="0" eb="2">
      <t>シュゾク</t>
    </rPh>
    <rPh sb="6" eb="7">
      <t>チョウ</t>
    </rPh>
    <rPh sb="7" eb="8">
      <t>ダイ</t>
    </rPh>
    <phoneticPr fontId="5"/>
  </si>
  <si>
    <t>全体に1ターンスキルバインド
＋次のターンに緑パネルを吸収して攻撃力UP</t>
    <rPh sb="0" eb="2">
      <t>ゼンタイ</t>
    </rPh>
    <rPh sb="16" eb="17">
      <t>ツギ</t>
    </rPh>
    <rPh sb="22" eb="23">
      <t>ミドリ</t>
    </rPh>
    <rPh sb="27" eb="29">
      <t>キュウシュウ</t>
    </rPh>
    <rPh sb="31" eb="34">
      <t>コウゲキリョク</t>
    </rPh>
    <phoneticPr fontId="5"/>
  </si>
  <si>
    <t>状態異常無効＋Cパネルを縮小(効果最大)</t>
    <rPh sb="0" eb="4">
      <t>ジョウタイイジョウム</t>
    </rPh>
    <rPh sb="4" eb="6">
      <t>mukou</t>
    </rPh>
    <rPh sb="12" eb="14">
      <t>シュクショウ</t>
    </rPh>
    <rPh sb="15" eb="19">
      <t>コウカサイダイ</t>
    </rPh>
    <phoneticPr fontId="5"/>
  </si>
  <si>
    <t>赤属性に大ダメージ！</t>
    <rPh sb="0" eb="3">
      <t>アカゾクセイ</t>
    </rPh>
    <rPh sb="4" eb="5">
      <t>ダイ</t>
    </rPh>
    <phoneticPr fontId="5"/>
  </si>
  <si>
    <t>種族アニマルに大ダメージ！</t>
    <rPh sb="0" eb="2">
      <t>シュゾク</t>
    </rPh>
    <rPh sb="7" eb="8">
      <t>ダイ</t>
    </rPh>
    <phoneticPr fontId="5"/>
  </si>
  <si>
    <t>種族アニマルに超大ダメージ！</t>
    <rPh sb="0" eb="2">
      <t>シュゾク</t>
    </rPh>
    <rPh sb="7" eb="8">
      <t>チョウ</t>
    </rPh>
    <rPh sb="8" eb="9">
      <t>ダイ</t>
    </rPh>
    <phoneticPr fontId="5"/>
  </si>
  <si>
    <t>防御力UP</t>
    <phoneticPr fontId="5"/>
  </si>
  <si>
    <t>連続攻撃</t>
    <rPh sb="0" eb="4">
      <t>レンゾクコウゲキ</t>
    </rPh>
    <phoneticPr fontId="5"/>
  </si>
  <si>
    <t>黄属性に変化＋強力な連続攻撃＋攻撃頻度UP</t>
    <rPh sb="0" eb="1">
      <t>キ</t>
    </rPh>
    <rPh sb="7" eb="9">
      <t>キョウリョク</t>
    </rPh>
    <rPh sb="10" eb="14">
      <t>レンゾクコウゲキ</t>
    </rPh>
    <rPh sb="15" eb="19">
      <t>コウゲキヒンド</t>
    </rPh>
    <phoneticPr fontId="5"/>
  </si>
  <si>
    <t>連続攻撃</t>
    <phoneticPr fontId="5"/>
  </si>
  <si>
    <t>緑属性に変化</t>
    <rPh sb="0" eb="1">
      <t>ミドリ</t>
    </rPh>
    <phoneticPr fontId="5"/>
  </si>
  <si>
    <t>8ターン青パネルの出現率が低下</t>
    <phoneticPr fontId="5"/>
  </si>
  <si>
    <t>1ターンタップ回数減少</t>
    <rPh sb="7" eb="9">
      <t>カイスウ</t>
    </rPh>
    <rPh sb="9" eb="11">
      <t>ゲンショウ</t>
    </rPh>
    <phoneticPr fontId="5"/>
  </si>
  <si>
    <t>次のターンからだんだん威力の上がる攻撃！</t>
    <rPh sb="0" eb="1">
      <t>ツギ</t>
    </rPh>
    <rPh sb="11" eb="13">
      <t>イリョク</t>
    </rPh>
    <rPh sb="14" eb="15">
      <t>ア</t>
    </rPh>
    <rPh sb="17" eb="19">
      <t>コウゲキ</t>
    </rPh>
    <phoneticPr fontId="5"/>
  </si>
  <si>
    <t>スピードアップ</t>
    <phoneticPr fontId="5"/>
  </si>
  <si>
    <t>1ターン赤パネル無効</t>
    <rPh sb="4" eb="5">
      <t>アカ</t>
    </rPh>
    <rPh sb="8" eb="10">
      <t>ムコウ</t>
    </rPh>
    <phoneticPr fontId="5"/>
  </si>
  <si>
    <t>1ターンスキルバインド</t>
    <phoneticPr fontId="5"/>
  </si>
  <si>
    <t>1ターン攻撃力DOWN</t>
    <rPh sb="4" eb="7">
      <t>コウゲキリョク</t>
    </rPh>
    <phoneticPr fontId="5"/>
  </si>
  <si>
    <t>攻撃力UP</t>
    <rPh sb="0" eb="3">
      <t>コウゲキリョク</t>
    </rPh>
    <phoneticPr fontId="5"/>
  </si>
  <si>
    <t>黄パネルを狙っている</t>
    <rPh sb="0" eb="1">
      <t>キ</t>
    </rPh>
    <rPh sb="5" eb="6">
      <t>ネラ</t>
    </rPh>
    <phoneticPr fontId="5"/>
  </si>
  <si>
    <t>私だって強いんですし！！</t>
    <rPh sb="0" eb="1">
      <t>ワタシ</t>
    </rPh>
    <rPh sb="4" eb="5">
      <t>ツヨ</t>
    </rPh>
    <phoneticPr fontId="5"/>
  </si>
  <si>
    <t>…奇襲成功！</t>
    <rPh sb="1" eb="3">
      <t>kisyuu</t>
    </rPh>
    <rPh sb="3" eb="5">
      <t>セイコウ</t>
    </rPh>
    <phoneticPr fontId="5"/>
  </si>
  <si>
    <t>どうだ、効くだろう！</t>
    <rPh sb="4" eb="5">
      <t>キ</t>
    </rPh>
    <phoneticPr fontId="5"/>
  </si>
  <si>
    <t>鉄砲隊、用意！</t>
    <rPh sb="0" eb="3">
      <t>テッポウタイ</t>
    </rPh>
    <rPh sb="4" eb="6">
      <t>ヨウイ</t>
    </rPh>
    <phoneticPr fontId="5"/>
  </si>
  <si>
    <t>3連続全体攻撃</t>
    <rPh sb="1" eb="3">
      <t>レンゾク</t>
    </rPh>
    <rPh sb="3" eb="7">
      <t>ゼンタイコウゲキ</t>
    </rPh>
    <phoneticPr fontId="5"/>
  </si>
  <si>
    <t>鉄砲三段撃ち！</t>
    <rPh sb="0" eb="2">
      <t>テッポウ</t>
    </rPh>
    <rPh sb="2" eb="3">
      <t xml:space="preserve"> </t>
    </rPh>
    <rPh sb="3" eb="4">
      <t>サンダン</t>
    </rPh>
    <rPh sb="4" eb="5">
      <t>ウ</t>
    </rPh>
    <phoneticPr fontId="5"/>
  </si>
  <si>
    <t>全員撃ちまくれ！！</t>
    <rPh sb="0" eb="2">
      <t>ゼンイン</t>
    </rPh>
    <rPh sb="2" eb="3">
      <t>ウ</t>
    </rPh>
    <phoneticPr fontId="5"/>
  </si>
  <si>
    <t>よっしゃ！遊んでやるぜ！</t>
    <rPh sb="5" eb="6">
      <t>アソ</t>
    </rPh>
    <phoneticPr fontId="5"/>
  </si>
  <si>
    <t>やるじゃん！でもまだまだ！</t>
    <phoneticPr fontId="5"/>
  </si>
  <si>
    <t>まずは兵力を奪う！</t>
    <rPh sb="3" eb="5">
      <t>ヘイリョク</t>
    </rPh>
    <rPh sb="6" eb="7">
      <t>ウバ</t>
    </rPh>
    <phoneticPr fontId="5"/>
  </si>
  <si>
    <t>そして一気に攻める！</t>
    <rPh sb="3" eb="5">
      <t>イッキ</t>
    </rPh>
    <rPh sb="6" eb="7">
      <t>セ</t>
    </rPh>
    <phoneticPr fontId="5"/>
  </si>
  <si>
    <t>さらに武器を奪う！</t>
    <rPh sb="3" eb="5">
      <t>ブキ</t>
    </rPh>
    <rPh sb="6" eb="7">
      <t>ウバ</t>
    </rPh>
    <phoneticPr fontId="5"/>
  </si>
  <si>
    <t>畳み掛けるぜ！</t>
    <rPh sb="0" eb="1">
      <t>タタ</t>
    </rPh>
    <rPh sb="2" eb="3">
      <t>カ</t>
    </rPh>
    <phoneticPr fontId="5"/>
  </si>
  <si>
    <t>動けなくしてやる！</t>
    <rPh sb="0" eb="1">
      <t>ウゴ</t>
    </rPh>
    <phoneticPr fontId="5"/>
  </si>
  <si>
    <t>兵糧攻めだ！</t>
    <rPh sb="0" eb="3">
      <t>ヒョウロウゼ</t>
    </rPh>
    <phoneticPr fontId="5"/>
  </si>
  <si>
    <t>立ち上がれなくしてやる！</t>
    <rPh sb="0" eb="1">
      <t>タ</t>
    </rPh>
    <rPh sb="2" eb="3">
      <t>ア</t>
    </rPh>
    <phoneticPr fontId="5"/>
  </si>
  <si>
    <t>ここからは小細工なしだ！</t>
    <rPh sb="5" eb="8">
      <t>コザイク</t>
    </rPh>
    <phoneticPr fontId="5"/>
  </si>
  <si>
    <t>いくぜー！</t>
    <phoneticPr fontId="5"/>
  </si>
  <si>
    <t>もう一発いくぜ！</t>
    <rPh sb="2" eb="4">
      <t>イッパツ</t>
    </rPh>
    <phoneticPr fontId="5"/>
  </si>
  <si>
    <t>耐えてみろ！</t>
    <rPh sb="0" eb="1">
      <t>タ</t>
    </rPh>
    <phoneticPr fontId="5"/>
  </si>
  <si>
    <t>おい、影丸…！</t>
    <rPh sb="3" eb="5">
      <t>カゲマル</t>
    </rPh>
    <phoneticPr fontId="5"/>
  </si>
  <si>
    <t>影丸による回復術！</t>
    <rPh sb="0" eb="2">
      <t>カゲマル</t>
    </rPh>
    <rPh sb="5" eb="8">
      <t>カイフクジュツ</t>
    </rPh>
    <phoneticPr fontId="5"/>
  </si>
  <si>
    <t>これでどうだ！</t>
    <phoneticPr fontId="5"/>
  </si>
  <si>
    <t>居合斬り！</t>
    <rPh sb="0" eb="2">
      <t>iai</t>
    </rPh>
    <rPh sb="2" eb="4">
      <t>kiri</t>
    </rPh>
    <phoneticPr fontId="5"/>
  </si>
  <si>
    <t>回転斬り！</t>
    <rPh sb="0" eb="2">
      <t>カイテンギ</t>
    </rPh>
    <rPh sb="2" eb="4">
      <t>kiri</t>
    </rPh>
    <phoneticPr fontId="5"/>
  </si>
  <si>
    <t>多段連続斬り！</t>
    <rPh sb="0" eb="2">
      <t>タダン</t>
    </rPh>
    <rPh sb="2" eb="4">
      <t>レンゾク</t>
    </rPh>
    <rPh sb="4" eb="5">
      <t>キ</t>
    </rPh>
    <phoneticPr fontId="5"/>
  </si>
  <si>
    <t>人間サマが最強だ！</t>
    <rPh sb="0" eb="2">
      <t>ニンゲン</t>
    </rPh>
    <rPh sb="5" eb="7">
      <t>サイキョウ</t>
    </rPh>
    <phoneticPr fontId="5"/>
  </si>
  <si>
    <t>しずかなること林の如く！</t>
    <rPh sb="7" eb="8">
      <t>ハヤシ</t>
    </rPh>
    <rPh sb="9" eb="10">
      <t>ゴト</t>
    </rPh>
    <phoneticPr fontId="5"/>
  </si>
  <si>
    <t>隙を見せるヤツから斬る！</t>
    <rPh sb="0" eb="1">
      <t>スキ</t>
    </rPh>
    <rPh sb="2" eb="3">
      <t>ミ</t>
    </rPh>
    <rPh sb="9" eb="10">
      <t>キ</t>
    </rPh>
    <phoneticPr fontId="5"/>
  </si>
  <si>
    <t>動かざること山の如く！</t>
    <rPh sb="0" eb="1">
      <t>ウゴ</t>
    </rPh>
    <rPh sb="6" eb="7">
      <t>ヤマ</t>
    </rPh>
    <rPh sb="8" eb="9">
      <t>ゴト</t>
    </rPh>
    <phoneticPr fontId="5"/>
  </si>
  <si>
    <t>動くこと雷霆の如し！</t>
    <rPh sb="0" eb="1">
      <t>ウゴ</t>
    </rPh>
    <rPh sb="4" eb="6">
      <t>raitei</t>
    </rPh>
    <rPh sb="7" eb="8">
      <t>ゴト</t>
    </rPh>
    <phoneticPr fontId="5"/>
  </si>
  <si>
    <t>これで終わりだ！</t>
    <rPh sb="3" eb="4">
      <t>オ</t>
    </rPh>
    <phoneticPr fontId="5"/>
  </si>
  <si>
    <t>[effect:fix_speed, target:enemy_blue, turn:1],[effect:fix_speed, target:enemy_yellow, turn:2]</t>
    <phoneticPr fontId="5"/>
  </si>
  <si>
    <t>ガーディアンか…面白い。</t>
  </si>
  <si>
    <t>忍法！</t>
    <rPh sb="0" eb="2">
      <t>ニンポウ</t>
    </rPh>
    <phoneticPr fontId="5"/>
  </si>
  <si>
    <t>[effect:damage_anti_tribe, target:unit_all, tribe:god, val1:0.8, val2:0.28]</t>
    <phoneticPr fontId="5"/>
  </si>
  <si>
    <t>これが刻印[天下布武]の力だ！</t>
    <rPh sb="3" eb="5">
      <t>コクイン</t>
    </rPh>
    <rPh sb="6" eb="8">
      <t>テンカ</t>
    </rPh>
    <rPh sb="8" eb="10">
      <t>フブ</t>
    </rPh>
    <rPh sb="12" eb="13">
      <t>チカラ</t>
    </rPh>
    <phoneticPr fontId="5"/>
  </si>
  <si>
    <t>天下を取るのは俺だ！</t>
    <rPh sb="0" eb="2">
      <t>テンカ</t>
    </rPh>
    <rPh sb="3" eb="4">
      <t>ト</t>
    </rPh>
    <rPh sb="7" eb="8">
      <t>オレ</t>
    </rPh>
    <phoneticPr fontId="5"/>
  </si>
  <si>
    <t>神すら俺を恐れる！</t>
    <rPh sb="0" eb="1">
      <t>カミ</t>
    </rPh>
    <rPh sb="3" eb="4">
      <t>オレ</t>
    </rPh>
    <rPh sb="5" eb="6">
      <t>オソ</t>
    </rPh>
    <phoneticPr fontId="5"/>
  </si>
  <si>
    <t>誰も俺を止められない！</t>
    <rPh sb="0" eb="1">
      <t>ダレ</t>
    </rPh>
    <rPh sb="2" eb="3">
      <t>オレ</t>
    </rPh>
    <rPh sb="4" eb="5">
      <t>ト</t>
    </rPh>
    <phoneticPr fontId="5"/>
  </si>
  <si>
    <t>頂点に立つのは俺だ！</t>
    <rPh sb="0" eb="2">
      <t>チョウテン</t>
    </rPh>
    <rPh sb="3" eb="4">
      <t>タ</t>
    </rPh>
    <rPh sb="7" eb="8">
      <t>オレ</t>
    </rPh>
    <phoneticPr fontId="5"/>
  </si>
  <si>
    <t>くっ…まさに最強のセキュリティだな…</t>
    <rPh sb="6" eb="8">
      <t>サイキョウ</t>
    </rPh>
    <phoneticPr fontId="5"/>
  </si>
  <si>
    <t>まだ…足りないの…か…</t>
    <rPh sb="3" eb="4">
      <t>タ</t>
    </rPh>
    <phoneticPr fontId="5"/>
  </si>
  <si>
    <t>天下統一まで…あと一歩…！</t>
    <rPh sb="0" eb="4">
      <t>テンカトウイツ</t>
    </rPh>
    <rPh sb="9" eb="11">
      <t>イッポ</t>
    </rPh>
    <phoneticPr fontId="5"/>
  </si>
  <si>
    <t>俺が…俺が頂点だ！！！</t>
    <rPh sb="0" eb="1">
      <t>オレ</t>
    </rPh>
    <rPh sb="3" eb="4">
      <t>オレ</t>
    </rPh>
    <rPh sb="5" eb="7">
      <t>チョウテン</t>
    </rPh>
    <phoneticPr fontId="5"/>
  </si>
  <si>
    <t>俺の計略に沈め！</t>
    <rPh sb="0" eb="1">
      <t>オレ</t>
    </rPh>
    <rPh sb="2" eb="4">
      <t>ケイリャク</t>
    </rPh>
    <rPh sb="5" eb="6">
      <t>シズ</t>
    </rPh>
    <phoneticPr fontId="5"/>
  </si>
  <si>
    <t>[effect:enhance_enemy, target:myself, turn:1, status:defense, val:5000, calc:add, animation:enemy_enhance_defense],[effect:rush, count:12, val:0.1]</t>
    <phoneticPr fontId="5"/>
  </si>
  <si>
    <t>20連続攻撃＋1ターン防御力UP</t>
    <rPh sb="2" eb="6">
      <t>レンゾクコウゲキ</t>
    </rPh>
    <phoneticPr fontId="5"/>
  </si>
  <si>
    <t>ガラシャは2行動ごとに
黄パネル破壊攻撃をします</t>
    <rPh sb="6" eb="8">
      <t>コウドウ</t>
    </rPh>
    <rPh sb="12" eb="13">
      <t>キイロ</t>
    </rPh>
    <rPh sb="16" eb="18">
      <t>ハカイ</t>
    </rPh>
    <rPh sb="18" eb="20">
      <t>コウゲキ</t>
    </rPh>
    <phoneticPr fontId="5"/>
  </si>
  <si>
    <t>ガラシャは残りHPが半分以下になると
クリティカル攻撃をします</t>
    <rPh sb="5" eb="6">
      <t>ノコ</t>
    </rPh>
    <rPh sb="10" eb="12">
      <t>ハンブン</t>
    </rPh>
    <rPh sb="12" eb="14">
      <t>イカ</t>
    </rPh>
    <rPh sb="25" eb="27">
      <t>コウゲキ</t>
    </rPh>
    <phoneticPr fontId="5"/>
  </si>
  <si>
    <t>武田信玄の2ゲージ目は
HPが半分以下になると強力な攻撃をします
ギリギリまで削ってから一気に倒しましょう</t>
    <rPh sb="0" eb="4">
      <t>タケダシンゲン</t>
    </rPh>
    <rPh sb="9" eb="10">
      <t>メ</t>
    </rPh>
    <rPh sb="15" eb="17">
      <t>ハンブン</t>
    </rPh>
    <rPh sb="17" eb="19">
      <t>イカ</t>
    </rPh>
    <rPh sb="23" eb="25">
      <t>チョウキョウリョク</t>
    </rPh>
    <rPh sb="26" eb="28">
      <t>コウゲキ</t>
    </rPh>
    <rPh sb="39" eb="40">
      <t>ケズ</t>
    </rPh>
    <rPh sb="44" eb="46">
      <t>イッキ</t>
    </rPh>
    <rPh sb="47" eb="48">
      <t>タオ</t>
    </rPh>
    <phoneticPr fontId="5"/>
  </si>
  <si>
    <t>森蘭丸の1ゲージ目は毎ターンごとに
ダメージの増える攻撃をします
効果も様々なので注意しましょう</t>
    <rPh sb="0" eb="3">
      <t>モリランマル</t>
    </rPh>
    <rPh sb="8" eb="9">
      <t>メ</t>
    </rPh>
    <rPh sb="10" eb="11">
      <t>マイ</t>
    </rPh>
    <rPh sb="23" eb="24">
      <t>フ</t>
    </rPh>
    <rPh sb="26" eb="28">
      <t>コウゲキ</t>
    </rPh>
    <rPh sb="33" eb="35">
      <t>コウカ</t>
    </rPh>
    <rPh sb="36" eb="38">
      <t>サマザマ</t>
    </rPh>
    <rPh sb="41" eb="43">
      <t>チュウイ</t>
    </rPh>
    <phoneticPr fontId="5"/>
  </si>
  <si>
    <t>織田信長の3ゲージ目は
強力な攻撃が来るため
6ターン以内に倒しましょう</t>
    <rPh sb="0" eb="4">
      <t>オダノブナガ</t>
    </rPh>
    <rPh sb="9" eb="10">
      <t>メ</t>
    </rPh>
    <rPh sb="12" eb="14">
      <t>キョウリョク</t>
    </rPh>
    <rPh sb="15" eb="17">
      <t>コウゲキ</t>
    </rPh>
    <rPh sb="18" eb="19">
      <t>ク</t>
    </rPh>
    <rPh sb="27" eb="29">
      <t>イナイ</t>
    </rPh>
    <rPh sb="30" eb="31">
      <t>タオ</t>
    </rPh>
    <phoneticPr fontId="5"/>
  </si>
  <si>
    <t>神を超えてみせる！</t>
    <rPh sb="0" eb="1">
      <t>カミ</t>
    </rPh>
    <rPh sb="2" eb="3">
      <t>コ</t>
    </rPh>
    <phoneticPr fontId="5"/>
  </si>
  <si>
    <t>流石だな…だがこれはどうだ？</t>
    <rPh sb="0" eb="2">
      <t>サスガ</t>
    </rPh>
    <phoneticPr fontId="5"/>
  </si>
  <si>
    <t>さて、ここからだ！</t>
    <phoneticPr fontId="5"/>
  </si>
  <si>
    <t>[effect:enemy_message, val1:2, val2:0, dead_type:suicide]</t>
    <phoneticPr fontId="5"/>
  </si>
  <si>
    <t>遅い遅い！</t>
    <rPh sb="0" eb="1">
      <t>オソ</t>
    </rPh>
    <rPh sb="2" eb="3">
      <t>オソ</t>
    </rPh>
    <phoneticPr fontId="5"/>
  </si>
  <si>
    <t>人間をナメるなよ！</t>
    <rPh sb="0" eb="2">
      <t>ニンゲン</t>
    </rPh>
    <phoneticPr fontId="5"/>
  </si>
  <si>
    <t>黄パネルを6個吸収して全体攻撃</t>
    <rPh sb="0" eb="1">
      <t>キ</t>
    </rPh>
    <rPh sb="6" eb="7">
      <t>コ</t>
    </rPh>
    <rPh sb="7" eb="9">
      <t>キュウシュウ</t>
    </rPh>
    <rPh sb="11" eb="15">
      <t>ゼンタイコウゲキ</t>
    </rPh>
    <phoneticPr fontId="5"/>
  </si>
  <si>
    <t>ハートパネルを8個緑パネルに変換</t>
    <rPh sb="8" eb="9">
      <t>コ</t>
    </rPh>
    <rPh sb="9" eb="10">
      <t>ミドリ</t>
    </rPh>
    <rPh sb="14" eb="16">
      <t>ヘンカン</t>
    </rPh>
    <phoneticPr fontId="5"/>
  </si>
  <si>
    <t>緑パネルを全て吸収して攻撃力UP</t>
    <rPh sb="0" eb="1">
      <t>ミドリ</t>
    </rPh>
    <rPh sb="5" eb="6">
      <t>スベ</t>
    </rPh>
    <rPh sb="7" eb="9">
      <t>キュウシュウ</t>
    </rPh>
    <rPh sb="11" eb="14">
      <t>コウゲキリョク</t>
    </rPh>
    <phoneticPr fontId="5"/>
  </si>
  <si>
    <t>ハートパネル12個吸収攻撃</t>
    <rPh sb="8" eb="9">
      <t>コ</t>
    </rPh>
    <phoneticPr fontId="5"/>
  </si>
  <si>
    <t>[effect:break_attack_fix, val:250, lowest_val:2000, count:12, block:block_heart, target:unit_all]</t>
    <phoneticPr fontId="5"/>
  </si>
  <si>
    <t>次のターンに有利ステータスを全て解除！
＋次のターンに超強力な一撃！</t>
    <rPh sb="21" eb="22">
      <t>ツギ</t>
    </rPh>
    <rPh sb="27" eb="28">
      <t>チョウ</t>
    </rPh>
    <rPh sb="28" eb="30">
      <t>キョウリョク</t>
    </rPh>
    <rPh sb="31" eb="33">
      <t>イチゲキ</t>
    </rPh>
    <phoneticPr fontId="5"/>
  </si>
  <si>
    <t>有利ステータスを全て解除！
＋超強力な一撃！</t>
    <rPh sb="15" eb="16">
      <t>チョウ</t>
    </rPh>
    <rPh sb="16" eb="18">
      <t>キョウリョク</t>
    </rPh>
    <rPh sb="19" eb="21">
      <t>イチゲキ</t>
    </rPh>
    <phoneticPr fontId="5"/>
  </si>
  <si>
    <t>[effect:degrade_unit, target:unit_all, turn:1, status:attack, val:0.5, calc:mul],[effect:damage_fix_absolute, target:unit_one, val:9000]</t>
    <phoneticPr fontId="5"/>
  </si>
  <si>
    <t>クリティカル！</t>
    <phoneticPr fontId="5"/>
  </si>
  <si>
    <t>負けるわけには…！</t>
    <rPh sb="0" eb="1">
      <t>マ</t>
    </rPh>
    <phoneticPr fontId="5"/>
  </si>
  <si>
    <t>ここで俺が倒さねば…！</t>
    <rPh sb="3" eb="4">
      <t>オレ</t>
    </rPh>
    <rPh sb="5" eb="6">
      <t>タオ</t>
    </rPh>
    <phoneticPr fontId="5"/>
  </si>
  <si>
    <t>[effect:enemy_message, val1:1.3, val2:2.1],[effect:nothing]</t>
    <phoneticPr fontId="5"/>
  </si>
  <si>
    <t>[effect:enemy_message, val1:1.2, val2:0, dead_type:suicide]</t>
    <phoneticPr fontId="5"/>
  </si>
  <si>
    <t>[effect:enemy_message, val1:1.2, val2:2.1],[effect:hungup, target:unit_all, turn:1, rate:1, animation:hungup01]</t>
    <phoneticPr fontId="5"/>
  </si>
  <si>
    <t xml:space="preserve">[effect:enemy_message, val1:1.2, val2:2.1],[effect:drop_block, block_type:time_bomb, block_color:block_green, color:block_green, val:0.12, rate:0.5, turn:-1, min_time_count:2, max_time_count:4, animation:time_bomb_influence04],[effect:tolerance, target:myself, turn:-1, tolerance_effect:hungup, count:-1],[effect:tolerance, target:myself, turn:-1, tolerance_effect:virus, count:-1],[effect:tolerance, target:myself, turn:-1, tolerance_effect:sleep, count:-1, animation:enemy_tolerance] </t>
    <phoneticPr fontId="5"/>
  </si>
  <si>
    <t>[effect:damage_anti_tribe, target:unit_all, tribe:god, val1:0.8, val2:0.37]</t>
    <phoneticPr fontId="5"/>
  </si>
  <si>
    <t>[effect:virus, turn:3, target:unit_all, rate:1, val:0.1, animation:enemy_virus],[effect:rush, count:1, val:0.6]</t>
    <phoneticPr fontId="5"/>
  </si>
  <si>
    <t>null</t>
    <phoneticPr fontId="5"/>
  </si>
  <si>
    <t>null</t>
    <phoneticPr fontId="5"/>
  </si>
  <si>
    <t>null</t>
    <phoneticPr fontId="5"/>
  </si>
  <si>
    <t>[effect:critical, val:3.5]</t>
    <phoneticPr fontId="5"/>
  </si>
  <si>
    <t>[effect:damage_fix_absolute, target:unit_one, val:9500],[effect:enhance_enemy, target:myself, turn:-1, status:attack, val:0.1, calc:mul, animation:enemy_enhance_attack]</t>
    <phoneticPr fontId="5"/>
  </si>
  <si>
    <t>クリティカル＋攻撃力UP</t>
    <rPh sb="7" eb="10">
      <t>コウゲキリョク</t>
    </rPh>
    <phoneticPr fontId="5"/>
  </si>
  <si>
    <t>[effect:enhance_enemy, target:myself, turn:1, status:defense, val:10000, calc:add, animation:enemy_enhance_defense],[effect:rush, count:20, val:0.1]</t>
    <phoneticPr fontId="5"/>
  </si>
  <si>
    <t>[effect:spread, val:0.06],[effect:spread, val:0.07],[effect:spread, val:0.09]</t>
    <phoneticPr fontId="5"/>
  </si>
  <si>
    <t>[effect:critical, val:4.5],[effect:enhance_enemy, target:myself, turn:-1, status:attack, val:1, calc:mul, animation:enemy_enhance_attack]</t>
    <phoneticPr fontId="5"/>
  </si>
  <si>
    <t>[effect:enemy_message, val1:1.3, val2:2.1],[effect:remove_enhancement, target:unit_all, target_effect:all, target_type:buff, count:-1, animation:frozen_wave],[effect:critical, val:10]</t>
    <phoneticPr fontId="5"/>
  </si>
  <si>
    <t>誰にも邪魔はさせぬ！</t>
    <rPh sb="0" eb="2">
      <t>ダレニm</t>
    </rPh>
    <rPh sb="3" eb="5">
      <t>ジャマ</t>
    </rPh>
    <phoneticPr fontId="5"/>
  </si>
  <si>
    <t>立て直す隙など与えぬ！</t>
    <rPh sb="0" eb="1">
      <t>タ</t>
    </rPh>
    <rPh sb="2" eb="3">
      <t>ナオ</t>
    </rPh>
    <rPh sb="4" eb="5">
      <t>スキ</t>
    </rPh>
    <rPh sb="7" eb="8">
      <t>アタ</t>
    </rPh>
    <phoneticPr fontId="5"/>
  </si>
  <si>
    <t xml:space="preserve">[effect:enemy_message, val1:1.5, val2:2.1],[effect:drop_block, block_type:time_bomb, block_color:block_green, color:block_green, val:0.12, rate:0.5, turn:-1, min_time_count:2, max_time_count:4, animation:time_bomb_influence04],[effect:tolerance, target:myself, turn:-1, tolerance_effect:hungup, count:-1],[effect:tolerance, target:myself, turn:-1, tolerance_effect:virus, count:-1],[effect:tolerance, target:myself, turn:-1, tolerance_effect:sleep, count:-1, animation:enemy_tolerance] </t>
    <phoneticPr fontId="5"/>
  </si>
  <si>
    <t>カウンターなど効かぬ！</t>
    <rPh sb="7" eb="9">
      <t>kikaンai</t>
    </rPh>
    <phoneticPr fontId="5"/>
  </si>
  <si>
    <t>俺に続け！</t>
    <rPh sb="0" eb="1">
      <t>オレ</t>
    </rPh>
    <rPh sb="2" eb="3">
      <t>ツヅ</t>
    </rPh>
    <phoneticPr fontId="5"/>
  </si>
  <si>
    <t>単体攻撃</t>
    <rPh sb="0" eb="4">
      <t>タンタイコウゲキ</t>
    </rPh>
    <phoneticPr fontId="5"/>
  </si>
  <si>
    <t>null</t>
    <phoneticPr fontId="5"/>
  </si>
  <si>
    <t>[effect:critical, val:1.25]</t>
    <phoneticPr fontId="5"/>
  </si>
  <si>
    <t>[effect:damage_anti_tribe, target:unit_all, tribe:god, val1:0.75, val2:0.35]</t>
    <phoneticPr fontId="5"/>
  </si>
  <si>
    <t>お前、なぜ倒れない…！</t>
    <rPh sb="1" eb="2">
      <t>マエ</t>
    </rPh>
    <rPh sb="5" eb="6">
      <t>タオ</t>
    </rPh>
    <phoneticPr fontId="5"/>
  </si>
  <si>
    <t>織田信長の攻撃はどれも強力です
常にHPを回復できるようにしましょう</t>
    <rPh sb="0" eb="4">
      <t>オダノブナガ</t>
    </rPh>
    <rPh sb="5" eb="7">
      <t>コウゲキ</t>
    </rPh>
    <rPh sb="11" eb="13">
      <t>キョウリョク</t>
    </rPh>
    <rPh sb="16" eb="17">
      <t>ツネニ</t>
    </rPh>
    <rPh sb="21" eb="23">
      <t>カイフク</t>
    </rPh>
    <phoneticPr fontId="5"/>
  </si>
  <si>
    <t>unit</t>
  </si>
  <si>
    <t>織田信長を含む若きクラッカー達は
崩壊後のALICEを掌握して意のままに動かす
その腕前を競い合っているようです</t>
    <phoneticPr fontId="5"/>
  </si>
  <si>
    <t>森蘭丸は織田信長の懐刀と称され
その野望を補佐するために行動しています
一匹狼の彼に認められた唯一の存在です</t>
    <phoneticPr fontId="5"/>
  </si>
  <si>
    <t>武田信玄はクラッカー達の中で年長者ですが
実力では織田信長に一歩上をいかれています
そのためか強いライバル心を持つようです</t>
    <phoneticPr fontId="5"/>
  </si>
  <si>
    <t>天下取りゲーム</t>
    <phoneticPr fontId="5"/>
  </si>
  <si>
    <t>信長と蘭丸</t>
    <phoneticPr fontId="5"/>
  </si>
  <si>
    <t>信長と信玄</t>
    <phoneticPr fontId="5"/>
  </si>
  <si>
    <t>秘匿された情報</t>
    <phoneticPr fontId="5"/>
  </si>
  <si>
    <t>織田信長はあなたの活躍で停止しました
しかし彼が戦功を誇示するために公開した
機密情報は新たな戦乱の火種となりそうです</t>
    <phoneticPr fontId="5"/>
  </si>
  <si>
    <t>[effect:force_change_block, new_block:jammer, target:block_all, ignore01:jammer, ignore02:crash, ignore03:color_break, ignore04:magnet, count:1, val:0, animation:change_block]</t>
    <phoneticPr fontId="5"/>
  </si>
  <si>
    <t xml:space="preserve">[effect:force_change_block, new_block:jammer, target:block_all, ignore01:jammer, ignore02:crash, ignore03:color_break, ignore04:magnet, count:3, val:0, animation:change_block],[effect:tolerance, target:myself, turn:-1, tolerance_effect:hungup, count:-1],[effect:tolerance, target:myself, turn:-1, tolerance_effect:virus, count:-1],[effect:tolerance, target:myself, turn:-1, tolerance_effect:sleep, count:-1, animation:enemy_tolerance] </t>
    <phoneticPr fontId="5"/>
  </si>
  <si>
    <t xml:space="preserve">[effect:force_change_block, new_block:jammer, target:block_all, ignore01:jammer, ignore02:crash, ignore03:color_break, ignore04:magnet, count:3, val:0, animation:change_block],[effect:tolerance, target:myself, turn:-1, tolerance_effect:hungup, count:-1],[effect:tolerance, target:myself, turn:-1, tolerance_effect:virus, count:-1],[effect:tolerance, target:myself, turn:-1, tolerance_effect:sleep, count:-1, animation:enemy_tolerance] 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</si>
</sst>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color rgb="FFFF0000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96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7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6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11" fillId="0" borderId="7" xfId="0" applyFont="1" applyBorder="1" applyAlignment="1">
      <alignment vertical="center"/>
    </xf>
    <xf numFmtId="0" fontId="14" fillId="7" borderId="23" xfId="0" applyFont="1" applyFill="1" applyBorder="1" applyAlignment="1">
      <alignment vertical="center"/>
    </xf>
    <xf numFmtId="0" fontId="16" fillId="6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1" fillId="0" borderId="24" xfId="0" applyFont="1" applyBorder="1" applyAlignment="1">
      <alignment vertical="center"/>
    </xf>
    <xf numFmtId="0" fontId="16" fillId="3" borderId="24" xfId="0" applyFont="1" applyFill="1" applyBorder="1" applyAlignment="1">
      <alignment horizontal="left" vertical="center"/>
    </xf>
    <xf numFmtId="0" fontId="11" fillId="0" borderId="2" xfId="0" applyFont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0" borderId="25" xfId="0" applyFont="1" applyFill="1" applyBorder="1" applyAlignment="1">
      <alignment vertical="center"/>
    </xf>
    <xf numFmtId="0" fontId="14" fillId="7" borderId="7" xfId="0" applyFont="1" applyFill="1" applyBorder="1" applyAlignment="1">
      <alignment vertical="center"/>
    </xf>
    <xf numFmtId="0" fontId="11" fillId="31" borderId="10" xfId="0" applyFont="1" applyFill="1" applyBorder="1" applyAlignment="1">
      <alignment vertical="center"/>
    </xf>
    <xf numFmtId="0" fontId="11" fillId="31" borderId="26" xfId="0" applyFont="1" applyFill="1" applyBorder="1" applyAlignment="1">
      <alignment vertical="center"/>
    </xf>
    <xf numFmtId="0" fontId="11" fillId="31" borderId="8" xfId="0" applyFont="1" applyFill="1" applyBorder="1" applyAlignment="1">
      <alignment vertical="center"/>
    </xf>
    <xf numFmtId="0" fontId="11" fillId="31" borderId="27" xfId="0" applyFont="1" applyFill="1" applyBorder="1" applyAlignment="1">
      <alignment vertical="center"/>
    </xf>
    <xf numFmtId="0" fontId="16" fillId="3" borderId="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11" fillId="31" borderId="28" xfId="0" applyFont="1" applyFill="1" applyBorder="1" applyAlignment="1">
      <alignment vertical="center"/>
    </xf>
    <xf numFmtId="0" fontId="11" fillId="31" borderId="29" xfId="0" applyFont="1" applyFill="1" applyBorder="1" applyAlignment="1">
      <alignment vertical="center"/>
    </xf>
    <xf numFmtId="0" fontId="11" fillId="31" borderId="30" xfId="0" applyFont="1" applyFill="1" applyBorder="1" applyAlignment="1">
      <alignment vertical="center"/>
    </xf>
    <xf numFmtId="0" fontId="11" fillId="31" borderId="31" xfId="0" applyFont="1" applyFill="1" applyBorder="1" applyAlignment="1">
      <alignment vertical="center"/>
    </xf>
    <xf numFmtId="0" fontId="11" fillId="31" borderId="32" xfId="0" applyFont="1" applyFill="1" applyBorder="1" applyAlignment="1">
      <alignment vertical="center"/>
    </xf>
    <xf numFmtId="0" fontId="11" fillId="31" borderId="33" xfId="0" applyFont="1" applyFill="1" applyBorder="1" applyAlignment="1">
      <alignment vertical="center"/>
    </xf>
    <xf numFmtId="0" fontId="11" fillId="31" borderId="34" xfId="0" applyFont="1" applyFill="1" applyBorder="1" applyAlignment="1">
      <alignment vertical="center"/>
    </xf>
    <xf numFmtId="0" fontId="11" fillId="31" borderId="35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 wrapText="1"/>
    </xf>
    <xf numFmtId="0" fontId="11" fillId="0" borderId="12" xfId="0" applyFont="1" applyBorder="1" applyAlignment="1">
      <alignment vertical="center"/>
    </xf>
    <xf numFmtId="0" fontId="16" fillId="0" borderId="12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left" vertical="center" wrapText="1"/>
    </xf>
    <xf numFmtId="14" fontId="16" fillId="0" borderId="12" xfId="0" applyNumberFormat="1" applyFont="1" applyFill="1" applyBorder="1" applyAlignment="1">
      <alignment horizontal="left" vertical="center"/>
    </xf>
    <xf numFmtId="0" fontId="11" fillId="0" borderId="28" xfId="0" applyFont="1" applyBorder="1" applyAlignment="1">
      <alignment vertical="center"/>
    </xf>
    <xf numFmtId="0" fontId="16" fillId="0" borderId="36" xfId="0" applyFont="1" applyFill="1" applyBorder="1" applyAlignment="1">
      <alignment vertical="center"/>
    </xf>
    <xf numFmtId="0" fontId="16" fillId="0" borderId="36" xfId="0" applyFont="1" applyFill="1" applyBorder="1" applyAlignment="1">
      <alignment horizontal="left" vertical="center"/>
    </xf>
    <xf numFmtId="0" fontId="16" fillId="0" borderId="36" xfId="0" applyFont="1" applyFill="1" applyBorder="1" applyAlignment="1">
      <alignment horizontal="left" vertical="center" wrapText="1"/>
    </xf>
    <xf numFmtId="0" fontId="16" fillId="3" borderId="36" xfId="0" applyFont="1" applyFill="1" applyBorder="1" applyAlignment="1">
      <alignment horizontal="left" vertical="center" wrapText="1"/>
    </xf>
    <xf numFmtId="0" fontId="16" fillId="3" borderId="36" xfId="0" applyFont="1" applyFill="1" applyBorder="1" applyAlignment="1">
      <alignment vertical="center"/>
    </xf>
    <xf numFmtId="14" fontId="16" fillId="0" borderId="36" xfId="0" applyNumberFormat="1" applyFont="1" applyFill="1" applyBorder="1" applyAlignment="1">
      <alignment horizontal="left" vertical="center"/>
    </xf>
    <xf numFmtId="0" fontId="16" fillId="0" borderId="37" xfId="0" applyFont="1" applyFill="1" applyBorder="1" applyAlignment="1">
      <alignment vertical="center"/>
    </xf>
    <xf numFmtId="0" fontId="11" fillId="0" borderId="32" xfId="0" applyFont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1" fillId="0" borderId="38" xfId="0" applyFont="1" applyBorder="1" applyAlignment="1">
      <alignment vertical="center"/>
    </xf>
    <xf numFmtId="0" fontId="16" fillId="0" borderId="39" xfId="0" applyFont="1" applyFill="1" applyBorder="1" applyAlignment="1">
      <alignment vertical="center"/>
    </xf>
    <xf numFmtId="0" fontId="16" fillId="0" borderId="39" xfId="0" applyFont="1" applyFill="1" applyBorder="1" applyAlignment="1">
      <alignment horizontal="left" vertical="center"/>
    </xf>
    <xf numFmtId="0" fontId="16" fillId="0" borderId="39" xfId="0" applyFont="1" applyFill="1" applyBorder="1" applyAlignment="1">
      <alignment horizontal="left" vertical="center" wrapText="1"/>
    </xf>
    <xf numFmtId="0" fontId="16" fillId="32" borderId="39" xfId="0" applyFont="1" applyFill="1" applyBorder="1" applyAlignment="1">
      <alignment horizontal="left" vertical="center" wrapText="1"/>
    </xf>
    <xf numFmtId="0" fontId="16" fillId="3" borderId="39" xfId="0" applyFont="1" applyFill="1" applyBorder="1" applyAlignment="1">
      <alignment horizontal="left" vertical="center" wrapText="1"/>
    </xf>
    <xf numFmtId="0" fontId="16" fillId="3" borderId="39" xfId="0" applyFont="1" applyFill="1" applyBorder="1" applyAlignment="1">
      <alignment vertical="center"/>
    </xf>
    <xf numFmtId="14" fontId="16" fillId="0" borderId="39" xfId="0" applyNumberFormat="1" applyFont="1" applyFill="1" applyBorder="1" applyAlignment="1">
      <alignment horizontal="left" vertical="center"/>
    </xf>
    <xf numFmtId="0" fontId="16" fillId="0" borderId="40" xfId="0" applyFont="1" applyFill="1" applyBorder="1" applyAlignment="1">
      <alignment vertical="center"/>
    </xf>
    <xf numFmtId="0" fontId="11" fillId="0" borderId="39" xfId="0" applyFont="1" applyBorder="1" applyAlignment="1">
      <alignment vertical="center"/>
    </xf>
    <xf numFmtId="0" fontId="11" fillId="0" borderId="7" xfId="0" applyFont="1" applyBorder="1" applyAlignment="1">
      <alignment horizontal="left" vertical="center" wrapText="1"/>
    </xf>
    <xf numFmtId="38" fontId="16" fillId="0" borderId="7" xfId="628" applyFont="1" applyFill="1" applyBorder="1" applyAlignment="1">
      <alignment wrapText="1"/>
    </xf>
    <xf numFmtId="0" fontId="11" fillId="0" borderId="41" xfId="0" applyFont="1" applyBorder="1" applyAlignment="1">
      <alignment vertical="center"/>
    </xf>
    <xf numFmtId="0" fontId="16" fillId="3" borderId="10" xfId="0" applyFont="1" applyFill="1" applyBorder="1" applyAlignment="1">
      <alignment vertical="center"/>
    </xf>
    <xf numFmtId="0" fontId="16" fillId="3" borderId="28" xfId="0" applyFont="1" applyFill="1" applyBorder="1" applyAlignment="1">
      <alignment vertical="center"/>
    </xf>
    <xf numFmtId="0" fontId="16" fillId="3" borderId="42" xfId="0" applyFont="1" applyFill="1" applyBorder="1" applyAlignment="1">
      <alignment vertical="center"/>
    </xf>
    <xf numFmtId="0" fontId="16" fillId="3" borderId="32" xfId="0" applyFont="1" applyFill="1" applyBorder="1" applyAlignment="1">
      <alignment vertical="center"/>
    </xf>
    <xf numFmtId="0" fontId="16" fillId="3" borderId="43" xfId="0" applyFont="1" applyFill="1" applyBorder="1" applyAlignment="1">
      <alignment vertical="center"/>
    </xf>
    <xf numFmtId="0" fontId="16" fillId="3" borderId="38" xfId="0" applyFont="1" applyFill="1" applyBorder="1" applyAlignment="1">
      <alignment vertical="center"/>
    </xf>
    <xf numFmtId="0" fontId="16" fillId="3" borderId="44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4" fillId="7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horizontal="left" vertical="center"/>
    </xf>
    <xf numFmtId="0" fontId="16" fillId="0" borderId="2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1" fillId="0" borderId="45" xfId="0" applyFont="1" applyBorder="1" applyAlignment="1">
      <alignment vertical="center"/>
    </xf>
    <xf numFmtId="0" fontId="14" fillId="7" borderId="28" xfId="0" applyFont="1" applyFill="1" applyBorder="1" applyAlignment="1">
      <alignment vertical="center"/>
    </xf>
    <xf numFmtId="0" fontId="11" fillId="0" borderId="36" xfId="0" applyFont="1" applyBorder="1" applyAlignment="1">
      <alignment vertical="center"/>
    </xf>
    <xf numFmtId="0" fontId="16" fillId="3" borderId="36" xfId="0" applyFont="1" applyFill="1" applyBorder="1" applyAlignment="1">
      <alignment horizontal="left" vertical="center"/>
    </xf>
    <xf numFmtId="0" fontId="16" fillId="0" borderId="37" xfId="0" applyFont="1" applyBorder="1" applyAlignment="1">
      <alignment vertical="center"/>
    </xf>
    <xf numFmtId="0" fontId="14" fillId="7" borderId="32" xfId="0" applyFont="1" applyFill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4" fillId="7" borderId="38" xfId="0" applyFont="1" applyFill="1" applyBorder="1" applyAlignment="1">
      <alignment vertical="center"/>
    </xf>
    <xf numFmtId="0" fontId="16" fillId="3" borderId="39" xfId="0" applyFont="1" applyFill="1" applyBorder="1" applyAlignment="1">
      <alignment horizontal="left" vertical="center"/>
    </xf>
    <xf numFmtId="0" fontId="16" fillId="0" borderId="40" xfId="0" applyFont="1" applyBorder="1" applyAlignment="1">
      <alignment vertical="center"/>
    </xf>
    <xf numFmtId="0" fontId="14" fillId="7" borderId="46" xfId="0" applyFont="1" applyFill="1" applyBorder="1" applyAlignment="1">
      <alignment vertical="center"/>
    </xf>
    <xf numFmtId="0" fontId="14" fillId="7" borderId="30" xfId="0" applyFont="1" applyFill="1" applyBorder="1" applyAlignment="1">
      <alignment vertical="center"/>
    </xf>
    <xf numFmtId="0" fontId="0" fillId="0" borderId="0" xfId="0" applyFill="1"/>
    <xf numFmtId="0" fontId="51" fillId="3" borderId="36" xfId="0" applyFont="1" applyFill="1" applyBorder="1" applyAlignment="1">
      <alignment horizontal="left" vertical="center"/>
    </xf>
    <xf numFmtId="0" fontId="51" fillId="0" borderId="24" xfId="0" applyFont="1" applyBorder="1" applyAlignment="1">
      <alignment vertical="center"/>
    </xf>
    <xf numFmtId="0" fontId="51" fillId="3" borderId="36" xfId="0" applyFont="1" applyFill="1" applyBorder="1" applyAlignment="1">
      <alignment vertical="center"/>
    </xf>
    <xf numFmtId="0" fontId="51" fillId="3" borderId="7" xfId="0" applyFont="1" applyFill="1" applyBorder="1" applyAlignment="1">
      <alignment horizontal="left" vertical="center"/>
    </xf>
    <xf numFmtId="0" fontId="51" fillId="0" borderId="2" xfId="0" applyFont="1" applyBorder="1" applyAlignment="1">
      <alignment vertical="center"/>
    </xf>
    <xf numFmtId="0" fontId="51" fillId="3" borderId="7" xfId="0" applyFont="1" applyFill="1" applyBorder="1" applyAlignment="1">
      <alignment vertical="center"/>
    </xf>
    <xf numFmtId="0" fontId="51" fillId="3" borderId="2" xfId="0" applyFont="1" applyFill="1" applyBorder="1" applyAlignment="1">
      <alignment vertical="center"/>
    </xf>
  </cellXfs>
  <cellStyles count="96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赤字強調" xfId="431"/>
    <cellStyle name="青字強調" xfId="43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2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631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character</v>
          </cell>
          <cell r="T8" t="str">
            <v>347,347,347,347,347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125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character</v>
          </cell>
          <cell r="T12" t="str">
            <v>347,347,347,347,347,125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569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character</v>
          </cell>
          <cell r="T16" t="str">
            <v>106,107,108,357,837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339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character</v>
          </cell>
          <cell r="T20" t="str">
            <v>339,339,339,339,339,125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339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character</v>
          </cell>
          <cell r="T24" t="str">
            <v>339,339,339,339,339,125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335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character</v>
          </cell>
          <cell r="T30" t="str">
            <v>335,335,335,335,335,125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335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character</v>
          </cell>
          <cell r="T36" t="str">
            <v>335,335,335,335,335,125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335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character</v>
          </cell>
          <cell r="T42" t="str">
            <v>335,335,335,335,335,125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335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character</v>
          </cell>
          <cell r="T48" t="str">
            <v>335,335,335,335,335,122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335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character</v>
          </cell>
          <cell r="T54" t="str">
            <v>335,335,335,335,335,123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343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character</v>
          </cell>
          <cell r="T60" t="str">
            <v>343,343,343,343,343,121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347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character</v>
          </cell>
          <cell r="T66" t="str">
            <v>347,347,347,347,347,122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339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character</v>
          </cell>
          <cell r="T72" t="str">
            <v>339,339,339,339,339,123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335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character</v>
          </cell>
          <cell r="T78" t="str">
            <v>335,335,335,335,335,121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343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character</v>
          </cell>
          <cell r="T84" t="str">
            <v>343,343,343,343,343,122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347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character</v>
          </cell>
          <cell r="T90" t="str">
            <v>347,347,347,347,347,123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339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character</v>
          </cell>
          <cell r="T96" t="str">
            <v>339,339,339,339,339,121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335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character</v>
          </cell>
          <cell r="T102" t="str">
            <v>335,335,335,335,335,122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343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character</v>
          </cell>
          <cell r="T108" t="str">
            <v>343,343,343,343,343,123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347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character</v>
          </cell>
          <cell r="T114" t="str">
            <v>347,347,347,347,347,121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339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character</v>
          </cell>
          <cell r="T120" t="str">
            <v>339,339,339,339,339,122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2280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2460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2670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2980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3750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335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character</v>
          </cell>
          <cell r="T126" t="str">
            <v>335,335,335,335,335,123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2310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2490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2700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3010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3780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343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character</v>
          </cell>
          <cell r="T132" t="str">
            <v>343,343,343,343,343,121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2410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2590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2800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3120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3880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347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character</v>
          </cell>
          <cell r="T138" t="str">
            <v>347,347,347,347,347,122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2610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2790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3000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3310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4080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339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character</v>
          </cell>
          <cell r="T144" t="str">
            <v>339,339,339,339,339,123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2850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3030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3240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3550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5250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335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character</v>
          </cell>
          <cell r="T150" t="str">
            <v>335,335,335,335,335,121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0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0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0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0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0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0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0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0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0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0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0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0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11006_4</v>
          </cell>
          <cell r="B223">
            <v>3</v>
          </cell>
          <cell r="C223">
            <v>11006</v>
          </cell>
          <cell r="D223" t="str">
            <v>【土日限定】 ゴールドカジノ</v>
          </cell>
          <cell r="E223" t="str">
            <v>土日クエスト</v>
          </cell>
          <cell r="F223">
            <v>4</v>
          </cell>
          <cell r="G223" t="str">
            <v>ja</v>
          </cell>
          <cell r="H223" t="str">
            <v xml:space="preserve">【超級】ゴールドカジノ </v>
          </cell>
          <cell r="I223" t="str">
            <v>超級</v>
          </cell>
          <cell r="J223">
            <v>120</v>
          </cell>
          <cell r="K223">
            <v>30</v>
          </cell>
          <cell r="L223">
            <v>1400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105</v>
          </cell>
          <cell r="AD223">
            <v>6</v>
          </cell>
          <cell r="AE223" t="str">
            <v>everyone</v>
          </cell>
        </row>
        <row r="224">
          <cell r="A224" t="str">
            <v>11007_1</v>
          </cell>
          <cell r="B224">
            <v>3</v>
          </cell>
          <cell r="C224">
            <v>11007</v>
          </cell>
          <cell r="D224" t="str">
            <v>【土曜限定】 赤と緑の素材</v>
          </cell>
          <cell r="E224" t="str">
            <v>土曜クエスト</v>
          </cell>
          <cell r="F224">
            <v>1</v>
          </cell>
          <cell r="G224" t="str">
            <v>ja</v>
          </cell>
          <cell r="H224" t="str">
            <v xml:space="preserve">【初級】火と樹のチェシャ猫 </v>
          </cell>
          <cell r="I224" t="str">
            <v>初級</v>
          </cell>
          <cell r="J224">
            <v>101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everyone</v>
          </cell>
        </row>
        <row r="225">
          <cell r="A225" t="str">
            <v>11007_2</v>
          </cell>
          <cell r="B225">
            <v>3</v>
          </cell>
          <cell r="C225">
            <v>11007</v>
          </cell>
          <cell r="D225" t="str">
            <v>【土曜限定】 赤と緑の素材</v>
          </cell>
          <cell r="E225" t="str">
            <v>土曜クエスト</v>
          </cell>
          <cell r="F225">
            <v>2</v>
          </cell>
          <cell r="G225" t="str">
            <v>ja</v>
          </cell>
          <cell r="H225" t="str">
            <v xml:space="preserve">【中級】火と樹のウサギ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102</v>
          </cell>
          <cell r="AD225">
            <v>6</v>
          </cell>
          <cell r="AE225" t="str">
            <v>everyone</v>
          </cell>
        </row>
        <row r="226">
          <cell r="A226" t="str">
            <v>11007_3</v>
          </cell>
          <cell r="B226">
            <v>3</v>
          </cell>
          <cell r="C226">
            <v>11007</v>
          </cell>
          <cell r="D226" t="str">
            <v>【土曜限定】 赤と緑の素材</v>
          </cell>
          <cell r="E226" t="str">
            <v>土曜クエスト</v>
          </cell>
          <cell r="F226">
            <v>3</v>
          </cell>
          <cell r="G226" t="str">
            <v>ja</v>
          </cell>
          <cell r="H226" t="str">
            <v xml:space="preserve">【上級】火と樹のイモムシ </v>
          </cell>
          <cell r="I226" t="str">
            <v>上級</v>
          </cell>
          <cell r="J226">
            <v>103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everyone</v>
          </cell>
        </row>
        <row r="227">
          <cell r="A227" t="str">
            <v>11007_4</v>
          </cell>
          <cell r="B227">
            <v>3</v>
          </cell>
          <cell r="C227">
            <v>11007</v>
          </cell>
          <cell r="D227" t="str">
            <v>【土曜限定】 赤と緑の素材</v>
          </cell>
          <cell r="E227" t="str">
            <v>土曜クエスト</v>
          </cell>
          <cell r="F227">
            <v>4</v>
          </cell>
          <cell r="G227" t="str">
            <v>ja</v>
          </cell>
          <cell r="H227" t="str">
            <v xml:space="preserve">【超級】火と樹の帽子屋 </v>
          </cell>
          <cell r="I227" t="str">
            <v>超級（★5覚醒素材）</v>
          </cell>
          <cell r="J227">
            <v>108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everyone</v>
          </cell>
        </row>
        <row r="228">
          <cell r="A228" t="str">
            <v>11007_5</v>
          </cell>
          <cell r="B228">
            <v>3</v>
          </cell>
          <cell r="C228">
            <v>11007</v>
          </cell>
          <cell r="D228" t="str">
            <v>【土曜限定】 赤と緑の素材</v>
          </cell>
          <cell r="E228" t="str">
            <v>土曜クエスト</v>
          </cell>
          <cell r="F228">
            <v>5</v>
          </cell>
          <cell r="G228" t="str">
            <v>ja</v>
          </cell>
          <cell r="H228" t="str">
            <v>【超絶級】ドードーとグリフォン</v>
          </cell>
          <cell r="I228" t="str">
            <v>超絶級（★6覚醒素材）</v>
          </cell>
          <cell r="J228">
            <v>356</v>
          </cell>
          <cell r="K228">
            <v>35</v>
          </cell>
          <cell r="L228">
            <v>2240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everyone</v>
          </cell>
        </row>
        <row r="229">
          <cell r="A229" t="str">
            <v>11008_1</v>
          </cell>
          <cell r="B229">
            <v>3</v>
          </cell>
          <cell r="C229">
            <v>11008</v>
          </cell>
          <cell r="D229" t="str">
            <v>【日曜限定】 青と黄の素材</v>
          </cell>
          <cell r="E229" t="str">
            <v>日曜クエスト</v>
          </cell>
          <cell r="F229">
            <v>1</v>
          </cell>
          <cell r="G229" t="str">
            <v>ja</v>
          </cell>
          <cell r="H229" t="str">
            <v xml:space="preserve">【初級】水と雷のチェシャ猫 </v>
          </cell>
          <cell r="I229" t="str">
            <v>初級</v>
          </cell>
          <cell r="J229">
            <v>109</v>
          </cell>
          <cell r="K229">
            <v>8</v>
          </cell>
          <cell r="L229">
            <v>240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everyone</v>
          </cell>
        </row>
        <row r="230">
          <cell r="A230" t="str">
            <v>11008_2</v>
          </cell>
          <cell r="B230">
            <v>3</v>
          </cell>
          <cell r="C230">
            <v>11008</v>
          </cell>
          <cell r="D230" t="str">
            <v>【日曜限定】 青と黄の素材</v>
          </cell>
          <cell r="E230" t="str">
            <v>日曜クエスト</v>
          </cell>
          <cell r="F230">
            <v>2</v>
          </cell>
          <cell r="G230" t="str">
            <v>ja</v>
          </cell>
          <cell r="H230" t="str">
            <v xml:space="preserve">【中級】水と雷のウサギ </v>
          </cell>
          <cell r="I230" t="str">
            <v>中級</v>
          </cell>
          <cell r="J230">
            <v>114</v>
          </cell>
          <cell r="K230">
            <v>15</v>
          </cell>
          <cell r="L230">
            <v>525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everyone</v>
          </cell>
        </row>
        <row r="231">
          <cell r="A231" t="str">
            <v>11008_3</v>
          </cell>
          <cell r="B231">
            <v>3</v>
          </cell>
          <cell r="C231">
            <v>11008</v>
          </cell>
          <cell r="D231" t="str">
            <v>【日曜限定】 青と黄の素材</v>
          </cell>
          <cell r="E231" t="str">
            <v>日曜クエスト</v>
          </cell>
          <cell r="F231">
            <v>3</v>
          </cell>
          <cell r="G231" t="str">
            <v>ja</v>
          </cell>
          <cell r="H231" t="str">
            <v xml:space="preserve">【上級】水と雷のイモムシ </v>
          </cell>
          <cell r="I231" t="str">
            <v>上級</v>
          </cell>
          <cell r="J231">
            <v>111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103</v>
          </cell>
          <cell r="AD231">
            <v>6</v>
          </cell>
          <cell r="AE231" t="str">
            <v>everyone</v>
          </cell>
        </row>
        <row r="232">
          <cell r="A232" t="str">
            <v>11008_4</v>
          </cell>
          <cell r="B232">
            <v>3</v>
          </cell>
          <cell r="C232">
            <v>11008</v>
          </cell>
          <cell r="D232" t="str">
            <v>【日曜限定】 青と黄の素材</v>
          </cell>
          <cell r="E232" t="str">
            <v>日曜クエスト</v>
          </cell>
          <cell r="F232">
            <v>4</v>
          </cell>
          <cell r="G232" t="str">
            <v>ja</v>
          </cell>
          <cell r="H232" t="str">
            <v xml:space="preserve">【超級】水と雷の帽子屋 </v>
          </cell>
          <cell r="I232" t="str">
            <v>超級（★5覚醒素材）</v>
          </cell>
          <cell r="J232">
            <v>116</v>
          </cell>
          <cell r="K232">
            <v>30</v>
          </cell>
          <cell r="L232">
            <v>1400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101</v>
          </cell>
          <cell r="AD232">
            <v>6</v>
          </cell>
          <cell r="AE232" t="str">
            <v>everyone</v>
          </cell>
        </row>
        <row r="233">
          <cell r="A233" t="str">
            <v>11008_5</v>
          </cell>
          <cell r="B233">
            <v>3</v>
          </cell>
          <cell r="C233">
            <v>11008</v>
          </cell>
          <cell r="D233" t="str">
            <v>【日曜限定】 青と黄の素材</v>
          </cell>
          <cell r="E233" t="str">
            <v>日曜クエスト</v>
          </cell>
          <cell r="F233">
            <v>5</v>
          </cell>
          <cell r="G233" t="str">
            <v>ja</v>
          </cell>
          <cell r="H233" t="str">
            <v>【超絶級】ウミガメとネズミ</v>
          </cell>
          <cell r="I233" t="str">
            <v>超絶級（★6覚醒素材）</v>
          </cell>
          <cell r="J233">
            <v>358</v>
          </cell>
          <cell r="K233">
            <v>35</v>
          </cell>
          <cell r="L233">
            <v>2240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everyone</v>
          </cell>
        </row>
        <row r="234">
          <cell r="A234" t="str">
            <v>11016_1</v>
          </cell>
          <cell r="B234">
            <v>3</v>
          </cell>
          <cell r="C234">
            <v>11016</v>
          </cell>
          <cell r="D234" t="str">
            <v>【マルチ専用1/2】 ゴールドカジノ</v>
          </cell>
          <cell r="E234" t="str">
            <v>土日クエスト1</v>
          </cell>
          <cell r="F234">
            <v>1</v>
          </cell>
          <cell r="G234" t="str">
            <v>ja</v>
          </cell>
          <cell r="H234" t="str">
            <v xml:space="preserve">【上級】ゴールドカジノ </v>
          </cell>
          <cell r="I234" t="str">
            <v>上級</v>
          </cell>
          <cell r="J234">
            <v>119</v>
          </cell>
          <cell r="K234">
            <v>10</v>
          </cell>
          <cell r="L234">
            <v>860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multionly</v>
          </cell>
        </row>
        <row r="235">
          <cell r="A235" t="str">
            <v>11017_1</v>
          </cell>
          <cell r="B235">
            <v>3</v>
          </cell>
          <cell r="C235">
            <v>11017</v>
          </cell>
          <cell r="D235" t="str">
            <v>【期間限定】リトルハンプティを追え！</v>
          </cell>
          <cell r="E235" t="str">
            <v>期間限定クエスト</v>
          </cell>
          <cell r="F235">
            <v>1</v>
          </cell>
          <cell r="G235" t="str">
            <v>ja</v>
          </cell>
          <cell r="H235" t="str">
            <v>【上級】リトルハンプティを追え！</v>
          </cell>
          <cell r="I235" t="str">
            <v>上級</v>
          </cell>
          <cell r="J235">
            <v>837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</v>
          </cell>
          <cell r="AD235">
            <v>6</v>
          </cell>
          <cell r="AE235" t="str">
            <v>everyone</v>
          </cell>
        </row>
        <row r="236">
          <cell r="A236" t="str">
            <v>11018_1</v>
          </cell>
          <cell r="B236">
            <v>3</v>
          </cell>
          <cell r="C236">
            <v>11018</v>
          </cell>
          <cell r="D236" t="str">
            <v>【エナジー1/2】 ゴールドカジノ</v>
          </cell>
          <cell r="E236" t="str">
            <v>土日クエスト1</v>
          </cell>
          <cell r="F236">
            <v>1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10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11101_1</v>
          </cell>
          <cell r="B237">
            <v>3</v>
          </cell>
          <cell r="C237">
            <v>11101</v>
          </cell>
          <cell r="D237" t="str">
            <v>【期間限定】 黄の素材</v>
          </cell>
          <cell r="E237" t="str">
            <v>月曜クエスト</v>
          </cell>
          <cell r="F237">
            <v>1</v>
          </cell>
          <cell r="G237" t="str">
            <v>ja</v>
          </cell>
          <cell r="H237" t="str">
            <v>【初級】雷のチェシャ猫</v>
          </cell>
          <cell r="I237" t="str">
            <v>初級</v>
          </cell>
          <cell r="J237">
            <v>113</v>
          </cell>
          <cell r="K237">
            <v>8</v>
          </cell>
          <cell r="L237">
            <v>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101</v>
          </cell>
          <cell r="AD237">
            <v>6</v>
          </cell>
          <cell r="AE237" t="str">
            <v>everyone</v>
          </cell>
        </row>
        <row r="238">
          <cell r="A238" t="str">
            <v>11101_2</v>
          </cell>
          <cell r="B238">
            <v>3</v>
          </cell>
          <cell r="C238">
            <v>11101</v>
          </cell>
          <cell r="D238" t="str">
            <v>【期間限定】 黄の素材</v>
          </cell>
          <cell r="E238" t="str">
            <v>月曜クエスト</v>
          </cell>
          <cell r="F238">
            <v>2</v>
          </cell>
          <cell r="G238" t="str">
            <v>ja</v>
          </cell>
          <cell r="H238" t="str">
            <v xml:space="preserve">【中級】雷のウサギ </v>
          </cell>
          <cell r="I238" t="str">
            <v>中級</v>
          </cell>
          <cell r="J238">
            <v>114</v>
          </cell>
          <cell r="K238">
            <v>15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101</v>
          </cell>
          <cell r="AD238">
            <v>6</v>
          </cell>
          <cell r="AE238" t="str">
            <v>everyone</v>
          </cell>
        </row>
        <row r="239">
          <cell r="A239" t="str">
            <v>11101_3</v>
          </cell>
          <cell r="B239">
            <v>0</v>
          </cell>
          <cell r="C239">
            <v>11101</v>
          </cell>
          <cell r="D239" t="str">
            <v>【期間限定】 黄の素材</v>
          </cell>
          <cell r="E239" t="str">
            <v>月曜クエスト</v>
          </cell>
          <cell r="F239">
            <v>3</v>
          </cell>
          <cell r="G239" t="str">
            <v>ja</v>
          </cell>
          <cell r="H239" t="str">
            <v>【上級】雷のイモムシ</v>
          </cell>
          <cell r="I239" t="str">
            <v>上級</v>
          </cell>
          <cell r="J239">
            <v>115</v>
          </cell>
          <cell r="K239">
            <v>20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101</v>
          </cell>
          <cell r="AD239">
            <v>6</v>
          </cell>
          <cell r="AE239" t="str">
            <v>everyone</v>
          </cell>
        </row>
        <row r="240">
          <cell r="A240" t="str">
            <v>11101_4</v>
          </cell>
          <cell r="B240">
            <v>3</v>
          </cell>
          <cell r="C240">
            <v>11101</v>
          </cell>
          <cell r="D240" t="str">
            <v>【期間限定】 黄の素材</v>
          </cell>
          <cell r="E240" t="str">
            <v>月曜クエスト</v>
          </cell>
          <cell r="F240">
            <v>4</v>
          </cell>
          <cell r="G240" t="str">
            <v>ja</v>
          </cell>
          <cell r="H240" t="str">
            <v>【上級】雷のイモムシ</v>
          </cell>
          <cell r="I240" t="str">
            <v>上級</v>
          </cell>
          <cell r="J240">
            <v>115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101</v>
          </cell>
          <cell r="AD240">
            <v>6</v>
          </cell>
          <cell r="AE240" t="str">
            <v>everyone</v>
          </cell>
        </row>
        <row r="241">
          <cell r="A241" t="str">
            <v>11101_10</v>
          </cell>
          <cell r="B241">
            <v>3</v>
          </cell>
          <cell r="C241">
            <v>11101</v>
          </cell>
          <cell r="D241" t="str">
            <v>【期間限定】 黄の素材</v>
          </cell>
          <cell r="E241" t="str">
            <v>月曜クエスト</v>
          </cell>
          <cell r="F241">
            <v>10</v>
          </cell>
          <cell r="G241" t="str">
            <v>ja</v>
          </cell>
          <cell r="H241" t="str">
            <v>【超絶級】醒電の眠りネズミ</v>
          </cell>
          <cell r="I241" t="str">
            <v>超絶級（★6覚醒素材）</v>
          </cell>
          <cell r="J241">
            <v>359</v>
          </cell>
          <cell r="K241">
            <v>35</v>
          </cell>
          <cell r="L241">
            <v>2240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101</v>
          </cell>
          <cell r="AD241">
            <v>6</v>
          </cell>
          <cell r="AE241" t="str">
            <v>everyone</v>
          </cell>
        </row>
        <row r="242">
          <cell r="A242" t="str">
            <v>11102_1</v>
          </cell>
          <cell r="B242">
            <v>3</v>
          </cell>
          <cell r="C242">
            <v>11102</v>
          </cell>
          <cell r="D242" t="str">
            <v>【期間限定】 赤の素材</v>
          </cell>
          <cell r="E242" t="str">
            <v>火曜クエスト</v>
          </cell>
          <cell r="F242">
            <v>1</v>
          </cell>
          <cell r="G242" t="str">
            <v>ja</v>
          </cell>
          <cell r="H242" t="str">
            <v xml:space="preserve">【初級】火のチェシャ猫 </v>
          </cell>
          <cell r="I242" t="str">
            <v>初級</v>
          </cell>
          <cell r="J242">
            <v>101</v>
          </cell>
          <cell r="K242">
            <v>8</v>
          </cell>
          <cell r="L242">
            <v>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102</v>
          </cell>
          <cell r="AD242">
            <v>6</v>
          </cell>
          <cell r="AE242" t="str">
            <v>everyone</v>
          </cell>
        </row>
        <row r="243">
          <cell r="A243" t="str">
            <v>11102_2</v>
          </cell>
          <cell r="B243">
            <v>3</v>
          </cell>
          <cell r="C243">
            <v>11102</v>
          </cell>
          <cell r="D243" t="str">
            <v>【期間限定】 赤の素材</v>
          </cell>
          <cell r="E243" t="str">
            <v>火曜クエスト</v>
          </cell>
          <cell r="F243">
            <v>2</v>
          </cell>
          <cell r="G243" t="str">
            <v>ja</v>
          </cell>
          <cell r="H243" t="str">
            <v xml:space="preserve">【中級】火のウサギ </v>
          </cell>
          <cell r="I243" t="str">
            <v>中級</v>
          </cell>
          <cell r="J243">
            <v>102</v>
          </cell>
          <cell r="K243">
            <v>15</v>
          </cell>
          <cell r="L243">
            <v>525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everyone</v>
          </cell>
        </row>
        <row r="244">
          <cell r="A244" t="str">
            <v>11102_3</v>
          </cell>
          <cell r="B244">
            <v>0</v>
          </cell>
          <cell r="C244">
            <v>11102</v>
          </cell>
          <cell r="D244" t="str">
            <v>【期間限定】 赤の素材</v>
          </cell>
          <cell r="E244" t="str">
            <v>火曜クエスト</v>
          </cell>
          <cell r="F244">
            <v>3</v>
          </cell>
          <cell r="G244" t="str">
            <v>ja</v>
          </cell>
          <cell r="H244" t="str">
            <v xml:space="preserve">【上級】火のイモムシ </v>
          </cell>
          <cell r="I244" t="str">
            <v>上級</v>
          </cell>
          <cell r="J244">
            <v>103</v>
          </cell>
          <cell r="K244">
            <v>20</v>
          </cell>
          <cell r="L244">
            <v>860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102</v>
          </cell>
          <cell r="AD244">
            <v>6</v>
          </cell>
          <cell r="AE244" t="str">
            <v>everyone</v>
          </cell>
        </row>
        <row r="245">
          <cell r="A245" t="str">
            <v>11102_4</v>
          </cell>
          <cell r="B245">
            <v>3</v>
          </cell>
          <cell r="C245">
            <v>11102</v>
          </cell>
          <cell r="D245" t="str">
            <v>【期間限定】 赤の素材</v>
          </cell>
          <cell r="E245" t="str">
            <v>火曜クエスト</v>
          </cell>
          <cell r="F245">
            <v>4</v>
          </cell>
          <cell r="G245" t="str">
            <v>ja</v>
          </cell>
          <cell r="H245" t="str">
            <v xml:space="preserve">【上級】火のイモムシ </v>
          </cell>
          <cell r="I245" t="str">
            <v>上級</v>
          </cell>
          <cell r="J245">
            <v>103</v>
          </cell>
          <cell r="K245">
            <v>20</v>
          </cell>
          <cell r="L245">
            <v>860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102</v>
          </cell>
          <cell r="AD245">
            <v>6</v>
          </cell>
          <cell r="AE245" t="str">
            <v>everyone</v>
          </cell>
        </row>
        <row r="246">
          <cell r="A246" t="str">
            <v>11102_10</v>
          </cell>
          <cell r="B246">
            <v>3</v>
          </cell>
          <cell r="C246">
            <v>11102</v>
          </cell>
          <cell r="D246" t="str">
            <v>【期間限定】 赤の素材</v>
          </cell>
          <cell r="E246" t="str">
            <v>火曜クエスト</v>
          </cell>
          <cell r="F246">
            <v>10</v>
          </cell>
          <cell r="G246" t="str">
            <v>ja</v>
          </cell>
          <cell r="H246" t="str">
            <v>【超絶級】炎上のドードー</v>
          </cell>
          <cell r="I246" t="str">
            <v>超絶級（★6覚醒素材）</v>
          </cell>
          <cell r="J246">
            <v>356</v>
          </cell>
          <cell r="K246">
            <v>35</v>
          </cell>
          <cell r="L246">
            <v>2240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102</v>
          </cell>
          <cell r="AD246">
            <v>6</v>
          </cell>
          <cell r="AE246" t="str">
            <v>everyone</v>
          </cell>
        </row>
        <row r="247">
          <cell r="A247" t="str">
            <v>11103_1</v>
          </cell>
          <cell r="B247">
            <v>3</v>
          </cell>
          <cell r="C247">
            <v>11103</v>
          </cell>
          <cell r="D247" t="str">
            <v>【期間限定】 青の素材</v>
          </cell>
          <cell r="E247" t="str">
            <v>水曜クエスト</v>
          </cell>
          <cell r="F247">
            <v>1</v>
          </cell>
          <cell r="G247" t="str">
            <v>ja</v>
          </cell>
          <cell r="H247" t="str">
            <v>【初級】水のチェシャ猫</v>
          </cell>
          <cell r="I247" t="str">
            <v>初級</v>
          </cell>
          <cell r="J247">
            <v>109</v>
          </cell>
          <cell r="K247">
            <v>8</v>
          </cell>
          <cell r="L247">
            <v>240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103</v>
          </cell>
          <cell r="AD247">
            <v>6</v>
          </cell>
          <cell r="AE247" t="str">
            <v>everyone</v>
          </cell>
        </row>
        <row r="248">
          <cell r="A248" t="str">
            <v>11103_2</v>
          </cell>
          <cell r="B248">
            <v>3</v>
          </cell>
          <cell r="C248">
            <v>11103</v>
          </cell>
          <cell r="D248" t="str">
            <v>【期間限定】 青の素材</v>
          </cell>
          <cell r="E248" t="str">
            <v>水曜クエスト</v>
          </cell>
          <cell r="F248">
            <v>2</v>
          </cell>
          <cell r="G248" t="str">
            <v>ja</v>
          </cell>
          <cell r="H248" t="str">
            <v xml:space="preserve">【中級】水のウサギ </v>
          </cell>
          <cell r="I248" t="str">
            <v>中級</v>
          </cell>
          <cell r="J248">
            <v>110</v>
          </cell>
          <cell r="K248">
            <v>15</v>
          </cell>
          <cell r="L248">
            <v>525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103</v>
          </cell>
          <cell r="AD248">
            <v>6</v>
          </cell>
          <cell r="AE248" t="str">
            <v>everyone</v>
          </cell>
        </row>
        <row r="249">
          <cell r="A249" t="str">
            <v>11103_3</v>
          </cell>
          <cell r="B249">
            <v>0</v>
          </cell>
          <cell r="C249">
            <v>11103</v>
          </cell>
          <cell r="D249" t="str">
            <v>【期間限定】 青の素材</v>
          </cell>
          <cell r="E249" t="str">
            <v>水曜クエスト</v>
          </cell>
          <cell r="F249">
            <v>3</v>
          </cell>
          <cell r="G249" t="str">
            <v>ja</v>
          </cell>
          <cell r="H249" t="str">
            <v xml:space="preserve">【上級】水のイモムシ </v>
          </cell>
          <cell r="I249" t="str">
            <v>上級</v>
          </cell>
          <cell r="J249">
            <v>111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103</v>
          </cell>
          <cell r="AD249">
            <v>6</v>
          </cell>
          <cell r="AE249" t="str">
            <v>everyone</v>
          </cell>
        </row>
        <row r="250">
          <cell r="A250" t="str">
            <v>11103_4</v>
          </cell>
          <cell r="B250">
            <v>3</v>
          </cell>
          <cell r="C250">
            <v>11103</v>
          </cell>
          <cell r="D250" t="str">
            <v>【期間限定】 青の素材</v>
          </cell>
          <cell r="E250" t="str">
            <v>水曜クエスト</v>
          </cell>
          <cell r="F250">
            <v>4</v>
          </cell>
          <cell r="G250" t="str">
            <v>ja</v>
          </cell>
          <cell r="H250" t="str">
            <v xml:space="preserve">【上級】水のイモムシ </v>
          </cell>
          <cell r="I250" t="str">
            <v>上級</v>
          </cell>
          <cell r="J250">
            <v>111</v>
          </cell>
          <cell r="K250">
            <v>20</v>
          </cell>
          <cell r="L250">
            <v>860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103</v>
          </cell>
          <cell r="AD250">
            <v>6</v>
          </cell>
          <cell r="AE250" t="str">
            <v>everyone</v>
          </cell>
        </row>
        <row r="251">
          <cell r="A251" t="str">
            <v>11103_10</v>
          </cell>
          <cell r="B251">
            <v>3</v>
          </cell>
          <cell r="C251">
            <v>11103</v>
          </cell>
          <cell r="D251" t="str">
            <v>【期間限定】 青の素材</v>
          </cell>
          <cell r="E251" t="str">
            <v>水曜クエスト</v>
          </cell>
          <cell r="F251">
            <v>10</v>
          </cell>
          <cell r="G251" t="str">
            <v>ja</v>
          </cell>
          <cell r="H251" t="str">
            <v>【超絶級】深淵の代用ウミガメ</v>
          </cell>
          <cell r="I251" t="str">
            <v>超絶級（★6覚醒素材）</v>
          </cell>
          <cell r="J251">
            <v>358</v>
          </cell>
          <cell r="K251">
            <v>35</v>
          </cell>
          <cell r="L251">
            <v>2240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103</v>
          </cell>
          <cell r="AD251">
            <v>6</v>
          </cell>
          <cell r="AE251" t="str">
            <v>everyone</v>
          </cell>
        </row>
        <row r="252">
          <cell r="A252" t="str">
            <v>11104_1</v>
          </cell>
          <cell r="B252">
            <v>3</v>
          </cell>
          <cell r="C252">
            <v>11104</v>
          </cell>
          <cell r="D252" t="str">
            <v>【期間限定】 緑の素材</v>
          </cell>
          <cell r="E252" t="str">
            <v>木曜クエスト</v>
          </cell>
          <cell r="F252">
            <v>1</v>
          </cell>
          <cell r="G252" t="str">
            <v>ja</v>
          </cell>
          <cell r="H252" t="str">
            <v xml:space="preserve">【初級】樹のチェシャ猫 </v>
          </cell>
          <cell r="I252" t="str">
            <v>初級</v>
          </cell>
          <cell r="J252">
            <v>105</v>
          </cell>
          <cell r="K252">
            <v>8</v>
          </cell>
          <cell r="L252">
            <v>240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104</v>
          </cell>
          <cell r="AD252">
            <v>6</v>
          </cell>
          <cell r="AE252" t="str">
            <v>everyone</v>
          </cell>
        </row>
        <row r="253">
          <cell r="A253" t="str">
            <v>11104_2</v>
          </cell>
          <cell r="B253">
            <v>3</v>
          </cell>
          <cell r="C253">
            <v>11104</v>
          </cell>
          <cell r="D253" t="str">
            <v>【期間限定】 緑の素材</v>
          </cell>
          <cell r="E253" t="str">
            <v>木曜クエスト</v>
          </cell>
          <cell r="F253">
            <v>2</v>
          </cell>
          <cell r="G253" t="str">
            <v>ja</v>
          </cell>
          <cell r="H253" t="str">
            <v xml:space="preserve">【中級】樹のウサギ </v>
          </cell>
          <cell r="I253" t="str">
            <v>中級</v>
          </cell>
          <cell r="J253">
            <v>106</v>
          </cell>
          <cell r="K253">
            <v>15</v>
          </cell>
          <cell r="L253">
            <v>525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104</v>
          </cell>
          <cell r="AD253">
            <v>6</v>
          </cell>
          <cell r="AE253" t="str">
            <v>everyone</v>
          </cell>
        </row>
        <row r="254">
          <cell r="A254" t="str">
            <v>11104_3</v>
          </cell>
          <cell r="B254">
            <v>0</v>
          </cell>
          <cell r="C254">
            <v>11104</v>
          </cell>
          <cell r="D254" t="str">
            <v>【期間限定】 緑の素材</v>
          </cell>
          <cell r="E254" t="str">
            <v>木曜クエスト</v>
          </cell>
          <cell r="F254">
            <v>3</v>
          </cell>
          <cell r="G254" t="str">
            <v>ja</v>
          </cell>
          <cell r="H254" t="str">
            <v>【上級】樹のイモムシ</v>
          </cell>
          <cell r="I254" t="str">
            <v>上級</v>
          </cell>
          <cell r="J254">
            <v>107</v>
          </cell>
          <cell r="K254">
            <v>20</v>
          </cell>
          <cell r="L254">
            <v>860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104</v>
          </cell>
          <cell r="AD254">
            <v>6</v>
          </cell>
          <cell r="AE254" t="str">
            <v>everyone</v>
          </cell>
        </row>
        <row r="255">
          <cell r="A255" t="str">
            <v>11104_4</v>
          </cell>
          <cell r="B255">
            <v>3</v>
          </cell>
          <cell r="C255">
            <v>11104</v>
          </cell>
          <cell r="D255" t="str">
            <v>【期間限定】 緑の素材</v>
          </cell>
          <cell r="E255" t="str">
            <v>木曜クエスト</v>
          </cell>
          <cell r="F255">
            <v>4</v>
          </cell>
          <cell r="G255" t="str">
            <v>ja</v>
          </cell>
          <cell r="H255" t="str">
            <v>【上級】樹のイモムシ</v>
          </cell>
          <cell r="I255" t="str">
            <v>上級</v>
          </cell>
          <cell r="J255">
            <v>107</v>
          </cell>
          <cell r="K255">
            <v>20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104</v>
          </cell>
          <cell r="AD255">
            <v>6</v>
          </cell>
          <cell r="AE255" t="str">
            <v>everyone</v>
          </cell>
        </row>
        <row r="256">
          <cell r="A256" t="str">
            <v>11104_10</v>
          </cell>
          <cell r="B256">
            <v>3</v>
          </cell>
          <cell r="C256">
            <v>11104</v>
          </cell>
          <cell r="D256" t="str">
            <v>【期間限定】 緑の素材</v>
          </cell>
          <cell r="E256" t="str">
            <v>木曜クエスト</v>
          </cell>
          <cell r="F256">
            <v>10</v>
          </cell>
          <cell r="G256" t="str">
            <v>ja</v>
          </cell>
          <cell r="H256" t="str">
            <v>【超絶級】千風のグリフォン</v>
          </cell>
          <cell r="I256" t="str">
            <v>超絶級（★6覚醒素材）</v>
          </cell>
          <cell r="J256">
            <v>357</v>
          </cell>
          <cell r="K256">
            <v>35</v>
          </cell>
          <cell r="L256">
            <v>2240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104</v>
          </cell>
          <cell r="AD256">
            <v>6</v>
          </cell>
          <cell r="AE256" t="str">
            <v>everyone</v>
          </cell>
        </row>
        <row r="257">
          <cell r="A257" t="str">
            <v>11105_1</v>
          </cell>
          <cell r="B257">
            <v>3</v>
          </cell>
          <cell r="C257">
            <v>11105</v>
          </cell>
          <cell r="D257" t="str">
            <v>【期間限定】 帽子屋を追え！</v>
          </cell>
          <cell r="E257" t="str">
            <v>金曜クエスト</v>
          </cell>
          <cell r="F257">
            <v>1</v>
          </cell>
          <cell r="G257" t="str">
            <v>ja</v>
          </cell>
          <cell r="H257" t="str">
            <v xml:space="preserve">【超級】火の帽子屋 </v>
          </cell>
          <cell r="I257" t="str">
            <v>赤R5</v>
          </cell>
          <cell r="J257">
            <v>104</v>
          </cell>
          <cell r="K257">
            <v>30</v>
          </cell>
          <cell r="L257">
            <v>1400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102</v>
          </cell>
          <cell r="AD257">
            <v>6</v>
          </cell>
          <cell r="AE257" t="str">
            <v>everyone</v>
          </cell>
        </row>
        <row r="258">
          <cell r="A258" t="str">
            <v>11105_2</v>
          </cell>
          <cell r="B258">
            <v>3</v>
          </cell>
          <cell r="C258">
            <v>11105</v>
          </cell>
          <cell r="D258" t="str">
            <v>【期間限定】 帽子屋を追え！</v>
          </cell>
          <cell r="E258" t="str">
            <v>金曜クエスト</v>
          </cell>
          <cell r="F258">
            <v>2</v>
          </cell>
          <cell r="G258" t="str">
            <v>ja</v>
          </cell>
          <cell r="H258" t="str">
            <v>【超級】樹の帽子屋</v>
          </cell>
          <cell r="I258" t="str">
            <v>緑R5</v>
          </cell>
          <cell r="J258">
            <v>108</v>
          </cell>
          <cell r="K258">
            <v>30</v>
          </cell>
          <cell r="L258">
            <v>1400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104</v>
          </cell>
          <cell r="AD258">
            <v>6</v>
          </cell>
          <cell r="AE258" t="str">
            <v>everyone</v>
          </cell>
        </row>
        <row r="259">
          <cell r="A259" t="str">
            <v>11105_3</v>
          </cell>
          <cell r="B259">
            <v>3</v>
          </cell>
          <cell r="C259">
            <v>11105</v>
          </cell>
          <cell r="D259" t="str">
            <v>【期間限定】 帽子屋を追え！</v>
          </cell>
          <cell r="E259" t="str">
            <v>金曜クエスト</v>
          </cell>
          <cell r="F259">
            <v>3</v>
          </cell>
          <cell r="G259" t="str">
            <v>ja</v>
          </cell>
          <cell r="H259" t="str">
            <v xml:space="preserve">【超級】水の帽子屋 </v>
          </cell>
          <cell r="I259" t="str">
            <v>青R5</v>
          </cell>
          <cell r="J259">
            <v>112</v>
          </cell>
          <cell r="K259">
            <v>30</v>
          </cell>
          <cell r="L259">
            <v>1400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103</v>
          </cell>
          <cell r="AD259">
            <v>6</v>
          </cell>
          <cell r="AE259" t="str">
            <v>everyone</v>
          </cell>
        </row>
        <row r="260">
          <cell r="A260" t="str">
            <v>11105_4</v>
          </cell>
          <cell r="B260">
            <v>3</v>
          </cell>
          <cell r="C260">
            <v>11105</v>
          </cell>
          <cell r="D260" t="str">
            <v>【期間限定】 帽子屋を追え！</v>
          </cell>
          <cell r="E260" t="str">
            <v>金曜クエスト</v>
          </cell>
          <cell r="F260">
            <v>4</v>
          </cell>
          <cell r="G260" t="str">
            <v>ja</v>
          </cell>
          <cell r="H260" t="str">
            <v xml:space="preserve">【超級】雷の帽子屋 </v>
          </cell>
          <cell r="I260" t="str">
            <v>黄R5</v>
          </cell>
          <cell r="J260">
            <v>116</v>
          </cell>
          <cell r="K260">
            <v>30</v>
          </cell>
          <cell r="L260">
            <v>1400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101</v>
          </cell>
          <cell r="AD260">
            <v>6</v>
          </cell>
          <cell r="AE260" t="str">
            <v>everyone</v>
          </cell>
        </row>
        <row r="261">
          <cell r="A261" t="str">
            <v>11106_1</v>
          </cell>
          <cell r="B261">
            <v>0</v>
          </cell>
          <cell r="C261">
            <v>11106</v>
          </cell>
          <cell r="D261" t="str">
            <v>【キャンペーン限定】 ゴールドカジノ</v>
          </cell>
          <cell r="E261" t="str">
            <v>土日クエスト1</v>
          </cell>
          <cell r="F261">
            <v>1</v>
          </cell>
          <cell r="G261" t="str">
            <v>ja</v>
          </cell>
          <cell r="H261" t="str">
            <v xml:space="preserve">【初級】ゴールドカジノ </v>
          </cell>
          <cell r="I261" t="str">
            <v>初級</v>
          </cell>
          <cell r="J261">
            <v>117</v>
          </cell>
          <cell r="K261">
            <v>8</v>
          </cell>
          <cell r="L261">
            <v>140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11106_2</v>
          </cell>
          <cell r="B262">
            <v>0</v>
          </cell>
          <cell r="C262">
            <v>11106</v>
          </cell>
          <cell r="D262" t="str">
            <v>【キャンペーン限定】 ゴールドカジノ</v>
          </cell>
          <cell r="E262" t="str">
            <v>土日クエスト1</v>
          </cell>
          <cell r="F262">
            <v>2</v>
          </cell>
          <cell r="G262" t="str">
            <v>ja</v>
          </cell>
          <cell r="H262" t="str">
            <v xml:space="preserve">【中級】ゴールドカジノ </v>
          </cell>
          <cell r="I262" t="str">
            <v>中級</v>
          </cell>
          <cell r="J262">
            <v>118</v>
          </cell>
          <cell r="K262">
            <v>15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105</v>
          </cell>
          <cell r="AD262">
            <v>6</v>
          </cell>
          <cell r="AE262" t="str">
            <v>everyone</v>
          </cell>
        </row>
        <row r="263">
          <cell r="A263" t="str">
            <v>11106_3</v>
          </cell>
          <cell r="B263">
            <v>0</v>
          </cell>
          <cell r="C263">
            <v>11106</v>
          </cell>
          <cell r="D263" t="str">
            <v>【キャンペーン限定】 ゴールドカジノ</v>
          </cell>
          <cell r="E263" t="str">
            <v>土日クエスト1</v>
          </cell>
          <cell r="F263">
            <v>3</v>
          </cell>
          <cell r="G263" t="str">
            <v>ja</v>
          </cell>
          <cell r="H263" t="str">
            <v xml:space="preserve">【上級】ゴールドカジノ </v>
          </cell>
          <cell r="I263" t="str">
            <v>上級</v>
          </cell>
          <cell r="J263">
            <v>119</v>
          </cell>
          <cell r="K263">
            <v>20</v>
          </cell>
          <cell r="L263">
            <v>860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everyone</v>
          </cell>
        </row>
        <row r="264">
          <cell r="A264" t="str">
            <v>11206_1</v>
          </cell>
          <cell r="B264">
            <v>0</v>
          </cell>
          <cell r="C264">
            <v>11206</v>
          </cell>
          <cell r="D264" t="str">
            <v>【キャンペーン限定】 ゴールドカジノ</v>
          </cell>
          <cell r="E264" t="str">
            <v>土日クエスト2</v>
          </cell>
          <cell r="F264">
            <v>1</v>
          </cell>
          <cell r="G264" t="str">
            <v>ja</v>
          </cell>
          <cell r="H264" t="str">
            <v>【初級】ゴールドカジノ</v>
          </cell>
          <cell r="I264" t="str">
            <v>初級</v>
          </cell>
          <cell r="J264">
            <v>117</v>
          </cell>
          <cell r="K264">
            <v>8</v>
          </cell>
          <cell r="L264">
            <v>140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105</v>
          </cell>
          <cell r="AD264">
            <v>6</v>
          </cell>
          <cell r="AE264" t="str">
            <v>everyone</v>
          </cell>
        </row>
        <row r="265">
          <cell r="A265" t="str">
            <v>11206_2</v>
          </cell>
          <cell r="B265">
            <v>0</v>
          </cell>
          <cell r="C265">
            <v>11206</v>
          </cell>
          <cell r="D265" t="str">
            <v>【キャンペーン限定】 ゴールドカジノ</v>
          </cell>
          <cell r="E265" t="str">
            <v>土日クエスト2</v>
          </cell>
          <cell r="F265">
            <v>2</v>
          </cell>
          <cell r="G265" t="str">
            <v>ja</v>
          </cell>
          <cell r="H265" t="str">
            <v xml:space="preserve">【中級】ゴールドカジノ </v>
          </cell>
          <cell r="I265" t="str">
            <v>中級</v>
          </cell>
          <cell r="J265">
            <v>118</v>
          </cell>
          <cell r="K265">
            <v>15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105</v>
          </cell>
          <cell r="AD265">
            <v>6</v>
          </cell>
          <cell r="AE265" t="str">
            <v>everyone</v>
          </cell>
        </row>
        <row r="266">
          <cell r="A266" t="str">
            <v>11206_3</v>
          </cell>
          <cell r="B266">
            <v>0</v>
          </cell>
          <cell r="C266">
            <v>11206</v>
          </cell>
          <cell r="D266" t="str">
            <v>【キャンペーン限定】 ゴールドカジノ</v>
          </cell>
          <cell r="E266" t="str">
            <v>土日クエスト2</v>
          </cell>
          <cell r="F266">
            <v>3</v>
          </cell>
          <cell r="G266" t="str">
            <v>ja</v>
          </cell>
          <cell r="H266" t="str">
            <v xml:space="preserve">【上級】ゴールドカジノ </v>
          </cell>
          <cell r="I266" t="str">
            <v>上級</v>
          </cell>
          <cell r="J266">
            <v>119</v>
          </cell>
          <cell r="K266">
            <v>20</v>
          </cell>
          <cell r="L266">
            <v>860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105</v>
          </cell>
          <cell r="AD266">
            <v>6</v>
          </cell>
          <cell r="AE266" t="str">
            <v>everyone</v>
          </cell>
        </row>
        <row r="267">
          <cell r="A267" t="str">
            <v>11207_1</v>
          </cell>
          <cell r="B267">
            <v>3</v>
          </cell>
          <cell r="C267">
            <v>11207</v>
          </cell>
          <cell r="D267" t="str">
            <v>果実達の大宴会</v>
          </cell>
          <cell r="E267">
            <v>0</v>
          </cell>
          <cell r="F267">
            <v>1</v>
          </cell>
          <cell r="G267" t="str">
            <v>ja</v>
          </cell>
          <cell r="H267" t="str">
            <v>【上級】果実達の大宴会</v>
          </cell>
          <cell r="I267" t="str">
            <v>ボーナス</v>
          </cell>
          <cell r="J267" t="str">
            <v>NULL</v>
          </cell>
          <cell r="K267">
            <v>20</v>
          </cell>
          <cell r="L267">
            <v>525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0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21</v>
          </cell>
          <cell r="AD267">
            <v>6</v>
          </cell>
          <cell r="AE267" t="str">
            <v>singleonly</v>
          </cell>
        </row>
        <row r="268">
          <cell r="A268" t="str">
            <v>11207_2</v>
          </cell>
          <cell r="B268">
            <v>3</v>
          </cell>
          <cell r="C268">
            <v>11207</v>
          </cell>
          <cell r="D268" t="str">
            <v>果実達の大宴会</v>
          </cell>
          <cell r="E268">
            <v>0</v>
          </cell>
          <cell r="F268">
            <v>2</v>
          </cell>
          <cell r="G268" t="str">
            <v>ja</v>
          </cell>
          <cell r="H268" t="str">
            <v>【超級】果実達の大宴会</v>
          </cell>
          <cell r="I268" t="str">
            <v>ボーナス</v>
          </cell>
          <cell r="J268">
            <v>610</v>
          </cell>
          <cell r="K268">
            <v>30</v>
          </cell>
          <cell r="L268">
            <v>860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0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21</v>
          </cell>
          <cell r="AD268">
            <v>6</v>
          </cell>
          <cell r="AE268" t="str">
            <v>singleonly</v>
          </cell>
        </row>
        <row r="269">
          <cell r="A269" t="str">
            <v>11208_1</v>
          </cell>
          <cell r="B269">
            <v>0</v>
          </cell>
          <cell r="C269">
            <v>11208</v>
          </cell>
          <cell r="D269" t="str">
            <v>果実達の大宴会</v>
          </cell>
          <cell r="E269">
            <v>0</v>
          </cell>
          <cell r="F269">
            <v>1</v>
          </cell>
          <cell r="G269" t="str">
            <v>ja</v>
          </cell>
          <cell r="H269" t="str">
            <v>【上級】果実達の大宴会</v>
          </cell>
          <cell r="I269" t="str">
            <v>ボーナス</v>
          </cell>
          <cell r="J269" t="str">
            <v>NULL</v>
          </cell>
          <cell r="K269">
            <v>20</v>
          </cell>
          <cell r="L269">
            <v>525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21</v>
          </cell>
          <cell r="AD269">
            <v>6</v>
          </cell>
          <cell r="AE269" t="str">
            <v>singleonly</v>
          </cell>
        </row>
        <row r="270">
          <cell r="A270" t="str">
            <v>11208_2</v>
          </cell>
          <cell r="B270">
            <v>0</v>
          </cell>
          <cell r="C270">
            <v>11208</v>
          </cell>
          <cell r="D270" t="str">
            <v>果実達の大宴会</v>
          </cell>
          <cell r="E270">
            <v>0</v>
          </cell>
          <cell r="F270">
            <v>2</v>
          </cell>
          <cell r="G270" t="str">
            <v>ja</v>
          </cell>
          <cell r="H270" t="str">
            <v>【超級】果実達の大宴会</v>
          </cell>
          <cell r="I270" t="str">
            <v>ボーナス</v>
          </cell>
          <cell r="J270">
            <v>125</v>
          </cell>
          <cell r="K270">
            <v>40</v>
          </cell>
          <cell r="L270">
            <v>860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21</v>
          </cell>
          <cell r="AD270">
            <v>6</v>
          </cell>
          <cell r="AE270" t="str">
            <v>singleonly</v>
          </cell>
        </row>
        <row r="271">
          <cell r="A271" t="str">
            <v>11209_1</v>
          </cell>
          <cell r="B271">
            <v>3</v>
          </cell>
          <cell r="C271">
            <v>11209</v>
          </cell>
          <cell r="D271" t="str">
            <v>スタートダッシュキャンペーンクエスト</v>
          </cell>
          <cell r="E271" t="str">
            <v>スタートダッシュキャンペーンクエスト</v>
          </cell>
          <cell r="F271">
            <v>1</v>
          </cell>
          <cell r="G271" t="str">
            <v>ja</v>
          </cell>
          <cell r="H271" t="str">
            <v>【初級】メタルダックを捕獲せよ！</v>
          </cell>
          <cell r="I271" t="str">
            <v>経験値ゲリラ</v>
          </cell>
          <cell r="J271">
            <v>334</v>
          </cell>
          <cell r="K271">
            <v>8</v>
          </cell>
          <cell r="L271">
            <v>140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0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201</v>
          </cell>
          <cell r="AD271">
            <v>6</v>
          </cell>
          <cell r="AE271" t="str">
            <v>everyone</v>
          </cell>
        </row>
        <row r="272">
          <cell r="A272" t="str">
            <v>11209_2</v>
          </cell>
          <cell r="B272">
            <v>3</v>
          </cell>
          <cell r="C272">
            <v>11209</v>
          </cell>
          <cell r="D272" t="str">
            <v>スタートダッシュキャンペーンクエスト</v>
          </cell>
          <cell r="E272" t="str">
            <v>スタートダッシュキャンペーンクエスト</v>
          </cell>
          <cell r="F272">
            <v>2</v>
          </cell>
          <cell r="G272" t="str">
            <v>ja</v>
          </cell>
          <cell r="H272" t="str">
            <v>【初級】ゴールドカジノ</v>
          </cell>
          <cell r="I272" t="str">
            <v>初級</v>
          </cell>
          <cell r="J272">
            <v>117</v>
          </cell>
          <cell r="K272">
            <v>8</v>
          </cell>
          <cell r="L272">
            <v>140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0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105</v>
          </cell>
          <cell r="AD272">
            <v>6</v>
          </cell>
          <cell r="AE272" t="str">
            <v>everyone</v>
          </cell>
        </row>
        <row r="273">
          <cell r="A273" t="str">
            <v>11212_1</v>
          </cell>
          <cell r="B273">
            <v>1</v>
          </cell>
          <cell r="C273">
            <v>11212</v>
          </cell>
          <cell r="D273" t="str">
            <v>100万DL記念★特別クエスト</v>
          </cell>
          <cell r="E273" t="str">
            <v>100万DL記念★特別クエスト</v>
          </cell>
          <cell r="F273">
            <v>1</v>
          </cell>
          <cell r="G273" t="str">
            <v>ja</v>
          </cell>
          <cell r="H273" t="str">
            <v>ミリオンダックより愛をこめて</v>
          </cell>
          <cell r="I273" t="str">
            <v>100万DL記念限定クエスト</v>
          </cell>
          <cell r="J273">
            <v>97</v>
          </cell>
          <cell r="K273">
            <v>1</v>
          </cell>
          <cell r="L273">
            <v>100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once</v>
          </cell>
          <cell r="AC273">
            <v>1</v>
          </cell>
          <cell r="AD273">
            <v>6</v>
          </cell>
          <cell r="AE273" t="str">
            <v>singleonly</v>
          </cell>
        </row>
        <row r="274">
          <cell r="A274" t="str">
            <v>11213_1</v>
          </cell>
          <cell r="B274">
            <v>0</v>
          </cell>
          <cell r="C274">
            <v>11213</v>
          </cell>
          <cell r="D274" t="str">
            <v>クエスト名</v>
          </cell>
          <cell r="E274" t="str">
            <v>【超級】カジノ</v>
          </cell>
          <cell r="F274">
            <v>1</v>
          </cell>
          <cell r="G274" t="str">
            <v>ja</v>
          </cell>
          <cell r="H274" t="str">
            <v xml:space="preserve">【超級】ゴールドカジノ </v>
          </cell>
          <cell r="I274" t="str">
            <v>超級カジノ</v>
          </cell>
          <cell r="J274">
            <v>119</v>
          </cell>
          <cell r="K274">
            <v>30</v>
          </cell>
          <cell r="L274">
            <v>777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105</v>
          </cell>
          <cell r="AD274">
            <v>6</v>
          </cell>
          <cell r="AE274" t="str">
            <v>everyone</v>
          </cell>
        </row>
        <row r="275">
          <cell r="A275" t="str">
            <v>11214_1</v>
          </cell>
          <cell r="B275">
            <v>0</v>
          </cell>
          <cell r="C275">
            <v>11214</v>
          </cell>
          <cell r="D275" t="str">
            <v>プロメテウスの恋</v>
          </cell>
          <cell r="E275" t="str">
            <v>2015年クリスマスクエスト</v>
          </cell>
          <cell r="F275">
            <v>1</v>
          </cell>
          <cell r="G275" t="str">
            <v>ja</v>
          </cell>
          <cell r="H275" t="str">
            <v>【ストーリー前編】勢いまかせ</v>
          </cell>
          <cell r="I275" t="str">
            <v>2015年クリスマスクエスト</v>
          </cell>
          <cell r="J275">
            <v>202</v>
          </cell>
          <cell r="K275">
            <v>1</v>
          </cell>
          <cell r="L275">
            <v>1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520,521,522,523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1</v>
          </cell>
          <cell r="AD275">
            <v>6</v>
          </cell>
          <cell r="AE275" t="str">
            <v>singleonly</v>
          </cell>
        </row>
        <row r="276">
          <cell r="A276" t="str">
            <v>11214_2</v>
          </cell>
          <cell r="B276">
            <v>0</v>
          </cell>
          <cell r="C276">
            <v>11214</v>
          </cell>
          <cell r="D276" t="str">
            <v>プロメテウスの恋</v>
          </cell>
          <cell r="E276" t="str">
            <v>2015年クリスマスクエスト</v>
          </cell>
          <cell r="F276">
            <v>2</v>
          </cell>
          <cell r="G276" t="str">
            <v>ja</v>
          </cell>
          <cell r="H276" t="str">
            <v>【ストーリー中編】恋の奥義</v>
          </cell>
          <cell r="I276" t="str">
            <v>幻と化したボツステージ</v>
          </cell>
          <cell r="J276">
            <v>202</v>
          </cell>
          <cell r="K276">
            <v>1</v>
          </cell>
          <cell r="L276">
            <v>1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none</v>
          </cell>
          <cell r="T276">
            <v>0</v>
          </cell>
          <cell r="U276">
            <v>11214</v>
          </cell>
          <cell r="V276">
            <v>1</v>
          </cell>
          <cell r="W276" t="str">
            <v>【ストーリー前編】勢いまかせ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105</v>
          </cell>
          <cell r="AD276">
            <v>6</v>
          </cell>
          <cell r="AE276" t="str">
            <v>singleonly</v>
          </cell>
        </row>
        <row r="277">
          <cell r="A277" t="str">
            <v>11214_3</v>
          </cell>
          <cell r="B277">
            <v>0</v>
          </cell>
          <cell r="C277">
            <v>11214</v>
          </cell>
          <cell r="D277" t="str">
            <v>プロメテウスの恋</v>
          </cell>
          <cell r="E277" t="str">
            <v>2015年クリスマスクエスト</v>
          </cell>
          <cell r="F277">
            <v>3</v>
          </cell>
          <cell r="G277" t="str">
            <v>ja</v>
          </cell>
          <cell r="H277" t="str">
            <v>【ストーリー後編】フィーバーの力</v>
          </cell>
          <cell r="I277" t="str">
            <v>2015年クリスマスクエスト</v>
          </cell>
          <cell r="J277">
            <v>202</v>
          </cell>
          <cell r="K277">
            <v>1</v>
          </cell>
          <cell r="L277">
            <v>2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520,521,522,523</v>
          </cell>
          <cell r="U277">
            <v>11214</v>
          </cell>
          <cell r="V277">
            <v>1</v>
          </cell>
          <cell r="W277" t="str">
            <v>【ストーリー前編】勢いまかせ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105</v>
          </cell>
          <cell r="AD277">
            <v>6</v>
          </cell>
          <cell r="AE277" t="str">
            <v>singleonly</v>
          </cell>
        </row>
        <row r="278">
          <cell r="A278" t="str">
            <v>11215_1</v>
          </cell>
          <cell r="B278">
            <v>0</v>
          </cell>
          <cell r="C278">
            <v>11215</v>
          </cell>
          <cell r="D278" t="str">
            <v>【マルチ】サンタダックを捕獲せよ！</v>
          </cell>
          <cell r="E278" t="str">
            <v>2015年クリスマスゲリラクエスト</v>
          </cell>
          <cell r="F278">
            <v>1</v>
          </cell>
          <cell r="G278" t="str">
            <v>ja</v>
          </cell>
          <cell r="H278" t="str">
            <v>【上級】サンタダックを捕獲せよ！</v>
          </cell>
          <cell r="I278" t="str">
            <v>2015年クリスマスゲリラクエスト</v>
          </cell>
          <cell r="J278">
            <v>520</v>
          </cell>
          <cell r="K278">
            <v>10</v>
          </cell>
          <cell r="L278">
            <v>350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none</v>
          </cell>
          <cell r="T278">
            <v>0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105</v>
          </cell>
          <cell r="AD278">
            <v>6</v>
          </cell>
          <cell r="AE278" t="str">
            <v>multionly</v>
          </cell>
        </row>
        <row r="279">
          <cell r="A279" t="str">
            <v>11216_1</v>
          </cell>
          <cell r="B279">
            <v>0</v>
          </cell>
          <cell r="C279">
            <v>11216</v>
          </cell>
          <cell r="D279" t="str">
            <v>年越し★特別クエスト</v>
          </cell>
          <cell r="E279" t="str">
            <v>2015年年越しクエスト</v>
          </cell>
          <cell r="F279">
            <v>1</v>
          </cell>
          <cell r="G279" t="str">
            <v>ja</v>
          </cell>
          <cell r="H279" t="str">
            <v>【上級】年を越える宴（ハートなし）</v>
          </cell>
          <cell r="I279" t="str">
            <v>2015年年忘れクエスト</v>
          </cell>
          <cell r="J279">
            <v>377</v>
          </cell>
          <cell r="K279">
            <v>10</v>
          </cell>
          <cell r="L279">
            <v>350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0</v>
          </cell>
          <cell r="R279">
            <v>3</v>
          </cell>
          <cell r="S279" t="str">
            <v>none</v>
          </cell>
          <cell r="T279">
            <v>0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901</v>
          </cell>
          <cell r="AD279">
            <v>6</v>
          </cell>
          <cell r="AE279" t="str">
            <v>multionly</v>
          </cell>
        </row>
        <row r="280">
          <cell r="A280" t="str">
            <v>11217_1</v>
          </cell>
          <cell r="B280">
            <v>0</v>
          </cell>
          <cell r="C280">
            <v>11217</v>
          </cell>
          <cell r="D280" t="str">
            <v>年明け★特別クエスト</v>
          </cell>
          <cell r="E280" t="str">
            <v>2016年あけおめクエスト</v>
          </cell>
          <cell r="F280">
            <v>1</v>
          </cell>
          <cell r="G280" t="str">
            <v>ja</v>
          </cell>
          <cell r="H280" t="str">
            <v>あけおめダックのお年玉</v>
          </cell>
          <cell r="I280" t="str">
            <v>2016年あけおめクエスト</v>
          </cell>
          <cell r="J280">
            <v>524</v>
          </cell>
          <cell r="K280">
            <v>1</v>
          </cell>
          <cell r="L280">
            <v>2016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0</v>
          </cell>
          <cell r="R280">
            <v>3</v>
          </cell>
          <cell r="S280" t="str">
            <v>polygon</v>
          </cell>
          <cell r="T280">
            <v>1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once</v>
          </cell>
          <cell r="AC280">
            <v>2</v>
          </cell>
          <cell r="AD280">
            <v>6</v>
          </cell>
          <cell r="AE280" t="str">
            <v>singleonly</v>
          </cell>
        </row>
        <row r="281">
          <cell r="A281" t="str">
            <v>11218_1</v>
          </cell>
          <cell r="B281">
            <v>3</v>
          </cell>
          <cell r="C281">
            <v>11218</v>
          </cell>
          <cell r="D281" t="str">
            <v>バレンタイン★特別クエスト</v>
          </cell>
          <cell r="E281" t="str">
            <v>2016年バレンタインクエスト</v>
          </cell>
          <cell r="F281">
            <v>1</v>
          </cell>
          <cell r="G281" t="str">
            <v>ja</v>
          </cell>
          <cell r="H281" t="str">
            <v>【ストーリー】バレンタイン狂想曲</v>
          </cell>
          <cell r="I281" t="str">
            <v>ストーリー</v>
          </cell>
          <cell r="J281">
            <v>572</v>
          </cell>
          <cell r="K281">
            <v>1</v>
          </cell>
          <cell r="L281">
            <v>214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polygon</v>
          </cell>
          <cell r="T281">
            <v>1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once</v>
          </cell>
          <cell r="AC281">
            <v>1</v>
          </cell>
          <cell r="AD281">
            <v>6</v>
          </cell>
          <cell r="AE281" t="str">
            <v>singleonly</v>
          </cell>
        </row>
        <row r="282">
          <cell r="A282" t="str">
            <v>11219_1</v>
          </cell>
          <cell r="B282">
            <v>3</v>
          </cell>
          <cell r="C282">
            <v>11219</v>
          </cell>
          <cell r="D282" t="str">
            <v>200万DL記念★特別クエスト</v>
          </cell>
          <cell r="E282" t="str">
            <v>200万DL記念★特別クエスト</v>
          </cell>
          <cell r="F282">
            <v>1</v>
          </cell>
          <cell r="G282" t="str">
            <v>ja</v>
          </cell>
          <cell r="H282" t="str">
            <v>ミリオンダックより愛を込めて 2</v>
          </cell>
          <cell r="I282" t="str">
            <v>200万DL記念限定クエスト</v>
          </cell>
          <cell r="J282">
            <v>97</v>
          </cell>
          <cell r="K282">
            <v>1</v>
          </cell>
          <cell r="L282">
            <v>200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polygon</v>
          </cell>
          <cell r="T282">
            <v>1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1</v>
          </cell>
          <cell r="AD282">
            <v>6</v>
          </cell>
          <cell r="AE282" t="str">
            <v>singleonly</v>
          </cell>
        </row>
        <row r="283">
          <cell r="A283" t="str">
            <v>11220_1</v>
          </cell>
          <cell r="B283">
            <v>3</v>
          </cell>
          <cell r="C283">
            <v>11220</v>
          </cell>
          <cell r="D283" t="str">
            <v>ホワイトデー★特別クエスト</v>
          </cell>
          <cell r="E283" t="str">
            <v>2016年ホワイトデークエスト</v>
          </cell>
          <cell r="F283">
            <v>1</v>
          </cell>
          <cell r="G283" t="str">
            <v>ja</v>
          </cell>
          <cell r="H283" t="str">
            <v>【ストーリー】ホワイトデー独騒曲</v>
          </cell>
          <cell r="I283" t="str">
            <v>2016年ホワイトデークエスト</v>
          </cell>
          <cell r="J283">
            <v>350</v>
          </cell>
          <cell r="K283">
            <v>1</v>
          </cell>
          <cell r="L283">
            <v>314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polygon</v>
          </cell>
          <cell r="T283">
            <v>1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once</v>
          </cell>
          <cell r="AC283">
            <v>1</v>
          </cell>
          <cell r="AD283">
            <v>6</v>
          </cell>
          <cell r="AE283" t="str">
            <v>singleonly</v>
          </cell>
        </row>
        <row r="284">
          <cell r="A284" t="str">
            <v>11221_1</v>
          </cell>
          <cell r="B284">
            <v>3</v>
          </cell>
          <cell r="C284">
            <v>11221</v>
          </cell>
          <cell r="D284" t="str">
            <v>新生活★応援クエスト</v>
          </cell>
          <cell r="E284" t="str">
            <v>2016年卒業クエスト</v>
          </cell>
          <cell r="F284">
            <v>1</v>
          </cell>
          <cell r="G284" t="str">
            <v>ja</v>
          </cell>
          <cell r="H284" t="str">
            <v>【ストーリー】桜舞い散る樹の下で</v>
          </cell>
          <cell r="I284" t="str">
            <v>2016年卒業クエスト</v>
          </cell>
          <cell r="J284">
            <v>794</v>
          </cell>
          <cell r="K284">
            <v>1</v>
          </cell>
          <cell r="L284">
            <v>331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polygon</v>
          </cell>
          <cell r="T284">
            <v>1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once</v>
          </cell>
          <cell r="AC284">
            <v>926</v>
          </cell>
          <cell r="AD284">
            <v>6</v>
          </cell>
          <cell r="AE284" t="str">
            <v>singleonly</v>
          </cell>
        </row>
        <row r="285">
          <cell r="A285" t="str">
            <v>11224_1</v>
          </cell>
          <cell r="B285">
            <v>3</v>
          </cell>
          <cell r="C285">
            <v>11224</v>
          </cell>
          <cell r="D285" t="str">
            <v>TVCM放送記念★特別クエスト</v>
          </cell>
          <cell r="E285" t="str">
            <v>TVCM放送記念★特別クエスト</v>
          </cell>
          <cell r="F285">
            <v>1</v>
          </cell>
          <cell r="G285" t="str">
            <v>ja</v>
          </cell>
          <cell r="H285" t="str">
            <v>【超ウザード級】ウザリーマン襲来！</v>
          </cell>
          <cell r="I285" t="str">
            <v>記念クエスト</v>
          </cell>
          <cell r="J285">
            <v>976</v>
          </cell>
          <cell r="K285">
            <v>1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0</v>
          </cell>
          <cell r="R285">
            <v>3</v>
          </cell>
          <cell r="S285" t="str">
            <v>polygon</v>
          </cell>
          <cell r="T285">
            <v>10</v>
          </cell>
          <cell r="U285" t="str">
            <v>NULL</v>
          </cell>
          <cell r="V285" t="str">
            <v>NULL</v>
          </cell>
          <cell r="W285" t="str">
            <v/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907</v>
          </cell>
          <cell r="AD285">
            <v>6</v>
          </cell>
          <cell r="AE285" t="str">
            <v>singleonly</v>
          </cell>
        </row>
        <row r="286">
          <cell r="A286" t="str">
            <v>11225_1</v>
          </cell>
          <cell r="B286">
            <v>3</v>
          </cell>
          <cell r="C286">
            <v>11225</v>
          </cell>
          <cell r="D286" t="str">
            <v>400万DL記念★特別クエスト</v>
          </cell>
          <cell r="E286" t="str">
            <v>400万DL記念★特別クエスト</v>
          </cell>
          <cell r="F286">
            <v>1</v>
          </cell>
          <cell r="G286" t="str">
            <v>ja</v>
          </cell>
          <cell r="H286" t="str">
            <v>ミリオンダックより愛をこめて 4</v>
          </cell>
          <cell r="I286" t="str">
            <v>400万DL記念限定クエスト</v>
          </cell>
          <cell r="J286">
            <v>444</v>
          </cell>
          <cell r="K286">
            <v>1</v>
          </cell>
          <cell r="L286">
            <v>200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polygon</v>
          </cell>
          <cell r="T286">
            <v>1</v>
          </cell>
          <cell r="U286" t="str">
            <v>NULL</v>
          </cell>
          <cell r="V286" t="str">
            <v>NULL</v>
          </cell>
          <cell r="W286" t="str">
            <v/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once</v>
          </cell>
          <cell r="AC286">
            <v>1</v>
          </cell>
          <cell r="AD286">
            <v>6</v>
          </cell>
          <cell r="AE286" t="str">
            <v>singleonly</v>
          </cell>
        </row>
        <row r="287">
          <cell r="A287" t="str">
            <v>11226_1</v>
          </cell>
          <cell r="B287">
            <v>3</v>
          </cell>
          <cell r="C287">
            <v>11226</v>
          </cell>
          <cell r="F287">
            <v>1</v>
          </cell>
          <cell r="G287" t="str">
            <v>ja</v>
          </cell>
          <cell r="H287" t="str">
            <v>1周年のキセキ</v>
          </cell>
          <cell r="I287" t="str">
            <v>1周年記念限定クエスト</v>
          </cell>
          <cell r="J287">
            <v>1079</v>
          </cell>
          <cell r="K287">
            <v>1</v>
          </cell>
          <cell r="L287">
            <v>200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polygon</v>
          </cell>
          <cell r="T287">
            <v>1</v>
          </cell>
          <cell r="U287" t="str">
            <v>NULL</v>
          </cell>
          <cell r="V287" t="str">
            <v>NULL</v>
          </cell>
          <cell r="W287" t="str">
            <v/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once</v>
          </cell>
          <cell r="AC287">
            <v>1</v>
          </cell>
          <cell r="AD287">
            <v>6</v>
          </cell>
          <cell r="AE287" t="str">
            <v>singleonly</v>
          </cell>
        </row>
        <row r="288">
          <cell r="A288" t="str">
            <v>11226_2</v>
          </cell>
          <cell r="B288">
            <v>3</v>
          </cell>
          <cell r="C288">
            <v>11226</v>
          </cell>
          <cell r="D288" t="str">
            <v>1周年記念★特別クエスト</v>
          </cell>
          <cell r="E288" t="str">
            <v>1周年記念★特別クエスト</v>
          </cell>
          <cell r="F288">
            <v>2</v>
          </cell>
          <cell r="G288" t="str">
            <v>ja</v>
          </cell>
          <cell r="H288" t="str">
            <v>【クリスマス前編】勢いまかせ</v>
          </cell>
          <cell r="I288" t="str">
            <v>2015年クリスマスクエスト</v>
          </cell>
          <cell r="J288">
            <v>202</v>
          </cell>
          <cell r="K288">
            <v>1</v>
          </cell>
          <cell r="L288">
            <v>1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520,521,522,523</v>
          </cell>
          <cell r="U288">
            <v>11226</v>
          </cell>
          <cell r="V288">
            <v>1</v>
          </cell>
          <cell r="W288" t="str">
            <v>1周年のキセキ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once</v>
          </cell>
          <cell r="AC288">
            <v>1</v>
          </cell>
          <cell r="AD288">
            <v>100</v>
          </cell>
          <cell r="AE288" t="str">
            <v>singleonly</v>
          </cell>
        </row>
        <row r="289">
          <cell r="A289" t="str">
            <v>11226_3</v>
          </cell>
          <cell r="B289">
            <v>3</v>
          </cell>
          <cell r="C289">
            <v>11226</v>
          </cell>
          <cell r="D289" t="str">
            <v>1周年記念★特別クエスト</v>
          </cell>
          <cell r="E289" t="str">
            <v>1周年記念★特別クエスト</v>
          </cell>
          <cell r="F289">
            <v>3</v>
          </cell>
          <cell r="G289" t="str">
            <v>ja</v>
          </cell>
          <cell r="H289" t="str">
            <v>【クリスマス後編】フィーバーの力</v>
          </cell>
          <cell r="I289" t="str">
            <v>2015年クリスマスクエスト</v>
          </cell>
          <cell r="J289">
            <v>202</v>
          </cell>
          <cell r="K289">
            <v>1</v>
          </cell>
          <cell r="L289">
            <v>2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520,521,522,523</v>
          </cell>
          <cell r="U289">
            <v>11226</v>
          </cell>
          <cell r="V289">
            <v>1</v>
          </cell>
          <cell r="W289" t="str">
            <v>1周年のキセキ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once</v>
          </cell>
          <cell r="AC289">
            <v>105</v>
          </cell>
          <cell r="AD289">
            <v>100</v>
          </cell>
          <cell r="AE289" t="str">
            <v>singleonly</v>
          </cell>
        </row>
        <row r="290">
          <cell r="A290" t="str">
            <v>11226_4</v>
          </cell>
          <cell r="B290">
            <v>3</v>
          </cell>
          <cell r="C290">
            <v>11226</v>
          </cell>
          <cell r="D290" t="str">
            <v>1周年記念★特別クエスト</v>
          </cell>
          <cell r="E290" t="str">
            <v>1周年記念★特別クエスト</v>
          </cell>
          <cell r="F290">
            <v>4</v>
          </cell>
          <cell r="G290" t="str">
            <v>ja</v>
          </cell>
          <cell r="H290" t="str">
            <v>【上級】年を越える宴（ハートなし）</v>
          </cell>
          <cell r="I290" t="str">
            <v>2015年年忘れクエスト</v>
          </cell>
          <cell r="J290">
            <v>377</v>
          </cell>
          <cell r="K290">
            <v>20</v>
          </cell>
          <cell r="L290">
            <v>350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0</v>
          </cell>
          <cell r="R290">
            <v>3</v>
          </cell>
          <cell r="S290" t="str">
            <v>none</v>
          </cell>
          <cell r="T290">
            <v>0</v>
          </cell>
          <cell r="U290">
            <v>11226</v>
          </cell>
          <cell r="V290">
            <v>1</v>
          </cell>
          <cell r="W290" t="str">
            <v>1周年のキセキ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901</v>
          </cell>
          <cell r="AD290">
            <v>6</v>
          </cell>
          <cell r="AE290" t="str">
            <v>multionly</v>
          </cell>
        </row>
        <row r="291">
          <cell r="A291" t="str">
            <v>11226_5</v>
          </cell>
          <cell r="B291">
            <v>3</v>
          </cell>
          <cell r="C291">
            <v>11226</v>
          </cell>
          <cell r="D291" t="str">
            <v>1周年記念★特別クエスト</v>
          </cell>
          <cell r="E291" t="str">
            <v>1周年記念★特別クエスト</v>
          </cell>
          <cell r="F291">
            <v>5</v>
          </cell>
          <cell r="G291" t="str">
            <v>ja</v>
          </cell>
          <cell r="H291" t="str">
            <v>あけおめダックのお年玉</v>
          </cell>
          <cell r="I291" t="str">
            <v>2016年あけおめクエスト</v>
          </cell>
          <cell r="J291">
            <v>524</v>
          </cell>
          <cell r="K291">
            <v>1</v>
          </cell>
          <cell r="L291">
            <v>2016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0</v>
          </cell>
          <cell r="R291">
            <v>3</v>
          </cell>
          <cell r="S291" t="str">
            <v>polygon</v>
          </cell>
          <cell r="T291">
            <v>1</v>
          </cell>
          <cell r="U291">
            <v>11226</v>
          </cell>
          <cell r="V291">
            <v>1</v>
          </cell>
          <cell r="W291" t="str">
            <v>1周年のキセキ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once</v>
          </cell>
          <cell r="AC291">
            <v>2</v>
          </cell>
          <cell r="AD291">
            <v>100</v>
          </cell>
          <cell r="AE291" t="str">
            <v>singleonly</v>
          </cell>
        </row>
        <row r="292">
          <cell r="A292" t="str">
            <v>11226_6</v>
          </cell>
          <cell r="B292">
            <v>3</v>
          </cell>
          <cell r="C292">
            <v>11226</v>
          </cell>
          <cell r="D292" t="str">
            <v>1周年記念★特別クエスト</v>
          </cell>
          <cell r="E292" t="str">
            <v>1周年記念★特別クエスト</v>
          </cell>
          <cell r="F292">
            <v>6</v>
          </cell>
          <cell r="G292" t="str">
            <v>ja</v>
          </cell>
          <cell r="H292" t="str">
            <v>【ストーリー】バレンタイン狂想曲</v>
          </cell>
          <cell r="I292" t="str">
            <v>ストーリー</v>
          </cell>
          <cell r="J292">
            <v>572</v>
          </cell>
          <cell r="K292">
            <v>1</v>
          </cell>
          <cell r="L292">
            <v>214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polygon</v>
          </cell>
          <cell r="T292">
            <v>1</v>
          </cell>
          <cell r="U292">
            <v>11226</v>
          </cell>
          <cell r="V292">
            <v>1</v>
          </cell>
          <cell r="W292" t="str">
            <v>1周年のキセキ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once</v>
          </cell>
          <cell r="AC292">
            <v>1</v>
          </cell>
          <cell r="AD292">
            <v>100</v>
          </cell>
          <cell r="AE292" t="str">
            <v>singleonly</v>
          </cell>
        </row>
        <row r="293">
          <cell r="A293" t="str">
            <v>11226_7</v>
          </cell>
          <cell r="B293">
            <v>3</v>
          </cell>
          <cell r="C293">
            <v>11226</v>
          </cell>
          <cell r="D293" t="str">
            <v>1周年記念★特別クエスト</v>
          </cell>
          <cell r="E293" t="str">
            <v>1周年記念★特別クエスト</v>
          </cell>
          <cell r="F293">
            <v>7</v>
          </cell>
          <cell r="G293" t="str">
            <v>ja</v>
          </cell>
          <cell r="H293" t="str">
            <v>【ストーリー】ホワイトデー独騒曲</v>
          </cell>
          <cell r="I293" t="str">
            <v>2016年ホワイトデークエスト</v>
          </cell>
          <cell r="J293">
            <v>350</v>
          </cell>
          <cell r="K293">
            <v>1</v>
          </cell>
          <cell r="L293">
            <v>314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polygon</v>
          </cell>
          <cell r="T293">
            <v>1</v>
          </cell>
          <cell r="U293">
            <v>11226</v>
          </cell>
          <cell r="V293">
            <v>1</v>
          </cell>
          <cell r="W293" t="str">
            <v>1周年のキセキ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once</v>
          </cell>
          <cell r="AC293">
            <v>1</v>
          </cell>
          <cell r="AD293">
            <v>100</v>
          </cell>
          <cell r="AE293" t="str">
            <v>singleonly</v>
          </cell>
        </row>
        <row r="294">
          <cell r="A294" t="str">
            <v>11226_8</v>
          </cell>
          <cell r="B294">
            <v>3</v>
          </cell>
          <cell r="C294">
            <v>11226</v>
          </cell>
          <cell r="D294" t="str">
            <v>1周年記念★特別クエスト</v>
          </cell>
          <cell r="E294" t="str">
            <v>1周年記念★特別クエスト</v>
          </cell>
          <cell r="F294">
            <v>8</v>
          </cell>
          <cell r="G294" t="str">
            <v>ja</v>
          </cell>
          <cell r="H294" t="str">
            <v>【ストーリー】桜舞い散る樹の下で</v>
          </cell>
          <cell r="I294" t="str">
            <v>2016年卒業クエスト</v>
          </cell>
          <cell r="J294">
            <v>794</v>
          </cell>
          <cell r="K294">
            <v>1</v>
          </cell>
          <cell r="L294">
            <v>331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polygon</v>
          </cell>
          <cell r="T294">
            <v>1</v>
          </cell>
          <cell r="U294">
            <v>11226</v>
          </cell>
          <cell r="V294">
            <v>1</v>
          </cell>
          <cell r="W294" t="str">
            <v>1周年のキセキ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once</v>
          </cell>
          <cell r="AC294">
            <v>926</v>
          </cell>
          <cell r="AD294">
            <v>100</v>
          </cell>
          <cell r="AE294" t="str">
            <v>singleonly</v>
          </cell>
        </row>
        <row r="295">
          <cell r="A295" t="str">
            <v>11227_1</v>
          </cell>
          <cell r="B295">
            <v>1</v>
          </cell>
          <cell r="C295">
            <v>11227</v>
          </cell>
          <cell r="D295" t="str">
            <v>TVCM第2弾放送記念★特別クエスト</v>
          </cell>
          <cell r="E295" t="str">
            <v>TVCM第2弾放送記念★特別クエスト</v>
          </cell>
          <cell r="F295">
            <v>1</v>
          </cell>
          <cell r="G295" t="str">
            <v>ja</v>
          </cell>
          <cell r="H295" t="str">
            <v>【ALICE日常編】…勘違いじゃないよ。</v>
          </cell>
          <cell r="I295" t="str">
            <v>幻と化したボツステージ</v>
          </cell>
          <cell r="J295">
            <v>619</v>
          </cell>
          <cell r="K295">
            <v>1</v>
          </cell>
          <cell r="L295">
            <v>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polygon</v>
          </cell>
          <cell r="T295">
            <v>1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926</v>
          </cell>
          <cell r="AD295">
            <v>100</v>
          </cell>
          <cell r="AE295" t="str">
            <v>singleonly</v>
          </cell>
        </row>
        <row r="296">
          <cell r="A296" t="str">
            <v>11227_2</v>
          </cell>
          <cell r="B296">
            <v>3</v>
          </cell>
          <cell r="C296">
            <v>11227</v>
          </cell>
          <cell r="D296" t="str">
            <v>TVCM第2弾放送記念★特別クエスト</v>
          </cell>
          <cell r="E296" t="str">
            <v>TVCM第2弾放送記念★特別クエスト</v>
          </cell>
          <cell r="F296">
            <v>2</v>
          </cell>
          <cell r="G296" t="str">
            <v>ja</v>
          </cell>
          <cell r="H296" t="str">
            <v>…勘違いじゃないよ。</v>
          </cell>
          <cell r="I296" t="str">
            <v>記念クエスト</v>
          </cell>
          <cell r="J296">
            <v>619</v>
          </cell>
          <cell r="K296">
            <v>1</v>
          </cell>
          <cell r="L296">
            <v>1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polygon</v>
          </cell>
          <cell r="T296">
            <v>10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926</v>
          </cell>
          <cell r="AD296">
            <v>100</v>
          </cell>
          <cell r="AE296" t="str">
            <v>singleonly</v>
          </cell>
        </row>
        <row r="297">
          <cell r="A297" t="str">
            <v>11228_1</v>
          </cell>
          <cell r="B297">
            <v>3</v>
          </cell>
          <cell r="C297">
            <v>11228</v>
          </cell>
          <cell r="D297" t="str">
            <v>バレンタイン★特別クエスト</v>
          </cell>
          <cell r="E297" t="str">
            <v>2016年バレンタインクエスト復刻</v>
          </cell>
          <cell r="F297">
            <v>1</v>
          </cell>
          <cell r="G297" t="str">
            <v>ja</v>
          </cell>
          <cell r="H297" t="str">
            <v>【ストーリー】バレンタイン狂想曲</v>
          </cell>
          <cell r="I297" t="str">
            <v>ストーリー</v>
          </cell>
          <cell r="J297">
            <v>572</v>
          </cell>
          <cell r="K297">
            <v>1</v>
          </cell>
          <cell r="L297">
            <v>214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polygon</v>
          </cell>
          <cell r="T297">
            <v>1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once</v>
          </cell>
          <cell r="AC297">
            <v>1</v>
          </cell>
          <cell r="AD297">
            <v>6</v>
          </cell>
          <cell r="AE297" t="str">
            <v>singleonly</v>
          </cell>
        </row>
        <row r="298">
          <cell r="A298" t="str">
            <v>11229_1</v>
          </cell>
          <cell r="B298">
            <v>3</v>
          </cell>
          <cell r="C298">
            <v>11229</v>
          </cell>
          <cell r="D298" t="str">
            <v>ホワイトデー★特別クエスト</v>
          </cell>
          <cell r="E298" t="str">
            <v>2016年ホワイトデークエスト復刻</v>
          </cell>
          <cell r="F298">
            <v>1</v>
          </cell>
          <cell r="G298" t="str">
            <v>ja</v>
          </cell>
          <cell r="H298" t="str">
            <v>【ストーリー】ホワイトデー独騒曲</v>
          </cell>
          <cell r="I298" t="str">
            <v>2016年ホワイトデークエスト</v>
          </cell>
          <cell r="J298">
            <v>350</v>
          </cell>
          <cell r="K298">
            <v>1</v>
          </cell>
          <cell r="L298">
            <v>314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polygon</v>
          </cell>
          <cell r="T298">
            <v>1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once</v>
          </cell>
          <cell r="AC298">
            <v>1</v>
          </cell>
          <cell r="AD298">
            <v>6</v>
          </cell>
          <cell r="AE298" t="str">
            <v>singleonly</v>
          </cell>
        </row>
        <row r="299">
          <cell r="A299" t="str">
            <v>11230_1</v>
          </cell>
          <cell r="B299">
            <v>3</v>
          </cell>
          <cell r="C299">
            <v>11230</v>
          </cell>
          <cell r="D299" t="str">
            <v>未知のウィルス大捜査！</v>
          </cell>
          <cell r="E299" t="str">
            <v>2017年エイプリルフールクエスト</v>
          </cell>
          <cell r="F299">
            <v>1</v>
          </cell>
          <cell r="G299" t="str">
            <v>ja</v>
          </cell>
          <cell r="H299" t="str">
            <v>【前編】未知のウィルス大捜査</v>
          </cell>
          <cell r="I299" t="str">
            <v>2017年エイプリルフールクエスト</v>
          </cell>
          <cell r="J299">
            <v>0</v>
          </cell>
          <cell r="K299">
            <v>1</v>
          </cell>
          <cell r="L299">
            <v>41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polygon</v>
          </cell>
          <cell r="T299">
            <v>1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907</v>
          </cell>
          <cell r="AD299">
            <v>6</v>
          </cell>
          <cell r="AE299" t="str">
            <v>singleonly</v>
          </cell>
        </row>
        <row r="300">
          <cell r="A300" t="str">
            <v>11230_2</v>
          </cell>
          <cell r="B300">
            <v>3</v>
          </cell>
          <cell r="C300">
            <v>11230</v>
          </cell>
          <cell r="D300" t="str">
            <v>未知のウィルス大捜査！</v>
          </cell>
          <cell r="E300" t="str">
            <v>2017年エイプリルフールクエスト</v>
          </cell>
          <cell r="F300">
            <v>2</v>
          </cell>
          <cell r="G300" t="str">
            <v>ja</v>
          </cell>
          <cell r="H300" t="str">
            <v>【後編】未知のウィルス大捜査</v>
          </cell>
          <cell r="I300" t="str">
            <v>2017年エイプリルフールクエスト</v>
          </cell>
          <cell r="J300">
            <v>1471</v>
          </cell>
          <cell r="K300">
            <v>1</v>
          </cell>
          <cell r="L300">
            <v>41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1</v>
          </cell>
          <cell r="R300">
            <v>3</v>
          </cell>
          <cell r="S300" t="str">
            <v>polygon</v>
          </cell>
          <cell r="T300">
            <v>1</v>
          </cell>
          <cell r="U300">
            <v>11230</v>
          </cell>
          <cell r="V300">
            <v>1</v>
          </cell>
          <cell r="W300" t="str">
            <v>【前編】未知のウィルス大捜査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1</v>
          </cell>
          <cell r="AD300">
            <v>6</v>
          </cell>
          <cell r="AE300" t="str">
            <v>singleonly</v>
          </cell>
        </row>
        <row r="301">
          <cell r="A301" t="str">
            <v>11231_1</v>
          </cell>
          <cell r="B301">
            <v>3</v>
          </cell>
          <cell r="C301">
            <v>11231</v>
          </cell>
          <cell r="D301" t="str">
            <v>桜姫の招待状</v>
          </cell>
          <cell r="E301" t="str">
            <v>2017年お花見ストーリークエスト</v>
          </cell>
          <cell r="F301">
            <v>1</v>
          </cell>
          <cell r="G301" t="str">
            <v>ja</v>
          </cell>
          <cell r="H301" t="str">
            <v>【ストーリー】桜姫の招待状</v>
          </cell>
          <cell r="I301" t="str">
            <v>2017年お花見クエスト</v>
          </cell>
          <cell r="J301">
            <v>1500</v>
          </cell>
          <cell r="K301">
            <v>1</v>
          </cell>
          <cell r="L301">
            <v>1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polygon</v>
          </cell>
          <cell r="T301">
            <v>1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1007</v>
          </cell>
          <cell r="AD301">
            <v>6</v>
          </cell>
          <cell r="AE301" t="str">
            <v>singleonly</v>
          </cell>
        </row>
        <row r="302">
          <cell r="A302" t="str">
            <v>12001_1</v>
          </cell>
          <cell r="B302">
            <v>3</v>
          </cell>
          <cell r="C302">
            <v>12001</v>
          </cell>
          <cell r="D302" t="str">
            <v>【緊急！！】 アヒル捕獲作戦</v>
          </cell>
          <cell r="E302" t="str">
            <v>ゲリラクエスト</v>
          </cell>
          <cell r="F302">
            <v>1</v>
          </cell>
          <cell r="G302" t="str">
            <v>ja</v>
          </cell>
          <cell r="H302" t="str">
            <v xml:space="preserve">【初級】メタルダックを捕獲せよ！ </v>
          </cell>
          <cell r="I302" t="str">
            <v>経験値ゲリラ</v>
          </cell>
          <cell r="J302">
            <v>334</v>
          </cell>
          <cell r="K302">
            <v>8</v>
          </cell>
          <cell r="L302">
            <v>140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201</v>
          </cell>
          <cell r="AD302">
            <v>6</v>
          </cell>
          <cell r="AE302" t="str">
            <v>everyone</v>
          </cell>
        </row>
        <row r="303">
          <cell r="A303" t="str">
            <v>12001_2</v>
          </cell>
          <cell r="B303">
            <v>3</v>
          </cell>
          <cell r="C303">
            <v>12001</v>
          </cell>
          <cell r="D303" t="str">
            <v>【緊急！！】 アヒル捕獲作戦</v>
          </cell>
          <cell r="E303" t="str">
            <v>ゲリラクエスト</v>
          </cell>
          <cell r="F303">
            <v>2</v>
          </cell>
          <cell r="G303" t="str">
            <v>ja</v>
          </cell>
          <cell r="H303" t="str">
            <v xml:space="preserve">【上級】メタルダックを捕獲せよ！ </v>
          </cell>
          <cell r="I303" t="str">
            <v>経験値ゲリラ</v>
          </cell>
          <cell r="J303">
            <v>334</v>
          </cell>
          <cell r="K303">
            <v>20</v>
          </cell>
          <cell r="L303">
            <v>350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201</v>
          </cell>
          <cell r="AD303">
            <v>6</v>
          </cell>
          <cell r="AE303" t="str">
            <v>everyone</v>
          </cell>
        </row>
        <row r="304">
          <cell r="A304" t="str">
            <v>12001_3</v>
          </cell>
          <cell r="B304">
            <v>3</v>
          </cell>
          <cell r="C304">
            <v>12001</v>
          </cell>
          <cell r="D304" t="str">
            <v>【緊急！！】 アヒル捕獲作戦</v>
          </cell>
          <cell r="E304" t="str">
            <v>ゲリラクエスト</v>
          </cell>
          <cell r="F304">
            <v>3</v>
          </cell>
          <cell r="G304" t="str">
            <v>ja</v>
          </cell>
          <cell r="H304" t="str">
            <v xml:space="preserve">【超級】メタルダックを捕獲せよ！ </v>
          </cell>
          <cell r="I304" t="str">
            <v>経験値ゲリラ</v>
          </cell>
          <cell r="J304">
            <v>334</v>
          </cell>
          <cell r="K304">
            <v>30</v>
          </cell>
          <cell r="L304">
            <v>444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0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7</v>
          </cell>
          <cell r="AD304">
            <v>6</v>
          </cell>
          <cell r="AE304" t="str">
            <v>everyone</v>
          </cell>
        </row>
        <row r="305">
          <cell r="A305" t="str">
            <v>12002_1</v>
          </cell>
          <cell r="B305">
            <v>3</v>
          </cell>
          <cell r="C305">
            <v>12002</v>
          </cell>
          <cell r="D305" t="str">
            <v>【マルチ専用1/2】 アヒル捕獲作戦</v>
          </cell>
          <cell r="E305" t="str">
            <v>ゲリラクエスト</v>
          </cell>
          <cell r="F305">
            <v>1</v>
          </cell>
          <cell r="G305" t="str">
            <v>ja</v>
          </cell>
          <cell r="H305" t="str">
            <v>【上級】メタルダックを捕獲せよ！</v>
          </cell>
          <cell r="I305" t="str">
            <v>経験値ゲリラ</v>
          </cell>
          <cell r="J305">
            <v>334</v>
          </cell>
          <cell r="K305">
            <v>10</v>
          </cell>
          <cell r="L305">
            <v>350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0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201</v>
          </cell>
          <cell r="AD305">
            <v>6</v>
          </cell>
          <cell r="AE305" t="str">
            <v>multionly</v>
          </cell>
        </row>
        <row r="306">
          <cell r="A306" t="str">
            <v>12002_2</v>
          </cell>
          <cell r="B306">
            <v>1</v>
          </cell>
          <cell r="C306">
            <v>12002</v>
          </cell>
          <cell r="D306" t="str">
            <v>【マルチ専用1/2】 アヒル捕獲作戦</v>
          </cell>
          <cell r="E306" t="str">
            <v>ゲリラクエスト</v>
          </cell>
          <cell r="F306">
            <v>2</v>
          </cell>
          <cell r="G306" t="str">
            <v>ja</v>
          </cell>
          <cell r="H306" t="str">
            <v xml:space="preserve">【超級】メタルダックを捕獲せよ！ </v>
          </cell>
          <cell r="I306" t="str">
            <v>経験値ゲリラ</v>
          </cell>
          <cell r="J306">
            <v>334</v>
          </cell>
          <cell r="K306">
            <v>15</v>
          </cell>
          <cell r="L306">
            <v>444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0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7</v>
          </cell>
          <cell r="AD306">
            <v>6</v>
          </cell>
          <cell r="AE306" t="str">
            <v>multionly</v>
          </cell>
        </row>
        <row r="307">
          <cell r="A307" t="str">
            <v>12003_1</v>
          </cell>
          <cell r="B307">
            <v>3</v>
          </cell>
          <cell r="C307">
            <v>12003</v>
          </cell>
          <cell r="D307" t="str">
            <v>【超緊急！！】メタルジェントルを追え</v>
          </cell>
          <cell r="E307" t="str">
            <v>ゲリラ【超級】</v>
          </cell>
          <cell r="F307">
            <v>1</v>
          </cell>
          <cell r="G307" t="str">
            <v>ja</v>
          </cell>
          <cell r="H307" t="str">
            <v>【超級】雷のジェントルを追え！</v>
          </cell>
          <cell r="I307" t="str">
            <v>超級ゲリラ</v>
          </cell>
          <cell r="J307">
            <v>347</v>
          </cell>
          <cell r="K307">
            <v>40</v>
          </cell>
          <cell r="L307">
            <v>500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12</v>
          </cell>
          <cell r="AD307">
            <v>6</v>
          </cell>
          <cell r="AE307" t="str">
            <v>singleonly</v>
          </cell>
        </row>
        <row r="308">
          <cell r="A308" t="str">
            <v>12003_2</v>
          </cell>
          <cell r="B308">
            <v>3</v>
          </cell>
          <cell r="C308">
            <v>12003</v>
          </cell>
          <cell r="D308" t="str">
            <v>【超緊急！！】メタルジェントルを追え</v>
          </cell>
          <cell r="E308" t="str">
            <v>ゲリラ【超級】</v>
          </cell>
          <cell r="F308">
            <v>2</v>
          </cell>
          <cell r="G308" t="str">
            <v>ja</v>
          </cell>
          <cell r="H308" t="str">
            <v>【超級】水のジェントルを追え！</v>
          </cell>
          <cell r="I308" t="str">
            <v>超級ゲリラ</v>
          </cell>
          <cell r="J308">
            <v>343</v>
          </cell>
          <cell r="K308">
            <v>40</v>
          </cell>
          <cell r="L308">
            <v>500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5</v>
          </cell>
          <cell r="AD308">
            <v>6</v>
          </cell>
          <cell r="AE308" t="str">
            <v>singleonly</v>
          </cell>
        </row>
        <row r="309">
          <cell r="A309" t="str">
            <v>12003_3</v>
          </cell>
          <cell r="B309">
            <v>3</v>
          </cell>
          <cell r="C309">
            <v>12003</v>
          </cell>
          <cell r="D309" t="str">
            <v>【超緊急！！】メタルジェントルを追え</v>
          </cell>
          <cell r="E309" t="str">
            <v>ゲリラ【超級】</v>
          </cell>
          <cell r="F309">
            <v>3</v>
          </cell>
          <cell r="G309" t="str">
            <v>ja</v>
          </cell>
          <cell r="H309" t="str">
            <v>【超級】森のジェントルを追え！</v>
          </cell>
          <cell r="I309" t="str">
            <v>超級ゲリラ</v>
          </cell>
          <cell r="J309">
            <v>339</v>
          </cell>
          <cell r="K309">
            <v>40</v>
          </cell>
          <cell r="L309">
            <v>500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7</v>
          </cell>
          <cell r="AD309">
            <v>6</v>
          </cell>
          <cell r="AE309" t="str">
            <v>singleonly</v>
          </cell>
        </row>
        <row r="310">
          <cell r="A310" t="str">
            <v>12003_4</v>
          </cell>
          <cell r="B310">
            <v>3</v>
          </cell>
          <cell r="C310">
            <v>12003</v>
          </cell>
          <cell r="D310" t="str">
            <v>【超緊急！！】メタルジェントルを追え</v>
          </cell>
          <cell r="E310" t="str">
            <v>ゲリラ【超級】</v>
          </cell>
          <cell r="F310">
            <v>4</v>
          </cell>
          <cell r="G310" t="str">
            <v>ja</v>
          </cell>
          <cell r="H310" t="str">
            <v>【超級】炎のジェントルを追え！</v>
          </cell>
          <cell r="I310" t="str">
            <v>超級ゲリラ</v>
          </cell>
          <cell r="J310">
            <v>335</v>
          </cell>
          <cell r="K310">
            <v>40</v>
          </cell>
          <cell r="L310">
            <v>500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none</v>
          </cell>
          <cell r="T310">
            <v>0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10</v>
          </cell>
          <cell r="AD310">
            <v>6</v>
          </cell>
          <cell r="AE310" t="str">
            <v>singleonly</v>
          </cell>
        </row>
        <row r="311">
          <cell r="A311" t="str">
            <v>12004_1</v>
          </cell>
          <cell r="B311">
            <v>3</v>
          </cell>
          <cell r="C311">
            <v>12004</v>
          </cell>
          <cell r="D311" t="str">
            <v>メタルフロッグをもとめて</v>
          </cell>
          <cell r="E311" t="str">
            <v>イベントクエスト</v>
          </cell>
          <cell r="F311">
            <v>1</v>
          </cell>
          <cell r="G311" t="str">
            <v>ja</v>
          </cell>
          <cell r="H311" t="str">
            <v>【上級】メタルフロッグをもとめて</v>
          </cell>
          <cell r="I311" t="str">
            <v>経験値イベント</v>
          </cell>
          <cell r="J311">
            <v>351</v>
          </cell>
          <cell r="K311">
            <v>20</v>
          </cell>
          <cell r="L311">
            <v>100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23</v>
          </cell>
          <cell r="AD311">
            <v>6</v>
          </cell>
          <cell r="AE311" t="str">
            <v>everyone</v>
          </cell>
        </row>
        <row r="312">
          <cell r="A312" t="str">
            <v>13001_1</v>
          </cell>
          <cell r="B312">
            <v>3</v>
          </cell>
          <cell r="C312">
            <v>13001</v>
          </cell>
          <cell r="D312" t="str">
            <v>チャレンジタワー(ソロ専用)</v>
          </cell>
          <cell r="E312" t="str">
            <v>試練の塔</v>
          </cell>
          <cell r="F312">
            <v>1</v>
          </cell>
          <cell r="G312" t="str">
            <v>ja</v>
          </cell>
          <cell r="H312" t="str">
            <v>チャレンジタワー 1F</v>
          </cell>
          <cell r="I312" t="str">
            <v>試練の塔</v>
          </cell>
          <cell r="J312">
            <v>345</v>
          </cell>
          <cell r="K312">
            <v>3</v>
          </cell>
          <cell r="L312">
            <v>120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character</v>
          </cell>
          <cell r="T312" t="str">
            <v>345,345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26</v>
          </cell>
          <cell r="AD312">
            <v>6</v>
          </cell>
          <cell r="AE312" t="str">
            <v>singleonly</v>
          </cell>
        </row>
        <row r="313">
          <cell r="A313" t="str">
            <v>13001_2</v>
          </cell>
          <cell r="B313">
            <v>3</v>
          </cell>
          <cell r="C313">
            <v>13001</v>
          </cell>
          <cell r="D313" t="str">
            <v>チャレンジタワー(ソロ専用)</v>
          </cell>
          <cell r="E313" t="str">
            <v>試練の塔</v>
          </cell>
          <cell r="F313">
            <v>2</v>
          </cell>
          <cell r="G313" t="str">
            <v>ja</v>
          </cell>
          <cell r="H313" t="str">
            <v>チャレンジタワー 2F</v>
          </cell>
          <cell r="I313" t="str">
            <v>試練の塔</v>
          </cell>
          <cell r="J313">
            <v>333</v>
          </cell>
          <cell r="K313">
            <v>4</v>
          </cell>
          <cell r="L313">
            <v>176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character</v>
          </cell>
          <cell r="T313" t="str">
            <v>333,333</v>
          </cell>
          <cell r="U313">
            <v>13001</v>
          </cell>
          <cell r="V313">
            <v>1</v>
          </cell>
          <cell r="W313" t="str">
            <v>チャレンジタワー 1F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26</v>
          </cell>
          <cell r="AD313">
            <v>6</v>
          </cell>
          <cell r="AE313" t="str">
            <v>singleonly</v>
          </cell>
        </row>
        <row r="314">
          <cell r="A314" t="str">
            <v>13001_3</v>
          </cell>
          <cell r="B314">
            <v>3</v>
          </cell>
          <cell r="C314">
            <v>13001</v>
          </cell>
          <cell r="D314" t="str">
            <v>チャレンジタワー(ソロ専用)</v>
          </cell>
          <cell r="E314" t="str">
            <v>試練の塔</v>
          </cell>
          <cell r="F314">
            <v>3</v>
          </cell>
          <cell r="G314" t="str">
            <v>ja</v>
          </cell>
          <cell r="H314" t="str">
            <v>チャレンジタワー 3F</v>
          </cell>
          <cell r="I314" t="str">
            <v>試練の塔</v>
          </cell>
          <cell r="J314">
            <v>337</v>
          </cell>
          <cell r="K314">
            <v>5</v>
          </cell>
          <cell r="L314">
            <v>242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character</v>
          </cell>
          <cell r="T314" t="str">
            <v>337,337</v>
          </cell>
          <cell r="U314">
            <v>13001</v>
          </cell>
          <cell r="V314">
            <v>2</v>
          </cell>
          <cell r="W314" t="str">
            <v>チャレンジタワー 2F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26</v>
          </cell>
          <cell r="AD314">
            <v>6</v>
          </cell>
          <cell r="AE314" t="str">
            <v>singleonly</v>
          </cell>
        </row>
        <row r="315">
          <cell r="A315" t="str">
            <v>13001_4</v>
          </cell>
          <cell r="B315">
            <v>3</v>
          </cell>
          <cell r="C315">
            <v>13001</v>
          </cell>
          <cell r="D315" t="str">
            <v>チャレンジタワー(ソロ専用)</v>
          </cell>
          <cell r="E315" t="str">
            <v>試練の塔</v>
          </cell>
          <cell r="F315">
            <v>4</v>
          </cell>
          <cell r="G315" t="str">
            <v>ja</v>
          </cell>
          <cell r="H315" t="str">
            <v>チャレンジタワー 4F</v>
          </cell>
          <cell r="I315" t="str">
            <v>試練の塔</v>
          </cell>
          <cell r="J315">
            <v>341</v>
          </cell>
          <cell r="K315">
            <v>7</v>
          </cell>
          <cell r="L315">
            <v>508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character</v>
          </cell>
          <cell r="T315" t="str">
            <v>341,341</v>
          </cell>
          <cell r="U315">
            <v>13001</v>
          </cell>
          <cell r="V315">
            <v>3</v>
          </cell>
          <cell r="W315" t="str">
            <v>チャレンジタワー 3F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26</v>
          </cell>
          <cell r="AD315">
            <v>6</v>
          </cell>
          <cell r="AE315" t="str">
            <v>singleonly</v>
          </cell>
        </row>
        <row r="316">
          <cell r="A316" t="str">
            <v>13001_5</v>
          </cell>
          <cell r="B316">
            <v>3</v>
          </cell>
          <cell r="C316">
            <v>13001</v>
          </cell>
          <cell r="D316" t="str">
            <v>チャレンジタワー(ソロ専用)</v>
          </cell>
          <cell r="E316" t="str">
            <v>試練の塔</v>
          </cell>
          <cell r="F316">
            <v>5</v>
          </cell>
          <cell r="G316" t="str">
            <v>ja</v>
          </cell>
          <cell r="H316" t="str">
            <v>チャレンジタワー 5F</v>
          </cell>
          <cell r="I316" t="str">
            <v>試練の塔</v>
          </cell>
          <cell r="J316">
            <v>333</v>
          </cell>
          <cell r="K316">
            <v>7</v>
          </cell>
          <cell r="L316">
            <v>280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character</v>
          </cell>
          <cell r="T316" t="str">
            <v>333,337,341,345</v>
          </cell>
          <cell r="U316">
            <v>13001</v>
          </cell>
          <cell r="V316">
            <v>4</v>
          </cell>
          <cell r="W316" t="str">
            <v>チャレンジタワー 4F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26</v>
          </cell>
          <cell r="AD316">
            <v>6</v>
          </cell>
          <cell r="AE316" t="str">
            <v>singleonly</v>
          </cell>
        </row>
        <row r="317">
          <cell r="A317" t="str">
            <v>13001_6</v>
          </cell>
          <cell r="B317">
            <v>3</v>
          </cell>
          <cell r="C317">
            <v>13001</v>
          </cell>
          <cell r="D317" t="str">
            <v>チャレンジタワー(ソロ専用)</v>
          </cell>
          <cell r="E317" t="str">
            <v>試練の塔</v>
          </cell>
          <cell r="F317">
            <v>6</v>
          </cell>
          <cell r="G317" t="str">
            <v>ja</v>
          </cell>
          <cell r="H317" t="str">
            <v>チャレンジタワー 6F</v>
          </cell>
          <cell r="I317" t="str">
            <v>試練の塔</v>
          </cell>
          <cell r="J317">
            <v>346</v>
          </cell>
          <cell r="K317">
            <v>8</v>
          </cell>
          <cell r="L317">
            <v>474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character</v>
          </cell>
          <cell r="T317" t="str">
            <v>346,345</v>
          </cell>
          <cell r="U317">
            <v>13001</v>
          </cell>
          <cell r="V317">
            <v>5</v>
          </cell>
          <cell r="W317" t="str">
            <v>チャレンジタワー 5F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26</v>
          </cell>
          <cell r="AD317">
            <v>6</v>
          </cell>
          <cell r="AE317" t="str">
            <v>singleonly</v>
          </cell>
        </row>
        <row r="318">
          <cell r="A318" t="str">
            <v>13001_7</v>
          </cell>
          <cell r="B318">
            <v>3</v>
          </cell>
          <cell r="C318">
            <v>13001</v>
          </cell>
          <cell r="D318" t="str">
            <v>チャレンジタワー(ソロ専用)</v>
          </cell>
          <cell r="E318" t="str">
            <v>試練の塔</v>
          </cell>
          <cell r="F318">
            <v>7</v>
          </cell>
          <cell r="G318" t="str">
            <v>ja</v>
          </cell>
          <cell r="H318" t="str">
            <v>チャレンジタワー 7F</v>
          </cell>
          <cell r="I318" t="str">
            <v>試練の塔</v>
          </cell>
          <cell r="J318">
            <v>342</v>
          </cell>
          <cell r="K318">
            <v>8</v>
          </cell>
          <cell r="L318">
            <v>486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character</v>
          </cell>
          <cell r="T318" t="str">
            <v>342,341</v>
          </cell>
          <cell r="U318">
            <v>13001</v>
          </cell>
          <cell r="V318">
            <v>6</v>
          </cell>
          <cell r="W318" t="str">
            <v>チャレンジタワー 6F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26</v>
          </cell>
          <cell r="AD318">
            <v>6</v>
          </cell>
          <cell r="AE318" t="str">
            <v>singleonly</v>
          </cell>
        </row>
        <row r="319">
          <cell r="A319" t="str">
            <v>13001_8</v>
          </cell>
          <cell r="B319">
            <v>3</v>
          </cell>
          <cell r="C319">
            <v>13001</v>
          </cell>
          <cell r="D319" t="str">
            <v>チャレンジタワー(ソロ専用)</v>
          </cell>
          <cell r="E319" t="str">
            <v>試練の塔</v>
          </cell>
          <cell r="F319">
            <v>8</v>
          </cell>
          <cell r="G319" t="str">
            <v>ja</v>
          </cell>
          <cell r="H319" t="str">
            <v>チャレンジタワー 8F</v>
          </cell>
          <cell r="I319" t="str">
            <v>試練の塔</v>
          </cell>
          <cell r="J319">
            <v>334</v>
          </cell>
          <cell r="K319">
            <v>10</v>
          </cell>
          <cell r="L319">
            <v>1006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character</v>
          </cell>
          <cell r="T319" t="str">
            <v>334,333</v>
          </cell>
          <cell r="U319">
            <v>13001</v>
          </cell>
          <cell r="V319">
            <v>7</v>
          </cell>
          <cell r="W319" t="str">
            <v>チャレンジタワー 7F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26</v>
          </cell>
          <cell r="AD319">
            <v>6</v>
          </cell>
          <cell r="AE319" t="str">
            <v>singleonly</v>
          </cell>
        </row>
        <row r="320">
          <cell r="A320" t="str">
            <v>13001_9</v>
          </cell>
          <cell r="B320">
            <v>3</v>
          </cell>
          <cell r="C320">
            <v>13001</v>
          </cell>
          <cell r="D320" t="str">
            <v>チャレンジタワー(ソロ専用)</v>
          </cell>
          <cell r="E320" t="str">
            <v>試練の塔</v>
          </cell>
          <cell r="F320">
            <v>9</v>
          </cell>
          <cell r="G320" t="str">
            <v>ja</v>
          </cell>
          <cell r="H320" t="str">
            <v>チャレンジタワー 9F</v>
          </cell>
          <cell r="I320" t="str">
            <v>試練の塔</v>
          </cell>
          <cell r="J320">
            <v>338</v>
          </cell>
          <cell r="K320">
            <v>10</v>
          </cell>
          <cell r="L320">
            <v>702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3</v>
          </cell>
          <cell r="S320" t="str">
            <v>character</v>
          </cell>
          <cell r="T320" t="str">
            <v>337,337,338</v>
          </cell>
          <cell r="U320">
            <v>13001</v>
          </cell>
          <cell r="V320">
            <v>8</v>
          </cell>
          <cell r="W320" t="str">
            <v>チャレンジタワー 8F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26</v>
          </cell>
          <cell r="AD320">
            <v>6</v>
          </cell>
          <cell r="AE320" t="str">
            <v>singleonly</v>
          </cell>
        </row>
        <row r="321">
          <cell r="A321" t="str">
            <v>13001_10</v>
          </cell>
          <cell r="B321">
            <v>3</v>
          </cell>
          <cell r="C321">
            <v>13001</v>
          </cell>
          <cell r="D321" t="str">
            <v>チャレンジタワー(ソロ専用)</v>
          </cell>
          <cell r="E321" t="str">
            <v>試練の塔</v>
          </cell>
          <cell r="F321">
            <v>10</v>
          </cell>
          <cell r="G321" t="str">
            <v>ja</v>
          </cell>
          <cell r="H321" t="str">
            <v>チャレンジタワー 10F</v>
          </cell>
          <cell r="I321" t="str">
            <v>試練の塔</v>
          </cell>
          <cell r="J321">
            <v>346</v>
          </cell>
          <cell r="K321">
            <v>11</v>
          </cell>
          <cell r="L321">
            <v>788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3</v>
          </cell>
          <cell r="S321" t="str">
            <v>character</v>
          </cell>
          <cell r="T321" t="str">
            <v>346,333,337,341</v>
          </cell>
          <cell r="U321">
            <v>13001</v>
          </cell>
          <cell r="V321">
            <v>9</v>
          </cell>
          <cell r="W321" t="str">
            <v>チャレンジタワー 9F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26</v>
          </cell>
          <cell r="AD321">
            <v>6</v>
          </cell>
          <cell r="AE321" t="str">
            <v>singleonly</v>
          </cell>
        </row>
        <row r="322">
          <cell r="A322" t="str">
            <v>13001_11</v>
          </cell>
          <cell r="B322">
            <v>3</v>
          </cell>
          <cell r="C322">
            <v>13001</v>
          </cell>
          <cell r="D322" t="str">
            <v>チャレンジタワー(ソロ専用)</v>
          </cell>
          <cell r="E322" t="str">
            <v>試練の塔</v>
          </cell>
          <cell r="F322">
            <v>11</v>
          </cell>
          <cell r="G322" t="str">
            <v>ja</v>
          </cell>
          <cell r="H322" t="str">
            <v>チャレンジタワー 11F</v>
          </cell>
          <cell r="I322" t="str">
            <v>試練の塔</v>
          </cell>
          <cell r="J322">
            <v>346</v>
          </cell>
          <cell r="K322">
            <v>12</v>
          </cell>
          <cell r="L322">
            <v>936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character</v>
          </cell>
          <cell r="T322" t="str">
            <v>346,346</v>
          </cell>
          <cell r="U322">
            <v>13001</v>
          </cell>
          <cell r="V322">
            <v>10</v>
          </cell>
          <cell r="W322" t="str">
            <v>チャレンジタワー 10F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26</v>
          </cell>
          <cell r="AD322">
            <v>6</v>
          </cell>
          <cell r="AE322" t="str">
            <v>singleonly</v>
          </cell>
        </row>
        <row r="323">
          <cell r="A323" t="str">
            <v>13001_12</v>
          </cell>
          <cell r="B323">
            <v>3</v>
          </cell>
          <cell r="C323">
            <v>13001</v>
          </cell>
          <cell r="D323" t="str">
            <v>チャレンジタワー(ソロ専用)</v>
          </cell>
          <cell r="E323" t="str">
            <v>試練の塔</v>
          </cell>
          <cell r="F323">
            <v>12</v>
          </cell>
          <cell r="G323" t="str">
            <v>ja</v>
          </cell>
          <cell r="H323" t="str">
            <v>チャレンジタワー 12F</v>
          </cell>
          <cell r="I323" t="str">
            <v>試練の塔</v>
          </cell>
          <cell r="J323">
            <v>342</v>
          </cell>
          <cell r="K323">
            <v>13</v>
          </cell>
          <cell r="L323">
            <v>1601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character</v>
          </cell>
          <cell r="T323" t="str">
            <v>342,342</v>
          </cell>
          <cell r="U323">
            <v>13001</v>
          </cell>
          <cell r="V323">
            <v>11</v>
          </cell>
          <cell r="W323" t="str">
            <v>チャレンジタワー 11F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26</v>
          </cell>
          <cell r="AD323">
            <v>6</v>
          </cell>
          <cell r="AE323" t="str">
            <v>singleonly</v>
          </cell>
        </row>
        <row r="324">
          <cell r="A324" t="str">
            <v>13001_13</v>
          </cell>
          <cell r="B324">
            <v>3</v>
          </cell>
          <cell r="C324">
            <v>13001</v>
          </cell>
          <cell r="D324" t="str">
            <v>チャレンジタワー(ソロ専用)</v>
          </cell>
          <cell r="E324" t="str">
            <v>試練の塔</v>
          </cell>
          <cell r="F324">
            <v>13</v>
          </cell>
          <cell r="G324" t="str">
            <v>ja</v>
          </cell>
          <cell r="H324" t="str">
            <v>チャレンジタワー 13F</v>
          </cell>
          <cell r="I324" t="str">
            <v>試練の塔</v>
          </cell>
          <cell r="J324">
            <v>338</v>
          </cell>
          <cell r="K324">
            <v>14</v>
          </cell>
          <cell r="L324">
            <v>945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character</v>
          </cell>
          <cell r="T324" t="str">
            <v>338,338</v>
          </cell>
          <cell r="U324">
            <v>13001</v>
          </cell>
          <cell r="V324">
            <v>12</v>
          </cell>
          <cell r="W324" t="str">
            <v>チャレンジタワー 12F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26</v>
          </cell>
          <cell r="AD324">
            <v>6</v>
          </cell>
          <cell r="AE324" t="str">
            <v>singleonly</v>
          </cell>
        </row>
        <row r="325">
          <cell r="A325" t="str">
            <v>13001_14</v>
          </cell>
          <cell r="B325">
            <v>3</v>
          </cell>
          <cell r="C325">
            <v>13001</v>
          </cell>
          <cell r="D325" t="str">
            <v>チャレンジタワー(ソロ専用)</v>
          </cell>
          <cell r="E325" t="str">
            <v>試練の塔</v>
          </cell>
          <cell r="F325">
            <v>14</v>
          </cell>
          <cell r="G325" t="str">
            <v>ja</v>
          </cell>
          <cell r="H325" t="str">
            <v>チャレンジタワー 14F</v>
          </cell>
          <cell r="I325" t="str">
            <v>試練の塔</v>
          </cell>
          <cell r="J325">
            <v>334</v>
          </cell>
          <cell r="K325">
            <v>14</v>
          </cell>
          <cell r="L325">
            <v>1188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character</v>
          </cell>
          <cell r="T325" t="str">
            <v>334,334</v>
          </cell>
          <cell r="U325">
            <v>13001</v>
          </cell>
          <cell r="V325">
            <v>13</v>
          </cell>
          <cell r="W325" t="str">
            <v>チャレンジタワー 13F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26</v>
          </cell>
          <cell r="AD325">
            <v>6</v>
          </cell>
          <cell r="AE325" t="str">
            <v>singleonly</v>
          </cell>
        </row>
        <row r="326">
          <cell r="A326" t="str">
            <v>13001_15</v>
          </cell>
          <cell r="B326">
            <v>3</v>
          </cell>
          <cell r="C326">
            <v>13001</v>
          </cell>
          <cell r="D326" t="str">
            <v>チャレンジタワー(ソロ専用)</v>
          </cell>
          <cell r="E326" t="str">
            <v>試練の塔</v>
          </cell>
          <cell r="F326">
            <v>15</v>
          </cell>
          <cell r="G326" t="str">
            <v>ja</v>
          </cell>
          <cell r="H326" t="str">
            <v>チャレンジタワー 15F</v>
          </cell>
          <cell r="I326" t="str">
            <v>試練の塔</v>
          </cell>
          <cell r="J326">
            <v>316</v>
          </cell>
          <cell r="K326">
            <v>14</v>
          </cell>
          <cell r="L326">
            <v>1008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character</v>
          </cell>
          <cell r="T326" t="str">
            <v>316</v>
          </cell>
          <cell r="U326">
            <v>13001</v>
          </cell>
          <cell r="V326">
            <v>14</v>
          </cell>
          <cell r="W326" t="str">
            <v>チャレンジタワー 14F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26</v>
          </cell>
          <cell r="AD326">
            <v>6</v>
          </cell>
          <cell r="AE326" t="str">
            <v>singleonly</v>
          </cell>
        </row>
        <row r="327">
          <cell r="A327" t="str">
            <v>13001_16</v>
          </cell>
          <cell r="B327">
            <v>3</v>
          </cell>
          <cell r="C327">
            <v>13001</v>
          </cell>
          <cell r="D327" t="str">
            <v>チャレンジタワー(ソロ専用)</v>
          </cell>
          <cell r="E327" t="str">
            <v>試練の塔</v>
          </cell>
          <cell r="F327">
            <v>16</v>
          </cell>
          <cell r="G327" t="str">
            <v>ja</v>
          </cell>
          <cell r="H327" t="str">
            <v>チャレンジタワー 16F</v>
          </cell>
          <cell r="I327" t="str">
            <v>試練の塔</v>
          </cell>
          <cell r="J327">
            <v>338</v>
          </cell>
          <cell r="K327">
            <v>16</v>
          </cell>
          <cell r="L327">
            <v>2573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character</v>
          </cell>
          <cell r="T327" t="str">
            <v>338,338,337</v>
          </cell>
          <cell r="U327">
            <v>13001</v>
          </cell>
          <cell r="V327">
            <v>15</v>
          </cell>
          <cell r="W327" t="str">
            <v>チャレンジタワー 15F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26</v>
          </cell>
          <cell r="AD327">
            <v>6</v>
          </cell>
          <cell r="AE327" t="str">
            <v>singleonly</v>
          </cell>
        </row>
        <row r="328">
          <cell r="A328" t="str">
            <v>13001_17</v>
          </cell>
          <cell r="B328">
            <v>3</v>
          </cell>
          <cell r="C328">
            <v>13001</v>
          </cell>
          <cell r="D328" t="str">
            <v>チャレンジタワー(ソロ専用)</v>
          </cell>
          <cell r="E328" t="str">
            <v>試練の塔</v>
          </cell>
          <cell r="F328">
            <v>17</v>
          </cell>
          <cell r="G328" t="str">
            <v>ja</v>
          </cell>
          <cell r="H328" t="str">
            <v>チャレンジタワー 17F</v>
          </cell>
          <cell r="I328" t="str">
            <v>試練の塔</v>
          </cell>
          <cell r="J328">
            <v>346</v>
          </cell>
          <cell r="K328">
            <v>16</v>
          </cell>
          <cell r="L328">
            <v>1568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character</v>
          </cell>
          <cell r="T328" t="str">
            <v>346,346,345</v>
          </cell>
          <cell r="U328">
            <v>13001</v>
          </cell>
          <cell r="V328">
            <v>16</v>
          </cell>
          <cell r="W328" t="str">
            <v>チャレンジタワー 16F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26</v>
          </cell>
          <cell r="AD328">
            <v>6</v>
          </cell>
          <cell r="AE328" t="str">
            <v>singleonly</v>
          </cell>
        </row>
        <row r="329">
          <cell r="A329" t="str">
            <v>13001_18</v>
          </cell>
          <cell r="B329">
            <v>3</v>
          </cell>
          <cell r="C329">
            <v>13001</v>
          </cell>
          <cell r="D329" t="str">
            <v>チャレンジタワー(ソロ専用)</v>
          </cell>
          <cell r="E329" t="str">
            <v>試練の塔</v>
          </cell>
          <cell r="F329">
            <v>18</v>
          </cell>
          <cell r="G329" t="str">
            <v>ja</v>
          </cell>
          <cell r="H329" t="str">
            <v>チャレンジタワー 18F</v>
          </cell>
          <cell r="I329" t="str">
            <v>試練の塔</v>
          </cell>
          <cell r="J329">
            <v>334</v>
          </cell>
          <cell r="K329">
            <v>17</v>
          </cell>
          <cell r="L329">
            <v>1821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character</v>
          </cell>
          <cell r="T329" t="str">
            <v>334,334,333</v>
          </cell>
          <cell r="U329">
            <v>13001</v>
          </cell>
          <cell r="V329">
            <v>17</v>
          </cell>
          <cell r="W329" t="str">
            <v>チャレンジタワー 17F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26</v>
          </cell>
          <cell r="AD329">
            <v>6</v>
          </cell>
          <cell r="AE329" t="str">
            <v>singleonly</v>
          </cell>
        </row>
        <row r="330">
          <cell r="A330" t="str">
            <v>13001_19</v>
          </cell>
          <cell r="B330">
            <v>3</v>
          </cell>
          <cell r="C330">
            <v>13001</v>
          </cell>
          <cell r="D330" t="str">
            <v>チャレンジタワー(ソロ専用)</v>
          </cell>
          <cell r="E330" t="str">
            <v>試練の塔</v>
          </cell>
          <cell r="F330">
            <v>19</v>
          </cell>
          <cell r="G330" t="str">
            <v>ja</v>
          </cell>
          <cell r="H330" t="str">
            <v>チャレンジタワー 19F</v>
          </cell>
          <cell r="I330" t="str">
            <v>試練の塔</v>
          </cell>
          <cell r="J330">
            <v>342</v>
          </cell>
          <cell r="K330">
            <v>18</v>
          </cell>
          <cell r="L330">
            <v>2108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character</v>
          </cell>
          <cell r="T330" t="str">
            <v>342,342,341</v>
          </cell>
          <cell r="U330">
            <v>13001</v>
          </cell>
          <cell r="V330">
            <v>18</v>
          </cell>
          <cell r="W330" t="str">
            <v>チャレンジタワー 18F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26</v>
          </cell>
          <cell r="AD330">
            <v>6</v>
          </cell>
          <cell r="AE330" t="str">
            <v>singleonly</v>
          </cell>
        </row>
        <row r="331">
          <cell r="A331" t="str">
            <v>13001_20</v>
          </cell>
          <cell r="B331">
            <v>3</v>
          </cell>
          <cell r="C331">
            <v>13001</v>
          </cell>
          <cell r="D331" t="str">
            <v>チャレンジタワー(ソロ専用)</v>
          </cell>
          <cell r="E331" t="str">
            <v>試練の塔</v>
          </cell>
          <cell r="F331">
            <v>20</v>
          </cell>
          <cell r="G331" t="str">
            <v>ja</v>
          </cell>
          <cell r="H331" t="str">
            <v>チャレンジタワー 20F</v>
          </cell>
          <cell r="I331" t="str">
            <v>試練の塔</v>
          </cell>
          <cell r="J331">
            <v>318</v>
          </cell>
          <cell r="K331">
            <v>18</v>
          </cell>
          <cell r="L331">
            <v>1620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character</v>
          </cell>
          <cell r="T331" t="str">
            <v>318</v>
          </cell>
          <cell r="U331">
            <v>13001</v>
          </cell>
          <cell r="V331">
            <v>19</v>
          </cell>
          <cell r="W331" t="str">
            <v>チャレンジタワー 19F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26</v>
          </cell>
          <cell r="AD331">
            <v>6</v>
          </cell>
          <cell r="AE331" t="str">
            <v>singleonly</v>
          </cell>
        </row>
        <row r="332">
          <cell r="A332" t="str">
            <v>13001_21</v>
          </cell>
          <cell r="B332">
            <v>3</v>
          </cell>
          <cell r="C332">
            <v>13001</v>
          </cell>
          <cell r="D332" t="str">
            <v>チャレンジタワー(ソロ専用)</v>
          </cell>
          <cell r="E332" t="str">
            <v>試練の塔</v>
          </cell>
          <cell r="F332">
            <v>21</v>
          </cell>
          <cell r="G332" t="str">
            <v>ja</v>
          </cell>
          <cell r="H332" t="str">
            <v>チャレンジタワー 21F</v>
          </cell>
          <cell r="I332" t="str">
            <v>試練の塔</v>
          </cell>
          <cell r="J332" t="str">
            <v>335</v>
          </cell>
          <cell r="K332">
            <v>18</v>
          </cell>
          <cell r="L332">
            <v>1620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character</v>
          </cell>
          <cell r="T332" t="str">
            <v>334,335,335</v>
          </cell>
          <cell r="U332">
            <v>13001</v>
          </cell>
          <cell r="V332">
            <v>20</v>
          </cell>
          <cell r="W332" t="str">
            <v>チャレンジタワー 20F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26</v>
          </cell>
          <cell r="AD332">
            <v>6</v>
          </cell>
          <cell r="AE332" t="str">
            <v>singleonly</v>
          </cell>
        </row>
        <row r="333">
          <cell r="A333" t="str">
            <v>13001_22</v>
          </cell>
          <cell r="B333">
            <v>3</v>
          </cell>
          <cell r="C333">
            <v>13001</v>
          </cell>
          <cell r="D333" t="str">
            <v>チャレンジタワー(ソロ専用)</v>
          </cell>
          <cell r="E333" t="str">
            <v>試練の塔</v>
          </cell>
          <cell r="F333">
            <v>22</v>
          </cell>
          <cell r="G333" t="str">
            <v>ja</v>
          </cell>
          <cell r="H333" t="str">
            <v>チャレンジタワー 22F</v>
          </cell>
          <cell r="I333" t="str">
            <v>試練の塔</v>
          </cell>
          <cell r="J333" t="str">
            <v>339</v>
          </cell>
          <cell r="K333">
            <v>18</v>
          </cell>
          <cell r="L333">
            <v>1620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character</v>
          </cell>
          <cell r="T333" t="str">
            <v>338,339,339</v>
          </cell>
          <cell r="U333">
            <v>13001</v>
          </cell>
          <cell r="V333">
            <v>21</v>
          </cell>
          <cell r="W333" t="str">
            <v>チャレンジタワー 21F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26</v>
          </cell>
          <cell r="AD333">
            <v>6</v>
          </cell>
          <cell r="AE333" t="str">
            <v>singleonly</v>
          </cell>
        </row>
        <row r="334">
          <cell r="A334" t="str">
            <v>13001_23</v>
          </cell>
          <cell r="B334">
            <v>3</v>
          </cell>
          <cell r="C334">
            <v>13001</v>
          </cell>
          <cell r="D334" t="str">
            <v>チャレンジタワー(ソロ専用)</v>
          </cell>
          <cell r="E334" t="str">
            <v>試練の塔</v>
          </cell>
          <cell r="F334">
            <v>23</v>
          </cell>
          <cell r="G334" t="str">
            <v>ja</v>
          </cell>
          <cell r="H334" t="str">
            <v>チャレンジタワー 23F</v>
          </cell>
          <cell r="I334" t="str">
            <v>試練の塔</v>
          </cell>
          <cell r="J334" t="str">
            <v>347</v>
          </cell>
          <cell r="K334">
            <v>20</v>
          </cell>
          <cell r="L334">
            <v>1821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character</v>
          </cell>
          <cell r="T334" t="str">
            <v>346,347,347</v>
          </cell>
          <cell r="U334">
            <v>13001</v>
          </cell>
          <cell r="V334">
            <v>22</v>
          </cell>
          <cell r="W334" t="str">
            <v>チャレンジタワー 22F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26</v>
          </cell>
          <cell r="AD334">
            <v>6</v>
          </cell>
          <cell r="AE334" t="str">
            <v>singleonly</v>
          </cell>
        </row>
        <row r="335">
          <cell r="A335" t="str">
            <v>13001_24</v>
          </cell>
          <cell r="B335">
            <v>3</v>
          </cell>
          <cell r="C335">
            <v>13001</v>
          </cell>
          <cell r="D335" t="str">
            <v>チャレンジタワー(ソロ専用)</v>
          </cell>
          <cell r="E335" t="str">
            <v>試練の塔</v>
          </cell>
          <cell r="F335">
            <v>24</v>
          </cell>
          <cell r="G335" t="str">
            <v>ja</v>
          </cell>
          <cell r="H335" t="str">
            <v>チャレンジタワー 24F</v>
          </cell>
          <cell r="I335" t="str">
            <v>試練の塔</v>
          </cell>
          <cell r="J335" t="str">
            <v>343</v>
          </cell>
          <cell r="K335">
            <v>20</v>
          </cell>
          <cell r="L335">
            <v>2871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character</v>
          </cell>
          <cell r="T335" t="str">
            <v>342,343,343</v>
          </cell>
          <cell r="U335">
            <v>13001</v>
          </cell>
          <cell r="V335">
            <v>23</v>
          </cell>
          <cell r="W335" t="str">
            <v>チャレンジタワー 23F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26</v>
          </cell>
          <cell r="AD335">
            <v>6</v>
          </cell>
          <cell r="AE335" t="str">
            <v>singleonly</v>
          </cell>
        </row>
        <row r="336">
          <cell r="A336" t="str">
            <v>13001_25</v>
          </cell>
          <cell r="B336">
            <v>3</v>
          </cell>
          <cell r="C336">
            <v>13001</v>
          </cell>
          <cell r="D336" t="str">
            <v>チャレンジタワー(ソロ専用)</v>
          </cell>
          <cell r="E336" t="str">
            <v>試練の塔</v>
          </cell>
          <cell r="F336">
            <v>25</v>
          </cell>
          <cell r="G336" t="str">
            <v>ja</v>
          </cell>
          <cell r="H336" t="str">
            <v>チャレンジタワー 25F</v>
          </cell>
          <cell r="I336" t="str">
            <v>試練の塔</v>
          </cell>
          <cell r="J336" t="str">
            <v>368</v>
          </cell>
          <cell r="K336">
            <v>22</v>
          </cell>
          <cell r="L336">
            <v>3740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character</v>
          </cell>
          <cell r="T336" t="str">
            <v>368</v>
          </cell>
          <cell r="U336">
            <v>13001</v>
          </cell>
          <cell r="V336">
            <v>24</v>
          </cell>
          <cell r="W336" t="str">
            <v>チャレンジタワー 24F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26</v>
          </cell>
          <cell r="AD336">
            <v>6</v>
          </cell>
          <cell r="AE336" t="str">
            <v>singleonly</v>
          </cell>
        </row>
        <row r="337">
          <cell r="A337" t="str">
            <v>13101_1</v>
          </cell>
          <cell r="B337">
            <v>1</v>
          </cell>
          <cell r="C337">
            <v>13101</v>
          </cell>
          <cell r="D337" t="str">
            <v>チャレンジタワー</v>
          </cell>
          <cell r="E337" t="str">
            <v>リセット型チャレンジタワー</v>
          </cell>
          <cell r="F337">
            <v>1</v>
          </cell>
          <cell r="G337" t="str">
            <v>ja</v>
          </cell>
          <cell r="H337" t="str">
            <v>チャレンジタワー 1F</v>
          </cell>
          <cell r="I337" t="str">
            <v>試練の塔</v>
          </cell>
          <cell r="J337">
            <v>345</v>
          </cell>
          <cell r="K337">
            <v>3</v>
          </cell>
          <cell r="L337">
            <v>120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character</v>
          </cell>
          <cell r="T337" t="str">
            <v>345,345</v>
          </cell>
          <cell r="U337" t="str">
            <v>NULL</v>
          </cell>
          <cell r="V337" t="str">
            <v>NULL</v>
          </cell>
          <cell r="W337" t="str">
            <v/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26</v>
          </cell>
          <cell r="AD337">
            <v>6</v>
          </cell>
          <cell r="AE337" t="str">
            <v>singleonly</v>
          </cell>
        </row>
        <row r="338">
          <cell r="A338" t="str">
            <v>13101_2</v>
          </cell>
          <cell r="B338">
            <v>1</v>
          </cell>
          <cell r="C338">
            <v>13101</v>
          </cell>
          <cell r="D338" t="str">
            <v>チャレンジタワー</v>
          </cell>
          <cell r="E338" t="str">
            <v>リセット型チャレンジタワー</v>
          </cell>
          <cell r="F338">
            <v>2</v>
          </cell>
          <cell r="G338" t="str">
            <v>ja</v>
          </cell>
          <cell r="H338" t="str">
            <v>チャレンジタワー 2F</v>
          </cell>
          <cell r="I338" t="str">
            <v>試練の塔</v>
          </cell>
          <cell r="J338">
            <v>333</v>
          </cell>
          <cell r="K338">
            <v>4</v>
          </cell>
          <cell r="L338">
            <v>176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character</v>
          </cell>
          <cell r="T338" t="str">
            <v>333,333</v>
          </cell>
          <cell r="U338">
            <v>13101</v>
          </cell>
          <cell r="V338">
            <v>1</v>
          </cell>
          <cell r="W338" t="str">
            <v>チャレンジタワー 1F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26</v>
          </cell>
          <cell r="AD338">
            <v>6</v>
          </cell>
          <cell r="AE338" t="str">
            <v>singleonly</v>
          </cell>
        </row>
        <row r="339">
          <cell r="A339" t="str">
            <v>13101_3</v>
          </cell>
          <cell r="B339">
            <v>1</v>
          </cell>
          <cell r="C339">
            <v>13101</v>
          </cell>
          <cell r="D339" t="str">
            <v>チャレンジタワー</v>
          </cell>
          <cell r="E339" t="str">
            <v>リセット型チャレンジタワー</v>
          </cell>
          <cell r="F339">
            <v>3</v>
          </cell>
          <cell r="G339" t="str">
            <v>ja</v>
          </cell>
          <cell r="H339" t="str">
            <v>チャレンジタワー 3F</v>
          </cell>
          <cell r="I339" t="str">
            <v>試練の塔</v>
          </cell>
          <cell r="J339">
            <v>337</v>
          </cell>
          <cell r="K339">
            <v>5</v>
          </cell>
          <cell r="L339">
            <v>242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character</v>
          </cell>
          <cell r="T339" t="str">
            <v>337,337</v>
          </cell>
          <cell r="U339">
            <v>13101</v>
          </cell>
          <cell r="V339">
            <v>2</v>
          </cell>
          <cell r="W339" t="str">
            <v>チャレンジタワー 2F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26</v>
          </cell>
          <cell r="AD339">
            <v>6</v>
          </cell>
          <cell r="AE339" t="str">
            <v>singleonly</v>
          </cell>
        </row>
        <row r="340">
          <cell r="A340" t="str">
            <v>13101_4</v>
          </cell>
          <cell r="B340">
            <v>1</v>
          </cell>
          <cell r="C340">
            <v>13101</v>
          </cell>
          <cell r="D340" t="str">
            <v>チャレンジタワー</v>
          </cell>
          <cell r="E340" t="str">
            <v>リセット型チャレンジタワー</v>
          </cell>
          <cell r="F340">
            <v>4</v>
          </cell>
          <cell r="G340" t="str">
            <v>ja</v>
          </cell>
          <cell r="H340" t="str">
            <v>チャレンジタワー 4F</v>
          </cell>
          <cell r="I340" t="str">
            <v>試練の塔</v>
          </cell>
          <cell r="J340">
            <v>341</v>
          </cell>
          <cell r="K340">
            <v>7</v>
          </cell>
          <cell r="L340">
            <v>508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character</v>
          </cell>
          <cell r="T340" t="str">
            <v>341,341</v>
          </cell>
          <cell r="U340">
            <v>13101</v>
          </cell>
          <cell r="V340">
            <v>3</v>
          </cell>
          <cell r="W340" t="str">
            <v>チャレンジタワー 3F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26</v>
          </cell>
          <cell r="AD340">
            <v>6</v>
          </cell>
          <cell r="AE340" t="str">
            <v>singleonly</v>
          </cell>
        </row>
        <row r="341">
          <cell r="A341" t="str">
            <v>13101_5</v>
          </cell>
          <cell r="B341">
            <v>1</v>
          </cell>
          <cell r="C341">
            <v>13101</v>
          </cell>
          <cell r="D341" t="str">
            <v>チャレンジタワー</v>
          </cell>
          <cell r="E341" t="str">
            <v>リセット型チャレンジタワー</v>
          </cell>
          <cell r="F341">
            <v>5</v>
          </cell>
          <cell r="G341" t="str">
            <v>ja</v>
          </cell>
          <cell r="H341" t="str">
            <v>チャレンジタワー 5F</v>
          </cell>
          <cell r="I341" t="str">
            <v>試練の塔</v>
          </cell>
          <cell r="J341">
            <v>333</v>
          </cell>
          <cell r="K341">
            <v>7</v>
          </cell>
          <cell r="L341">
            <v>280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character</v>
          </cell>
          <cell r="T341" t="str">
            <v>333,337,341,345</v>
          </cell>
          <cell r="U341">
            <v>13101</v>
          </cell>
          <cell r="V341">
            <v>4</v>
          </cell>
          <cell r="W341" t="str">
            <v>チャレンジタワー 4F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26</v>
          </cell>
          <cell r="AD341">
            <v>6</v>
          </cell>
          <cell r="AE341" t="str">
            <v>singleonly</v>
          </cell>
        </row>
        <row r="342">
          <cell r="A342" t="str">
            <v>13101_6</v>
          </cell>
          <cell r="B342">
            <v>1</v>
          </cell>
          <cell r="C342">
            <v>13101</v>
          </cell>
          <cell r="D342" t="str">
            <v>チャレンジタワー</v>
          </cell>
          <cell r="E342" t="str">
            <v>リセット型チャレンジタワー</v>
          </cell>
          <cell r="F342">
            <v>6</v>
          </cell>
          <cell r="G342" t="str">
            <v>ja</v>
          </cell>
          <cell r="H342" t="str">
            <v>チャレンジタワー 6F</v>
          </cell>
          <cell r="I342" t="str">
            <v>試練の塔</v>
          </cell>
          <cell r="J342">
            <v>346</v>
          </cell>
          <cell r="K342">
            <v>8</v>
          </cell>
          <cell r="L342">
            <v>474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character</v>
          </cell>
          <cell r="T342" t="str">
            <v>346,345</v>
          </cell>
          <cell r="U342">
            <v>13101</v>
          </cell>
          <cell r="V342">
            <v>5</v>
          </cell>
          <cell r="W342" t="str">
            <v>チャレンジタワー 5F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26</v>
          </cell>
          <cell r="AD342">
            <v>6</v>
          </cell>
          <cell r="AE342" t="str">
            <v>singleonly</v>
          </cell>
        </row>
        <row r="343">
          <cell r="A343" t="str">
            <v>13101_7</v>
          </cell>
          <cell r="B343">
            <v>1</v>
          </cell>
          <cell r="C343">
            <v>13101</v>
          </cell>
          <cell r="D343" t="str">
            <v>チャレンジタワー</v>
          </cell>
          <cell r="E343" t="str">
            <v>リセット型チャレンジタワー</v>
          </cell>
          <cell r="F343">
            <v>7</v>
          </cell>
          <cell r="G343" t="str">
            <v>ja</v>
          </cell>
          <cell r="H343" t="str">
            <v>チャレンジタワー 7F</v>
          </cell>
          <cell r="I343" t="str">
            <v>試練の塔</v>
          </cell>
          <cell r="J343">
            <v>342</v>
          </cell>
          <cell r="K343">
            <v>8</v>
          </cell>
          <cell r="L343">
            <v>486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character</v>
          </cell>
          <cell r="T343" t="str">
            <v>342,341</v>
          </cell>
          <cell r="U343">
            <v>13101</v>
          </cell>
          <cell r="V343">
            <v>6</v>
          </cell>
          <cell r="W343" t="str">
            <v>チャレンジタワー 6F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26</v>
          </cell>
          <cell r="AD343">
            <v>6</v>
          </cell>
          <cell r="AE343" t="str">
            <v>singleonly</v>
          </cell>
        </row>
        <row r="344">
          <cell r="A344" t="str">
            <v>13101_8</v>
          </cell>
          <cell r="B344">
            <v>1</v>
          </cell>
          <cell r="C344">
            <v>13101</v>
          </cell>
          <cell r="D344" t="str">
            <v>チャレンジタワー</v>
          </cell>
          <cell r="E344" t="str">
            <v>リセット型チャレンジタワー</v>
          </cell>
          <cell r="F344">
            <v>8</v>
          </cell>
          <cell r="G344" t="str">
            <v>ja</v>
          </cell>
          <cell r="H344" t="str">
            <v>チャレンジタワー 8F</v>
          </cell>
          <cell r="I344" t="str">
            <v>試練の塔</v>
          </cell>
          <cell r="J344">
            <v>334</v>
          </cell>
          <cell r="K344">
            <v>10</v>
          </cell>
          <cell r="L344">
            <v>1006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character</v>
          </cell>
          <cell r="T344" t="str">
            <v>334,333</v>
          </cell>
          <cell r="U344">
            <v>13101</v>
          </cell>
          <cell r="V344">
            <v>7</v>
          </cell>
          <cell r="W344" t="str">
            <v>チャレンジタワー 7F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26</v>
          </cell>
          <cell r="AD344">
            <v>6</v>
          </cell>
          <cell r="AE344" t="str">
            <v>singleonly</v>
          </cell>
        </row>
        <row r="345">
          <cell r="A345" t="str">
            <v>13101_9</v>
          </cell>
          <cell r="B345">
            <v>1</v>
          </cell>
          <cell r="C345">
            <v>13101</v>
          </cell>
          <cell r="D345" t="str">
            <v>チャレンジタワー</v>
          </cell>
          <cell r="E345" t="str">
            <v>リセット型チャレンジタワー</v>
          </cell>
          <cell r="F345">
            <v>9</v>
          </cell>
          <cell r="G345" t="str">
            <v>ja</v>
          </cell>
          <cell r="H345" t="str">
            <v>チャレンジタワー 9F</v>
          </cell>
          <cell r="I345" t="str">
            <v>試練の塔</v>
          </cell>
          <cell r="J345">
            <v>338</v>
          </cell>
          <cell r="K345">
            <v>10</v>
          </cell>
          <cell r="L345">
            <v>702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character</v>
          </cell>
          <cell r="T345" t="str">
            <v>337,337,338</v>
          </cell>
          <cell r="U345">
            <v>13101</v>
          </cell>
          <cell r="V345">
            <v>8</v>
          </cell>
          <cell r="W345" t="str">
            <v>チャレンジタワー 8F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26</v>
          </cell>
          <cell r="AD345">
            <v>6</v>
          </cell>
          <cell r="AE345" t="str">
            <v>singleonly</v>
          </cell>
        </row>
        <row r="346">
          <cell r="A346" t="str">
            <v>13101_10</v>
          </cell>
          <cell r="B346">
            <v>1</v>
          </cell>
          <cell r="C346">
            <v>13101</v>
          </cell>
          <cell r="D346" t="str">
            <v>チャレンジタワー</v>
          </cell>
          <cell r="E346" t="str">
            <v>リセット型チャレンジタワー</v>
          </cell>
          <cell r="F346">
            <v>10</v>
          </cell>
          <cell r="G346" t="str">
            <v>ja</v>
          </cell>
          <cell r="H346" t="str">
            <v>チャレンジタワー 10F</v>
          </cell>
          <cell r="I346" t="str">
            <v>試練の塔</v>
          </cell>
          <cell r="J346">
            <v>346</v>
          </cell>
          <cell r="K346">
            <v>11</v>
          </cell>
          <cell r="L346">
            <v>788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character</v>
          </cell>
          <cell r="T346" t="str">
            <v>346,333,337,341</v>
          </cell>
          <cell r="U346">
            <v>13101</v>
          </cell>
          <cell r="V346">
            <v>9</v>
          </cell>
          <cell r="W346" t="str">
            <v>チャレンジタワー 9F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26</v>
          </cell>
          <cell r="AD346">
            <v>6</v>
          </cell>
          <cell r="AE346" t="str">
            <v>singleonly</v>
          </cell>
        </row>
        <row r="347">
          <cell r="A347" t="str">
            <v>13101_11</v>
          </cell>
          <cell r="B347">
            <v>1</v>
          </cell>
          <cell r="C347">
            <v>13101</v>
          </cell>
          <cell r="D347" t="str">
            <v>チャレンジタワー</v>
          </cell>
          <cell r="E347" t="str">
            <v>リセット型チャレンジタワー</v>
          </cell>
          <cell r="F347">
            <v>11</v>
          </cell>
          <cell r="G347" t="str">
            <v>ja</v>
          </cell>
          <cell r="H347" t="str">
            <v>チャレンジタワー 11F</v>
          </cell>
          <cell r="I347" t="str">
            <v>試練の塔</v>
          </cell>
          <cell r="J347">
            <v>346</v>
          </cell>
          <cell r="K347">
            <v>12</v>
          </cell>
          <cell r="L347">
            <v>936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character</v>
          </cell>
          <cell r="T347" t="str">
            <v>346,346</v>
          </cell>
          <cell r="U347">
            <v>13101</v>
          </cell>
          <cell r="V347">
            <v>10</v>
          </cell>
          <cell r="W347" t="str">
            <v>チャレンジタワー 10F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26</v>
          </cell>
          <cell r="AD347">
            <v>6</v>
          </cell>
          <cell r="AE347" t="str">
            <v>singleonly</v>
          </cell>
        </row>
        <row r="348">
          <cell r="A348" t="str">
            <v>13101_12</v>
          </cell>
          <cell r="B348">
            <v>1</v>
          </cell>
          <cell r="C348">
            <v>13101</v>
          </cell>
          <cell r="D348" t="str">
            <v>チャレンジタワー</v>
          </cell>
          <cell r="E348" t="str">
            <v>リセット型チャレンジタワー</v>
          </cell>
          <cell r="F348">
            <v>12</v>
          </cell>
          <cell r="G348" t="str">
            <v>ja</v>
          </cell>
          <cell r="H348" t="str">
            <v>チャレンジタワー 12F</v>
          </cell>
          <cell r="I348" t="str">
            <v>試練の塔</v>
          </cell>
          <cell r="J348">
            <v>342</v>
          </cell>
          <cell r="K348">
            <v>13</v>
          </cell>
          <cell r="L348">
            <v>1601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character</v>
          </cell>
          <cell r="T348" t="str">
            <v>342,342</v>
          </cell>
          <cell r="U348">
            <v>13101</v>
          </cell>
          <cell r="V348">
            <v>11</v>
          </cell>
          <cell r="W348" t="str">
            <v>チャレンジタワー 11F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26</v>
          </cell>
          <cell r="AD348">
            <v>6</v>
          </cell>
          <cell r="AE348" t="str">
            <v>singleonly</v>
          </cell>
        </row>
        <row r="349">
          <cell r="A349" t="str">
            <v>13101_13</v>
          </cell>
          <cell r="B349">
            <v>1</v>
          </cell>
          <cell r="C349">
            <v>13101</v>
          </cell>
          <cell r="D349" t="str">
            <v>チャレンジタワー</v>
          </cell>
          <cell r="E349" t="str">
            <v>リセット型チャレンジタワー</v>
          </cell>
          <cell r="F349">
            <v>13</v>
          </cell>
          <cell r="G349" t="str">
            <v>ja</v>
          </cell>
          <cell r="H349" t="str">
            <v>チャレンジタワー 13F</v>
          </cell>
          <cell r="I349" t="str">
            <v>試練の塔</v>
          </cell>
          <cell r="J349">
            <v>338</v>
          </cell>
          <cell r="K349">
            <v>14</v>
          </cell>
          <cell r="L349">
            <v>945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character</v>
          </cell>
          <cell r="T349" t="str">
            <v>338,338</v>
          </cell>
          <cell r="U349">
            <v>13101</v>
          </cell>
          <cell r="V349">
            <v>12</v>
          </cell>
          <cell r="W349" t="str">
            <v>チャレンジタワー 12F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26</v>
          </cell>
          <cell r="AD349">
            <v>6</v>
          </cell>
          <cell r="AE349" t="str">
            <v>singleonly</v>
          </cell>
        </row>
        <row r="350">
          <cell r="A350" t="str">
            <v>13101_14</v>
          </cell>
          <cell r="B350">
            <v>1</v>
          </cell>
          <cell r="C350">
            <v>13101</v>
          </cell>
          <cell r="D350" t="str">
            <v>チャレンジタワー</v>
          </cell>
          <cell r="E350" t="str">
            <v>リセット型チャレンジタワー</v>
          </cell>
          <cell r="F350">
            <v>14</v>
          </cell>
          <cell r="G350" t="str">
            <v>ja</v>
          </cell>
          <cell r="H350" t="str">
            <v>チャレンジタワー 14F</v>
          </cell>
          <cell r="I350" t="str">
            <v>試練の塔</v>
          </cell>
          <cell r="J350">
            <v>334</v>
          </cell>
          <cell r="K350">
            <v>14</v>
          </cell>
          <cell r="L350">
            <v>1188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character</v>
          </cell>
          <cell r="T350" t="str">
            <v>334,334</v>
          </cell>
          <cell r="U350">
            <v>13101</v>
          </cell>
          <cell r="V350">
            <v>13</v>
          </cell>
          <cell r="W350" t="str">
            <v>チャレンジタワー 13F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26</v>
          </cell>
          <cell r="AD350">
            <v>6</v>
          </cell>
          <cell r="AE350" t="str">
            <v>singleonly</v>
          </cell>
        </row>
        <row r="351">
          <cell r="A351" t="str">
            <v>13101_15</v>
          </cell>
          <cell r="B351">
            <v>1</v>
          </cell>
          <cell r="C351">
            <v>13101</v>
          </cell>
          <cell r="D351" t="str">
            <v>チャレンジタワー</v>
          </cell>
          <cell r="E351" t="str">
            <v>リセット型チャレンジタワー</v>
          </cell>
          <cell r="F351">
            <v>15</v>
          </cell>
          <cell r="G351" t="str">
            <v>ja</v>
          </cell>
          <cell r="H351" t="str">
            <v>チャレンジタワー 15F</v>
          </cell>
          <cell r="I351" t="str">
            <v>試練の塔</v>
          </cell>
          <cell r="J351">
            <v>316</v>
          </cell>
          <cell r="K351">
            <v>14</v>
          </cell>
          <cell r="L351">
            <v>1008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character</v>
          </cell>
          <cell r="T351" t="str">
            <v>316</v>
          </cell>
          <cell r="U351">
            <v>13101</v>
          </cell>
          <cell r="V351">
            <v>14</v>
          </cell>
          <cell r="W351" t="str">
            <v>チャレンジタワー 14F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26</v>
          </cell>
          <cell r="AD351">
            <v>6</v>
          </cell>
          <cell r="AE351" t="str">
            <v>singleonly</v>
          </cell>
        </row>
        <row r="352">
          <cell r="A352" t="str">
            <v>13101_16</v>
          </cell>
          <cell r="B352">
            <v>1</v>
          </cell>
          <cell r="C352">
            <v>13101</v>
          </cell>
          <cell r="D352" t="str">
            <v>チャレンジタワー</v>
          </cell>
          <cell r="E352" t="str">
            <v>リセット型チャレンジタワー</v>
          </cell>
          <cell r="F352">
            <v>16</v>
          </cell>
          <cell r="G352" t="str">
            <v>ja</v>
          </cell>
          <cell r="H352" t="str">
            <v>チャレンジタワー 16F</v>
          </cell>
          <cell r="I352" t="str">
            <v>試練の塔</v>
          </cell>
          <cell r="J352">
            <v>338</v>
          </cell>
          <cell r="K352">
            <v>16</v>
          </cell>
          <cell r="L352">
            <v>2573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character</v>
          </cell>
          <cell r="T352" t="str">
            <v>338,338,337</v>
          </cell>
          <cell r="U352">
            <v>13101</v>
          </cell>
          <cell r="V352">
            <v>15</v>
          </cell>
          <cell r="W352" t="str">
            <v>チャレンジタワー 15F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26</v>
          </cell>
          <cell r="AD352">
            <v>6</v>
          </cell>
          <cell r="AE352" t="str">
            <v>singleonly</v>
          </cell>
        </row>
        <row r="353">
          <cell r="A353" t="str">
            <v>13101_17</v>
          </cell>
          <cell r="B353">
            <v>1</v>
          </cell>
          <cell r="C353">
            <v>13101</v>
          </cell>
          <cell r="D353" t="str">
            <v>チャレンジタワー</v>
          </cell>
          <cell r="E353" t="str">
            <v>リセット型チャレンジタワー</v>
          </cell>
          <cell r="F353">
            <v>17</v>
          </cell>
          <cell r="G353" t="str">
            <v>ja</v>
          </cell>
          <cell r="H353" t="str">
            <v>チャレンジタワー 17F</v>
          </cell>
          <cell r="I353" t="str">
            <v>試練の塔</v>
          </cell>
          <cell r="J353">
            <v>346</v>
          </cell>
          <cell r="K353">
            <v>16</v>
          </cell>
          <cell r="L353">
            <v>1568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character</v>
          </cell>
          <cell r="T353" t="str">
            <v>346,346,345</v>
          </cell>
          <cell r="U353">
            <v>13101</v>
          </cell>
          <cell r="V353">
            <v>16</v>
          </cell>
          <cell r="W353" t="str">
            <v>チャレンジタワー 16F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26</v>
          </cell>
          <cell r="AD353">
            <v>6</v>
          </cell>
          <cell r="AE353" t="str">
            <v>singleonly</v>
          </cell>
        </row>
        <row r="354">
          <cell r="A354" t="str">
            <v>13101_18</v>
          </cell>
          <cell r="B354">
            <v>1</v>
          </cell>
          <cell r="C354">
            <v>13101</v>
          </cell>
          <cell r="D354" t="str">
            <v>チャレンジタワー</v>
          </cell>
          <cell r="E354" t="str">
            <v>リセット型チャレンジタワー</v>
          </cell>
          <cell r="F354">
            <v>18</v>
          </cell>
          <cell r="G354" t="str">
            <v>ja</v>
          </cell>
          <cell r="H354" t="str">
            <v>チャレンジタワー 18F</v>
          </cell>
          <cell r="I354" t="str">
            <v>試練の塔</v>
          </cell>
          <cell r="J354">
            <v>334</v>
          </cell>
          <cell r="K354">
            <v>17</v>
          </cell>
          <cell r="L354">
            <v>1821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character</v>
          </cell>
          <cell r="T354" t="str">
            <v>334,334,333</v>
          </cell>
          <cell r="U354">
            <v>13101</v>
          </cell>
          <cell r="V354">
            <v>17</v>
          </cell>
          <cell r="W354" t="str">
            <v>チャレンジタワー 17F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26</v>
          </cell>
          <cell r="AD354">
            <v>6</v>
          </cell>
          <cell r="AE354" t="str">
            <v>singleonly</v>
          </cell>
        </row>
        <row r="355">
          <cell r="A355" t="str">
            <v>13101_19</v>
          </cell>
          <cell r="B355">
            <v>1</v>
          </cell>
          <cell r="C355">
            <v>13101</v>
          </cell>
          <cell r="D355" t="str">
            <v>チャレンジタワー</v>
          </cell>
          <cell r="E355" t="str">
            <v>リセット型チャレンジタワー</v>
          </cell>
          <cell r="F355">
            <v>19</v>
          </cell>
          <cell r="G355" t="str">
            <v>ja</v>
          </cell>
          <cell r="H355" t="str">
            <v>チャレンジタワー 19F</v>
          </cell>
          <cell r="I355" t="str">
            <v>試練の塔</v>
          </cell>
          <cell r="J355">
            <v>342</v>
          </cell>
          <cell r="K355">
            <v>18</v>
          </cell>
          <cell r="L355">
            <v>2108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character</v>
          </cell>
          <cell r="T355" t="str">
            <v>342,342,341</v>
          </cell>
          <cell r="U355">
            <v>13101</v>
          </cell>
          <cell r="V355">
            <v>18</v>
          </cell>
          <cell r="W355" t="str">
            <v>チャレンジタワー 18F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26</v>
          </cell>
          <cell r="AD355">
            <v>6</v>
          </cell>
          <cell r="AE355" t="str">
            <v>singleonly</v>
          </cell>
        </row>
        <row r="356">
          <cell r="A356" t="str">
            <v>13101_20</v>
          </cell>
          <cell r="B356">
            <v>1</v>
          </cell>
          <cell r="C356">
            <v>13101</v>
          </cell>
          <cell r="D356" t="str">
            <v>チャレンジタワー</v>
          </cell>
          <cell r="E356" t="str">
            <v>リセット型チャレンジタワー</v>
          </cell>
          <cell r="F356">
            <v>20</v>
          </cell>
          <cell r="G356" t="str">
            <v>ja</v>
          </cell>
          <cell r="H356" t="str">
            <v>チャレンジタワー 20F</v>
          </cell>
          <cell r="I356" t="str">
            <v>試練の塔</v>
          </cell>
          <cell r="J356">
            <v>318</v>
          </cell>
          <cell r="K356">
            <v>18</v>
          </cell>
          <cell r="L356">
            <v>1620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character</v>
          </cell>
          <cell r="T356" t="str">
            <v>318</v>
          </cell>
          <cell r="U356">
            <v>13101</v>
          </cell>
          <cell r="V356">
            <v>19</v>
          </cell>
          <cell r="W356" t="str">
            <v>チャレンジタワー 19F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26</v>
          </cell>
          <cell r="AD356">
            <v>6</v>
          </cell>
          <cell r="AE356" t="str">
            <v>singleonly</v>
          </cell>
        </row>
        <row r="357">
          <cell r="A357" t="str">
            <v>13101_21</v>
          </cell>
          <cell r="B357">
            <v>1</v>
          </cell>
          <cell r="C357">
            <v>13101</v>
          </cell>
          <cell r="D357" t="str">
            <v>チャレンジタワー</v>
          </cell>
          <cell r="E357" t="str">
            <v>リセット型チャレンジタワー</v>
          </cell>
          <cell r="F357">
            <v>21</v>
          </cell>
          <cell r="G357" t="str">
            <v>ja</v>
          </cell>
          <cell r="H357" t="str">
            <v>チャレンジタワー 21F</v>
          </cell>
          <cell r="I357" t="str">
            <v>試練の塔</v>
          </cell>
          <cell r="J357" t="str">
            <v>335</v>
          </cell>
          <cell r="K357">
            <v>18</v>
          </cell>
          <cell r="L357">
            <v>1620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character</v>
          </cell>
          <cell r="T357" t="str">
            <v>334,335,335</v>
          </cell>
          <cell r="U357">
            <v>13101</v>
          </cell>
          <cell r="V357">
            <v>20</v>
          </cell>
          <cell r="W357" t="str">
            <v>チャレンジタワー 20F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26</v>
          </cell>
          <cell r="AD357">
            <v>6</v>
          </cell>
          <cell r="AE357" t="str">
            <v>singleonly</v>
          </cell>
        </row>
        <row r="358">
          <cell r="A358" t="str">
            <v>13101_22</v>
          </cell>
          <cell r="B358">
            <v>1</v>
          </cell>
          <cell r="C358">
            <v>13101</v>
          </cell>
          <cell r="D358" t="str">
            <v>チャレンジタワー</v>
          </cell>
          <cell r="E358" t="str">
            <v>リセット型チャレンジタワー</v>
          </cell>
          <cell r="F358">
            <v>22</v>
          </cell>
          <cell r="G358" t="str">
            <v>ja</v>
          </cell>
          <cell r="H358" t="str">
            <v>チャレンジタワー 22F</v>
          </cell>
          <cell r="I358" t="str">
            <v>試練の塔</v>
          </cell>
          <cell r="J358" t="str">
            <v>339</v>
          </cell>
          <cell r="K358">
            <v>18</v>
          </cell>
          <cell r="L358">
            <v>1620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character</v>
          </cell>
          <cell r="T358" t="str">
            <v>338,339,339</v>
          </cell>
          <cell r="U358">
            <v>13101</v>
          </cell>
          <cell r="V358">
            <v>21</v>
          </cell>
          <cell r="W358" t="str">
            <v>チャレンジタワー 21F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26</v>
          </cell>
          <cell r="AD358">
            <v>6</v>
          </cell>
          <cell r="AE358" t="str">
            <v>singleonly</v>
          </cell>
        </row>
        <row r="359">
          <cell r="A359" t="str">
            <v>13101_23</v>
          </cell>
          <cell r="B359">
            <v>1</v>
          </cell>
          <cell r="C359">
            <v>13101</v>
          </cell>
          <cell r="D359" t="str">
            <v>チャレンジタワー</v>
          </cell>
          <cell r="E359" t="str">
            <v>リセット型チャレンジタワー</v>
          </cell>
          <cell r="F359">
            <v>23</v>
          </cell>
          <cell r="G359" t="str">
            <v>ja</v>
          </cell>
          <cell r="H359" t="str">
            <v>チャレンジタワー 23F</v>
          </cell>
          <cell r="I359" t="str">
            <v>試練の塔</v>
          </cell>
          <cell r="J359" t="str">
            <v>347</v>
          </cell>
          <cell r="K359">
            <v>20</v>
          </cell>
          <cell r="L359">
            <v>1821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character</v>
          </cell>
          <cell r="T359" t="str">
            <v>346,347,347</v>
          </cell>
          <cell r="U359">
            <v>13101</v>
          </cell>
          <cell r="V359">
            <v>22</v>
          </cell>
          <cell r="W359" t="str">
            <v>チャレンジタワー 22F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26</v>
          </cell>
          <cell r="AD359">
            <v>6</v>
          </cell>
          <cell r="AE359" t="str">
            <v>singleonly</v>
          </cell>
        </row>
        <row r="360">
          <cell r="A360" t="str">
            <v>13101_24</v>
          </cell>
          <cell r="B360">
            <v>1</v>
          </cell>
          <cell r="C360">
            <v>13101</v>
          </cell>
          <cell r="D360" t="str">
            <v>チャレンジタワー</v>
          </cell>
          <cell r="E360" t="str">
            <v>リセット型チャレンジタワー</v>
          </cell>
          <cell r="F360">
            <v>24</v>
          </cell>
          <cell r="G360" t="str">
            <v>ja</v>
          </cell>
          <cell r="H360" t="str">
            <v>チャレンジタワー 24F</v>
          </cell>
          <cell r="I360" t="str">
            <v>試練の塔</v>
          </cell>
          <cell r="J360" t="str">
            <v>343</v>
          </cell>
          <cell r="K360">
            <v>20</v>
          </cell>
          <cell r="L360">
            <v>2871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character</v>
          </cell>
          <cell r="T360" t="str">
            <v>342,343,343</v>
          </cell>
          <cell r="U360">
            <v>13101</v>
          </cell>
          <cell r="V360">
            <v>23</v>
          </cell>
          <cell r="W360" t="str">
            <v>チャレンジタワー 23F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26</v>
          </cell>
          <cell r="AD360">
            <v>6</v>
          </cell>
          <cell r="AE360" t="str">
            <v>singleonly</v>
          </cell>
        </row>
        <row r="361">
          <cell r="A361" t="str">
            <v>13101_25</v>
          </cell>
          <cell r="B361">
            <v>1</v>
          </cell>
          <cell r="C361">
            <v>13101</v>
          </cell>
          <cell r="D361" t="str">
            <v>チャレンジタワー</v>
          </cell>
          <cell r="E361" t="str">
            <v>リセット型チャレンジタワー</v>
          </cell>
          <cell r="F361">
            <v>25</v>
          </cell>
          <cell r="G361" t="str">
            <v>ja</v>
          </cell>
          <cell r="H361" t="str">
            <v>チャレンジタワー 25F</v>
          </cell>
          <cell r="I361" t="str">
            <v>試練の塔</v>
          </cell>
          <cell r="J361" t="str">
            <v>368</v>
          </cell>
          <cell r="K361">
            <v>22</v>
          </cell>
          <cell r="L361">
            <v>3740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3</v>
          </cell>
          <cell r="S361" t="str">
            <v>character</v>
          </cell>
          <cell r="T361" t="str">
            <v>368</v>
          </cell>
          <cell r="U361">
            <v>13101</v>
          </cell>
          <cell r="V361">
            <v>24</v>
          </cell>
          <cell r="W361" t="str">
            <v>チャレンジタワー 24F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26</v>
          </cell>
          <cell r="AD361">
            <v>6</v>
          </cell>
          <cell r="AE361" t="str">
            <v>singleonly</v>
          </cell>
        </row>
        <row r="362">
          <cell r="A362" t="str">
            <v>13300_1</v>
          </cell>
          <cell r="B362">
            <v>3</v>
          </cell>
          <cell r="C362">
            <v>13300</v>
          </cell>
          <cell r="D362" t="str">
            <v>タワーオブザクイーン -アヴァルシア-</v>
          </cell>
          <cell r="E362" t="str">
            <v>タワーオブザクイーン1本目</v>
          </cell>
          <cell r="F362">
            <v>1</v>
          </cell>
          <cell r="G362" t="str">
            <v>ja</v>
          </cell>
          <cell r="H362" t="str">
            <v>1階 コスト制限なし</v>
          </cell>
          <cell r="I362" t="str">
            <v>タワーオブザクイーン</v>
          </cell>
          <cell r="J362">
            <v>347</v>
          </cell>
          <cell r="K362">
            <v>15</v>
          </cell>
          <cell r="L362">
            <v>750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character</v>
          </cell>
          <cell r="T362" t="str">
            <v>347,347,347,837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965</v>
          </cell>
          <cell r="AD362">
            <v>6</v>
          </cell>
          <cell r="AE362" t="str">
            <v>singleonly</v>
          </cell>
        </row>
        <row r="363">
          <cell r="A363" t="str">
            <v>13300_2</v>
          </cell>
          <cell r="B363">
            <v>3</v>
          </cell>
          <cell r="C363">
            <v>13300</v>
          </cell>
          <cell r="D363" t="str">
            <v>タワーオブザクイーン -アヴァルシア-</v>
          </cell>
          <cell r="E363" t="str">
            <v>タワーオブザクイーン1本目</v>
          </cell>
          <cell r="F363">
            <v>2</v>
          </cell>
          <cell r="G363" t="str">
            <v>ja</v>
          </cell>
          <cell r="H363" t="str">
            <v>2階 コスト制限なし</v>
          </cell>
          <cell r="I363" t="str">
            <v>タワーオブザクイーン</v>
          </cell>
          <cell r="J363">
            <v>343</v>
          </cell>
          <cell r="K363">
            <v>18</v>
          </cell>
          <cell r="L363">
            <v>990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character</v>
          </cell>
          <cell r="T363" t="str">
            <v>343,343,343,342</v>
          </cell>
          <cell r="U363">
            <v>13300</v>
          </cell>
          <cell r="V363">
            <v>1</v>
          </cell>
          <cell r="W363" t="str">
            <v>1階 コスト制限なし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965</v>
          </cell>
          <cell r="AD363">
            <v>6</v>
          </cell>
          <cell r="AE363" t="str">
            <v>singleonly</v>
          </cell>
        </row>
        <row r="364">
          <cell r="A364" t="str">
            <v>13300_3</v>
          </cell>
          <cell r="B364">
            <v>3</v>
          </cell>
          <cell r="C364">
            <v>13300</v>
          </cell>
          <cell r="D364" t="str">
            <v>タワーオブザクイーン -アヴァルシア-</v>
          </cell>
          <cell r="E364" t="str">
            <v>タワーオブザクイーン1本目</v>
          </cell>
          <cell r="F364">
            <v>3</v>
          </cell>
          <cell r="G364" t="str">
            <v>ja</v>
          </cell>
          <cell r="H364" t="str">
            <v>3階 コスト制限なし</v>
          </cell>
          <cell r="I364" t="str">
            <v>タワーオブザクイーン</v>
          </cell>
          <cell r="J364">
            <v>335</v>
          </cell>
          <cell r="K364">
            <v>19</v>
          </cell>
          <cell r="L364">
            <v>1140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character</v>
          </cell>
          <cell r="T364" t="str">
            <v>335,335,335,334</v>
          </cell>
          <cell r="U364">
            <v>13300</v>
          </cell>
          <cell r="V364">
            <v>2</v>
          </cell>
          <cell r="W364" t="str">
            <v>2階 コスト制限なし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965</v>
          </cell>
          <cell r="AD364">
            <v>6</v>
          </cell>
          <cell r="AE364" t="str">
            <v>singleonly</v>
          </cell>
        </row>
        <row r="365">
          <cell r="A365" t="str">
            <v>13300_4</v>
          </cell>
          <cell r="B365">
            <v>3</v>
          </cell>
          <cell r="C365">
            <v>13300</v>
          </cell>
          <cell r="D365" t="str">
            <v>タワーオブザクイーン -アヴァルシア-</v>
          </cell>
          <cell r="E365" t="str">
            <v>タワーオブザクイーン1本目</v>
          </cell>
          <cell r="F365">
            <v>4</v>
          </cell>
          <cell r="G365" t="str">
            <v>ja</v>
          </cell>
          <cell r="H365" t="str">
            <v>4階 コスト制限なし</v>
          </cell>
          <cell r="I365" t="str">
            <v>タワーオブザクイーン</v>
          </cell>
          <cell r="J365">
            <v>339</v>
          </cell>
          <cell r="K365">
            <v>20</v>
          </cell>
          <cell r="L365">
            <v>1300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character</v>
          </cell>
          <cell r="T365" t="str">
            <v>339,339,339,338</v>
          </cell>
          <cell r="U365">
            <v>13300</v>
          </cell>
          <cell r="V365">
            <v>3</v>
          </cell>
          <cell r="W365" t="str">
            <v>3階 コスト制限なし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965</v>
          </cell>
          <cell r="AD365">
            <v>6</v>
          </cell>
          <cell r="AE365" t="str">
            <v>singleonly</v>
          </cell>
        </row>
        <row r="366">
          <cell r="A366" t="str">
            <v>13300_5</v>
          </cell>
          <cell r="B366">
            <v>3</v>
          </cell>
          <cell r="C366">
            <v>13300</v>
          </cell>
          <cell r="D366" t="str">
            <v>タワーオブザクイーン -アヴァルシア-</v>
          </cell>
          <cell r="E366" t="str">
            <v>タワーオブザクイーン1本目</v>
          </cell>
          <cell r="F366">
            <v>5</v>
          </cell>
          <cell r="G366" t="str">
            <v>ja</v>
          </cell>
          <cell r="H366" t="str">
            <v>5階 コスト30以下限定</v>
          </cell>
          <cell r="I366" t="str">
            <v>タワーオブザクイーン</v>
          </cell>
          <cell r="J366">
            <v>837</v>
          </cell>
          <cell r="K366">
            <v>24</v>
          </cell>
          <cell r="L366">
            <v>1680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character</v>
          </cell>
          <cell r="T366" t="str">
            <v>837,610,125</v>
          </cell>
          <cell r="U366">
            <v>13300</v>
          </cell>
          <cell r="V366">
            <v>4</v>
          </cell>
          <cell r="W366" t="str">
            <v>4階 コスト制限なし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965</v>
          </cell>
          <cell r="AD366">
            <v>6</v>
          </cell>
          <cell r="AE366" t="str">
            <v>singleonly</v>
          </cell>
        </row>
        <row r="367">
          <cell r="A367" t="str">
            <v>13300_6</v>
          </cell>
          <cell r="B367">
            <v>3</v>
          </cell>
          <cell r="C367">
            <v>13300</v>
          </cell>
          <cell r="D367" t="str">
            <v>タワーオブザクイーン -アヴァルシア-</v>
          </cell>
          <cell r="E367" t="str">
            <v>タワーオブザクイーン1本目</v>
          </cell>
          <cell r="F367">
            <v>6</v>
          </cell>
          <cell r="G367" t="str">
            <v>ja</v>
          </cell>
          <cell r="H367" t="str">
            <v>6階 コスト30以下ヒューマン限定</v>
          </cell>
          <cell r="I367" t="str">
            <v>タワーオブザクイーン</v>
          </cell>
          <cell r="J367">
            <v>612</v>
          </cell>
          <cell r="K367">
            <v>25</v>
          </cell>
          <cell r="L367">
            <v>1875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character</v>
          </cell>
          <cell r="T367" t="str">
            <v>612,612,355</v>
          </cell>
          <cell r="U367">
            <v>13300</v>
          </cell>
          <cell r="V367">
            <v>5</v>
          </cell>
          <cell r="W367" t="str">
            <v>5階 コスト30以下限定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965</v>
          </cell>
          <cell r="AD367">
            <v>6</v>
          </cell>
          <cell r="AE367" t="str">
            <v>singleonly</v>
          </cell>
        </row>
        <row r="368">
          <cell r="A368" t="str">
            <v>13300_7</v>
          </cell>
          <cell r="B368">
            <v>3</v>
          </cell>
          <cell r="C368">
            <v>13300</v>
          </cell>
          <cell r="D368" t="str">
            <v>タワーオブザクイーン -アヴァルシア-</v>
          </cell>
          <cell r="E368" t="str">
            <v>タワーオブザクイーン1本目</v>
          </cell>
          <cell r="F368">
            <v>7</v>
          </cell>
          <cell r="G368" t="str">
            <v>ja</v>
          </cell>
          <cell r="H368" t="str">
            <v>7階 コスト制限なし</v>
          </cell>
          <cell r="I368" t="str">
            <v>タワーオブザクイーン</v>
          </cell>
          <cell r="J368">
            <v>613</v>
          </cell>
          <cell r="K368">
            <v>28</v>
          </cell>
          <cell r="L368">
            <v>2240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character</v>
          </cell>
          <cell r="T368" t="str">
            <v>613,613,353</v>
          </cell>
          <cell r="U368">
            <v>13300</v>
          </cell>
          <cell r="V368">
            <v>6</v>
          </cell>
          <cell r="W368" t="str">
            <v>6階 コスト30以下ヒューマン限定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965</v>
          </cell>
          <cell r="AD368">
            <v>6</v>
          </cell>
          <cell r="AE368" t="str">
            <v>singleonly</v>
          </cell>
        </row>
        <row r="369">
          <cell r="A369" t="str">
            <v>13300_8</v>
          </cell>
          <cell r="B369">
            <v>3</v>
          </cell>
          <cell r="C369">
            <v>13300</v>
          </cell>
          <cell r="D369" t="str">
            <v>タワーオブザクイーン -アヴァルシア-</v>
          </cell>
          <cell r="E369" t="str">
            <v>タワーオブザクイーン1本目</v>
          </cell>
          <cell r="F369">
            <v>8</v>
          </cell>
          <cell r="G369" t="str">
            <v>ja</v>
          </cell>
          <cell r="H369" t="str">
            <v>8階 コスト28以下限定</v>
          </cell>
          <cell r="I369" t="str">
            <v>タワーオブザクイーン</v>
          </cell>
          <cell r="J369">
            <v>611</v>
          </cell>
          <cell r="K369">
            <v>30</v>
          </cell>
          <cell r="L369">
            <v>2550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character</v>
          </cell>
          <cell r="T369" t="str">
            <v>611,611,349</v>
          </cell>
          <cell r="U369">
            <v>13300</v>
          </cell>
          <cell r="V369">
            <v>7</v>
          </cell>
          <cell r="W369" t="str">
            <v>7階 コスト制限なし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965</v>
          </cell>
          <cell r="AD369">
            <v>6</v>
          </cell>
          <cell r="AE369" t="str">
            <v>singleonly</v>
          </cell>
        </row>
        <row r="370">
          <cell r="A370" t="str">
            <v>13300_9</v>
          </cell>
          <cell r="B370">
            <v>3</v>
          </cell>
          <cell r="C370">
            <v>13300</v>
          </cell>
          <cell r="D370" t="str">
            <v>タワーオブザクイーン -アヴァルシア-</v>
          </cell>
          <cell r="E370" t="str">
            <v>タワーオブザクイーン1本目</v>
          </cell>
          <cell r="F370">
            <v>9</v>
          </cell>
          <cell r="G370" t="str">
            <v>ja</v>
          </cell>
          <cell r="H370" t="str">
            <v>9階 コスト28以下ヒューマン限定</v>
          </cell>
          <cell r="I370" t="str">
            <v>タワーオブザクイーン</v>
          </cell>
          <cell r="J370">
            <v>610</v>
          </cell>
          <cell r="K370">
            <v>31</v>
          </cell>
          <cell r="L370">
            <v>2790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character</v>
          </cell>
          <cell r="T370" t="str">
            <v>837,610,125</v>
          </cell>
          <cell r="U370">
            <v>13300</v>
          </cell>
          <cell r="V370">
            <v>8</v>
          </cell>
          <cell r="W370" t="str">
            <v>8階 コスト28以下限定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965</v>
          </cell>
          <cell r="AD370">
            <v>6</v>
          </cell>
          <cell r="AE370" t="str">
            <v>singleonly</v>
          </cell>
        </row>
        <row r="371">
          <cell r="A371" t="str">
            <v>13300_10</v>
          </cell>
          <cell r="B371">
            <v>3</v>
          </cell>
          <cell r="C371">
            <v>13300</v>
          </cell>
          <cell r="D371" t="str">
            <v>タワーオブザクイーン -アヴァルシア-</v>
          </cell>
          <cell r="E371" t="str">
            <v>タワーオブザクイーン1本目</v>
          </cell>
          <cell r="F371">
            <v>10</v>
          </cell>
          <cell r="G371" t="str">
            <v>ja</v>
          </cell>
          <cell r="H371" t="str">
            <v>10階 ボナンザ 現る！</v>
          </cell>
          <cell r="I371" t="str">
            <v>タワーオブザクイーン</v>
          </cell>
          <cell r="J371">
            <v>0</v>
          </cell>
          <cell r="K371">
            <v>35</v>
          </cell>
          <cell r="L371">
            <v>3325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polygon</v>
          </cell>
          <cell r="T371" t="str">
            <v>2</v>
          </cell>
          <cell r="U371">
            <v>13300</v>
          </cell>
          <cell r="V371">
            <v>9</v>
          </cell>
          <cell r="W371" t="str">
            <v>9階 コスト28以下ヒューマン限定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965</v>
          </cell>
          <cell r="AD371">
            <v>6</v>
          </cell>
          <cell r="AE371" t="str">
            <v>singleonly</v>
          </cell>
        </row>
        <row r="372">
          <cell r="A372" t="str">
            <v>13300_11</v>
          </cell>
          <cell r="B372">
            <v>3</v>
          </cell>
          <cell r="C372">
            <v>13300</v>
          </cell>
          <cell r="D372" t="str">
            <v>タワーオブザクイーン -アヴァルシア-</v>
          </cell>
          <cell r="E372" t="str">
            <v>タワーオブザクイーン1本目</v>
          </cell>
          <cell r="F372">
            <v>11</v>
          </cell>
          <cell r="G372" t="str">
            <v>ja</v>
          </cell>
          <cell r="H372" t="str">
            <v>11階 コスト30以下限定</v>
          </cell>
          <cell r="I372" t="str">
            <v>タワーオブザクイーン</v>
          </cell>
          <cell r="J372">
            <v>612</v>
          </cell>
          <cell r="K372">
            <v>37</v>
          </cell>
          <cell r="L372">
            <v>3700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character</v>
          </cell>
          <cell r="T372" t="str">
            <v>612,612,612,351</v>
          </cell>
          <cell r="U372">
            <v>13300</v>
          </cell>
          <cell r="V372">
            <v>10</v>
          </cell>
          <cell r="W372" t="str">
            <v>10階 ボナンザ 現る！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965</v>
          </cell>
          <cell r="AD372">
            <v>6</v>
          </cell>
          <cell r="AE372" t="str">
            <v>singleonly</v>
          </cell>
        </row>
        <row r="373">
          <cell r="A373" t="str">
            <v>13300_12</v>
          </cell>
          <cell r="B373">
            <v>3</v>
          </cell>
          <cell r="C373">
            <v>13300</v>
          </cell>
          <cell r="D373" t="str">
            <v>タワーオブザクイーン -アヴァルシア-</v>
          </cell>
          <cell r="E373" t="str">
            <v>タワーオブザクイーン1本目</v>
          </cell>
          <cell r="F373">
            <v>12</v>
          </cell>
          <cell r="G373" t="str">
            <v>ja</v>
          </cell>
          <cell r="H373" t="str">
            <v>12階 コスト30以下ヒューマン限定</v>
          </cell>
          <cell r="I373" t="str">
            <v>タワーオブザクイーン</v>
          </cell>
          <cell r="J373">
            <v>613</v>
          </cell>
          <cell r="K373">
            <v>38</v>
          </cell>
          <cell r="L373">
            <v>3990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character</v>
          </cell>
          <cell r="T373" t="str">
            <v>613,613,613,346</v>
          </cell>
          <cell r="U373">
            <v>13300</v>
          </cell>
          <cell r="V373">
            <v>11</v>
          </cell>
          <cell r="W373" t="str">
            <v>11階 コスト30以下限定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965</v>
          </cell>
          <cell r="AD373">
            <v>6</v>
          </cell>
          <cell r="AE373" t="str">
            <v>singleonly</v>
          </cell>
        </row>
        <row r="374">
          <cell r="A374" t="str">
            <v>13300_13</v>
          </cell>
          <cell r="B374">
            <v>3</v>
          </cell>
          <cell r="C374">
            <v>13300</v>
          </cell>
          <cell r="D374" t="str">
            <v>タワーオブザクイーン -アヴァルシア-</v>
          </cell>
          <cell r="E374" t="str">
            <v>タワーオブザクイーン1本目</v>
          </cell>
          <cell r="F374">
            <v>13</v>
          </cell>
          <cell r="G374" t="str">
            <v>ja</v>
          </cell>
          <cell r="H374" t="str">
            <v>13階 コスト制限なし</v>
          </cell>
          <cell r="I374" t="str">
            <v>タワーオブザクイーン</v>
          </cell>
          <cell r="J374">
            <v>611</v>
          </cell>
          <cell r="K374">
            <v>39</v>
          </cell>
          <cell r="L374">
            <v>4290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character</v>
          </cell>
          <cell r="T374" t="str">
            <v>611,611,611,338</v>
          </cell>
          <cell r="U374">
            <v>13300</v>
          </cell>
          <cell r="V374">
            <v>12</v>
          </cell>
          <cell r="W374" t="str">
            <v>12階 コスト30以下ヒューマン限定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965</v>
          </cell>
          <cell r="AD374">
            <v>6</v>
          </cell>
          <cell r="AE374" t="str">
            <v>singleonly</v>
          </cell>
        </row>
        <row r="375">
          <cell r="A375" t="str">
            <v>13300_14</v>
          </cell>
          <cell r="B375">
            <v>3</v>
          </cell>
          <cell r="C375">
            <v>13300</v>
          </cell>
          <cell r="D375" t="str">
            <v>タワーオブザクイーン -アヴァルシア-</v>
          </cell>
          <cell r="E375" t="str">
            <v>タワーオブザクイーン1本目</v>
          </cell>
          <cell r="F375">
            <v>14</v>
          </cell>
          <cell r="G375" t="str">
            <v>ja</v>
          </cell>
          <cell r="H375" t="str">
            <v>14階 コスト制限なし</v>
          </cell>
          <cell r="I375" t="str">
            <v>タワーオブザクイーン</v>
          </cell>
          <cell r="J375">
            <v>614</v>
          </cell>
          <cell r="K375">
            <v>40</v>
          </cell>
          <cell r="L375">
            <v>4600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character</v>
          </cell>
          <cell r="T375" t="str">
            <v>614,611,334,334</v>
          </cell>
          <cell r="U375">
            <v>13300</v>
          </cell>
          <cell r="V375">
            <v>13</v>
          </cell>
          <cell r="W375" t="str">
            <v>13階 コスト制限なし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965</v>
          </cell>
          <cell r="AD375">
            <v>6</v>
          </cell>
          <cell r="AE375" t="str">
            <v>singleonly</v>
          </cell>
        </row>
        <row r="376">
          <cell r="A376" t="str">
            <v>13300_15</v>
          </cell>
          <cell r="B376">
            <v>3</v>
          </cell>
          <cell r="C376">
            <v>13300</v>
          </cell>
          <cell r="D376" t="str">
            <v>タワーオブザクイーン -アヴァルシア-</v>
          </cell>
          <cell r="E376" t="str">
            <v>タワーオブザクイーン1本目</v>
          </cell>
          <cell r="F376">
            <v>15</v>
          </cell>
          <cell r="G376" t="str">
            <v>ja</v>
          </cell>
          <cell r="H376" t="str">
            <v>15階 アヴァルシアの女王 ボナンザ</v>
          </cell>
          <cell r="I376" t="str">
            <v>タワーオブザクイーン</v>
          </cell>
          <cell r="J376">
            <v>1115</v>
          </cell>
          <cell r="K376">
            <v>50</v>
          </cell>
          <cell r="L376">
            <v>6250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character</v>
          </cell>
          <cell r="T376" t="str">
            <v>1114</v>
          </cell>
          <cell r="U376">
            <v>13300</v>
          </cell>
          <cell r="V376">
            <v>14</v>
          </cell>
          <cell r="W376" t="str">
            <v>14階 コスト制限なし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965</v>
          </cell>
          <cell r="AD376">
            <v>6</v>
          </cell>
          <cell r="AE376" t="str">
            <v>singleonly</v>
          </cell>
        </row>
        <row r="377">
          <cell r="A377" t="str">
            <v>13301_1</v>
          </cell>
          <cell r="B377">
            <v>3</v>
          </cell>
          <cell r="C377">
            <v>13301</v>
          </cell>
          <cell r="D377" t="str">
            <v>タワーオブザクイーン -アヴァルシア-</v>
          </cell>
          <cell r="E377" t="str">
            <v>タワーオブザクイーン1本目</v>
          </cell>
          <cell r="F377">
            <v>1</v>
          </cell>
          <cell r="G377" t="str">
            <v>ja</v>
          </cell>
          <cell r="H377" t="str">
            <v>1階 コスト制限なし</v>
          </cell>
          <cell r="I377" t="str">
            <v>タワーオブザクイーン</v>
          </cell>
          <cell r="J377">
            <v>347</v>
          </cell>
          <cell r="K377">
            <v>15</v>
          </cell>
          <cell r="L377">
            <v>750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character</v>
          </cell>
          <cell r="T377" t="str">
            <v>347,837,347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965</v>
          </cell>
          <cell r="AD377">
            <v>6</v>
          </cell>
          <cell r="AE377" t="str">
            <v>singleonly</v>
          </cell>
        </row>
        <row r="378">
          <cell r="A378" t="str">
            <v>13301_2</v>
          </cell>
          <cell r="B378">
            <v>3</v>
          </cell>
          <cell r="C378">
            <v>13301</v>
          </cell>
          <cell r="D378" t="str">
            <v>タワーオブザクイーン -アヴァルシア-</v>
          </cell>
          <cell r="E378" t="str">
            <v>タワーオブザクイーン1本目</v>
          </cell>
          <cell r="F378">
            <v>2</v>
          </cell>
          <cell r="G378" t="str">
            <v>ja</v>
          </cell>
          <cell r="H378" t="str">
            <v>2階 コスト制限なし</v>
          </cell>
          <cell r="I378" t="str">
            <v>タワーオブザクイーン</v>
          </cell>
          <cell r="J378">
            <v>343</v>
          </cell>
          <cell r="K378">
            <v>18</v>
          </cell>
          <cell r="L378">
            <v>990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character</v>
          </cell>
          <cell r="T378" t="str">
            <v>343,343,343</v>
          </cell>
          <cell r="U378">
            <v>13301</v>
          </cell>
          <cell r="V378">
            <v>1</v>
          </cell>
          <cell r="W378" t="str">
            <v>1階 コスト制限なし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965</v>
          </cell>
          <cell r="AD378">
            <v>6</v>
          </cell>
          <cell r="AE378" t="str">
            <v>singleonly</v>
          </cell>
        </row>
        <row r="379">
          <cell r="A379" t="str">
            <v>13301_3</v>
          </cell>
          <cell r="B379">
            <v>3</v>
          </cell>
          <cell r="C379">
            <v>13301</v>
          </cell>
          <cell r="D379" t="str">
            <v>タワーオブザクイーン -アヴァルシア-</v>
          </cell>
          <cell r="E379" t="str">
            <v>タワーオブザクイーン1本目</v>
          </cell>
          <cell r="F379">
            <v>3</v>
          </cell>
          <cell r="G379" t="str">
            <v>ja</v>
          </cell>
          <cell r="H379" t="str">
            <v>3階 コスト制限なし</v>
          </cell>
          <cell r="I379" t="str">
            <v>タワーオブザクイーン</v>
          </cell>
          <cell r="J379">
            <v>335</v>
          </cell>
          <cell r="K379">
            <v>19</v>
          </cell>
          <cell r="L379">
            <v>1140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character</v>
          </cell>
          <cell r="T379" t="str">
            <v>335,335,335</v>
          </cell>
          <cell r="U379">
            <v>13301</v>
          </cell>
          <cell r="V379">
            <v>2</v>
          </cell>
          <cell r="W379" t="str">
            <v>2階 コスト制限なし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965</v>
          </cell>
          <cell r="AD379">
            <v>6</v>
          </cell>
          <cell r="AE379" t="str">
            <v>singleonly</v>
          </cell>
        </row>
        <row r="380">
          <cell r="A380" t="str">
            <v>13301_4</v>
          </cell>
          <cell r="B380">
            <v>3</v>
          </cell>
          <cell r="C380">
            <v>13301</v>
          </cell>
          <cell r="D380" t="str">
            <v>タワーオブザクイーン -アヴァルシア-</v>
          </cell>
          <cell r="E380" t="str">
            <v>タワーオブザクイーン1本目</v>
          </cell>
          <cell r="F380">
            <v>4</v>
          </cell>
          <cell r="G380" t="str">
            <v>ja</v>
          </cell>
          <cell r="H380" t="str">
            <v>4階 コスト制限なし</v>
          </cell>
          <cell r="I380" t="str">
            <v>タワーオブザクイーン</v>
          </cell>
          <cell r="J380">
            <v>339</v>
          </cell>
          <cell r="K380">
            <v>20</v>
          </cell>
          <cell r="L380">
            <v>1300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character</v>
          </cell>
          <cell r="T380" t="str">
            <v>339,339,339</v>
          </cell>
          <cell r="U380">
            <v>13301</v>
          </cell>
          <cell r="V380">
            <v>3</v>
          </cell>
          <cell r="W380" t="str">
            <v>3階 コスト制限なし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965</v>
          </cell>
          <cell r="AD380">
            <v>6</v>
          </cell>
          <cell r="AE380" t="str">
            <v>singleonly</v>
          </cell>
        </row>
        <row r="381">
          <cell r="A381" t="str">
            <v>13301_5</v>
          </cell>
          <cell r="B381">
            <v>3</v>
          </cell>
          <cell r="C381">
            <v>13301</v>
          </cell>
          <cell r="D381" t="str">
            <v>タワーオブザクイーン -アヴァルシア-</v>
          </cell>
          <cell r="E381" t="str">
            <v>タワーオブザクイーン1本目</v>
          </cell>
          <cell r="F381">
            <v>5</v>
          </cell>
          <cell r="G381" t="str">
            <v>ja</v>
          </cell>
          <cell r="H381" t="str">
            <v>5階 コスト30以下限定</v>
          </cell>
          <cell r="I381" t="str">
            <v>タワーオブザクイーン</v>
          </cell>
          <cell r="J381">
            <v>837</v>
          </cell>
          <cell r="K381">
            <v>24</v>
          </cell>
          <cell r="L381">
            <v>1680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character</v>
          </cell>
          <cell r="T381" t="str">
            <v>837,610,125</v>
          </cell>
          <cell r="U381">
            <v>13301</v>
          </cell>
          <cell r="V381">
            <v>4</v>
          </cell>
          <cell r="W381" t="str">
            <v>4階 コスト制限なし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965</v>
          </cell>
          <cell r="AD381">
            <v>6</v>
          </cell>
          <cell r="AE381" t="str">
            <v>singleonly</v>
          </cell>
        </row>
        <row r="382">
          <cell r="A382" t="str">
            <v>13301_6</v>
          </cell>
          <cell r="B382">
            <v>3</v>
          </cell>
          <cell r="C382">
            <v>13301</v>
          </cell>
          <cell r="D382" t="str">
            <v>タワーオブザクイーン -アヴァルシア-</v>
          </cell>
          <cell r="E382" t="str">
            <v>タワーオブザクイーン1本目</v>
          </cell>
          <cell r="F382">
            <v>6</v>
          </cell>
          <cell r="G382" t="str">
            <v>ja</v>
          </cell>
          <cell r="H382" t="str">
            <v>6階 コスト30以下ヒューマン限定</v>
          </cell>
          <cell r="I382" t="str">
            <v>タワーオブザクイーン</v>
          </cell>
          <cell r="J382">
            <v>612</v>
          </cell>
          <cell r="K382">
            <v>25</v>
          </cell>
          <cell r="L382">
            <v>1875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character</v>
          </cell>
          <cell r="T382" t="str">
            <v>612,612,355</v>
          </cell>
          <cell r="U382">
            <v>13301</v>
          </cell>
          <cell r="V382">
            <v>5</v>
          </cell>
          <cell r="W382" t="str">
            <v>5階 コスト30以下限定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965</v>
          </cell>
          <cell r="AD382">
            <v>6</v>
          </cell>
          <cell r="AE382" t="str">
            <v>singleonly</v>
          </cell>
        </row>
        <row r="383">
          <cell r="A383" t="str">
            <v>13301_7</v>
          </cell>
          <cell r="B383">
            <v>3</v>
          </cell>
          <cell r="C383">
            <v>13301</v>
          </cell>
          <cell r="D383" t="str">
            <v>タワーオブザクイーン -アヴァルシア-</v>
          </cell>
          <cell r="E383" t="str">
            <v>タワーオブザクイーン1本目</v>
          </cell>
          <cell r="F383">
            <v>7</v>
          </cell>
          <cell r="G383" t="str">
            <v>ja</v>
          </cell>
          <cell r="H383" t="str">
            <v>7階 コスト制限なし</v>
          </cell>
          <cell r="I383" t="str">
            <v>タワーオブザクイーン</v>
          </cell>
          <cell r="J383">
            <v>613</v>
          </cell>
          <cell r="K383">
            <v>28</v>
          </cell>
          <cell r="L383">
            <v>2240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character</v>
          </cell>
          <cell r="T383" t="str">
            <v>613,613,353</v>
          </cell>
          <cell r="U383">
            <v>13301</v>
          </cell>
          <cell r="V383">
            <v>6</v>
          </cell>
          <cell r="W383" t="str">
            <v>6階 コスト30以下ヒューマン限定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965</v>
          </cell>
          <cell r="AD383">
            <v>6</v>
          </cell>
          <cell r="AE383" t="str">
            <v>singleonly</v>
          </cell>
        </row>
        <row r="384">
          <cell r="A384" t="str">
            <v>13301_8</v>
          </cell>
          <cell r="B384">
            <v>3</v>
          </cell>
          <cell r="C384">
            <v>13301</v>
          </cell>
          <cell r="D384" t="str">
            <v>タワーオブザクイーン -アヴァルシア-</v>
          </cell>
          <cell r="E384" t="str">
            <v>タワーオブザクイーン1本目</v>
          </cell>
          <cell r="F384">
            <v>8</v>
          </cell>
          <cell r="G384" t="str">
            <v>ja</v>
          </cell>
          <cell r="H384" t="str">
            <v>8階 コスト28以下限定</v>
          </cell>
          <cell r="I384" t="str">
            <v>タワーオブザクイーン</v>
          </cell>
          <cell r="J384">
            <v>611</v>
          </cell>
          <cell r="K384">
            <v>30</v>
          </cell>
          <cell r="L384">
            <v>2550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character</v>
          </cell>
          <cell r="T384" t="str">
            <v>611,611,349</v>
          </cell>
          <cell r="U384">
            <v>13301</v>
          </cell>
          <cell r="V384">
            <v>7</v>
          </cell>
          <cell r="W384" t="str">
            <v>7階 コスト制限なし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965</v>
          </cell>
          <cell r="AD384">
            <v>6</v>
          </cell>
          <cell r="AE384" t="str">
            <v>singleonly</v>
          </cell>
        </row>
        <row r="385">
          <cell r="A385" t="str">
            <v>13301_9</v>
          </cell>
          <cell r="B385">
            <v>3</v>
          </cell>
          <cell r="C385">
            <v>13301</v>
          </cell>
          <cell r="D385" t="str">
            <v>タワーオブザクイーン -アヴァルシア-</v>
          </cell>
          <cell r="E385" t="str">
            <v>タワーオブザクイーン1本目</v>
          </cell>
          <cell r="F385">
            <v>9</v>
          </cell>
          <cell r="G385" t="str">
            <v>ja</v>
          </cell>
          <cell r="H385" t="str">
            <v>9階 コスト28以下ヒューマン限定</v>
          </cell>
          <cell r="I385" t="str">
            <v>タワーオブザクイーン</v>
          </cell>
          <cell r="J385">
            <v>837</v>
          </cell>
          <cell r="K385">
            <v>31</v>
          </cell>
          <cell r="L385">
            <v>2790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character</v>
          </cell>
          <cell r="T385" t="str">
            <v>837,610,125</v>
          </cell>
          <cell r="U385">
            <v>13301</v>
          </cell>
          <cell r="V385">
            <v>8</v>
          </cell>
          <cell r="W385" t="str">
            <v>8階 コスト28以下限定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965</v>
          </cell>
          <cell r="AD385">
            <v>6</v>
          </cell>
          <cell r="AE385" t="str">
            <v>singleonly</v>
          </cell>
        </row>
        <row r="386">
          <cell r="A386" t="str">
            <v>13301_10</v>
          </cell>
          <cell r="B386">
            <v>3</v>
          </cell>
          <cell r="C386">
            <v>13301</v>
          </cell>
          <cell r="D386" t="str">
            <v>タワーオブザクイーン -アヴァルシア-</v>
          </cell>
          <cell r="E386" t="str">
            <v>タワーオブザクイーン1本目</v>
          </cell>
          <cell r="F386">
            <v>10</v>
          </cell>
          <cell r="G386" t="str">
            <v>ja</v>
          </cell>
          <cell r="H386" t="str">
            <v>10階 ボナンザ 現る！</v>
          </cell>
          <cell r="I386" t="str">
            <v>タワーオブザクイーン</v>
          </cell>
          <cell r="J386">
            <v>0</v>
          </cell>
          <cell r="K386">
            <v>35</v>
          </cell>
          <cell r="L386">
            <v>3325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polygon</v>
          </cell>
          <cell r="T386" t="str">
            <v>2</v>
          </cell>
          <cell r="U386">
            <v>13301</v>
          </cell>
          <cell r="V386">
            <v>9</v>
          </cell>
          <cell r="W386" t="str">
            <v>9階 コスト28以下ヒューマン限定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965</v>
          </cell>
          <cell r="AD386">
            <v>6</v>
          </cell>
          <cell r="AE386" t="str">
            <v>singleonly</v>
          </cell>
        </row>
        <row r="387">
          <cell r="A387" t="str">
            <v>13301_11</v>
          </cell>
          <cell r="B387">
            <v>3</v>
          </cell>
          <cell r="C387">
            <v>13301</v>
          </cell>
          <cell r="D387" t="str">
            <v>タワーオブザクイーン -アヴァルシア-</v>
          </cell>
          <cell r="E387" t="str">
            <v>タワーオブザクイーン1本目</v>
          </cell>
          <cell r="F387">
            <v>11</v>
          </cell>
          <cell r="G387" t="str">
            <v>ja</v>
          </cell>
          <cell r="H387" t="str">
            <v>11階 コスト30以下限定</v>
          </cell>
          <cell r="I387" t="str">
            <v>タワーオブザクイーン</v>
          </cell>
          <cell r="J387">
            <v>612</v>
          </cell>
          <cell r="K387">
            <v>37</v>
          </cell>
          <cell r="L387">
            <v>3700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character</v>
          </cell>
          <cell r="T387" t="str">
            <v>612,612,612</v>
          </cell>
          <cell r="U387">
            <v>13301</v>
          </cell>
          <cell r="V387">
            <v>10</v>
          </cell>
          <cell r="W387" t="str">
            <v>10階 ボナンザ 現る！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965</v>
          </cell>
          <cell r="AD387">
            <v>6</v>
          </cell>
          <cell r="AE387" t="str">
            <v>singleonly</v>
          </cell>
        </row>
        <row r="388">
          <cell r="A388" t="str">
            <v>13301_12</v>
          </cell>
          <cell r="B388">
            <v>3</v>
          </cell>
          <cell r="C388">
            <v>13301</v>
          </cell>
          <cell r="D388" t="str">
            <v>タワーオブザクイーン -アヴァルシア-</v>
          </cell>
          <cell r="E388" t="str">
            <v>タワーオブザクイーン1本目</v>
          </cell>
          <cell r="F388">
            <v>12</v>
          </cell>
          <cell r="G388" t="str">
            <v>ja</v>
          </cell>
          <cell r="H388" t="str">
            <v>12階 コスト30以下ヒューマン限定</v>
          </cell>
          <cell r="I388" t="str">
            <v>タワーオブザクイーン</v>
          </cell>
          <cell r="J388">
            <v>613</v>
          </cell>
          <cell r="K388">
            <v>38</v>
          </cell>
          <cell r="L388">
            <v>3990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character</v>
          </cell>
          <cell r="T388" t="str">
            <v>613,613,613</v>
          </cell>
          <cell r="U388">
            <v>13301</v>
          </cell>
          <cell r="V388">
            <v>11</v>
          </cell>
          <cell r="W388" t="str">
            <v>11階 コスト30以下限定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965</v>
          </cell>
          <cell r="AD388">
            <v>6</v>
          </cell>
          <cell r="AE388" t="str">
            <v>singleonly</v>
          </cell>
        </row>
        <row r="389">
          <cell r="A389" t="str">
            <v>13301_13</v>
          </cell>
          <cell r="B389">
            <v>3</v>
          </cell>
          <cell r="C389">
            <v>13301</v>
          </cell>
          <cell r="D389" t="str">
            <v>タワーオブザクイーン -アヴァルシア-</v>
          </cell>
          <cell r="E389" t="str">
            <v>タワーオブザクイーン1本目</v>
          </cell>
          <cell r="F389">
            <v>13</v>
          </cell>
          <cell r="G389" t="str">
            <v>ja</v>
          </cell>
          <cell r="H389" t="str">
            <v>13階 コスト制限なし</v>
          </cell>
          <cell r="I389" t="str">
            <v>タワーオブザクイーン</v>
          </cell>
          <cell r="J389">
            <v>611</v>
          </cell>
          <cell r="K389">
            <v>39</v>
          </cell>
          <cell r="L389">
            <v>4290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character</v>
          </cell>
          <cell r="T389" t="str">
            <v>611,611,611</v>
          </cell>
          <cell r="U389">
            <v>13301</v>
          </cell>
          <cell r="V389">
            <v>12</v>
          </cell>
          <cell r="W389" t="str">
            <v>12階 コスト30以下ヒューマン限定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965</v>
          </cell>
          <cell r="AD389">
            <v>6</v>
          </cell>
          <cell r="AE389" t="str">
            <v>singleonly</v>
          </cell>
        </row>
        <row r="390">
          <cell r="A390" t="str">
            <v>13301_14</v>
          </cell>
          <cell r="B390">
            <v>3</v>
          </cell>
          <cell r="C390">
            <v>13301</v>
          </cell>
          <cell r="D390" t="str">
            <v>タワーオブザクイーン -アヴァルシア-</v>
          </cell>
          <cell r="E390" t="str">
            <v>タワーオブザクイーン1本目</v>
          </cell>
          <cell r="F390">
            <v>14</v>
          </cell>
          <cell r="G390" t="str">
            <v>ja</v>
          </cell>
          <cell r="H390" t="str">
            <v>14階 コスト制限なし</v>
          </cell>
          <cell r="I390" t="str">
            <v>タワーオブザクイーン</v>
          </cell>
          <cell r="J390">
            <v>614</v>
          </cell>
          <cell r="K390">
            <v>40</v>
          </cell>
          <cell r="L390">
            <v>4600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character</v>
          </cell>
          <cell r="T390" t="str">
            <v>614,611,351</v>
          </cell>
          <cell r="U390">
            <v>13301</v>
          </cell>
          <cell r="V390">
            <v>13</v>
          </cell>
          <cell r="W390" t="str">
            <v>13階 コスト制限なし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965</v>
          </cell>
          <cell r="AD390">
            <v>6</v>
          </cell>
          <cell r="AE390" t="str">
            <v>singleonly</v>
          </cell>
        </row>
        <row r="391">
          <cell r="A391" t="str">
            <v>13301_15</v>
          </cell>
          <cell r="B391">
            <v>3</v>
          </cell>
          <cell r="C391">
            <v>13301</v>
          </cell>
          <cell r="D391" t="str">
            <v>タワーオブザクイーン -アヴァルシア-</v>
          </cell>
          <cell r="E391" t="str">
            <v>タワーオブザクイーン1本目</v>
          </cell>
          <cell r="F391">
            <v>15</v>
          </cell>
          <cell r="G391" t="str">
            <v>ja</v>
          </cell>
          <cell r="H391" t="str">
            <v>15階 アヴァルシアの女王 ボナンザ</v>
          </cell>
          <cell r="I391" t="str">
            <v>タワーオブザクイーン</v>
          </cell>
          <cell r="J391">
            <v>1115</v>
          </cell>
          <cell r="K391">
            <v>50</v>
          </cell>
          <cell r="L391">
            <v>6250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character</v>
          </cell>
          <cell r="T391" t="str">
            <v>1114</v>
          </cell>
          <cell r="U391">
            <v>13301</v>
          </cell>
          <cell r="V391">
            <v>14</v>
          </cell>
          <cell r="W391" t="str">
            <v>14階 コスト制限なし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965</v>
          </cell>
          <cell r="AD391">
            <v>6</v>
          </cell>
          <cell r="AE391" t="str">
            <v>singleonly</v>
          </cell>
        </row>
        <row r="392">
          <cell r="A392" t="str">
            <v>13302_1</v>
          </cell>
          <cell r="B392">
            <v>3</v>
          </cell>
          <cell r="C392">
            <v>13302</v>
          </cell>
          <cell r="D392" t="str">
            <v>タワーオブザクイーン -アヴァルシア-</v>
          </cell>
          <cell r="E392" t="str">
            <v>タワーオブザクイーン1本目</v>
          </cell>
          <cell r="F392">
            <v>1</v>
          </cell>
          <cell r="G392" t="str">
            <v>ja</v>
          </cell>
          <cell r="H392" t="str">
            <v>1階 コスト制限なし</v>
          </cell>
          <cell r="I392" t="str">
            <v>タワーオブザクイーン</v>
          </cell>
          <cell r="J392">
            <v>347</v>
          </cell>
          <cell r="K392">
            <v>10</v>
          </cell>
          <cell r="L392">
            <v>600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character</v>
          </cell>
          <cell r="T392" t="str">
            <v>347,837,347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965</v>
          </cell>
          <cell r="AD392">
            <v>6</v>
          </cell>
          <cell r="AE392" t="str">
            <v>singleonly</v>
          </cell>
        </row>
        <row r="393">
          <cell r="A393" t="str">
            <v>13302_2</v>
          </cell>
          <cell r="B393">
            <v>3</v>
          </cell>
          <cell r="C393">
            <v>13302</v>
          </cell>
          <cell r="D393" t="str">
            <v>タワーオブザクイーン -アヴァルシア-</v>
          </cell>
          <cell r="E393" t="str">
            <v>タワーオブザクイーン1本目</v>
          </cell>
          <cell r="F393">
            <v>2</v>
          </cell>
          <cell r="G393" t="str">
            <v>ja</v>
          </cell>
          <cell r="H393" t="str">
            <v>2階 コスト制限なし</v>
          </cell>
          <cell r="I393" t="str">
            <v>タワーオブザクイーン</v>
          </cell>
          <cell r="J393">
            <v>343</v>
          </cell>
          <cell r="K393">
            <v>11</v>
          </cell>
          <cell r="L393">
            <v>860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character</v>
          </cell>
          <cell r="T393" t="str">
            <v>343,343,125</v>
          </cell>
          <cell r="U393">
            <v>13302</v>
          </cell>
          <cell r="V393">
            <v>1</v>
          </cell>
          <cell r="W393" t="str">
            <v>1階 コスト制限なし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965</v>
          </cell>
          <cell r="AD393">
            <v>6</v>
          </cell>
          <cell r="AE393" t="str">
            <v>singleonly</v>
          </cell>
        </row>
        <row r="394">
          <cell r="A394" t="str">
            <v>13302_3</v>
          </cell>
          <cell r="B394">
            <v>3</v>
          </cell>
          <cell r="C394">
            <v>13302</v>
          </cell>
          <cell r="D394" t="str">
            <v>タワーオブザクイーン -アヴァルシア-</v>
          </cell>
          <cell r="E394" t="str">
            <v>タワーオブザクイーン1本目</v>
          </cell>
          <cell r="F394">
            <v>3</v>
          </cell>
          <cell r="G394" t="str">
            <v>ja</v>
          </cell>
          <cell r="H394" t="str">
            <v>3階 コスト制限なし</v>
          </cell>
          <cell r="I394" t="str">
            <v>タワーオブザクイーン</v>
          </cell>
          <cell r="J394">
            <v>335</v>
          </cell>
          <cell r="K394">
            <v>12</v>
          </cell>
          <cell r="L394">
            <v>1140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character</v>
          </cell>
          <cell r="T394" t="str">
            <v>335,335,125</v>
          </cell>
          <cell r="U394">
            <v>13302</v>
          </cell>
          <cell r="V394">
            <v>2</v>
          </cell>
          <cell r="W394" t="str">
            <v>2階 コスト制限なし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965</v>
          </cell>
          <cell r="AD394">
            <v>6</v>
          </cell>
          <cell r="AE394" t="str">
            <v>singleonly</v>
          </cell>
        </row>
        <row r="395">
          <cell r="A395" t="str">
            <v>13302_4</v>
          </cell>
          <cell r="B395">
            <v>3</v>
          </cell>
          <cell r="C395">
            <v>13302</v>
          </cell>
          <cell r="D395" t="str">
            <v>タワーオブザクイーン -アヴァルシア-</v>
          </cell>
          <cell r="E395" t="str">
            <v>タワーオブザクイーン1本目</v>
          </cell>
          <cell r="F395">
            <v>4</v>
          </cell>
          <cell r="G395" t="str">
            <v>ja</v>
          </cell>
          <cell r="H395" t="str">
            <v>4階 コスト制限なし</v>
          </cell>
          <cell r="I395" t="str">
            <v>タワーオブザクイーン</v>
          </cell>
          <cell r="J395">
            <v>339</v>
          </cell>
          <cell r="K395">
            <v>13</v>
          </cell>
          <cell r="L395">
            <v>1440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character</v>
          </cell>
          <cell r="T395" t="str">
            <v>339,339,125</v>
          </cell>
          <cell r="U395">
            <v>13302</v>
          </cell>
          <cell r="V395">
            <v>3</v>
          </cell>
          <cell r="W395" t="str">
            <v>3階 コスト制限なし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965</v>
          </cell>
          <cell r="AD395">
            <v>6</v>
          </cell>
          <cell r="AE395" t="str">
            <v>singleonly</v>
          </cell>
        </row>
        <row r="396">
          <cell r="A396" t="str">
            <v>13302_5</v>
          </cell>
          <cell r="B396">
            <v>3</v>
          </cell>
          <cell r="C396">
            <v>13302</v>
          </cell>
          <cell r="D396" t="str">
            <v>タワーオブザクイーン -アヴァルシア-</v>
          </cell>
          <cell r="E396" t="str">
            <v>タワーオブザクイーン1本目</v>
          </cell>
          <cell r="F396">
            <v>5</v>
          </cell>
          <cell r="G396" t="str">
            <v>ja</v>
          </cell>
          <cell r="H396" t="str">
            <v>5階 コスト30以下限定</v>
          </cell>
          <cell r="I396" t="str">
            <v>タワーオブザクイーン</v>
          </cell>
          <cell r="J396">
            <v>837</v>
          </cell>
          <cell r="K396">
            <v>14</v>
          </cell>
          <cell r="L396">
            <v>1760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character</v>
          </cell>
          <cell r="T396" t="str">
            <v>837,610,610</v>
          </cell>
          <cell r="U396">
            <v>13302</v>
          </cell>
          <cell r="V396">
            <v>4</v>
          </cell>
          <cell r="W396" t="str">
            <v>4階 コスト制限なし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965</v>
          </cell>
          <cell r="AD396">
            <v>6</v>
          </cell>
          <cell r="AE396" t="str">
            <v>singleonly</v>
          </cell>
        </row>
        <row r="397">
          <cell r="A397" t="str">
            <v>13302_6</v>
          </cell>
          <cell r="B397">
            <v>3</v>
          </cell>
          <cell r="C397">
            <v>13302</v>
          </cell>
          <cell r="D397" t="str">
            <v>タワーオブザクイーン -アヴァルシア-</v>
          </cell>
          <cell r="E397" t="str">
            <v>タワーオブザクイーン1本目</v>
          </cell>
          <cell r="F397">
            <v>6</v>
          </cell>
          <cell r="G397" t="str">
            <v>ja</v>
          </cell>
          <cell r="H397" t="str">
            <v>6階 コスト30以下ヒューマン限定</v>
          </cell>
          <cell r="I397" t="str">
            <v>タワーオブザクイーン</v>
          </cell>
          <cell r="J397">
            <v>612</v>
          </cell>
          <cell r="K397">
            <v>15</v>
          </cell>
          <cell r="L397">
            <v>2100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character</v>
          </cell>
          <cell r="T397" t="str">
            <v>612,612,355</v>
          </cell>
          <cell r="U397">
            <v>13302</v>
          </cell>
          <cell r="V397">
            <v>5</v>
          </cell>
          <cell r="W397" t="str">
            <v>5階 コスト30以下限定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965</v>
          </cell>
          <cell r="AD397">
            <v>6</v>
          </cell>
          <cell r="AE397" t="str">
            <v>singleonly</v>
          </cell>
        </row>
        <row r="398">
          <cell r="A398" t="str">
            <v>13302_7</v>
          </cell>
          <cell r="B398">
            <v>3</v>
          </cell>
          <cell r="C398">
            <v>13302</v>
          </cell>
          <cell r="D398" t="str">
            <v>タワーオブザクイーン -アヴァルシア-</v>
          </cell>
          <cell r="E398" t="str">
            <v>タワーオブザクイーン1本目</v>
          </cell>
          <cell r="F398">
            <v>7</v>
          </cell>
          <cell r="G398" t="str">
            <v>ja</v>
          </cell>
          <cell r="H398" t="str">
            <v>7階 コスト制限なし</v>
          </cell>
          <cell r="I398" t="str">
            <v>タワーオブザクイーン</v>
          </cell>
          <cell r="J398">
            <v>613</v>
          </cell>
          <cell r="K398">
            <v>16</v>
          </cell>
          <cell r="L398">
            <v>2460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character</v>
          </cell>
          <cell r="T398" t="str">
            <v>613,613,353</v>
          </cell>
          <cell r="U398">
            <v>13302</v>
          </cell>
          <cell r="V398">
            <v>6</v>
          </cell>
          <cell r="W398" t="str">
            <v>6階 コスト30以下ヒューマン限定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965</v>
          </cell>
          <cell r="AD398">
            <v>6</v>
          </cell>
          <cell r="AE398" t="str">
            <v>singleonly</v>
          </cell>
        </row>
        <row r="399">
          <cell r="A399" t="str">
            <v>13302_8</v>
          </cell>
          <cell r="B399">
            <v>3</v>
          </cell>
          <cell r="C399">
            <v>13302</v>
          </cell>
          <cell r="D399" t="str">
            <v>タワーオブザクイーン -アヴァルシア-</v>
          </cell>
          <cell r="E399" t="str">
            <v>タワーオブザクイーン1本目</v>
          </cell>
          <cell r="F399">
            <v>8</v>
          </cell>
          <cell r="G399" t="str">
            <v>ja</v>
          </cell>
          <cell r="H399" t="str">
            <v>8階 コスト28以下限定</v>
          </cell>
          <cell r="I399" t="str">
            <v>タワーオブザクイーン</v>
          </cell>
          <cell r="J399">
            <v>611</v>
          </cell>
          <cell r="K399">
            <v>17</v>
          </cell>
          <cell r="L399">
            <v>2840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character</v>
          </cell>
          <cell r="T399" t="str">
            <v>611,611,349</v>
          </cell>
          <cell r="U399">
            <v>13302</v>
          </cell>
          <cell r="V399">
            <v>7</v>
          </cell>
          <cell r="W399" t="str">
            <v>7階 コスト制限なし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965</v>
          </cell>
          <cell r="AD399">
            <v>6</v>
          </cell>
          <cell r="AE399" t="str">
            <v>singleonly</v>
          </cell>
        </row>
        <row r="400">
          <cell r="A400" t="str">
            <v>13302_9</v>
          </cell>
          <cell r="B400">
            <v>3</v>
          </cell>
          <cell r="C400">
            <v>13302</v>
          </cell>
          <cell r="D400" t="str">
            <v>タワーオブザクイーン -アヴァルシア-</v>
          </cell>
          <cell r="E400" t="str">
            <v>タワーオブザクイーン1本目</v>
          </cell>
          <cell r="F400">
            <v>9</v>
          </cell>
          <cell r="G400" t="str">
            <v>ja</v>
          </cell>
          <cell r="H400" t="str">
            <v>9階 コスト28以下ヒューマン限定</v>
          </cell>
          <cell r="I400" t="str">
            <v>タワーオブザクイーン</v>
          </cell>
          <cell r="J400">
            <v>837</v>
          </cell>
          <cell r="K400">
            <v>18</v>
          </cell>
          <cell r="L400">
            <v>3240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character</v>
          </cell>
          <cell r="T400" t="str">
            <v>837,614,351</v>
          </cell>
          <cell r="U400">
            <v>13302</v>
          </cell>
          <cell r="V400">
            <v>8</v>
          </cell>
          <cell r="W400" t="str">
            <v>8階 コスト28以下限定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965</v>
          </cell>
          <cell r="AD400">
            <v>6</v>
          </cell>
          <cell r="AE400" t="str">
            <v>singleonly</v>
          </cell>
        </row>
        <row r="401">
          <cell r="A401" t="str">
            <v>13302_10</v>
          </cell>
          <cell r="B401">
            <v>3</v>
          </cell>
          <cell r="C401">
            <v>13302</v>
          </cell>
          <cell r="D401" t="str">
            <v>タワーオブザクイーン -アヴァルシア-</v>
          </cell>
          <cell r="E401" t="str">
            <v>タワーオブザクイーン1本目</v>
          </cell>
          <cell r="F401">
            <v>10</v>
          </cell>
          <cell r="G401" t="str">
            <v>ja</v>
          </cell>
          <cell r="H401" t="str">
            <v>10階 ボナンザ 現る！</v>
          </cell>
          <cell r="I401" t="str">
            <v>タワーオブザクイーン</v>
          </cell>
          <cell r="J401">
            <v>0</v>
          </cell>
          <cell r="K401">
            <v>19</v>
          </cell>
          <cell r="L401">
            <v>3660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polygon</v>
          </cell>
          <cell r="T401" t="str">
            <v>7</v>
          </cell>
          <cell r="U401">
            <v>13302</v>
          </cell>
          <cell r="V401">
            <v>9</v>
          </cell>
          <cell r="W401" t="str">
            <v>9階 コスト28以下ヒューマン限定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965</v>
          </cell>
          <cell r="AD401">
            <v>6</v>
          </cell>
          <cell r="AE401" t="str">
            <v>singleonly</v>
          </cell>
        </row>
        <row r="402">
          <cell r="A402" t="str">
            <v>13302_11</v>
          </cell>
          <cell r="B402">
            <v>3</v>
          </cell>
          <cell r="C402">
            <v>13302</v>
          </cell>
          <cell r="D402" t="str">
            <v>タワーオブザクイーン -アヴァルシア-</v>
          </cell>
          <cell r="E402" t="str">
            <v>タワーオブザクイーン1本目</v>
          </cell>
          <cell r="F402">
            <v>11</v>
          </cell>
          <cell r="G402" t="str">
            <v>ja</v>
          </cell>
          <cell r="H402" t="str">
            <v>11階 コスト30以下限定</v>
          </cell>
          <cell r="I402" t="str">
            <v>タワーオブザクイーン</v>
          </cell>
          <cell r="J402">
            <v>612</v>
          </cell>
          <cell r="K402">
            <v>20</v>
          </cell>
          <cell r="L402">
            <v>4100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character</v>
          </cell>
          <cell r="T402" t="str">
            <v>612,612,612</v>
          </cell>
          <cell r="U402">
            <v>13302</v>
          </cell>
          <cell r="V402">
            <v>10</v>
          </cell>
          <cell r="W402" t="str">
            <v>10階 ボナンザ 現る！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965</v>
          </cell>
          <cell r="AD402">
            <v>6</v>
          </cell>
          <cell r="AE402" t="str">
            <v>singleonly</v>
          </cell>
        </row>
        <row r="403">
          <cell r="A403" t="str">
            <v>13302_12</v>
          </cell>
          <cell r="B403">
            <v>3</v>
          </cell>
          <cell r="C403">
            <v>13302</v>
          </cell>
          <cell r="D403" t="str">
            <v>タワーオブザクイーン -アヴァルシア-</v>
          </cell>
          <cell r="E403" t="str">
            <v>タワーオブザクイーン1本目</v>
          </cell>
          <cell r="F403">
            <v>12</v>
          </cell>
          <cell r="G403" t="str">
            <v>ja</v>
          </cell>
          <cell r="H403" t="str">
            <v>12階 コスト30以下ヒューマン限定</v>
          </cell>
          <cell r="I403" t="str">
            <v>タワーオブザクイーン</v>
          </cell>
          <cell r="J403">
            <v>613</v>
          </cell>
          <cell r="K403">
            <v>21</v>
          </cell>
          <cell r="L403">
            <v>4560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character</v>
          </cell>
          <cell r="T403" t="str">
            <v>613,613,613</v>
          </cell>
          <cell r="U403">
            <v>13302</v>
          </cell>
          <cell r="V403">
            <v>11</v>
          </cell>
          <cell r="W403" t="str">
            <v>11階 コスト30以下限定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965</v>
          </cell>
          <cell r="AD403">
            <v>6</v>
          </cell>
          <cell r="AE403" t="str">
            <v>singleonly</v>
          </cell>
        </row>
        <row r="404">
          <cell r="A404" t="str">
            <v>13302_13</v>
          </cell>
          <cell r="B404">
            <v>3</v>
          </cell>
          <cell r="C404">
            <v>13302</v>
          </cell>
          <cell r="D404" t="str">
            <v>タワーオブザクイーン -アヴァルシア-</v>
          </cell>
          <cell r="E404" t="str">
            <v>タワーオブザクイーン1本目</v>
          </cell>
          <cell r="F404">
            <v>13</v>
          </cell>
          <cell r="G404" t="str">
            <v>ja</v>
          </cell>
          <cell r="H404" t="str">
            <v>13階 コスト制限なし</v>
          </cell>
          <cell r="I404" t="str">
            <v>タワーオブザクイーン</v>
          </cell>
          <cell r="J404">
            <v>611</v>
          </cell>
          <cell r="K404">
            <v>22</v>
          </cell>
          <cell r="L404">
            <v>5040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character</v>
          </cell>
          <cell r="T404" t="str">
            <v>611,611,611</v>
          </cell>
          <cell r="U404">
            <v>13302</v>
          </cell>
          <cell r="V404">
            <v>12</v>
          </cell>
          <cell r="W404" t="str">
            <v>12階 コスト30以下ヒューマン限定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965</v>
          </cell>
          <cell r="AD404">
            <v>6</v>
          </cell>
          <cell r="AE404" t="str">
            <v>singleonly</v>
          </cell>
        </row>
        <row r="405">
          <cell r="A405" t="str">
            <v>13302_14</v>
          </cell>
          <cell r="B405">
            <v>3</v>
          </cell>
          <cell r="C405">
            <v>13302</v>
          </cell>
          <cell r="D405" t="str">
            <v>タワーオブザクイーン -アヴァルシア-</v>
          </cell>
          <cell r="E405" t="str">
            <v>タワーオブザクイーン1本目</v>
          </cell>
          <cell r="F405">
            <v>14</v>
          </cell>
          <cell r="G405" t="str">
            <v>ja</v>
          </cell>
          <cell r="H405" t="str">
            <v>14階 コスト制限なし</v>
          </cell>
          <cell r="I405" t="str">
            <v>タワーオブザクイーン</v>
          </cell>
          <cell r="J405">
            <v>614</v>
          </cell>
          <cell r="K405">
            <v>23</v>
          </cell>
          <cell r="L405">
            <v>5540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character</v>
          </cell>
          <cell r="T405" t="str">
            <v>614,614</v>
          </cell>
          <cell r="U405">
            <v>13302</v>
          </cell>
          <cell r="V405">
            <v>13</v>
          </cell>
          <cell r="W405" t="str">
            <v>13階 コスト制限なし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965</v>
          </cell>
          <cell r="AD405">
            <v>6</v>
          </cell>
          <cell r="AE405" t="str">
            <v>singleonly</v>
          </cell>
        </row>
        <row r="406">
          <cell r="A406" t="str">
            <v>13302_15</v>
          </cell>
          <cell r="B406">
            <v>3</v>
          </cell>
          <cell r="C406">
            <v>13302</v>
          </cell>
          <cell r="D406" t="str">
            <v>タワーオブザクイーン -アヴァルシア-</v>
          </cell>
          <cell r="E406" t="str">
            <v>タワーオブザクイーン1本目</v>
          </cell>
          <cell r="F406">
            <v>15</v>
          </cell>
          <cell r="G406" t="str">
            <v>ja</v>
          </cell>
          <cell r="H406" t="str">
            <v>15階 アヴァルシアの女王 ボナンザ</v>
          </cell>
          <cell r="I406" t="str">
            <v>タワーオブザクイーン</v>
          </cell>
          <cell r="J406">
            <v>1115</v>
          </cell>
          <cell r="K406">
            <v>50</v>
          </cell>
          <cell r="L406">
            <v>10000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character</v>
          </cell>
          <cell r="T406" t="str">
            <v>1114</v>
          </cell>
          <cell r="U406">
            <v>13302</v>
          </cell>
          <cell r="V406">
            <v>14</v>
          </cell>
          <cell r="W406" t="str">
            <v>14階 コスト制限なし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965</v>
          </cell>
          <cell r="AD406">
            <v>6</v>
          </cell>
          <cell r="AE406" t="str">
            <v>singleonly</v>
          </cell>
        </row>
        <row r="407">
          <cell r="A407" t="str">
            <v>13400_1</v>
          </cell>
          <cell r="B407">
            <v>3</v>
          </cell>
          <cell r="C407">
            <v>13400</v>
          </cell>
          <cell r="D407" t="str">
            <v>タワーオブザクイーン -エルフラム-</v>
          </cell>
          <cell r="E407" t="str">
            <v>タワーオブザクイーン2本目</v>
          </cell>
          <cell r="F407">
            <v>1</v>
          </cell>
          <cell r="G407" t="str">
            <v>ja</v>
          </cell>
          <cell r="H407" t="str">
            <v>1階 コスト制限なし</v>
          </cell>
          <cell r="I407" t="str">
            <v>タワーオブザクイーン</v>
          </cell>
          <cell r="J407">
            <v>347</v>
          </cell>
          <cell r="K407">
            <v>10</v>
          </cell>
          <cell r="L407">
            <v>600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character</v>
          </cell>
          <cell r="T407" t="str">
            <v>347,837,347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976</v>
          </cell>
          <cell r="AD407">
            <v>6</v>
          </cell>
          <cell r="AE407" t="str">
            <v>singleonly</v>
          </cell>
        </row>
        <row r="408">
          <cell r="A408" t="str">
            <v>13400_2</v>
          </cell>
          <cell r="B408">
            <v>3</v>
          </cell>
          <cell r="C408">
            <v>13400</v>
          </cell>
          <cell r="D408" t="str">
            <v>タワーオブザクイーン -エルフラム-</v>
          </cell>
          <cell r="E408" t="str">
            <v>タワーオブザクイーン2本目</v>
          </cell>
          <cell r="F408">
            <v>2</v>
          </cell>
          <cell r="G408" t="str">
            <v>ja</v>
          </cell>
          <cell r="H408" t="str">
            <v>2階 コスト制限なし</v>
          </cell>
          <cell r="I408" t="str">
            <v>タワーオブザクイーン</v>
          </cell>
          <cell r="J408">
            <v>343</v>
          </cell>
          <cell r="K408">
            <v>11</v>
          </cell>
          <cell r="L408">
            <v>860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character</v>
          </cell>
          <cell r="T408" t="str">
            <v>343,343,125</v>
          </cell>
          <cell r="U408">
            <v>13400</v>
          </cell>
          <cell r="V408">
            <v>1</v>
          </cell>
          <cell r="W408" t="str">
            <v>1階 コスト制限なし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976</v>
          </cell>
          <cell r="AD408">
            <v>6</v>
          </cell>
          <cell r="AE408" t="str">
            <v>singleonly</v>
          </cell>
        </row>
        <row r="409">
          <cell r="A409" t="str">
            <v>13400_3</v>
          </cell>
          <cell r="B409">
            <v>3</v>
          </cell>
          <cell r="C409">
            <v>13400</v>
          </cell>
          <cell r="D409" t="str">
            <v>タワーオブザクイーン -エルフラム-</v>
          </cell>
          <cell r="E409" t="str">
            <v>タワーオブザクイーン2本目</v>
          </cell>
          <cell r="F409">
            <v>3</v>
          </cell>
          <cell r="G409" t="str">
            <v>ja</v>
          </cell>
          <cell r="H409" t="str">
            <v>3階 コスト制限なし</v>
          </cell>
          <cell r="I409" t="str">
            <v>タワーオブザクイーン</v>
          </cell>
          <cell r="J409">
            <v>335</v>
          </cell>
          <cell r="K409">
            <v>12</v>
          </cell>
          <cell r="L409">
            <v>1140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character</v>
          </cell>
          <cell r="T409" t="str">
            <v>335,335,125</v>
          </cell>
          <cell r="U409">
            <v>13400</v>
          </cell>
          <cell r="V409">
            <v>2</v>
          </cell>
          <cell r="W409" t="str">
            <v>2階 コスト制限なし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976</v>
          </cell>
          <cell r="AD409">
            <v>6</v>
          </cell>
          <cell r="AE409" t="str">
            <v>singleonly</v>
          </cell>
        </row>
        <row r="410">
          <cell r="A410" t="str">
            <v>13400_4</v>
          </cell>
          <cell r="B410">
            <v>3</v>
          </cell>
          <cell r="C410">
            <v>13400</v>
          </cell>
          <cell r="D410" t="str">
            <v>タワーオブザクイーン -エルフラム-</v>
          </cell>
          <cell r="E410" t="str">
            <v>タワーオブザクイーン2本目</v>
          </cell>
          <cell r="F410">
            <v>4</v>
          </cell>
          <cell r="G410" t="str">
            <v>ja</v>
          </cell>
          <cell r="H410" t="str">
            <v>4階 コスト制限なし</v>
          </cell>
          <cell r="I410" t="str">
            <v>タワーオブザクイーン</v>
          </cell>
          <cell r="J410">
            <v>339</v>
          </cell>
          <cell r="K410">
            <v>13</v>
          </cell>
          <cell r="L410">
            <v>1440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character</v>
          </cell>
          <cell r="T410" t="str">
            <v>339,339,125</v>
          </cell>
          <cell r="U410">
            <v>13400</v>
          </cell>
          <cell r="V410">
            <v>3</v>
          </cell>
          <cell r="W410" t="str">
            <v>3階 コスト制限なし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976</v>
          </cell>
          <cell r="AD410">
            <v>6</v>
          </cell>
          <cell r="AE410" t="str">
            <v>singleonly</v>
          </cell>
        </row>
        <row r="411">
          <cell r="A411" t="str">
            <v>13400_5</v>
          </cell>
          <cell r="B411">
            <v>3</v>
          </cell>
          <cell r="C411">
            <v>13400</v>
          </cell>
          <cell r="D411" t="str">
            <v>タワーオブザクイーン -エルフラム-</v>
          </cell>
          <cell r="E411" t="str">
            <v>タワーオブザクイーン2本目</v>
          </cell>
          <cell r="F411">
            <v>5</v>
          </cell>
          <cell r="G411" t="str">
            <v>ja</v>
          </cell>
          <cell r="H411" t="str">
            <v>5階 バランスタイプ限定</v>
          </cell>
          <cell r="I411" t="str">
            <v>タワーオブザクイーン</v>
          </cell>
          <cell r="J411">
            <v>837</v>
          </cell>
          <cell r="K411">
            <v>14</v>
          </cell>
          <cell r="L411">
            <v>1760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character</v>
          </cell>
          <cell r="T411" t="str">
            <v>837,610,610</v>
          </cell>
          <cell r="U411">
            <v>13400</v>
          </cell>
          <cell r="V411">
            <v>4</v>
          </cell>
          <cell r="W411" t="str">
            <v>4階 コスト制限なし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976</v>
          </cell>
          <cell r="AD411">
            <v>6</v>
          </cell>
          <cell r="AE411" t="str">
            <v>singleonly</v>
          </cell>
        </row>
        <row r="412">
          <cell r="A412" t="str">
            <v>13400_6</v>
          </cell>
          <cell r="B412">
            <v>3</v>
          </cell>
          <cell r="C412">
            <v>13400</v>
          </cell>
          <cell r="D412" t="str">
            <v>タワーオブザクイーン -エルフラム-</v>
          </cell>
          <cell r="E412" t="str">
            <v>タワーオブザクイーン2本目</v>
          </cell>
          <cell r="F412">
            <v>6</v>
          </cell>
          <cell r="G412" t="str">
            <v>ja</v>
          </cell>
          <cell r="H412" t="str">
            <v>6階 コスト制限なし</v>
          </cell>
          <cell r="I412" t="str">
            <v>タワーオブザクイーン</v>
          </cell>
          <cell r="J412">
            <v>612</v>
          </cell>
          <cell r="K412">
            <v>15</v>
          </cell>
          <cell r="L412">
            <v>2100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character</v>
          </cell>
          <cell r="T412" t="str">
            <v>612,612,355</v>
          </cell>
          <cell r="U412">
            <v>13400</v>
          </cell>
          <cell r="V412">
            <v>5</v>
          </cell>
          <cell r="W412" t="str">
            <v>5階 バランスタイプ限定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976</v>
          </cell>
          <cell r="AD412">
            <v>6</v>
          </cell>
          <cell r="AE412" t="str">
            <v>singleonly</v>
          </cell>
        </row>
        <row r="413">
          <cell r="A413" t="str">
            <v>13400_7</v>
          </cell>
          <cell r="B413">
            <v>3</v>
          </cell>
          <cell r="C413">
            <v>13400</v>
          </cell>
          <cell r="D413" t="str">
            <v>タワーオブザクイーン -エルフラム-</v>
          </cell>
          <cell r="E413" t="str">
            <v>タワーオブザクイーン2本目</v>
          </cell>
          <cell r="F413">
            <v>7</v>
          </cell>
          <cell r="G413" t="str">
            <v>ja</v>
          </cell>
          <cell r="H413" t="str">
            <v>7階 コスト30以下限定</v>
          </cell>
          <cell r="I413" t="str">
            <v>タワーオブザクイーン</v>
          </cell>
          <cell r="J413">
            <v>613</v>
          </cell>
          <cell r="K413">
            <v>16</v>
          </cell>
          <cell r="L413">
            <v>2460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character</v>
          </cell>
          <cell r="T413" t="str">
            <v>613,613,353</v>
          </cell>
          <cell r="U413">
            <v>13400</v>
          </cell>
          <cell r="V413">
            <v>6</v>
          </cell>
          <cell r="W413" t="str">
            <v>6階 コスト制限なし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976</v>
          </cell>
          <cell r="AD413">
            <v>6</v>
          </cell>
          <cell r="AE413" t="str">
            <v>singleonly</v>
          </cell>
        </row>
        <row r="414">
          <cell r="A414" t="str">
            <v>13400_8</v>
          </cell>
          <cell r="B414">
            <v>3</v>
          </cell>
          <cell r="C414">
            <v>13400</v>
          </cell>
          <cell r="D414" t="str">
            <v>タワーオブザクイーン -エルフラム-</v>
          </cell>
          <cell r="E414" t="str">
            <v>タワーオブザクイーン2本目</v>
          </cell>
          <cell r="F414">
            <v>8</v>
          </cell>
          <cell r="G414" t="str">
            <v>ja</v>
          </cell>
          <cell r="H414" t="str">
            <v>8階 ハートパネルが出現しない！</v>
          </cell>
          <cell r="I414" t="str">
            <v>タワーオブザクイーン</v>
          </cell>
          <cell r="J414">
            <v>611</v>
          </cell>
          <cell r="K414">
            <v>17</v>
          </cell>
          <cell r="L414">
            <v>2840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0</v>
          </cell>
          <cell r="R414">
            <v>3</v>
          </cell>
          <cell r="S414" t="str">
            <v>character</v>
          </cell>
          <cell r="T414" t="str">
            <v>611,611,349</v>
          </cell>
          <cell r="U414">
            <v>13400</v>
          </cell>
          <cell r="V414">
            <v>7</v>
          </cell>
          <cell r="W414" t="str">
            <v>7階 コスト30以下限定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976</v>
          </cell>
          <cell r="AD414">
            <v>6</v>
          </cell>
          <cell r="AE414" t="str">
            <v>singleonly</v>
          </cell>
        </row>
        <row r="415">
          <cell r="A415" t="str">
            <v>13400_9</v>
          </cell>
          <cell r="B415">
            <v>3</v>
          </cell>
          <cell r="C415">
            <v>13400</v>
          </cell>
          <cell r="D415" t="str">
            <v>タワーオブザクイーン -エルフラム-</v>
          </cell>
          <cell r="E415" t="str">
            <v>タワーオブザクイーン2本目</v>
          </cell>
          <cell r="F415">
            <v>9</v>
          </cell>
          <cell r="G415" t="str">
            <v>ja</v>
          </cell>
          <cell r="H415" t="str">
            <v>9階 攻撃タイプ限定</v>
          </cell>
          <cell r="I415" t="str">
            <v>タワーオブザクイーン</v>
          </cell>
          <cell r="J415">
            <v>837</v>
          </cell>
          <cell r="K415">
            <v>18</v>
          </cell>
          <cell r="L415">
            <v>3240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character</v>
          </cell>
          <cell r="T415" t="str">
            <v>837,614,351</v>
          </cell>
          <cell r="U415">
            <v>13400</v>
          </cell>
          <cell r="V415">
            <v>8</v>
          </cell>
          <cell r="W415" t="str">
            <v>8階 ハートパネルが出現しない！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976</v>
          </cell>
          <cell r="AD415">
            <v>6</v>
          </cell>
          <cell r="AE415" t="str">
            <v>singleonly</v>
          </cell>
        </row>
        <row r="416">
          <cell r="A416" t="str">
            <v>13400_10</v>
          </cell>
          <cell r="B416">
            <v>3</v>
          </cell>
          <cell r="C416">
            <v>13400</v>
          </cell>
          <cell r="D416" t="str">
            <v>タワーオブザクイーン -エルフラム-</v>
          </cell>
          <cell r="E416" t="str">
            <v>タワーオブザクイーン2本目</v>
          </cell>
          <cell r="F416">
            <v>10</v>
          </cell>
          <cell r="G416" t="str">
            <v>ja</v>
          </cell>
          <cell r="H416" t="str">
            <v>10階 ローズ 現る！</v>
          </cell>
          <cell r="I416" t="str">
            <v>タワーオブザクイーン</v>
          </cell>
          <cell r="J416">
            <v>0</v>
          </cell>
          <cell r="K416">
            <v>19</v>
          </cell>
          <cell r="L416">
            <v>3660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polygon</v>
          </cell>
          <cell r="T416" t="str">
            <v>7</v>
          </cell>
          <cell r="U416">
            <v>13400</v>
          </cell>
          <cell r="V416">
            <v>9</v>
          </cell>
          <cell r="W416" t="str">
            <v>9階 攻撃タイプ限定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976</v>
          </cell>
          <cell r="AD416">
            <v>6</v>
          </cell>
          <cell r="AE416" t="str">
            <v>singleonly</v>
          </cell>
        </row>
        <row r="417">
          <cell r="A417" t="str">
            <v>13400_11</v>
          </cell>
          <cell r="B417">
            <v>3</v>
          </cell>
          <cell r="C417">
            <v>13400</v>
          </cell>
          <cell r="D417" t="str">
            <v>タワーオブザクイーン -エルフラム-</v>
          </cell>
          <cell r="E417" t="str">
            <v>タワーオブザクイーン2本目</v>
          </cell>
          <cell r="F417">
            <v>11</v>
          </cell>
          <cell r="G417" t="str">
            <v>ja</v>
          </cell>
          <cell r="H417" t="str">
            <v>11階 コスト制限なし</v>
          </cell>
          <cell r="I417" t="str">
            <v>タワーオブザクイーン</v>
          </cell>
          <cell r="J417">
            <v>612</v>
          </cell>
          <cell r="K417">
            <v>20</v>
          </cell>
          <cell r="L417">
            <v>4100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character</v>
          </cell>
          <cell r="T417" t="str">
            <v>612,612,612</v>
          </cell>
          <cell r="U417">
            <v>13400</v>
          </cell>
          <cell r="V417">
            <v>10</v>
          </cell>
          <cell r="W417" t="str">
            <v>10階 ローズ 現る！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976</v>
          </cell>
          <cell r="AD417">
            <v>6</v>
          </cell>
          <cell r="AE417" t="str">
            <v>singleonly</v>
          </cell>
        </row>
        <row r="418">
          <cell r="A418" t="str">
            <v>13400_12</v>
          </cell>
          <cell r="B418">
            <v>3</v>
          </cell>
          <cell r="C418">
            <v>13400</v>
          </cell>
          <cell r="D418" t="str">
            <v>タワーオブザクイーン -エルフラム-</v>
          </cell>
          <cell r="E418" t="str">
            <v>タワーオブザクイーン2本目</v>
          </cell>
          <cell r="F418">
            <v>12</v>
          </cell>
          <cell r="G418" t="str">
            <v>ja</v>
          </cell>
          <cell r="H418" t="str">
            <v>12階 コスト制限なし</v>
          </cell>
          <cell r="I418" t="str">
            <v>タワーオブザクイーン</v>
          </cell>
          <cell r="J418">
            <v>613</v>
          </cell>
          <cell r="K418">
            <v>21</v>
          </cell>
          <cell r="L418">
            <v>4560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character</v>
          </cell>
          <cell r="T418" t="str">
            <v>613,613,613</v>
          </cell>
          <cell r="U418">
            <v>13400</v>
          </cell>
          <cell r="V418">
            <v>11</v>
          </cell>
          <cell r="W418" t="str">
            <v>11階 コスト制限なし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976</v>
          </cell>
          <cell r="AD418">
            <v>6</v>
          </cell>
          <cell r="AE418" t="str">
            <v>singleonly</v>
          </cell>
        </row>
        <row r="419">
          <cell r="A419" t="str">
            <v>13400_13</v>
          </cell>
          <cell r="B419">
            <v>3</v>
          </cell>
          <cell r="C419">
            <v>13400</v>
          </cell>
          <cell r="D419" t="str">
            <v>タワーオブザクイーン -エルフラム-</v>
          </cell>
          <cell r="E419" t="str">
            <v>タワーオブザクイーン2本目</v>
          </cell>
          <cell r="F419">
            <v>13</v>
          </cell>
          <cell r="G419" t="str">
            <v>ja</v>
          </cell>
          <cell r="H419" t="str">
            <v>13階 コスト30以下限定</v>
          </cell>
          <cell r="I419" t="str">
            <v>タワーオブザクイーン</v>
          </cell>
          <cell r="J419">
            <v>611</v>
          </cell>
          <cell r="K419">
            <v>22</v>
          </cell>
          <cell r="L419">
            <v>5040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character</v>
          </cell>
          <cell r="T419" t="str">
            <v>611,611,611</v>
          </cell>
          <cell r="U419">
            <v>13400</v>
          </cell>
          <cell r="V419">
            <v>12</v>
          </cell>
          <cell r="W419" t="str">
            <v>12階 コスト制限なし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976</v>
          </cell>
          <cell r="AD419">
            <v>6</v>
          </cell>
          <cell r="AE419" t="str">
            <v>singleonly</v>
          </cell>
        </row>
        <row r="420">
          <cell r="A420" t="str">
            <v>13400_14</v>
          </cell>
          <cell r="B420">
            <v>3</v>
          </cell>
          <cell r="C420">
            <v>13400</v>
          </cell>
          <cell r="D420" t="str">
            <v>タワーオブザクイーン -エルフラム-</v>
          </cell>
          <cell r="E420" t="str">
            <v>タワーオブザクイーン2本目</v>
          </cell>
          <cell r="F420">
            <v>14</v>
          </cell>
          <cell r="G420" t="str">
            <v>ja</v>
          </cell>
          <cell r="H420" t="str">
            <v>14階 コスト制限なし</v>
          </cell>
          <cell r="I420" t="str">
            <v>タワーオブザクイーン</v>
          </cell>
          <cell r="J420">
            <v>614</v>
          </cell>
          <cell r="K420">
            <v>23</v>
          </cell>
          <cell r="L420">
            <v>5540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1</v>
          </cell>
          <cell r="R420">
            <v>3</v>
          </cell>
          <cell r="S420" t="str">
            <v>character</v>
          </cell>
          <cell r="T420" t="str">
            <v>614,614</v>
          </cell>
          <cell r="U420">
            <v>13400</v>
          </cell>
          <cell r="V420">
            <v>13</v>
          </cell>
          <cell r="W420" t="str">
            <v>13階 コスト30以下限定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976</v>
          </cell>
          <cell r="AD420">
            <v>6</v>
          </cell>
          <cell r="AE420" t="str">
            <v>singleonly</v>
          </cell>
        </row>
        <row r="421">
          <cell r="A421" t="str">
            <v>13400_15</v>
          </cell>
          <cell r="B421">
            <v>3</v>
          </cell>
          <cell r="C421">
            <v>13400</v>
          </cell>
          <cell r="D421" t="str">
            <v>タワーオブザクイーン -エルフラム-</v>
          </cell>
          <cell r="E421" t="str">
            <v>タワーオブザクイーン2本目</v>
          </cell>
          <cell r="F421">
            <v>15</v>
          </cell>
          <cell r="G421" t="str">
            <v>ja</v>
          </cell>
          <cell r="H421" t="str">
            <v>15階 エルフラムの女王 ローズ</v>
          </cell>
          <cell r="I421" t="str">
            <v>タワーオブザクイーン</v>
          </cell>
          <cell r="J421">
            <v>1269</v>
          </cell>
          <cell r="K421">
            <v>50</v>
          </cell>
          <cell r="L421">
            <v>10000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1</v>
          </cell>
          <cell r="R421">
            <v>3</v>
          </cell>
          <cell r="S421" t="str">
            <v>character</v>
          </cell>
          <cell r="T421">
            <v>1268</v>
          </cell>
          <cell r="U421">
            <v>13400</v>
          </cell>
          <cell r="V421">
            <v>14</v>
          </cell>
          <cell r="W421" t="str">
            <v>14階 コスト制限なし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976</v>
          </cell>
          <cell r="AD421">
            <v>6</v>
          </cell>
          <cell r="AE421" t="str">
            <v>singleonly</v>
          </cell>
        </row>
        <row r="422">
          <cell r="A422" t="str">
            <v>14001_1</v>
          </cell>
          <cell r="B422">
            <v>3</v>
          </cell>
          <cell r="C422">
            <v>14001</v>
          </cell>
          <cell r="D422" t="str">
            <v>【ロック】経験値/ソロ</v>
          </cell>
          <cell r="E422" t="str">
            <v>【ロック】経験値/ソロ</v>
          </cell>
          <cell r="F422">
            <v>1</v>
          </cell>
          <cell r="G422" t="str">
            <v>ja</v>
          </cell>
          <cell r="H422" t="str">
            <v>【超級】雷ファミリー（ハートなし）</v>
          </cell>
          <cell r="I422" t="str">
            <v>【ロッククエスト】経験値</v>
          </cell>
          <cell r="J422">
            <v>347</v>
          </cell>
          <cell r="K422">
            <v>1</v>
          </cell>
          <cell r="L422">
            <v>500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0</v>
          </cell>
          <cell r="R422">
            <v>3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12</v>
          </cell>
          <cell r="AD422">
            <v>6</v>
          </cell>
          <cell r="AE422" t="str">
            <v>singleonly</v>
          </cell>
        </row>
        <row r="423">
          <cell r="A423" t="str">
            <v>14001_2</v>
          </cell>
          <cell r="B423">
            <v>3</v>
          </cell>
          <cell r="C423">
            <v>14001</v>
          </cell>
          <cell r="D423" t="str">
            <v>【ロック】経験値/ソロ</v>
          </cell>
          <cell r="E423" t="str">
            <v>【ロック】経験値/ソロ</v>
          </cell>
          <cell r="F423">
            <v>2</v>
          </cell>
          <cell r="G423" t="str">
            <v>ja</v>
          </cell>
          <cell r="H423" t="str">
            <v>【超級】水ファミリー（ハートなし）</v>
          </cell>
          <cell r="I423" t="str">
            <v>【ロッククエスト】経験値</v>
          </cell>
          <cell r="J423">
            <v>343</v>
          </cell>
          <cell r="K423">
            <v>1</v>
          </cell>
          <cell r="L423">
            <v>500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0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5</v>
          </cell>
          <cell r="AD423">
            <v>6</v>
          </cell>
          <cell r="AE423" t="str">
            <v>singleonly</v>
          </cell>
        </row>
        <row r="424">
          <cell r="A424" t="str">
            <v>14001_3</v>
          </cell>
          <cell r="B424">
            <v>3</v>
          </cell>
          <cell r="C424">
            <v>14001</v>
          </cell>
          <cell r="D424" t="str">
            <v>【ロック】経験値/ソロ</v>
          </cell>
          <cell r="E424" t="str">
            <v>【ロック】経験値/ソロ</v>
          </cell>
          <cell r="F424">
            <v>3</v>
          </cell>
          <cell r="G424" t="str">
            <v>ja</v>
          </cell>
          <cell r="H424" t="str">
            <v>【超級】森ファミリー（ハートなし）</v>
          </cell>
          <cell r="I424" t="str">
            <v>【ロッククエスト】経験値</v>
          </cell>
          <cell r="J424">
            <v>339</v>
          </cell>
          <cell r="K424">
            <v>1</v>
          </cell>
          <cell r="L424">
            <v>500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0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7</v>
          </cell>
          <cell r="AD424">
            <v>6</v>
          </cell>
          <cell r="AE424" t="str">
            <v>singleonly</v>
          </cell>
        </row>
        <row r="425">
          <cell r="A425" t="str">
            <v>14001_4</v>
          </cell>
          <cell r="B425">
            <v>3</v>
          </cell>
          <cell r="C425">
            <v>14001</v>
          </cell>
          <cell r="D425" t="str">
            <v>【ロック】経験値/ソロ</v>
          </cell>
          <cell r="E425" t="str">
            <v>【ロック】経験値/ソロ</v>
          </cell>
          <cell r="F425">
            <v>4</v>
          </cell>
          <cell r="G425" t="str">
            <v>ja</v>
          </cell>
          <cell r="H425" t="str">
            <v>【超級】炎ファミリー（ハートなし）</v>
          </cell>
          <cell r="I425" t="str">
            <v>【ロッククエスト】経験値</v>
          </cell>
          <cell r="J425">
            <v>335</v>
          </cell>
          <cell r="K425">
            <v>1</v>
          </cell>
          <cell r="L425">
            <v>500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0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10</v>
          </cell>
          <cell r="AD425">
            <v>6</v>
          </cell>
          <cell r="AE425" t="str">
            <v>singleonly</v>
          </cell>
        </row>
        <row r="426">
          <cell r="A426" t="str">
            <v>14001_5</v>
          </cell>
          <cell r="B426">
            <v>0</v>
          </cell>
          <cell r="C426">
            <v>14001</v>
          </cell>
          <cell r="D426" t="str">
            <v>【ロック】経験値/ソロ</v>
          </cell>
          <cell r="E426" t="str">
            <v>【ロック】経験値/ソロ</v>
          </cell>
          <cell r="F426">
            <v>5</v>
          </cell>
          <cell r="G426" t="str">
            <v>ja</v>
          </cell>
          <cell r="H426" t="str">
            <v>【超絶級】雷のサミット（ハートなし）</v>
          </cell>
          <cell r="I426" t="str">
            <v>【ロッククエスト】経験値</v>
          </cell>
          <cell r="J426">
            <v>334</v>
          </cell>
          <cell r="K426">
            <v>1</v>
          </cell>
          <cell r="L426">
            <v>350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0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201</v>
          </cell>
          <cell r="AD426">
            <v>6</v>
          </cell>
          <cell r="AE426" t="str">
            <v>singleonly</v>
          </cell>
        </row>
        <row r="427">
          <cell r="A427" t="str">
            <v>14001_6</v>
          </cell>
          <cell r="B427">
            <v>0</v>
          </cell>
          <cell r="C427">
            <v>14001</v>
          </cell>
          <cell r="D427" t="str">
            <v>【ロック】経験値/ソロ</v>
          </cell>
          <cell r="E427" t="str">
            <v>【ロック】経験値/ソロ</v>
          </cell>
          <cell r="F427">
            <v>6</v>
          </cell>
          <cell r="G427" t="str">
            <v>ja</v>
          </cell>
          <cell r="H427" t="str">
            <v>【超絶級】水のサミット（ハートなし）</v>
          </cell>
          <cell r="I427" t="str">
            <v>【ロッククエスト】経験値</v>
          </cell>
          <cell r="J427">
            <v>334</v>
          </cell>
          <cell r="K427">
            <v>1</v>
          </cell>
          <cell r="L427">
            <v>350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0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201</v>
          </cell>
          <cell r="AD427">
            <v>6</v>
          </cell>
          <cell r="AE427" t="str">
            <v>singleonly</v>
          </cell>
        </row>
        <row r="428">
          <cell r="A428" t="str">
            <v>14001_7</v>
          </cell>
          <cell r="B428">
            <v>0</v>
          </cell>
          <cell r="C428">
            <v>14001</v>
          </cell>
          <cell r="D428" t="str">
            <v>【ロック】経験値/ソロ</v>
          </cell>
          <cell r="E428" t="str">
            <v>【ロック】経験値/ソロ</v>
          </cell>
          <cell r="F428">
            <v>7</v>
          </cell>
          <cell r="G428" t="str">
            <v>ja</v>
          </cell>
          <cell r="H428" t="str">
            <v>【超絶級】森のサミット（ハートなし）</v>
          </cell>
          <cell r="I428" t="str">
            <v>【ロッククエスト】経験値</v>
          </cell>
          <cell r="J428">
            <v>334</v>
          </cell>
          <cell r="K428">
            <v>1</v>
          </cell>
          <cell r="L428">
            <v>350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0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201</v>
          </cell>
          <cell r="AD428">
            <v>6</v>
          </cell>
          <cell r="AE428" t="str">
            <v>singleonly</v>
          </cell>
        </row>
        <row r="429">
          <cell r="A429" t="str">
            <v>14001_8</v>
          </cell>
          <cell r="B429">
            <v>0</v>
          </cell>
          <cell r="C429">
            <v>14001</v>
          </cell>
          <cell r="D429" t="str">
            <v>【ロック】経験値/ソロ</v>
          </cell>
          <cell r="E429" t="str">
            <v>【ロック】経験値/ソロ</v>
          </cell>
          <cell r="F429">
            <v>8</v>
          </cell>
          <cell r="G429" t="str">
            <v>ja</v>
          </cell>
          <cell r="H429" t="str">
            <v>【超絶級】炎のサミット（ハートなし）</v>
          </cell>
          <cell r="I429" t="str">
            <v>【ロッククエスト】経験値</v>
          </cell>
          <cell r="J429">
            <v>334</v>
          </cell>
          <cell r="K429">
            <v>1</v>
          </cell>
          <cell r="L429">
            <v>350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0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201</v>
          </cell>
          <cell r="AD429">
            <v>6</v>
          </cell>
          <cell r="AE429" t="str">
            <v>singleonly</v>
          </cell>
        </row>
        <row r="430">
          <cell r="A430" t="str">
            <v>14002_1</v>
          </cell>
          <cell r="B430">
            <v>3</v>
          </cell>
          <cell r="C430">
            <v>14002</v>
          </cell>
          <cell r="D430" t="str">
            <v>【ロック】ビット/ソロ</v>
          </cell>
          <cell r="E430" t="str">
            <v>【ロック】ビット/ソロ</v>
          </cell>
          <cell r="F430">
            <v>1</v>
          </cell>
          <cell r="G430" t="str">
            <v>ja</v>
          </cell>
          <cell r="H430" t="str">
            <v>【超級】ハイローラー（ハートなし）</v>
          </cell>
          <cell r="I430" t="str">
            <v>【ロッククエスト】ビット</v>
          </cell>
          <cell r="J430">
            <v>119</v>
          </cell>
          <cell r="K430">
            <v>1</v>
          </cell>
          <cell r="L430">
            <v>777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0</v>
          </cell>
          <cell r="R430">
            <v>3</v>
          </cell>
          <cell r="S430" t="str">
            <v>none</v>
          </cell>
          <cell r="T430">
            <v>0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105</v>
          </cell>
          <cell r="AD430">
            <v>6</v>
          </cell>
          <cell r="AE430" t="str">
            <v>singleonly</v>
          </cell>
        </row>
        <row r="431">
          <cell r="A431" t="str">
            <v>14002_2</v>
          </cell>
          <cell r="B431">
            <v>0</v>
          </cell>
          <cell r="C431">
            <v>14002</v>
          </cell>
          <cell r="D431" t="str">
            <v>【ロック】ビット/ソロ</v>
          </cell>
          <cell r="E431" t="str">
            <v>【ロック】ビット/ソロ</v>
          </cell>
          <cell r="F431">
            <v>2</v>
          </cell>
          <cell r="G431" t="str">
            <v>ja</v>
          </cell>
          <cell r="H431" t="str">
            <v>【上級】ゴールドカジノ （ハートなし）</v>
          </cell>
          <cell r="I431" t="str">
            <v>【ロッククエスト】ビット</v>
          </cell>
          <cell r="J431">
            <v>119</v>
          </cell>
          <cell r="K431">
            <v>1</v>
          </cell>
          <cell r="L431">
            <v>350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0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105</v>
          </cell>
          <cell r="AD431">
            <v>6</v>
          </cell>
          <cell r="AE431" t="str">
            <v>singleonly</v>
          </cell>
        </row>
        <row r="432">
          <cell r="A432" t="str">
            <v>14003_1</v>
          </cell>
          <cell r="B432">
            <v>3</v>
          </cell>
          <cell r="C432">
            <v>14003</v>
          </cell>
          <cell r="D432" t="str">
            <v>【ロック】限界突破/ソロ</v>
          </cell>
          <cell r="E432" t="str">
            <v>【ロック】限界突破/ソロ</v>
          </cell>
          <cell r="F432">
            <v>1</v>
          </cell>
          <cell r="G432" t="str">
            <v>ja</v>
          </cell>
          <cell r="H432" t="str">
            <v>【超級】果実の楽園（ハートなし）</v>
          </cell>
          <cell r="I432" t="str">
            <v>【ロッククエスト】限界突破</v>
          </cell>
          <cell r="J432">
            <v>125</v>
          </cell>
          <cell r="K432">
            <v>1</v>
          </cell>
          <cell r="L432">
            <v>860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0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7</v>
          </cell>
          <cell r="AD432">
            <v>6</v>
          </cell>
          <cell r="AE432" t="str">
            <v>singleonly</v>
          </cell>
        </row>
        <row r="433">
          <cell r="A433" t="str">
            <v>14003_2</v>
          </cell>
          <cell r="B433">
            <v>3</v>
          </cell>
          <cell r="C433">
            <v>14003</v>
          </cell>
          <cell r="D433" t="str">
            <v>【ロック】限界突破/ソロ</v>
          </cell>
          <cell r="E433" t="str">
            <v>【ロック】限界突破/ソロ</v>
          </cell>
          <cell r="F433">
            <v>2</v>
          </cell>
          <cell r="G433" t="str">
            <v>ja</v>
          </cell>
          <cell r="H433" t="str">
            <v>【超級】攻めの極意（ハートなし）</v>
          </cell>
          <cell r="I433" t="str">
            <v>【ロッククエスト】限界突破</v>
          </cell>
          <cell r="J433">
            <v>611</v>
          </cell>
          <cell r="K433">
            <v>1</v>
          </cell>
          <cell r="L433">
            <v>999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0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10</v>
          </cell>
          <cell r="AD433">
            <v>6</v>
          </cell>
          <cell r="AE433" t="str">
            <v>singleonly</v>
          </cell>
        </row>
        <row r="434">
          <cell r="A434" t="str">
            <v>14003_3</v>
          </cell>
          <cell r="B434">
            <v>3</v>
          </cell>
          <cell r="C434">
            <v>14003</v>
          </cell>
          <cell r="D434" t="str">
            <v>【ロック】限界突破/ソロ</v>
          </cell>
          <cell r="E434" t="str">
            <v>【ロック】限界突破/ソロ</v>
          </cell>
          <cell r="F434">
            <v>3</v>
          </cell>
          <cell r="G434" t="str">
            <v>ja</v>
          </cell>
          <cell r="H434" t="str">
            <v>【超級】癒しの極意（ハートなし）</v>
          </cell>
          <cell r="I434" t="str">
            <v>【ロッククエスト】限界突破</v>
          </cell>
          <cell r="J434">
            <v>613</v>
          </cell>
          <cell r="K434">
            <v>1</v>
          </cell>
          <cell r="L434">
            <v>999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0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5</v>
          </cell>
          <cell r="AD434">
            <v>6</v>
          </cell>
          <cell r="AE434" t="str">
            <v>singleonly</v>
          </cell>
        </row>
        <row r="435">
          <cell r="A435" t="str">
            <v>14003_4</v>
          </cell>
          <cell r="B435">
            <v>3</v>
          </cell>
          <cell r="C435">
            <v>14003</v>
          </cell>
          <cell r="D435" t="str">
            <v>【ロック】限界突破/ソロ</v>
          </cell>
          <cell r="E435" t="str">
            <v>【ロック】限界突破/ソロ</v>
          </cell>
          <cell r="F435">
            <v>4</v>
          </cell>
          <cell r="G435" t="str">
            <v>ja</v>
          </cell>
          <cell r="H435" t="str">
            <v>【超級】生命の極意（ハートなし）</v>
          </cell>
          <cell r="I435" t="str">
            <v>【ロッククエスト】限界突破</v>
          </cell>
          <cell r="J435">
            <v>612</v>
          </cell>
          <cell r="K435">
            <v>1</v>
          </cell>
          <cell r="L435">
            <v>999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0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7</v>
          </cell>
          <cell r="AD435">
            <v>6</v>
          </cell>
          <cell r="AE435" t="str">
            <v>singleonly</v>
          </cell>
        </row>
        <row r="436">
          <cell r="A436" t="str">
            <v>14004_1</v>
          </cell>
          <cell r="B436">
            <v>1</v>
          </cell>
          <cell r="C436">
            <v>14004</v>
          </cell>
          <cell r="D436" t="str">
            <v>【ロック】経験値/LINEマルチ</v>
          </cell>
          <cell r="E436" t="str">
            <v>【ロック】経験値/LINEマルチ</v>
          </cell>
          <cell r="F436">
            <v>1</v>
          </cell>
          <cell r="G436" t="str">
            <v>ja</v>
          </cell>
          <cell r="H436" t="str">
            <v>【超級】雷ファミリー（ハートなし）</v>
          </cell>
          <cell r="I436" t="str">
            <v>【ロッククエスト】経験値</v>
          </cell>
          <cell r="J436">
            <v>347</v>
          </cell>
          <cell r="K436">
            <v>1</v>
          </cell>
          <cell r="L436">
            <v>500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0</v>
          </cell>
          <cell r="R436">
            <v>3</v>
          </cell>
          <cell r="S436" t="str">
            <v>none</v>
          </cell>
          <cell r="T436">
            <v>0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12</v>
          </cell>
          <cell r="AD436">
            <v>6</v>
          </cell>
          <cell r="AE436" t="str">
            <v>lineonly</v>
          </cell>
        </row>
        <row r="437">
          <cell r="A437" t="str">
            <v>14004_2</v>
          </cell>
          <cell r="B437">
            <v>1</v>
          </cell>
          <cell r="C437">
            <v>14004</v>
          </cell>
          <cell r="D437" t="str">
            <v>【ロック】経験値/LINEマルチ</v>
          </cell>
          <cell r="E437" t="str">
            <v>【ロック】経験値/LINEマルチ</v>
          </cell>
          <cell r="F437">
            <v>2</v>
          </cell>
          <cell r="G437" t="str">
            <v>ja</v>
          </cell>
          <cell r="H437" t="str">
            <v>【超級】水ファミリー（ハートなし）</v>
          </cell>
          <cell r="I437" t="str">
            <v>【ロッククエスト】経験値</v>
          </cell>
          <cell r="J437">
            <v>343</v>
          </cell>
          <cell r="K437">
            <v>1</v>
          </cell>
          <cell r="L437">
            <v>500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0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5</v>
          </cell>
          <cell r="AD437">
            <v>6</v>
          </cell>
          <cell r="AE437" t="str">
            <v>lineonly</v>
          </cell>
        </row>
        <row r="438">
          <cell r="A438" t="str">
            <v>14004_3</v>
          </cell>
          <cell r="B438">
            <v>1</v>
          </cell>
          <cell r="C438">
            <v>14004</v>
          </cell>
          <cell r="D438" t="str">
            <v>【ロック】経験値/LINEマルチ</v>
          </cell>
          <cell r="E438" t="str">
            <v>【ロック】経験値/LINEマルチ</v>
          </cell>
          <cell r="F438">
            <v>3</v>
          </cell>
          <cell r="G438" t="str">
            <v>ja</v>
          </cell>
          <cell r="H438" t="str">
            <v>【超級】森ファミリー（ハートなし）</v>
          </cell>
          <cell r="I438" t="str">
            <v>【ロッククエスト】経験値</v>
          </cell>
          <cell r="J438">
            <v>339</v>
          </cell>
          <cell r="K438">
            <v>1</v>
          </cell>
          <cell r="L438">
            <v>500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0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7</v>
          </cell>
          <cell r="AD438">
            <v>6</v>
          </cell>
          <cell r="AE438" t="str">
            <v>lineonly</v>
          </cell>
        </row>
        <row r="439">
          <cell r="A439" t="str">
            <v>14004_4</v>
          </cell>
          <cell r="B439">
            <v>1</v>
          </cell>
          <cell r="C439">
            <v>14004</v>
          </cell>
          <cell r="D439" t="str">
            <v>【ロック】経験値/LINEマルチ</v>
          </cell>
          <cell r="E439" t="str">
            <v>【ロック】経験値/LINEマルチ</v>
          </cell>
          <cell r="F439">
            <v>4</v>
          </cell>
          <cell r="G439" t="str">
            <v>ja</v>
          </cell>
          <cell r="H439" t="str">
            <v>【超級】炎ファミリー（ハートなし）</v>
          </cell>
          <cell r="I439" t="str">
            <v>【ロッククエスト】経験値</v>
          </cell>
          <cell r="J439">
            <v>335</v>
          </cell>
          <cell r="K439">
            <v>1</v>
          </cell>
          <cell r="L439">
            <v>500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0</v>
          </cell>
          <cell r="R439">
            <v>3</v>
          </cell>
          <cell r="S439" t="str">
            <v>none</v>
          </cell>
          <cell r="T439">
            <v>0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10</v>
          </cell>
          <cell r="AD439">
            <v>6</v>
          </cell>
          <cell r="AE439" t="str">
            <v>lineonly</v>
          </cell>
        </row>
        <row r="440">
          <cell r="A440" t="str">
            <v>14005_1</v>
          </cell>
          <cell r="B440">
            <v>1</v>
          </cell>
          <cell r="C440">
            <v>14005</v>
          </cell>
          <cell r="D440" t="str">
            <v>【ロック】ビット/LINEマルチ</v>
          </cell>
          <cell r="E440" t="str">
            <v>【ロック】ビット/LINEマルチ</v>
          </cell>
          <cell r="F440">
            <v>1</v>
          </cell>
          <cell r="G440" t="str">
            <v>ja</v>
          </cell>
          <cell r="H440" t="str">
            <v>【超級】ハイローラー（ハートなし）</v>
          </cell>
          <cell r="I440" t="str">
            <v>【ロッククエスト】ビット</v>
          </cell>
          <cell r="J440">
            <v>119</v>
          </cell>
          <cell r="K440">
            <v>1</v>
          </cell>
          <cell r="L440">
            <v>777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0</v>
          </cell>
          <cell r="R440">
            <v>3</v>
          </cell>
          <cell r="S440" t="str">
            <v>none</v>
          </cell>
          <cell r="T440">
            <v>0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105</v>
          </cell>
          <cell r="AD440">
            <v>6</v>
          </cell>
          <cell r="AE440" t="str">
            <v>lineonly</v>
          </cell>
        </row>
        <row r="441">
          <cell r="A441" t="str">
            <v>14006_1</v>
          </cell>
          <cell r="B441">
            <v>1</v>
          </cell>
          <cell r="C441">
            <v>14006</v>
          </cell>
          <cell r="D441" t="str">
            <v>【ロック】限界突破/LINEマルチ</v>
          </cell>
          <cell r="E441" t="str">
            <v>【ロック】限界突破/LINEマルチ</v>
          </cell>
          <cell r="F441">
            <v>1</v>
          </cell>
          <cell r="G441" t="str">
            <v>ja</v>
          </cell>
          <cell r="H441" t="str">
            <v>【超級】果実の楽園（ハートなし）</v>
          </cell>
          <cell r="I441" t="str">
            <v>【ロッククエスト】限界突破</v>
          </cell>
          <cell r="J441">
            <v>125</v>
          </cell>
          <cell r="K441">
            <v>1</v>
          </cell>
          <cell r="L441">
            <v>860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0</v>
          </cell>
          <cell r="R441">
            <v>3</v>
          </cell>
          <cell r="S441" t="str">
            <v>none</v>
          </cell>
          <cell r="T441">
            <v>0</v>
          </cell>
          <cell r="U441" t="str">
            <v>NULL</v>
          </cell>
          <cell r="V441" t="str">
            <v>NULL</v>
          </cell>
          <cell r="W441" t="str">
            <v/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 t="str">
            <v>anytime</v>
          </cell>
          <cell r="AC441">
            <v>7</v>
          </cell>
          <cell r="AD441">
            <v>6</v>
          </cell>
          <cell r="AE441" t="str">
            <v>lineonly</v>
          </cell>
        </row>
        <row r="442">
          <cell r="A442" t="str">
            <v>15027_1</v>
          </cell>
          <cell r="B442">
            <v>3</v>
          </cell>
          <cell r="C442">
            <v>15027</v>
          </cell>
          <cell r="D442" t="str">
            <v>27. 雷雨の登山道</v>
          </cell>
          <cell r="E442" t="str">
            <v>黄青DL6</v>
          </cell>
          <cell r="F442">
            <v>1</v>
          </cell>
          <cell r="G442" t="str">
            <v>ja</v>
          </cell>
          <cell r="H442" t="str">
            <v>27-1. 登山道入口</v>
          </cell>
          <cell r="J442" t="str">
            <v>NULL</v>
          </cell>
          <cell r="K442">
            <v>18</v>
          </cell>
          <cell r="L442">
            <v>3740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none</v>
          </cell>
          <cell r="T442">
            <v>0</v>
          </cell>
          <cell r="U442">
            <v>26</v>
          </cell>
          <cell r="V442">
            <v>6</v>
          </cell>
          <cell r="W442" t="str">
            <v>26-6．【1回のみ】ボーナスステージ</v>
          </cell>
          <cell r="X442">
            <v>0</v>
          </cell>
          <cell r="Y442">
            <v>1</v>
          </cell>
          <cell r="Z442">
            <v>0</v>
          </cell>
          <cell r="AA442">
            <v>1</v>
          </cell>
          <cell r="AB442" t="str">
            <v>anytime</v>
          </cell>
          <cell r="AC442">
            <v>27</v>
          </cell>
          <cell r="AD442">
            <v>6</v>
          </cell>
          <cell r="AE442" t="str">
            <v>everyone</v>
          </cell>
        </row>
        <row r="443">
          <cell r="A443" t="str">
            <v>15027_2</v>
          </cell>
          <cell r="B443">
            <v>3</v>
          </cell>
          <cell r="C443">
            <v>15027</v>
          </cell>
          <cell r="D443" t="str">
            <v>27. 雷雨の登山道</v>
          </cell>
          <cell r="E443" t="str">
            <v>黄青DL6</v>
          </cell>
          <cell r="F443">
            <v>2</v>
          </cell>
          <cell r="G443" t="str">
            <v>ja</v>
          </cell>
          <cell r="H443" t="str">
            <v>27-2. 霊峰の守護者</v>
          </cell>
          <cell r="J443" t="str">
            <v>NULL</v>
          </cell>
          <cell r="K443">
            <v>19</v>
          </cell>
          <cell r="L443">
            <v>4140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>
            <v>15027</v>
          </cell>
          <cell r="V443">
            <v>1</v>
          </cell>
          <cell r="W443" t="str">
            <v>27-1. 登山道入口</v>
          </cell>
          <cell r="X443">
            <v>0</v>
          </cell>
          <cell r="Y443">
            <v>1</v>
          </cell>
          <cell r="Z443">
            <v>0</v>
          </cell>
          <cell r="AA443">
            <v>1</v>
          </cell>
          <cell r="AB443" t="str">
            <v>anytime</v>
          </cell>
          <cell r="AC443">
            <v>27</v>
          </cell>
          <cell r="AD443">
            <v>6</v>
          </cell>
          <cell r="AE443" t="str">
            <v>everyone</v>
          </cell>
        </row>
        <row r="444">
          <cell r="A444" t="str">
            <v>15027_3</v>
          </cell>
          <cell r="B444">
            <v>3</v>
          </cell>
          <cell r="C444">
            <v>15027</v>
          </cell>
          <cell r="D444" t="str">
            <v>27. 雷雨の登山道</v>
          </cell>
          <cell r="E444" t="str">
            <v>黄青DL6</v>
          </cell>
          <cell r="F444">
            <v>3</v>
          </cell>
          <cell r="G444" t="str">
            <v>ja</v>
          </cell>
          <cell r="H444" t="str">
            <v>27-3. 山岳の王者</v>
          </cell>
          <cell r="J444" t="str">
            <v>NULL</v>
          </cell>
          <cell r="K444">
            <v>22</v>
          </cell>
          <cell r="L444">
            <v>5250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>
            <v>15027</v>
          </cell>
          <cell r="V444">
            <v>2</v>
          </cell>
          <cell r="W444" t="str">
            <v>27-2. 霊峰の守護者</v>
          </cell>
          <cell r="X444">
            <v>0</v>
          </cell>
          <cell r="Y444">
            <v>1</v>
          </cell>
          <cell r="Z444">
            <v>0</v>
          </cell>
          <cell r="AA444">
            <v>1</v>
          </cell>
          <cell r="AB444" t="str">
            <v>anytime</v>
          </cell>
          <cell r="AC444">
            <v>27</v>
          </cell>
          <cell r="AD444">
            <v>6</v>
          </cell>
          <cell r="AE444" t="str">
            <v>everyone</v>
          </cell>
        </row>
        <row r="445">
          <cell r="A445" t="str">
            <v>15027_4</v>
          </cell>
          <cell r="B445">
            <v>3</v>
          </cell>
          <cell r="C445">
            <v>15027</v>
          </cell>
          <cell r="D445" t="str">
            <v>27. 雷雨の登山道</v>
          </cell>
          <cell r="E445" t="str">
            <v>黄青DL6</v>
          </cell>
          <cell r="F445">
            <v>4</v>
          </cell>
          <cell r="G445" t="str">
            <v>ja</v>
          </cell>
          <cell r="H445" t="str">
            <v>27-4. 【1回のみ】ボーナスステージ</v>
          </cell>
          <cell r="I445" t="str">
            <v>ボーナス</v>
          </cell>
          <cell r="J445">
            <v>343</v>
          </cell>
          <cell r="K445">
            <v>1</v>
          </cell>
          <cell r="L445">
            <v>1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character</v>
          </cell>
          <cell r="T445" t="str">
            <v>343,343,343,343,343,608</v>
          </cell>
          <cell r="U445">
            <v>15027</v>
          </cell>
          <cell r="V445">
            <v>3</v>
          </cell>
          <cell r="W445" t="str">
            <v>27-3. 山岳の王者</v>
          </cell>
          <cell r="X445">
            <v>0</v>
          </cell>
          <cell r="Y445">
            <v>1</v>
          </cell>
          <cell r="Z445">
            <v>0</v>
          </cell>
          <cell r="AA445">
            <v>1</v>
          </cell>
          <cell r="AB445" t="str">
            <v>once</v>
          </cell>
          <cell r="AC445">
            <v>27</v>
          </cell>
          <cell r="AD445">
            <v>6</v>
          </cell>
          <cell r="AE445" t="str">
            <v>singleonly</v>
          </cell>
        </row>
        <row r="446">
          <cell r="A446" t="str">
            <v>15028_1</v>
          </cell>
          <cell r="B446">
            <v>3</v>
          </cell>
          <cell r="C446">
            <v>15028</v>
          </cell>
          <cell r="D446" t="str">
            <v>28. 暴風と灼熱の罪浄</v>
          </cell>
          <cell r="E446" t="str">
            <v>赤緑DL6</v>
          </cell>
          <cell r="F446">
            <v>1</v>
          </cell>
          <cell r="G446" t="str">
            <v>ja</v>
          </cell>
          <cell r="H446" t="str">
            <v>28-1. 轟翼のかまど</v>
          </cell>
          <cell r="J446" t="str">
            <v>NULL</v>
          </cell>
          <cell r="K446">
            <v>18</v>
          </cell>
          <cell r="L446">
            <v>3870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>
            <v>15027</v>
          </cell>
          <cell r="V446">
            <v>4</v>
          </cell>
          <cell r="W446" t="str">
            <v>27-4. 【1回のみ】ボーナスステージ</v>
          </cell>
          <cell r="X446">
            <v>1</v>
          </cell>
          <cell r="Y446">
            <v>0</v>
          </cell>
          <cell r="Z446">
            <v>1</v>
          </cell>
          <cell r="AA446">
            <v>0</v>
          </cell>
          <cell r="AB446" t="str">
            <v>anytime</v>
          </cell>
          <cell r="AC446">
            <v>28</v>
          </cell>
          <cell r="AD446">
            <v>6</v>
          </cell>
          <cell r="AE446" t="str">
            <v>everyone</v>
          </cell>
        </row>
        <row r="447">
          <cell r="A447" t="str">
            <v>15028_2</v>
          </cell>
          <cell r="B447">
            <v>3</v>
          </cell>
          <cell r="C447">
            <v>15028</v>
          </cell>
          <cell r="D447" t="str">
            <v>28. 暴風と灼熱の罪浄</v>
          </cell>
          <cell r="E447" t="str">
            <v>赤緑DL6</v>
          </cell>
          <cell r="F447">
            <v>2</v>
          </cell>
          <cell r="G447" t="str">
            <v>ja</v>
          </cell>
          <cell r="H447" t="str">
            <v>28-2. 空の寝殿</v>
          </cell>
          <cell r="J447" t="str">
            <v>NULL</v>
          </cell>
          <cell r="K447">
            <v>19</v>
          </cell>
          <cell r="L447">
            <v>4500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none</v>
          </cell>
          <cell r="T447">
            <v>0</v>
          </cell>
          <cell r="U447">
            <v>15028</v>
          </cell>
          <cell r="V447">
            <v>1</v>
          </cell>
          <cell r="W447" t="str">
            <v>28-1. 轟翼のかまど</v>
          </cell>
          <cell r="X447">
            <v>1</v>
          </cell>
          <cell r="Y447">
            <v>0</v>
          </cell>
          <cell r="Z447">
            <v>1</v>
          </cell>
          <cell r="AA447">
            <v>0</v>
          </cell>
          <cell r="AB447" t="str">
            <v>anytime</v>
          </cell>
          <cell r="AC447">
            <v>28</v>
          </cell>
          <cell r="AD447">
            <v>6</v>
          </cell>
          <cell r="AE447" t="str">
            <v>everyone</v>
          </cell>
        </row>
        <row r="448">
          <cell r="A448" t="str">
            <v>15028_3</v>
          </cell>
          <cell r="B448">
            <v>3</v>
          </cell>
          <cell r="C448">
            <v>15028</v>
          </cell>
          <cell r="D448" t="str">
            <v>28. 暴風と灼熱の罪浄</v>
          </cell>
          <cell r="E448" t="str">
            <v>赤緑DL6</v>
          </cell>
          <cell r="F448">
            <v>3</v>
          </cell>
          <cell r="G448" t="str">
            <v>ja</v>
          </cell>
          <cell r="H448" t="str">
            <v>28-3. 縛風の洞窟</v>
          </cell>
          <cell r="J448" t="str">
            <v>NULL</v>
          </cell>
          <cell r="K448">
            <v>22</v>
          </cell>
          <cell r="L448">
            <v>5580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none</v>
          </cell>
          <cell r="T448">
            <v>0</v>
          </cell>
          <cell r="U448">
            <v>15028</v>
          </cell>
          <cell r="V448">
            <v>2</v>
          </cell>
          <cell r="W448" t="str">
            <v>28-2. 空の寝殿</v>
          </cell>
          <cell r="X448">
            <v>1</v>
          </cell>
          <cell r="Y448">
            <v>0</v>
          </cell>
          <cell r="Z448">
            <v>1</v>
          </cell>
          <cell r="AA448">
            <v>0</v>
          </cell>
          <cell r="AB448" t="str">
            <v>anytime</v>
          </cell>
          <cell r="AC448">
            <v>28</v>
          </cell>
          <cell r="AD448">
            <v>6</v>
          </cell>
          <cell r="AE448" t="str">
            <v>everyone</v>
          </cell>
        </row>
        <row r="449">
          <cell r="A449" t="str">
            <v>15028_4</v>
          </cell>
          <cell r="B449">
            <v>3</v>
          </cell>
          <cell r="C449">
            <v>15028</v>
          </cell>
          <cell r="D449" t="str">
            <v>28. 暴風と灼熱の罪浄</v>
          </cell>
          <cell r="E449" t="str">
            <v>赤緑DL6</v>
          </cell>
          <cell r="F449">
            <v>4</v>
          </cell>
          <cell r="G449" t="str">
            <v>ja</v>
          </cell>
          <cell r="H449" t="str">
            <v>28-4. 【1回のみ】ボーナスステージ</v>
          </cell>
          <cell r="I449" t="str">
            <v>ボーナス</v>
          </cell>
          <cell r="J449">
            <v>347</v>
          </cell>
          <cell r="K449">
            <v>1</v>
          </cell>
          <cell r="L449">
            <v>1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character</v>
          </cell>
          <cell r="T449" t="str">
            <v>347,347,347,347,347,609</v>
          </cell>
          <cell r="U449">
            <v>15028</v>
          </cell>
          <cell r="V449">
            <v>3</v>
          </cell>
          <cell r="W449" t="str">
            <v>28-3. 縛風の洞窟</v>
          </cell>
          <cell r="X449">
            <v>1</v>
          </cell>
          <cell r="Y449">
            <v>0</v>
          </cell>
          <cell r="Z449">
            <v>1</v>
          </cell>
          <cell r="AA449">
            <v>0</v>
          </cell>
          <cell r="AB449" t="str">
            <v>once</v>
          </cell>
          <cell r="AC449">
            <v>28</v>
          </cell>
          <cell r="AD449">
            <v>6</v>
          </cell>
          <cell r="AE449" t="str">
            <v>singleonly</v>
          </cell>
        </row>
        <row r="450">
          <cell r="A450" t="str">
            <v>15029_1</v>
          </cell>
          <cell r="B450">
            <v>3</v>
          </cell>
          <cell r="C450">
            <v>15029</v>
          </cell>
          <cell r="D450" t="str">
            <v>29. 雪の望郷</v>
          </cell>
          <cell r="E450" t="str">
            <v>緑黄DL6</v>
          </cell>
          <cell r="F450">
            <v>1</v>
          </cell>
          <cell r="G450" t="str">
            <v>ja</v>
          </cell>
          <cell r="H450" t="str">
            <v>29-1. 雪の中のケモノたち</v>
          </cell>
          <cell r="J450" t="str">
            <v>NULL</v>
          </cell>
          <cell r="K450">
            <v>18</v>
          </cell>
          <cell r="L450">
            <v>4210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>
            <v>15028</v>
          </cell>
          <cell r="V450">
            <v>4</v>
          </cell>
          <cell r="W450" t="str">
            <v>28-4. 【1回のみ】ボーナスステージ</v>
          </cell>
          <cell r="X450">
            <v>0</v>
          </cell>
          <cell r="Y450">
            <v>0</v>
          </cell>
          <cell r="Z450">
            <v>1</v>
          </cell>
          <cell r="AA450">
            <v>1</v>
          </cell>
          <cell r="AB450" t="str">
            <v>anytime</v>
          </cell>
          <cell r="AC450">
            <v>29</v>
          </cell>
          <cell r="AD450">
            <v>6</v>
          </cell>
          <cell r="AE450" t="str">
            <v>everyone</v>
          </cell>
        </row>
        <row r="451">
          <cell r="A451" t="str">
            <v>15029_2</v>
          </cell>
          <cell r="B451">
            <v>3</v>
          </cell>
          <cell r="C451">
            <v>15029</v>
          </cell>
          <cell r="D451" t="str">
            <v>29. 雪の望郷</v>
          </cell>
          <cell r="E451" t="str">
            <v>緑黄DL6</v>
          </cell>
          <cell r="F451">
            <v>2</v>
          </cell>
          <cell r="G451" t="str">
            <v>ja</v>
          </cell>
          <cell r="H451" t="str">
            <v>29-2. ねこみみマフラー</v>
          </cell>
          <cell r="J451" t="str">
            <v>NULL</v>
          </cell>
          <cell r="K451">
            <v>19</v>
          </cell>
          <cell r="L451">
            <v>4800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none</v>
          </cell>
          <cell r="T451">
            <v>0</v>
          </cell>
          <cell r="U451">
            <v>15029</v>
          </cell>
          <cell r="V451">
            <v>1</v>
          </cell>
          <cell r="W451" t="str">
            <v>29-1. 雪の中のケモノたち</v>
          </cell>
          <cell r="X451">
            <v>0</v>
          </cell>
          <cell r="Y451">
            <v>0</v>
          </cell>
          <cell r="Z451">
            <v>1</v>
          </cell>
          <cell r="AA451">
            <v>1</v>
          </cell>
          <cell r="AB451" t="str">
            <v>anytime</v>
          </cell>
          <cell r="AC451">
            <v>29</v>
          </cell>
          <cell r="AD451">
            <v>6</v>
          </cell>
          <cell r="AE451" t="str">
            <v>everyone</v>
          </cell>
        </row>
        <row r="452">
          <cell r="A452" t="str">
            <v>15029_3</v>
          </cell>
          <cell r="B452">
            <v>3</v>
          </cell>
          <cell r="C452">
            <v>15029</v>
          </cell>
          <cell r="D452" t="str">
            <v>29. 雪の望郷</v>
          </cell>
          <cell r="E452" t="str">
            <v>緑黄DL6</v>
          </cell>
          <cell r="F452">
            <v>3</v>
          </cell>
          <cell r="G452" t="str">
            <v>ja</v>
          </cell>
          <cell r="H452" t="str">
            <v>29-3. 仕立屋と兄妹</v>
          </cell>
          <cell r="J452" t="str">
            <v>NULL</v>
          </cell>
          <cell r="K452">
            <v>22</v>
          </cell>
          <cell r="L452">
            <v>5970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>
            <v>15029</v>
          </cell>
          <cell r="V452">
            <v>2</v>
          </cell>
          <cell r="W452" t="str">
            <v>29-2. ねこみみマフラー</v>
          </cell>
          <cell r="X452">
            <v>0</v>
          </cell>
          <cell r="Y452">
            <v>0</v>
          </cell>
          <cell r="Z452">
            <v>1</v>
          </cell>
          <cell r="AA452">
            <v>1</v>
          </cell>
          <cell r="AB452" t="str">
            <v>anytime</v>
          </cell>
          <cell r="AC452">
            <v>29</v>
          </cell>
          <cell r="AD452">
            <v>6</v>
          </cell>
          <cell r="AE452" t="str">
            <v>everyone</v>
          </cell>
        </row>
        <row r="453">
          <cell r="A453" t="str">
            <v>15029_4</v>
          </cell>
          <cell r="B453">
            <v>3</v>
          </cell>
          <cell r="C453">
            <v>15029</v>
          </cell>
          <cell r="D453" t="str">
            <v>29. 雪の望郷</v>
          </cell>
          <cell r="E453" t="str">
            <v>緑黄DL6</v>
          </cell>
          <cell r="F453">
            <v>4</v>
          </cell>
          <cell r="G453" t="str">
            <v>ja</v>
          </cell>
          <cell r="H453" t="str">
            <v>29-4. 【1回のみ】ボーナスステージ</v>
          </cell>
          <cell r="I453" t="str">
            <v>ボーナス</v>
          </cell>
          <cell r="J453">
            <v>339</v>
          </cell>
          <cell r="K453">
            <v>1</v>
          </cell>
          <cell r="L453">
            <v>1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character</v>
          </cell>
          <cell r="T453" t="str">
            <v>339,339,339,339,339,607</v>
          </cell>
          <cell r="U453">
            <v>15029</v>
          </cell>
          <cell r="V453">
            <v>3</v>
          </cell>
          <cell r="W453" t="str">
            <v>29-3. 仕立屋と兄妹</v>
          </cell>
          <cell r="X453">
            <v>0</v>
          </cell>
          <cell r="Y453">
            <v>0</v>
          </cell>
          <cell r="Z453">
            <v>1</v>
          </cell>
          <cell r="AA453">
            <v>1</v>
          </cell>
          <cell r="AB453" t="str">
            <v>once</v>
          </cell>
          <cell r="AC453">
            <v>29</v>
          </cell>
          <cell r="AD453">
            <v>6</v>
          </cell>
          <cell r="AE453" t="str">
            <v>singleonly</v>
          </cell>
        </row>
        <row r="454">
          <cell r="A454" t="str">
            <v>15030_1</v>
          </cell>
          <cell r="B454">
            <v>3</v>
          </cell>
          <cell r="C454">
            <v>15030</v>
          </cell>
          <cell r="D454" t="str">
            <v>30. 月夜のオールドシティ</v>
          </cell>
          <cell r="E454" t="str">
            <v>赤青DL6</v>
          </cell>
          <cell r="F454">
            <v>1</v>
          </cell>
          <cell r="G454" t="str">
            <v>ja</v>
          </cell>
          <cell r="H454" t="str">
            <v>30-1. 月夜に煌めく刃</v>
          </cell>
          <cell r="J454" t="str">
            <v>NULL</v>
          </cell>
          <cell r="K454">
            <v>18</v>
          </cell>
          <cell r="L454">
            <v>4460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none</v>
          </cell>
          <cell r="T454">
            <v>0</v>
          </cell>
          <cell r="U454">
            <v>15029</v>
          </cell>
          <cell r="V454">
            <v>4</v>
          </cell>
          <cell r="W454" t="str">
            <v>29-4. 【1回のみ】ボーナスステージ</v>
          </cell>
          <cell r="X454">
            <v>1</v>
          </cell>
          <cell r="Y454">
            <v>1</v>
          </cell>
          <cell r="Z454">
            <v>0</v>
          </cell>
          <cell r="AA454">
            <v>0</v>
          </cell>
          <cell r="AB454" t="str">
            <v>anytime</v>
          </cell>
          <cell r="AC454">
            <v>30</v>
          </cell>
          <cell r="AD454">
            <v>6</v>
          </cell>
          <cell r="AE454" t="str">
            <v>everyone</v>
          </cell>
        </row>
        <row r="455">
          <cell r="A455" t="str">
            <v>15030_2</v>
          </cell>
          <cell r="B455">
            <v>3</v>
          </cell>
          <cell r="C455">
            <v>15030</v>
          </cell>
          <cell r="D455" t="str">
            <v>30. 月夜のオールドシティ</v>
          </cell>
          <cell r="E455" t="str">
            <v>赤青DL6</v>
          </cell>
          <cell r="F455">
            <v>2</v>
          </cell>
          <cell r="G455" t="str">
            <v>ja</v>
          </cell>
          <cell r="H455" t="str">
            <v>30-2. 深夜のお茶会</v>
          </cell>
          <cell r="J455" t="str">
            <v>NULL</v>
          </cell>
          <cell r="K455">
            <v>19</v>
          </cell>
          <cell r="L455">
            <v>5040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>
            <v>15030</v>
          </cell>
          <cell r="V455">
            <v>1</v>
          </cell>
          <cell r="W455" t="str">
            <v>30-1. 月夜に煌めく刃</v>
          </cell>
          <cell r="X455">
            <v>1</v>
          </cell>
          <cell r="Y455">
            <v>1</v>
          </cell>
          <cell r="Z455">
            <v>0</v>
          </cell>
          <cell r="AA455">
            <v>0</v>
          </cell>
          <cell r="AB455" t="str">
            <v>anytime</v>
          </cell>
          <cell r="AC455">
            <v>30</v>
          </cell>
          <cell r="AD455">
            <v>6</v>
          </cell>
          <cell r="AE455" t="str">
            <v>everyone</v>
          </cell>
        </row>
        <row r="456">
          <cell r="A456" t="str">
            <v>15030_3</v>
          </cell>
          <cell r="B456">
            <v>3</v>
          </cell>
          <cell r="C456">
            <v>15030</v>
          </cell>
          <cell r="D456" t="str">
            <v>30. 月夜のオールドシティ</v>
          </cell>
          <cell r="E456" t="str">
            <v>赤青DL6</v>
          </cell>
          <cell r="F456">
            <v>3</v>
          </cell>
          <cell r="G456" t="str">
            <v>ja</v>
          </cell>
          <cell r="H456" t="str">
            <v>30-3. 月影の襲撃者</v>
          </cell>
          <cell r="J456" t="str">
            <v>NULL</v>
          </cell>
          <cell r="K456">
            <v>22</v>
          </cell>
          <cell r="L456">
            <v>6370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none</v>
          </cell>
          <cell r="T456">
            <v>0</v>
          </cell>
          <cell r="U456">
            <v>15030</v>
          </cell>
          <cell r="V456">
            <v>2</v>
          </cell>
          <cell r="W456" t="str">
            <v>30-2. 深夜のお茶会</v>
          </cell>
          <cell r="X456">
            <v>1</v>
          </cell>
          <cell r="Y456">
            <v>1</v>
          </cell>
          <cell r="Z456">
            <v>0</v>
          </cell>
          <cell r="AA456">
            <v>0</v>
          </cell>
          <cell r="AB456" t="str">
            <v>anytime</v>
          </cell>
          <cell r="AC456">
            <v>30</v>
          </cell>
          <cell r="AD456">
            <v>6</v>
          </cell>
          <cell r="AE456" t="str">
            <v>everyone</v>
          </cell>
        </row>
        <row r="457">
          <cell r="A457" t="str">
            <v>15030_4</v>
          </cell>
          <cell r="B457">
            <v>3</v>
          </cell>
          <cell r="C457">
            <v>15030</v>
          </cell>
          <cell r="D457" t="str">
            <v>30. 月夜のオールドシティ</v>
          </cell>
          <cell r="E457" t="str">
            <v>赤青DL6</v>
          </cell>
          <cell r="F457">
            <v>4</v>
          </cell>
          <cell r="G457" t="str">
            <v>ja</v>
          </cell>
          <cell r="H457" t="str">
            <v>30-4. 【1回のみ】ボーナスステージ</v>
          </cell>
          <cell r="I457" t="str">
            <v>ボーナス</v>
          </cell>
          <cell r="J457">
            <v>335</v>
          </cell>
          <cell r="K457">
            <v>1</v>
          </cell>
          <cell r="L457">
            <v>1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character</v>
          </cell>
          <cell r="T457" t="str">
            <v>335,335,335,335,335,607,608,609</v>
          </cell>
          <cell r="U457">
            <v>15030</v>
          </cell>
          <cell r="V457">
            <v>3</v>
          </cell>
          <cell r="W457" t="str">
            <v>30-3. 月影の襲撃者</v>
          </cell>
          <cell r="X457">
            <v>1</v>
          </cell>
          <cell r="Y457">
            <v>1</v>
          </cell>
          <cell r="Z457">
            <v>0</v>
          </cell>
          <cell r="AA457">
            <v>0</v>
          </cell>
          <cell r="AB457" t="str">
            <v>once</v>
          </cell>
          <cell r="AC457">
            <v>30</v>
          </cell>
          <cell r="AD457">
            <v>6</v>
          </cell>
          <cell r="AE457" t="str">
            <v>singleonly</v>
          </cell>
        </row>
        <row r="458">
          <cell r="A458" t="str">
            <v>15031_1</v>
          </cell>
          <cell r="B458">
            <v>3</v>
          </cell>
          <cell r="C458">
            <v>15031</v>
          </cell>
          <cell r="D458" t="str">
            <v>31. 桜花乱城</v>
          </cell>
          <cell r="E458" t="str">
            <v>混色DL6</v>
          </cell>
          <cell r="F458">
            <v>1</v>
          </cell>
          <cell r="G458" t="str">
            <v>ja</v>
          </cell>
          <cell r="H458" t="str">
            <v>31-1. 忍び寄る影</v>
          </cell>
          <cell r="J458" t="str">
            <v>NULL</v>
          </cell>
          <cell r="K458">
            <v>19</v>
          </cell>
          <cell r="L458">
            <v>5040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>
            <v>15030</v>
          </cell>
          <cell r="V458">
            <v>4</v>
          </cell>
          <cell r="W458" t="str">
            <v>30-4. 【1回のみ】ボーナスステージ</v>
          </cell>
          <cell r="X458">
            <v>1</v>
          </cell>
          <cell r="Y458">
            <v>1</v>
          </cell>
          <cell r="Z458">
            <v>1</v>
          </cell>
          <cell r="AA458">
            <v>1</v>
          </cell>
          <cell r="AB458" t="str">
            <v>anytime</v>
          </cell>
          <cell r="AC458">
            <v>31</v>
          </cell>
          <cell r="AD458">
            <v>6</v>
          </cell>
          <cell r="AE458" t="str">
            <v>everyone</v>
          </cell>
        </row>
        <row r="459">
          <cell r="A459" t="str">
            <v>15031_2</v>
          </cell>
          <cell r="B459">
            <v>3</v>
          </cell>
          <cell r="C459">
            <v>15031</v>
          </cell>
          <cell r="D459" t="str">
            <v>31. 桜花乱城</v>
          </cell>
          <cell r="E459" t="str">
            <v>混色DL6</v>
          </cell>
          <cell r="F459">
            <v>2</v>
          </cell>
          <cell r="G459" t="str">
            <v>ja</v>
          </cell>
          <cell r="H459" t="str">
            <v>31-2. 赤鉄の将</v>
          </cell>
          <cell r="J459" t="str">
            <v>NULL</v>
          </cell>
          <cell r="K459">
            <v>21</v>
          </cell>
          <cell r="L459">
            <v>5760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none</v>
          </cell>
          <cell r="T459">
            <v>0</v>
          </cell>
          <cell r="U459">
            <v>15031</v>
          </cell>
          <cell r="V459">
            <v>1</v>
          </cell>
          <cell r="W459" t="str">
            <v>31-1. 忍び寄る影</v>
          </cell>
          <cell r="X459">
            <v>1</v>
          </cell>
          <cell r="Y459">
            <v>1</v>
          </cell>
          <cell r="Z459">
            <v>1</v>
          </cell>
          <cell r="AA459">
            <v>1</v>
          </cell>
          <cell r="AB459" t="str">
            <v>anytime</v>
          </cell>
          <cell r="AC459">
            <v>31</v>
          </cell>
          <cell r="AD459">
            <v>6</v>
          </cell>
          <cell r="AE459" t="str">
            <v>everyone</v>
          </cell>
        </row>
        <row r="460">
          <cell r="A460" t="str">
            <v>15031_3</v>
          </cell>
          <cell r="B460">
            <v>3</v>
          </cell>
          <cell r="C460">
            <v>15031</v>
          </cell>
          <cell r="D460" t="str">
            <v>31. 桜花乱城</v>
          </cell>
          <cell r="E460" t="str">
            <v>混色DL6</v>
          </cell>
          <cell r="F460">
            <v>3</v>
          </cell>
          <cell r="G460" t="str">
            <v>ja</v>
          </cell>
          <cell r="H460" t="str">
            <v>31-3. 神域の試練</v>
          </cell>
          <cell r="J460" t="str">
            <v>NULL</v>
          </cell>
          <cell r="K460">
            <v>24</v>
          </cell>
          <cell r="L460">
            <v>7200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>
            <v>15031</v>
          </cell>
          <cell r="V460">
            <v>2</v>
          </cell>
          <cell r="W460" t="str">
            <v>31-2. 赤鉄の将</v>
          </cell>
          <cell r="X460">
            <v>1</v>
          </cell>
          <cell r="Y460">
            <v>1</v>
          </cell>
          <cell r="Z460">
            <v>1</v>
          </cell>
          <cell r="AA460">
            <v>1</v>
          </cell>
          <cell r="AB460" t="str">
            <v>anytime</v>
          </cell>
          <cell r="AC460">
            <v>31</v>
          </cell>
          <cell r="AD460">
            <v>6</v>
          </cell>
          <cell r="AE460" t="str">
            <v>everyone</v>
          </cell>
        </row>
        <row r="461">
          <cell r="A461" t="str">
            <v>15031_4</v>
          </cell>
          <cell r="B461">
            <v>3</v>
          </cell>
          <cell r="C461">
            <v>15031</v>
          </cell>
          <cell r="D461" t="str">
            <v>31. 桜花乱城</v>
          </cell>
          <cell r="E461" t="str">
            <v>混色DL6</v>
          </cell>
          <cell r="F461">
            <v>4</v>
          </cell>
          <cell r="G461" t="str">
            <v>ja</v>
          </cell>
          <cell r="H461" t="str">
            <v>31-4. 【1回のみ】ボーナスステージ</v>
          </cell>
          <cell r="I461" t="str">
            <v>ボーナス</v>
          </cell>
          <cell r="J461">
            <v>343</v>
          </cell>
          <cell r="K461">
            <v>1</v>
          </cell>
          <cell r="L461">
            <v>1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character</v>
          </cell>
          <cell r="T461" t="str">
            <v>343,343,343,343,343,607,608,609</v>
          </cell>
          <cell r="U461">
            <v>15031</v>
          </cell>
          <cell r="V461">
            <v>3</v>
          </cell>
          <cell r="W461" t="str">
            <v>31-3. 神域の試練</v>
          </cell>
          <cell r="X461">
            <v>1</v>
          </cell>
          <cell r="Y461">
            <v>1</v>
          </cell>
          <cell r="Z461">
            <v>1</v>
          </cell>
          <cell r="AA461">
            <v>1</v>
          </cell>
          <cell r="AB461" t="str">
            <v>once</v>
          </cell>
          <cell r="AC461">
            <v>31</v>
          </cell>
          <cell r="AD461">
            <v>6</v>
          </cell>
          <cell r="AE461" t="str">
            <v>singleonly</v>
          </cell>
        </row>
        <row r="462">
          <cell r="A462" t="str">
            <v>20001_1</v>
          </cell>
          <cell r="B462">
            <v>3</v>
          </cell>
          <cell r="C462">
            <v>20001</v>
          </cell>
          <cell r="D462" t="str">
            <v>紅き執行者</v>
          </cell>
          <cell r="E462" t="str">
            <v>ドロップイベント1-1</v>
          </cell>
          <cell r="F462">
            <v>1</v>
          </cell>
          <cell r="G462" t="str">
            <v>ja</v>
          </cell>
          <cell r="H462" t="str">
            <v xml:space="preserve">【初級】紅き執行者 </v>
          </cell>
          <cell r="I462" t="str">
            <v>初級</v>
          </cell>
          <cell r="J462">
            <v>262</v>
          </cell>
          <cell r="K462">
            <v>8</v>
          </cell>
          <cell r="L462">
            <v>384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1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14</v>
          </cell>
          <cell r="AD462">
            <v>6</v>
          </cell>
          <cell r="AE462" t="str">
            <v>everyone</v>
          </cell>
        </row>
        <row r="463">
          <cell r="A463" t="str">
            <v>20001_2</v>
          </cell>
          <cell r="B463">
            <v>3</v>
          </cell>
          <cell r="C463">
            <v>20001</v>
          </cell>
          <cell r="D463" t="str">
            <v>紅き執行者</v>
          </cell>
          <cell r="E463" t="str">
            <v>ドロップイベント1-1</v>
          </cell>
          <cell r="F463">
            <v>2</v>
          </cell>
          <cell r="G463" t="str">
            <v>ja</v>
          </cell>
          <cell r="H463" t="str">
            <v>【中級】紅き執行者</v>
          </cell>
          <cell r="I463" t="str">
            <v>中級</v>
          </cell>
          <cell r="J463">
            <v>262</v>
          </cell>
          <cell r="K463">
            <v>15</v>
          </cell>
          <cell r="L463">
            <v>1200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14</v>
          </cell>
          <cell r="AD463">
            <v>6</v>
          </cell>
          <cell r="AE463" t="str">
            <v>everyone</v>
          </cell>
        </row>
        <row r="464">
          <cell r="A464" t="str">
            <v>20001_3</v>
          </cell>
          <cell r="B464">
            <v>3</v>
          </cell>
          <cell r="C464">
            <v>20001</v>
          </cell>
          <cell r="D464" t="str">
            <v>紅き執行者</v>
          </cell>
          <cell r="E464" t="str">
            <v>ドロップイベント1-1</v>
          </cell>
          <cell r="F464">
            <v>3</v>
          </cell>
          <cell r="G464" t="str">
            <v>ja</v>
          </cell>
          <cell r="H464" t="str">
            <v xml:space="preserve">【上級】紅き執行者 </v>
          </cell>
          <cell r="I464" t="str">
            <v>上級</v>
          </cell>
          <cell r="J464">
            <v>263</v>
          </cell>
          <cell r="K464">
            <v>20</v>
          </cell>
          <cell r="L464">
            <v>2000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1</v>
          </cell>
          <cell r="R464">
            <v>3</v>
          </cell>
          <cell r="S464" t="str">
            <v>polygon</v>
          </cell>
          <cell r="T464">
            <v>1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14</v>
          </cell>
          <cell r="AD464">
            <v>6</v>
          </cell>
          <cell r="AE464" t="str">
            <v>everyone</v>
          </cell>
        </row>
        <row r="465">
          <cell r="A465" t="str">
            <v>20002_1</v>
          </cell>
          <cell r="B465">
            <v>3</v>
          </cell>
          <cell r="C465">
            <v>20002</v>
          </cell>
          <cell r="D465" t="str">
            <v>孤高の一角獣</v>
          </cell>
          <cell r="E465" t="str">
            <v>ドロップイベント1-2</v>
          </cell>
          <cell r="F465">
            <v>1</v>
          </cell>
          <cell r="G465" t="str">
            <v>ja</v>
          </cell>
          <cell r="H465" t="str">
            <v>【初級】孤高の一角獣</v>
          </cell>
          <cell r="I465" t="str">
            <v>初級</v>
          </cell>
          <cell r="J465">
            <v>264</v>
          </cell>
          <cell r="K465">
            <v>8</v>
          </cell>
          <cell r="L465">
            <v>384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0</v>
          </cell>
          <cell r="R465">
            <v>3</v>
          </cell>
          <cell r="S465" t="str">
            <v>none</v>
          </cell>
          <cell r="T465">
            <v>0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19</v>
          </cell>
          <cell r="AD465">
            <v>6</v>
          </cell>
          <cell r="AE465" t="str">
            <v>everyone</v>
          </cell>
        </row>
        <row r="466">
          <cell r="A466" t="str">
            <v>20002_2</v>
          </cell>
          <cell r="B466">
            <v>3</v>
          </cell>
          <cell r="C466">
            <v>20002</v>
          </cell>
          <cell r="D466" t="str">
            <v>孤高の一角獣</v>
          </cell>
          <cell r="E466" t="str">
            <v>ドロップイベント1-2</v>
          </cell>
          <cell r="F466">
            <v>2</v>
          </cell>
          <cell r="G466" t="str">
            <v>ja</v>
          </cell>
          <cell r="H466" t="str">
            <v>【中級】孤高の一角獣</v>
          </cell>
          <cell r="I466" t="str">
            <v>中級</v>
          </cell>
          <cell r="J466">
            <v>264</v>
          </cell>
          <cell r="K466">
            <v>15</v>
          </cell>
          <cell r="L466">
            <v>1200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0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19</v>
          </cell>
          <cell r="AD466">
            <v>6</v>
          </cell>
          <cell r="AE466" t="str">
            <v>everyone</v>
          </cell>
        </row>
        <row r="467">
          <cell r="A467" t="str">
            <v>20002_3</v>
          </cell>
          <cell r="B467">
            <v>3</v>
          </cell>
          <cell r="C467">
            <v>20002</v>
          </cell>
          <cell r="D467" t="str">
            <v>孤高の一角獣</v>
          </cell>
          <cell r="E467" t="str">
            <v>ドロップイベント1-2</v>
          </cell>
          <cell r="F467">
            <v>3</v>
          </cell>
          <cell r="G467" t="str">
            <v>ja</v>
          </cell>
          <cell r="H467" t="str">
            <v>【上級】孤高の一角獣</v>
          </cell>
          <cell r="I467" t="str">
            <v>上級</v>
          </cell>
          <cell r="J467">
            <v>265</v>
          </cell>
          <cell r="K467">
            <v>20</v>
          </cell>
          <cell r="L467">
            <v>2000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0</v>
          </cell>
          <cell r="R467">
            <v>3</v>
          </cell>
          <cell r="S467" t="str">
            <v>polygon</v>
          </cell>
          <cell r="T467">
            <v>1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19</v>
          </cell>
          <cell r="AD467">
            <v>6</v>
          </cell>
          <cell r="AE467" t="str">
            <v>everyone</v>
          </cell>
        </row>
        <row r="468">
          <cell r="A468" t="str">
            <v>20003_1</v>
          </cell>
          <cell r="B468">
            <v>3</v>
          </cell>
          <cell r="C468">
            <v>20003</v>
          </cell>
          <cell r="D468" t="str">
            <v>忍び寄る短剣</v>
          </cell>
          <cell r="E468" t="str">
            <v>ドロップイベント1-3</v>
          </cell>
          <cell r="F468">
            <v>1</v>
          </cell>
          <cell r="G468" t="str">
            <v>ja</v>
          </cell>
          <cell r="H468" t="str">
            <v xml:space="preserve">【初級】忍び寄る短剣 </v>
          </cell>
          <cell r="I468" t="str">
            <v>初級</v>
          </cell>
          <cell r="J468">
            <v>266</v>
          </cell>
          <cell r="K468">
            <v>8</v>
          </cell>
          <cell r="L468">
            <v>384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1</v>
          </cell>
          <cell r="R468">
            <v>3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11</v>
          </cell>
          <cell r="AD468">
            <v>6</v>
          </cell>
          <cell r="AE468" t="str">
            <v>everyone</v>
          </cell>
        </row>
        <row r="469">
          <cell r="A469" t="str">
            <v>20003_2</v>
          </cell>
          <cell r="B469">
            <v>3</v>
          </cell>
          <cell r="C469">
            <v>20003</v>
          </cell>
          <cell r="D469" t="str">
            <v>忍び寄る短剣</v>
          </cell>
          <cell r="E469" t="str">
            <v>ドロップイベント1-3</v>
          </cell>
          <cell r="F469">
            <v>2</v>
          </cell>
          <cell r="G469" t="str">
            <v>ja</v>
          </cell>
          <cell r="H469" t="str">
            <v xml:space="preserve">【中級】忍び寄る短剣 </v>
          </cell>
          <cell r="I469" t="str">
            <v>中級</v>
          </cell>
          <cell r="J469">
            <v>266</v>
          </cell>
          <cell r="K469">
            <v>15</v>
          </cell>
          <cell r="L469">
            <v>1200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1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11</v>
          </cell>
          <cell r="AD469">
            <v>6</v>
          </cell>
          <cell r="AE469" t="str">
            <v>everyone</v>
          </cell>
        </row>
        <row r="470">
          <cell r="A470" t="str">
            <v>20003_3</v>
          </cell>
          <cell r="B470">
            <v>3</v>
          </cell>
          <cell r="C470">
            <v>20003</v>
          </cell>
          <cell r="D470" t="str">
            <v>忍び寄る短剣</v>
          </cell>
          <cell r="E470" t="str">
            <v>ドロップイベント1-3</v>
          </cell>
          <cell r="F470">
            <v>3</v>
          </cell>
          <cell r="G470" t="str">
            <v>ja</v>
          </cell>
          <cell r="H470" t="str">
            <v xml:space="preserve">【上級】忍び寄る短剣 </v>
          </cell>
          <cell r="I470" t="str">
            <v>上級</v>
          </cell>
          <cell r="J470">
            <v>267</v>
          </cell>
          <cell r="K470">
            <v>20</v>
          </cell>
          <cell r="L470">
            <v>2000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1</v>
          </cell>
          <cell r="R470">
            <v>3</v>
          </cell>
          <cell r="S470" t="str">
            <v>polygon</v>
          </cell>
          <cell r="T470">
            <v>1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11</v>
          </cell>
          <cell r="AD470">
            <v>6</v>
          </cell>
          <cell r="AE470" t="str">
            <v>everyone</v>
          </cell>
        </row>
        <row r="471">
          <cell r="A471" t="str">
            <v>20004_1</v>
          </cell>
          <cell r="B471">
            <v>3</v>
          </cell>
          <cell r="C471">
            <v>20004</v>
          </cell>
          <cell r="D471" t="str">
            <v>雷雲からの刺客</v>
          </cell>
          <cell r="E471" t="str">
            <v>ドロップイベント1-4</v>
          </cell>
          <cell r="F471">
            <v>1</v>
          </cell>
          <cell r="G471" t="str">
            <v>ja</v>
          </cell>
          <cell r="H471" t="str">
            <v>【初級】雷雲からの刺客</v>
          </cell>
          <cell r="I471" t="str">
            <v>初級</v>
          </cell>
          <cell r="J471">
            <v>268</v>
          </cell>
          <cell r="K471">
            <v>8</v>
          </cell>
          <cell r="L471">
            <v>384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0</v>
          </cell>
          <cell r="R471">
            <v>3</v>
          </cell>
          <cell r="S471" t="str">
            <v>none</v>
          </cell>
          <cell r="T471">
            <v>0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4</v>
          </cell>
          <cell r="AD471">
            <v>6</v>
          </cell>
          <cell r="AE471" t="str">
            <v>everyone</v>
          </cell>
        </row>
        <row r="472">
          <cell r="A472" t="str">
            <v>20004_2</v>
          </cell>
          <cell r="B472">
            <v>3</v>
          </cell>
          <cell r="C472">
            <v>20004</v>
          </cell>
          <cell r="D472" t="str">
            <v>雷雲からの刺客</v>
          </cell>
          <cell r="E472" t="str">
            <v>ドロップイベント1-4</v>
          </cell>
          <cell r="F472">
            <v>2</v>
          </cell>
          <cell r="G472" t="str">
            <v>ja</v>
          </cell>
          <cell r="H472" t="str">
            <v>【中級】雷雲からの刺客</v>
          </cell>
          <cell r="I472" t="str">
            <v>中級</v>
          </cell>
          <cell r="J472">
            <v>268</v>
          </cell>
          <cell r="K472">
            <v>15</v>
          </cell>
          <cell r="L472">
            <v>1200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0</v>
          </cell>
          <cell r="R472">
            <v>3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4</v>
          </cell>
          <cell r="AD472">
            <v>6</v>
          </cell>
          <cell r="AE472" t="str">
            <v>everyone</v>
          </cell>
        </row>
        <row r="473">
          <cell r="A473" t="str">
            <v>20004_3</v>
          </cell>
          <cell r="B473">
            <v>3</v>
          </cell>
          <cell r="C473">
            <v>20004</v>
          </cell>
          <cell r="D473" t="str">
            <v>雷雲からの刺客</v>
          </cell>
          <cell r="E473" t="str">
            <v>ドロップイベント1-4</v>
          </cell>
          <cell r="F473">
            <v>3</v>
          </cell>
          <cell r="G473" t="str">
            <v>ja</v>
          </cell>
          <cell r="H473" t="str">
            <v>【上級】雷雲からの刺客</v>
          </cell>
          <cell r="I473" t="str">
            <v>上級</v>
          </cell>
          <cell r="J473">
            <v>269</v>
          </cell>
          <cell r="K473">
            <v>20</v>
          </cell>
          <cell r="L473">
            <v>2000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0</v>
          </cell>
          <cell r="R473">
            <v>3</v>
          </cell>
          <cell r="S473" t="str">
            <v>polygon</v>
          </cell>
          <cell r="T473">
            <v>1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4</v>
          </cell>
          <cell r="AD473">
            <v>6</v>
          </cell>
          <cell r="AE473" t="str">
            <v>everyone</v>
          </cell>
        </row>
        <row r="474">
          <cell r="A474" t="str">
            <v>20005_1</v>
          </cell>
          <cell r="B474">
            <v>3</v>
          </cell>
          <cell r="C474">
            <v>20005</v>
          </cell>
          <cell r="D474" t="str">
            <v>ザ・キャノン</v>
          </cell>
          <cell r="E474" t="str">
            <v>ドロップイベント2-2</v>
          </cell>
          <cell r="F474">
            <v>1</v>
          </cell>
          <cell r="G474" t="str">
            <v>ja</v>
          </cell>
          <cell r="H474" t="str">
            <v>【初級】ザ・キャノン(4タップ）</v>
          </cell>
          <cell r="I474" t="str">
            <v>初級</v>
          </cell>
          <cell r="J474">
            <v>286</v>
          </cell>
          <cell r="K474">
            <v>8</v>
          </cell>
          <cell r="L474">
            <v>384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4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14</v>
          </cell>
          <cell r="AD474">
            <v>6</v>
          </cell>
          <cell r="AE474" t="str">
            <v>everyone</v>
          </cell>
        </row>
        <row r="475">
          <cell r="A475" t="str">
            <v>20005_2</v>
          </cell>
          <cell r="B475">
            <v>3</v>
          </cell>
          <cell r="C475">
            <v>20005</v>
          </cell>
          <cell r="D475" t="str">
            <v>ザ・キャノン</v>
          </cell>
          <cell r="E475" t="str">
            <v>ドロップイベント2-2</v>
          </cell>
          <cell r="F475">
            <v>2</v>
          </cell>
          <cell r="G475" t="str">
            <v>ja</v>
          </cell>
          <cell r="H475" t="str">
            <v>【中級】ザ・キャノン(4タップ)</v>
          </cell>
          <cell r="I475" t="str">
            <v>中級</v>
          </cell>
          <cell r="J475">
            <v>286</v>
          </cell>
          <cell r="K475">
            <v>15</v>
          </cell>
          <cell r="L475">
            <v>1200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4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14</v>
          </cell>
          <cell r="AD475">
            <v>6</v>
          </cell>
          <cell r="AE475" t="str">
            <v>everyone</v>
          </cell>
        </row>
        <row r="476">
          <cell r="A476" t="str">
            <v>20005_3</v>
          </cell>
          <cell r="B476">
            <v>3</v>
          </cell>
          <cell r="C476">
            <v>20005</v>
          </cell>
          <cell r="D476" t="str">
            <v>ザ・キャノン</v>
          </cell>
          <cell r="E476" t="str">
            <v>ドロップイベント2-2</v>
          </cell>
          <cell r="F476">
            <v>3</v>
          </cell>
          <cell r="G476" t="str">
            <v>ja</v>
          </cell>
          <cell r="H476" t="str">
            <v>【上級】ザ・キャノン(4タップ)</v>
          </cell>
          <cell r="I476" t="str">
            <v>上級</v>
          </cell>
          <cell r="J476">
            <v>287</v>
          </cell>
          <cell r="K476">
            <v>20</v>
          </cell>
          <cell r="L476">
            <v>2000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4</v>
          </cell>
          <cell r="S476" t="str">
            <v>polygon</v>
          </cell>
          <cell r="T476">
            <v>1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14</v>
          </cell>
          <cell r="AD476">
            <v>6</v>
          </cell>
          <cell r="AE476" t="str">
            <v>everyone</v>
          </cell>
        </row>
        <row r="477">
          <cell r="A477" t="str">
            <v>20006_1</v>
          </cell>
          <cell r="B477">
            <v>3</v>
          </cell>
          <cell r="C477">
            <v>20006</v>
          </cell>
          <cell r="D477" t="str">
            <v>スチール・プレデター</v>
          </cell>
          <cell r="E477" t="str">
            <v>ドロップイベント2-3</v>
          </cell>
          <cell r="F477">
            <v>1</v>
          </cell>
          <cell r="G477" t="str">
            <v>ja</v>
          </cell>
          <cell r="H477" t="str">
            <v>【初級】スチール・プレデター</v>
          </cell>
          <cell r="I477" t="str">
            <v>初級</v>
          </cell>
          <cell r="J477">
            <v>280</v>
          </cell>
          <cell r="K477">
            <v>8</v>
          </cell>
          <cell r="L477">
            <v>384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2</v>
          </cell>
          <cell r="S477" t="str">
            <v>none</v>
          </cell>
          <cell r="T477">
            <v>0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19</v>
          </cell>
          <cell r="AD477">
            <v>6</v>
          </cell>
          <cell r="AE477" t="str">
            <v>everyone</v>
          </cell>
        </row>
        <row r="478">
          <cell r="A478" t="str">
            <v>20006_2</v>
          </cell>
          <cell r="B478">
            <v>3</v>
          </cell>
          <cell r="C478">
            <v>20006</v>
          </cell>
          <cell r="D478" t="str">
            <v>スチール・プレデター</v>
          </cell>
          <cell r="E478" t="str">
            <v>ドロップイベント2-3</v>
          </cell>
          <cell r="F478">
            <v>2</v>
          </cell>
          <cell r="G478" t="str">
            <v>ja</v>
          </cell>
          <cell r="H478" t="str">
            <v>【中級】スチール・プレデター</v>
          </cell>
          <cell r="I478" t="str">
            <v>中級</v>
          </cell>
          <cell r="J478">
            <v>280</v>
          </cell>
          <cell r="K478">
            <v>15</v>
          </cell>
          <cell r="L478">
            <v>1200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2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19</v>
          </cell>
          <cell r="AD478">
            <v>6</v>
          </cell>
          <cell r="AE478" t="str">
            <v>everyone</v>
          </cell>
        </row>
        <row r="479">
          <cell r="A479" t="str">
            <v>20006_3</v>
          </cell>
          <cell r="B479">
            <v>3</v>
          </cell>
          <cell r="C479">
            <v>20006</v>
          </cell>
          <cell r="D479" t="str">
            <v>スチール・プレデター</v>
          </cell>
          <cell r="E479" t="str">
            <v>ドロップイベント2-3</v>
          </cell>
          <cell r="F479">
            <v>3</v>
          </cell>
          <cell r="G479" t="str">
            <v>ja</v>
          </cell>
          <cell r="H479" t="str">
            <v>【上級】スチール・プレデター</v>
          </cell>
          <cell r="I479" t="str">
            <v>上級</v>
          </cell>
          <cell r="J479">
            <v>281</v>
          </cell>
          <cell r="K479">
            <v>20</v>
          </cell>
          <cell r="L479">
            <v>2000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2</v>
          </cell>
          <cell r="S479" t="str">
            <v>polygon</v>
          </cell>
          <cell r="T479">
            <v>1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19</v>
          </cell>
          <cell r="AD479">
            <v>6</v>
          </cell>
          <cell r="AE479" t="str">
            <v>everyone</v>
          </cell>
        </row>
        <row r="480">
          <cell r="A480" t="str">
            <v>20007_1</v>
          </cell>
          <cell r="B480">
            <v>3</v>
          </cell>
          <cell r="C480">
            <v>20007</v>
          </cell>
          <cell r="D480" t="str">
            <v>女王陛下の処刑龍</v>
          </cell>
          <cell r="E480" t="str">
            <v>ドロップイベント2-1</v>
          </cell>
          <cell r="F480">
            <v>1</v>
          </cell>
          <cell r="G480" t="str">
            <v>ja</v>
          </cell>
          <cell r="H480" t="str">
            <v>【初級】女王陛下の処刑龍</v>
          </cell>
          <cell r="I480" t="str">
            <v>初級</v>
          </cell>
          <cell r="J480">
            <v>282</v>
          </cell>
          <cell r="K480">
            <v>8</v>
          </cell>
          <cell r="L480">
            <v>384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4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17</v>
          </cell>
          <cell r="AD480">
            <v>6</v>
          </cell>
          <cell r="AE480" t="str">
            <v>everyone</v>
          </cell>
        </row>
        <row r="481">
          <cell r="A481" t="str">
            <v>20007_2</v>
          </cell>
          <cell r="B481">
            <v>3</v>
          </cell>
          <cell r="C481">
            <v>20007</v>
          </cell>
          <cell r="D481" t="str">
            <v>女王陛下の処刑龍</v>
          </cell>
          <cell r="E481" t="str">
            <v>ドロップイベント2-1</v>
          </cell>
          <cell r="F481">
            <v>2</v>
          </cell>
          <cell r="G481" t="str">
            <v>ja</v>
          </cell>
          <cell r="H481" t="str">
            <v>【中級】女王陛下の処刑龍</v>
          </cell>
          <cell r="I481" t="str">
            <v>中級</v>
          </cell>
          <cell r="J481">
            <v>282</v>
          </cell>
          <cell r="K481">
            <v>15</v>
          </cell>
          <cell r="L481">
            <v>1200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4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17</v>
          </cell>
          <cell r="AD481">
            <v>6</v>
          </cell>
          <cell r="AE481" t="str">
            <v>everyone</v>
          </cell>
        </row>
        <row r="482">
          <cell r="A482" t="str">
            <v>20007_3</v>
          </cell>
          <cell r="B482">
            <v>3</v>
          </cell>
          <cell r="C482">
            <v>20007</v>
          </cell>
          <cell r="D482" t="str">
            <v>女王陛下の処刑龍</v>
          </cell>
          <cell r="E482" t="str">
            <v>ドロップイベント2-1</v>
          </cell>
          <cell r="F482">
            <v>3</v>
          </cell>
          <cell r="G482" t="str">
            <v>ja</v>
          </cell>
          <cell r="H482" t="str">
            <v>【上級】女王陛下の処刑龍</v>
          </cell>
          <cell r="I482" t="str">
            <v>上級</v>
          </cell>
          <cell r="J482">
            <v>283</v>
          </cell>
          <cell r="K482">
            <v>20</v>
          </cell>
          <cell r="L482">
            <v>2000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4</v>
          </cell>
          <cell r="S482" t="str">
            <v>polygon</v>
          </cell>
          <cell r="T482">
            <v>1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17</v>
          </cell>
          <cell r="AD482">
            <v>6</v>
          </cell>
          <cell r="AE482" t="str">
            <v>everyone</v>
          </cell>
        </row>
        <row r="483">
          <cell r="A483" t="str">
            <v>20008_1</v>
          </cell>
          <cell r="B483">
            <v>3</v>
          </cell>
          <cell r="C483">
            <v>20008</v>
          </cell>
          <cell r="D483" t="str">
            <v>天翔ける金轟機龍</v>
          </cell>
          <cell r="E483" t="str">
            <v>ドロップイベント2-4</v>
          </cell>
          <cell r="F483">
            <v>1</v>
          </cell>
          <cell r="G483" t="str">
            <v>ja</v>
          </cell>
          <cell r="H483" t="str">
            <v>【初級】天翔ける金轟機龍</v>
          </cell>
          <cell r="I483" t="str">
            <v>初級</v>
          </cell>
          <cell r="J483">
            <v>284</v>
          </cell>
          <cell r="K483">
            <v>8</v>
          </cell>
          <cell r="L483">
            <v>384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8</v>
          </cell>
          <cell r="AD483">
            <v>6</v>
          </cell>
          <cell r="AE483" t="str">
            <v>everyone</v>
          </cell>
        </row>
        <row r="484">
          <cell r="A484" t="str">
            <v>20008_2</v>
          </cell>
          <cell r="B484">
            <v>3</v>
          </cell>
          <cell r="C484">
            <v>20008</v>
          </cell>
          <cell r="D484" t="str">
            <v>天翔ける金轟機龍</v>
          </cell>
          <cell r="E484" t="str">
            <v>ドロップイベント2-4</v>
          </cell>
          <cell r="F484">
            <v>2</v>
          </cell>
          <cell r="G484" t="str">
            <v>ja</v>
          </cell>
          <cell r="H484" t="str">
            <v>【中級】天翔ける金轟機龍</v>
          </cell>
          <cell r="I484" t="str">
            <v>中級</v>
          </cell>
          <cell r="J484">
            <v>284</v>
          </cell>
          <cell r="K484">
            <v>15</v>
          </cell>
          <cell r="L484">
            <v>1200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8</v>
          </cell>
          <cell r="AD484">
            <v>6</v>
          </cell>
          <cell r="AE484" t="str">
            <v>everyone</v>
          </cell>
        </row>
        <row r="485">
          <cell r="A485" t="str">
            <v>20008_3</v>
          </cell>
          <cell r="B485">
            <v>3</v>
          </cell>
          <cell r="C485">
            <v>20008</v>
          </cell>
          <cell r="D485" t="str">
            <v>天翔ける金轟機龍</v>
          </cell>
          <cell r="E485" t="str">
            <v>ドロップイベント2-4</v>
          </cell>
          <cell r="F485">
            <v>3</v>
          </cell>
          <cell r="G485" t="str">
            <v>ja</v>
          </cell>
          <cell r="H485" t="str">
            <v>【上級】天翔ける金轟機龍</v>
          </cell>
          <cell r="I485" t="str">
            <v>上級</v>
          </cell>
          <cell r="J485">
            <v>285</v>
          </cell>
          <cell r="K485">
            <v>20</v>
          </cell>
          <cell r="L485">
            <v>2000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polygon</v>
          </cell>
          <cell r="T485">
            <v>1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8</v>
          </cell>
          <cell r="AD485">
            <v>6</v>
          </cell>
          <cell r="AE485" t="str">
            <v>everyone</v>
          </cell>
        </row>
        <row r="486">
          <cell r="A486" t="str">
            <v>20009_1</v>
          </cell>
          <cell r="B486">
            <v>0</v>
          </cell>
          <cell r="C486">
            <v>20009</v>
          </cell>
          <cell r="D486" t="str">
            <v>迫り来る窒息</v>
          </cell>
          <cell r="E486" t="str">
            <v>ドロップイベント3</v>
          </cell>
          <cell r="F486">
            <v>1</v>
          </cell>
          <cell r="G486" t="str">
            <v>ja</v>
          </cell>
          <cell r="H486" t="str">
            <v>【初級】迫り来る窒息</v>
          </cell>
          <cell r="I486" t="str">
            <v>初級</v>
          </cell>
          <cell r="J486" t="str">
            <v>NULL</v>
          </cell>
          <cell r="K486">
            <v>8</v>
          </cell>
          <cell r="L486">
            <v>384</v>
          </cell>
          <cell r="M486">
            <v>1</v>
          </cell>
          <cell r="N486">
            <v>1</v>
          </cell>
          <cell r="O486">
            <v>1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25</v>
          </cell>
          <cell r="AD486">
            <v>5</v>
          </cell>
          <cell r="AE486" t="str">
            <v>everyone</v>
          </cell>
        </row>
        <row r="487">
          <cell r="A487" t="str">
            <v>20009_2</v>
          </cell>
          <cell r="B487">
            <v>3</v>
          </cell>
          <cell r="C487">
            <v>20009</v>
          </cell>
          <cell r="D487" t="str">
            <v>迫り来る窒息</v>
          </cell>
          <cell r="E487" t="str">
            <v>ドロップイベント3</v>
          </cell>
          <cell r="F487">
            <v>2</v>
          </cell>
          <cell r="G487" t="str">
            <v>ja</v>
          </cell>
          <cell r="H487" t="str">
            <v>【中級】迫り来る窒息</v>
          </cell>
          <cell r="I487" t="str">
            <v>中級</v>
          </cell>
          <cell r="J487">
            <v>302</v>
          </cell>
          <cell r="K487">
            <v>15</v>
          </cell>
          <cell r="L487">
            <v>1200</v>
          </cell>
          <cell r="M487">
            <v>1</v>
          </cell>
          <cell r="N487">
            <v>1</v>
          </cell>
          <cell r="O487">
            <v>1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25</v>
          </cell>
          <cell r="AD487">
            <v>5</v>
          </cell>
          <cell r="AE487" t="str">
            <v>everyone</v>
          </cell>
        </row>
        <row r="488">
          <cell r="A488" t="str">
            <v>20009_3</v>
          </cell>
          <cell r="B488">
            <v>3</v>
          </cell>
          <cell r="C488">
            <v>20009</v>
          </cell>
          <cell r="D488" t="str">
            <v>迫り来る窒息</v>
          </cell>
          <cell r="E488" t="str">
            <v>ドロップイベント3</v>
          </cell>
          <cell r="F488">
            <v>3</v>
          </cell>
          <cell r="G488" t="str">
            <v>ja</v>
          </cell>
          <cell r="H488" t="str">
            <v>【上級】迫り来る窒息</v>
          </cell>
          <cell r="I488" t="str">
            <v>上級</v>
          </cell>
          <cell r="J488">
            <v>303</v>
          </cell>
          <cell r="K488">
            <v>20</v>
          </cell>
          <cell r="L488">
            <v>2000</v>
          </cell>
          <cell r="M488">
            <v>1</v>
          </cell>
          <cell r="N488">
            <v>1</v>
          </cell>
          <cell r="O488">
            <v>1</v>
          </cell>
          <cell r="P488">
            <v>1</v>
          </cell>
          <cell r="Q488">
            <v>1</v>
          </cell>
          <cell r="R488">
            <v>3</v>
          </cell>
          <cell r="S488" t="str">
            <v>polygon</v>
          </cell>
          <cell r="T488">
            <v>1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25</v>
          </cell>
          <cell r="AD488">
            <v>5</v>
          </cell>
          <cell r="AE488" t="str">
            <v>everyone</v>
          </cell>
        </row>
        <row r="489">
          <cell r="A489" t="str">
            <v>20010_1</v>
          </cell>
          <cell r="B489">
            <v>3</v>
          </cell>
          <cell r="C489">
            <v>20010</v>
          </cell>
          <cell r="D489" t="str">
            <v>悪夢の一目惚れ</v>
          </cell>
          <cell r="E489" t="str">
            <v>ドロップイベント3</v>
          </cell>
          <cell r="F489">
            <v>1</v>
          </cell>
          <cell r="G489" t="str">
            <v>ja</v>
          </cell>
          <cell r="H489" t="str">
            <v>【初級】悪夢の一目惚れ</v>
          </cell>
          <cell r="I489" t="str">
            <v>初級</v>
          </cell>
          <cell r="J489">
            <v>304</v>
          </cell>
          <cell r="K489">
            <v>8</v>
          </cell>
          <cell r="L489">
            <v>384</v>
          </cell>
          <cell r="M489">
            <v>1</v>
          </cell>
          <cell r="N489">
            <v>1</v>
          </cell>
          <cell r="O489">
            <v>0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2601</v>
          </cell>
          <cell r="AD489">
            <v>6</v>
          </cell>
          <cell r="AE489" t="str">
            <v>everyone</v>
          </cell>
        </row>
        <row r="490">
          <cell r="A490" t="str">
            <v>20010_2</v>
          </cell>
          <cell r="B490">
            <v>3</v>
          </cell>
          <cell r="C490">
            <v>20010</v>
          </cell>
          <cell r="D490" t="str">
            <v>悪夢の一目惚れ</v>
          </cell>
          <cell r="E490" t="str">
            <v>ドロップイベント3</v>
          </cell>
          <cell r="F490">
            <v>2</v>
          </cell>
          <cell r="G490" t="str">
            <v>ja</v>
          </cell>
          <cell r="H490" t="str">
            <v>【中級】悪夢の一目惚れ</v>
          </cell>
          <cell r="I490" t="str">
            <v>中級</v>
          </cell>
          <cell r="J490">
            <v>304</v>
          </cell>
          <cell r="K490">
            <v>15</v>
          </cell>
          <cell r="L490">
            <v>1200</v>
          </cell>
          <cell r="M490">
            <v>1</v>
          </cell>
          <cell r="N490">
            <v>1</v>
          </cell>
          <cell r="O490">
            <v>0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2601</v>
          </cell>
          <cell r="AD490">
            <v>6</v>
          </cell>
          <cell r="AE490" t="str">
            <v>everyone</v>
          </cell>
        </row>
        <row r="491">
          <cell r="A491" t="str">
            <v>20010_3</v>
          </cell>
          <cell r="B491">
            <v>3</v>
          </cell>
          <cell r="C491">
            <v>20010</v>
          </cell>
          <cell r="D491" t="str">
            <v>悪夢の一目惚れ</v>
          </cell>
          <cell r="E491" t="str">
            <v>ドロップイベント3</v>
          </cell>
          <cell r="F491">
            <v>3</v>
          </cell>
          <cell r="G491" t="str">
            <v>ja</v>
          </cell>
          <cell r="H491" t="str">
            <v>【上級】悪夢の一目惚れ</v>
          </cell>
          <cell r="I491" t="str">
            <v>上級</v>
          </cell>
          <cell r="J491">
            <v>305</v>
          </cell>
          <cell r="K491">
            <v>20</v>
          </cell>
          <cell r="L491">
            <v>2000</v>
          </cell>
          <cell r="M491">
            <v>1</v>
          </cell>
          <cell r="N491">
            <v>1</v>
          </cell>
          <cell r="O491">
            <v>0</v>
          </cell>
          <cell r="P491">
            <v>1</v>
          </cell>
          <cell r="Q491">
            <v>1</v>
          </cell>
          <cell r="R491">
            <v>3</v>
          </cell>
          <cell r="S491" t="str">
            <v>polygon</v>
          </cell>
          <cell r="T491">
            <v>1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2601</v>
          </cell>
          <cell r="AD491">
            <v>6</v>
          </cell>
          <cell r="AE491" t="str">
            <v>everyone</v>
          </cell>
        </row>
        <row r="492">
          <cell r="A492" t="str">
            <v>20011_1</v>
          </cell>
          <cell r="B492">
            <v>3</v>
          </cell>
          <cell r="C492">
            <v>20011</v>
          </cell>
          <cell r="D492" t="str">
            <v>すべてが灰になる</v>
          </cell>
          <cell r="E492" t="str">
            <v>ドロップイベント3</v>
          </cell>
          <cell r="F492">
            <v>1</v>
          </cell>
          <cell r="G492" t="str">
            <v>ja</v>
          </cell>
          <cell r="H492" t="str">
            <v>【初級】すべてが灰になる</v>
          </cell>
          <cell r="I492" t="str">
            <v>初級</v>
          </cell>
          <cell r="J492">
            <v>298</v>
          </cell>
          <cell r="K492">
            <v>8</v>
          </cell>
          <cell r="L492">
            <v>384</v>
          </cell>
          <cell r="M492">
            <v>1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none</v>
          </cell>
          <cell r="T492">
            <v>0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10</v>
          </cell>
          <cell r="AD492">
            <v>5</v>
          </cell>
          <cell r="AE492" t="str">
            <v>everyone</v>
          </cell>
        </row>
        <row r="493">
          <cell r="A493" t="str">
            <v>20011_2</v>
          </cell>
          <cell r="B493">
            <v>3</v>
          </cell>
          <cell r="C493">
            <v>20011</v>
          </cell>
          <cell r="D493" t="str">
            <v>すべてが灰になる</v>
          </cell>
          <cell r="E493" t="str">
            <v>ドロップイベント3</v>
          </cell>
          <cell r="F493">
            <v>2</v>
          </cell>
          <cell r="G493" t="str">
            <v>ja</v>
          </cell>
          <cell r="H493" t="str">
            <v>【中級】すべてが灰になる</v>
          </cell>
          <cell r="I493" t="str">
            <v>中級</v>
          </cell>
          <cell r="J493">
            <v>298</v>
          </cell>
          <cell r="K493">
            <v>15</v>
          </cell>
          <cell r="L493">
            <v>1200</v>
          </cell>
          <cell r="M493">
            <v>1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10</v>
          </cell>
          <cell r="AD493">
            <v>5</v>
          </cell>
          <cell r="AE493" t="str">
            <v>everyone</v>
          </cell>
        </row>
        <row r="494">
          <cell r="A494" t="str">
            <v>20011_3</v>
          </cell>
          <cell r="B494">
            <v>3</v>
          </cell>
          <cell r="C494">
            <v>20011</v>
          </cell>
          <cell r="D494" t="str">
            <v>すべてが灰になる</v>
          </cell>
          <cell r="E494" t="str">
            <v>ドロップイベント3</v>
          </cell>
          <cell r="F494">
            <v>3</v>
          </cell>
          <cell r="G494" t="str">
            <v>ja</v>
          </cell>
          <cell r="H494" t="str">
            <v>【上級】すべてが灰になる</v>
          </cell>
          <cell r="I494" t="str">
            <v>上級</v>
          </cell>
          <cell r="J494">
            <v>299</v>
          </cell>
          <cell r="K494">
            <v>20</v>
          </cell>
          <cell r="L494">
            <v>2000</v>
          </cell>
          <cell r="M494">
            <v>1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polygon</v>
          </cell>
          <cell r="T494">
            <v>1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10</v>
          </cell>
          <cell r="AD494">
            <v>5</v>
          </cell>
          <cell r="AE494" t="str">
            <v>everyone</v>
          </cell>
        </row>
        <row r="495">
          <cell r="A495" t="str">
            <v>20012_1</v>
          </cell>
          <cell r="B495">
            <v>3</v>
          </cell>
          <cell r="C495">
            <v>20012</v>
          </cell>
          <cell r="D495" t="str">
            <v>罪と劇薬</v>
          </cell>
          <cell r="E495" t="str">
            <v>ドロップイベント3</v>
          </cell>
          <cell r="F495">
            <v>1</v>
          </cell>
          <cell r="G495" t="str">
            <v>ja</v>
          </cell>
          <cell r="H495" t="str">
            <v>【初級】罪と劇薬</v>
          </cell>
          <cell r="I495" t="str">
            <v>初級</v>
          </cell>
          <cell r="J495">
            <v>300</v>
          </cell>
          <cell r="K495">
            <v>8</v>
          </cell>
          <cell r="L495">
            <v>384</v>
          </cell>
          <cell r="M495">
            <v>0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19</v>
          </cell>
          <cell r="AD495">
            <v>6</v>
          </cell>
          <cell r="AE495" t="str">
            <v>everyone</v>
          </cell>
        </row>
        <row r="496">
          <cell r="A496" t="str">
            <v>20012_2</v>
          </cell>
          <cell r="B496">
            <v>3</v>
          </cell>
          <cell r="C496">
            <v>20012</v>
          </cell>
          <cell r="D496" t="str">
            <v>罪と劇薬</v>
          </cell>
          <cell r="E496" t="str">
            <v>ドロップイベント3</v>
          </cell>
          <cell r="F496">
            <v>2</v>
          </cell>
          <cell r="G496" t="str">
            <v>ja</v>
          </cell>
          <cell r="H496" t="str">
            <v>【中級】罪と劇薬</v>
          </cell>
          <cell r="I496" t="str">
            <v>中級</v>
          </cell>
          <cell r="J496">
            <v>300</v>
          </cell>
          <cell r="K496">
            <v>15</v>
          </cell>
          <cell r="L496">
            <v>1200</v>
          </cell>
          <cell r="M496">
            <v>0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none</v>
          </cell>
          <cell r="T496">
            <v>0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19</v>
          </cell>
          <cell r="AD496">
            <v>6</v>
          </cell>
          <cell r="AE496" t="str">
            <v>everyone</v>
          </cell>
        </row>
        <row r="497">
          <cell r="A497" t="str">
            <v>20012_3</v>
          </cell>
          <cell r="B497">
            <v>3</v>
          </cell>
          <cell r="C497">
            <v>20012</v>
          </cell>
          <cell r="D497" t="str">
            <v>罪と劇薬</v>
          </cell>
          <cell r="E497" t="str">
            <v>ドロップイベント3</v>
          </cell>
          <cell r="F497">
            <v>3</v>
          </cell>
          <cell r="G497" t="str">
            <v>ja</v>
          </cell>
          <cell r="H497" t="str">
            <v>【上級】罪と劇薬</v>
          </cell>
          <cell r="I497" t="str">
            <v>上級</v>
          </cell>
          <cell r="J497">
            <v>301</v>
          </cell>
          <cell r="K497">
            <v>20</v>
          </cell>
          <cell r="L497">
            <v>2000</v>
          </cell>
          <cell r="M497">
            <v>0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polygon</v>
          </cell>
          <cell r="T497">
            <v>1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19</v>
          </cell>
          <cell r="AD497">
            <v>6</v>
          </cell>
          <cell r="AE497" t="str">
            <v>everyone</v>
          </cell>
        </row>
        <row r="498">
          <cell r="A498" t="str">
            <v>20013_1</v>
          </cell>
          <cell r="B498">
            <v>3</v>
          </cell>
          <cell r="C498">
            <v>20013</v>
          </cell>
          <cell r="D498" t="str">
            <v>天の時、地の利、人の和</v>
          </cell>
          <cell r="E498" t="str">
            <v>ドロップイベント4</v>
          </cell>
          <cell r="F498">
            <v>1</v>
          </cell>
          <cell r="G498" t="str">
            <v>ja</v>
          </cell>
          <cell r="H498" t="str">
            <v>【初級】天の時、地の利、人の和</v>
          </cell>
          <cell r="I498" t="str">
            <v>初級</v>
          </cell>
          <cell r="J498">
            <v>720</v>
          </cell>
          <cell r="K498">
            <v>8</v>
          </cell>
          <cell r="L498">
            <v>384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10</v>
          </cell>
          <cell r="AD498">
            <v>6</v>
          </cell>
          <cell r="AE498" t="str">
            <v>everyone</v>
          </cell>
        </row>
        <row r="499">
          <cell r="A499" t="str">
            <v>20013_2</v>
          </cell>
          <cell r="B499">
            <v>3</v>
          </cell>
          <cell r="C499">
            <v>20013</v>
          </cell>
          <cell r="D499" t="str">
            <v>天の時、地の利、人の和</v>
          </cell>
          <cell r="E499" t="str">
            <v>ドロップイベント4</v>
          </cell>
          <cell r="F499">
            <v>2</v>
          </cell>
          <cell r="G499" t="str">
            <v>ja</v>
          </cell>
          <cell r="H499" t="str">
            <v>【中級】天の時、地の利、人の和</v>
          </cell>
          <cell r="I499" t="str">
            <v>中級</v>
          </cell>
          <cell r="J499">
            <v>720</v>
          </cell>
          <cell r="K499">
            <v>15</v>
          </cell>
          <cell r="L499">
            <v>1200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10</v>
          </cell>
          <cell r="AD499">
            <v>6</v>
          </cell>
          <cell r="AE499" t="str">
            <v>everyone</v>
          </cell>
        </row>
        <row r="500">
          <cell r="A500" t="str">
            <v>20013_3</v>
          </cell>
          <cell r="B500">
            <v>3</v>
          </cell>
          <cell r="C500">
            <v>20013</v>
          </cell>
          <cell r="D500" t="str">
            <v>天の時、地の利、人の和</v>
          </cell>
          <cell r="E500" t="str">
            <v>ドロップイベント4</v>
          </cell>
          <cell r="F500">
            <v>3</v>
          </cell>
          <cell r="G500" t="str">
            <v>ja</v>
          </cell>
          <cell r="H500" t="str">
            <v>【上級】天の時、地の利、人の和</v>
          </cell>
          <cell r="I500" t="str">
            <v>上級</v>
          </cell>
          <cell r="J500">
            <v>721</v>
          </cell>
          <cell r="K500">
            <v>20</v>
          </cell>
          <cell r="L500">
            <v>2000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polygon</v>
          </cell>
          <cell r="T500">
            <v>1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10</v>
          </cell>
          <cell r="AD500">
            <v>6</v>
          </cell>
          <cell r="AE500" t="str">
            <v>everyone</v>
          </cell>
        </row>
        <row r="501">
          <cell r="A501" t="str">
            <v>20014_1</v>
          </cell>
          <cell r="B501">
            <v>3</v>
          </cell>
          <cell r="C501">
            <v>20014</v>
          </cell>
          <cell r="D501" t="str">
            <v>魅了する歌声</v>
          </cell>
          <cell r="E501" t="str">
            <v>天使と悪魔編1</v>
          </cell>
          <cell r="F501">
            <v>1</v>
          </cell>
          <cell r="G501" t="str">
            <v>ja</v>
          </cell>
          <cell r="H501" t="str">
            <v>【初級】魅了する歌声</v>
          </cell>
          <cell r="I501" t="str">
            <v>初級</v>
          </cell>
          <cell r="J501">
            <v>842</v>
          </cell>
          <cell r="K501">
            <v>8</v>
          </cell>
          <cell r="L501">
            <v>384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17</v>
          </cell>
          <cell r="AD501">
            <v>4</v>
          </cell>
          <cell r="AE501" t="str">
            <v>everyone</v>
          </cell>
        </row>
        <row r="502">
          <cell r="A502" t="str">
            <v>20014_2</v>
          </cell>
          <cell r="B502">
            <v>3</v>
          </cell>
          <cell r="C502">
            <v>20014</v>
          </cell>
          <cell r="D502" t="str">
            <v>魅了する歌声</v>
          </cell>
          <cell r="E502" t="str">
            <v>天使と悪魔編1</v>
          </cell>
          <cell r="F502">
            <v>2</v>
          </cell>
          <cell r="G502" t="str">
            <v>ja</v>
          </cell>
          <cell r="H502" t="str">
            <v>【中級】魅了する歌声</v>
          </cell>
          <cell r="I502" t="str">
            <v>中級</v>
          </cell>
          <cell r="J502">
            <v>842</v>
          </cell>
          <cell r="K502">
            <v>15</v>
          </cell>
          <cell r="L502">
            <v>1200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none</v>
          </cell>
          <cell r="T502">
            <v>0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17</v>
          </cell>
          <cell r="AD502">
            <v>4</v>
          </cell>
          <cell r="AE502" t="str">
            <v>everyone</v>
          </cell>
        </row>
        <row r="503">
          <cell r="A503" t="str">
            <v>20014_3</v>
          </cell>
          <cell r="B503">
            <v>3</v>
          </cell>
          <cell r="C503">
            <v>20014</v>
          </cell>
          <cell r="D503" t="str">
            <v>魅了する歌声</v>
          </cell>
          <cell r="E503" t="str">
            <v>天使と悪魔編1</v>
          </cell>
          <cell r="F503">
            <v>3</v>
          </cell>
          <cell r="G503" t="str">
            <v>ja</v>
          </cell>
          <cell r="H503" t="str">
            <v>【上級】魅了する歌声</v>
          </cell>
          <cell r="I503" t="str">
            <v>上級</v>
          </cell>
          <cell r="J503">
            <v>842</v>
          </cell>
          <cell r="K503">
            <v>20</v>
          </cell>
          <cell r="L503">
            <v>2000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polygon</v>
          </cell>
          <cell r="T503">
            <v>1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17</v>
          </cell>
          <cell r="AD503">
            <v>4</v>
          </cell>
          <cell r="AE503" t="str">
            <v>everyone</v>
          </cell>
        </row>
        <row r="504">
          <cell r="A504" t="str">
            <v>20015_1</v>
          </cell>
          <cell r="B504">
            <v>3</v>
          </cell>
          <cell r="C504">
            <v>20015</v>
          </cell>
          <cell r="D504" t="str">
            <v>妄執とり憑く美貌の妃</v>
          </cell>
          <cell r="E504" t="str">
            <v>おとぎ話シリーズ3</v>
          </cell>
          <cell r="F504">
            <v>1</v>
          </cell>
          <cell r="G504" t="str">
            <v>ja</v>
          </cell>
          <cell r="H504" t="str">
            <v>【初級】妄執とり憑く美貌の妃</v>
          </cell>
          <cell r="I504" t="str">
            <v>初級</v>
          </cell>
          <cell r="J504">
            <v>856</v>
          </cell>
          <cell r="K504">
            <v>8</v>
          </cell>
          <cell r="L504">
            <v>384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6</v>
          </cell>
          <cell r="AD504">
            <v>6</v>
          </cell>
          <cell r="AE504" t="str">
            <v>everyone</v>
          </cell>
        </row>
        <row r="505">
          <cell r="A505" t="str">
            <v>20015_2</v>
          </cell>
          <cell r="B505">
            <v>3</v>
          </cell>
          <cell r="C505">
            <v>20015</v>
          </cell>
          <cell r="D505" t="str">
            <v>妄執とり憑く美貌の妃</v>
          </cell>
          <cell r="E505" t="str">
            <v>おとぎ話シリーズ3</v>
          </cell>
          <cell r="F505">
            <v>2</v>
          </cell>
          <cell r="G505" t="str">
            <v>ja</v>
          </cell>
          <cell r="H505" t="str">
            <v>【中級】妄執とり憑く美貌の妃</v>
          </cell>
          <cell r="I505" t="str">
            <v>中級</v>
          </cell>
          <cell r="J505">
            <v>856</v>
          </cell>
          <cell r="K505">
            <v>15</v>
          </cell>
          <cell r="L505">
            <v>1200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none</v>
          </cell>
          <cell r="T505">
            <v>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6</v>
          </cell>
          <cell r="AD505">
            <v>6</v>
          </cell>
          <cell r="AE505" t="str">
            <v>everyone</v>
          </cell>
        </row>
        <row r="506">
          <cell r="A506" t="str">
            <v>20015_3</v>
          </cell>
          <cell r="B506">
            <v>3</v>
          </cell>
          <cell r="C506">
            <v>20015</v>
          </cell>
          <cell r="D506" t="str">
            <v>妄執とり憑く美貌の妃</v>
          </cell>
          <cell r="E506" t="str">
            <v>おとぎ話シリーズ3</v>
          </cell>
          <cell r="F506">
            <v>3</v>
          </cell>
          <cell r="G506" t="str">
            <v>ja</v>
          </cell>
          <cell r="H506" t="str">
            <v>【上級】妄執とり憑く美貌の妃</v>
          </cell>
          <cell r="I506" t="str">
            <v>上級</v>
          </cell>
          <cell r="J506">
            <v>857</v>
          </cell>
          <cell r="K506">
            <v>20</v>
          </cell>
          <cell r="L506">
            <v>2000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polygon</v>
          </cell>
          <cell r="T506">
            <v>1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6</v>
          </cell>
          <cell r="AD506">
            <v>6</v>
          </cell>
          <cell r="AE506" t="str">
            <v>everyone</v>
          </cell>
        </row>
        <row r="507">
          <cell r="A507" t="str">
            <v>20016_1</v>
          </cell>
          <cell r="B507">
            <v>3</v>
          </cell>
          <cell r="C507">
            <v>20016</v>
          </cell>
          <cell r="D507" t="str">
            <v>寡黙な翼竜の侵攻</v>
          </cell>
          <cell r="E507" t="str">
            <v>ギリシャ神話01</v>
          </cell>
          <cell r="F507">
            <v>1</v>
          </cell>
          <cell r="G507" t="str">
            <v>ja</v>
          </cell>
          <cell r="H507" t="str">
            <v>【初級】寡黙な翼竜の侵攻</v>
          </cell>
          <cell r="I507" t="str">
            <v>初級</v>
          </cell>
          <cell r="J507">
            <v>739</v>
          </cell>
          <cell r="K507">
            <v>8</v>
          </cell>
          <cell r="L507">
            <v>384</v>
          </cell>
          <cell r="M507">
            <v>1</v>
          </cell>
          <cell r="N507">
            <v>1</v>
          </cell>
          <cell r="O507">
            <v>1</v>
          </cell>
          <cell r="P507">
            <v>1</v>
          </cell>
          <cell r="Q507">
            <v>1</v>
          </cell>
          <cell r="R507">
            <v>3</v>
          </cell>
          <cell r="S507" t="str">
            <v>none</v>
          </cell>
          <cell r="T507">
            <v>0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13</v>
          </cell>
          <cell r="AD507">
            <v>6</v>
          </cell>
          <cell r="AE507" t="str">
            <v>everyone</v>
          </cell>
        </row>
        <row r="508">
          <cell r="A508" t="str">
            <v>20016_2</v>
          </cell>
          <cell r="B508">
            <v>3</v>
          </cell>
          <cell r="C508">
            <v>20016</v>
          </cell>
          <cell r="D508" t="str">
            <v>寡黙な翼竜の侵攻</v>
          </cell>
          <cell r="E508" t="str">
            <v>ギリシャ神話01</v>
          </cell>
          <cell r="F508">
            <v>2</v>
          </cell>
          <cell r="G508" t="str">
            <v>ja</v>
          </cell>
          <cell r="H508" t="str">
            <v>【中級】寡黙な翼竜の侵攻</v>
          </cell>
          <cell r="I508" t="str">
            <v>中級</v>
          </cell>
          <cell r="J508">
            <v>739</v>
          </cell>
          <cell r="K508">
            <v>15</v>
          </cell>
          <cell r="L508">
            <v>1200</v>
          </cell>
          <cell r="M508">
            <v>1</v>
          </cell>
          <cell r="N508">
            <v>1</v>
          </cell>
          <cell r="O508">
            <v>1</v>
          </cell>
          <cell r="P508">
            <v>1</v>
          </cell>
          <cell r="Q508">
            <v>1</v>
          </cell>
          <cell r="R508">
            <v>3</v>
          </cell>
          <cell r="S508" t="str">
            <v>none</v>
          </cell>
          <cell r="T508">
            <v>0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13</v>
          </cell>
          <cell r="AD508">
            <v>6</v>
          </cell>
          <cell r="AE508" t="str">
            <v>everyone</v>
          </cell>
        </row>
        <row r="509">
          <cell r="A509" t="str">
            <v>20016_3</v>
          </cell>
          <cell r="B509">
            <v>3</v>
          </cell>
          <cell r="C509">
            <v>20016</v>
          </cell>
          <cell r="D509" t="str">
            <v>寡黙な翼竜の侵攻</v>
          </cell>
          <cell r="E509" t="str">
            <v>ギリシャ神話01</v>
          </cell>
          <cell r="F509">
            <v>3</v>
          </cell>
          <cell r="G509" t="str">
            <v>ja</v>
          </cell>
          <cell r="H509" t="str">
            <v>【上級】寡黙な翼竜の侵攻</v>
          </cell>
          <cell r="I509" t="str">
            <v>上級</v>
          </cell>
          <cell r="J509">
            <v>739</v>
          </cell>
          <cell r="K509">
            <v>20</v>
          </cell>
          <cell r="L509">
            <v>2000</v>
          </cell>
          <cell r="M509">
            <v>1</v>
          </cell>
          <cell r="N509">
            <v>1</v>
          </cell>
          <cell r="O509">
            <v>1</v>
          </cell>
          <cell r="P509">
            <v>1</v>
          </cell>
          <cell r="Q509">
            <v>1</v>
          </cell>
          <cell r="R509">
            <v>3</v>
          </cell>
          <cell r="S509" t="str">
            <v>polygon</v>
          </cell>
          <cell r="T509">
            <v>1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13</v>
          </cell>
          <cell r="AD509">
            <v>6</v>
          </cell>
          <cell r="AE509" t="str">
            <v>everyone</v>
          </cell>
        </row>
        <row r="510">
          <cell r="A510" t="str">
            <v>20017_1</v>
          </cell>
          <cell r="B510">
            <v>3</v>
          </cell>
          <cell r="C510">
            <v>20017</v>
          </cell>
          <cell r="D510" t="str">
            <v>隻腕の提督</v>
          </cell>
          <cell r="E510" t="str">
            <v>フランス革命01</v>
          </cell>
          <cell r="F510">
            <v>1</v>
          </cell>
          <cell r="G510" t="str">
            <v>ja</v>
          </cell>
          <cell r="H510" t="str">
            <v>【初級】隻腕の提督</v>
          </cell>
          <cell r="I510" t="str">
            <v>初級</v>
          </cell>
          <cell r="J510">
            <v>932</v>
          </cell>
          <cell r="K510">
            <v>8</v>
          </cell>
          <cell r="L510">
            <v>384</v>
          </cell>
          <cell r="M510">
            <v>1</v>
          </cell>
          <cell r="N510">
            <v>1</v>
          </cell>
          <cell r="O510">
            <v>1</v>
          </cell>
          <cell r="P510">
            <v>0</v>
          </cell>
          <cell r="Q510">
            <v>1</v>
          </cell>
          <cell r="R510">
            <v>3</v>
          </cell>
          <cell r="S510" t="str">
            <v>none</v>
          </cell>
          <cell r="T510">
            <v>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24</v>
          </cell>
          <cell r="AD510">
            <v>6</v>
          </cell>
          <cell r="AE510" t="str">
            <v>everyone</v>
          </cell>
        </row>
        <row r="511">
          <cell r="A511" t="str">
            <v>20017_2</v>
          </cell>
          <cell r="B511">
            <v>3</v>
          </cell>
          <cell r="C511">
            <v>20017</v>
          </cell>
          <cell r="D511" t="str">
            <v>隻腕の提督</v>
          </cell>
          <cell r="E511" t="str">
            <v>フランス革命01</v>
          </cell>
          <cell r="F511">
            <v>2</v>
          </cell>
          <cell r="G511" t="str">
            <v>ja</v>
          </cell>
          <cell r="H511" t="str">
            <v>【中級】隻腕の提督</v>
          </cell>
          <cell r="I511" t="str">
            <v>中級</v>
          </cell>
          <cell r="J511">
            <v>932</v>
          </cell>
          <cell r="K511">
            <v>15</v>
          </cell>
          <cell r="L511">
            <v>1200</v>
          </cell>
          <cell r="M511">
            <v>1</v>
          </cell>
          <cell r="N511">
            <v>1</v>
          </cell>
          <cell r="O511">
            <v>1</v>
          </cell>
          <cell r="P511">
            <v>0</v>
          </cell>
          <cell r="Q511">
            <v>1</v>
          </cell>
          <cell r="R511">
            <v>3</v>
          </cell>
          <cell r="S511" t="str">
            <v>none</v>
          </cell>
          <cell r="T511">
            <v>0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24</v>
          </cell>
          <cell r="AD511">
            <v>6</v>
          </cell>
          <cell r="AE511" t="str">
            <v>everyone</v>
          </cell>
        </row>
        <row r="512">
          <cell r="A512" t="str">
            <v>20017_3</v>
          </cell>
          <cell r="B512">
            <v>3</v>
          </cell>
          <cell r="C512">
            <v>20017</v>
          </cell>
          <cell r="D512" t="str">
            <v>隻腕の提督</v>
          </cell>
          <cell r="E512" t="str">
            <v>フランス革命01</v>
          </cell>
          <cell r="F512">
            <v>3</v>
          </cell>
          <cell r="G512" t="str">
            <v>ja</v>
          </cell>
          <cell r="H512" t="str">
            <v>【上級】隻腕の提督</v>
          </cell>
          <cell r="I512" t="str">
            <v>上級</v>
          </cell>
          <cell r="J512">
            <v>932</v>
          </cell>
          <cell r="K512">
            <v>20</v>
          </cell>
          <cell r="L512">
            <v>2000</v>
          </cell>
          <cell r="M512">
            <v>1</v>
          </cell>
          <cell r="N512">
            <v>1</v>
          </cell>
          <cell r="O512">
            <v>1</v>
          </cell>
          <cell r="P512">
            <v>0</v>
          </cell>
          <cell r="Q512">
            <v>1</v>
          </cell>
          <cell r="R512">
            <v>3</v>
          </cell>
          <cell r="S512" t="str">
            <v>polygon</v>
          </cell>
          <cell r="T512">
            <v>1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24</v>
          </cell>
          <cell r="AD512">
            <v>6</v>
          </cell>
          <cell r="AE512" t="str">
            <v>everyone</v>
          </cell>
        </row>
        <row r="513">
          <cell r="A513" t="str">
            <v>20018_1</v>
          </cell>
          <cell r="B513">
            <v>3</v>
          </cell>
          <cell r="C513">
            <v>20018</v>
          </cell>
          <cell r="D513" t="str">
            <v>魂を屠る黒影</v>
          </cell>
          <cell r="E513" t="str">
            <v>エジプト01</v>
          </cell>
          <cell r="F513">
            <v>1</v>
          </cell>
          <cell r="G513" t="str">
            <v>ja</v>
          </cell>
          <cell r="H513" t="str">
            <v>【初級】魂を屠る黒影</v>
          </cell>
          <cell r="I513" t="str">
            <v>初級</v>
          </cell>
          <cell r="J513">
            <v>1005</v>
          </cell>
          <cell r="K513">
            <v>8</v>
          </cell>
          <cell r="L513">
            <v>384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7</v>
          </cell>
          <cell r="AD513">
            <v>6</v>
          </cell>
          <cell r="AE513" t="str">
            <v>everyone</v>
          </cell>
        </row>
        <row r="514">
          <cell r="A514" t="str">
            <v>20018_2</v>
          </cell>
          <cell r="B514">
            <v>3</v>
          </cell>
          <cell r="C514">
            <v>20018</v>
          </cell>
          <cell r="D514" t="str">
            <v>魂を屠る黒影</v>
          </cell>
          <cell r="E514" t="str">
            <v>エジプト01</v>
          </cell>
          <cell r="F514">
            <v>2</v>
          </cell>
          <cell r="G514" t="str">
            <v>ja</v>
          </cell>
          <cell r="H514" t="str">
            <v>【中級】魂を屠る黒影</v>
          </cell>
          <cell r="I514" t="str">
            <v>中級</v>
          </cell>
          <cell r="J514">
            <v>1005</v>
          </cell>
          <cell r="K514">
            <v>15</v>
          </cell>
          <cell r="L514">
            <v>1200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none</v>
          </cell>
          <cell r="T514">
            <v>0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7</v>
          </cell>
          <cell r="AD514">
            <v>6</v>
          </cell>
          <cell r="AE514" t="str">
            <v>everyone</v>
          </cell>
        </row>
        <row r="515">
          <cell r="A515" t="str">
            <v>20018_3</v>
          </cell>
          <cell r="B515">
            <v>3</v>
          </cell>
          <cell r="C515">
            <v>20018</v>
          </cell>
          <cell r="D515" t="str">
            <v>魂を屠る黒影</v>
          </cell>
          <cell r="E515" t="str">
            <v>エジプト01</v>
          </cell>
          <cell r="F515">
            <v>3</v>
          </cell>
          <cell r="G515" t="str">
            <v>ja</v>
          </cell>
          <cell r="H515" t="str">
            <v>【上級】魂を屠る黒影</v>
          </cell>
          <cell r="I515" t="str">
            <v>上級</v>
          </cell>
          <cell r="J515">
            <v>1005</v>
          </cell>
          <cell r="K515">
            <v>20</v>
          </cell>
          <cell r="L515">
            <v>2000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polygon</v>
          </cell>
          <cell r="T515">
            <v>1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7</v>
          </cell>
          <cell r="AD515">
            <v>6</v>
          </cell>
          <cell r="AE515" t="str">
            <v>everyone</v>
          </cell>
        </row>
        <row r="516">
          <cell r="A516" t="str">
            <v>20019_1</v>
          </cell>
          <cell r="B516">
            <v>3</v>
          </cell>
          <cell r="C516">
            <v>20019</v>
          </cell>
          <cell r="D516" t="str">
            <v>灼熱の舞姫</v>
          </cell>
          <cell r="E516" t="str">
            <v>平安01</v>
          </cell>
          <cell r="F516">
            <v>1</v>
          </cell>
          <cell r="G516" t="str">
            <v>ja</v>
          </cell>
          <cell r="H516" t="str">
            <v>【初級】灼熱の舞姫</v>
          </cell>
          <cell r="I516" t="str">
            <v>初級</v>
          </cell>
          <cell r="J516">
            <v>1020</v>
          </cell>
          <cell r="K516">
            <v>8</v>
          </cell>
          <cell r="L516">
            <v>384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2</v>
          </cell>
          <cell r="AD516">
            <v>6</v>
          </cell>
          <cell r="AE516" t="str">
            <v>everyone</v>
          </cell>
        </row>
        <row r="517">
          <cell r="A517" t="str">
            <v>20019_2</v>
          </cell>
          <cell r="B517">
            <v>3</v>
          </cell>
          <cell r="C517">
            <v>20019</v>
          </cell>
          <cell r="D517" t="str">
            <v>灼熱の舞姫</v>
          </cell>
          <cell r="E517" t="str">
            <v>平安01</v>
          </cell>
          <cell r="F517">
            <v>2</v>
          </cell>
          <cell r="G517" t="str">
            <v>ja</v>
          </cell>
          <cell r="H517" t="str">
            <v>【中級】灼熱の舞姫</v>
          </cell>
          <cell r="I517" t="str">
            <v>中級</v>
          </cell>
          <cell r="J517">
            <v>1020</v>
          </cell>
          <cell r="K517">
            <v>15</v>
          </cell>
          <cell r="L517">
            <v>1200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none</v>
          </cell>
          <cell r="T517">
            <v>0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2</v>
          </cell>
          <cell r="AD517">
            <v>6</v>
          </cell>
          <cell r="AE517" t="str">
            <v>everyone</v>
          </cell>
        </row>
        <row r="518">
          <cell r="A518" t="str">
            <v>20019_3</v>
          </cell>
          <cell r="B518">
            <v>3</v>
          </cell>
          <cell r="C518">
            <v>20019</v>
          </cell>
          <cell r="D518" t="str">
            <v>灼熱の舞姫</v>
          </cell>
          <cell r="E518" t="str">
            <v>平安01</v>
          </cell>
          <cell r="F518">
            <v>3</v>
          </cell>
          <cell r="G518" t="str">
            <v>ja</v>
          </cell>
          <cell r="H518" t="str">
            <v>【上級】灼熱の舞姫</v>
          </cell>
          <cell r="I518" t="str">
            <v>上級</v>
          </cell>
          <cell r="J518">
            <v>1020</v>
          </cell>
          <cell r="K518">
            <v>20</v>
          </cell>
          <cell r="L518">
            <v>2000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polygon</v>
          </cell>
          <cell r="T518">
            <v>1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2</v>
          </cell>
          <cell r="AD518">
            <v>6</v>
          </cell>
          <cell r="AE518" t="str">
            <v>everyone</v>
          </cell>
        </row>
        <row r="519">
          <cell r="A519" t="str">
            <v>20020_1</v>
          </cell>
          <cell r="B519">
            <v>3</v>
          </cell>
          <cell r="C519">
            <v>20020</v>
          </cell>
          <cell r="D519" t="str">
            <v>変幻自在の風</v>
          </cell>
          <cell r="E519" t="str">
            <v>メソポタミア01</v>
          </cell>
          <cell r="F519">
            <v>1</v>
          </cell>
          <cell r="G519" t="str">
            <v>ja</v>
          </cell>
          <cell r="H519" t="str">
            <v>【初級】変幻自在の風</v>
          </cell>
          <cell r="I519" t="str">
            <v>初級</v>
          </cell>
          <cell r="J519">
            <v>1060</v>
          </cell>
          <cell r="K519">
            <v>8</v>
          </cell>
          <cell r="L519">
            <v>384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none</v>
          </cell>
          <cell r="T519">
            <v>0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23</v>
          </cell>
          <cell r="AD519">
            <v>6</v>
          </cell>
          <cell r="AE519" t="str">
            <v>everyone</v>
          </cell>
        </row>
        <row r="520">
          <cell r="A520" t="str">
            <v>20020_2</v>
          </cell>
          <cell r="B520">
            <v>3</v>
          </cell>
          <cell r="C520">
            <v>20020</v>
          </cell>
          <cell r="D520" t="str">
            <v>変幻自在の風</v>
          </cell>
          <cell r="E520" t="str">
            <v>メソポタミア01</v>
          </cell>
          <cell r="F520">
            <v>2</v>
          </cell>
          <cell r="G520" t="str">
            <v>ja</v>
          </cell>
          <cell r="H520" t="str">
            <v>【中級】変幻自在の風</v>
          </cell>
          <cell r="I520" t="str">
            <v>中級</v>
          </cell>
          <cell r="J520">
            <v>1060</v>
          </cell>
          <cell r="K520">
            <v>15</v>
          </cell>
          <cell r="L520">
            <v>1200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none</v>
          </cell>
          <cell r="T520">
            <v>0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23</v>
          </cell>
          <cell r="AD520">
            <v>6</v>
          </cell>
          <cell r="AE520" t="str">
            <v>everyone</v>
          </cell>
        </row>
        <row r="521">
          <cell r="A521" t="str">
            <v>20020_3</v>
          </cell>
          <cell r="B521">
            <v>3</v>
          </cell>
          <cell r="C521">
            <v>20020</v>
          </cell>
          <cell r="D521" t="str">
            <v>変幻自在の風</v>
          </cell>
          <cell r="E521" t="str">
            <v>メソポタミア01</v>
          </cell>
          <cell r="F521">
            <v>3</v>
          </cell>
          <cell r="G521" t="str">
            <v>ja</v>
          </cell>
          <cell r="H521" t="str">
            <v>【上級】変幻自在の風</v>
          </cell>
          <cell r="I521" t="str">
            <v>上級</v>
          </cell>
          <cell r="J521">
            <v>1060</v>
          </cell>
          <cell r="K521">
            <v>20</v>
          </cell>
          <cell r="L521">
            <v>2000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polygon</v>
          </cell>
          <cell r="T521">
            <v>1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23</v>
          </cell>
          <cell r="AD521">
            <v>6</v>
          </cell>
          <cell r="AE521" t="str">
            <v>everyone</v>
          </cell>
        </row>
        <row r="522">
          <cell r="A522" t="str">
            <v>20021_1</v>
          </cell>
          <cell r="B522">
            <v>3</v>
          </cell>
          <cell r="C522">
            <v>20021</v>
          </cell>
          <cell r="D522" t="str">
            <v>ペインター・オブ・ラブ</v>
          </cell>
          <cell r="E522" t="str">
            <v>画家シリーズ01</v>
          </cell>
          <cell r="F522">
            <v>1</v>
          </cell>
          <cell r="G522" t="str">
            <v>ja</v>
          </cell>
          <cell r="H522" t="str">
            <v>【初級】ペインター・オブ・ラブ</v>
          </cell>
          <cell r="I522" t="str">
            <v>初級</v>
          </cell>
          <cell r="J522">
            <v>1095</v>
          </cell>
          <cell r="K522">
            <v>8</v>
          </cell>
          <cell r="L522">
            <v>384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1</v>
          </cell>
          <cell r="R522">
            <v>3</v>
          </cell>
          <cell r="S522" t="str">
            <v>none</v>
          </cell>
          <cell r="T522">
            <v>0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4</v>
          </cell>
          <cell r="AD522">
            <v>6</v>
          </cell>
          <cell r="AE522" t="str">
            <v>everyone</v>
          </cell>
        </row>
        <row r="523">
          <cell r="A523" t="str">
            <v>20021_2</v>
          </cell>
          <cell r="B523">
            <v>3</v>
          </cell>
          <cell r="C523">
            <v>20021</v>
          </cell>
          <cell r="D523" t="str">
            <v>ペインター・オブ・ラブ</v>
          </cell>
          <cell r="E523" t="str">
            <v>画家シリーズ01</v>
          </cell>
          <cell r="F523">
            <v>2</v>
          </cell>
          <cell r="G523" t="str">
            <v>ja</v>
          </cell>
          <cell r="H523" t="str">
            <v>【中級】ペインター・オブ・ラブ</v>
          </cell>
          <cell r="I523" t="str">
            <v>中級</v>
          </cell>
          <cell r="J523">
            <v>1095</v>
          </cell>
          <cell r="K523">
            <v>15</v>
          </cell>
          <cell r="L523">
            <v>1200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none</v>
          </cell>
          <cell r="T523">
            <v>0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4</v>
          </cell>
          <cell r="AD523">
            <v>6</v>
          </cell>
          <cell r="AE523" t="str">
            <v>everyone</v>
          </cell>
        </row>
        <row r="524">
          <cell r="A524" t="str">
            <v>20021_3</v>
          </cell>
          <cell r="B524">
            <v>3</v>
          </cell>
          <cell r="C524">
            <v>20021</v>
          </cell>
          <cell r="D524" t="str">
            <v>ペインター・オブ・ラブ</v>
          </cell>
          <cell r="E524" t="str">
            <v>画家シリーズ01</v>
          </cell>
          <cell r="F524">
            <v>3</v>
          </cell>
          <cell r="G524" t="str">
            <v>ja</v>
          </cell>
          <cell r="H524" t="str">
            <v>【上級】ペインター・オブ・ラブ</v>
          </cell>
          <cell r="I524" t="str">
            <v>上級</v>
          </cell>
          <cell r="J524">
            <v>1095</v>
          </cell>
          <cell r="K524">
            <v>20</v>
          </cell>
          <cell r="L524">
            <v>2000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polygon</v>
          </cell>
          <cell r="T524">
            <v>1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4</v>
          </cell>
          <cell r="AD524">
            <v>6</v>
          </cell>
          <cell r="AE524" t="str">
            <v>everyone</v>
          </cell>
        </row>
        <row r="525">
          <cell r="A525" t="str">
            <v>20022_1</v>
          </cell>
          <cell r="B525">
            <v>3</v>
          </cell>
          <cell r="C525">
            <v>20022</v>
          </cell>
          <cell r="D525" t="str">
            <v>年を越える宴</v>
          </cell>
          <cell r="E525" t="str">
            <v>季節イベント</v>
          </cell>
          <cell r="F525">
            <v>1</v>
          </cell>
          <cell r="G525" t="str">
            <v>ja</v>
          </cell>
          <cell r="H525" t="str">
            <v>【上級】年を越える宴（ハートなし）</v>
          </cell>
          <cell r="I525" t="str">
            <v>2016年年忘れクエスト</v>
          </cell>
          <cell r="J525">
            <v>377</v>
          </cell>
          <cell r="K525">
            <v>10</v>
          </cell>
          <cell r="L525">
            <v>350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0</v>
          </cell>
          <cell r="R525">
            <v>3</v>
          </cell>
          <cell r="S525" t="str">
            <v>polygon</v>
          </cell>
          <cell r="T525">
            <v>1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901</v>
          </cell>
          <cell r="AD525">
            <v>6</v>
          </cell>
          <cell r="AE525" t="str">
            <v>multionly</v>
          </cell>
        </row>
        <row r="526">
          <cell r="A526" t="str">
            <v>30001_1</v>
          </cell>
          <cell r="B526">
            <v>3</v>
          </cell>
          <cell r="C526">
            <v>30001</v>
          </cell>
          <cell r="D526" t="str">
            <v>ハンター・オブ・ハンター</v>
          </cell>
          <cell r="E526" t="str">
            <v>ドロップイベント1-1（マルチ専用）</v>
          </cell>
          <cell r="F526">
            <v>1</v>
          </cell>
          <cell r="G526" t="str">
            <v>ja</v>
          </cell>
          <cell r="H526" t="str">
            <v xml:space="preserve">【中級】ハンター・オブ・ハンター </v>
          </cell>
          <cell r="I526" t="str">
            <v>中級</v>
          </cell>
          <cell r="J526">
            <v>270</v>
          </cell>
          <cell r="K526">
            <v>15</v>
          </cell>
          <cell r="L526">
            <v>1200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none</v>
          </cell>
          <cell r="T526">
            <v>0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7</v>
          </cell>
          <cell r="AD526">
            <v>6</v>
          </cell>
          <cell r="AE526" t="str">
            <v>everyone</v>
          </cell>
        </row>
        <row r="527">
          <cell r="A527" t="str">
            <v>30001_2</v>
          </cell>
          <cell r="B527">
            <v>3</v>
          </cell>
          <cell r="C527">
            <v>30001</v>
          </cell>
          <cell r="D527" t="str">
            <v>ハンター・オブ・ハンター</v>
          </cell>
          <cell r="E527" t="str">
            <v>ドロップイベント1-1（マルチ専用）</v>
          </cell>
          <cell r="F527">
            <v>2</v>
          </cell>
          <cell r="G527" t="str">
            <v>ja</v>
          </cell>
          <cell r="H527" t="str">
            <v xml:space="preserve">【上級】ハンター・オブ・ハンター </v>
          </cell>
          <cell r="I527" t="str">
            <v>上級</v>
          </cell>
          <cell r="J527">
            <v>270</v>
          </cell>
          <cell r="K527">
            <v>20</v>
          </cell>
          <cell r="L527">
            <v>2000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none</v>
          </cell>
          <cell r="T527">
            <v>0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7</v>
          </cell>
          <cell r="AD527">
            <v>6</v>
          </cell>
          <cell r="AE527" t="str">
            <v>everyone</v>
          </cell>
        </row>
        <row r="528">
          <cell r="A528" t="str">
            <v>30001_3</v>
          </cell>
          <cell r="B528">
            <v>3</v>
          </cell>
          <cell r="C528">
            <v>30001</v>
          </cell>
          <cell r="D528" t="str">
            <v>ハンター・オブ・ハンター</v>
          </cell>
          <cell r="E528" t="str">
            <v>ドロップイベント1-1（マルチ専用）</v>
          </cell>
          <cell r="F528">
            <v>3</v>
          </cell>
          <cell r="G528" t="str">
            <v>ja</v>
          </cell>
          <cell r="H528" t="str">
            <v xml:space="preserve">【超級】ハンター・オブ・ハンター </v>
          </cell>
          <cell r="I528" t="str">
            <v>超級</v>
          </cell>
          <cell r="J528">
            <v>271</v>
          </cell>
          <cell r="K528">
            <v>30</v>
          </cell>
          <cell r="L528">
            <v>3300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polygon</v>
          </cell>
          <cell r="T528">
            <v>1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7</v>
          </cell>
          <cell r="AD528">
            <v>6</v>
          </cell>
          <cell r="AE528" t="str">
            <v>everyone</v>
          </cell>
        </row>
        <row r="529">
          <cell r="A529" t="str">
            <v>30002_1</v>
          </cell>
          <cell r="B529">
            <v>3</v>
          </cell>
          <cell r="C529">
            <v>30002</v>
          </cell>
          <cell r="D529" t="str">
            <v>トリックスター</v>
          </cell>
          <cell r="E529" t="str">
            <v>ドロップイベント1-2（マルチ専用）</v>
          </cell>
          <cell r="F529">
            <v>1</v>
          </cell>
          <cell r="G529" t="str">
            <v>ja</v>
          </cell>
          <cell r="H529" t="str">
            <v xml:space="preserve">【中級】トリックスター </v>
          </cell>
          <cell r="I529" t="str">
            <v>中級</v>
          </cell>
          <cell r="J529">
            <v>272</v>
          </cell>
          <cell r="K529">
            <v>15</v>
          </cell>
          <cell r="L529">
            <v>1200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none</v>
          </cell>
          <cell r="T529">
            <v>0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17</v>
          </cell>
          <cell r="AD529">
            <v>6</v>
          </cell>
          <cell r="AE529" t="str">
            <v>everyone</v>
          </cell>
        </row>
        <row r="530">
          <cell r="A530" t="str">
            <v>30002_2</v>
          </cell>
          <cell r="B530">
            <v>3</v>
          </cell>
          <cell r="C530">
            <v>30002</v>
          </cell>
          <cell r="D530" t="str">
            <v>トリックスター</v>
          </cell>
          <cell r="E530" t="str">
            <v>ドロップイベント1-2（マルチ専用）</v>
          </cell>
          <cell r="F530">
            <v>2</v>
          </cell>
          <cell r="G530" t="str">
            <v>ja</v>
          </cell>
          <cell r="H530" t="str">
            <v xml:space="preserve">【上級】トリックスター </v>
          </cell>
          <cell r="I530" t="str">
            <v>上級</v>
          </cell>
          <cell r="J530">
            <v>272</v>
          </cell>
          <cell r="K530">
            <v>20</v>
          </cell>
          <cell r="L530">
            <v>2000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none</v>
          </cell>
          <cell r="T530">
            <v>0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17</v>
          </cell>
          <cell r="AD530">
            <v>6</v>
          </cell>
          <cell r="AE530" t="str">
            <v>everyone</v>
          </cell>
        </row>
        <row r="531">
          <cell r="A531" t="str">
            <v>30002_3</v>
          </cell>
          <cell r="B531">
            <v>3</v>
          </cell>
          <cell r="C531">
            <v>30002</v>
          </cell>
          <cell r="D531" t="str">
            <v>トリックスター</v>
          </cell>
          <cell r="E531" t="str">
            <v>ドロップイベント1-2（マルチ専用）</v>
          </cell>
          <cell r="F531">
            <v>3</v>
          </cell>
          <cell r="G531" t="str">
            <v>ja</v>
          </cell>
          <cell r="H531" t="str">
            <v xml:space="preserve">【超級】トリックスター </v>
          </cell>
          <cell r="I531" t="str">
            <v>超級</v>
          </cell>
          <cell r="J531">
            <v>273</v>
          </cell>
          <cell r="K531">
            <v>30</v>
          </cell>
          <cell r="L531">
            <v>3300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polygon</v>
          </cell>
          <cell r="T531">
            <v>1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17</v>
          </cell>
          <cell r="AD531">
            <v>6</v>
          </cell>
          <cell r="AE531" t="str">
            <v>everyone</v>
          </cell>
        </row>
        <row r="532">
          <cell r="A532" t="str">
            <v>30003_1</v>
          </cell>
          <cell r="B532">
            <v>3</v>
          </cell>
          <cell r="C532">
            <v>30003</v>
          </cell>
          <cell r="D532" t="str">
            <v>打ち下ろされる砕棒</v>
          </cell>
          <cell r="E532" t="str">
            <v>ドロップイベント1-3（マルチ専用）</v>
          </cell>
          <cell r="F532">
            <v>1</v>
          </cell>
          <cell r="G532" t="str">
            <v>ja</v>
          </cell>
          <cell r="H532" t="str">
            <v xml:space="preserve">【中級】打ち下ろされる砕棒 </v>
          </cell>
          <cell r="I532" t="str">
            <v>中級</v>
          </cell>
          <cell r="J532">
            <v>274</v>
          </cell>
          <cell r="K532">
            <v>15</v>
          </cell>
          <cell r="L532">
            <v>1200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none</v>
          </cell>
          <cell r="T532">
            <v>0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20</v>
          </cell>
          <cell r="AD532">
            <v>6</v>
          </cell>
          <cell r="AE532" t="str">
            <v>everyone</v>
          </cell>
        </row>
        <row r="533">
          <cell r="A533" t="str">
            <v>30003_2</v>
          </cell>
          <cell r="B533">
            <v>3</v>
          </cell>
          <cell r="C533">
            <v>30003</v>
          </cell>
          <cell r="D533" t="str">
            <v>打ち下ろされる砕棒</v>
          </cell>
          <cell r="E533" t="str">
            <v>ドロップイベント1-3（マルチ専用）</v>
          </cell>
          <cell r="F533">
            <v>2</v>
          </cell>
          <cell r="G533" t="str">
            <v>ja</v>
          </cell>
          <cell r="H533" t="str">
            <v>【上級】打ち下ろされる砕棒</v>
          </cell>
          <cell r="I533" t="str">
            <v>上級</v>
          </cell>
          <cell r="J533">
            <v>274</v>
          </cell>
          <cell r="K533">
            <v>20</v>
          </cell>
          <cell r="L533">
            <v>2000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none</v>
          </cell>
          <cell r="T533">
            <v>0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20</v>
          </cell>
          <cell r="AD533">
            <v>6</v>
          </cell>
          <cell r="AE533" t="str">
            <v>everyone</v>
          </cell>
        </row>
        <row r="534">
          <cell r="A534" t="str">
            <v>30003_3</v>
          </cell>
          <cell r="B534">
            <v>3</v>
          </cell>
          <cell r="C534">
            <v>30003</v>
          </cell>
          <cell r="D534" t="str">
            <v>打ち下ろされる砕棒</v>
          </cell>
          <cell r="E534" t="str">
            <v>ドロップイベント1-3（マルチ専用）</v>
          </cell>
          <cell r="F534">
            <v>3</v>
          </cell>
          <cell r="G534" t="str">
            <v>ja</v>
          </cell>
          <cell r="H534" t="str">
            <v xml:space="preserve">【超級】打ち下ろされる砕棒 </v>
          </cell>
          <cell r="I534" t="str">
            <v>超級</v>
          </cell>
          <cell r="J534">
            <v>275</v>
          </cell>
          <cell r="K534">
            <v>30</v>
          </cell>
          <cell r="L534">
            <v>3300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polygon</v>
          </cell>
          <cell r="T534">
            <v>1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20</v>
          </cell>
          <cell r="AD534">
            <v>6</v>
          </cell>
          <cell r="AE534" t="str">
            <v>everyone</v>
          </cell>
        </row>
        <row r="535">
          <cell r="A535" t="str">
            <v>30004_1</v>
          </cell>
          <cell r="B535">
            <v>3</v>
          </cell>
          <cell r="C535">
            <v>30004</v>
          </cell>
          <cell r="D535" t="str">
            <v>危険な仲裁者</v>
          </cell>
          <cell r="E535" t="str">
            <v>ドロップイベント1-4（マルチ専用）</v>
          </cell>
          <cell r="F535">
            <v>1</v>
          </cell>
          <cell r="G535" t="str">
            <v>ja</v>
          </cell>
          <cell r="H535" t="str">
            <v xml:space="preserve">【中級】危険な仲裁者 </v>
          </cell>
          <cell r="I535" t="str">
            <v>中級</v>
          </cell>
          <cell r="J535">
            <v>276</v>
          </cell>
          <cell r="K535">
            <v>15</v>
          </cell>
          <cell r="L535">
            <v>1200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none</v>
          </cell>
          <cell r="T535">
            <v>0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14</v>
          </cell>
          <cell r="AD535">
            <v>6</v>
          </cell>
          <cell r="AE535" t="str">
            <v>everyone</v>
          </cell>
        </row>
        <row r="536">
          <cell r="A536" t="str">
            <v>30004_2</v>
          </cell>
          <cell r="B536">
            <v>3</v>
          </cell>
          <cell r="C536">
            <v>30004</v>
          </cell>
          <cell r="D536" t="str">
            <v>危険な仲裁者</v>
          </cell>
          <cell r="E536" t="str">
            <v>ドロップイベント1-4（マルチ専用）</v>
          </cell>
          <cell r="F536">
            <v>2</v>
          </cell>
          <cell r="G536" t="str">
            <v>ja</v>
          </cell>
          <cell r="H536" t="str">
            <v xml:space="preserve">【上級】危険な仲裁者 </v>
          </cell>
          <cell r="I536" t="str">
            <v>上級</v>
          </cell>
          <cell r="J536">
            <v>276</v>
          </cell>
          <cell r="K536">
            <v>20</v>
          </cell>
          <cell r="L536">
            <v>2000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none</v>
          </cell>
          <cell r="T536">
            <v>0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14</v>
          </cell>
          <cell r="AD536">
            <v>6</v>
          </cell>
          <cell r="AE536" t="str">
            <v>everyone</v>
          </cell>
        </row>
        <row r="537">
          <cell r="A537" t="str">
            <v>30004_3</v>
          </cell>
          <cell r="B537">
            <v>3</v>
          </cell>
          <cell r="C537">
            <v>30004</v>
          </cell>
          <cell r="D537" t="str">
            <v>危険な仲裁者</v>
          </cell>
          <cell r="E537" t="str">
            <v>ドロップイベント1-4（マルチ専用）</v>
          </cell>
          <cell r="F537">
            <v>3</v>
          </cell>
          <cell r="G537" t="str">
            <v>ja</v>
          </cell>
          <cell r="H537" t="str">
            <v xml:space="preserve">【超級】危険な仲裁者 </v>
          </cell>
          <cell r="I537" t="str">
            <v>超級</v>
          </cell>
          <cell r="J537">
            <v>277</v>
          </cell>
          <cell r="K537">
            <v>30</v>
          </cell>
          <cell r="L537">
            <v>3300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polygon</v>
          </cell>
          <cell r="T537">
            <v>1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14</v>
          </cell>
          <cell r="AD537">
            <v>6</v>
          </cell>
          <cell r="AE537" t="str">
            <v>everyone</v>
          </cell>
        </row>
        <row r="538">
          <cell r="A538" t="str">
            <v>30005_1</v>
          </cell>
          <cell r="B538">
            <v>3</v>
          </cell>
          <cell r="C538">
            <v>30005</v>
          </cell>
          <cell r="D538" t="str">
            <v>ニンゲンにしてあげる☆</v>
          </cell>
          <cell r="E538" t="str">
            <v>ドロップイベント2-1（マルチ専用）</v>
          </cell>
          <cell r="F538">
            <v>1</v>
          </cell>
          <cell r="G538" t="str">
            <v>ja</v>
          </cell>
          <cell r="H538" t="str">
            <v xml:space="preserve">【中級】ニンゲンにしてあげる </v>
          </cell>
          <cell r="I538" t="str">
            <v>中級</v>
          </cell>
          <cell r="J538">
            <v>290</v>
          </cell>
          <cell r="K538">
            <v>15</v>
          </cell>
          <cell r="L538">
            <v>1200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none</v>
          </cell>
          <cell r="T538">
            <v>0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11</v>
          </cell>
          <cell r="AD538">
            <v>6</v>
          </cell>
          <cell r="AE538" t="str">
            <v>everyone</v>
          </cell>
        </row>
        <row r="539">
          <cell r="A539" t="str">
            <v>30005_2</v>
          </cell>
          <cell r="B539">
            <v>3</v>
          </cell>
          <cell r="C539">
            <v>30005</v>
          </cell>
          <cell r="D539" t="str">
            <v>ニンゲンにしてあげる☆</v>
          </cell>
          <cell r="E539" t="str">
            <v>ドロップイベント2-1（マルチ専用）</v>
          </cell>
          <cell r="F539">
            <v>2</v>
          </cell>
          <cell r="G539" t="str">
            <v>ja</v>
          </cell>
          <cell r="H539" t="str">
            <v xml:space="preserve">【上級】ニンゲンにしてあげる </v>
          </cell>
          <cell r="I539" t="str">
            <v>上級</v>
          </cell>
          <cell r="J539">
            <v>290</v>
          </cell>
          <cell r="K539">
            <v>20</v>
          </cell>
          <cell r="L539">
            <v>2000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none</v>
          </cell>
          <cell r="T539">
            <v>0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11</v>
          </cell>
          <cell r="AD539">
            <v>6</v>
          </cell>
          <cell r="AE539" t="str">
            <v>everyone</v>
          </cell>
        </row>
        <row r="540">
          <cell r="A540" t="str">
            <v>30005_3</v>
          </cell>
          <cell r="B540">
            <v>3</v>
          </cell>
          <cell r="C540">
            <v>30005</v>
          </cell>
          <cell r="D540" t="str">
            <v>ニンゲンにしてあげる☆</v>
          </cell>
          <cell r="E540" t="str">
            <v>ドロップイベント2-1（マルチ専用）</v>
          </cell>
          <cell r="F540">
            <v>3</v>
          </cell>
          <cell r="G540" t="str">
            <v>ja</v>
          </cell>
          <cell r="H540" t="str">
            <v>【超級】ニンゲンにしてあげる</v>
          </cell>
          <cell r="I540" t="str">
            <v>超級</v>
          </cell>
          <cell r="J540">
            <v>291</v>
          </cell>
          <cell r="K540">
            <v>30</v>
          </cell>
          <cell r="L540">
            <v>3300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polygon</v>
          </cell>
          <cell r="T540">
            <v>1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11</v>
          </cell>
          <cell r="AD540">
            <v>6</v>
          </cell>
          <cell r="AE540" t="str">
            <v>everyone</v>
          </cell>
        </row>
        <row r="541">
          <cell r="A541" t="str">
            <v>30006_1</v>
          </cell>
          <cell r="B541">
            <v>3</v>
          </cell>
          <cell r="C541">
            <v>30006</v>
          </cell>
          <cell r="D541" t="str">
            <v>それはお前を食べるためさ</v>
          </cell>
          <cell r="E541" t="str">
            <v>ドロップイベント2-3（マルチ専用）</v>
          </cell>
          <cell r="F541">
            <v>1</v>
          </cell>
          <cell r="G541" t="str">
            <v>ja</v>
          </cell>
          <cell r="H541" t="str">
            <v>【中級】それはお前を食べるためさ</v>
          </cell>
          <cell r="I541" t="str">
            <v>中級</v>
          </cell>
          <cell r="J541">
            <v>294</v>
          </cell>
          <cell r="K541">
            <v>15</v>
          </cell>
          <cell r="L541">
            <v>1200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none</v>
          </cell>
          <cell r="T541">
            <v>0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7</v>
          </cell>
          <cell r="AD541">
            <v>6</v>
          </cell>
          <cell r="AE541" t="str">
            <v>everyone</v>
          </cell>
        </row>
        <row r="542">
          <cell r="A542" t="str">
            <v>30006_2</v>
          </cell>
          <cell r="B542">
            <v>3</v>
          </cell>
          <cell r="C542">
            <v>30006</v>
          </cell>
          <cell r="D542" t="str">
            <v>それはお前を食べるためさ</v>
          </cell>
          <cell r="E542" t="str">
            <v>ドロップイベント2-3（マルチ専用）</v>
          </cell>
          <cell r="F542">
            <v>2</v>
          </cell>
          <cell r="G542" t="str">
            <v>ja</v>
          </cell>
          <cell r="H542" t="str">
            <v>【上級】それはお前を食べるためさ</v>
          </cell>
          <cell r="I542" t="str">
            <v>上級</v>
          </cell>
          <cell r="J542">
            <v>294</v>
          </cell>
          <cell r="K542">
            <v>20</v>
          </cell>
          <cell r="L542">
            <v>2000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none</v>
          </cell>
          <cell r="T542">
            <v>0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7</v>
          </cell>
          <cell r="AD542">
            <v>6</v>
          </cell>
          <cell r="AE542" t="str">
            <v>everyone</v>
          </cell>
        </row>
        <row r="543">
          <cell r="A543" t="str">
            <v>30006_3</v>
          </cell>
          <cell r="B543">
            <v>3</v>
          </cell>
          <cell r="C543">
            <v>30006</v>
          </cell>
          <cell r="D543" t="str">
            <v>それはお前を食べるためさ</v>
          </cell>
          <cell r="E543" t="str">
            <v>ドロップイベント2-3（マルチ専用）</v>
          </cell>
          <cell r="F543">
            <v>3</v>
          </cell>
          <cell r="G543" t="str">
            <v>ja</v>
          </cell>
          <cell r="H543" t="str">
            <v>【超級】それはお前を食べるためさ</v>
          </cell>
          <cell r="I543" t="str">
            <v>超級</v>
          </cell>
          <cell r="J543">
            <v>295</v>
          </cell>
          <cell r="K543">
            <v>30</v>
          </cell>
          <cell r="L543">
            <v>3300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polygon</v>
          </cell>
          <cell r="T543">
            <v>1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7</v>
          </cell>
          <cell r="AD543">
            <v>6</v>
          </cell>
          <cell r="AE543" t="str">
            <v>everyone</v>
          </cell>
        </row>
        <row r="544">
          <cell r="A544" t="str">
            <v>30007_1</v>
          </cell>
          <cell r="B544">
            <v>3</v>
          </cell>
          <cell r="C544">
            <v>30007</v>
          </cell>
          <cell r="D544" t="str">
            <v>ガラスの靴は私のもの</v>
          </cell>
          <cell r="E544" t="str">
            <v>ドロップイベント2-2（マルチ専用）</v>
          </cell>
          <cell r="F544">
            <v>1</v>
          </cell>
          <cell r="G544" t="str">
            <v>ja</v>
          </cell>
          <cell r="H544" t="str">
            <v xml:space="preserve">【中級】ガラスの靴は私のもの </v>
          </cell>
          <cell r="I544" t="str">
            <v>中級</v>
          </cell>
          <cell r="J544">
            <v>292</v>
          </cell>
          <cell r="K544">
            <v>15</v>
          </cell>
          <cell r="L544">
            <v>1200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none</v>
          </cell>
          <cell r="T544">
            <v>0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9</v>
          </cell>
          <cell r="AD544">
            <v>6</v>
          </cell>
          <cell r="AE544" t="str">
            <v>everyone</v>
          </cell>
        </row>
        <row r="545">
          <cell r="A545" t="str">
            <v>30007_2</v>
          </cell>
          <cell r="B545">
            <v>3</v>
          </cell>
          <cell r="C545">
            <v>30007</v>
          </cell>
          <cell r="D545" t="str">
            <v>ガラスの靴は私のもの</v>
          </cell>
          <cell r="E545" t="str">
            <v>ドロップイベント2-2（マルチ専用）</v>
          </cell>
          <cell r="F545">
            <v>2</v>
          </cell>
          <cell r="G545" t="str">
            <v>ja</v>
          </cell>
          <cell r="H545" t="str">
            <v>【上級】ガラスの靴は私のもの</v>
          </cell>
          <cell r="I545" t="str">
            <v>上級</v>
          </cell>
          <cell r="J545">
            <v>292</v>
          </cell>
          <cell r="K545">
            <v>20</v>
          </cell>
          <cell r="L545">
            <v>2000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none</v>
          </cell>
          <cell r="T545">
            <v>0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9</v>
          </cell>
          <cell r="AD545">
            <v>6</v>
          </cell>
          <cell r="AE545" t="str">
            <v>everyone</v>
          </cell>
        </row>
        <row r="546">
          <cell r="A546" t="str">
            <v>30007_3</v>
          </cell>
          <cell r="B546">
            <v>3</v>
          </cell>
          <cell r="C546">
            <v>30007</v>
          </cell>
          <cell r="D546" t="str">
            <v>ガラスの靴は私のもの</v>
          </cell>
          <cell r="E546" t="str">
            <v>ドロップイベント2-2（マルチ専用）</v>
          </cell>
          <cell r="F546">
            <v>3</v>
          </cell>
          <cell r="G546" t="str">
            <v>ja</v>
          </cell>
          <cell r="H546" t="str">
            <v xml:space="preserve">【超級】ガラスの靴は私のもの </v>
          </cell>
          <cell r="I546" t="str">
            <v>超級</v>
          </cell>
          <cell r="J546">
            <v>293</v>
          </cell>
          <cell r="K546">
            <v>30</v>
          </cell>
          <cell r="L546">
            <v>3300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polygon</v>
          </cell>
          <cell r="T546">
            <v>1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9</v>
          </cell>
          <cell r="AD546">
            <v>6</v>
          </cell>
          <cell r="AE546" t="str">
            <v>everyone</v>
          </cell>
        </row>
        <row r="547">
          <cell r="A547" t="str">
            <v>30008_1</v>
          </cell>
          <cell r="B547">
            <v>3</v>
          </cell>
          <cell r="C547">
            <v>30008</v>
          </cell>
          <cell r="D547" t="str">
            <v>わたしの嫁を返してもらおう</v>
          </cell>
          <cell r="E547" t="str">
            <v>ドロップイベント2-4（マルチ専用）</v>
          </cell>
          <cell r="F547">
            <v>1</v>
          </cell>
          <cell r="G547" t="str">
            <v>ja</v>
          </cell>
          <cell r="H547" t="str">
            <v>【中級】わたしの嫁を返してもらおう</v>
          </cell>
          <cell r="I547" t="str">
            <v>中級</v>
          </cell>
          <cell r="J547">
            <v>288</v>
          </cell>
          <cell r="K547">
            <v>15</v>
          </cell>
          <cell r="L547">
            <v>1200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3</v>
          </cell>
          <cell r="S547" t="str">
            <v>none</v>
          </cell>
          <cell r="T547">
            <v>0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22</v>
          </cell>
          <cell r="AD547">
            <v>6</v>
          </cell>
          <cell r="AE547" t="str">
            <v>everyone</v>
          </cell>
        </row>
        <row r="548">
          <cell r="A548" t="str">
            <v>30008_2</v>
          </cell>
          <cell r="B548">
            <v>3</v>
          </cell>
          <cell r="C548">
            <v>30008</v>
          </cell>
          <cell r="D548" t="str">
            <v>わたしの嫁を返してもらおう</v>
          </cell>
          <cell r="E548" t="str">
            <v>ドロップイベント2-4（マルチ専用）</v>
          </cell>
          <cell r="F548">
            <v>2</v>
          </cell>
          <cell r="G548" t="str">
            <v>ja</v>
          </cell>
          <cell r="H548" t="str">
            <v>【上級】わたしの嫁を返してもらおう</v>
          </cell>
          <cell r="I548" t="str">
            <v>上級</v>
          </cell>
          <cell r="J548">
            <v>288</v>
          </cell>
          <cell r="K548">
            <v>20</v>
          </cell>
          <cell r="L548">
            <v>2000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3</v>
          </cell>
          <cell r="S548" t="str">
            <v>none</v>
          </cell>
          <cell r="T548">
            <v>0</v>
          </cell>
          <cell r="U548" t="str">
            <v>NULL</v>
          </cell>
          <cell r="V548" t="str">
            <v>NULL</v>
          </cell>
          <cell r="W548" t="str">
            <v/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22</v>
          </cell>
          <cell r="AD548">
            <v>6</v>
          </cell>
          <cell r="AE548" t="str">
            <v>everyone</v>
          </cell>
        </row>
        <row r="549">
          <cell r="A549" t="str">
            <v>30008_3</v>
          </cell>
          <cell r="B549">
            <v>3</v>
          </cell>
          <cell r="C549">
            <v>30008</v>
          </cell>
          <cell r="D549" t="str">
            <v>わたしの嫁を返してもらおう</v>
          </cell>
          <cell r="E549" t="str">
            <v>ドロップイベント2-4（マルチ専用）</v>
          </cell>
          <cell r="F549">
            <v>3</v>
          </cell>
          <cell r="G549" t="str">
            <v>ja</v>
          </cell>
          <cell r="H549" t="str">
            <v>【超級】わたしの嫁を返してもらおう</v>
          </cell>
          <cell r="I549" t="str">
            <v>超級</v>
          </cell>
          <cell r="J549">
            <v>289</v>
          </cell>
          <cell r="K549">
            <v>30</v>
          </cell>
          <cell r="L549">
            <v>3300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3</v>
          </cell>
          <cell r="S549" t="str">
            <v>polygon</v>
          </cell>
          <cell r="T549">
            <v>1</v>
          </cell>
          <cell r="U549" t="str">
            <v>NULL</v>
          </cell>
          <cell r="V549" t="str">
            <v>NULL</v>
          </cell>
          <cell r="W549" t="str">
            <v/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22</v>
          </cell>
          <cell r="AD549">
            <v>6</v>
          </cell>
          <cell r="AE549" t="str">
            <v>everyone</v>
          </cell>
        </row>
        <row r="550">
          <cell r="A550" t="str">
            <v>30009_3</v>
          </cell>
          <cell r="B550">
            <v>0</v>
          </cell>
          <cell r="C550">
            <v>30009</v>
          </cell>
          <cell r="D550" t="str">
            <v>復活の捕食者</v>
          </cell>
          <cell r="E550" t="str">
            <v>ドロップイベント3（マルチ専用）</v>
          </cell>
          <cell r="F550">
            <v>3</v>
          </cell>
          <cell r="G550" t="str">
            <v>ja</v>
          </cell>
          <cell r="H550" t="str">
            <v>【上級】復活の捕食者</v>
          </cell>
          <cell r="I550" t="str">
            <v>上級</v>
          </cell>
          <cell r="J550">
            <v>312</v>
          </cell>
          <cell r="K550">
            <v>20</v>
          </cell>
          <cell r="L550">
            <v>2000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2</v>
          </cell>
          <cell r="S550" t="str">
            <v>none</v>
          </cell>
          <cell r="T550">
            <v>0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8</v>
          </cell>
          <cell r="AD550">
            <v>6</v>
          </cell>
          <cell r="AE550" t="str">
            <v>everyone</v>
          </cell>
        </row>
        <row r="551">
          <cell r="A551" t="str">
            <v>30009_1</v>
          </cell>
          <cell r="B551">
            <v>3</v>
          </cell>
          <cell r="C551">
            <v>30009</v>
          </cell>
          <cell r="D551" t="str">
            <v>復活の捕食者</v>
          </cell>
          <cell r="E551" t="str">
            <v>ドロップイベント3（マルチ専用）</v>
          </cell>
          <cell r="F551">
            <v>1</v>
          </cell>
          <cell r="G551" t="str">
            <v>ja</v>
          </cell>
          <cell r="H551" t="str">
            <v>【超級】復活の捕食者</v>
          </cell>
          <cell r="I551" t="str">
            <v>超級</v>
          </cell>
          <cell r="J551">
            <v>312</v>
          </cell>
          <cell r="K551">
            <v>30</v>
          </cell>
          <cell r="L551">
            <v>3300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2</v>
          </cell>
          <cell r="S551" t="str">
            <v>none</v>
          </cell>
          <cell r="T551">
            <v>0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8</v>
          </cell>
          <cell r="AD551">
            <v>6</v>
          </cell>
          <cell r="AE551" t="str">
            <v>everyone</v>
          </cell>
        </row>
        <row r="552">
          <cell r="A552" t="str">
            <v>30009_2</v>
          </cell>
          <cell r="B552">
            <v>3</v>
          </cell>
          <cell r="C552">
            <v>30009</v>
          </cell>
          <cell r="D552" t="str">
            <v>復活の捕食者</v>
          </cell>
          <cell r="E552" t="str">
            <v>ドロップイベント3（マルチ専用）</v>
          </cell>
          <cell r="F552">
            <v>2</v>
          </cell>
          <cell r="G552" t="str">
            <v>ja</v>
          </cell>
          <cell r="H552" t="str">
            <v>【超絶級】復活の捕食者</v>
          </cell>
          <cell r="I552" t="str">
            <v>超絶級</v>
          </cell>
          <cell r="J552">
            <v>312</v>
          </cell>
          <cell r="K552">
            <v>35</v>
          </cell>
          <cell r="L552">
            <v>4200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2</v>
          </cell>
          <cell r="S552" t="str">
            <v>polygon</v>
          </cell>
          <cell r="T552">
            <v>1</v>
          </cell>
          <cell r="U552" t="str">
            <v>NULL</v>
          </cell>
          <cell r="V552" t="str">
            <v>NULL</v>
          </cell>
          <cell r="W552" t="str">
            <v/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8</v>
          </cell>
          <cell r="AD552">
            <v>6</v>
          </cell>
          <cell r="AE552" t="str">
            <v>everyone</v>
          </cell>
        </row>
        <row r="553">
          <cell r="A553" t="str">
            <v>30010_1</v>
          </cell>
          <cell r="B553">
            <v>3</v>
          </cell>
          <cell r="C553">
            <v>30010</v>
          </cell>
          <cell r="D553" t="str">
            <v>最大最凶</v>
          </cell>
          <cell r="E553" t="str">
            <v>ドロップイベント3（マルチ専用）</v>
          </cell>
          <cell r="F553">
            <v>1</v>
          </cell>
          <cell r="G553" t="str">
            <v>ja</v>
          </cell>
          <cell r="H553" t="str">
            <v>【上級】最大最凶</v>
          </cell>
          <cell r="I553" t="str">
            <v>上級</v>
          </cell>
          <cell r="J553">
            <v>306</v>
          </cell>
          <cell r="K553">
            <v>20</v>
          </cell>
          <cell r="L553">
            <v>2000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3</v>
          </cell>
          <cell r="S553" t="str">
            <v>none</v>
          </cell>
          <cell r="T553">
            <v>0</v>
          </cell>
          <cell r="U553" t="str">
            <v>NULL</v>
          </cell>
          <cell r="V553" t="str">
            <v>NULL</v>
          </cell>
          <cell r="W553" t="str">
            <v/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2</v>
          </cell>
          <cell r="AD553">
            <v>7</v>
          </cell>
          <cell r="AE553" t="str">
            <v>everyone</v>
          </cell>
        </row>
        <row r="554">
          <cell r="A554" t="str">
            <v>30010_2</v>
          </cell>
          <cell r="B554">
            <v>3</v>
          </cell>
          <cell r="C554">
            <v>30010</v>
          </cell>
          <cell r="D554" t="str">
            <v>最大最凶</v>
          </cell>
          <cell r="E554" t="str">
            <v>ドロップイベント3（マルチ専用）</v>
          </cell>
          <cell r="F554">
            <v>2</v>
          </cell>
          <cell r="G554" t="str">
            <v>ja</v>
          </cell>
          <cell r="H554" t="str">
            <v>【超級】最大最凶</v>
          </cell>
          <cell r="I554" t="str">
            <v>超級</v>
          </cell>
          <cell r="J554">
            <v>306</v>
          </cell>
          <cell r="K554">
            <v>30</v>
          </cell>
          <cell r="L554">
            <v>3300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3</v>
          </cell>
          <cell r="S554" t="str">
            <v>none</v>
          </cell>
          <cell r="T554">
            <v>0</v>
          </cell>
          <cell r="U554" t="str">
            <v>NULL</v>
          </cell>
          <cell r="V554" t="str">
            <v>NULL</v>
          </cell>
          <cell r="W554" t="str">
            <v/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2</v>
          </cell>
          <cell r="AD554">
            <v>7</v>
          </cell>
          <cell r="AE554" t="str">
            <v>everyone</v>
          </cell>
        </row>
        <row r="555">
          <cell r="A555" t="str">
            <v>30010_3</v>
          </cell>
          <cell r="B555">
            <v>3</v>
          </cell>
          <cell r="C555">
            <v>30010</v>
          </cell>
          <cell r="D555" t="str">
            <v>最大最凶</v>
          </cell>
          <cell r="E555" t="str">
            <v>ドロップイベント3（マルチ専用）</v>
          </cell>
          <cell r="F555">
            <v>3</v>
          </cell>
          <cell r="G555" t="str">
            <v>ja</v>
          </cell>
          <cell r="H555" t="str">
            <v>【超絶級】最大最凶</v>
          </cell>
          <cell r="I555" t="str">
            <v>超絶級</v>
          </cell>
          <cell r="J555">
            <v>306</v>
          </cell>
          <cell r="K555">
            <v>35</v>
          </cell>
          <cell r="L555">
            <v>4200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3</v>
          </cell>
          <cell r="S555" t="str">
            <v>polygon</v>
          </cell>
          <cell r="T555">
            <v>1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2</v>
          </cell>
          <cell r="AD555">
            <v>7</v>
          </cell>
          <cell r="AE555" t="str">
            <v>everyone</v>
          </cell>
        </row>
        <row r="556">
          <cell r="A556" t="str">
            <v>30011_1</v>
          </cell>
          <cell r="B556">
            <v>3</v>
          </cell>
          <cell r="C556">
            <v>30011</v>
          </cell>
          <cell r="D556" t="str">
            <v>気怠い巨読者</v>
          </cell>
          <cell r="E556" t="str">
            <v>ドロップイベント3（マルチ専用）</v>
          </cell>
          <cell r="F556">
            <v>1</v>
          </cell>
          <cell r="G556" t="str">
            <v>ja</v>
          </cell>
          <cell r="H556" t="str">
            <v>【上級】気怠い巨読者</v>
          </cell>
          <cell r="I556" t="str">
            <v>上級</v>
          </cell>
          <cell r="J556">
            <v>308</v>
          </cell>
          <cell r="K556">
            <v>20</v>
          </cell>
          <cell r="L556">
            <v>2000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1</v>
          </cell>
          <cell r="R556">
            <v>2</v>
          </cell>
          <cell r="S556" t="str">
            <v>none</v>
          </cell>
          <cell r="T556">
            <v>0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19</v>
          </cell>
          <cell r="AD556">
            <v>6</v>
          </cell>
          <cell r="AE556" t="str">
            <v>everyone</v>
          </cell>
        </row>
        <row r="557">
          <cell r="A557" t="str">
            <v>30011_2</v>
          </cell>
          <cell r="B557">
            <v>3</v>
          </cell>
          <cell r="C557">
            <v>30011</v>
          </cell>
          <cell r="D557" t="str">
            <v>気怠い巨読者</v>
          </cell>
          <cell r="E557" t="str">
            <v>ドロップイベント3（マルチ専用）</v>
          </cell>
          <cell r="F557">
            <v>2</v>
          </cell>
          <cell r="G557" t="str">
            <v>ja</v>
          </cell>
          <cell r="H557" t="str">
            <v>【超級】気怠い巨読者</v>
          </cell>
          <cell r="I557" t="str">
            <v>超級</v>
          </cell>
          <cell r="J557">
            <v>308</v>
          </cell>
          <cell r="K557">
            <v>30</v>
          </cell>
          <cell r="L557">
            <v>3300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1</v>
          </cell>
          <cell r="R557">
            <v>2</v>
          </cell>
          <cell r="S557" t="str">
            <v>none</v>
          </cell>
          <cell r="T557">
            <v>0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19</v>
          </cell>
          <cell r="AD557">
            <v>6</v>
          </cell>
          <cell r="AE557" t="str">
            <v>everyone</v>
          </cell>
        </row>
        <row r="558">
          <cell r="A558" t="str">
            <v>30011_3</v>
          </cell>
          <cell r="B558">
            <v>3</v>
          </cell>
          <cell r="C558">
            <v>30011</v>
          </cell>
          <cell r="D558" t="str">
            <v>気怠い巨読者</v>
          </cell>
          <cell r="E558" t="str">
            <v>ドロップイベント3（マルチ専用）</v>
          </cell>
          <cell r="F558">
            <v>3</v>
          </cell>
          <cell r="G558" t="str">
            <v>ja</v>
          </cell>
          <cell r="H558" t="str">
            <v>【超絶級】気怠い巨読者</v>
          </cell>
          <cell r="I558" t="str">
            <v>超絶級</v>
          </cell>
          <cell r="J558">
            <v>309</v>
          </cell>
          <cell r="K558">
            <v>35</v>
          </cell>
          <cell r="L558">
            <v>4200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1</v>
          </cell>
          <cell r="R558">
            <v>2</v>
          </cell>
          <cell r="S558" t="str">
            <v>polygon</v>
          </cell>
          <cell r="T558">
            <v>1</v>
          </cell>
          <cell r="U558" t="str">
            <v>NULL</v>
          </cell>
          <cell r="V558" t="str">
            <v>NULL</v>
          </cell>
          <cell r="W558" t="str">
            <v/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19</v>
          </cell>
          <cell r="AD558">
            <v>6</v>
          </cell>
          <cell r="AE558" t="str">
            <v>everyone</v>
          </cell>
        </row>
        <row r="559">
          <cell r="A559" t="str">
            <v>30012_1</v>
          </cell>
          <cell r="B559">
            <v>3</v>
          </cell>
          <cell r="C559">
            <v>30012</v>
          </cell>
          <cell r="D559" t="str">
            <v>底なしの胃袋</v>
          </cell>
          <cell r="E559" t="str">
            <v>ドロップイベント3（マルチ専用）</v>
          </cell>
          <cell r="F559">
            <v>1</v>
          </cell>
          <cell r="G559" t="str">
            <v>ja</v>
          </cell>
          <cell r="H559" t="str">
            <v>【上級】底なしの胃袋</v>
          </cell>
          <cell r="I559" t="str">
            <v>上級</v>
          </cell>
          <cell r="J559">
            <v>310</v>
          </cell>
          <cell r="K559">
            <v>20</v>
          </cell>
          <cell r="L559">
            <v>2000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0</v>
          </cell>
          <cell r="R559">
            <v>3</v>
          </cell>
          <cell r="S559" t="str">
            <v>none</v>
          </cell>
          <cell r="T559">
            <v>0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5</v>
          </cell>
          <cell r="AD559">
            <v>6</v>
          </cell>
          <cell r="AE559" t="str">
            <v>everyone</v>
          </cell>
        </row>
        <row r="560">
          <cell r="A560" t="str">
            <v>30012_2</v>
          </cell>
          <cell r="B560">
            <v>3</v>
          </cell>
          <cell r="C560">
            <v>30012</v>
          </cell>
          <cell r="D560" t="str">
            <v>底なしの胃袋</v>
          </cell>
          <cell r="E560" t="str">
            <v>ドロップイベント3（マルチ専用）</v>
          </cell>
          <cell r="F560">
            <v>2</v>
          </cell>
          <cell r="G560" t="str">
            <v>ja</v>
          </cell>
          <cell r="H560" t="str">
            <v>【超級】底なしの胃袋</v>
          </cell>
          <cell r="I560" t="str">
            <v>超級</v>
          </cell>
          <cell r="J560">
            <v>310</v>
          </cell>
          <cell r="K560">
            <v>30</v>
          </cell>
          <cell r="L560">
            <v>3300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0</v>
          </cell>
          <cell r="R560">
            <v>3</v>
          </cell>
          <cell r="S560" t="str">
            <v>none</v>
          </cell>
          <cell r="T560">
            <v>0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5</v>
          </cell>
          <cell r="AD560">
            <v>6</v>
          </cell>
          <cell r="AE560" t="str">
            <v>everyone</v>
          </cell>
        </row>
        <row r="561">
          <cell r="A561" t="str">
            <v>30012_3</v>
          </cell>
          <cell r="B561">
            <v>3</v>
          </cell>
          <cell r="C561">
            <v>30012</v>
          </cell>
          <cell r="D561" t="str">
            <v>底なしの胃袋</v>
          </cell>
          <cell r="E561" t="str">
            <v>ドロップイベント3（マルチ専用）</v>
          </cell>
          <cell r="F561">
            <v>3</v>
          </cell>
          <cell r="G561" t="str">
            <v>ja</v>
          </cell>
          <cell r="H561" t="str">
            <v>【超絶級】底なしの胃袋</v>
          </cell>
          <cell r="I561" t="str">
            <v>超絶級</v>
          </cell>
          <cell r="J561">
            <v>310</v>
          </cell>
          <cell r="K561">
            <v>35</v>
          </cell>
          <cell r="L561">
            <v>4200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0</v>
          </cell>
          <cell r="R561">
            <v>3</v>
          </cell>
          <cell r="S561" t="str">
            <v>polygon</v>
          </cell>
          <cell r="T561">
            <v>1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5</v>
          </cell>
          <cell r="AD561">
            <v>6</v>
          </cell>
          <cell r="AE561" t="str">
            <v>everyone</v>
          </cell>
        </row>
        <row r="562">
          <cell r="A562" t="str">
            <v>30013_1</v>
          </cell>
          <cell r="B562">
            <v>3</v>
          </cell>
          <cell r="C562">
            <v>30013</v>
          </cell>
          <cell r="D562" t="str">
            <v>決戦・竜宮城</v>
          </cell>
          <cell r="E562" t="str">
            <v>ドロップイベント4（マルチ専用）</v>
          </cell>
          <cell r="F562">
            <v>1</v>
          </cell>
          <cell r="G562" t="str">
            <v>ja</v>
          </cell>
          <cell r="H562" t="str">
            <v>【超級】決戦・竜宮城</v>
          </cell>
          <cell r="I562" t="str">
            <v>超級</v>
          </cell>
          <cell r="J562">
            <v>418</v>
          </cell>
          <cell r="K562">
            <v>30</v>
          </cell>
          <cell r="L562">
            <v>3300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none</v>
          </cell>
          <cell r="T562">
            <v>0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17</v>
          </cell>
          <cell r="AD562">
            <v>6</v>
          </cell>
          <cell r="AE562" t="str">
            <v>everyone</v>
          </cell>
        </row>
        <row r="563">
          <cell r="A563" t="str">
            <v>30013_2</v>
          </cell>
          <cell r="B563">
            <v>3</v>
          </cell>
          <cell r="C563">
            <v>30013</v>
          </cell>
          <cell r="D563" t="str">
            <v>決戦・竜宮城</v>
          </cell>
          <cell r="E563" t="str">
            <v>ドロップイベント4（マルチ専用）</v>
          </cell>
          <cell r="F563">
            <v>2</v>
          </cell>
          <cell r="G563" t="str">
            <v>ja</v>
          </cell>
          <cell r="H563" t="str">
            <v>【超絶級】決戦・竜宮城</v>
          </cell>
          <cell r="I563" t="str">
            <v>超絶級</v>
          </cell>
          <cell r="J563">
            <v>419</v>
          </cell>
          <cell r="K563">
            <v>35</v>
          </cell>
          <cell r="L563">
            <v>4200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polygon</v>
          </cell>
          <cell r="T563">
            <v>1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17</v>
          </cell>
          <cell r="AD563">
            <v>6</v>
          </cell>
          <cell r="AE563" t="str">
            <v>everyone</v>
          </cell>
        </row>
        <row r="564">
          <cell r="A564" t="str">
            <v>30014_1</v>
          </cell>
          <cell r="B564">
            <v>3</v>
          </cell>
          <cell r="C564">
            <v>30014</v>
          </cell>
          <cell r="D564" t="str">
            <v>親指を突き立てろ！</v>
          </cell>
          <cell r="E564" t="str">
            <v>ドロップイベント4（マルチ専用）</v>
          </cell>
          <cell r="F564">
            <v>1</v>
          </cell>
          <cell r="G564" t="str">
            <v>ja</v>
          </cell>
          <cell r="H564" t="str">
            <v>【超級】親指を突き立てろ！</v>
          </cell>
          <cell r="I564" t="str">
            <v>超級</v>
          </cell>
          <cell r="J564">
            <v>420</v>
          </cell>
          <cell r="K564">
            <v>30</v>
          </cell>
          <cell r="L564">
            <v>3300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none</v>
          </cell>
          <cell r="T564">
            <v>0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23</v>
          </cell>
          <cell r="AD564">
            <v>5</v>
          </cell>
          <cell r="AE564" t="str">
            <v>everyone</v>
          </cell>
        </row>
        <row r="565">
          <cell r="A565" t="str">
            <v>30014_2</v>
          </cell>
          <cell r="B565">
            <v>3</v>
          </cell>
          <cell r="C565">
            <v>30014</v>
          </cell>
          <cell r="D565" t="str">
            <v>親指を突き立てろ！</v>
          </cell>
          <cell r="E565" t="str">
            <v>ドロップイベント4（マルチ専用）</v>
          </cell>
          <cell r="F565">
            <v>2</v>
          </cell>
          <cell r="G565" t="str">
            <v>ja</v>
          </cell>
          <cell r="H565" t="str">
            <v>【超絶級】親指を突き立てろ！</v>
          </cell>
          <cell r="I565" t="str">
            <v>超絶級</v>
          </cell>
          <cell r="J565">
            <v>421</v>
          </cell>
          <cell r="K565">
            <v>35</v>
          </cell>
          <cell r="L565">
            <v>4200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polygon</v>
          </cell>
          <cell r="T565">
            <v>1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23</v>
          </cell>
          <cell r="AD565">
            <v>5</v>
          </cell>
          <cell r="AE565" t="str">
            <v>everyone</v>
          </cell>
        </row>
        <row r="566">
          <cell r="A566" t="str">
            <v>30015_1</v>
          </cell>
          <cell r="B566">
            <v>3</v>
          </cell>
          <cell r="C566">
            <v>30015</v>
          </cell>
          <cell r="D566" t="str">
            <v>兄妹の大冒険</v>
          </cell>
          <cell r="E566" t="str">
            <v>ドロップイベント4（マルチ専用）</v>
          </cell>
          <cell r="F566">
            <v>1</v>
          </cell>
          <cell r="G566" t="str">
            <v>ja</v>
          </cell>
          <cell r="H566" t="str">
            <v>【超級】兄妹の大冒険</v>
          </cell>
          <cell r="I566" t="str">
            <v>超級</v>
          </cell>
          <cell r="J566">
            <v>422</v>
          </cell>
          <cell r="K566">
            <v>30</v>
          </cell>
          <cell r="L566">
            <v>3300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1</v>
          </cell>
          <cell r="R566">
            <v>3</v>
          </cell>
          <cell r="S566" t="str">
            <v>none</v>
          </cell>
          <cell r="T566">
            <v>0</v>
          </cell>
          <cell r="U566" t="str">
            <v>NULL</v>
          </cell>
          <cell r="V566" t="str">
            <v>NULL</v>
          </cell>
          <cell r="W566" t="str">
            <v/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16</v>
          </cell>
          <cell r="AD566">
            <v>6</v>
          </cell>
          <cell r="AE566" t="str">
            <v>everyone</v>
          </cell>
        </row>
        <row r="567">
          <cell r="A567" t="str">
            <v>30015_2</v>
          </cell>
          <cell r="B567">
            <v>3</v>
          </cell>
          <cell r="C567">
            <v>30015</v>
          </cell>
          <cell r="D567" t="str">
            <v>兄妹の大冒険</v>
          </cell>
          <cell r="E567" t="str">
            <v>ドロップイベント4（マルチ専用）</v>
          </cell>
          <cell r="F567">
            <v>2</v>
          </cell>
          <cell r="G567" t="str">
            <v>ja</v>
          </cell>
          <cell r="H567" t="str">
            <v>【超絶級】兄妹の大冒険</v>
          </cell>
          <cell r="I567" t="str">
            <v>超絶級</v>
          </cell>
          <cell r="J567">
            <v>423</v>
          </cell>
          <cell r="K567">
            <v>35</v>
          </cell>
          <cell r="L567">
            <v>4200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1</v>
          </cell>
          <cell r="R567">
            <v>3</v>
          </cell>
          <cell r="S567" t="str">
            <v>polygon</v>
          </cell>
          <cell r="T567">
            <v>1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16</v>
          </cell>
          <cell r="AD567">
            <v>6</v>
          </cell>
          <cell r="AE567" t="str">
            <v>everyone</v>
          </cell>
        </row>
        <row r="568">
          <cell r="A568" t="str">
            <v>30016_1</v>
          </cell>
          <cell r="B568">
            <v>3</v>
          </cell>
          <cell r="C568">
            <v>30016</v>
          </cell>
          <cell r="D568" t="str">
            <v>私がワニの天敵よ？</v>
          </cell>
          <cell r="E568" t="str">
            <v>ドロップイベント4（マルチ専用）</v>
          </cell>
          <cell r="F568">
            <v>1</v>
          </cell>
          <cell r="G568" t="str">
            <v>ja</v>
          </cell>
          <cell r="H568" t="str">
            <v>【超級】私がワニの天敵よ？</v>
          </cell>
          <cell r="I568" t="str">
            <v>超級</v>
          </cell>
          <cell r="J568">
            <v>424</v>
          </cell>
          <cell r="K568">
            <v>30</v>
          </cell>
          <cell r="L568">
            <v>3300</v>
          </cell>
          <cell r="M568">
            <v>1</v>
          </cell>
          <cell r="N568">
            <v>1</v>
          </cell>
          <cell r="O568">
            <v>1</v>
          </cell>
          <cell r="P568">
            <v>1</v>
          </cell>
          <cell r="Q568">
            <v>1</v>
          </cell>
          <cell r="R568">
            <v>3</v>
          </cell>
          <cell r="S568" t="str">
            <v>none</v>
          </cell>
          <cell r="T568">
            <v>0</v>
          </cell>
          <cell r="U568" t="str">
            <v>NULL</v>
          </cell>
          <cell r="V568" t="str">
            <v>NULL</v>
          </cell>
          <cell r="W568" t="str">
            <v/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 t="str">
            <v>anytime</v>
          </cell>
          <cell r="AC568">
            <v>4</v>
          </cell>
          <cell r="AD568">
            <v>6</v>
          </cell>
          <cell r="AE568" t="str">
            <v>everyone</v>
          </cell>
        </row>
        <row r="569">
          <cell r="A569" t="str">
            <v>30016_2</v>
          </cell>
          <cell r="B569">
            <v>3</v>
          </cell>
          <cell r="C569">
            <v>30016</v>
          </cell>
          <cell r="D569" t="str">
            <v>私がワニの天敵よ？</v>
          </cell>
          <cell r="E569" t="str">
            <v>ドロップイベント4（マルチ専用）</v>
          </cell>
          <cell r="F569">
            <v>2</v>
          </cell>
          <cell r="G569" t="str">
            <v>ja</v>
          </cell>
          <cell r="H569" t="str">
            <v>【超絶級】私がワニの天敵よ？</v>
          </cell>
          <cell r="I569" t="str">
            <v>超絶級</v>
          </cell>
          <cell r="J569">
            <v>425</v>
          </cell>
          <cell r="K569">
            <v>35</v>
          </cell>
          <cell r="L569">
            <v>4200</v>
          </cell>
          <cell r="M569">
            <v>1</v>
          </cell>
          <cell r="N569">
            <v>1</v>
          </cell>
          <cell r="O569">
            <v>1</v>
          </cell>
          <cell r="P569">
            <v>1</v>
          </cell>
          <cell r="Q569">
            <v>1</v>
          </cell>
          <cell r="R569">
            <v>3</v>
          </cell>
          <cell r="S569" t="str">
            <v>polygon</v>
          </cell>
          <cell r="T569">
            <v>1</v>
          </cell>
          <cell r="U569" t="str">
            <v>NULL</v>
          </cell>
          <cell r="V569" t="str">
            <v>NULL</v>
          </cell>
          <cell r="W569" t="str">
            <v/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 t="str">
            <v>anytime</v>
          </cell>
          <cell r="AC569">
            <v>4</v>
          </cell>
          <cell r="AD569">
            <v>6</v>
          </cell>
          <cell r="AE569" t="str">
            <v>everyone</v>
          </cell>
        </row>
        <row r="570">
          <cell r="A570" t="str">
            <v>30017_1</v>
          </cell>
          <cell r="B570">
            <v>3</v>
          </cell>
          <cell r="C570">
            <v>30017</v>
          </cell>
          <cell r="D570" t="str">
            <v>狩人の挽歌</v>
          </cell>
          <cell r="E570" t="str">
            <v>ドロップイベント5（マルチ専用）</v>
          </cell>
          <cell r="F570">
            <v>1</v>
          </cell>
          <cell r="G570" t="str">
            <v>ja</v>
          </cell>
          <cell r="H570" t="str">
            <v>【超級】狩人の挽歌</v>
          </cell>
          <cell r="I570" t="str">
            <v>超級</v>
          </cell>
          <cell r="J570">
            <v>452</v>
          </cell>
          <cell r="K570">
            <v>30</v>
          </cell>
          <cell r="L570">
            <v>3300</v>
          </cell>
          <cell r="M570">
            <v>1</v>
          </cell>
          <cell r="N570">
            <v>1</v>
          </cell>
          <cell r="O570">
            <v>1</v>
          </cell>
          <cell r="P570">
            <v>1</v>
          </cell>
          <cell r="Q570">
            <v>1</v>
          </cell>
          <cell r="R570">
            <v>3</v>
          </cell>
          <cell r="S570" t="str">
            <v>none</v>
          </cell>
          <cell r="T570">
            <v>0</v>
          </cell>
          <cell r="U570" t="str">
            <v>NULL</v>
          </cell>
          <cell r="V570" t="str">
            <v>NULL</v>
          </cell>
          <cell r="W570" t="str">
            <v/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 t="str">
            <v>anytime</v>
          </cell>
          <cell r="AC570">
            <v>20</v>
          </cell>
          <cell r="AD570">
            <v>6</v>
          </cell>
          <cell r="AE570" t="str">
            <v>multionly</v>
          </cell>
        </row>
        <row r="571">
          <cell r="A571" t="str">
            <v>30017_2</v>
          </cell>
          <cell r="B571">
            <v>3</v>
          </cell>
          <cell r="C571">
            <v>30017</v>
          </cell>
          <cell r="D571" t="str">
            <v>狩人の挽歌</v>
          </cell>
          <cell r="E571" t="str">
            <v>ドロップイベント5（マルチ専用）</v>
          </cell>
          <cell r="F571">
            <v>2</v>
          </cell>
          <cell r="G571" t="str">
            <v>ja</v>
          </cell>
          <cell r="H571" t="str">
            <v>【超絶級】狩人の挽歌</v>
          </cell>
          <cell r="I571" t="str">
            <v>超絶級</v>
          </cell>
          <cell r="J571">
            <v>453</v>
          </cell>
          <cell r="K571">
            <v>35</v>
          </cell>
          <cell r="L571">
            <v>4200</v>
          </cell>
          <cell r="M571">
            <v>1</v>
          </cell>
          <cell r="N571">
            <v>1</v>
          </cell>
          <cell r="O571">
            <v>1</v>
          </cell>
          <cell r="P571">
            <v>1</v>
          </cell>
          <cell r="Q571">
            <v>1</v>
          </cell>
          <cell r="R571">
            <v>3</v>
          </cell>
          <cell r="S571" t="str">
            <v>polygon</v>
          </cell>
          <cell r="T571">
            <v>1</v>
          </cell>
          <cell r="U571" t="str">
            <v>NULL</v>
          </cell>
          <cell r="V571" t="str">
            <v>NULL</v>
          </cell>
          <cell r="W571" t="str">
            <v/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 t="str">
            <v>anytime</v>
          </cell>
          <cell r="AC571">
            <v>20</v>
          </cell>
          <cell r="AD571">
            <v>6</v>
          </cell>
          <cell r="AE571" t="str">
            <v>multionly</v>
          </cell>
        </row>
        <row r="572">
          <cell r="A572" t="str">
            <v>30018_1</v>
          </cell>
          <cell r="B572">
            <v>3</v>
          </cell>
          <cell r="C572">
            <v>30018</v>
          </cell>
          <cell r="D572" t="str">
            <v>バックストリートファイト</v>
          </cell>
          <cell r="E572" t="str">
            <v>ドロップイベント5（マルチ専用）</v>
          </cell>
          <cell r="F572">
            <v>1</v>
          </cell>
          <cell r="G572" t="str">
            <v>ja</v>
          </cell>
          <cell r="H572" t="str">
            <v>【超級】バックストリートファイト</v>
          </cell>
          <cell r="I572" t="str">
            <v>超級</v>
          </cell>
          <cell r="J572">
            <v>454</v>
          </cell>
          <cell r="K572">
            <v>30</v>
          </cell>
          <cell r="L572">
            <v>3300</v>
          </cell>
          <cell r="M572">
            <v>1</v>
          </cell>
          <cell r="N572">
            <v>1</v>
          </cell>
          <cell r="O572">
            <v>1</v>
          </cell>
          <cell r="P572">
            <v>1</v>
          </cell>
          <cell r="Q572">
            <v>0</v>
          </cell>
          <cell r="R572">
            <v>3</v>
          </cell>
          <cell r="S572" t="str">
            <v>none</v>
          </cell>
          <cell r="T572">
            <v>0</v>
          </cell>
          <cell r="U572" t="str">
            <v>NULL</v>
          </cell>
          <cell r="V572" t="str">
            <v>NULL</v>
          </cell>
          <cell r="W572" t="str">
            <v/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 t="str">
            <v>anytime</v>
          </cell>
          <cell r="AC572">
            <v>14</v>
          </cell>
          <cell r="AD572">
            <v>6</v>
          </cell>
          <cell r="AE572" t="str">
            <v>everyone</v>
          </cell>
        </row>
        <row r="573">
          <cell r="A573" t="str">
            <v>30018_2</v>
          </cell>
          <cell r="B573">
            <v>3</v>
          </cell>
          <cell r="C573">
            <v>30018</v>
          </cell>
          <cell r="D573" t="str">
            <v>バックストリートファイト</v>
          </cell>
          <cell r="E573" t="str">
            <v>ドロップイベント5（マルチ専用）</v>
          </cell>
          <cell r="F573">
            <v>2</v>
          </cell>
          <cell r="G573" t="str">
            <v>ja</v>
          </cell>
          <cell r="H573" t="str">
            <v>【超絶級】バックストリートファイト</v>
          </cell>
          <cell r="I573" t="str">
            <v>超絶級</v>
          </cell>
          <cell r="J573">
            <v>455</v>
          </cell>
          <cell r="K573">
            <v>35</v>
          </cell>
          <cell r="L573">
            <v>4200</v>
          </cell>
          <cell r="M573">
            <v>1</v>
          </cell>
          <cell r="N573">
            <v>1</v>
          </cell>
          <cell r="O573">
            <v>1</v>
          </cell>
          <cell r="P573">
            <v>1</v>
          </cell>
          <cell r="Q573">
            <v>0</v>
          </cell>
          <cell r="R573">
            <v>3</v>
          </cell>
          <cell r="S573" t="str">
            <v>polygon</v>
          </cell>
          <cell r="T573">
            <v>1</v>
          </cell>
          <cell r="U573" t="str">
            <v>NULL</v>
          </cell>
          <cell r="V573" t="str">
            <v>NULL</v>
          </cell>
          <cell r="W573" t="str">
            <v/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 t="str">
            <v>anytime</v>
          </cell>
          <cell r="AC573">
            <v>14</v>
          </cell>
          <cell r="AD573">
            <v>6</v>
          </cell>
          <cell r="AE573" t="str">
            <v>everyone</v>
          </cell>
        </row>
        <row r="574">
          <cell r="A574" t="str">
            <v>30019_1</v>
          </cell>
          <cell r="B574">
            <v>3</v>
          </cell>
          <cell r="C574">
            <v>30019</v>
          </cell>
          <cell r="D574" t="str">
            <v>狙撃は終わらない</v>
          </cell>
          <cell r="E574" t="str">
            <v>ドロップイベント5（マルチ専用）</v>
          </cell>
          <cell r="F574">
            <v>1</v>
          </cell>
          <cell r="G574" t="str">
            <v>ja</v>
          </cell>
          <cell r="H574" t="str">
            <v>【超級】狙撃は終わらない</v>
          </cell>
          <cell r="I574" t="str">
            <v>超級</v>
          </cell>
          <cell r="J574">
            <v>456</v>
          </cell>
          <cell r="K574">
            <v>30</v>
          </cell>
          <cell r="L574">
            <v>3300</v>
          </cell>
          <cell r="M574">
            <v>1</v>
          </cell>
          <cell r="N574">
            <v>1</v>
          </cell>
          <cell r="O574">
            <v>1</v>
          </cell>
          <cell r="P574">
            <v>1</v>
          </cell>
          <cell r="Q574">
            <v>1</v>
          </cell>
          <cell r="R574">
            <v>3</v>
          </cell>
          <cell r="S574" t="str">
            <v>none</v>
          </cell>
          <cell r="T574">
            <v>0</v>
          </cell>
          <cell r="U574" t="str">
            <v>NULL</v>
          </cell>
          <cell r="V574" t="str">
            <v>NULL</v>
          </cell>
          <cell r="W574" t="str">
            <v/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 t="str">
            <v>anytime</v>
          </cell>
          <cell r="AC574">
            <v>24</v>
          </cell>
          <cell r="AD574">
            <v>6</v>
          </cell>
          <cell r="AE574" t="str">
            <v>multionly</v>
          </cell>
        </row>
        <row r="575">
          <cell r="A575" t="str">
            <v>30019_2</v>
          </cell>
          <cell r="B575">
            <v>3</v>
          </cell>
          <cell r="C575">
            <v>30019</v>
          </cell>
          <cell r="D575" t="str">
            <v>狙撃は終わらない</v>
          </cell>
          <cell r="E575" t="str">
            <v>ドロップイベント5（マルチ専用）</v>
          </cell>
          <cell r="F575">
            <v>2</v>
          </cell>
          <cell r="G575" t="str">
            <v>ja</v>
          </cell>
          <cell r="H575" t="str">
            <v>【超絶級】狙撃は終わらない</v>
          </cell>
          <cell r="I575" t="str">
            <v>超絶級</v>
          </cell>
          <cell r="J575">
            <v>457</v>
          </cell>
          <cell r="K575">
            <v>35</v>
          </cell>
          <cell r="L575">
            <v>4200</v>
          </cell>
          <cell r="M575">
            <v>1</v>
          </cell>
          <cell r="N575">
            <v>1</v>
          </cell>
          <cell r="O575">
            <v>1</v>
          </cell>
          <cell r="P575">
            <v>1</v>
          </cell>
          <cell r="Q575">
            <v>1</v>
          </cell>
          <cell r="R575">
            <v>3</v>
          </cell>
          <cell r="S575" t="str">
            <v>polygon</v>
          </cell>
          <cell r="T575">
            <v>1</v>
          </cell>
          <cell r="U575" t="str">
            <v>NULL</v>
          </cell>
          <cell r="V575" t="str">
            <v>NULL</v>
          </cell>
          <cell r="W575" t="str">
            <v/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 t="str">
            <v>anytime</v>
          </cell>
          <cell r="AC575">
            <v>24</v>
          </cell>
          <cell r="AD575">
            <v>6</v>
          </cell>
          <cell r="AE575" t="str">
            <v>multionly</v>
          </cell>
        </row>
        <row r="576">
          <cell r="A576" t="str">
            <v>30020_1</v>
          </cell>
          <cell r="B576">
            <v>3</v>
          </cell>
          <cell r="C576">
            <v>30020</v>
          </cell>
          <cell r="D576" t="str">
            <v>若造よ、身の程を知れ</v>
          </cell>
          <cell r="E576" t="str">
            <v>ドロップイベント5（マルチ専用）</v>
          </cell>
          <cell r="F576">
            <v>1</v>
          </cell>
          <cell r="G576" t="str">
            <v>ja</v>
          </cell>
          <cell r="H576" t="str">
            <v>【超級】若造よ、身の程を知れ</v>
          </cell>
          <cell r="I576" t="str">
            <v>超級</v>
          </cell>
          <cell r="J576">
            <v>458</v>
          </cell>
          <cell r="K576">
            <v>30</v>
          </cell>
          <cell r="L576">
            <v>3300</v>
          </cell>
          <cell r="M576">
            <v>1</v>
          </cell>
          <cell r="N576">
            <v>1</v>
          </cell>
          <cell r="O576">
            <v>1</v>
          </cell>
          <cell r="P576">
            <v>1</v>
          </cell>
          <cell r="Q576">
            <v>1</v>
          </cell>
          <cell r="R576">
            <v>3</v>
          </cell>
          <cell r="S576" t="str">
            <v>none</v>
          </cell>
          <cell r="T576">
            <v>0</v>
          </cell>
          <cell r="U576" t="str">
            <v>NULL</v>
          </cell>
          <cell r="V576" t="str">
            <v>NULL</v>
          </cell>
          <cell r="W576" t="str">
            <v/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 t="str">
            <v>anytime</v>
          </cell>
          <cell r="AC576">
            <v>13</v>
          </cell>
          <cell r="AD576">
            <v>6</v>
          </cell>
          <cell r="AE576" t="str">
            <v>everyone</v>
          </cell>
        </row>
        <row r="577">
          <cell r="A577" t="str">
            <v>30020_2</v>
          </cell>
          <cell r="B577">
            <v>3</v>
          </cell>
          <cell r="C577">
            <v>30020</v>
          </cell>
          <cell r="D577" t="str">
            <v>若造よ、身の程を知れ</v>
          </cell>
          <cell r="E577" t="str">
            <v>ドロップイベント5（マルチ専用）</v>
          </cell>
          <cell r="F577">
            <v>2</v>
          </cell>
          <cell r="G577" t="str">
            <v>ja</v>
          </cell>
          <cell r="H577" t="str">
            <v>【超絶級】若造よ、身の程を知れ</v>
          </cell>
          <cell r="I577" t="str">
            <v>超絶級</v>
          </cell>
          <cell r="J577">
            <v>459</v>
          </cell>
          <cell r="K577">
            <v>35</v>
          </cell>
          <cell r="L577">
            <v>4200</v>
          </cell>
          <cell r="M577">
            <v>1</v>
          </cell>
          <cell r="N577">
            <v>1</v>
          </cell>
          <cell r="O577">
            <v>1</v>
          </cell>
          <cell r="P577">
            <v>1</v>
          </cell>
          <cell r="Q577">
            <v>1</v>
          </cell>
          <cell r="R577">
            <v>3</v>
          </cell>
          <cell r="S577" t="str">
            <v>polygon</v>
          </cell>
          <cell r="T577">
            <v>1</v>
          </cell>
          <cell r="U577" t="str">
            <v>NULL</v>
          </cell>
          <cell r="V577" t="str">
            <v>NULL</v>
          </cell>
          <cell r="W577" t="str">
            <v/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 t="str">
            <v>anytime</v>
          </cell>
          <cell r="AC577">
            <v>13</v>
          </cell>
          <cell r="AD577">
            <v>6</v>
          </cell>
          <cell r="AE577" t="str">
            <v>everyone</v>
          </cell>
        </row>
        <row r="578">
          <cell r="A578" t="str">
            <v>30021_1</v>
          </cell>
          <cell r="B578">
            <v>3</v>
          </cell>
          <cell r="C578">
            <v>30021</v>
          </cell>
          <cell r="D578" t="str">
            <v>野獣死すべしっ！</v>
          </cell>
          <cell r="E578" t="str">
            <v>ドロップイベント6（マルチ専用）</v>
          </cell>
          <cell r="F578">
            <v>1</v>
          </cell>
          <cell r="G578" t="str">
            <v>ja</v>
          </cell>
          <cell r="H578" t="str">
            <v>【中級】野獣死すべしっ！</v>
          </cell>
          <cell r="I578" t="str">
            <v>中級</v>
          </cell>
          <cell r="J578">
            <v>502</v>
          </cell>
          <cell r="K578">
            <v>15</v>
          </cell>
          <cell r="L578">
            <v>1200</v>
          </cell>
          <cell r="M578">
            <v>1</v>
          </cell>
          <cell r="N578">
            <v>1</v>
          </cell>
          <cell r="O578">
            <v>0</v>
          </cell>
          <cell r="P578">
            <v>1</v>
          </cell>
          <cell r="Q578">
            <v>1</v>
          </cell>
          <cell r="R578">
            <v>3</v>
          </cell>
          <cell r="S578" t="str">
            <v>none</v>
          </cell>
          <cell r="T578">
            <v>0</v>
          </cell>
          <cell r="U578" t="str">
            <v>NULL</v>
          </cell>
          <cell r="V578" t="str">
            <v>NULL</v>
          </cell>
          <cell r="W578" t="str">
            <v/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anytime</v>
          </cell>
          <cell r="AC578">
            <v>14</v>
          </cell>
          <cell r="AD578">
            <v>6</v>
          </cell>
          <cell r="AE578" t="str">
            <v>everyone</v>
          </cell>
        </row>
        <row r="579">
          <cell r="A579" t="str">
            <v>30021_2</v>
          </cell>
          <cell r="B579">
            <v>3</v>
          </cell>
          <cell r="C579">
            <v>30021</v>
          </cell>
          <cell r="D579" t="str">
            <v>野獣死すべしっ！</v>
          </cell>
          <cell r="E579" t="str">
            <v>ドロップイベント6（マルチ専用）</v>
          </cell>
          <cell r="F579">
            <v>2</v>
          </cell>
          <cell r="G579" t="str">
            <v>ja</v>
          </cell>
          <cell r="H579" t="str">
            <v>【上級】野獣死すべしっ！</v>
          </cell>
          <cell r="I579" t="str">
            <v>上級</v>
          </cell>
          <cell r="J579">
            <v>502</v>
          </cell>
          <cell r="K579">
            <v>20</v>
          </cell>
          <cell r="L579">
            <v>2000</v>
          </cell>
          <cell r="M579">
            <v>1</v>
          </cell>
          <cell r="N579">
            <v>1</v>
          </cell>
          <cell r="O579">
            <v>0</v>
          </cell>
          <cell r="P579">
            <v>1</v>
          </cell>
          <cell r="Q579">
            <v>1</v>
          </cell>
          <cell r="R579">
            <v>3</v>
          </cell>
          <cell r="S579" t="str">
            <v>none</v>
          </cell>
          <cell r="T579">
            <v>0</v>
          </cell>
          <cell r="U579" t="str">
            <v>NULL</v>
          </cell>
          <cell r="V579" t="str">
            <v>NULL</v>
          </cell>
          <cell r="W579" t="str">
            <v/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anytime</v>
          </cell>
          <cell r="AC579">
            <v>14</v>
          </cell>
          <cell r="AD579">
            <v>6</v>
          </cell>
          <cell r="AE579" t="str">
            <v>everyone</v>
          </cell>
        </row>
        <row r="580">
          <cell r="A580" t="str">
            <v>30021_3</v>
          </cell>
          <cell r="B580">
            <v>3</v>
          </cell>
          <cell r="C580">
            <v>30021</v>
          </cell>
          <cell r="D580" t="str">
            <v>野獣死すべしっ！</v>
          </cell>
          <cell r="E580" t="str">
            <v>ドロップイベント6（マルチ専用）</v>
          </cell>
          <cell r="F580">
            <v>3</v>
          </cell>
          <cell r="G580" t="str">
            <v>ja</v>
          </cell>
          <cell r="H580" t="str">
            <v>【超級】野獣死すべしっ！</v>
          </cell>
          <cell r="I580" t="str">
            <v>超級</v>
          </cell>
          <cell r="J580">
            <v>503</v>
          </cell>
          <cell r="K580">
            <v>30</v>
          </cell>
          <cell r="L580">
            <v>3300</v>
          </cell>
          <cell r="M580">
            <v>1</v>
          </cell>
          <cell r="N580">
            <v>1</v>
          </cell>
          <cell r="O580">
            <v>0</v>
          </cell>
          <cell r="P580">
            <v>1</v>
          </cell>
          <cell r="Q580">
            <v>1</v>
          </cell>
          <cell r="R580">
            <v>3</v>
          </cell>
          <cell r="S580" t="str">
            <v>polygon</v>
          </cell>
          <cell r="T580">
            <v>1</v>
          </cell>
          <cell r="U580" t="str">
            <v>NULL</v>
          </cell>
          <cell r="V580" t="str">
            <v>NULL</v>
          </cell>
          <cell r="W580" t="str">
            <v/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 t="str">
            <v>anytime</v>
          </cell>
          <cell r="AC580">
            <v>14</v>
          </cell>
          <cell r="AD580">
            <v>6</v>
          </cell>
          <cell r="AE580" t="str">
            <v>everyone</v>
          </cell>
        </row>
        <row r="581">
          <cell r="A581" t="str">
            <v>30022_1</v>
          </cell>
          <cell r="B581">
            <v>3</v>
          </cell>
          <cell r="C581">
            <v>30022</v>
          </cell>
          <cell r="D581" t="str">
            <v>凶鼠ネコを咬む</v>
          </cell>
          <cell r="E581" t="str">
            <v>ドロップイベント6（マルチ専用）</v>
          </cell>
          <cell r="F581">
            <v>1</v>
          </cell>
          <cell r="G581" t="str">
            <v>ja</v>
          </cell>
          <cell r="H581" t="str">
            <v>【超級】凶鼠ネコを咬む</v>
          </cell>
          <cell r="I581" t="str">
            <v>超級</v>
          </cell>
          <cell r="J581">
            <v>504</v>
          </cell>
          <cell r="K581">
            <v>30</v>
          </cell>
          <cell r="L581">
            <v>3300</v>
          </cell>
          <cell r="M581">
            <v>1</v>
          </cell>
          <cell r="N581">
            <v>1</v>
          </cell>
          <cell r="O581">
            <v>1</v>
          </cell>
          <cell r="P581">
            <v>1</v>
          </cell>
          <cell r="Q581">
            <v>1</v>
          </cell>
          <cell r="R581">
            <v>3</v>
          </cell>
          <cell r="S581" t="str">
            <v>none</v>
          </cell>
          <cell r="T581">
            <v>0</v>
          </cell>
          <cell r="U581" t="str">
            <v>NULL</v>
          </cell>
          <cell r="V581" t="str">
            <v>NULL</v>
          </cell>
          <cell r="W581" t="str">
            <v/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 t="str">
            <v>anytime</v>
          </cell>
          <cell r="AC581">
            <v>6</v>
          </cell>
          <cell r="AD581">
            <v>6</v>
          </cell>
          <cell r="AE581" t="str">
            <v>everyone</v>
          </cell>
        </row>
        <row r="582">
          <cell r="A582" t="str">
            <v>30022_2</v>
          </cell>
          <cell r="B582">
            <v>3</v>
          </cell>
          <cell r="C582">
            <v>30022</v>
          </cell>
          <cell r="D582" t="str">
            <v>凶鼠ネコを咬む</v>
          </cell>
          <cell r="E582" t="str">
            <v>ドロップイベント6（マルチ専用）</v>
          </cell>
          <cell r="F582">
            <v>2</v>
          </cell>
          <cell r="G582" t="str">
            <v>ja</v>
          </cell>
          <cell r="H582" t="str">
            <v>【超絶級】凶鼠ネコを咬む</v>
          </cell>
          <cell r="I582" t="str">
            <v>超絶級</v>
          </cell>
          <cell r="J582">
            <v>505</v>
          </cell>
          <cell r="K582">
            <v>35</v>
          </cell>
          <cell r="L582">
            <v>4200</v>
          </cell>
          <cell r="M582">
            <v>1</v>
          </cell>
          <cell r="N582">
            <v>1</v>
          </cell>
          <cell r="O582">
            <v>1</v>
          </cell>
          <cell r="P582">
            <v>1</v>
          </cell>
          <cell r="Q582">
            <v>1</v>
          </cell>
          <cell r="R582">
            <v>3</v>
          </cell>
          <cell r="S582" t="str">
            <v>polygon</v>
          </cell>
          <cell r="T582">
            <v>1</v>
          </cell>
          <cell r="U582" t="str">
            <v>NULL</v>
          </cell>
          <cell r="V582" t="str">
            <v>NULL</v>
          </cell>
          <cell r="W582" t="str">
            <v/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anytime</v>
          </cell>
          <cell r="AC582">
            <v>6</v>
          </cell>
          <cell r="AD582">
            <v>6</v>
          </cell>
          <cell r="AE582" t="str">
            <v>everyone</v>
          </cell>
        </row>
        <row r="583">
          <cell r="A583" t="str">
            <v>30023_1</v>
          </cell>
          <cell r="B583">
            <v>3</v>
          </cell>
          <cell r="C583">
            <v>30023</v>
          </cell>
          <cell r="D583" t="str">
            <v>隔離からのエスケイプ</v>
          </cell>
          <cell r="E583" t="str">
            <v>ドロップイベント6（マルチ専用）</v>
          </cell>
          <cell r="F583">
            <v>1</v>
          </cell>
          <cell r="G583" t="str">
            <v>ja</v>
          </cell>
          <cell r="H583" t="str">
            <v>【中級】隔離からのエスケイプ</v>
          </cell>
          <cell r="I583" t="str">
            <v>中級</v>
          </cell>
          <cell r="J583">
            <v>506</v>
          </cell>
          <cell r="K583">
            <v>15</v>
          </cell>
          <cell r="L583">
            <v>1200</v>
          </cell>
          <cell r="M583">
            <v>1</v>
          </cell>
          <cell r="N583">
            <v>1</v>
          </cell>
          <cell r="O583">
            <v>1</v>
          </cell>
          <cell r="P583">
            <v>1</v>
          </cell>
          <cell r="Q583">
            <v>1</v>
          </cell>
          <cell r="R583">
            <v>3</v>
          </cell>
          <cell r="S583" t="str">
            <v>none</v>
          </cell>
          <cell r="T583">
            <v>0</v>
          </cell>
          <cell r="U583" t="str">
            <v>NULL</v>
          </cell>
          <cell r="V583" t="str">
            <v>NULL</v>
          </cell>
          <cell r="W583" t="str">
            <v/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anytime</v>
          </cell>
          <cell r="AC583">
            <v>25</v>
          </cell>
          <cell r="AD583">
            <v>6</v>
          </cell>
          <cell r="AE583" t="str">
            <v>everyone</v>
          </cell>
        </row>
        <row r="584">
          <cell r="A584" t="str">
            <v>30023_2</v>
          </cell>
          <cell r="B584">
            <v>3</v>
          </cell>
          <cell r="C584">
            <v>30023</v>
          </cell>
          <cell r="D584" t="str">
            <v>隔離からのエスケイプ</v>
          </cell>
          <cell r="E584" t="str">
            <v>ドロップイベント6（マルチ専用）</v>
          </cell>
          <cell r="F584">
            <v>2</v>
          </cell>
          <cell r="G584" t="str">
            <v>ja</v>
          </cell>
          <cell r="H584" t="str">
            <v>【上級】隔離からのエスケイプ</v>
          </cell>
          <cell r="I584" t="str">
            <v>上級</v>
          </cell>
          <cell r="J584">
            <v>506</v>
          </cell>
          <cell r="K584">
            <v>20</v>
          </cell>
          <cell r="L584">
            <v>2000</v>
          </cell>
          <cell r="M584">
            <v>1</v>
          </cell>
          <cell r="N584">
            <v>1</v>
          </cell>
          <cell r="O584">
            <v>1</v>
          </cell>
          <cell r="P584">
            <v>1</v>
          </cell>
          <cell r="Q584">
            <v>1</v>
          </cell>
          <cell r="R584">
            <v>3</v>
          </cell>
          <cell r="S584" t="str">
            <v>none</v>
          </cell>
          <cell r="T584">
            <v>0</v>
          </cell>
          <cell r="U584" t="str">
            <v>NULL</v>
          </cell>
          <cell r="V584" t="str">
            <v>NULL</v>
          </cell>
          <cell r="W584" t="str">
            <v/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anytime</v>
          </cell>
          <cell r="AC584">
            <v>25</v>
          </cell>
          <cell r="AD584">
            <v>6</v>
          </cell>
          <cell r="AE584" t="str">
            <v>everyone</v>
          </cell>
        </row>
        <row r="585">
          <cell r="A585" t="str">
            <v>30023_3</v>
          </cell>
          <cell r="B585">
            <v>3</v>
          </cell>
          <cell r="C585">
            <v>30023</v>
          </cell>
          <cell r="D585" t="str">
            <v>隔離からのエスケイプ</v>
          </cell>
          <cell r="E585" t="str">
            <v>ドロップイベント6（マルチ専用）</v>
          </cell>
          <cell r="F585">
            <v>3</v>
          </cell>
          <cell r="G585" t="str">
            <v>ja</v>
          </cell>
          <cell r="H585" t="str">
            <v>【超級】隔離からのエスケイプ</v>
          </cell>
          <cell r="I585" t="str">
            <v>超級</v>
          </cell>
          <cell r="J585">
            <v>507</v>
          </cell>
          <cell r="K585">
            <v>30</v>
          </cell>
          <cell r="L585">
            <v>3300</v>
          </cell>
          <cell r="M585">
            <v>1</v>
          </cell>
          <cell r="N585">
            <v>1</v>
          </cell>
          <cell r="O585">
            <v>1</v>
          </cell>
          <cell r="P585">
            <v>1</v>
          </cell>
          <cell r="Q585">
            <v>1</v>
          </cell>
          <cell r="R585">
            <v>3</v>
          </cell>
          <cell r="S585" t="str">
            <v>polygon</v>
          </cell>
          <cell r="T585">
            <v>1</v>
          </cell>
          <cell r="U585" t="str">
            <v>NULL</v>
          </cell>
          <cell r="V585" t="str">
            <v>NULL</v>
          </cell>
          <cell r="W585" t="str">
            <v/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 t="str">
            <v>anytime</v>
          </cell>
          <cell r="AC585">
            <v>25</v>
          </cell>
          <cell r="AD585">
            <v>6</v>
          </cell>
          <cell r="AE585" t="str">
            <v>everyone</v>
          </cell>
        </row>
        <row r="586">
          <cell r="A586" t="str">
            <v>30024_1</v>
          </cell>
          <cell r="B586">
            <v>3</v>
          </cell>
          <cell r="C586">
            <v>30024</v>
          </cell>
          <cell r="D586" t="str">
            <v>雷鎚の選定</v>
          </cell>
          <cell r="E586" t="str">
            <v>ドロップイベント7（マルチ専用）</v>
          </cell>
          <cell r="F586">
            <v>1</v>
          </cell>
          <cell r="G586" t="str">
            <v>ja</v>
          </cell>
          <cell r="H586" t="str">
            <v>【中級】雷鎚の選定</v>
          </cell>
          <cell r="I586" t="str">
            <v>中級</v>
          </cell>
          <cell r="J586">
            <v>583</v>
          </cell>
          <cell r="K586">
            <v>15</v>
          </cell>
          <cell r="L586">
            <v>1200</v>
          </cell>
          <cell r="M586">
            <v>1</v>
          </cell>
          <cell r="N586">
            <v>1</v>
          </cell>
          <cell r="O586">
            <v>1</v>
          </cell>
          <cell r="P586">
            <v>1</v>
          </cell>
          <cell r="Q586">
            <v>1</v>
          </cell>
          <cell r="R586">
            <v>3</v>
          </cell>
          <cell r="S586" t="str">
            <v>none</v>
          </cell>
          <cell r="T586">
            <v>0</v>
          </cell>
          <cell r="U586" t="str">
            <v>NULL</v>
          </cell>
          <cell r="V586" t="str">
            <v>NULL</v>
          </cell>
          <cell r="W586" t="str">
            <v/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 t="str">
            <v>anytime</v>
          </cell>
          <cell r="AC586">
            <v>20</v>
          </cell>
          <cell r="AD586">
            <v>6</v>
          </cell>
          <cell r="AE586" t="str">
            <v>multionly</v>
          </cell>
        </row>
        <row r="587">
          <cell r="A587" t="str">
            <v>30024_2</v>
          </cell>
          <cell r="B587">
            <v>3</v>
          </cell>
          <cell r="C587">
            <v>30024</v>
          </cell>
          <cell r="D587" t="str">
            <v>雷鎚の選定</v>
          </cell>
          <cell r="E587" t="str">
            <v>ドロップイベント7（マルチ専用）</v>
          </cell>
          <cell r="F587">
            <v>2</v>
          </cell>
          <cell r="G587" t="str">
            <v>ja</v>
          </cell>
          <cell r="H587" t="str">
            <v>【上級】雷鎚の選定</v>
          </cell>
          <cell r="I587" t="str">
            <v>上級</v>
          </cell>
          <cell r="J587">
            <v>583</v>
          </cell>
          <cell r="K587">
            <v>20</v>
          </cell>
          <cell r="L587">
            <v>2000</v>
          </cell>
          <cell r="M587">
            <v>1</v>
          </cell>
          <cell r="N587">
            <v>1</v>
          </cell>
          <cell r="O587">
            <v>1</v>
          </cell>
          <cell r="P587">
            <v>1</v>
          </cell>
          <cell r="Q587">
            <v>1</v>
          </cell>
          <cell r="R587">
            <v>3</v>
          </cell>
          <cell r="S587" t="str">
            <v>none</v>
          </cell>
          <cell r="T587">
            <v>0</v>
          </cell>
          <cell r="U587" t="str">
            <v>NULL</v>
          </cell>
          <cell r="V587" t="str">
            <v>NULL</v>
          </cell>
          <cell r="W587" t="str">
            <v/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anytime</v>
          </cell>
          <cell r="AC587">
            <v>20</v>
          </cell>
          <cell r="AD587">
            <v>6</v>
          </cell>
          <cell r="AE587" t="str">
            <v>multionly</v>
          </cell>
        </row>
        <row r="588">
          <cell r="A588" t="str">
            <v>30024_3</v>
          </cell>
          <cell r="B588">
            <v>3</v>
          </cell>
          <cell r="C588">
            <v>30024</v>
          </cell>
          <cell r="D588" t="str">
            <v>雷鎚の選定</v>
          </cell>
          <cell r="E588" t="str">
            <v>ドロップイベント7（マルチ専用）</v>
          </cell>
          <cell r="F588">
            <v>3</v>
          </cell>
          <cell r="G588" t="str">
            <v>ja</v>
          </cell>
          <cell r="H588" t="str">
            <v>【超級】雷鎚の選定</v>
          </cell>
          <cell r="I588" t="str">
            <v>超級</v>
          </cell>
          <cell r="J588">
            <v>584</v>
          </cell>
          <cell r="K588">
            <v>30</v>
          </cell>
          <cell r="L588">
            <v>3300</v>
          </cell>
          <cell r="M588">
            <v>1</v>
          </cell>
          <cell r="N588">
            <v>1</v>
          </cell>
          <cell r="O588">
            <v>1</v>
          </cell>
          <cell r="P588">
            <v>1</v>
          </cell>
          <cell r="Q588">
            <v>1</v>
          </cell>
          <cell r="R588">
            <v>3</v>
          </cell>
          <cell r="S588" t="str">
            <v>polygon</v>
          </cell>
          <cell r="T588">
            <v>1</v>
          </cell>
          <cell r="U588" t="str">
            <v>NULL</v>
          </cell>
          <cell r="V588" t="str">
            <v>NULL</v>
          </cell>
          <cell r="W588" t="str">
            <v/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 t="str">
            <v>anytime</v>
          </cell>
          <cell r="AC588">
            <v>20</v>
          </cell>
          <cell r="AD588">
            <v>6</v>
          </cell>
          <cell r="AE588" t="str">
            <v>multionly</v>
          </cell>
        </row>
        <row r="589">
          <cell r="A589" t="str">
            <v>30025_1</v>
          </cell>
          <cell r="B589">
            <v>3</v>
          </cell>
          <cell r="C589">
            <v>30025</v>
          </cell>
          <cell r="D589" t="str">
            <v>真実の探求者</v>
          </cell>
          <cell r="E589" t="str">
            <v>ドロップイベント7（マルチ専用）</v>
          </cell>
          <cell r="F589">
            <v>1</v>
          </cell>
          <cell r="G589" t="str">
            <v>ja</v>
          </cell>
          <cell r="H589" t="str">
            <v>【中級】真実の探求者</v>
          </cell>
          <cell r="I589" t="str">
            <v>中級</v>
          </cell>
          <cell r="J589">
            <v>579</v>
          </cell>
          <cell r="K589">
            <v>15</v>
          </cell>
          <cell r="L589">
            <v>1200</v>
          </cell>
          <cell r="M589">
            <v>1</v>
          </cell>
          <cell r="N589">
            <v>1</v>
          </cell>
          <cell r="O589">
            <v>1</v>
          </cell>
          <cell r="P589">
            <v>1</v>
          </cell>
          <cell r="Q589">
            <v>1</v>
          </cell>
          <cell r="R589">
            <v>3</v>
          </cell>
          <cell r="S589" t="str">
            <v>none</v>
          </cell>
          <cell r="T589">
            <v>0</v>
          </cell>
          <cell r="U589" t="str">
            <v>NULL</v>
          </cell>
          <cell r="V589" t="str">
            <v>NULL</v>
          </cell>
          <cell r="W589" t="str">
            <v/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 t="str">
            <v>anytime</v>
          </cell>
          <cell r="AC589">
            <v>7</v>
          </cell>
          <cell r="AD589">
            <v>6</v>
          </cell>
          <cell r="AE589" t="str">
            <v>everyone</v>
          </cell>
        </row>
        <row r="590">
          <cell r="A590" t="str">
            <v>30025_2</v>
          </cell>
          <cell r="B590">
            <v>3</v>
          </cell>
          <cell r="C590">
            <v>30025</v>
          </cell>
          <cell r="D590" t="str">
            <v>真実の探求者</v>
          </cell>
          <cell r="E590" t="str">
            <v>ドロップイベント7（マルチ専用）</v>
          </cell>
          <cell r="F590">
            <v>2</v>
          </cell>
          <cell r="G590" t="str">
            <v>ja</v>
          </cell>
          <cell r="H590" t="str">
            <v>【上級】真実の探求者</v>
          </cell>
          <cell r="I590" t="str">
            <v>上級</v>
          </cell>
          <cell r="J590">
            <v>579</v>
          </cell>
          <cell r="K590">
            <v>20</v>
          </cell>
          <cell r="L590">
            <v>2000</v>
          </cell>
          <cell r="M590">
            <v>1</v>
          </cell>
          <cell r="N590">
            <v>1</v>
          </cell>
          <cell r="O590">
            <v>1</v>
          </cell>
          <cell r="P590">
            <v>1</v>
          </cell>
          <cell r="Q590">
            <v>1</v>
          </cell>
          <cell r="R590">
            <v>3</v>
          </cell>
          <cell r="S590" t="str">
            <v>none</v>
          </cell>
          <cell r="T590">
            <v>0</v>
          </cell>
          <cell r="U590" t="str">
            <v>NULL</v>
          </cell>
          <cell r="V590" t="str">
            <v>NULL</v>
          </cell>
          <cell r="W590" t="str">
            <v/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 t="str">
            <v>anytime</v>
          </cell>
          <cell r="AC590">
            <v>7</v>
          </cell>
          <cell r="AD590">
            <v>6</v>
          </cell>
          <cell r="AE590" t="str">
            <v>everyone</v>
          </cell>
        </row>
        <row r="591">
          <cell r="A591" t="str">
            <v>30025_3</v>
          </cell>
          <cell r="B591">
            <v>3</v>
          </cell>
          <cell r="C591">
            <v>30025</v>
          </cell>
          <cell r="D591" t="str">
            <v>真実の探求者</v>
          </cell>
          <cell r="E591" t="str">
            <v>ドロップイベント7（マルチ専用）</v>
          </cell>
          <cell r="F591">
            <v>3</v>
          </cell>
          <cell r="G591" t="str">
            <v>ja</v>
          </cell>
          <cell r="H591" t="str">
            <v>【超級】真実の探求者</v>
          </cell>
          <cell r="I591" t="str">
            <v>超級</v>
          </cell>
          <cell r="J591">
            <v>580</v>
          </cell>
          <cell r="K591">
            <v>30</v>
          </cell>
          <cell r="L591">
            <v>3300</v>
          </cell>
          <cell r="M591">
            <v>1</v>
          </cell>
          <cell r="N591">
            <v>1</v>
          </cell>
          <cell r="O591">
            <v>1</v>
          </cell>
          <cell r="P591">
            <v>1</v>
          </cell>
          <cell r="Q591">
            <v>1</v>
          </cell>
          <cell r="R591">
            <v>3</v>
          </cell>
          <cell r="S591" t="str">
            <v>polygon</v>
          </cell>
          <cell r="T591">
            <v>1</v>
          </cell>
          <cell r="U591" t="str">
            <v>NULL</v>
          </cell>
          <cell r="V591" t="str">
            <v>NULL</v>
          </cell>
          <cell r="W591" t="str">
            <v/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 t="str">
            <v>anytime</v>
          </cell>
          <cell r="AC591">
            <v>7</v>
          </cell>
          <cell r="AD591">
            <v>6</v>
          </cell>
          <cell r="AE591" t="str">
            <v>everyone</v>
          </cell>
        </row>
        <row r="592">
          <cell r="A592" t="str">
            <v>30026_1</v>
          </cell>
          <cell r="B592">
            <v>3</v>
          </cell>
          <cell r="C592">
            <v>30026</v>
          </cell>
          <cell r="D592" t="str">
            <v>道を阻む妖精夫婦</v>
          </cell>
          <cell r="E592" t="str">
            <v>ドロップイベント7（マルチ専用）</v>
          </cell>
          <cell r="F592">
            <v>1</v>
          </cell>
          <cell r="G592" t="str">
            <v>ja</v>
          </cell>
          <cell r="H592" t="str">
            <v>【中級】道を阻む妖精夫婦</v>
          </cell>
          <cell r="I592" t="str">
            <v>中級</v>
          </cell>
          <cell r="J592">
            <v>577</v>
          </cell>
          <cell r="K592">
            <v>15</v>
          </cell>
          <cell r="L592">
            <v>1200</v>
          </cell>
          <cell r="M592">
            <v>1</v>
          </cell>
          <cell r="N592">
            <v>1</v>
          </cell>
          <cell r="O592">
            <v>1</v>
          </cell>
          <cell r="P592">
            <v>1</v>
          </cell>
          <cell r="Q592">
            <v>1</v>
          </cell>
          <cell r="R592">
            <v>3</v>
          </cell>
          <cell r="S592" t="str">
            <v>none</v>
          </cell>
          <cell r="T592">
            <v>0</v>
          </cell>
          <cell r="U592" t="str">
            <v>NULL</v>
          </cell>
          <cell r="V592" t="str">
            <v>NULL</v>
          </cell>
          <cell r="W592" t="str">
            <v/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 t="str">
            <v>anytime</v>
          </cell>
          <cell r="AC592">
            <v>21</v>
          </cell>
          <cell r="AD592">
            <v>6</v>
          </cell>
          <cell r="AE592" t="str">
            <v>everyone</v>
          </cell>
        </row>
        <row r="593">
          <cell r="A593" t="str">
            <v>30026_2</v>
          </cell>
          <cell r="B593">
            <v>3</v>
          </cell>
          <cell r="C593">
            <v>30026</v>
          </cell>
          <cell r="D593" t="str">
            <v>道を阻む妖精夫婦</v>
          </cell>
          <cell r="E593" t="str">
            <v>ドロップイベント7（マルチ専用）</v>
          </cell>
          <cell r="F593">
            <v>2</v>
          </cell>
          <cell r="G593" t="str">
            <v>ja</v>
          </cell>
          <cell r="H593" t="str">
            <v>【上級】道を阻む妖精夫婦</v>
          </cell>
          <cell r="I593" t="str">
            <v>上級</v>
          </cell>
          <cell r="J593">
            <v>577</v>
          </cell>
          <cell r="K593">
            <v>20</v>
          </cell>
          <cell r="L593">
            <v>2000</v>
          </cell>
          <cell r="M593">
            <v>1</v>
          </cell>
          <cell r="N593">
            <v>1</v>
          </cell>
          <cell r="O593">
            <v>1</v>
          </cell>
          <cell r="P593">
            <v>1</v>
          </cell>
          <cell r="Q593">
            <v>1</v>
          </cell>
          <cell r="R593">
            <v>3</v>
          </cell>
          <cell r="S593" t="str">
            <v>none</v>
          </cell>
          <cell r="T593">
            <v>0</v>
          </cell>
          <cell r="U593" t="str">
            <v>NULL</v>
          </cell>
          <cell r="V593" t="str">
            <v>NULL</v>
          </cell>
          <cell r="W593" t="str">
            <v/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 t="str">
            <v>anytime</v>
          </cell>
          <cell r="AC593">
            <v>21</v>
          </cell>
          <cell r="AD593">
            <v>6</v>
          </cell>
          <cell r="AE593" t="str">
            <v>everyone</v>
          </cell>
        </row>
        <row r="594">
          <cell r="A594" t="str">
            <v>30026_3</v>
          </cell>
          <cell r="B594">
            <v>3</v>
          </cell>
          <cell r="C594">
            <v>30026</v>
          </cell>
          <cell r="D594" t="str">
            <v>道を阻む妖精夫婦</v>
          </cell>
          <cell r="E594" t="str">
            <v>ドロップイベント7（マルチ専用）</v>
          </cell>
          <cell r="F594">
            <v>3</v>
          </cell>
          <cell r="G594" t="str">
            <v>ja</v>
          </cell>
          <cell r="H594" t="str">
            <v>【超級】道を阻む妖精夫婦</v>
          </cell>
          <cell r="I594" t="str">
            <v>超級</v>
          </cell>
          <cell r="J594">
            <v>578</v>
          </cell>
          <cell r="K594">
            <v>30</v>
          </cell>
          <cell r="L594">
            <v>3300</v>
          </cell>
          <cell r="M594">
            <v>1</v>
          </cell>
          <cell r="N594">
            <v>1</v>
          </cell>
          <cell r="O594">
            <v>1</v>
          </cell>
          <cell r="P594">
            <v>1</v>
          </cell>
          <cell r="Q594">
            <v>1</v>
          </cell>
          <cell r="R594">
            <v>3</v>
          </cell>
          <cell r="S594" t="str">
            <v>polygon</v>
          </cell>
          <cell r="T594">
            <v>1</v>
          </cell>
          <cell r="U594" t="str">
            <v>NULL</v>
          </cell>
          <cell r="V594" t="str">
            <v>NULL</v>
          </cell>
          <cell r="W594" t="str">
            <v/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 t="str">
            <v>anytime</v>
          </cell>
          <cell r="AC594">
            <v>21</v>
          </cell>
          <cell r="AD594">
            <v>6</v>
          </cell>
          <cell r="AE594" t="str">
            <v>everyone</v>
          </cell>
        </row>
        <row r="595">
          <cell r="A595" t="str">
            <v>30027_1</v>
          </cell>
          <cell r="B595">
            <v>3</v>
          </cell>
          <cell r="C595">
            <v>30027</v>
          </cell>
          <cell r="D595" t="str">
            <v>凍りつくまで愛してあげる</v>
          </cell>
          <cell r="E595" t="str">
            <v>ドロップイベント7（マルチ専用）</v>
          </cell>
          <cell r="F595">
            <v>1</v>
          </cell>
          <cell r="G595" t="str">
            <v>ja</v>
          </cell>
          <cell r="H595" t="str">
            <v>【中級】凍りつくまで愛してあげる</v>
          </cell>
          <cell r="I595" t="str">
            <v>中級</v>
          </cell>
          <cell r="J595">
            <v>646</v>
          </cell>
          <cell r="K595">
            <v>15</v>
          </cell>
          <cell r="L595">
            <v>1200</v>
          </cell>
          <cell r="M595">
            <v>0</v>
          </cell>
          <cell r="N595">
            <v>1</v>
          </cell>
          <cell r="O595">
            <v>1</v>
          </cell>
          <cell r="P595">
            <v>1</v>
          </cell>
          <cell r="Q595">
            <v>1</v>
          </cell>
          <cell r="R595">
            <v>3</v>
          </cell>
          <cell r="S595" t="str">
            <v>none</v>
          </cell>
          <cell r="T595">
            <v>0</v>
          </cell>
          <cell r="U595" t="str">
            <v>NULL</v>
          </cell>
          <cell r="V595" t="str">
            <v>NULL</v>
          </cell>
          <cell r="W595" t="str">
            <v/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 t="str">
            <v>anytime</v>
          </cell>
          <cell r="AC595">
            <v>9</v>
          </cell>
          <cell r="AD595">
            <v>6</v>
          </cell>
          <cell r="AE595" t="str">
            <v>everyone</v>
          </cell>
        </row>
        <row r="596">
          <cell r="A596" t="str">
            <v>30027_2</v>
          </cell>
          <cell r="B596">
            <v>3</v>
          </cell>
          <cell r="C596">
            <v>30027</v>
          </cell>
          <cell r="D596" t="str">
            <v>凍りつくまで愛してあげる</v>
          </cell>
          <cell r="E596" t="str">
            <v>ドロップイベント7（マルチ専用）</v>
          </cell>
          <cell r="F596">
            <v>2</v>
          </cell>
          <cell r="G596" t="str">
            <v>ja</v>
          </cell>
          <cell r="H596" t="str">
            <v>【上級】凍りつくまで愛してあげる</v>
          </cell>
          <cell r="I596" t="str">
            <v>上級</v>
          </cell>
          <cell r="J596">
            <v>646</v>
          </cell>
          <cell r="K596">
            <v>20</v>
          </cell>
          <cell r="L596">
            <v>2000</v>
          </cell>
          <cell r="M596">
            <v>0</v>
          </cell>
          <cell r="N596">
            <v>1</v>
          </cell>
          <cell r="O596">
            <v>1</v>
          </cell>
          <cell r="P596">
            <v>1</v>
          </cell>
          <cell r="Q596">
            <v>1</v>
          </cell>
          <cell r="R596">
            <v>3</v>
          </cell>
          <cell r="S596" t="str">
            <v>none</v>
          </cell>
          <cell r="T596">
            <v>0</v>
          </cell>
          <cell r="U596" t="str">
            <v>NULL</v>
          </cell>
          <cell r="V596" t="str">
            <v>NULL</v>
          </cell>
          <cell r="W596" t="str">
            <v/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 t="str">
            <v>anytime</v>
          </cell>
          <cell r="AC596">
            <v>9</v>
          </cell>
          <cell r="AD596">
            <v>6</v>
          </cell>
          <cell r="AE596" t="str">
            <v>everyone</v>
          </cell>
        </row>
        <row r="597">
          <cell r="A597" t="str">
            <v>30027_3</v>
          </cell>
          <cell r="B597">
            <v>3</v>
          </cell>
          <cell r="C597">
            <v>30027</v>
          </cell>
          <cell r="D597" t="str">
            <v>凍りつくまで愛してあげる</v>
          </cell>
          <cell r="E597" t="str">
            <v>ドロップイベント7（マルチ専用）</v>
          </cell>
          <cell r="F597">
            <v>3</v>
          </cell>
          <cell r="G597" t="str">
            <v>ja</v>
          </cell>
          <cell r="H597" t="str">
            <v>【超級】凍りつくまで愛してあげる</v>
          </cell>
          <cell r="I597" t="str">
            <v>超級</v>
          </cell>
          <cell r="J597">
            <v>647</v>
          </cell>
          <cell r="K597">
            <v>30</v>
          </cell>
          <cell r="L597">
            <v>3300</v>
          </cell>
          <cell r="M597">
            <v>0</v>
          </cell>
          <cell r="N597">
            <v>1</v>
          </cell>
          <cell r="O597">
            <v>1</v>
          </cell>
          <cell r="P597">
            <v>1</v>
          </cell>
          <cell r="Q597">
            <v>1</v>
          </cell>
          <cell r="R597">
            <v>3</v>
          </cell>
          <cell r="S597" t="str">
            <v>polygon</v>
          </cell>
          <cell r="T597">
            <v>1</v>
          </cell>
          <cell r="U597" t="str">
            <v>NULL</v>
          </cell>
          <cell r="V597" t="str">
            <v>NULL</v>
          </cell>
          <cell r="W597" t="str">
            <v/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 t="str">
            <v>anytime</v>
          </cell>
          <cell r="AC597">
            <v>9</v>
          </cell>
          <cell r="AD597">
            <v>6</v>
          </cell>
          <cell r="AE597" t="str">
            <v>everyone</v>
          </cell>
        </row>
        <row r="598">
          <cell r="A598" t="str">
            <v>30028_1</v>
          </cell>
          <cell r="B598">
            <v>3</v>
          </cell>
          <cell r="C598">
            <v>30028</v>
          </cell>
          <cell r="D598" t="str">
            <v>最悪の刺客</v>
          </cell>
          <cell r="E598" t="str">
            <v>ドロップイベント8（マルチ専用）</v>
          </cell>
          <cell r="F598">
            <v>1</v>
          </cell>
          <cell r="G598" t="str">
            <v>ja</v>
          </cell>
          <cell r="H598" t="str">
            <v>【中級】最悪の刺客</v>
          </cell>
          <cell r="I598" t="str">
            <v>中級</v>
          </cell>
          <cell r="J598">
            <v>650</v>
          </cell>
          <cell r="K598">
            <v>15</v>
          </cell>
          <cell r="L598">
            <v>1200</v>
          </cell>
          <cell r="M598">
            <v>1</v>
          </cell>
          <cell r="N598">
            <v>1</v>
          </cell>
          <cell r="O598">
            <v>1</v>
          </cell>
          <cell r="P598">
            <v>1</v>
          </cell>
          <cell r="Q598">
            <v>1</v>
          </cell>
          <cell r="R598">
            <v>3</v>
          </cell>
          <cell r="S598" t="str">
            <v>none</v>
          </cell>
          <cell r="T598">
            <v>0</v>
          </cell>
          <cell r="U598" t="str">
            <v>NULL</v>
          </cell>
          <cell r="V598" t="str">
            <v>NULL</v>
          </cell>
          <cell r="W598" t="str">
            <v/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 t="str">
            <v>anytime</v>
          </cell>
          <cell r="AC598">
            <v>2601</v>
          </cell>
          <cell r="AD598">
            <v>6</v>
          </cell>
          <cell r="AE598" t="str">
            <v>everyone</v>
          </cell>
        </row>
        <row r="599">
          <cell r="A599" t="str">
            <v>30028_2</v>
          </cell>
          <cell r="B599">
            <v>3</v>
          </cell>
          <cell r="C599">
            <v>30028</v>
          </cell>
          <cell r="D599" t="str">
            <v>最悪の刺客</v>
          </cell>
          <cell r="E599" t="str">
            <v>ドロップイベント8（マルチ専用）</v>
          </cell>
          <cell r="F599">
            <v>2</v>
          </cell>
          <cell r="G599" t="str">
            <v>ja</v>
          </cell>
          <cell r="H599" t="str">
            <v>【上級】最悪の刺客</v>
          </cell>
          <cell r="I599" t="str">
            <v>上級</v>
          </cell>
          <cell r="J599">
            <v>650</v>
          </cell>
          <cell r="K599">
            <v>20</v>
          </cell>
          <cell r="L599">
            <v>2000</v>
          </cell>
          <cell r="M599">
            <v>1</v>
          </cell>
          <cell r="N599">
            <v>1</v>
          </cell>
          <cell r="O599">
            <v>1</v>
          </cell>
          <cell r="P599">
            <v>1</v>
          </cell>
          <cell r="Q599">
            <v>1</v>
          </cell>
          <cell r="R599">
            <v>3</v>
          </cell>
          <cell r="S599" t="str">
            <v>none</v>
          </cell>
          <cell r="T599">
            <v>0</v>
          </cell>
          <cell r="U599" t="str">
            <v>NULL</v>
          </cell>
          <cell r="V599" t="str">
            <v>NULL</v>
          </cell>
          <cell r="W599" t="str">
            <v/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 t="str">
            <v>anytime</v>
          </cell>
          <cell r="AC599">
            <v>2601</v>
          </cell>
          <cell r="AD599">
            <v>6</v>
          </cell>
          <cell r="AE599" t="str">
            <v>everyone</v>
          </cell>
        </row>
        <row r="600">
          <cell r="A600" t="str">
            <v>30028_3</v>
          </cell>
          <cell r="B600">
            <v>3</v>
          </cell>
          <cell r="C600">
            <v>30028</v>
          </cell>
          <cell r="D600" t="str">
            <v>最悪の刺客</v>
          </cell>
          <cell r="E600" t="str">
            <v>ドロップイベント8（マルチ専用）</v>
          </cell>
          <cell r="F600">
            <v>3</v>
          </cell>
          <cell r="G600" t="str">
            <v>ja</v>
          </cell>
          <cell r="H600" t="str">
            <v>【超級】最悪の刺客</v>
          </cell>
          <cell r="I600" t="str">
            <v>超級</v>
          </cell>
          <cell r="J600">
            <v>651</v>
          </cell>
          <cell r="K600">
            <v>30</v>
          </cell>
          <cell r="L600">
            <v>3300</v>
          </cell>
          <cell r="M600">
            <v>1</v>
          </cell>
          <cell r="N600">
            <v>1</v>
          </cell>
          <cell r="O600">
            <v>1</v>
          </cell>
          <cell r="P600">
            <v>1</v>
          </cell>
          <cell r="Q600">
            <v>1</v>
          </cell>
          <cell r="R600">
            <v>3</v>
          </cell>
          <cell r="S600" t="str">
            <v>polygon</v>
          </cell>
          <cell r="T600">
            <v>1</v>
          </cell>
          <cell r="U600" t="str">
            <v>NULL</v>
          </cell>
          <cell r="V600" t="str">
            <v>NULL</v>
          </cell>
          <cell r="W600" t="str">
            <v/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 t="str">
            <v>anytime</v>
          </cell>
          <cell r="AC600">
            <v>2601</v>
          </cell>
          <cell r="AD600">
            <v>6</v>
          </cell>
          <cell r="AE600" t="str">
            <v>everyone</v>
          </cell>
        </row>
        <row r="601">
          <cell r="A601" t="str">
            <v>30029_1</v>
          </cell>
          <cell r="B601">
            <v>3</v>
          </cell>
          <cell r="C601">
            <v>30029</v>
          </cell>
          <cell r="D601" t="str">
            <v>全ては主のために</v>
          </cell>
          <cell r="E601" t="str">
            <v>ドロップイベント8（マルチ専用）</v>
          </cell>
          <cell r="F601">
            <v>1</v>
          </cell>
          <cell r="G601" t="str">
            <v>ja</v>
          </cell>
          <cell r="H601" t="str">
            <v>【中級】全ては主のために</v>
          </cell>
          <cell r="I601" t="str">
            <v>中級</v>
          </cell>
          <cell r="J601">
            <v>648</v>
          </cell>
          <cell r="K601">
            <v>15</v>
          </cell>
          <cell r="L601">
            <v>1200</v>
          </cell>
          <cell r="M601">
            <v>1</v>
          </cell>
          <cell r="N601">
            <v>1</v>
          </cell>
          <cell r="O601">
            <v>1</v>
          </cell>
          <cell r="P601">
            <v>1</v>
          </cell>
          <cell r="Q601">
            <v>1</v>
          </cell>
          <cell r="R601">
            <v>3</v>
          </cell>
          <cell r="S601" t="str">
            <v>none</v>
          </cell>
          <cell r="T601">
            <v>0</v>
          </cell>
          <cell r="U601" t="str">
            <v>NULL</v>
          </cell>
          <cell r="V601" t="str">
            <v>NULL</v>
          </cell>
          <cell r="W601" t="str">
            <v/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 t="str">
            <v>anytime</v>
          </cell>
          <cell r="AC601">
            <v>5</v>
          </cell>
          <cell r="AD601">
            <v>6</v>
          </cell>
          <cell r="AE601" t="str">
            <v>everyone</v>
          </cell>
        </row>
        <row r="602">
          <cell r="A602" t="str">
            <v>30029_2</v>
          </cell>
          <cell r="B602">
            <v>3</v>
          </cell>
          <cell r="C602">
            <v>30029</v>
          </cell>
          <cell r="D602" t="str">
            <v>全ては主のために</v>
          </cell>
          <cell r="E602" t="str">
            <v>ドロップイベント8（マルチ専用）</v>
          </cell>
          <cell r="F602">
            <v>2</v>
          </cell>
          <cell r="G602" t="str">
            <v>ja</v>
          </cell>
          <cell r="H602" t="str">
            <v>【上級】全ては主のために</v>
          </cell>
          <cell r="I602" t="str">
            <v>上級</v>
          </cell>
          <cell r="J602">
            <v>648</v>
          </cell>
          <cell r="K602">
            <v>20</v>
          </cell>
          <cell r="L602">
            <v>2000</v>
          </cell>
          <cell r="M602">
            <v>1</v>
          </cell>
          <cell r="N602">
            <v>1</v>
          </cell>
          <cell r="O602">
            <v>1</v>
          </cell>
          <cell r="P602">
            <v>1</v>
          </cell>
          <cell r="Q602">
            <v>1</v>
          </cell>
          <cell r="R602">
            <v>3</v>
          </cell>
          <cell r="S602" t="str">
            <v>none</v>
          </cell>
          <cell r="T602">
            <v>0</v>
          </cell>
          <cell r="U602" t="str">
            <v>NULL</v>
          </cell>
          <cell r="V602" t="str">
            <v>NULL</v>
          </cell>
          <cell r="W602" t="str">
            <v/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 t="str">
            <v>anytime</v>
          </cell>
          <cell r="AC602">
            <v>5</v>
          </cell>
          <cell r="AD602">
            <v>6</v>
          </cell>
          <cell r="AE602" t="str">
            <v>everyone</v>
          </cell>
        </row>
        <row r="603">
          <cell r="A603" t="str">
            <v>30029_3</v>
          </cell>
          <cell r="B603">
            <v>3</v>
          </cell>
          <cell r="C603">
            <v>30029</v>
          </cell>
          <cell r="D603" t="str">
            <v>全ては主のために</v>
          </cell>
          <cell r="E603" t="str">
            <v>ドロップイベント8（マルチ専用）</v>
          </cell>
          <cell r="F603">
            <v>3</v>
          </cell>
          <cell r="G603" t="str">
            <v>ja</v>
          </cell>
          <cell r="H603" t="str">
            <v>【超級】全ては主のために</v>
          </cell>
          <cell r="I603" t="str">
            <v>超級</v>
          </cell>
          <cell r="J603">
            <v>648</v>
          </cell>
          <cell r="K603">
            <v>30</v>
          </cell>
          <cell r="L603">
            <v>3300</v>
          </cell>
          <cell r="M603">
            <v>1</v>
          </cell>
          <cell r="N603">
            <v>1</v>
          </cell>
          <cell r="O603">
            <v>1</v>
          </cell>
          <cell r="P603">
            <v>1</v>
          </cell>
          <cell r="Q603">
            <v>1</v>
          </cell>
          <cell r="R603">
            <v>3</v>
          </cell>
          <cell r="S603" t="str">
            <v>polygon</v>
          </cell>
          <cell r="T603">
            <v>1</v>
          </cell>
          <cell r="U603" t="str">
            <v>NULL</v>
          </cell>
          <cell r="V603" t="str">
            <v>NULL</v>
          </cell>
          <cell r="W603" t="str">
            <v/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 t="str">
            <v>anytime</v>
          </cell>
          <cell r="AC603">
            <v>5</v>
          </cell>
          <cell r="AD603">
            <v>6</v>
          </cell>
          <cell r="AE603" t="str">
            <v>everyone</v>
          </cell>
        </row>
        <row r="604">
          <cell r="A604" t="str">
            <v>30030_1</v>
          </cell>
          <cell r="B604">
            <v>3</v>
          </cell>
          <cell r="C604">
            <v>30030</v>
          </cell>
          <cell r="D604" t="str">
            <v>ここは誰の箱庭じゃ？</v>
          </cell>
          <cell r="E604" t="str">
            <v>ドロップイベント9（マルチ専用）</v>
          </cell>
          <cell r="F604">
            <v>1</v>
          </cell>
          <cell r="G604" t="str">
            <v>ja</v>
          </cell>
          <cell r="H604" t="str">
            <v>【中級】ここは誰の箱庭じゃ？</v>
          </cell>
          <cell r="I604" t="str">
            <v>中級</v>
          </cell>
          <cell r="J604">
            <v>652</v>
          </cell>
          <cell r="K604">
            <v>15</v>
          </cell>
          <cell r="L604">
            <v>1200</v>
          </cell>
          <cell r="M604">
            <v>1</v>
          </cell>
          <cell r="N604">
            <v>1</v>
          </cell>
          <cell r="O604">
            <v>1</v>
          </cell>
          <cell r="P604">
            <v>1</v>
          </cell>
          <cell r="Q604">
            <v>1</v>
          </cell>
          <cell r="R604">
            <v>3</v>
          </cell>
          <cell r="S604" t="str">
            <v>none</v>
          </cell>
          <cell r="T604">
            <v>0</v>
          </cell>
          <cell r="U604" t="str">
            <v>NULL</v>
          </cell>
          <cell r="V604" t="str">
            <v>NULL</v>
          </cell>
          <cell r="W604" t="str">
            <v/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 t="str">
            <v>anytime</v>
          </cell>
          <cell r="AC604">
            <v>8</v>
          </cell>
          <cell r="AD604">
            <v>6</v>
          </cell>
          <cell r="AE604" t="str">
            <v>everyone</v>
          </cell>
        </row>
        <row r="605">
          <cell r="A605" t="str">
            <v>30030_2</v>
          </cell>
          <cell r="B605">
            <v>3</v>
          </cell>
          <cell r="C605">
            <v>30030</v>
          </cell>
          <cell r="D605" t="str">
            <v>ここは誰の箱庭じゃ？</v>
          </cell>
          <cell r="E605" t="str">
            <v>ドロップイベント9（マルチ専用）</v>
          </cell>
          <cell r="F605">
            <v>2</v>
          </cell>
          <cell r="G605" t="str">
            <v>ja</v>
          </cell>
          <cell r="H605" t="str">
            <v>【上級】ここは誰の箱庭じゃ？</v>
          </cell>
          <cell r="I605" t="str">
            <v>上級</v>
          </cell>
          <cell r="J605">
            <v>653</v>
          </cell>
          <cell r="K605">
            <v>20</v>
          </cell>
          <cell r="L605">
            <v>2000</v>
          </cell>
          <cell r="M605">
            <v>1</v>
          </cell>
          <cell r="N605">
            <v>1</v>
          </cell>
          <cell r="O605">
            <v>1</v>
          </cell>
          <cell r="P605">
            <v>1</v>
          </cell>
          <cell r="Q605">
            <v>1</v>
          </cell>
          <cell r="R605">
            <v>3</v>
          </cell>
          <cell r="S605" t="str">
            <v>none</v>
          </cell>
          <cell r="T605">
            <v>0</v>
          </cell>
          <cell r="U605" t="str">
            <v>NULL</v>
          </cell>
          <cell r="V605" t="str">
            <v>NULL</v>
          </cell>
          <cell r="W605" t="str">
            <v/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 t="str">
            <v>anytime</v>
          </cell>
          <cell r="AC605">
            <v>8</v>
          </cell>
          <cell r="AD605">
            <v>6</v>
          </cell>
          <cell r="AE605" t="str">
            <v>everyone</v>
          </cell>
        </row>
        <row r="606">
          <cell r="A606" t="str">
            <v>30030_3</v>
          </cell>
          <cell r="B606">
            <v>3</v>
          </cell>
          <cell r="C606">
            <v>30030</v>
          </cell>
          <cell r="D606" t="str">
            <v>ここは誰の箱庭じゃ？</v>
          </cell>
          <cell r="E606" t="str">
            <v>ドロップイベント9（マルチ専用）</v>
          </cell>
          <cell r="F606">
            <v>3</v>
          </cell>
          <cell r="G606" t="str">
            <v>ja</v>
          </cell>
          <cell r="H606" t="str">
            <v>【超級】ここは誰の箱庭じゃ？</v>
          </cell>
          <cell r="I606" t="str">
            <v>超級</v>
          </cell>
          <cell r="J606">
            <v>653</v>
          </cell>
          <cell r="K606">
            <v>30</v>
          </cell>
          <cell r="L606">
            <v>3300</v>
          </cell>
          <cell r="M606">
            <v>1</v>
          </cell>
          <cell r="N606">
            <v>1</v>
          </cell>
          <cell r="O606">
            <v>1</v>
          </cell>
          <cell r="P606">
            <v>1</v>
          </cell>
          <cell r="Q606">
            <v>1</v>
          </cell>
          <cell r="R606">
            <v>3</v>
          </cell>
          <cell r="S606" t="str">
            <v>polygon</v>
          </cell>
          <cell r="T606">
            <v>1</v>
          </cell>
          <cell r="U606" t="str">
            <v>NULL</v>
          </cell>
          <cell r="V606" t="str">
            <v>NULL</v>
          </cell>
          <cell r="W606" t="str">
            <v/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 t="str">
            <v>anytime</v>
          </cell>
          <cell r="AC606">
            <v>8</v>
          </cell>
          <cell r="AD606">
            <v>6</v>
          </cell>
          <cell r="AE606" t="str">
            <v>everyone</v>
          </cell>
        </row>
        <row r="607">
          <cell r="A607" t="str">
            <v>30031_1</v>
          </cell>
          <cell r="B607">
            <v>3</v>
          </cell>
          <cell r="C607">
            <v>30031</v>
          </cell>
          <cell r="D607" t="str">
            <v>力への羨望</v>
          </cell>
          <cell r="E607" t="str">
            <v>ドロップイベント10（マルチ専用）</v>
          </cell>
          <cell r="F607">
            <v>1</v>
          </cell>
          <cell r="G607" t="str">
            <v>ja</v>
          </cell>
          <cell r="H607" t="str">
            <v>【中級】力への羨望</v>
          </cell>
          <cell r="I607" t="str">
            <v>中級</v>
          </cell>
          <cell r="J607">
            <v>764</v>
          </cell>
          <cell r="K607">
            <v>15</v>
          </cell>
          <cell r="L607">
            <v>1200</v>
          </cell>
          <cell r="M607">
            <v>1</v>
          </cell>
          <cell r="N607">
            <v>1</v>
          </cell>
          <cell r="O607">
            <v>1</v>
          </cell>
          <cell r="P607">
            <v>1</v>
          </cell>
          <cell r="Q607">
            <v>1</v>
          </cell>
          <cell r="R607">
            <v>3</v>
          </cell>
          <cell r="S607" t="str">
            <v>none</v>
          </cell>
          <cell r="T607">
            <v>0</v>
          </cell>
          <cell r="U607" t="str">
            <v>NULL</v>
          </cell>
          <cell r="V607" t="str">
            <v>NULL</v>
          </cell>
          <cell r="W607" t="str">
            <v/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 t="str">
            <v>anytime</v>
          </cell>
          <cell r="AC607">
            <v>20</v>
          </cell>
          <cell r="AD607">
            <v>6</v>
          </cell>
          <cell r="AE607" t="str">
            <v>everyone</v>
          </cell>
        </row>
        <row r="608">
          <cell r="A608" t="str">
            <v>30031_2</v>
          </cell>
          <cell r="B608">
            <v>3</v>
          </cell>
          <cell r="C608">
            <v>30031</v>
          </cell>
          <cell r="D608" t="str">
            <v>力への羨望</v>
          </cell>
          <cell r="E608" t="str">
            <v>ドロップイベント10（マルチ専用）</v>
          </cell>
          <cell r="F608">
            <v>2</v>
          </cell>
          <cell r="G608" t="str">
            <v>ja</v>
          </cell>
          <cell r="H608" t="str">
            <v>【上級】力への羨望</v>
          </cell>
          <cell r="I608" t="str">
            <v>上級</v>
          </cell>
          <cell r="J608">
            <v>764</v>
          </cell>
          <cell r="K608">
            <v>20</v>
          </cell>
          <cell r="L608">
            <v>2000</v>
          </cell>
          <cell r="M608">
            <v>1</v>
          </cell>
          <cell r="N608">
            <v>1</v>
          </cell>
          <cell r="O608">
            <v>1</v>
          </cell>
          <cell r="P608">
            <v>1</v>
          </cell>
          <cell r="Q608">
            <v>1</v>
          </cell>
          <cell r="R608">
            <v>3</v>
          </cell>
          <cell r="S608" t="str">
            <v>none</v>
          </cell>
          <cell r="T608">
            <v>0</v>
          </cell>
          <cell r="U608" t="str">
            <v>NULL</v>
          </cell>
          <cell r="V608" t="str">
            <v>NULL</v>
          </cell>
          <cell r="W608" t="str">
            <v/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 t="str">
            <v>anytime</v>
          </cell>
          <cell r="AC608">
            <v>20</v>
          </cell>
          <cell r="AD608">
            <v>6</v>
          </cell>
          <cell r="AE608" t="str">
            <v>everyone</v>
          </cell>
        </row>
        <row r="609">
          <cell r="A609" t="str">
            <v>30031_3</v>
          </cell>
          <cell r="B609">
            <v>3</v>
          </cell>
          <cell r="C609">
            <v>30031</v>
          </cell>
          <cell r="D609" t="str">
            <v>力への羨望</v>
          </cell>
          <cell r="E609" t="str">
            <v>ドロップイベント10（マルチ専用）</v>
          </cell>
          <cell r="F609">
            <v>3</v>
          </cell>
          <cell r="G609" t="str">
            <v>ja</v>
          </cell>
          <cell r="H609" t="str">
            <v>【超級】力への羨望</v>
          </cell>
          <cell r="I609" t="str">
            <v>超級</v>
          </cell>
          <cell r="J609">
            <v>765</v>
          </cell>
          <cell r="K609">
            <v>30</v>
          </cell>
          <cell r="L609">
            <v>3300</v>
          </cell>
          <cell r="M609">
            <v>1</v>
          </cell>
          <cell r="N609">
            <v>1</v>
          </cell>
          <cell r="O609">
            <v>1</v>
          </cell>
          <cell r="P609">
            <v>1</v>
          </cell>
          <cell r="Q609">
            <v>1</v>
          </cell>
          <cell r="R609">
            <v>3</v>
          </cell>
          <cell r="S609" t="str">
            <v>polygon</v>
          </cell>
          <cell r="T609">
            <v>1</v>
          </cell>
          <cell r="U609" t="str">
            <v>NULL</v>
          </cell>
          <cell r="V609" t="str">
            <v>NULL</v>
          </cell>
          <cell r="W609" t="str">
            <v/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 t="str">
            <v>anytime</v>
          </cell>
          <cell r="AC609">
            <v>20</v>
          </cell>
          <cell r="AD609">
            <v>6</v>
          </cell>
          <cell r="AE609" t="str">
            <v>everyone</v>
          </cell>
        </row>
        <row r="610">
          <cell r="A610" t="str">
            <v>30032_1</v>
          </cell>
          <cell r="B610">
            <v>3</v>
          </cell>
          <cell r="C610">
            <v>30032</v>
          </cell>
          <cell r="D610" t="str">
            <v>赤き竜の制裁</v>
          </cell>
          <cell r="E610" t="str">
            <v>円卓2（マルチ専用）</v>
          </cell>
          <cell r="F610">
            <v>1</v>
          </cell>
          <cell r="G610" t="str">
            <v>ja</v>
          </cell>
          <cell r="H610" t="str">
            <v>【中級】赤き竜の制裁</v>
          </cell>
          <cell r="I610" t="str">
            <v>中級</v>
          </cell>
          <cell r="J610">
            <v>767</v>
          </cell>
          <cell r="K610">
            <v>15</v>
          </cell>
          <cell r="L610">
            <v>1200</v>
          </cell>
          <cell r="M610">
            <v>1</v>
          </cell>
          <cell r="N610">
            <v>1</v>
          </cell>
          <cell r="O610">
            <v>1</v>
          </cell>
          <cell r="P610">
            <v>1</v>
          </cell>
          <cell r="Q610">
            <v>1</v>
          </cell>
          <cell r="R610">
            <v>3</v>
          </cell>
          <cell r="S610" t="str">
            <v>none</v>
          </cell>
          <cell r="T610">
            <v>0</v>
          </cell>
          <cell r="U610" t="str">
            <v>NULL</v>
          </cell>
          <cell r="V610" t="str">
            <v>NULL</v>
          </cell>
          <cell r="W610" t="str">
            <v/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 t="str">
            <v>anytime</v>
          </cell>
          <cell r="AC610">
            <v>14</v>
          </cell>
          <cell r="AD610">
            <v>6</v>
          </cell>
          <cell r="AE610" t="str">
            <v>everyone</v>
          </cell>
        </row>
        <row r="611">
          <cell r="A611" t="str">
            <v>30032_2</v>
          </cell>
          <cell r="B611">
            <v>3</v>
          </cell>
          <cell r="C611">
            <v>30032</v>
          </cell>
          <cell r="D611" t="str">
            <v>赤き竜の制裁</v>
          </cell>
          <cell r="E611" t="str">
            <v>円卓2（マルチ専用）</v>
          </cell>
          <cell r="F611">
            <v>2</v>
          </cell>
          <cell r="G611" t="str">
            <v>ja</v>
          </cell>
          <cell r="H611" t="str">
            <v>【上級】赤き竜の制裁</v>
          </cell>
          <cell r="I611" t="str">
            <v>上級</v>
          </cell>
          <cell r="J611">
            <v>767</v>
          </cell>
          <cell r="K611">
            <v>20</v>
          </cell>
          <cell r="L611">
            <v>2000</v>
          </cell>
          <cell r="M611">
            <v>1</v>
          </cell>
          <cell r="N611">
            <v>1</v>
          </cell>
          <cell r="O611">
            <v>1</v>
          </cell>
          <cell r="P611">
            <v>1</v>
          </cell>
          <cell r="Q611">
            <v>1</v>
          </cell>
          <cell r="R611">
            <v>3</v>
          </cell>
          <cell r="S611" t="str">
            <v>none</v>
          </cell>
          <cell r="T611">
            <v>0</v>
          </cell>
          <cell r="U611" t="str">
            <v>NULL</v>
          </cell>
          <cell r="V611" t="str">
            <v>NULL</v>
          </cell>
          <cell r="W611" t="str">
            <v/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 t="str">
            <v>anytime</v>
          </cell>
          <cell r="AC611">
            <v>14</v>
          </cell>
          <cell r="AD611">
            <v>6</v>
          </cell>
          <cell r="AE611" t="str">
            <v>everyone</v>
          </cell>
        </row>
        <row r="612">
          <cell r="A612" t="str">
            <v>30032_3</v>
          </cell>
          <cell r="B612">
            <v>3</v>
          </cell>
          <cell r="C612">
            <v>30032</v>
          </cell>
          <cell r="D612" t="str">
            <v>赤き竜の制裁</v>
          </cell>
          <cell r="E612" t="str">
            <v>円卓2（マルチ専用）</v>
          </cell>
          <cell r="F612">
            <v>3</v>
          </cell>
          <cell r="G612" t="str">
            <v>ja</v>
          </cell>
          <cell r="H612" t="str">
            <v>【超級】赤き竜の制裁</v>
          </cell>
          <cell r="I612" t="str">
            <v>超級</v>
          </cell>
          <cell r="J612">
            <v>767</v>
          </cell>
          <cell r="K612">
            <v>30</v>
          </cell>
          <cell r="L612">
            <v>3300</v>
          </cell>
          <cell r="M612">
            <v>1</v>
          </cell>
          <cell r="N612">
            <v>1</v>
          </cell>
          <cell r="O612">
            <v>1</v>
          </cell>
          <cell r="P612">
            <v>1</v>
          </cell>
          <cell r="Q612">
            <v>1</v>
          </cell>
          <cell r="R612">
            <v>3</v>
          </cell>
          <cell r="S612" t="str">
            <v>polygon</v>
          </cell>
          <cell r="T612">
            <v>1</v>
          </cell>
          <cell r="U612" t="str">
            <v>NULL</v>
          </cell>
          <cell r="V612" t="str">
            <v>NULL</v>
          </cell>
          <cell r="W612" t="str">
            <v/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 t="str">
            <v>anytime</v>
          </cell>
          <cell r="AC612">
            <v>14</v>
          </cell>
          <cell r="AD612">
            <v>6</v>
          </cell>
          <cell r="AE612" t="str">
            <v>everyone</v>
          </cell>
        </row>
        <row r="613">
          <cell r="A613" t="str">
            <v>30033_1</v>
          </cell>
          <cell r="B613">
            <v>3</v>
          </cell>
          <cell r="C613">
            <v>30033</v>
          </cell>
          <cell r="D613" t="str">
            <v>御館様の懐刀</v>
          </cell>
          <cell r="E613" t="str">
            <v>戦国１</v>
          </cell>
          <cell r="F613">
            <v>1</v>
          </cell>
          <cell r="G613" t="str">
            <v>ja</v>
          </cell>
          <cell r="H613" t="str">
            <v>【中級】御館様の懐刀</v>
          </cell>
          <cell r="I613" t="str">
            <v>中級</v>
          </cell>
          <cell r="J613">
            <v>722</v>
          </cell>
          <cell r="K613">
            <v>15</v>
          </cell>
          <cell r="L613">
            <v>1200</v>
          </cell>
          <cell r="M613">
            <v>1</v>
          </cell>
          <cell r="N613">
            <v>1</v>
          </cell>
          <cell r="O613">
            <v>1</v>
          </cell>
          <cell r="P613">
            <v>1</v>
          </cell>
          <cell r="Q613">
            <v>1</v>
          </cell>
          <cell r="R613">
            <v>3</v>
          </cell>
          <cell r="S613" t="str">
            <v>none</v>
          </cell>
          <cell r="T613">
            <v>0</v>
          </cell>
          <cell r="U613" t="str">
            <v>NULL</v>
          </cell>
          <cell r="V613" t="str">
            <v>NULL</v>
          </cell>
          <cell r="W613" t="str">
            <v/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 t="str">
            <v>anytime</v>
          </cell>
          <cell r="AC613">
            <v>2</v>
          </cell>
          <cell r="AD613">
            <v>6</v>
          </cell>
          <cell r="AE613" t="str">
            <v>everyone</v>
          </cell>
        </row>
        <row r="614">
          <cell r="A614" t="str">
            <v>30033_2</v>
          </cell>
          <cell r="B614">
            <v>3</v>
          </cell>
          <cell r="C614">
            <v>30033</v>
          </cell>
          <cell r="D614" t="str">
            <v>御館様の懐刀</v>
          </cell>
          <cell r="E614" t="str">
            <v>戦国１</v>
          </cell>
          <cell r="F614">
            <v>2</v>
          </cell>
          <cell r="G614" t="str">
            <v>ja</v>
          </cell>
          <cell r="H614" t="str">
            <v>【上級】御館様の懐刀</v>
          </cell>
          <cell r="I614" t="str">
            <v>上級</v>
          </cell>
          <cell r="J614">
            <v>722</v>
          </cell>
          <cell r="K614">
            <v>20</v>
          </cell>
          <cell r="L614">
            <v>2000</v>
          </cell>
          <cell r="M614">
            <v>1</v>
          </cell>
          <cell r="N614">
            <v>1</v>
          </cell>
          <cell r="O614">
            <v>1</v>
          </cell>
          <cell r="P614">
            <v>1</v>
          </cell>
          <cell r="Q614">
            <v>1</v>
          </cell>
          <cell r="R614">
            <v>3</v>
          </cell>
          <cell r="S614" t="str">
            <v>none</v>
          </cell>
          <cell r="T614">
            <v>0</v>
          </cell>
          <cell r="U614" t="str">
            <v>NULL</v>
          </cell>
          <cell r="V614" t="str">
            <v>NULL</v>
          </cell>
          <cell r="W614" t="str">
            <v/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 t="str">
            <v>anytime</v>
          </cell>
          <cell r="AC614">
            <v>2</v>
          </cell>
          <cell r="AD614">
            <v>6</v>
          </cell>
          <cell r="AE614" t="str">
            <v>everyone</v>
          </cell>
        </row>
        <row r="615">
          <cell r="A615" t="str">
            <v>30033_3</v>
          </cell>
          <cell r="B615">
            <v>3</v>
          </cell>
          <cell r="C615">
            <v>30033</v>
          </cell>
          <cell r="D615" t="str">
            <v>御館様の懐刀</v>
          </cell>
          <cell r="E615" t="str">
            <v>戦国１</v>
          </cell>
          <cell r="F615">
            <v>3</v>
          </cell>
          <cell r="G615" t="str">
            <v>ja</v>
          </cell>
          <cell r="H615" t="str">
            <v>【超級】御館様の懐刀</v>
          </cell>
          <cell r="I615" t="str">
            <v>超級</v>
          </cell>
          <cell r="J615">
            <v>723</v>
          </cell>
          <cell r="K615">
            <v>30</v>
          </cell>
          <cell r="L615">
            <v>3300</v>
          </cell>
          <cell r="M615">
            <v>1</v>
          </cell>
          <cell r="N615">
            <v>1</v>
          </cell>
          <cell r="O615">
            <v>1</v>
          </cell>
          <cell r="P615">
            <v>1</v>
          </cell>
          <cell r="Q615">
            <v>1</v>
          </cell>
          <cell r="R615">
            <v>3</v>
          </cell>
          <cell r="S615" t="str">
            <v>polygon</v>
          </cell>
          <cell r="T615">
            <v>1</v>
          </cell>
          <cell r="U615" t="str">
            <v>NULL</v>
          </cell>
          <cell r="V615" t="str">
            <v>NULL</v>
          </cell>
          <cell r="W615" t="str">
            <v/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 t="str">
            <v>anytime</v>
          </cell>
          <cell r="AC615">
            <v>2</v>
          </cell>
          <cell r="AD615">
            <v>6</v>
          </cell>
          <cell r="AE615" t="str">
            <v>everyone</v>
          </cell>
        </row>
        <row r="616">
          <cell r="A616" t="str">
            <v>30034_1</v>
          </cell>
          <cell r="B616">
            <v>3</v>
          </cell>
          <cell r="C616">
            <v>30034</v>
          </cell>
          <cell r="D616" t="str">
            <v>孤高の焔翼</v>
          </cell>
          <cell r="E616" t="str">
            <v>天使と悪魔</v>
          </cell>
          <cell r="F616">
            <v>1</v>
          </cell>
          <cell r="G616" t="str">
            <v>ja</v>
          </cell>
          <cell r="H616" t="str">
            <v>【中級】孤高の焔翼</v>
          </cell>
          <cell r="I616" t="str">
            <v>中級</v>
          </cell>
          <cell r="J616">
            <v>840</v>
          </cell>
          <cell r="K616">
            <v>15</v>
          </cell>
          <cell r="L616">
            <v>1200</v>
          </cell>
          <cell r="M616">
            <v>1</v>
          </cell>
          <cell r="N616">
            <v>1</v>
          </cell>
          <cell r="O616">
            <v>1</v>
          </cell>
          <cell r="P616">
            <v>1</v>
          </cell>
          <cell r="Q616">
            <v>1</v>
          </cell>
          <cell r="R616">
            <v>3</v>
          </cell>
          <cell r="S616" t="str">
            <v>none</v>
          </cell>
          <cell r="T616">
            <v>0</v>
          </cell>
          <cell r="U616" t="str">
            <v>NULL</v>
          </cell>
          <cell r="V616" t="str">
            <v>NULL</v>
          </cell>
          <cell r="W616" t="str">
            <v/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 t="str">
            <v>anytime</v>
          </cell>
          <cell r="AC616">
            <v>10</v>
          </cell>
          <cell r="AD616">
            <v>6</v>
          </cell>
          <cell r="AE616" t="str">
            <v>everyone</v>
          </cell>
        </row>
        <row r="617">
          <cell r="A617" t="str">
            <v>30034_2</v>
          </cell>
          <cell r="B617">
            <v>3</v>
          </cell>
          <cell r="C617">
            <v>30034</v>
          </cell>
          <cell r="D617" t="str">
            <v>孤高の焔翼</v>
          </cell>
          <cell r="E617" t="str">
            <v>天使と悪魔</v>
          </cell>
          <cell r="F617">
            <v>2</v>
          </cell>
          <cell r="G617" t="str">
            <v>ja</v>
          </cell>
          <cell r="H617" t="str">
            <v>【上級】孤高の焔翼</v>
          </cell>
          <cell r="I617" t="str">
            <v>上級</v>
          </cell>
          <cell r="J617">
            <v>840</v>
          </cell>
          <cell r="K617">
            <v>20</v>
          </cell>
          <cell r="L617">
            <v>2000</v>
          </cell>
          <cell r="M617">
            <v>1</v>
          </cell>
          <cell r="N617">
            <v>1</v>
          </cell>
          <cell r="O617">
            <v>1</v>
          </cell>
          <cell r="P617">
            <v>1</v>
          </cell>
          <cell r="Q617">
            <v>1</v>
          </cell>
          <cell r="R617">
            <v>3</v>
          </cell>
          <cell r="S617" t="str">
            <v>none</v>
          </cell>
          <cell r="T617">
            <v>0</v>
          </cell>
          <cell r="U617" t="str">
            <v>NULL</v>
          </cell>
          <cell r="V617" t="str">
            <v>NULL</v>
          </cell>
          <cell r="W617" t="str">
            <v/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 t="str">
            <v>anytime</v>
          </cell>
          <cell r="AC617">
            <v>10</v>
          </cell>
          <cell r="AD617">
            <v>6</v>
          </cell>
          <cell r="AE617" t="str">
            <v>everyone</v>
          </cell>
        </row>
        <row r="618">
          <cell r="A618" t="str">
            <v>30034_3</v>
          </cell>
          <cell r="B618">
            <v>3</v>
          </cell>
          <cell r="C618">
            <v>30034</v>
          </cell>
          <cell r="D618" t="str">
            <v>孤高の焔翼</v>
          </cell>
          <cell r="E618" t="str">
            <v>天使と悪魔</v>
          </cell>
          <cell r="F618">
            <v>3</v>
          </cell>
          <cell r="G618" t="str">
            <v>ja</v>
          </cell>
          <cell r="H618" t="str">
            <v>【超級】孤高の焔翼</v>
          </cell>
          <cell r="I618" t="str">
            <v>超級</v>
          </cell>
          <cell r="J618">
            <v>841</v>
          </cell>
          <cell r="K618">
            <v>30</v>
          </cell>
          <cell r="L618">
            <v>3300</v>
          </cell>
          <cell r="M618">
            <v>1</v>
          </cell>
          <cell r="N618">
            <v>1</v>
          </cell>
          <cell r="O618">
            <v>1</v>
          </cell>
          <cell r="P618">
            <v>1</v>
          </cell>
          <cell r="Q618">
            <v>1</v>
          </cell>
          <cell r="R618">
            <v>3</v>
          </cell>
          <cell r="S618" t="str">
            <v>polygon</v>
          </cell>
          <cell r="T618">
            <v>1</v>
          </cell>
          <cell r="U618" t="str">
            <v>NULL</v>
          </cell>
          <cell r="V618" t="str">
            <v>NULL</v>
          </cell>
          <cell r="W618" t="str">
            <v/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 t="str">
            <v>anytime</v>
          </cell>
          <cell r="AC618">
            <v>10</v>
          </cell>
          <cell r="AD618">
            <v>6</v>
          </cell>
          <cell r="AE618" t="str">
            <v>everyone</v>
          </cell>
        </row>
        <row r="619">
          <cell r="A619" t="str">
            <v>30035_1</v>
          </cell>
          <cell r="B619">
            <v>3</v>
          </cell>
          <cell r="C619">
            <v>30035</v>
          </cell>
          <cell r="D619" t="str">
            <v>大鯨の呼び声</v>
          </cell>
          <cell r="E619" t="str">
            <v>童話シリーズ3本目</v>
          </cell>
          <cell r="F619">
            <v>1</v>
          </cell>
          <cell r="G619" t="str">
            <v>ja</v>
          </cell>
          <cell r="H619" t="str">
            <v>【中級】大鯨の呼び声</v>
          </cell>
          <cell r="I619" t="str">
            <v>中級</v>
          </cell>
          <cell r="J619">
            <v>858</v>
          </cell>
          <cell r="K619">
            <v>15</v>
          </cell>
          <cell r="L619">
            <v>1200</v>
          </cell>
          <cell r="M619">
            <v>1</v>
          </cell>
          <cell r="N619">
            <v>1</v>
          </cell>
          <cell r="O619">
            <v>1</v>
          </cell>
          <cell r="P619">
            <v>1</v>
          </cell>
          <cell r="Q619">
            <v>1</v>
          </cell>
          <cell r="R619">
            <v>3</v>
          </cell>
          <cell r="S619" t="str">
            <v>none</v>
          </cell>
          <cell r="T619">
            <v>0</v>
          </cell>
          <cell r="U619" t="str">
            <v>NULL</v>
          </cell>
          <cell r="V619" t="str">
            <v>NULL</v>
          </cell>
          <cell r="W619" t="str">
            <v/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 t="str">
            <v>anytime</v>
          </cell>
          <cell r="AC619">
            <v>5</v>
          </cell>
          <cell r="AD619">
            <v>6</v>
          </cell>
          <cell r="AE619" t="str">
            <v>everyone</v>
          </cell>
        </row>
        <row r="620">
          <cell r="A620" t="str">
            <v>30035_2</v>
          </cell>
          <cell r="B620">
            <v>3</v>
          </cell>
          <cell r="C620">
            <v>30035</v>
          </cell>
          <cell r="D620" t="str">
            <v>大鯨の呼び声</v>
          </cell>
          <cell r="E620" t="str">
            <v>童話シリーズ3本目</v>
          </cell>
          <cell r="F620">
            <v>2</v>
          </cell>
          <cell r="G620" t="str">
            <v>ja</v>
          </cell>
          <cell r="H620" t="str">
            <v>【上級】大鯨の呼び声</v>
          </cell>
          <cell r="I620" t="str">
            <v>上級</v>
          </cell>
          <cell r="J620">
            <v>858</v>
          </cell>
          <cell r="K620">
            <v>20</v>
          </cell>
          <cell r="L620">
            <v>2000</v>
          </cell>
          <cell r="M620">
            <v>1</v>
          </cell>
          <cell r="N620">
            <v>1</v>
          </cell>
          <cell r="O620">
            <v>1</v>
          </cell>
          <cell r="P620">
            <v>1</v>
          </cell>
          <cell r="Q620">
            <v>1</v>
          </cell>
          <cell r="R620">
            <v>3</v>
          </cell>
          <cell r="S620" t="str">
            <v>none</v>
          </cell>
          <cell r="T620">
            <v>0</v>
          </cell>
          <cell r="U620" t="str">
            <v>NULL</v>
          </cell>
          <cell r="V620" t="str">
            <v>NULL</v>
          </cell>
          <cell r="W620" t="str">
            <v/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 t="str">
            <v>anytime</v>
          </cell>
          <cell r="AC620">
            <v>5</v>
          </cell>
          <cell r="AD620">
            <v>6</v>
          </cell>
          <cell r="AE620" t="str">
            <v>everyone</v>
          </cell>
        </row>
        <row r="621">
          <cell r="A621" t="str">
            <v>30035_3</v>
          </cell>
          <cell r="B621">
            <v>3</v>
          </cell>
          <cell r="C621">
            <v>30035</v>
          </cell>
          <cell r="D621" t="str">
            <v>大鯨の呼び声</v>
          </cell>
          <cell r="E621" t="str">
            <v>童話シリーズ3本目</v>
          </cell>
          <cell r="F621">
            <v>3</v>
          </cell>
          <cell r="G621" t="str">
            <v>ja</v>
          </cell>
          <cell r="H621" t="str">
            <v>【超級】大鯨の呼び声</v>
          </cell>
          <cell r="I621" t="str">
            <v>超級</v>
          </cell>
          <cell r="J621">
            <v>859</v>
          </cell>
          <cell r="K621">
            <v>30</v>
          </cell>
          <cell r="L621">
            <v>3300</v>
          </cell>
          <cell r="M621">
            <v>1</v>
          </cell>
          <cell r="N621">
            <v>1</v>
          </cell>
          <cell r="O621">
            <v>1</v>
          </cell>
          <cell r="P621">
            <v>1</v>
          </cell>
          <cell r="Q621">
            <v>1</v>
          </cell>
          <cell r="R621">
            <v>3</v>
          </cell>
          <cell r="S621" t="str">
            <v>polygon</v>
          </cell>
          <cell r="T621">
            <v>1</v>
          </cell>
          <cell r="U621" t="str">
            <v>NULL</v>
          </cell>
          <cell r="V621" t="str">
            <v>NULL</v>
          </cell>
          <cell r="W621" t="str">
            <v/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 t="str">
            <v>anytime</v>
          </cell>
          <cell r="AC621">
            <v>5</v>
          </cell>
          <cell r="AD621">
            <v>6</v>
          </cell>
          <cell r="AE621" t="str">
            <v>everyone</v>
          </cell>
        </row>
        <row r="622">
          <cell r="A622" t="str">
            <v>30036_1</v>
          </cell>
          <cell r="B622">
            <v>3</v>
          </cell>
          <cell r="C622">
            <v>30036</v>
          </cell>
          <cell r="D622" t="str">
            <v>猛然たる炎獣使い</v>
          </cell>
          <cell r="E622" t="str">
            <v>ギリシャ神話シリーズ超級</v>
          </cell>
          <cell r="F622">
            <v>1</v>
          </cell>
          <cell r="G622" t="str">
            <v>ja</v>
          </cell>
          <cell r="H622" t="str">
            <v>【中級】猛然たる炎獣使い</v>
          </cell>
          <cell r="I622" t="str">
            <v>中級</v>
          </cell>
          <cell r="J622">
            <v>736</v>
          </cell>
          <cell r="K622">
            <v>15</v>
          </cell>
          <cell r="L622">
            <v>1200</v>
          </cell>
          <cell r="M622">
            <v>1</v>
          </cell>
          <cell r="N622">
            <v>1</v>
          </cell>
          <cell r="O622">
            <v>1</v>
          </cell>
          <cell r="P622">
            <v>1</v>
          </cell>
          <cell r="Q622">
            <v>1</v>
          </cell>
          <cell r="R622">
            <v>3</v>
          </cell>
          <cell r="S622" t="str">
            <v>none</v>
          </cell>
          <cell r="T622">
            <v>0</v>
          </cell>
          <cell r="U622" t="str">
            <v>NULL</v>
          </cell>
          <cell r="V622" t="str">
            <v>NULL</v>
          </cell>
          <cell r="W622" t="str">
            <v/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 t="str">
            <v>anytime</v>
          </cell>
          <cell r="AC622">
            <v>14</v>
          </cell>
          <cell r="AD622">
            <v>6</v>
          </cell>
          <cell r="AE622" t="str">
            <v>everyone</v>
          </cell>
        </row>
        <row r="623">
          <cell r="A623" t="str">
            <v>30036_2</v>
          </cell>
          <cell r="B623">
            <v>3</v>
          </cell>
          <cell r="C623">
            <v>30036</v>
          </cell>
          <cell r="D623" t="str">
            <v>猛然たる炎獣使い</v>
          </cell>
          <cell r="E623" t="str">
            <v>ギリシャ神話シリーズ超級</v>
          </cell>
          <cell r="F623">
            <v>2</v>
          </cell>
          <cell r="G623" t="str">
            <v>ja</v>
          </cell>
          <cell r="H623" t="str">
            <v>【上級】猛然たる炎獣使い</v>
          </cell>
          <cell r="I623" t="str">
            <v>上級</v>
          </cell>
          <cell r="J623">
            <v>737</v>
          </cell>
          <cell r="K623">
            <v>20</v>
          </cell>
          <cell r="L623">
            <v>2000</v>
          </cell>
          <cell r="M623">
            <v>1</v>
          </cell>
          <cell r="N623">
            <v>1</v>
          </cell>
          <cell r="O623">
            <v>1</v>
          </cell>
          <cell r="P623">
            <v>1</v>
          </cell>
          <cell r="Q623">
            <v>1</v>
          </cell>
          <cell r="R623">
            <v>3</v>
          </cell>
          <cell r="S623" t="str">
            <v>none</v>
          </cell>
          <cell r="T623">
            <v>0</v>
          </cell>
          <cell r="U623" t="str">
            <v>NULL</v>
          </cell>
          <cell r="V623" t="str">
            <v>NULL</v>
          </cell>
          <cell r="W623" t="str">
            <v/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 t="str">
            <v>anytime</v>
          </cell>
          <cell r="AC623">
            <v>14</v>
          </cell>
          <cell r="AD623">
            <v>6</v>
          </cell>
          <cell r="AE623" t="str">
            <v>everyone</v>
          </cell>
        </row>
        <row r="624">
          <cell r="A624" t="str">
            <v>30036_3</v>
          </cell>
          <cell r="B624">
            <v>3</v>
          </cell>
          <cell r="C624">
            <v>30036</v>
          </cell>
          <cell r="D624" t="str">
            <v>猛然たる炎獣使い</v>
          </cell>
          <cell r="E624" t="str">
            <v>ギリシャ神話シリーズ超級</v>
          </cell>
          <cell r="F624">
            <v>3</v>
          </cell>
          <cell r="G624" t="str">
            <v>ja</v>
          </cell>
          <cell r="H624" t="str">
            <v>【超級】猛然たる炎獣使い</v>
          </cell>
          <cell r="I624" t="str">
            <v>超級</v>
          </cell>
          <cell r="J624">
            <v>737</v>
          </cell>
          <cell r="K624">
            <v>30</v>
          </cell>
          <cell r="L624">
            <v>3300</v>
          </cell>
          <cell r="M624">
            <v>1</v>
          </cell>
          <cell r="N624">
            <v>1</v>
          </cell>
          <cell r="O624">
            <v>1</v>
          </cell>
          <cell r="P624">
            <v>1</v>
          </cell>
          <cell r="Q624">
            <v>1</v>
          </cell>
          <cell r="R624">
            <v>3</v>
          </cell>
          <cell r="S624" t="str">
            <v>polygon</v>
          </cell>
          <cell r="T624">
            <v>1</v>
          </cell>
          <cell r="U624" t="str">
            <v>NULL</v>
          </cell>
          <cell r="V624" t="str">
            <v>NULL</v>
          </cell>
          <cell r="W624" t="str">
            <v/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 t="str">
            <v>anytime</v>
          </cell>
          <cell r="AC624">
            <v>14</v>
          </cell>
          <cell r="AD624">
            <v>6</v>
          </cell>
          <cell r="AE624" t="str">
            <v>everyone</v>
          </cell>
        </row>
        <row r="625">
          <cell r="A625" t="str">
            <v>30037_1</v>
          </cell>
          <cell r="B625">
            <v>3</v>
          </cell>
          <cell r="C625">
            <v>30037</v>
          </cell>
          <cell r="D625" t="str">
            <v>灯り火の麗人</v>
          </cell>
          <cell r="E625" t="str">
            <v>フランス革命シリーズ超級</v>
          </cell>
          <cell r="F625">
            <v>1</v>
          </cell>
          <cell r="G625" t="str">
            <v>ja</v>
          </cell>
          <cell r="H625" t="str">
            <v>【中級】灯り火の麗人</v>
          </cell>
          <cell r="I625" t="str">
            <v>中級</v>
          </cell>
          <cell r="J625">
            <v>934</v>
          </cell>
          <cell r="K625">
            <v>15</v>
          </cell>
          <cell r="L625">
            <v>1200</v>
          </cell>
          <cell r="M625">
            <v>1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>
            <v>3</v>
          </cell>
          <cell r="S625" t="str">
            <v>none</v>
          </cell>
          <cell r="T625">
            <v>0</v>
          </cell>
          <cell r="U625" t="str">
            <v>NULL</v>
          </cell>
          <cell r="V625" t="str">
            <v>NULL</v>
          </cell>
          <cell r="W625" t="str">
            <v/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 t="str">
            <v>anytime</v>
          </cell>
          <cell r="AC625">
            <v>6</v>
          </cell>
          <cell r="AD625">
            <v>6</v>
          </cell>
          <cell r="AE625" t="str">
            <v>everyone</v>
          </cell>
        </row>
        <row r="626">
          <cell r="A626" t="str">
            <v>30037_2</v>
          </cell>
          <cell r="B626">
            <v>3</v>
          </cell>
          <cell r="C626">
            <v>30037</v>
          </cell>
          <cell r="D626" t="str">
            <v>灯り火の麗人</v>
          </cell>
          <cell r="E626" t="str">
            <v>フランス革命シリーズ超級</v>
          </cell>
          <cell r="F626">
            <v>2</v>
          </cell>
          <cell r="G626" t="str">
            <v>ja</v>
          </cell>
          <cell r="H626" t="str">
            <v>【上級】灯り火の麗人</v>
          </cell>
          <cell r="I626" t="str">
            <v>上級</v>
          </cell>
          <cell r="J626">
            <v>934</v>
          </cell>
          <cell r="K626">
            <v>20</v>
          </cell>
          <cell r="L626">
            <v>2000</v>
          </cell>
          <cell r="M626">
            <v>1</v>
          </cell>
          <cell r="N626">
            <v>1</v>
          </cell>
          <cell r="O626">
            <v>1</v>
          </cell>
          <cell r="P626">
            <v>1</v>
          </cell>
          <cell r="Q626">
            <v>1</v>
          </cell>
          <cell r="R626">
            <v>3</v>
          </cell>
          <cell r="S626" t="str">
            <v>none</v>
          </cell>
          <cell r="T626">
            <v>0</v>
          </cell>
          <cell r="U626" t="str">
            <v>NULL</v>
          </cell>
          <cell r="V626" t="str">
            <v>NULL</v>
          </cell>
          <cell r="W626" t="str">
            <v/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 t="str">
            <v>anytime</v>
          </cell>
          <cell r="AC626">
            <v>6</v>
          </cell>
          <cell r="AD626">
            <v>6</v>
          </cell>
          <cell r="AE626" t="str">
            <v>everyone</v>
          </cell>
        </row>
        <row r="627">
          <cell r="A627" t="str">
            <v>30037_3</v>
          </cell>
          <cell r="B627">
            <v>3</v>
          </cell>
          <cell r="C627">
            <v>30037</v>
          </cell>
          <cell r="D627" t="str">
            <v>灯り火の麗人</v>
          </cell>
          <cell r="E627" t="str">
            <v>フランス革命シリーズ超級</v>
          </cell>
          <cell r="F627">
            <v>3</v>
          </cell>
          <cell r="G627" t="str">
            <v>ja</v>
          </cell>
          <cell r="H627" t="str">
            <v>【超級】灯り火の麗人</v>
          </cell>
          <cell r="I627" t="str">
            <v>超級</v>
          </cell>
          <cell r="J627">
            <v>934</v>
          </cell>
          <cell r="K627">
            <v>30</v>
          </cell>
          <cell r="L627">
            <v>3300</v>
          </cell>
          <cell r="M627">
            <v>1</v>
          </cell>
          <cell r="N627">
            <v>1</v>
          </cell>
          <cell r="O627">
            <v>1</v>
          </cell>
          <cell r="P627">
            <v>1</v>
          </cell>
          <cell r="Q627">
            <v>1</v>
          </cell>
          <cell r="R627">
            <v>3</v>
          </cell>
          <cell r="S627" t="str">
            <v>polygon</v>
          </cell>
          <cell r="T627">
            <v>1</v>
          </cell>
          <cell r="U627" t="str">
            <v>NULL</v>
          </cell>
          <cell r="V627" t="str">
            <v>NULL</v>
          </cell>
          <cell r="W627" t="str">
            <v/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 t="str">
            <v>anytime</v>
          </cell>
          <cell r="AC627">
            <v>6</v>
          </cell>
          <cell r="AD627">
            <v>6</v>
          </cell>
          <cell r="AE627" t="str">
            <v>everyone</v>
          </cell>
        </row>
        <row r="628">
          <cell r="A628" t="str">
            <v>30038_1</v>
          </cell>
          <cell r="B628">
            <v>3</v>
          </cell>
          <cell r="C628">
            <v>30038</v>
          </cell>
          <cell r="D628" t="str">
            <v>毒絶神の願い</v>
          </cell>
          <cell r="E628" t="str">
            <v>エジプト神話シリーズ超級</v>
          </cell>
          <cell r="F628">
            <v>1</v>
          </cell>
          <cell r="G628" t="str">
            <v>ja</v>
          </cell>
          <cell r="H628" t="str">
            <v>【中級】毒絶神の願い</v>
          </cell>
          <cell r="I628" t="str">
            <v>中級</v>
          </cell>
          <cell r="J628">
            <v>1007</v>
          </cell>
          <cell r="K628">
            <v>15</v>
          </cell>
          <cell r="L628">
            <v>1200</v>
          </cell>
          <cell r="M628">
            <v>1</v>
          </cell>
          <cell r="N628">
            <v>1</v>
          </cell>
          <cell r="O628">
            <v>1</v>
          </cell>
          <cell r="P628">
            <v>1</v>
          </cell>
          <cell r="Q628">
            <v>1</v>
          </cell>
          <cell r="R628">
            <v>3</v>
          </cell>
          <cell r="S628" t="str">
            <v>none</v>
          </cell>
          <cell r="T628">
            <v>0</v>
          </cell>
          <cell r="U628" t="str">
            <v>NULL</v>
          </cell>
          <cell r="V628" t="str">
            <v>NULL</v>
          </cell>
          <cell r="W628" t="str">
            <v/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 t="str">
            <v>anytime</v>
          </cell>
          <cell r="AC628">
            <v>8</v>
          </cell>
          <cell r="AD628">
            <v>6</v>
          </cell>
          <cell r="AE628" t="str">
            <v>everyone</v>
          </cell>
        </row>
        <row r="629">
          <cell r="A629" t="str">
            <v>30038_2</v>
          </cell>
          <cell r="B629">
            <v>3</v>
          </cell>
          <cell r="C629">
            <v>30038</v>
          </cell>
          <cell r="D629" t="str">
            <v>毒絶神の願い</v>
          </cell>
          <cell r="E629" t="str">
            <v>エジプト神話シリーズ超級</v>
          </cell>
          <cell r="F629">
            <v>2</v>
          </cell>
          <cell r="G629" t="str">
            <v>ja</v>
          </cell>
          <cell r="H629" t="str">
            <v>【上級】毒絶神の願い</v>
          </cell>
          <cell r="I629" t="str">
            <v>上級</v>
          </cell>
          <cell r="J629">
            <v>1007</v>
          </cell>
          <cell r="K629">
            <v>20</v>
          </cell>
          <cell r="L629">
            <v>2000</v>
          </cell>
          <cell r="M629">
            <v>1</v>
          </cell>
          <cell r="N629">
            <v>1</v>
          </cell>
          <cell r="O629">
            <v>1</v>
          </cell>
          <cell r="P629">
            <v>1</v>
          </cell>
          <cell r="Q629">
            <v>1</v>
          </cell>
          <cell r="R629">
            <v>3</v>
          </cell>
          <cell r="S629" t="str">
            <v>none</v>
          </cell>
          <cell r="T629">
            <v>0</v>
          </cell>
          <cell r="U629" t="str">
            <v>NULL</v>
          </cell>
          <cell r="V629" t="str">
            <v>NULL</v>
          </cell>
          <cell r="W629" t="str">
            <v/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 t="str">
            <v>anytime</v>
          </cell>
          <cell r="AC629">
            <v>8</v>
          </cell>
          <cell r="AD629">
            <v>6</v>
          </cell>
          <cell r="AE629" t="str">
            <v>everyone</v>
          </cell>
        </row>
        <row r="630">
          <cell r="A630" t="str">
            <v>30038_3</v>
          </cell>
          <cell r="B630">
            <v>3</v>
          </cell>
          <cell r="C630">
            <v>30038</v>
          </cell>
          <cell r="D630" t="str">
            <v>毒絶神の願い</v>
          </cell>
          <cell r="E630" t="str">
            <v>エジプト神話シリーズ超級</v>
          </cell>
          <cell r="F630">
            <v>3</v>
          </cell>
          <cell r="G630" t="str">
            <v>ja</v>
          </cell>
          <cell r="H630" t="str">
            <v>【超級】毒絶神の願い</v>
          </cell>
          <cell r="I630" t="str">
            <v>超級</v>
          </cell>
          <cell r="J630">
            <v>1007</v>
          </cell>
          <cell r="K630">
            <v>30</v>
          </cell>
          <cell r="L630">
            <v>3300</v>
          </cell>
          <cell r="M630">
            <v>1</v>
          </cell>
          <cell r="N630">
            <v>1</v>
          </cell>
          <cell r="O630">
            <v>1</v>
          </cell>
          <cell r="P630">
            <v>1</v>
          </cell>
          <cell r="Q630">
            <v>1</v>
          </cell>
          <cell r="R630">
            <v>3</v>
          </cell>
          <cell r="S630" t="str">
            <v>polygon</v>
          </cell>
          <cell r="T630">
            <v>1</v>
          </cell>
          <cell r="U630" t="str">
            <v>NULL</v>
          </cell>
          <cell r="V630" t="str">
            <v>NULL</v>
          </cell>
          <cell r="W630" t="str">
            <v/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 t="str">
            <v>anytime</v>
          </cell>
          <cell r="AC630">
            <v>8</v>
          </cell>
          <cell r="AD630">
            <v>6</v>
          </cell>
          <cell r="AE630" t="str">
            <v>everyone</v>
          </cell>
        </row>
        <row r="631">
          <cell r="A631" t="str">
            <v>30039_1</v>
          </cell>
          <cell r="B631">
            <v>3</v>
          </cell>
          <cell r="C631">
            <v>30039</v>
          </cell>
          <cell r="D631" t="str">
            <v>ゼロワン・ゲーム</v>
          </cell>
          <cell r="E631" t="str">
            <v>平安シリーズ超級</v>
          </cell>
          <cell r="F631">
            <v>1</v>
          </cell>
          <cell r="G631" t="str">
            <v>ja</v>
          </cell>
          <cell r="H631" t="str">
            <v>【中級】ゼロワン・ゲーム</v>
          </cell>
          <cell r="I631" t="str">
            <v>中級</v>
          </cell>
          <cell r="J631">
            <v>1022</v>
          </cell>
          <cell r="K631">
            <v>15</v>
          </cell>
          <cell r="L631">
            <v>1200</v>
          </cell>
          <cell r="M631">
            <v>1</v>
          </cell>
          <cell r="N631">
            <v>1</v>
          </cell>
          <cell r="O631">
            <v>1</v>
          </cell>
          <cell r="P631">
            <v>1</v>
          </cell>
          <cell r="Q631">
            <v>1</v>
          </cell>
          <cell r="R631">
            <v>3</v>
          </cell>
          <cell r="S631" t="str">
            <v>none</v>
          </cell>
          <cell r="T631">
            <v>0</v>
          </cell>
          <cell r="U631" t="str">
            <v>NULL</v>
          </cell>
          <cell r="V631" t="str">
            <v>NULL</v>
          </cell>
          <cell r="W631" t="str">
            <v/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 t="str">
            <v>anytime</v>
          </cell>
          <cell r="AC631">
            <v>18</v>
          </cell>
          <cell r="AD631">
            <v>6</v>
          </cell>
          <cell r="AE631" t="str">
            <v>everyone</v>
          </cell>
        </row>
        <row r="632">
          <cell r="A632" t="str">
            <v>30039_2</v>
          </cell>
          <cell r="B632">
            <v>3</v>
          </cell>
          <cell r="C632">
            <v>30039</v>
          </cell>
          <cell r="D632" t="str">
            <v>ゼロワン・ゲーム</v>
          </cell>
          <cell r="E632" t="str">
            <v>平安シリーズ超級</v>
          </cell>
          <cell r="F632">
            <v>2</v>
          </cell>
          <cell r="G632" t="str">
            <v>ja</v>
          </cell>
          <cell r="H632" t="str">
            <v>【上級】ゼロワン・ゲーム</v>
          </cell>
          <cell r="I632" t="str">
            <v>上級</v>
          </cell>
          <cell r="J632">
            <v>1022</v>
          </cell>
          <cell r="K632">
            <v>20</v>
          </cell>
          <cell r="L632">
            <v>2000</v>
          </cell>
          <cell r="M632">
            <v>1</v>
          </cell>
          <cell r="N632">
            <v>1</v>
          </cell>
          <cell r="O632">
            <v>1</v>
          </cell>
          <cell r="P632">
            <v>1</v>
          </cell>
          <cell r="Q632">
            <v>1</v>
          </cell>
          <cell r="R632">
            <v>3</v>
          </cell>
          <cell r="S632" t="str">
            <v>none</v>
          </cell>
          <cell r="T632">
            <v>0</v>
          </cell>
          <cell r="U632" t="str">
            <v>NULL</v>
          </cell>
          <cell r="V632" t="str">
            <v>NULL</v>
          </cell>
          <cell r="W632" t="str">
            <v/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 t="str">
            <v>anytime</v>
          </cell>
          <cell r="AC632">
            <v>18</v>
          </cell>
          <cell r="AD632">
            <v>6</v>
          </cell>
          <cell r="AE632" t="str">
            <v>everyone</v>
          </cell>
        </row>
        <row r="633">
          <cell r="A633" t="str">
            <v>30039_3</v>
          </cell>
          <cell r="B633">
            <v>3</v>
          </cell>
          <cell r="C633">
            <v>30039</v>
          </cell>
          <cell r="D633" t="str">
            <v>ゼロワン・ゲーム</v>
          </cell>
          <cell r="E633" t="str">
            <v>平安シリーズ超級</v>
          </cell>
          <cell r="F633">
            <v>3</v>
          </cell>
          <cell r="G633" t="str">
            <v>ja</v>
          </cell>
          <cell r="H633" t="str">
            <v>【超級】ゼロワン・ゲーム</v>
          </cell>
          <cell r="I633" t="str">
            <v>超級</v>
          </cell>
          <cell r="J633">
            <v>1023</v>
          </cell>
          <cell r="K633">
            <v>30</v>
          </cell>
          <cell r="L633">
            <v>3300</v>
          </cell>
          <cell r="M633">
            <v>1</v>
          </cell>
          <cell r="N633">
            <v>1</v>
          </cell>
          <cell r="O633">
            <v>1</v>
          </cell>
          <cell r="P633">
            <v>1</v>
          </cell>
          <cell r="Q633">
            <v>1</v>
          </cell>
          <cell r="R633">
            <v>3</v>
          </cell>
          <cell r="S633" t="str">
            <v>polygon</v>
          </cell>
          <cell r="T633">
            <v>1</v>
          </cell>
          <cell r="U633" t="str">
            <v>NULL</v>
          </cell>
          <cell r="V633" t="str">
            <v>NULL</v>
          </cell>
          <cell r="W633" t="str">
            <v/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 t="str">
            <v>anytime</v>
          </cell>
          <cell r="AC633">
            <v>18</v>
          </cell>
          <cell r="AD633">
            <v>6</v>
          </cell>
          <cell r="AE633" t="str">
            <v>everyone</v>
          </cell>
        </row>
        <row r="634">
          <cell r="A634" t="str">
            <v>30040_1</v>
          </cell>
          <cell r="B634">
            <v>3</v>
          </cell>
          <cell r="C634">
            <v>30040</v>
          </cell>
          <cell r="D634" t="str">
            <v>闇ヨリ出ル魔獣</v>
          </cell>
          <cell r="E634" t="str">
            <v>メソポタミア文明シリーズ超級</v>
          </cell>
          <cell r="F634">
            <v>1</v>
          </cell>
          <cell r="G634" t="str">
            <v>ja</v>
          </cell>
          <cell r="H634" t="str">
            <v>【中級】闇ヨリ出ル魔獣</v>
          </cell>
          <cell r="I634" t="str">
            <v>中級</v>
          </cell>
          <cell r="J634">
            <v>1061</v>
          </cell>
          <cell r="K634">
            <v>15</v>
          </cell>
          <cell r="L634">
            <v>1200</v>
          </cell>
          <cell r="M634">
            <v>1</v>
          </cell>
          <cell r="N634">
            <v>1</v>
          </cell>
          <cell r="O634">
            <v>1</v>
          </cell>
          <cell r="P634">
            <v>1</v>
          </cell>
          <cell r="Q634">
            <v>1</v>
          </cell>
          <cell r="R634">
            <v>3</v>
          </cell>
          <cell r="S634" t="str">
            <v>none</v>
          </cell>
          <cell r="T634">
            <v>0</v>
          </cell>
          <cell r="U634" t="str">
            <v>NULL</v>
          </cell>
          <cell r="V634" t="str">
            <v>NULL</v>
          </cell>
          <cell r="W634" t="str">
            <v/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 t="str">
            <v>anytime</v>
          </cell>
          <cell r="AC634">
            <v>7</v>
          </cell>
          <cell r="AD634">
            <v>6</v>
          </cell>
          <cell r="AE634" t="str">
            <v>everyone</v>
          </cell>
        </row>
        <row r="635">
          <cell r="A635" t="str">
            <v>30040_2</v>
          </cell>
          <cell r="B635">
            <v>3</v>
          </cell>
          <cell r="C635">
            <v>30040</v>
          </cell>
          <cell r="D635" t="str">
            <v>闇ヨリ出ル魔獣</v>
          </cell>
          <cell r="E635" t="str">
            <v>メソポタミア文明シリーズ超級</v>
          </cell>
          <cell r="F635">
            <v>2</v>
          </cell>
          <cell r="G635" t="str">
            <v>ja</v>
          </cell>
          <cell r="H635" t="str">
            <v>【上級】闇ヨリ出ル魔獣</v>
          </cell>
          <cell r="I635" t="str">
            <v>上級</v>
          </cell>
          <cell r="J635">
            <v>1062</v>
          </cell>
          <cell r="K635">
            <v>20</v>
          </cell>
          <cell r="L635">
            <v>2000</v>
          </cell>
          <cell r="M635">
            <v>1</v>
          </cell>
          <cell r="N635">
            <v>1</v>
          </cell>
          <cell r="O635">
            <v>1</v>
          </cell>
          <cell r="P635">
            <v>1</v>
          </cell>
          <cell r="Q635">
            <v>1</v>
          </cell>
          <cell r="R635">
            <v>3</v>
          </cell>
          <cell r="S635" t="str">
            <v>none</v>
          </cell>
          <cell r="T635">
            <v>0</v>
          </cell>
          <cell r="U635" t="str">
            <v>NULL</v>
          </cell>
          <cell r="V635" t="str">
            <v>NULL</v>
          </cell>
          <cell r="W635" t="str">
            <v/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 t="str">
            <v>anytime</v>
          </cell>
          <cell r="AC635">
            <v>7</v>
          </cell>
          <cell r="AD635">
            <v>6</v>
          </cell>
          <cell r="AE635" t="str">
            <v>everyone</v>
          </cell>
        </row>
        <row r="636">
          <cell r="A636" t="str">
            <v>30040_3</v>
          </cell>
          <cell r="B636">
            <v>3</v>
          </cell>
          <cell r="C636">
            <v>30040</v>
          </cell>
          <cell r="D636" t="str">
            <v>闇ヨリ出ル魔獣</v>
          </cell>
          <cell r="E636" t="str">
            <v>メソポタミア文明シリーズ超級</v>
          </cell>
          <cell r="F636">
            <v>3</v>
          </cell>
          <cell r="G636" t="str">
            <v>ja</v>
          </cell>
          <cell r="H636" t="str">
            <v>【超級】闇ヨリ出ル魔獣</v>
          </cell>
          <cell r="I636" t="str">
            <v>超級</v>
          </cell>
          <cell r="J636">
            <v>1062</v>
          </cell>
          <cell r="K636">
            <v>30</v>
          </cell>
          <cell r="L636">
            <v>3300</v>
          </cell>
          <cell r="M636">
            <v>1</v>
          </cell>
          <cell r="N636">
            <v>1</v>
          </cell>
          <cell r="O636">
            <v>1</v>
          </cell>
          <cell r="P636">
            <v>1</v>
          </cell>
          <cell r="Q636">
            <v>1</v>
          </cell>
          <cell r="R636">
            <v>3</v>
          </cell>
          <cell r="S636" t="str">
            <v>polygon</v>
          </cell>
          <cell r="T636">
            <v>1</v>
          </cell>
          <cell r="U636" t="str">
            <v>NULL</v>
          </cell>
          <cell r="V636" t="str">
            <v>NULL</v>
          </cell>
          <cell r="W636" t="str">
            <v/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 t="str">
            <v>anytime</v>
          </cell>
          <cell r="AC636">
            <v>7</v>
          </cell>
          <cell r="AD636">
            <v>6</v>
          </cell>
          <cell r="AE636" t="str">
            <v>everyone</v>
          </cell>
        </row>
        <row r="637">
          <cell r="A637" t="str">
            <v>30041_1</v>
          </cell>
          <cell r="B637">
            <v>3</v>
          </cell>
          <cell r="C637">
            <v>30041</v>
          </cell>
          <cell r="D637" t="str">
            <v>パラノイア・アート</v>
          </cell>
          <cell r="E637" t="str">
            <v>画家シリーズ超級</v>
          </cell>
          <cell r="F637">
            <v>1</v>
          </cell>
          <cell r="G637" t="str">
            <v>ja</v>
          </cell>
          <cell r="H637" t="str">
            <v>【中級】パラノイア・アート</v>
          </cell>
          <cell r="I637" t="str">
            <v>中級</v>
          </cell>
          <cell r="J637">
            <v>1096</v>
          </cell>
          <cell r="K637">
            <v>15</v>
          </cell>
          <cell r="L637">
            <v>1200</v>
          </cell>
          <cell r="M637">
            <v>1</v>
          </cell>
          <cell r="N637">
            <v>0</v>
          </cell>
          <cell r="O637">
            <v>1</v>
          </cell>
          <cell r="P637">
            <v>1</v>
          </cell>
          <cell r="Q637">
            <v>1</v>
          </cell>
          <cell r="R637">
            <v>3</v>
          </cell>
          <cell r="S637" t="str">
            <v>none</v>
          </cell>
          <cell r="T637">
            <v>0</v>
          </cell>
          <cell r="U637" t="str">
            <v>NULL</v>
          </cell>
          <cell r="V637" t="str">
            <v>NULL</v>
          </cell>
          <cell r="W637" t="str">
            <v/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 t="str">
            <v>anytime</v>
          </cell>
          <cell r="AC637">
            <v>25</v>
          </cell>
          <cell r="AD637">
            <v>6</v>
          </cell>
          <cell r="AE637" t="str">
            <v>everyone</v>
          </cell>
        </row>
        <row r="638">
          <cell r="A638" t="str">
            <v>30041_2</v>
          </cell>
          <cell r="B638">
            <v>3</v>
          </cell>
          <cell r="C638">
            <v>30041</v>
          </cell>
          <cell r="D638" t="str">
            <v>パラノイア・アート</v>
          </cell>
          <cell r="E638" t="str">
            <v>画家シリーズ超級</v>
          </cell>
          <cell r="F638">
            <v>2</v>
          </cell>
          <cell r="G638" t="str">
            <v>ja</v>
          </cell>
          <cell r="H638" t="str">
            <v>【上級】パラノイア・アート</v>
          </cell>
          <cell r="I638" t="str">
            <v>上級</v>
          </cell>
          <cell r="J638">
            <v>1097</v>
          </cell>
          <cell r="K638">
            <v>20</v>
          </cell>
          <cell r="L638">
            <v>2000</v>
          </cell>
          <cell r="M638">
            <v>1</v>
          </cell>
          <cell r="N638">
            <v>0</v>
          </cell>
          <cell r="O638">
            <v>1</v>
          </cell>
          <cell r="P638">
            <v>1</v>
          </cell>
          <cell r="Q638">
            <v>1</v>
          </cell>
          <cell r="R638">
            <v>3</v>
          </cell>
          <cell r="S638" t="str">
            <v>none</v>
          </cell>
          <cell r="T638">
            <v>0</v>
          </cell>
          <cell r="U638" t="str">
            <v>NULL</v>
          </cell>
          <cell r="V638" t="str">
            <v>NULL</v>
          </cell>
          <cell r="W638" t="str">
            <v/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 t="str">
            <v>anytime</v>
          </cell>
          <cell r="AC638">
            <v>25</v>
          </cell>
          <cell r="AD638">
            <v>6</v>
          </cell>
          <cell r="AE638" t="str">
            <v>everyone</v>
          </cell>
        </row>
        <row r="639">
          <cell r="A639" t="str">
            <v>30041_3</v>
          </cell>
          <cell r="B639">
            <v>3</v>
          </cell>
          <cell r="C639">
            <v>30041</v>
          </cell>
          <cell r="D639" t="str">
            <v>パラノイア・アート</v>
          </cell>
          <cell r="E639" t="str">
            <v>画家シリーズ超級</v>
          </cell>
          <cell r="F639">
            <v>3</v>
          </cell>
          <cell r="G639" t="str">
            <v>ja</v>
          </cell>
          <cell r="H639" t="str">
            <v>【超級】パラノイア・アート</v>
          </cell>
          <cell r="I639" t="str">
            <v>超級</v>
          </cell>
          <cell r="J639">
            <v>1097</v>
          </cell>
          <cell r="K639">
            <v>30</v>
          </cell>
          <cell r="L639">
            <v>3300</v>
          </cell>
          <cell r="M639">
            <v>1</v>
          </cell>
          <cell r="N639">
            <v>0</v>
          </cell>
          <cell r="O639">
            <v>1</v>
          </cell>
          <cell r="P639">
            <v>1</v>
          </cell>
          <cell r="Q639">
            <v>1</v>
          </cell>
          <cell r="R639">
            <v>3</v>
          </cell>
          <cell r="S639" t="str">
            <v>polygon</v>
          </cell>
          <cell r="T639">
            <v>1</v>
          </cell>
          <cell r="U639" t="str">
            <v>NULL</v>
          </cell>
          <cell r="V639" t="str">
            <v>NULL</v>
          </cell>
          <cell r="W639" t="str">
            <v/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 t="str">
            <v>anytime</v>
          </cell>
          <cell r="AC639">
            <v>25</v>
          </cell>
          <cell r="AD639">
            <v>6</v>
          </cell>
          <cell r="AE639" t="str">
            <v>everyone</v>
          </cell>
        </row>
        <row r="640">
          <cell r="A640" t="str">
            <v>30042_1</v>
          </cell>
          <cell r="B640">
            <v>3</v>
          </cell>
          <cell r="C640">
            <v>30042</v>
          </cell>
          <cell r="D640" t="str">
            <v>馬中に赤兎あり！</v>
          </cell>
          <cell r="E640" t="str">
            <v>三国志シリーズ超級</v>
          </cell>
          <cell r="F640">
            <v>1</v>
          </cell>
          <cell r="G640" t="str">
            <v>ja</v>
          </cell>
          <cell r="H640" t="str">
            <v>【中級】馬中に赤兎あり！</v>
          </cell>
          <cell r="I640" t="str">
            <v>中級</v>
          </cell>
          <cell r="J640">
            <v>1130</v>
          </cell>
          <cell r="K640">
            <v>15</v>
          </cell>
          <cell r="L640">
            <v>1200</v>
          </cell>
          <cell r="M640">
            <v>1</v>
          </cell>
          <cell r="N640">
            <v>1</v>
          </cell>
          <cell r="O640">
            <v>1</v>
          </cell>
          <cell r="P640">
            <v>1</v>
          </cell>
          <cell r="Q640">
            <v>0</v>
          </cell>
          <cell r="R640">
            <v>3</v>
          </cell>
          <cell r="S640" t="str">
            <v>none</v>
          </cell>
          <cell r="T640">
            <v>0</v>
          </cell>
          <cell r="U640" t="str">
            <v>NULL</v>
          </cell>
          <cell r="V640" t="str">
            <v>NULL</v>
          </cell>
          <cell r="W640" t="str">
            <v/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 t="str">
            <v>anytime</v>
          </cell>
          <cell r="AC640">
            <v>14</v>
          </cell>
          <cell r="AD640">
            <v>6</v>
          </cell>
          <cell r="AE640" t="str">
            <v>singleonly</v>
          </cell>
        </row>
        <row r="641">
          <cell r="A641" t="str">
            <v>30042_2</v>
          </cell>
          <cell r="B641">
            <v>3</v>
          </cell>
          <cell r="C641">
            <v>30042</v>
          </cell>
          <cell r="D641" t="str">
            <v>馬中に赤兎あり！</v>
          </cell>
          <cell r="E641" t="str">
            <v>三国志シリーズ超級</v>
          </cell>
          <cell r="F641">
            <v>2</v>
          </cell>
          <cell r="G641" t="str">
            <v>ja</v>
          </cell>
          <cell r="H641" t="str">
            <v>【上級】馬中に赤兎あり！</v>
          </cell>
          <cell r="I641" t="str">
            <v>上級</v>
          </cell>
          <cell r="J641">
            <v>1130</v>
          </cell>
          <cell r="K641">
            <v>20</v>
          </cell>
          <cell r="L641">
            <v>2000</v>
          </cell>
          <cell r="M641">
            <v>1</v>
          </cell>
          <cell r="N641">
            <v>1</v>
          </cell>
          <cell r="O641">
            <v>1</v>
          </cell>
          <cell r="P641">
            <v>1</v>
          </cell>
          <cell r="Q641">
            <v>0</v>
          </cell>
          <cell r="R641">
            <v>3</v>
          </cell>
          <cell r="S641" t="str">
            <v>none</v>
          </cell>
          <cell r="T641">
            <v>0</v>
          </cell>
          <cell r="U641" t="str">
            <v>NULL</v>
          </cell>
          <cell r="V641" t="str">
            <v>NULL</v>
          </cell>
          <cell r="W641" t="str">
            <v/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 t="str">
            <v>anytime</v>
          </cell>
          <cell r="AC641">
            <v>14</v>
          </cell>
          <cell r="AD641">
            <v>6</v>
          </cell>
          <cell r="AE641" t="str">
            <v>singleonly</v>
          </cell>
        </row>
        <row r="642">
          <cell r="A642" t="str">
            <v>30042_3</v>
          </cell>
          <cell r="B642">
            <v>3</v>
          </cell>
          <cell r="C642">
            <v>30042</v>
          </cell>
          <cell r="D642" t="str">
            <v>馬中に赤兎あり！</v>
          </cell>
          <cell r="E642" t="str">
            <v>三国志シリーズ超級</v>
          </cell>
          <cell r="F642">
            <v>3</v>
          </cell>
          <cell r="G642" t="str">
            <v>ja</v>
          </cell>
          <cell r="H642" t="str">
            <v>【超級】馬中に赤兎あり！</v>
          </cell>
          <cell r="I642" t="str">
            <v>超級</v>
          </cell>
          <cell r="J642">
            <v>1130</v>
          </cell>
          <cell r="K642">
            <v>30</v>
          </cell>
          <cell r="L642">
            <v>3300</v>
          </cell>
          <cell r="M642">
            <v>1</v>
          </cell>
          <cell r="N642">
            <v>1</v>
          </cell>
          <cell r="O642">
            <v>1</v>
          </cell>
          <cell r="P642">
            <v>1</v>
          </cell>
          <cell r="Q642">
            <v>0</v>
          </cell>
          <cell r="R642">
            <v>3</v>
          </cell>
          <cell r="S642" t="str">
            <v>polygon</v>
          </cell>
          <cell r="T642">
            <v>1</v>
          </cell>
          <cell r="U642" t="str">
            <v>NULL</v>
          </cell>
          <cell r="V642" t="str">
            <v>NULL</v>
          </cell>
          <cell r="W642" t="str">
            <v/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 t="str">
            <v>anytime</v>
          </cell>
          <cell r="AC642">
            <v>14</v>
          </cell>
          <cell r="AD642">
            <v>6</v>
          </cell>
          <cell r="AE642" t="str">
            <v>singleonly</v>
          </cell>
        </row>
        <row r="643">
          <cell r="A643" t="str">
            <v>30043_1</v>
          </cell>
          <cell r="B643">
            <v>3</v>
          </cell>
          <cell r="C643">
            <v>30043</v>
          </cell>
          <cell r="D643" t="str">
            <v>小さな破壊竜</v>
          </cell>
          <cell r="E643" t="str">
            <v>ヒンドゥー神話第二弾超級</v>
          </cell>
          <cell r="F643">
            <v>1</v>
          </cell>
          <cell r="G643" t="str">
            <v>ja</v>
          </cell>
          <cell r="H643" t="str">
            <v>【中級】小さな破壊竜</v>
          </cell>
          <cell r="I643" t="str">
            <v>中級</v>
          </cell>
          <cell r="J643">
            <v>1146</v>
          </cell>
          <cell r="K643">
            <v>15</v>
          </cell>
          <cell r="L643">
            <v>1200</v>
          </cell>
          <cell r="M643">
            <v>1</v>
          </cell>
          <cell r="N643">
            <v>0</v>
          </cell>
          <cell r="O643">
            <v>1</v>
          </cell>
          <cell r="P643">
            <v>1</v>
          </cell>
          <cell r="Q643">
            <v>1</v>
          </cell>
          <cell r="R643">
            <v>3</v>
          </cell>
          <cell r="S643" t="str">
            <v>none</v>
          </cell>
          <cell r="T643">
            <v>0</v>
          </cell>
          <cell r="U643" t="str">
            <v>NULL</v>
          </cell>
          <cell r="V643" t="str">
            <v>NULL</v>
          </cell>
          <cell r="W643" t="str">
            <v/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 t="str">
            <v>anytime</v>
          </cell>
          <cell r="AC643">
            <v>24</v>
          </cell>
          <cell r="AD643">
            <v>6</v>
          </cell>
          <cell r="AE643" t="str">
            <v>everyone</v>
          </cell>
        </row>
        <row r="644">
          <cell r="A644" t="str">
            <v>30043_2</v>
          </cell>
          <cell r="B644">
            <v>3</v>
          </cell>
          <cell r="C644">
            <v>30043</v>
          </cell>
          <cell r="D644" t="str">
            <v>小さな破壊竜</v>
          </cell>
          <cell r="E644" t="str">
            <v>ヒンドゥー神話第二弾超級</v>
          </cell>
          <cell r="F644">
            <v>2</v>
          </cell>
          <cell r="G644" t="str">
            <v>ja</v>
          </cell>
          <cell r="H644" t="str">
            <v>【上級】小さな破壊竜</v>
          </cell>
          <cell r="I644" t="str">
            <v>上級</v>
          </cell>
          <cell r="J644">
            <v>1146</v>
          </cell>
          <cell r="K644">
            <v>20</v>
          </cell>
          <cell r="L644">
            <v>2000</v>
          </cell>
          <cell r="M644">
            <v>1</v>
          </cell>
          <cell r="N644">
            <v>0</v>
          </cell>
          <cell r="O644">
            <v>1</v>
          </cell>
          <cell r="P644">
            <v>1</v>
          </cell>
          <cell r="Q644">
            <v>1</v>
          </cell>
          <cell r="R644">
            <v>3</v>
          </cell>
          <cell r="S644" t="str">
            <v>none</v>
          </cell>
          <cell r="T644">
            <v>0</v>
          </cell>
          <cell r="U644" t="str">
            <v>NULL</v>
          </cell>
          <cell r="V644" t="str">
            <v>NULL</v>
          </cell>
          <cell r="W644" t="str">
            <v/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  <cell r="AB644" t="str">
            <v>anytime</v>
          </cell>
          <cell r="AC644">
            <v>24</v>
          </cell>
          <cell r="AD644">
            <v>6</v>
          </cell>
          <cell r="AE644" t="str">
            <v>everyone</v>
          </cell>
        </row>
        <row r="645">
          <cell r="A645" t="str">
            <v>30043_3</v>
          </cell>
          <cell r="B645">
            <v>3</v>
          </cell>
          <cell r="C645">
            <v>30043</v>
          </cell>
          <cell r="D645" t="str">
            <v>小さな破壊竜</v>
          </cell>
          <cell r="E645" t="str">
            <v>ヒンドゥー神話第二弾超級</v>
          </cell>
          <cell r="F645">
            <v>3</v>
          </cell>
          <cell r="G645" t="str">
            <v>ja</v>
          </cell>
          <cell r="H645" t="str">
            <v>【超級】小さな破壊竜</v>
          </cell>
          <cell r="I645" t="str">
            <v>超級</v>
          </cell>
          <cell r="J645">
            <v>1146</v>
          </cell>
          <cell r="K645">
            <v>30</v>
          </cell>
          <cell r="L645">
            <v>3300</v>
          </cell>
          <cell r="M645">
            <v>1</v>
          </cell>
          <cell r="N645">
            <v>0</v>
          </cell>
          <cell r="O645">
            <v>1</v>
          </cell>
          <cell r="P645">
            <v>1</v>
          </cell>
          <cell r="Q645">
            <v>1</v>
          </cell>
          <cell r="R645">
            <v>3</v>
          </cell>
          <cell r="S645" t="str">
            <v>polygon</v>
          </cell>
          <cell r="T645">
            <v>1</v>
          </cell>
          <cell r="U645" t="str">
            <v>NULL</v>
          </cell>
          <cell r="V645" t="str">
            <v>NULL</v>
          </cell>
          <cell r="W645" t="str">
            <v/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  <cell r="AB645" t="str">
            <v>anytime</v>
          </cell>
          <cell r="AC645">
            <v>24</v>
          </cell>
          <cell r="AD645">
            <v>6</v>
          </cell>
          <cell r="AE645" t="str">
            <v>everyone</v>
          </cell>
        </row>
        <row r="646">
          <cell r="A646" t="str">
            <v>30044_1</v>
          </cell>
          <cell r="B646">
            <v>3</v>
          </cell>
          <cell r="C646">
            <v>30044</v>
          </cell>
          <cell r="D646" t="str">
            <v>冷酷なる遂行者</v>
          </cell>
          <cell r="E646" t="str">
            <v>ギリシャ神話第二弾超級</v>
          </cell>
          <cell r="F646">
            <v>1</v>
          </cell>
          <cell r="G646" t="str">
            <v>ja</v>
          </cell>
          <cell r="H646" t="str">
            <v>【中級】冷酷なる遂行者</v>
          </cell>
          <cell r="I646" t="str">
            <v>中級</v>
          </cell>
          <cell r="J646">
            <v>1201</v>
          </cell>
          <cell r="K646">
            <v>15</v>
          </cell>
          <cell r="L646">
            <v>1200</v>
          </cell>
          <cell r="M646">
            <v>1</v>
          </cell>
          <cell r="N646">
            <v>1</v>
          </cell>
          <cell r="O646">
            <v>1</v>
          </cell>
          <cell r="P646">
            <v>1</v>
          </cell>
          <cell r="Q646">
            <v>1</v>
          </cell>
          <cell r="R646">
            <v>3</v>
          </cell>
          <cell r="S646" t="str">
            <v>none</v>
          </cell>
          <cell r="T646">
            <v>0</v>
          </cell>
          <cell r="U646" t="str">
            <v>NULL</v>
          </cell>
          <cell r="V646" t="str">
            <v>NULL</v>
          </cell>
          <cell r="W646" t="str">
            <v/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  <cell r="AB646" t="str">
            <v>anytime</v>
          </cell>
          <cell r="AC646">
            <v>26</v>
          </cell>
          <cell r="AD646">
            <v>6</v>
          </cell>
          <cell r="AE646" t="str">
            <v>everyone</v>
          </cell>
        </row>
        <row r="647">
          <cell r="A647" t="str">
            <v>30044_2</v>
          </cell>
          <cell r="B647">
            <v>3</v>
          </cell>
          <cell r="C647">
            <v>30044</v>
          </cell>
          <cell r="D647" t="str">
            <v>冷酷なる遂行者</v>
          </cell>
          <cell r="E647" t="str">
            <v>ギリシャ神話第二弾超級</v>
          </cell>
          <cell r="F647">
            <v>2</v>
          </cell>
          <cell r="G647" t="str">
            <v>ja</v>
          </cell>
          <cell r="H647" t="str">
            <v>【上級】冷酷なる遂行者</v>
          </cell>
          <cell r="I647" t="str">
            <v>上級</v>
          </cell>
          <cell r="J647">
            <v>1201</v>
          </cell>
          <cell r="K647">
            <v>20</v>
          </cell>
          <cell r="L647">
            <v>2000</v>
          </cell>
          <cell r="M647">
            <v>1</v>
          </cell>
          <cell r="N647">
            <v>1</v>
          </cell>
          <cell r="O647">
            <v>1</v>
          </cell>
          <cell r="P647">
            <v>1</v>
          </cell>
          <cell r="Q647">
            <v>1</v>
          </cell>
          <cell r="R647">
            <v>3</v>
          </cell>
          <cell r="S647" t="str">
            <v>none</v>
          </cell>
          <cell r="T647">
            <v>0</v>
          </cell>
          <cell r="U647" t="str">
            <v>NULL</v>
          </cell>
          <cell r="V647" t="str">
            <v>NULL</v>
          </cell>
          <cell r="W647" t="str">
            <v/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 t="str">
            <v>anytime</v>
          </cell>
          <cell r="AC647">
            <v>26</v>
          </cell>
          <cell r="AD647">
            <v>6</v>
          </cell>
          <cell r="AE647" t="str">
            <v>everyone</v>
          </cell>
        </row>
        <row r="648">
          <cell r="A648" t="str">
            <v>30044_3</v>
          </cell>
          <cell r="B648">
            <v>3</v>
          </cell>
          <cell r="C648">
            <v>30044</v>
          </cell>
          <cell r="D648" t="str">
            <v>冷酷なる遂行者</v>
          </cell>
          <cell r="E648" t="str">
            <v>ギリシャ神話第二弾超級</v>
          </cell>
          <cell r="F648">
            <v>3</v>
          </cell>
          <cell r="G648" t="str">
            <v>ja</v>
          </cell>
          <cell r="H648" t="str">
            <v>【超級】冷酷なる遂行者</v>
          </cell>
          <cell r="I648" t="str">
            <v>超級</v>
          </cell>
          <cell r="J648">
            <v>1201</v>
          </cell>
          <cell r="K648">
            <v>30</v>
          </cell>
          <cell r="L648">
            <v>3300</v>
          </cell>
          <cell r="M648">
            <v>1</v>
          </cell>
          <cell r="N648">
            <v>1</v>
          </cell>
          <cell r="O648">
            <v>1</v>
          </cell>
          <cell r="P648">
            <v>1</v>
          </cell>
          <cell r="Q648">
            <v>1</v>
          </cell>
          <cell r="R648">
            <v>3</v>
          </cell>
          <cell r="S648" t="str">
            <v>polygon</v>
          </cell>
          <cell r="T648">
            <v>1</v>
          </cell>
          <cell r="U648" t="str">
            <v>NULL</v>
          </cell>
          <cell r="V648" t="str">
            <v>NULL</v>
          </cell>
          <cell r="W648" t="str">
            <v/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  <cell r="AB648" t="str">
            <v>anytime</v>
          </cell>
          <cell r="AC648">
            <v>26</v>
          </cell>
          <cell r="AD648">
            <v>6</v>
          </cell>
          <cell r="AE648" t="str">
            <v>everyone</v>
          </cell>
        </row>
        <row r="649">
          <cell r="A649" t="str">
            <v>30045_1</v>
          </cell>
          <cell r="B649">
            <v>3</v>
          </cell>
          <cell r="C649">
            <v>30045</v>
          </cell>
          <cell r="D649" t="str">
            <v>れもん色の衝動</v>
          </cell>
          <cell r="E649" t="str">
            <v>文豪シリーズ　超級</v>
          </cell>
          <cell r="F649">
            <v>1</v>
          </cell>
          <cell r="G649" t="str">
            <v>ja</v>
          </cell>
          <cell r="H649" t="str">
            <v>【中級】れもん色の衝動</v>
          </cell>
          <cell r="I649" t="str">
            <v>中級</v>
          </cell>
          <cell r="J649">
            <v>1217</v>
          </cell>
          <cell r="K649">
            <v>15</v>
          </cell>
          <cell r="L649">
            <v>1200</v>
          </cell>
          <cell r="M649">
            <v>1</v>
          </cell>
          <cell r="N649">
            <v>1</v>
          </cell>
          <cell r="O649">
            <v>1</v>
          </cell>
          <cell r="P649">
            <v>1</v>
          </cell>
          <cell r="Q649">
            <v>1</v>
          </cell>
          <cell r="R649">
            <v>3</v>
          </cell>
          <cell r="S649" t="str">
            <v>none</v>
          </cell>
          <cell r="T649">
            <v>0</v>
          </cell>
          <cell r="U649" t="str">
            <v>NULL</v>
          </cell>
          <cell r="V649" t="str">
            <v>NULL</v>
          </cell>
          <cell r="W649" t="str">
            <v/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 t="str">
            <v>anytime</v>
          </cell>
          <cell r="AC649">
            <v>25</v>
          </cell>
          <cell r="AD649">
            <v>6</v>
          </cell>
          <cell r="AE649" t="str">
            <v>everyone</v>
          </cell>
        </row>
        <row r="650">
          <cell r="A650" t="str">
            <v>30045_2</v>
          </cell>
          <cell r="B650">
            <v>3</v>
          </cell>
          <cell r="C650">
            <v>30045</v>
          </cell>
          <cell r="D650" t="str">
            <v>れもん色の衝動</v>
          </cell>
          <cell r="E650" t="str">
            <v>文豪シリーズ　超級</v>
          </cell>
          <cell r="F650">
            <v>2</v>
          </cell>
          <cell r="G650" t="str">
            <v>ja</v>
          </cell>
          <cell r="H650" t="str">
            <v>【上級】れもん色の衝動</v>
          </cell>
          <cell r="I650" t="str">
            <v>上級</v>
          </cell>
          <cell r="J650">
            <v>1217</v>
          </cell>
          <cell r="K650">
            <v>20</v>
          </cell>
          <cell r="L650">
            <v>2000</v>
          </cell>
          <cell r="M650">
            <v>1</v>
          </cell>
          <cell r="N650">
            <v>1</v>
          </cell>
          <cell r="O650">
            <v>1</v>
          </cell>
          <cell r="P650">
            <v>1</v>
          </cell>
          <cell r="Q650">
            <v>1</v>
          </cell>
          <cell r="R650">
            <v>3</v>
          </cell>
          <cell r="S650" t="str">
            <v>none</v>
          </cell>
          <cell r="T650">
            <v>0</v>
          </cell>
          <cell r="U650" t="str">
            <v>NULL</v>
          </cell>
          <cell r="V650" t="str">
            <v>NULL</v>
          </cell>
          <cell r="W650" t="str">
            <v/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 t="str">
            <v>anytime</v>
          </cell>
          <cell r="AC650">
            <v>25</v>
          </cell>
          <cell r="AD650">
            <v>6</v>
          </cell>
          <cell r="AE650" t="str">
            <v>everyone</v>
          </cell>
        </row>
        <row r="651">
          <cell r="A651" t="str">
            <v>30045_3</v>
          </cell>
          <cell r="B651">
            <v>3</v>
          </cell>
          <cell r="C651">
            <v>30045</v>
          </cell>
          <cell r="D651" t="str">
            <v>れもん色の衝動</v>
          </cell>
          <cell r="E651" t="str">
            <v>文豪シリーズ　超級</v>
          </cell>
          <cell r="F651">
            <v>3</v>
          </cell>
          <cell r="G651" t="str">
            <v>ja</v>
          </cell>
          <cell r="H651" t="str">
            <v>【超級】れもん色の衝動</v>
          </cell>
          <cell r="I651" t="str">
            <v>超級</v>
          </cell>
          <cell r="J651">
            <v>1217</v>
          </cell>
          <cell r="K651">
            <v>30</v>
          </cell>
          <cell r="L651">
            <v>3300</v>
          </cell>
          <cell r="M651">
            <v>1</v>
          </cell>
          <cell r="N651">
            <v>1</v>
          </cell>
          <cell r="O651">
            <v>1</v>
          </cell>
          <cell r="P651">
            <v>1</v>
          </cell>
          <cell r="Q651">
            <v>1</v>
          </cell>
          <cell r="R651">
            <v>3</v>
          </cell>
          <cell r="S651" t="str">
            <v>polygon</v>
          </cell>
          <cell r="T651">
            <v>1</v>
          </cell>
          <cell r="U651" t="str">
            <v>NULL</v>
          </cell>
          <cell r="V651" t="str">
            <v>NULL</v>
          </cell>
          <cell r="W651" t="str">
            <v/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 t="str">
            <v>anytime</v>
          </cell>
          <cell r="AC651">
            <v>25</v>
          </cell>
          <cell r="AD651">
            <v>6</v>
          </cell>
          <cell r="AE651" t="str">
            <v>everyone</v>
          </cell>
        </row>
        <row r="652">
          <cell r="A652" t="str">
            <v>30046_1</v>
          </cell>
          <cell r="B652">
            <v>3</v>
          </cell>
          <cell r="C652">
            <v>30046</v>
          </cell>
          <cell r="D652" t="str">
            <v>千利の道も一歩から！</v>
          </cell>
          <cell r="E652" t="str">
            <v>戦国シリーズ第二弾　超級</v>
          </cell>
          <cell r="F652">
            <v>1</v>
          </cell>
          <cell r="G652" t="str">
            <v>ja</v>
          </cell>
          <cell r="H652" t="str">
            <v>【中級】千利の道も一歩から！</v>
          </cell>
          <cell r="I652" t="str">
            <v>中級</v>
          </cell>
          <cell r="J652">
            <v>1237</v>
          </cell>
          <cell r="K652">
            <v>15</v>
          </cell>
          <cell r="L652">
            <v>1200</v>
          </cell>
          <cell r="M652">
            <v>1</v>
          </cell>
          <cell r="N652">
            <v>1</v>
          </cell>
          <cell r="O652">
            <v>1</v>
          </cell>
          <cell r="P652">
            <v>1</v>
          </cell>
          <cell r="Q652">
            <v>1</v>
          </cell>
          <cell r="R652">
            <v>3</v>
          </cell>
          <cell r="S652" t="str">
            <v>none</v>
          </cell>
          <cell r="T652">
            <v>0</v>
          </cell>
          <cell r="U652" t="str">
            <v>NULL</v>
          </cell>
          <cell r="V652" t="str">
            <v>NULL</v>
          </cell>
          <cell r="W652" t="str">
            <v/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 t="str">
            <v>anytime</v>
          </cell>
          <cell r="AC652">
            <v>30</v>
          </cell>
          <cell r="AD652">
            <v>6</v>
          </cell>
          <cell r="AE652" t="str">
            <v>everyone</v>
          </cell>
        </row>
        <row r="653">
          <cell r="A653" t="str">
            <v>30046_2</v>
          </cell>
          <cell r="B653">
            <v>3</v>
          </cell>
          <cell r="C653">
            <v>30046</v>
          </cell>
          <cell r="D653" t="str">
            <v>千利の道も一歩から！</v>
          </cell>
          <cell r="E653" t="str">
            <v>戦国シリーズ第二弾　超級</v>
          </cell>
          <cell r="F653">
            <v>2</v>
          </cell>
          <cell r="G653" t="str">
            <v>ja</v>
          </cell>
          <cell r="H653" t="str">
            <v>【上級】千利の道も一歩から！</v>
          </cell>
          <cell r="I653" t="str">
            <v>上級</v>
          </cell>
          <cell r="J653">
            <v>1237</v>
          </cell>
          <cell r="K653">
            <v>20</v>
          </cell>
          <cell r="L653">
            <v>2000</v>
          </cell>
          <cell r="M653">
            <v>1</v>
          </cell>
          <cell r="N653">
            <v>1</v>
          </cell>
          <cell r="O653">
            <v>1</v>
          </cell>
          <cell r="P653">
            <v>1</v>
          </cell>
          <cell r="Q653">
            <v>1</v>
          </cell>
          <cell r="R653">
            <v>3</v>
          </cell>
          <cell r="S653" t="str">
            <v>none</v>
          </cell>
          <cell r="T653">
            <v>0</v>
          </cell>
          <cell r="U653" t="str">
            <v>NULL</v>
          </cell>
          <cell r="V653" t="str">
            <v>NULL</v>
          </cell>
          <cell r="W653" t="str">
            <v/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 t="str">
            <v>anytime</v>
          </cell>
          <cell r="AC653">
            <v>30</v>
          </cell>
          <cell r="AD653">
            <v>6</v>
          </cell>
          <cell r="AE653" t="str">
            <v>everyone</v>
          </cell>
        </row>
        <row r="654">
          <cell r="A654" t="str">
            <v>30046_3</v>
          </cell>
          <cell r="B654">
            <v>3</v>
          </cell>
          <cell r="C654">
            <v>30046</v>
          </cell>
          <cell r="D654" t="str">
            <v>千利の道も一歩から！</v>
          </cell>
          <cell r="E654" t="str">
            <v>戦国シリーズ第二弾　超級</v>
          </cell>
          <cell r="F654">
            <v>3</v>
          </cell>
          <cell r="G654" t="str">
            <v>ja</v>
          </cell>
          <cell r="H654" t="str">
            <v>【超級】千利の道も一歩から！</v>
          </cell>
          <cell r="I654" t="str">
            <v>超級</v>
          </cell>
          <cell r="J654">
            <v>1237</v>
          </cell>
          <cell r="K654">
            <v>30</v>
          </cell>
          <cell r="L654">
            <v>3300</v>
          </cell>
          <cell r="M654">
            <v>1</v>
          </cell>
          <cell r="N654">
            <v>1</v>
          </cell>
          <cell r="O654">
            <v>1</v>
          </cell>
          <cell r="P654">
            <v>1</v>
          </cell>
          <cell r="Q654">
            <v>1</v>
          </cell>
          <cell r="R654">
            <v>3</v>
          </cell>
          <cell r="S654" t="str">
            <v>polygon</v>
          </cell>
          <cell r="T654">
            <v>1</v>
          </cell>
          <cell r="U654" t="str">
            <v>NULL</v>
          </cell>
          <cell r="V654" t="str">
            <v>NULL</v>
          </cell>
          <cell r="W654" t="str">
            <v/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 t="str">
            <v>anytime</v>
          </cell>
          <cell r="AC654">
            <v>30</v>
          </cell>
          <cell r="AD654">
            <v>6</v>
          </cell>
          <cell r="AE654" t="str">
            <v>everyone</v>
          </cell>
        </row>
        <row r="655">
          <cell r="A655" t="str">
            <v>30047_1</v>
          </cell>
          <cell r="B655">
            <v>3</v>
          </cell>
          <cell r="C655">
            <v>30047</v>
          </cell>
          <cell r="D655" t="str">
            <v>終末の旋律</v>
          </cell>
          <cell r="E655" t="str">
            <v>北欧シリーズ第三弾　超級</v>
          </cell>
          <cell r="F655">
            <v>1</v>
          </cell>
          <cell r="G655" t="str">
            <v>ja</v>
          </cell>
          <cell r="H655" t="str">
            <v>【中級】終末の旋律</v>
          </cell>
          <cell r="I655" t="str">
            <v>中級</v>
          </cell>
          <cell r="J655">
            <v>1253</v>
          </cell>
          <cell r="K655">
            <v>15</v>
          </cell>
          <cell r="L655">
            <v>1200</v>
          </cell>
          <cell r="M655">
            <v>1</v>
          </cell>
          <cell r="N655">
            <v>1</v>
          </cell>
          <cell r="O655">
            <v>1</v>
          </cell>
          <cell r="P655">
            <v>1</v>
          </cell>
          <cell r="Q655">
            <v>1</v>
          </cell>
          <cell r="R655">
            <v>3</v>
          </cell>
          <cell r="S655" t="str">
            <v>none</v>
          </cell>
          <cell r="T655">
            <v>0</v>
          </cell>
          <cell r="U655" t="str">
            <v>NULL</v>
          </cell>
          <cell r="V655" t="str">
            <v>NULL</v>
          </cell>
          <cell r="W655" t="str">
            <v/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 t="str">
            <v>anytime</v>
          </cell>
          <cell r="AC655">
            <v>25</v>
          </cell>
          <cell r="AD655">
            <v>6</v>
          </cell>
          <cell r="AE655" t="str">
            <v>everyone</v>
          </cell>
        </row>
        <row r="656">
          <cell r="A656" t="str">
            <v>30047_2</v>
          </cell>
          <cell r="B656">
            <v>3</v>
          </cell>
          <cell r="C656">
            <v>30047</v>
          </cell>
          <cell r="D656" t="str">
            <v>終末の旋律</v>
          </cell>
          <cell r="E656" t="str">
            <v>北欧シリーズ第三弾　超級</v>
          </cell>
          <cell r="F656">
            <v>2</v>
          </cell>
          <cell r="G656" t="str">
            <v>ja</v>
          </cell>
          <cell r="H656" t="str">
            <v>【上級】終末の旋律</v>
          </cell>
          <cell r="I656" t="str">
            <v>上級</v>
          </cell>
          <cell r="J656">
            <v>1253</v>
          </cell>
          <cell r="K656">
            <v>20</v>
          </cell>
          <cell r="L656">
            <v>2000</v>
          </cell>
          <cell r="M656">
            <v>1</v>
          </cell>
          <cell r="N656">
            <v>1</v>
          </cell>
          <cell r="O656">
            <v>1</v>
          </cell>
          <cell r="P656">
            <v>1</v>
          </cell>
          <cell r="Q656">
            <v>1</v>
          </cell>
          <cell r="R656">
            <v>3</v>
          </cell>
          <cell r="S656" t="str">
            <v>none</v>
          </cell>
          <cell r="T656">
            <v>0</v>
          </cell>
          <cell r="U656" t="str">
            <v>NULL</v>
          </cell>
          <cell r="V656" t="str">
            <v>NULL</v>
          </cell>
          <cell r="W656" t="str">
            <v/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 t="str">
            <v>anytime</v>
          </cell>
          <cell r="AC656">
            <v>25</v>
          </cell>
          <cell r="AD656">
            <v>6</v>
          </cell>
          <cell r="AE656" t="str">
            <v>everyone</v>
          </cell>
        </row>
        <row r="657">
          <cell r="A657" t="str">
            <v>30047_3</v>
          </cell>
          <cell r="B657">
            <v>3</v>
          </cell>
          <cell r="C657">
            <v>30047</v>
          </cell>
          <cell r="D657" t="str">
            <v>終末の旋律</v>
          </cell>
          <cell r="E657" t="str">
            <v>北欧シリーズ第三弾　超級</v>
          </cell>
          <cell r="F657">
            <v>3</v>
          </cell>
          <cell r="G657" t="str">
            <v>ja</v>
          </cell>
          <cell r="H657" t="str">
            <v>【超級】終末の旋律</v>
          </cell>
          <cell r="I657" t="str">
            <v>超級</v>
          </cell>
          <cell r="J657">
            <v>1253</v>
          </cell>
          <cell r="K657">
            <v>30</v>
          </cell>
          <cell r="L657">
            <v>3300</v>
          </cell>
          <cell r="M657">
            <v>1</v>
          </cell>
          <cell r="N657">
            <v>1</v>
          </cell>
          <cell r="O657">
            <v>1</v>
          </cell>
          <cell r="P657">
            <v>1</v>
          </cell>
          <cell r="Q657">
            <v>1</v>
          </cell>
          <cell r="R657">
            <v>3</v>
          </cell>
          <cell r="S657" t="str">
            <v>polygon</v>
          </cell>
          <cell r="T657">
            <v>1</v>
          </cell>
          <cell r="U657" t="str">
            <v>NULL</v>
          </cell>
          <cell r="V657" t="str">
            <v>NULL</v>
          </cell>
          <cell r="W657" t="str">
            <v/>
          </cell>
          <cell r="X657">
            <v>0</v>
          </cell>
          <cell r="Y657">
            <v>0</v>
          </cell>
          <cell r="Z657">
            <v>0</v>
          </cell>
          <cell r="AA657">
            <v>0</v>
          </cell>
          <cell r="AB657" t="str">
            <v>anytime</v>
          </cell>
          <cell r="AC657">
            <v>25</v>
          </cell>
          <cell r="AD657">
            <v>6</v>
          </cell>
          <cell r="AE657" t="str">
            <v>everyone</v>
          </cell>
        </row>
        <row r="658">
          <cell r="A658" t="str">
            <v>30048_1</v>
          </cell>
          <cell r="B658">
            <v>3</v>
          </cell>
          <cell r="C658">
            <v>30048</v>
          </cell>
          <cell r="D658" t="str">
            <v>惑乱の双神使！？</v>
          </cell>
          <cell r="E658" t="str">
            <v>日本神話シリーズ　超級</v>
          </cell>
          <cell r="F658">
            <v>1</v>
          </cell>
          <cell r="G658" t="str">
            <v>ja</v>
          </cell>
          <cell r="H658" t="str">
            <v>【中級】惑乱の双神使！？</v>
          </cell>
          <cell r="I658" t="str">
            <v>中級</v>
          </cell>
          <cell r="J658">
            <v>1325</v>
          </cell>
          <cell r="K658">
            <v>15</v>
          </cell>
          <cell r="L658">
            <v>1200</v>
          </cell>
          <cell r="M658">
            <v>1</v>
          </cell>
          <cell r="N658">
            <v>1</v>
          </cell>
          <cell r="O658">
            <v>1</v>
          </cell>
          <cell r="P658">
            <v>1</v>
          </cell>
          <cell r="Q658">
            <v>1</v>
          </cell>
          <cell r="R658">
            <v>3</v>
          </cell>
          <cell r="S658" t="str">
            <v>none</v>
          </cell>
          <cell r="T658">
            <v>0</v>
          </cell>
          <cell r="U658" t="str">
            <v>NULL</v>
          </cell>
          <cell r="V658" t="str">
            <v>NULL</v>
          </cell>
          <cell r="W658" t="str">
            <v/>
          </cell>
          <cell r="X658">
            <v>0</v>
          </cell>
          <cell r="Y658">
            <v>0</v>
          </cell>
          <cell r="Z658">
            <v>0</v>
          </cell>
          <cell r="AA658">
            <v>0</v>
          </cell>
          <cell r="AB658" t="str">
            <v>anytime</v>
          </cell>
          <cell r="AC658">
            <v>2</v>
          </cell>
          <cell r="AD658">
            <v>6</v>
          </cell>
          <cell r="AE658" t="str">
            <v>everyone</v>
          </cell>
        </row>
        <row r="659">
          <cell r="A659" t="str">
            <v>30048_2</v>
          </cell>
          <cell r="B659">
            <v>3</v>
          </cell>
          <cell r="C659">
            <v>30048</v>
          </cell>
          <cell r="D659" t="str">
            <v>惑乱の双神使！？</v>
          </cell>
          <cell r="E659" t="str">
            <v>日本神話シリーズ　超級</v>
          </cell>
          <cell r="F659">
            <v>2</v>
          </cell>
          <cell r="G659" t="str">
            <v>ja</v>
          </cell>
          <cell r="H659" t="str">
            <v>【上級】惑乱の双神使！？</v>
          </cell>
          <cell r="I659" t="str">
            <v>上級</v>
          </cell>
          <cell r="J659">
            <v>1325</v>
          </cell>
          <cell r="K659">
            <v>20</v>
          </cell>
          <cell r="L659">
            <v>2000</v>
          </cell>
          <cell r="M659">
            <v>1</v>
          </cell>
          <cell r="N659">
            <v>1</v>
          </cell>
          <cell r="O659">
            <v>1</v>
          </cell>
          <cell r="P659">
            <v>1</v>
          </cell>
          <cell r="Q659">
            <v>1</v>
          </cell>
          <cell r="R659">
            <v>3</v>
          </cell>
          <cell r="S659" t="str">
            <v>none</v>
          </cell>
          <cell r="T659">
            <v>0</v>
          </cell>
          <cell r="U659" t="str">
            <v>NULL</v>
          </cell>
          <cell r="V659" t="str">
            <v>NULL</v>
          </cell>
          <cell r="W659" t="str">
            <v/>
          </cell>
          <cell r="X659">
            <v>0</v>
          </cell>
          <cell r="Y659">
            <v>0</v>
          </cell>
          <cell r="Z659">
            <v>0</v>
          </cell>
          <cell r="AA659">
            <v>0</v>
          </cell>
          <cell r="AB659" t="str">
            <v>anytime</v>
          </cell>
          <cell r="AC659">
            <v>2</v>
          </cell>
          <cell r="AD659">
            <v>6</v>
          </cell>
          <cell r="AE659" t="str">
            <v>everyone</v>
          </cell>
        </row>
        <row r="660">
          <cell r="A660" t="str">
            <v>30048_3</v>
          </cell>
          <cell r="B660">
            <v>3</v>
          </cell>
          <cell r="C660">
            <v>30048</v>
          </cell>
          <cell r="D660" t="str">
            <v>惑乱の双神使！？</v>
          </cell>
          <cell r="E660" t="str">
            <v>日本神話シリーズ　超級</v>
          </cell>
          <cell r="F660">
            <v>3</v>
          </cell>
          <cell r="G660" t="str">
            <v>ja</v>
          </cell>
          <cell r="H660" t="str">
            <v>【超級】惑乱の双神使！？</v>
          </cell>
          <cell r="I660" t="str">
            <v>超級</v>
          </cell>
          <cell r="J660">
            <v>1325</v>
          </cell>
          <cell r="K660">
            <v>30</v>
          </cell>
          <cell r="L660">
            <v>3300</v>
          </cell>
          <cell r="M660">
            <v>1</v>
          </cell>
          <cell r="N660">
            <v>1</v>
          </cell>
          <cell r="O660">
            <v>1</v>
          </cell>
          <cell r="P660">
            <v>1</v>
          </cell>
          <cell r="Q660">
            <v>1</v>
          </cell>
          <cell r="R660">
            <v>3</v>
          </cell>
          <cell r="S660" t="str">
            <v>polygon</v>
          </cell>
          <cell r="T660">
            <v>1</v>
          </cell>
          <cell r="U660" t="str">
            <v>NULL</v>
          </cell>
          <cell r="V660" t="str">
            <v>NULL</v>
          </cell>
          <cell r="W660" t="str">
            <v/>
          </cell>
          <cell r="X660">
            <v>0</v>
          </cell>
          <cell r="Y660">
            <v>0</v>
          </cell>
          <cell r="Z660">
            <v>0</v>
          </cell>
          <cell r="AA660">
            <v>0</v>
          </cell>
          <cell r="AB660" t="str">
            <v>anytime</v>
          </cell>
          <cell r="AC660">
            <v>2</v>
          </cell>
          <cell r="AD660">
            <v>6</v>
          </cell>
          <cell r="AE660" t="str">
            <v>everyone</v>
          </cell>
        </row>
        <row r="661">
          <cell r="A661" t="str">
            <v>30049_1</v>
          </cell>
          <cell r="B661">
            <v>3</v>
          </cell>
          <cell r="C661">
            <v>30049</v>
          </cell>
          <cell r="D661" t="str">
            <v>鉄壁の子豚要塞</v>
          </cell>
          <cell r="E661" t="str">
            <v>童話シリーズ　超級</v>
          </cell>
          <cell r="F661">
            <v>1</v>
          </cell>
          <cell r="G661" t="str">
            <v>ja</v>
          </cell>
          <cell r="H661" t="str">
            <v>【中級】鉄壁の子豚要塞</v>
          </cell>
          <cell r="I661" t="str">
            <v>中級</v>
          </cell>
          <cell r="J661">
            <v>1374</v>
          </cell>
          <cell r="K661">
            <v>15</v>
          </cell>
          <cell r="L661">
            <v>1200</v>
          </cell>
          <cell r="M661">
            <v>1</v>
          </cell>
          <cell r="N661">
            <v>1</v>
          </cell>
          <cell r="O661">
            <v>1</v>
          </cell>
          <cell r="P661">
            <v>1</v>
          </cell>
          <cell r="Q661">
            <v>1</v>
          </cell>
          <cell r="R661">
            <v>3</v>
          </cell>
          <cell r="S661" t="str">
            <v>none</v>
          </cell>
          <cell r="T661">
            <v>0</v>
          </cell>
          <cell r="U661" t="str">
            <v>NULL</v>
          </cell>
          <cell r="V661" t="str">
            <v>NULL</v>
          </cell>
          <cell r="W661" t="str">
            <v/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 t="str">
            <v>anytime</v>
          </cell>
          <cell r="AC661">
            <v>4</v>
          </cell>
          <cell r="AD661">
            <v>6</v>
          </cell>
          <cell r="AE661" t="str">
            <v>everyone</v>
          </cell>
        </row>
        <row r="662">
          <cell r="A662" t="str">
            <v>30049_2</v>
          </cell>
          <cell r="B662">
            <v>3</v>
          </cell>
          <cell r="C662">
            <v>30049</v>
          </cell>
          <cell r="D662" t="str">
            <v>鉄壁の子豚要塞</v>
          </cell>
          <cell r="E662" t="str">
            <v>童話シリーズ　超級</v>
          </cell>
          <cell r="F662">
            <v>2</v>
          </cell>
          <cell r="G662" t="str">
            <v>ja</v>
          </cell>
          <cell r="H662" t="str">
            <v>【上級】鉄壁の子豚要塞</v>
          </cell>
          <cell r="I662" t="str">
            <v>上級</v>
          </cell>
          <cell r="J662">
            <v>1374</v>
          </cell>
          <cell r="K662">
            <v>20</v>
          </cell>
          <cell r="L662">
            <v>2000</v>
          </cell>
          <cell r="M662">
            <v>1</v>
          </cell>
          <cell r="N662">
            <v>1</v>
          </cell>
          <cell r="O662">
            <v>1</v>
          </cell>
          <cell r="P662">
            <v>1</v>
          </cell>
          <cell r="Q662">
            <v>1</v>
          </cell>
          <cell r="R662">
            <v>3</v>
          </cell>
          <cell r="S662" t="str">
            <v>none</v>
          </cell>
          <cell r="T662">
            <v>0</v>
          </cell>
          <cell r="U662" t="str">
            <v>NULL</v>
          </cell>
          <cell r="V662" t="str">
            <v>NULL</v>
          </cell>
          <cell r="W662" t="str">
            <v/>
          </cell>
          <cell r="X662">
            <v>0</v>
          </cell>
          <cell r="Y662">
            <v>0</v>
          </cell>
          <cell r="Z662">
            <v>0</v>
          </cell>
          <cell r="AA662">
            <v>0</v>
          </cell>
          <cell r="AB662" t="str">
            <v>anytime</v>
          </cell>
          <cell r="AC662">
            <v>4</v>
          </cell>
          <cell r="AD662">
            <v>6</v>
          </cell>
          <cell r="AE662" t="str">
            <v>everyone</v>
          </cell>
        </row>
        <row r="663">
          <cell r="A663" t="str">
            <v>30049_3</v>
          </cell>
          <cell r="B663">
            <v>3</v>
          </cell>
          <cell r="C663">
            <v>30049</v>
          </cell>
          <cell r="D663" t="str">
            <v>鉄壁の子豚要塞</v>
          </cell>
          <cell r="E663" t="str">
            <v>童話シリーズ　超級</v>
          </cell>
          <cell r="F663">
            <v>3</v>
          </cell>
          <cell r="G663" t="str">
            <v>ja</v>
          </cell>
          <cell r="H663" t="str">
            <v>【超級】鉄壁の子豚要塞</v>
          </cell>
          <cell r="I663" t="str">
            <v>超級</v>
          </cell>
          <cell r="J663">
            <v>1374</v>
          </cell>
          <cell r="K663">
            <v>30</v>
          </cell>
          <cell r="L663">
            <v>3300</v>
          </cell>
          <cell r="M663">
            <v>1</v>
          </cell>
          <cell r="N663">
            <v>1</v>
          </cell>
          <cell r="O663">
            <v>1</v>
          </cell>
          <cell r="P663">
            <v>1</v>
          </cell>
          <cell r="Q663">
            <v>1</v>
          </cell>
          <cell r="R663">
            <v>3</v>
          </cell>
          <cell r="S663" t="str">
            <v>polygon</v>
          </cell>
          <cell r="T663">
            <v>1</v>
          </cell>
          <cell r="U663" t="str">
            <v>NULL</v>
          </cell>
          <cell r="V663" t="str">
            <v>NULL</v>
          </cell>
          <cell r="W663" t="str">
            <v/>
          </cell>
          <cell r="X663">
            <v>0</v>
          </cell>
          <cell r="Y663">
            <v>0</v>
          </cell>
          <cell r="Z663">
            <v>0</v>
          </cell>
          <cell r="AA663">
            <v>0</v>
          </cell>
          <cell r="AB663" t="str">
            <v>anytime</v>
          </cell>
          <cell r="AC663">
            <v>4</v>
          </cell>
          <cell r="AD663">
            <v>6</v>
          </cell>
          <cell r="AE663" t="str">
            <v>everyone</v>
          </cell>
        </row>
        <row r="664">
          <cell r="A664" t="str">
            <v>30050_1</v>
          </cell>
          <cell r="B664">
            <v>3</v>
          </cell>
          <cell r="C664">
            <v>30050</v>
          </cell>
          <cell r="D664" t="str">
            <v>忍耐と服従</v>
          </cell>
          <cell r="E664" t="str">
            <v>英傑シリーズ　超級</v>
          </cell>
          <cell r="F664">
            <v>1</v>
          </cell>
          <cell r="G664" t="str">
            <v>ja</v>
          </cell>
          <cell r="H664" t="str">
            <v>【中級】忍耐と服従</v>
          </cell>
          <cell r="I664" t="str">
            <v>中級</v>
          </cell>
          <cell r="J664">
            <v>1437</v>
          </cell>
          <cell r="K664">
            <v>15</v>
          </cell>
          <cell r="L664">
            <v>1200</v>
          </cell>
          <cell r="M664">
            <v>1</v>
          </cell>
          <cell r="N664">
            <v>1</v>
          </cell>
          <cell r="O664">
            <v>1</v>
          </cell>
          <cell r="P664">
            <v>1</v>
          </cell>
          <cell r="Q664">
            <v>1</v>
          </cell>
          <cell r="R664">
            <v>3</v>
          </cell>
          <cell r="S664" t="str">
            <v>none</v>
          </cell>
          <cell r="T664">
            <v>0</v>
          </cell>
          <cell r="U664" t="str">
            <v>NULL</v>
          </cell>
          <cell r="V664" t="str">
            <v>NULL</v>
          </cell>
          <cell r="W664" t="str">
            <v/>
          </cell>
          <cell r="X664">
            <v>0</v>
          </cell>
          <cell r="Y664">
            <v>0</v>
          </cell>
          <cell r="Z664">
            <v>0</v>
          </cell>
          <cell r="AA664">
            <v>0</v>
          </cell>
          <cell r="AB664" t="str">
            <v>anytime</v>
          </cell>
          <cell r="AC664">
            <v>20</v>
          </cell>
          <cell r="AD664">
            <v>6</v>
          </cell>
          <cell r="AE664" t="str">
            <v>everyone</v>
          </cell>
        </row>
        <row r="665">
          <cell r="A665" t="str">
            <v>30050_2</v>
          </cell>
          <cell r="B665">
            <v>3</v>
          </cell>
          <cell r="C665">
            <v>30050</v>
          </cell>
          <cell r="D665" t="str">
            <v>忍耐と服従</v>
          </cell>
          <cell r="E665" t="str">
            <v>英傑シリーズ　超級</v>
          </cell>
          <cell r="F665">
            <v>2</v>
          </cell>
          <cell r="G665" t="str">
            <v>ja</v>
          </cell>
          <cell r="H665" t="str">
            <v>【上級】忍耐と服従</v>
          </cell>
          <cell r="I665" t="str">
            <v>上級</v>
          </cell>
          <cell r="J665">
            <v>1437</v>
          </cell>
          <cell r="K665">
            <v>20</v>
          </cell>
          <cell r="L665">
            <v>2000</v>
          </cell>
          <cell r="M665">
            <v>1</v>
          </cell>
          <cell r="N665">
            <v>1</v>
          </cell>
          <cell r="O665">
            <v>1</v>
          </cell>
          <cell r="P665">
            <v>1</v>
          </cell>
          <cell r="Q665">
            <v>1</v>
          </cell>
          <cell r="R665">
            <v>3</v>
          </cell>
          <cell r="S665" t="str">
            <v>none</v>
          </cell>
          <cell r="T665">
            <v>0</v>
          </cell>
          <cell r="U665" t="str">
            <v>NULL</v>
          </cell>
          <cell r="V665" t="str">
            <v>NULL</v>
          </cell>
          <cell r="W665" t="str">
            <v/>
          </cell>
          <cell r="X665">
            <v>0</v>
          </cell>
          <cell r="Y665">
            <v>0</v>
          </cell>
          <cell r="Z665">
            <v>0</v>
          </cell>
          <cell r="AA665">
            <v>0</v>
          </cell>
          <cell r="AB665" t="str">
            <v>anytime</v>
          </cell>
          <cell r="AC665">
            <v>20</v>
          </cell>
          <cell r="AD665">
            <v>6</v>
          </cell>
          <cell r="AE665" t="str">
            <v>everyone</v>
          </cell>
        </row>
        <row r="666">
          <cell r="A666" t="str">
            <v>30050_3</v>
          </cell>
          <cell r="B666">
            <v>3</v>
          </cell>
          <cell r="C666">
            <v>30050</v>
          </cell>
          <cell r="D666" t="str">
            <v>忍耐と服従</v>
          </cell>
          <cell r="E666" t="str">
            <v>英傑シリーズ　超級</v>
          </cell>
          <cell r="F666">
            <v>3</v>
          </cell>
          <cell r="G666" t="str">
            <v>ja</v>
          </cell>
          <cell r="H666" t="str">
            <v>【超級】忍耐と服従</v>
          </cell>
          <cell r="I666" t="str">
            <v>超級</v>
          </cell>
          <cell r="J666">
            <v>1437</v>
          </cell>
          <cell r="K666">
            <v>30</v>
          </cell>
          <cell r="L666">
            <v>3300</v>
          </cell>
          <cell r="M666">
            <v>1</v>
          </cell>
          <cell r="N666">
            <v>1</v>
          </cell>
          <cell r="O666">
            <v>1</v>
          </cell>
          <cell r="P666">
            <v>1</v>
          </cell>
          <cell r="Q666">
            <v>1</v>
          </cell>
          <cell r="R666">
            <v>3</v>
          </cell>
          <cell r="S666" t="str">
            <v>polygon</v>
          </cell>
          <cell r="T666">
            <v>1</v>
          </cell>
          <cell r="U666" t="str">
            <v>NULL</v>
          </cell>
          <cell r="V666" t="str">
            <v>NULL</v>
          </cell>
          <cell r="W666" t="str">
            <v/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 t="str">
            <v>anytime</v>
          </cell>
          <cell r="AC666">
            <v>20</v>
          </cell>
          <cell r="AD666">
            <v>6</v>
          </cell>
          <cell r="AE666" t="str">
            <v>everyone</v>
          </cell>
        </row>
        <row r="667">
          <cell r="A667" t="str">
            <v>39001_1</v>
          </cell>
          <cell r="B667">
            <v>3</v>
          </cell>
          <cell r="C667">
            <v>39001</v>
          </cell>
          <cell r="D667" t="str">
            <v>雪の歌姫</v>
          </cell>
          <cell r="E667" t="str">
            <v>コラボクエスト</v>
          </cell>
          <cell r="F667">
            <v>1</v>
          </cell>
          <cell r="G667" t="str">
            <v>ja</v>
          </cell>
          <cell r="H667" t="str">
            <v>【初級】雪の歌姫</v>
          </cell>
          <cell r="I667" t="str">
            <v>初級</v>
          </cell>
          <cell r="J667">
            <v>525</v>
          </cell>
          <cell r="K667">
            <v>8</v>
          </cell>
          <cell r="L667">
            <v>384</v>
          </cell>
          <cell r="M667">
            <v>1</v>
          </cell>
          <cell r="N667">
            <v>1</v>
          </cell>
          <cell r="O667">
            <v>1</v>
          </cell>
          <cell r="P667">
            <v>1</v>
          </cell>
          <cell r="Q667">
            <v>1</v>
          </cell>
          <cell r="R667">
            <v>3</v>
          </cell>
          <cell r="S667" t="str">
            <v>none</v>
          </cell>
          <cell r="T667">
            <v>0</v>
          </cell>
          <cell r="U667" t="str">
            <v>NULL</v>
          </cell>
          <cell r="V667" t="str">
            <v>NULL</v>
          </cell>
          <cell r="W667" t="str">
            <v/>
          </cell>
          <cell r="X667">
            <v>0</v>
          </cell>
          <cell r="Y667">
            <v>0</v>
          </cell>
          <cell r="Z667">
            <v>0</v>
          </cell>
          <cell r="AA667">
            <v>0</v>
          </cell>
          <cell r="AB667" t="str">
            <v>anytime</v>
          </cell>
          <cell r="AC667">
            <v>909</v>
          </cell>
          <cell r="AD667">
            <v>6</v>
          </cell>
          <cell r="AE667" t="str">
            <v>everyone</v>
          </cell>
        </row>
        <row r="668">
          <cell r="A668" t="str">
            <v>39001_2</v>
          </cell>
          <cell r="B668">
            <v>3</v>
          </cell>
          <cell r="C668">
            <v>39001</v>
          </cell>
          <cell r="D668" t="str">
            <v>雪の歌姫</v>
          </cell>
          <cell r="E668" t="str">
            <v>コラボクエスト</v>
          </cell>
          <cell r="F668">
            <v>2</v>
          </cell>
          <cell r="G668" t="str">
            <v>ja</v>
          </cell>
          <cell r="H668" t="str">
            <v>【中級】雪の歌姫</v>
          </cell>
          <cell r="I668" t="str">
            <v>中級</v>
          </cell>
          <cell r="J668">
            <v>525</v>
          </cell>
          <cell r="K668">
            <v>15</v>
          </cell>
          <cell r="L668">
            <v>1200</v>
          </cell>
          <cell r="M668">
            <v>1</v>
          </cell>
          <cell r="N668">
            <v>1</v>
          </cell>
          <cell r="O668">
            <v>1</v>
          </cell>
          <cell r="P668">
            <v>1</v>
          </cell>
          <cell r="Q668">
            <v>1</v>
          </cell>
          <cell r="R668">
            <v>3</v>
          </cell>
          <cell r="S668" t="str">
            <v>none</v>
          </cell>
          <cell r="T668">
            <v>0</v>
          </cell>
          <cell r="U668" t="str">
            <v>NULL</v>
          </cell>
          <cell r="V668" t="str">
            <v>NULL</v>
          </cell>
          <cell r="W668" t="str">
            <v/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 t="str">
            <v>anytime</v>
          </cell>
          <cell r="AC668">
            <v>909</v>
          </cell>
          <cell r="AD668">
            <v>6</v>
          </cell>
          <cell r="AE668" t="str">
            <v>everyone</v>
          </cell>
        </row>
        <row r="669">
          <cell r="A669" t="str">
            <v>39001_3</v>
          </cell>
          <cell r="B669">
            <v>3</v>
          </cell>
          <cell r="C669">
            <v>39001</v>
          </cell>
          <cell r="D669" t="str">
            <v>雪の歌姫</v>
          </cell>
          <cell r="E669" t="str">
            <v>コラボクエスト</v>
          </cell>
          <cell r="F669">
            <v>3</v>
          </cell>
          <cell r="G669" t="str">
            <v>ja</v>
          </cell>
          <cell r="H669" t="str">
            <v>【上級】雪の歌姫</v>
          </cell>
          <cell r="I669" t="str">
            <v>上級</v>
          </cell>
          <cell r="J669">
            <v>525</v>
          </cell>
          <cell r="K669">
            <v>20</v>
          </cell>
          <cell r="L669">
            <v>2000</v>
          </cell>
          <cell r="M669">
            <v>1</v>
          </cell>
          <cell r="N669">
            <v>1</v>
          </cell>
          <cell r="O669">
            <v>1</v>
          </cell>
          <cell r="P669">
            <v>1</v>
          </cell>
          <cell r="Q669">
            <v>1</v>
          </cell>
          <cell r="R669">
            <v>3</v>
          </cell>
          <cell r="S669" t="str">
            <v>none</v>
          </cell>
          <cell r="T669">
            <v>0</v>
          </cell>
          <cell r="U669" t="str">
            <v>NULL</v>
          </cell>
          <cell r="V669" t="str">
            <v>NULL</v>
          </cell>
          <cell r="W669" t="str">
            <v/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  <cell r="AB669" t="str">
            <v>anytime</v>
          </cell>
          <cell r="AC669">
            <v>909</v>
          </cell>
          <cell r="AD669">
            <v>6</v>
          </cell>
          <cell r="AE669" t="str">
            <v>everyone</v>
          </cell>
        </row>
        <row r="670">
          <cell r="A670" t="str">
            <v>39001_4</v>
          </cell>
          <cell r="B670">
            <v>3</v>
          </cell>
          <cell r="C670">
            <v>39001</v>
          </cell>
          <cell r="D670" t="str">
            <v>雪の歌姫</v>
          </cell>
          <cell r="E670" t="str">
            <v>コラボクエスト</v>
          </cell>
          <cell r="F670">
            <v>4</v>
          </cell>
          <cell r="G670" t="str">
            <v>ja</v>
          </cell>
          <cell r="H670" t="str">
            <v>【超級】雪の歌姫</v>
          </cell>
          <cell r="I670" t="str">
            <v>超級</v>
          </cell>
          <cell r="J670">
            <v>526</v>
          </cell>
          <cell r="K670">
            <v>30</v>
          </cell>
          <cell r="L670">
            <v>3300</v>
          </cell>
          <cell r="M670">
            <v>1</v>
          </cell>
          <cell r="N670">
            <v>1</v>
          </cell>
          <cell r="O670">
            <v>1</v>
          </cell>
          <cell r="P670">
            <v>1</v>
          </cell>
          <cell r="Q670">
            <v>1</v>
          </cell>
          <cell r="R670">
            <v>3</v>
          </cell>
          <cell r="S670" t="str">
            <v>none</v>
          </cell>
          <cell r="T670">
            <v>0</v>
          </cell>
          <cell r="U670" t="str">
            <v>NULL</v>
          </cell>
          <cell r="V670" t="str">
            <v>NULL</v>
          </cell>
          <cell r="W670" t="str">
            <v/>
          </cell>
          <cell r="X670">
            <v>0</v>
          </cell>
          <cell r="Y670">
            <v>0</v>
          </cell>
          <cell r="Z670">
            <v>0</v>
          </cell>
          <cell r="AA670">
            <v>0</v>
          </cell>
          <cell r="AB670" t="str">
            <v>anytime</v>
          </cell>
          <cell r="AC670">
            <v>909</v>
          </cell>
          <cell r="AD670">
            <v>6</v>
          </cell>
          <cell r="AE670" t="str">
            <v>everyone</v>
          </cell>
        </row>
        <row r="671">
          <cell r="A671" t="str">
            <v>39001_5</v>
          </cell>
          <cell r="B671">
            <v>3</v>
          </cell>
          <cell r="C671">
            <v>39001</v>
          </cell>
          <cell r="D671" t="str">
            <v>雪の歌姫</v>
          </cell>
          <cell r="E671" t="str">
            <v>コラボクエスト</v>
          </cell>
          <cell r="F671">
            <v>5</v>
          </cell>
          <cell r="G671" t="str">
            <v>ja</v>
          </cell>
          <cell r="H671" t="str">
            <v>【超絶級】雪の歌姫</v>
          </cell>
          <cell r="I671" t="str">
            <v>超絶級</v>
          </cell>
          <cell r="J671">
            <v>526</v>
          </cell>
          <cell r="K671">
            <v>35</v>
          </cell>
          <cell r="L671">
            <v>4200</v>
          </cell>
          <cell r="M671">
            <v>1</v>
          </cell>
          <cell r="N671">
            <v>1</v>
          </cell>
          <cell r="O671">
            <v>1</v>
          </cell>
          <cell r="P671">
            <v>1</v>
          </cell>
          <cell r="Q671">
            <v>1</v>
          </cell>
          <cell r="R671">
            <v>3</v>
          </cell>
          <cell r="S671" t="str">
            <v>polygon</v>
          </cell>
          <cell r="T671">
            <v>1</v>
          </cell>
          <cell r="U671" t="str">
            <v>NULL</v>
          </cell>
          <cell r="V671" t="str">
            <v>NULL</v>
          </cell>
          <cell r="W671" t="str">
            <v/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  <cell r="AB671" t="str">
            <v>anytime</v>
          </cell>
          <cell r="AC671">
            <v>909</v>
          </cell>
          <cell r="AD671">
            <v>6</v>
          </cell>
          <cell r="AE671" t="str">
            <v>everyone</v>
          </cell>
        </row>
        <row r="672">
          <cell r="A672" t="str">
            <v>39002_1</v>
          </cell>
          <cell r="B672">
            <v>3</v>
          </cell>
          <cell r="C672">
            <v>39002</v>
          </cell>
          <cell r="D672" t="str">
            <v>黄巾賊の暴走を止めろ！</v>
          </cell>
          <cell r="E672" t="str">
            <v>コラボクエスト</v>
          </cell>
          <cell r="F672">
            <v>1</v>
          </cell>
          <cell r="G672" t="str">
            <v>ja</v>
          </cell>
          <cell r="H672" t="str">
            <v>【初級】黄巾賊の暴走を止めろ</v>
          </cell>
          <cell r="I672" t="str">
            <v>初級</v>
          </cell>
          <cell r="J672">
            <v>694</v>
          </cell>
          <cell r="K672">
            <v>8</v>
          </cell>
          <cell r="L672">
            <v>384</v>
          </cell>
          <cell r="M672">
            <v>1</v>
          </cell>
          <cell r="N672">
            <v>1</v>
          </cell>
          <cell r="O672">
            <v>1</v>
          </cell>
          <cell r="P672">
            <v>1</v>
          </cell>
          <cell r="Q672">
            <v>1</v>
          </cell>
          <cell r="R672">
            <v>3</v>
          </cell>
          <cell r="S672" t="str">
            <v>none</v>
          </cell>
          <cell r="T672">
            <v>0</v>
          </cell>
          <cell r="U672" t="str">
            <v>NULL</v>
          </cell>
          <cell r="V672" t="str">
            <v>NULL</v>
          </cell>
          <cell r="W672" t="str">
            <v/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 t="str">
            <v>anytime</v>
          </cell>
          <cell r="AC672">
            <v>12</v>
          </cell>
          <cell r="AD672">
            <v>6</v>
          </cell>
          <cell r="AE672" t="str">
            <v>everyone</v>
          </cell>
        </row>
        <row r="673">
          <cell r="A673" t="str">
            <v>39002_2</v>
          </cell>
          <cell r="B673">
            <v>3</v>
          </cell>
          <cell r="C673">
            <v>39002</v>
          </cell>
          <cell r="D673" t="str">
            <v>黄巾賊の暴走を止めろ！</v>
          </cell>
          <cell r="E673" t="str">
            <v>コラボクエスト</v>
          </cell>
          <cell r="F673">
            <v>2</v>
          </cell>
          <cell r="G673" t="str">
            <v>ja</v>
          </cell>
          <cell r="H673" t="str">
            <v>【中級】黄巾賊の暴走を止めろ</v>
          </cell>
          <cell r="I673" t="str">
            <v>中級</v>
          </cell>
          <cell r="J673">
            <v>694</v>
          </cell>
          <cell r="K673">
            <v>15</v>
          </cell>
          <cell r="L673">
            <v>1200</v>
          </cell>
          <cell r="M673">
            <v>1</v>
          </cell>
          <cell r="N673">
            <v>1</v>
          </cell>
          <cell r="O673">
            <v>1</v>
          </cell>
          <cell r="P673">
            <v>1</v>
          </cell>
          <cell r="Q673">
            <v>1</v>
          </cell>
          <cell r="R673">
            <v>3</v>
          </cell>
          <cell r="S673" t="str">
            <v>none</v>
          </cell>
          <cell r="T673">
            <v>0</v>
          </cell>
          <cell r="U673" t="str">
            <v>NULL</v>
          </cell>
          <cell r="V673" t="str">
            <v>NULL</v>
          </cell>
          <cell r="W673" t="str">
            <v/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  <cell r="AB673" t="str">
            <v>anytime</v>
          </cell>
          <cell r="AC673">
            <v>12</v>
          </cell>
          <cell r="AD673">
            <v>6</v>
          </cell>
          <cell r="AE673" t="str">
            <v>everyone</v>
          </cell>
        </row>
        <row r="674">
          <cell r="A674" t="str">
            <v>39002_3</v>
          </cell>
          <cell r="B674">
            <v>3</v>
          </cell>
          <cell r="C674">
            <v>39002</v>
          </cell>
          <cell r="D674" t="str">
            <v>黄巾賊の暴走を止めろ！</v>
          </cell>
          <cell r="E674" t="str">
            <v>コラボクエスト</v>
          </cell>
          <cell r="F674">
            <v>3</v>
          </cell>
          <cell r="G674" t="str">
            <v>ja</v>
          </cell>
          <cell r="H674" t="str">
            <v>【上級】黄巾賊の暴走を止めろ</v>
          </cell>
          <cell r="I674" t="str">
            <v>上級</v>
          </cell>
          <cell r="J674">
            <v>694</v>
          </cell>
          <cell r="K674">
            <v>20</v>
          </cell>
          <cell r="L674">
            <v>2000</v>
          </cell>
          <cell r="M674">
            <v>1</v>
          </cell>
          <cell r="N674">
            <v>1</v>
          </cell>
          <cell r="O674">
            <v>1</v>
          </cell>
          <cell r="P674">
            <v>1</v>
          </cell>
          <cell r="Q674">
            <v>1</v>
          </cell>
          <cell r="R674">
            <v>3</v>
          </cell>
          <cell r="S674" t="str">
            <v>none</v>
          </cell>
          <cell r="T674">
            <v>0</v>
          </cell>
          <cell r="U674" t="str">
            <v>NULL</v>
          </cell>
          <cell r="V674" t="str">
            <v>NULL</v>
          </cell>
          <cell r="W674" t="str">
            <v/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 t="str">
            <v>anytime</v>
          </cell>
          <cell r="AC674">
            <v>12</v>
          </cell>
          <cell r="AD674">
            <v>6</v>
          </cell>
          <cell r="AE674" t="str">
            <v>everyone</v>
          </cell>
        </row>
        <row r="675">
          <cell r="A675" t="str">
            <v>39002_4</v>
          </cell>
          <cell r="B675">
            <v>3</v>
          </cell>
          <cell r="C675">
            <v>39002</v>
          </cell>
          <cell r="D675" t="str">
            <v>黄巾賊の暴走を止めろ！</v>
          </cell>
          <cell r="E675" t="str">
            <v>コラボクエスト</v>
          </cell>
          <cell r="F675">
            <v>4</v>
          </cell>
          <cell r="G675" t="str">
            <v>ja</v>
          </cell>
          <cell r="H675" t="str">
            <v>【超級】黄巾賊の暴走を止めろ</v>
          </cell>
          <cell r="I675" t="str">
            <v>超級</v>
          </cell>
          <cell r="J675">
            <v>694</v>
          </cell>
          <cell r="K675">
            <v>30</v>
          </cell>
          <cell r="L675">
            <v>3300</v>
          </cell>
          <cell r="M675">
            <v>1</v>
          </cell>
          <cell r="N675">
            <v>1</v>
          </cell>
          <cell r="O675">
            <v>1</v>
          </cell>
          <cell r="P675">
            <v>1</v>
          </cell>
          <cell r="Q675">
            <v>1</v>
          </cell>
          <cell r="R675">
            <v>3</v>
          </cell>
          <cell r="S675" t="str">
            <v>polygon</v>
          </cell>
          <cell r="T675">
            <v>1</v>
          </cell>
          <cell r="U675" t="str">
            <v>NULL</v>
          </cell>
          <cell r="V675" t="str">
            <v>NULL</v>
          </cell>
          <cell r="W675" t="str">
            <v/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  <cell r="AB675" t="str">
            <v>anytime</v>
          </cell>
          <cell r="AC675">
            <v>12</v>
          </cell>
          <cell r="AD675">
            <v>6</v>
          </cell>
          <cell r="AE675" t="str">
            <v>everyone</v>
          </cell>
        </row>
        <row r="676">
          <cell r="A676" t="str">
            <v>39003_1</v>
          </cell>
          <cell r="B676">
            <v>3</v>
          </cell>
          <cell r="C676">
            <v>39003</v>
          </cell>
          <cell r="D676" t="str">
            <v>ブルースクウェアを追え！</v>
          </cell>
          <cell r="E676" t="str">
            <v>コラボクエスト</v>
          </cell>
          <cell r="F676">
            <v>1</v>
          </cell>
          <cell r="G676" t="str">
            <v>ja</v>
          </cell>
          <cell r="H676" t="str">
            <v>【初級】ブルースクウェアを追え！</v>
          </cell>
          <cell r="I676" t="str">
            <v>初級</v>
          </cell>
          <cell r="J676">
            <v>691</v>
          </cell>
          <cell r="K676">
            <v>8</v>
          </cell>
          <cell r="L676">
            <v>384</v>
          </cell>
          <cell r="M676">
            <v>1</v>
          </cell>
          <cell r="N676">
            <v>1</v>
          </cell>
          <cell r="O676">
            <v>1</v>
          </cell>
          <cell r="P676">
            <v>1</v>
          </cell>
          <cell r="Q676">
            <v>1</v>
          </cell>
          <cell r="R676">
            <v>3</v>
          </cell>
          <cell r="S676" t="str">
            <v>none</v>
          </cell>
          <cell r="T676">
            <v>0</v>
          </cell>
          <cell r="U676" t="str">
            <v>NULL</v>
          </cell>
          <cell r="V676" t="str">
            <v>NULL</v>
          </cell>
          <cell r="W676" t="str">
            <v/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  <cell r="AB676" t="str">
            <v>anytime</v>
          </cell>
          <cell r="AC676">
            <v>14</v>
          </cell>
          <cell r="AD676">
            <v>6</v>
          </cell>
          <cell r="AE676" t="str">
            <v>everyone</v>
          </cell>
        </row>
        <row r="677">
          <cell r="A677" t="str">
            <v>39003_2</v>
          </cell>
          <cell r="B677">
            <v>3</v>
          </cell>
          <cell r="C677">
            <v>39003</v>
          </cell>
          <cell r="D677" t="str">
            <v>ブルースクウェアを追え！</v>
          </cell>
          <cell r="E677" t="str">
            <v>コラボクエスト</v>
          </cell>
          <cell r="F677">
            <v>2</v>
          </cell>
          <cell r="G677" t="str">
            <v>ja</v>
          </cell>
          <cell r="H677" t="str">
            <v>【中級】ブルースクウェアを追え！</v>
          </cell>
          <cell r="I677" t="str">
            <v>中級</v>
          </cell>
          <cell r="J677">
            <v>691</v>
          </cell>
          <cell r="K677">
            <v>15</v>
          </cell>
          <cell r="L677">
            <v>1200</v>
          </cell>
          <cell r="M677">
            <v>1</v>
          </cell>
          <cell r="N677">
            <v>1</v>
          </cell>
          <cell r="O677">
            <v>1</v>
          </cell>
          <cell r="P677">
            <v>1</v>
          </cell>
          <cell r="Q677">
            <v>1</v>
          </cell>
          <cell r="R677">
            <v>3</v>
          </cell>
          <cell r="S677" t="str">
            <v>none</v>
          </cell>
          <cell r="T677">
            <v>0</v>
          </cell>
          <cell r="U677" t="str">
            <v>NULL</v>
          </cell>
          <cell r="V677" t="str">
            <v>NULL</v>
          </cell>
          <cell r="W677" t="str">
            <v/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  <cell r="AB677" t="str">
            <v>anytime</v>
          </cell>
          <cell r="AC677">
            <v>14</v>
          </cell>
          <cell r="AD677">
            <v>6</v>
          </cell>
          <cell r="AE677" t="str">
            <v>everyone</v>
          </cell>
        </row>
        <row r="678">
          <cell r="A678" t="str">
            <v>39003_3</v>
          </cell>
          <cell r="B678">
            <v>3</v>
          </cell>
          <cell r="C678">
            <v>39003</v>
          </cell>
          <cell r="D678" t="str">
            <v>ブルースクウェアを追え！</v>
          </cell>
          <cell r="E678" t="str">
            <v>コラボクエスト</v>
          </cell>
          <cell r="F678">
            <v>3</v>
          </cell>
          <cell r="G678" t="str">
            <v>ja</v>
          </cell>
          <cell r="H678" t="str">
            <v>【上級】ブルースクウェアを追え！</v>
          </cell>
          <cell r="I678" t="str">
            <v>上級</v>
          </cell>
          <cell r="J678">
            <v>691</v>
          </cell>
          <cell r="K678">
            <v>20</v>
          </cell>
          <cell r="L678">
            <v>2000</v>
          </cell>
          <cell r="M678">
            <v>1</v>
          </cell>
          <cell r="N678">
            <v>1</v>
          </cell>
          <cell r="O678">
            <v>1</v>
          </cell>
          <cell r="P678">
            <v>1</v>
          </cell>
          <cell r="Q678">
            <v>1</v>
          </cell>
          <cell r="R678">
            <v>3</v>
          </cell>
          <cell r="S678" t="str">
            <v>none</v>
          </cell>
          <cell r="T678">
            <v>0</v>
          </cell>
          <cell r="U678" t="str">
            <v>NULL</v>
          </cell>
          <cell r="V678" t="str">
            <v>NULL</v>
          </cell>
          <cell r="W678" t="str">
            <v/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 t="str">
            <v>anytime</v>
          </cell>
          <cell r="AC678">
            <v>14</v>
          </cell>
          <cell r="AD678">
            <v>6</v>
          </cell>
          <cell r="AE678" t="str">
            <v>everyone</v>
          </cell>
        </row>
        <row r="679">
          <cell r="A679" t="str">
            <v>39003_4</v>
          </cell>
          <cell r="B679">
            <v>3</v>
          </cell>
          <cell r="C679">
            <v>39003</v>
          </cell>
          <cell r="D679" t="str">
            <v>ブルースクウェアを追え！</v>
          </cell>
          <cell r="E679" t="str">
            <v>コラボクエスト</v>
          </cell>
          <cell r="F679">
            <v>4</v>
          </cell>
          <cell r="G679" t="str">
            <v>ja</v>
          </cell>
          <cell r="H679" t="str">
            <v>【超級】ブルースクウェアを追え！</v>
          </cell>
          <cell r="I679" t="str">
            <v>超級</v>
          </cell>
          <cell r="J679">
            <v>691</v>
          </cell>
          <cell r="K679">
            <v>30</v>
          </cell>
          <cell r="L679">
            <v>3300</v>
          </cell>
          <cell r="M679">
            <v>1</v>
          </cell>
          <cell r="N679">
            <v>1</v>
          </cell>
          <cell r="O679">
            <v>1</v>
          </cell>
          <cell r="P679">
            <v>1</v>
          </cell>
          <cell r="Q679">
            <v>1</v>
          </cell>
          <cell r="R679">
            <v>3</v>
          </cell>
          <cell r="S679" t="str">
            <v>polygon</v>
          </cell>
          <cell r="T679">
            <v>1</v>
          </cell>
          <cell r="U679" t="str">
            <v>NULL</v>
          </cell>
          <cell r="V679" t="str">
            <v>NULL</v>
          </cell>
          <cell r="W679" t="str">
            <v/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 t="str">
            <v>anytime</v>
          </cell>
          <cell r="AC679">
            <v>14</v>
          </cell>
          <cell r="AD679">
            <v>6</v>
          </cell>
          <cell r="AE679" t="str">
            <v>everyone</v>
          </cell>
        </row>
        <row r="680">
          <cell r="A680" t="str">
            <v>39004_1</v>
          </cell>
          <cell r="B680">
            <v>3</v>
          </cell>
          <cell r="C680">
            <v>39004</v>
          </cell>
          <cell r="D680" t="str">
            <v xml:space="preserve">ニムダのおきにいり♪ </v>
          </cell>
          <cell r="E680" t="str">
            <v>コラボクエスト</v>
          </cell>
          <cell r="F680">
            <v>1</v>
          </cell>
          <cell r="G680" t="str">
            <v>ja</v>
          </cell>
          <cell r="H680" t="str">
            <v xml:space="preserve">【初級】ニムダのおきにいり♪ </v>
          </cell>
          <cell r="I680" t="str">
            <v>初級</v>
          </cell>
          <cell r="J680">
            <v>902</v>
          </cell>
          <cell r="K680">
            <v>8</v>
          </cell>
          <cell r="L680">
            <v>384</v>
          </cell>
          <cell r="M680">
            <v>1</v>
          </cell>
          <cell r="N680">
            <v>1</v>
          </cell>
          <cell r="O680">
            <v>1</v>
          </cell>
          <cell r="P680">
            <v>1</v>
          </cell>
          <cell r="Q680">
            <v>1</v>
          </cell>
          <cell r="R680">
            <v>3</v>
          </cell>
          <cell r="S680" t="str">
            <v>none</v>
          </cell>
          <cell r="T680">
            <v>0</v>
          </cell>
          <cell r="U680" t="str">
            <v>NULL</v>
          </cell>
          <cell r="V680" t="str">
            <v>NULL</v>
          </cell>
          <cell r="W680" t="str">
            <v/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  <cell r="AB680" t="str">
            <v>anytime</v>
          </cell>
          <cell r="AC680">
            <v>933</v>
          </cell>
          <cell r="AD680">
            <v>6</v>
          </cell>
          <cell r="AE680" t="str">
            <v>everyone</v>
          </cell>
        </row>
        <row r="681">
          <cell r="A681" t="str">
            <v>39004_2</v>
          </cell>
          <cell r="B681">
            <v>3</v>
          </cell>
          <cell r="C681">
            <v>39004</v>
          </cell>
          <cell r="D681" t="str">
            <v xml:space="preserve">ニムダのおきにいり♪ </v>
          </cell>
          <cell r="E681" t="str">
            <v>コラボクエスト</v>
          </cell>
          <cell r="F681">
            <v>2</v>
          </cell>
          <cell r="G681" t="str">
            <v>ja</v>
          </cell>
          <cell r="H681" t="str">
            <v xml:space="preserve">【中級】ニムダのおきにいり♪ </v>
          </cell>
          <cell r="I681" t="str">
            <v>中級</v>
          </cell>
          <cell r="J681">
            <v>902</v>
          </cell>
          <cell r="K681">
            <v>15</v>
          </cell>
          <cell r="L681">
            <v>1200</v>
          </cell>
          <cell r="M681">
            <v>1</v>
          </cell>
          <cell r="N681">
            <v>1</v>
          </cell>
          <cell r="O681">
            <v>1</v>
          </cell>
          <cell r="P681">
            <v>1</v>
          </cell>
          <cell r="Q681">
            <v>1</v>
          </cell>
          <cell r="R681">
            <v>3</v>
          </cell>
          <cell r="S681" t="str">
            <v>none</v>
          </cell>
          <cell r="T681">
            <v>0</v>
          </cell>
          <cell r="U681" t="str">
            <v>NULL</v>
          </cell>
          <cell r="V681" t="str">
            <v>NULL</v>
          </cell>
          <cell r="W681" t="str">
            <v/>
          </cell>
          <cell r="X681">
            <v>0</v>
          </cell>
          <cell r="Y681">
            <v>0</v>
          </cell>
          <cell r="Z681">
            <v>0</v>
          </cell>
          <cell r="AA681">
            <v>0</v>
          </cell>
          <cell r="AB681" t="str">
            <v>anytime</v>
          </cell>
          <cell r="AC681">
            <v>933</v>
          </cell>
          <cell r="AD681">
            <v>6</v>
          </cell>
          <cell r="AE681" t="str">
            <v>everyone</v>
          </cell>
        </row>
        <row r="682">
          <cell r="A682" t="str">
            <v>39004_3</v>
          </cell>
          <cell r="B682">
            <v>3</v>
          </cell>
          <cell r="C682">
            <v>39004</v>
          </cell>
          <cell r="D682" t="str">
            <v xml:space="preserve">ニムダのおきにいり♪ </v>
          </cell>
          <cell r="E682" t="str">
            <v>コラボクエスト</v>
          </cell>
          <cell r="F682">
            <v>3</v>
          </cell>
          <cell r="G682" t="str">
            <v>ja</v>
          </cell>
          <cell r="H682" t="str">
            <v xml:space="preserve">【上級】ニムダのおきにいり♪ </v>
          </cell>
          <cell r="I682" t="str">
            <v>上級</v>
          </cell>
          <cell r="J682">
            <v>902</v>
          </cell>
          <cell r="K682">
            <v>20</v>
          </cell>
          <cell r="L682">
            <v>2000</v>
          </cell>
          <cell r="M682">
            <v>1</v>
          </cell>
          <cell r="N682">
            <v>1</v>
          </cell>
          <cell r="O682">
            <v>1</v>
          </cell>
          <cell r="P682">
            <v>1</v>
          </cell>
          <cell r="Q682">
            <v>1</v>
          </cell>
          <cell r="R682">
            <v>3</v>
          </cell>
          <cell r="S682" t="str">
            <v>none</v>
          </cell>
          <cell r="T682">
            <v>0</v>
          </cell>
          <cell r="U682" t="str">
            <v>NULL</v>
          </cell>
          <cell r="V682" t="str">
            <v>NULL</v>
          </cell>
          <cell r="W682" t="str">
            <v/>
          </cell>
          <cell r="X682">
            <v>0</v>
          </cell>
          <cell r="Y682">
            <v>0</v>
          </cell>
          <cell r="Z682">
            <v>0</v>
          </cell>
          <cell r="AA682">
            <v>0</v>
          </cell>
          <cell r="AB682" t="str">
            <v>anytime</v>
          </cell>
          <cell r="AC682">
            <v>933</v>
          </cell>
          <cell r="AD682">
            <v>6</v>
          </cell>
          <cell r="AE682" t="str">
            <v>everyone</v>
          </cell>
        </row>
        <row r="683">
          <cell r="A683" t="str">
            <v>39004_4</v>
          </cell>
          <cell r="B683">
            <v>3</v>
          </cell>
          <cell r="C683">
            <v>39004</v>
          </cell>
          <cell r="D683" t="str">
            <v xml:space="preserve">ニムダのおきにいり♪ </v>
          </cell>
          <cell r="E683" t="str">
            <v>コラボクエスト</v>
          </cell>
          <cell r="F683">
            <v>4</v>
          </cell>
          <cell r="G683" t="str">
            <v>ja</v>
          </cell>
          <cell r="H683" t="str">
            <v xml:space="preserve">【超級】ニムダのおきにいり♪ </v>
          </cell>
          <cell r="I683" t="str">
            <v>超級</v>
          </cell>
          <cell r="J683">
            <v>902</v>
          </cell>
          <cell r="K683">
            <v>30</v>
          </cell>
          <cell r="L683">
            <v>3300</v>
          </cell>
          <cell r="M683">
            <v>1</v>
          </cell>
          <cell r="N683">
            <v>1</v>
          </cell>
          <cell r="O683">
            <v>1</v>
          </cell>
          <cell r="P683">
            <v>1</v>
          </cell>
          <cell r="Q683">
            <v>1</v>
          </cell>
          <cell r="R683">
            <v>3</v>
          </cell>
          <cell r="S683" t="str">
            <v>polygon</v>
          </cell>
          <cell r="T683">
            <v>1</v>
          </cell>
          <cell r="U683" t="str">
            <v>NULL</v>
          </cell>
          <cell r="V683" t="str">
            <v>NULL</v>
          </cell>
          <cell r="W683" t="str">
            <v/>
          </cell>
          <cell r="X683">
            <v>0</v>
          </cell>
          <cell r="Y683">
            <v>0</v>
          </cell>
          <cell r="Z683">
            <v>0</v>
          </cell>
          <cell r="AA683">
            <v>0</v>
          </cell>
          <cell r="AB683" t="str">
            <v>anytime</v>
          </cell>
          <cell r="AC683">
            <v>933</v>
          </cell>
          <cell r="AD683">
            <v>6</v>
          </cell>
          <cell r="AE683" t="str">
            <v>everyone</v>
          </cell>
        </row>
        <row r="684">
          <cell r="A684" t="str">
            <v>39005_1</v>
          </cell>
          <cell r="B684">
            <v>1</v>
          </cell>
          <cell r="C684">
            <v>39005</v>
          </cell>
          <cell r="D684" t="str">
            <v xml:space="preserve">ポ </v>
          </cell>
          <cell r="E684" t="str">
            <v>コラボクエスト</v>
          </cell>
          <cell r="F684">
            <v>1</v>
          </cell>
          <cell r="G684" t="str">
            <v>ja</v>
          </cell>
          <cell r="H684" t="str">
            <v>【初級】ポ</v>
          </cell>
          <cell r="I684" t="str">
            <v>初級</v>
          </cell>
          <cell r="J684">
            <v>8029</v>
          </cell>
          <cell r="K684">
            <v>8</v>
          </cell>
          <cell r="L684">
            <v>384</v>
          </cell>
          <cell r="M684">
            <v>1</v>
          </cell>
          <cell r="N684">
            <v>1</v>
          </cell>
          <cell r="O684">
            <v>1</v>
          </cell>
          <cell r="P684">
            <v>1</v>
          </cell>
          <cell r="Q684">
            <v>1</v>
          </cell>
          <cell r="R684">
            <v>3</v>
          </cell>
          <cell r="S684" t="str">
            <v>none</v>
          </cell>
          <cell r="T684">
            <v>0</v>
          </cell>
          <cell r="U684" t="str">
            <v>NULL</v>
          </cell>
          <cell r="V684" t="str">
            <v>NULL</v>
          </cell>
          <cell r="W684" t="str">
            <v/>
          </cell>
          <cell r="X684">
            <v>0</v>
          </cell>
          <cell r="Y684">
            <v>0</v>
          </cell>
          <cell r="Z684">
            <v>0</v>
          </cell>
          <cell r="AA684">
            <v>0</v>
          </cell>
          <cell r="AB684" t="str">
            <v>anytime</v>
          </cell>
          <cell r="AC684">
            <v>909</v>
          </cell>
          <cell r="AD684">
            <v>6</v>
          </cell>
          <cell r="AE684" t="str">
            <v>everyone</v>
          </cell>
        </row>
        <row r="685">
          <cell r="A685" t="str">
            <v>39005_2</v>
          </cell>
          <cell r="B685">
            <v>1</v>
          </cell>
          <cell r="C685">
            <v>39005</v>
          </cell>
          <cell r="D685" t="str">
            <v xml:space="preserve">ポ </v>
          </cell>
          <cell r="E685" t="str">
            <v>コラボクエスト</v>
          </cell>
          <cell r="F685">
            <v>2</v>
          </cell>
          <cell r="G685" t="str">
            <v>ja</v>
          </cell>
          <cell r="H685" t="str">
            <v>【中級】ポ</v>
          </cell>
          <cell r="I685" t="str">
            <v>中級</v>
          </cell>
          <cell r="J685">
            <v>8029</v>
          </cell>
          <cell r="K685">
            <v>15</v>
          </cell>
          <cell r="L685">
            <v>1200</v>
          </cell>
          <cell r="M685">
            <v>1</v>
          </cell>
          <cell r="N685">
            <v>1</v>
          </cell>
          <cell r="O685">
            <v>1</v>
          </cell>
          <cell r="P685">
            <v>1</v>
          </cell>
          <cell r="Q685">
            <v>1</v>
          </cell>
          <cell r="R685">
            <v>3</v>
          </cell>
          <cell r="S685" t="str">
            <v>none</v>
          </cell>
          <cell r="T685">
            <v>0</v>
          </cell>
          <cell r="U685" t="str">
            <v>NULL</v>
          </cell>
          <cell r="V685" t="str">
            <v>NULL</v>
          </cell>
          <cell r="W685" t="str">
            <v/>
          </cell>
          <cell r="X685">
            <v>0</v>
          </cell>
          <cell r="Y685">
            <v>0</v>
          </cell>
          <cell r="Z685">
            <v>0</v>
          </cell>
          <cell r="AA685">
            <v>0</v>
          </cell>
          <cell r="AB685" t="str">
            <v>anytime</v>
          </cell>
          <cell r="AC685">
            <v>909</v>
          </cell>
          <cell r="AD685">
            <v>6</v>
          </cell>
          <cell r="AE685" t="str">
            <v>everyone</v>
          </cell>
        </row>
        <row r="686">
          <cell r="A686" t="str">
            <v>39005_3</v>
          </cell>
          <cell r="B686">
            <v>1</v>
          </cell>
          <cell r="C686">
            <v>39005</v>
          </cell>
          <cell r="D686" t="str">
            <v xml:space="preserve">ポ </v>
          </cell>
          <cell r="E686" t="str">
            <v>コラボクエスト</v>
          </cell>
          <cell r="F686">
            <v>3</v>
          </cell>
          <cell r="G686" t="str">
            <v>ja</v>
          </cell>
          <cell r="H686" t="str">
            <v>【上級】ポ</v>
          </cell>
          <cell r="I686" t="str">
            <v>上級</v>
          </cell>
          <cell r="J686">
            <v>8029</v>
          </cell>
          <cell r="K686">
            <v>20</v>
          </cell>
          <cell r="L686">
            <v>2000</v>
          </cell>
          <cell r="M686">
            <v>1</v>
          </cell>
          <cell r="N686">
            <v>1</v>
          </cell>
          <cell r="O686">
            <v>1</v>
          </cell>
          <cell r="P686">
            <v>1</v>
          </cell>
          <cell r="Q686">
            <v>1</v>
          </cell>
          <cell r="R686">
            <v>3</v>
          </cell>
          <cell r="S686" t="str">
            <v>none</v>
          </cell>
          <cell r="T686">
            <v>0</v>
          </cell>
          <cell r="U686" t="str">
            <v>NULL</v>
          </cell>
          <cell r="V686" t="str">
            <v>NULL</v>
          </cell>
          <cell r="W686" t="str">
            <v/>
          </cell>
          <cell r="X686">
            <v>0</v>
          </cell>
          <cell r="Y686">
            <v>0</v>
          </cell>
          <cell r="Z686">
            <v>0</v>
          </cell>
          <cell r="AA686">
            <v>0</v>
          </cell>
          <cell r="AB686" t="str">
            <v>anytime</v>
          </cell>
          <cell r="AC686">
            <v>909</v>
          </cell>
          <cell r="AD686">
            <v>6</v>
          </cell>
          <cell r="AE686" t="str">
            <v>everyone</v>
          </cell>
        </row>
        <row r="687">
          <cell r="A687" t="str">
            <v>39005_4</v>
          </cell>
          <cell r="B687">
            <v>1</v>
          </cell>
          <cell r="C687">
            <v>39005</v>
          </cell>
          <cell r="D687" t="str">
            <v xml:space="preserve">ポ </v>
          </cell>
          <cell r="E687" t="str">
            <v>コラボクエスト</v>
          </cell>
          <cell r="F687">
            <v>4</v>
          </cell>
          <cell r="G687" t="str">
            <v>ja</v>
          </cell>
          <cell r="H687" t="str">
            <v>【超級】ポ</v>
          </cell>
          <cell r="I687" t="str">
            <v>超級</v>
          </cell>
          <cell r="J687">
            <v>8029</v>
          </cell>
          <cell r="K687">
            <v>30</v>
          </cell>
          <cell r="L687">
            <v>3300</v>
          </cell>
          <cell r="M687">
            <v>1</v>
          </cell>
          <cell r="N687">
            <v>1</v>
          </cell>
          <cell r="O687">
            <v>1</v>
          </cell>
          <cell r="P687">
            <v>1</v>
          </cell>
          <cell r="Q687">
            <v>1</v>
          </cell>
          <cell r="R687">
            <v>3</v>
          </cell>
          <cell r="S687" t="str">
            <v>none</v>
          </cell>
          <cell r="T687">
            <v>0</v>
          </cell>
          <cell r="U687" t="str">
            <v>NULL</v>
          </cell>
          <cell r="V687" t="str">
            <v>NULL</v>
          </cell>
          <cell r="W687" t="str">
            <v/>
          </cell>
          <cell r="X687">
            <v>0</v>
          </cell>
          <cell r="Y687">
            <v>0</v>
          </cell>
          <cell r="Z687">
            <v>0</v>
          </cell>
          <cell r="AA687">
            <v>0</v>
          </cell>
          <cell r="AB687" t="str">
            <v>anytime</v>
          </cell>
          <cell r="AC687">
            <v>909</v>
          </cell>
          <cell r="AD687">
            <v>6</v>
          </cell>
          <cell r="AE687" t="str">
            <v>everyone</v>
          </cell>
        </row>
        <row r="688">
          <cell r="A688" t="str">
            <v>39005_5</v>
          </cell>
          <cell r="B688">
            <v>1</v>
          </cell>
          <cell r="C688">
            <v>39005</v>
          </cell>
          <cell r="D688" t="str">
            <v xml:space="preserve">ポ </v>
          </cell>
          <cell r="E688" t="str">
            <v>コラボクエスト</v>
          </cell>
          <cell r="F688">
            <v>5</v>
          </cell>
          <cell r="G688" t="str">
            <v>ja</v>
          </cell>
          <cell r="H688" t="str">
            <v>【超絶級】ポ</v>
          </cell>
          <cell r="I688" t="str">
            <v>超絶級</v>
          </cell>
          <cell r="J688">
            <v>8030</v>
          </cell>
          <cell r="K688">
            <v>35</v>
          </cell>
          <cell r="L688">
            <v>4200</v>
          </cell>
          <cell r="M688">
            <v>1</v>
          </cell>
          <cell r="N688">
            <v>1</v>
          </cell>
          <cell r="O688">
            <v>1</v>
          </cell>
          <cell r="P688">
            <v>1</v>
          </cell>
          <cell r="Q688">
            <v>1</v>
          </cell>
          <cell r="R688">
            <v>3</v>
          </cell>
          <cell r="S688" t="str">
            <v>polygon</v>
          </cell>
          <cell r="T688">
            <v>1</v>
          </cell>
          <cell r="U688" t="str">
            <v>NULL</v>
          </cell>
          <cell r="V688" t="str">
            <v>NULL</v>
          </cell>
          <cell r="W688" t="str">
            <v/>
          </cell>
          <cell r="X688">
            <v>0</v>
          </cell>
          <cell r="Y688">
            <v>0</v>
          </cell>
          <cell r="Z688">
            <v>0</v>
          </cell>
          <cell r="AA688">
            <v>0</v>
          </cell>
          <cell r="AB688" t="str">
            <v>anytime</v>
          </cell>
          <cell r="AC688">
            <v>909</v>
          </cell>
          <cell r="AD688">
            <v>6</v>
          </cell>
          <cell r="AE688" t="str">
            <v>everyone</v>
          </cell>
        </row>
        <row r="689">
          <cell r="A689" t="str">
            <v>39006_1</v>
          </cell>
          <cell r="B689">
            <v>3</v>
          </cell>
          <cell r="C689">
            <v>39006</v>
          </cell>
          <cell r="D689" t="str">
            <v>シガンシナ区攻防戦</v>
          </cell>
          <cell r="E689" t="str">
            <v>コラボクエスト</v>
          </cell>
          <cell r="F689">
            <v>1</v>
          </cell>
          <cell r="G689" t="str">
            <v>ja</v>
          </cell>
          <cell r="H689" t="str">
            <v>【初級】シガンシナ区攻防戦</v>
          </cell>
          <cell r="I689" t="str">
            <v>初級</v>
          </cell>
          <cell r="J689">
            <v>0</v>
          </cell>
          <cell r="K689">
            <v>8</v>
          </cell>
          <cell r="L689">
            <v>384</v>
          </cell>
          <cell r="M689">
            <v>1</v>
          </cell>
          <cell r="N689">
            <v>1</v>
          </cell>
          <cell r="O689">
            <v>1</v>
          </cell>
          <cell r="P689">
            <v>1</v>
          </cell>
          <cell r="Q689">
            <v>1</v>
          </cell>
          <cell r="R689">
            <v>3</v>
          </cell>
          <cell r="S689" t="str">
            <v>none</v>
          </cell>
          <cell r="T689">
            <v>0</v>
          </cell>
          <cell r="U689" t="str">
            <v>NULL</v>
          </cell>
          <cell r="V689" t="str">
            <v>NULL</v>
          </cell>
          <cell r="W689" t="str">
            <v/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 t="str">
            <v>anytime</v>
          </cell>
          <cell r="AC689">
            <v>938</v>
          </cell>
          <cell r="AD689">
            <v>6</v>
          </cell>
          <cell r="AE689" t="str">
            <v>everyone</v>
          </cell>
        </row>
        <row r="690">
          <cell r="A690" t="str">
            <v>39006_2</v>
          </cell>
          <cell r="B690">
            <v>3</v>
          </cell>
          <cell r="C690">
            <v>39006</v>
          </cell>
          <cell r="D690" t="str">
            <v>シガンシナ区攻防戦</v>
          </cell>
          <cell r="E690" t="str">
            <v>コラボクエスト</v>
          </cell>
          <cell r="F690">
            <v>2</v>
          </cell>
          <cell r="G690" t="str">
            <v>ja</v>
          </cell>
          <cell r="H690" t="str">
            <v>【中級】シガンシナ区攻防戦</v>
          </cell>
          <cell r="I690" t="str">
            <v>中級</v>
          </cell>
          <cell r="J690">
            <v>0</v>
          </cell>
          <cell r="K690">
            <v>15</v>
          </cell>
          <cell r="L690">
            <v>1200</v>
          </cell>
          <cell r="M690">
            <v>1</v>
          </cell>
          <cell r="N690">
            <v>1</v>
          </cell>
          <cell r="O690">
            <v>1</v>
          </cell>
          <cell r="P690">
            <v>1</v>
          </cell>
          <cell r="Q690">
            <v>1</v>
          </cell>
          <cell r="R690">
            <v>3</v>
          </cell>
          <cell r="S690" t="str">
            <v>none</v>
          </cell>
          <cell r="T690">
            <v>0</v>
          </cell>
          <cell r="U690" t="str">
            <v>NULL</v>
          </cell>
          <cell r="V690" t="str">
            <v>NULL</v>
          </cell>
          <cell r="W690" t="str">
            <v/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 t="str">
            <v>anytime</v>
          </cell>
          <cell r="AC690">
            <v>938</v>
          </cell>
          <cell r="AD690">
            <v>6</v>
          </cell>
          <cell r="AE690" t="str">
            <v>everyone</v>
          </cell>
        </row>
        <row r="691">
          <cell r="A691" t="str">
            <v>39006_3</v>
          </cell>
          <cell r="B691">
            <v>3</v>
          </cell>
          <cell r="C691">
            <v>39006</v>
          </cell>
          <cell r="D691" t="str">
            <v>シガンシナ区攻防戦</v>
          </cell>
          <cell r="E691" t="str">
            <v>コラボクエスト</v>
          </cell>
          <cell r="F691">
            <v>3</v>
          </cell>
          <cell r="G691" t="str">
            <v>ja</v>
          </cell>
          <cell r="H691" t="str">
            <v>【上級】シガンシナ区攻防戦</v>
          </cell>
          <cell r="I691" t="str">
            <v>上級</v>
          </cell>
          <cell r="J691">
            <v>0</v>
          </cell>
          <cell r="K691">
            <v>20</v>
          </cell>
          <cell r="L691">
            <v>2000</v>
          </cell>
          <cell r="M691">
            <v>1</v>
          </cell>
          <cell r="N691">
            <v>1</v>
          </cell>
          <cell r="O691">
            <v>1</v>
          </cell>
          <cell r="P691">
            <v>1</v>
          </cell>
          <cell r="Q691">
            <v>1</v>
          </cell>
          <cell r="R691">
            <v>3</v>
          </cell>
          <cell r="S691" t="str">
            <v>none</v>
          </cell>
          <cell r="T691">
            <v>0</v>
          </cell>
          <cell r="U691" t="str">
            <v>NULL</v>
          </cell>
          <cell r="V691" t="str">
            <v>NULL</v>
          </cell>
          <cell r="W691" t="str">
            <v/>
          </cell>
          <cell r="X691">
            <v>0</v>
          </cell>
          <cell r="Y691">
            <v>0</v>
          </cell>
          <cell r="Z691">
            <v>0</v>
          </cell>
          <cell r="AA691">
            <v>0</v>
          </cell>
          <cell r="AB691" t="str">
            <v>anytime</v>
          </cell>
          <cell r="AC691">
            <v>938</v>
          </cell>
          <cell r="AD691">
            <v>6</v>
          </cell>
          <cell r="AE691" t="str">
            <v>everyone</v>
          </cell>
        </row>
        <row r="692">
          <cell r="A692" t="str">
            <v>39006_4</v>
          </cell>
          <cell r="B692">
            <v>3</v>
          </cell>
          <cell r="C692">
            <v>39006</v>
          </cell>
          <cell r="D692" t="str">
            <v>シガンシナ区攻防戦</v>
          </cell>
          <cell r="E692" t="str">
            <v>コラボクエスト</v>
          </cell>
          <cell r="F692">
            <v>4</v>
          </cell>
          <cell r="G692" t="str">
            <v>ja</v>
          </cell>
          <cell r="H692" t="str">
            <v>【超級】シガンシナ区攻防戦</v>
          </cell>
          <cell r="I692" t="str">
            <v>超級</v>
          </cell>
          <cell r="J692">
            <v>0</v>
          </cell>
          <cell r="K692">
            <v>30</v>
          </cell>
          <cell r="L692">
            <v>3300</v>
          </cell>
          <cell r="M692">
            <v>1</v>
          </cell>
          <cell r="N692">
            <v>1</v>
          </cell>
          <cell r="O692">
            <v>1</v>
          </cell>
          <cell r="P692">
            <v>1</v>
          </cell>
          <cell r="Q692">
            <v>1</v>
          </cell>
          <cell r="R692">
            <v>3</v>
          </cell>
          <cell r="S692" t="str">
            <v>polygon</v>
          </cell>
          <cell r="T692">
            <v>1</v>
          </cell>
          <cell r="U692" t="str">
            <v>NULL</v>
          </cell>
          <cell r="V692" t="str">
            <v>NULL</v>
          </cell>
          <cell r="W692" t="str">
            <v/>
          </cell>
          <cell r="X692">
            <v>0</v>
          </cell>
          <cell r="Y692">
            <v>0</v>
          </cell>
          <cell r="Z692">
            <v>0</v>
          </cell>
          <cell r="AA692">
            <v>0</v>
          </cell>
          <cell r="AB692" t="str">
            <v>anytime</v>
          </cell>
          <cell r="AC692">
            <v>938</v>
          </cell>
          <cell r="AD692">
            <v>6</v>
          </cell>
          <cell r="AE692" t="str">
            <v>everyone</v>
          </cell>
        </row>
        <row r="693">
          <cell r="A693" t="str">
            <v>39007_1</v>
          </cell>
          <cell r="B693">
            <v>1</v>
          </cell>
          <cell r="C693">
            <v>39007</v>
          </cell>
          <cell r="D693" t="str">
            <v>ニムダ（台）</v>
          </cell>
          <cell r="E693" t="str">
            <v>コラボクエスト</v>
          </cell>
          <cell r="F693">
            <v>1</v>
          </cell>
          <cell r="G693" t="str">
            <v>ja</v>
          </cell>
          <cell r="H693" t="str">
            <v>【初級】ニムダ（台）</v>
          </cell>
          <cell r="I693" t="str">
            <v>初級</v>
          </cell>
          <cell r="J693">
            <v>902</v>
          </cell>
          <cell r="K693">
            <v>8</v>
          </cell>
          <cell r="L693">
            <v>384</v>
          </cell>
          <cell r="M693">
            <v>1</v>
          </cell>
          <cell r="N693">
            <v>1</v>
          </cell>
          <cell r="O693">
            <v>1</v>
          </cell>
          <cell r="P693">
            <v>1</v>
          </cell>
          <cell r="Q693">
            <v>1</v>
          </cell>
          <cell r="R693">
            <v>3</v>
          </cell>
          <cell r="S693" t="str">
            <v>none</v>
          </cell>
          <cell r="T693">
            <v>0</v>
          </cell>
          <cell r="U693" t="str">
            <v>NULL</v>
          </cell>
          <cell r="V693" t="str">
            <v>NULL</v>
          </cell>
          <cell r="W693" t="str">
            <v/>
          </cell>
          <cell r="X693">
            <v>0</v>
          </cell>
          <cell r="Y693">
            <v>0</v>
          </cell>
          <cell r="Z693">
            <v>0</v>
          </cell>
          <cell r="AA693">
            <v>0</v>
          </cell>
          <cell r="AB693" t="str">
            <v>anytime</v>
          </cell>
          <cell r="AC693">
            <v>933</v>
          </cell>
          <cell r="AD693">
            <v>6</v>
          </cell>
          <cell r="AE693" t="str">
            <v>everyone</v>
          </cell>
        </row>
        <row r="694">
          <cell r="A694" t="str">
            <v>39007_2</v>
          </cell>
          <cell r="B694">
            <v>1</v>
          </cell>
          <cell r="C694">
            <v>39007</v>
          </cell>
          <cell r="D694" t="str">
            <v>ニムダ（台）</v>
          </cell>
          <cell r="E694" t="str">
            <v>コラボクエスト</v>
          </cell>
          <cell r="F694">
            <v>2</v>
          </cell>
          <cell r="G694" t="str">
            <v>ja</v>
          </cell>
          <cell r="H694" t="str">
            <v>【中級】ニムダ（台）</v>
          </cell>
          <cell r="I694" t="str">
            <v>中級</v>
          </cell>
          <cell r="J694">
            <v>902</v>
          </cell>
          <cell r="K694">
            <v>15</v>
          </cell>
          <cell r="L694">
            <v>1200</v>
          </cell>
          <cell r="M694">
            <v>1</v>
          </cell>
          <cell r="N694">
            <v>1</v>
          </cell>
          <cell r="O694">
            <v>1</v>
          </cell>
          <cell r="P694">
            <v>1</v>
          </cell>
          <cell r="Q694">
            <v>1</v>
          </cell>
          <cell r="R694">
            <v>3</v>
          </cell>
          <cell r="S694" t="str">
            <v>none</v>
          </cell>
          <cell r="T694">
            <v>0</v>
          </cell>
          <cell r="U694" t="str">
            <v>NULL</v>
          </cell>
          <cell r="V694" t="str">
            <v>NULL</v>
          </cell>
          <cell r="W694" t="str">
            <v/>
          </cell>
          <cell r="X694">
            <v>0</v>
          </cell>
          <cell r="Y694">
            <v>0</v>
          </cell>
          <cell r="Z694">
            <v>0</v>
          </cell>
          <cell r="AA694">
            <v>0</v>
          </cell>
          <cell r="AB694" t="str">
            <v>anytime</v>
          </cell>
          <cell r="AC694">
            <v>933</v>
          </cell>
          <cell r="AD694">
            <v>6</v>
          </cell>
          <cell r="AE694" t="str">
            <v>everyone</v>
          </cell>
        </row>
        <row r="695">
          <cell r="A695" t="str">
            <v>39007_3</v>
          </cell>
          <cell r="B695">
            <v>1</v>
          </cell>
          <cell r="C695">
            <v>39007</v>
          </cell>
          <cell r="D695" t="str">
            <v>ニムダ（台）</v>
          </cell>
          <cell r="E695" t="str">
            <v>コラボクエスト</v>
          </cell>
          <cell r="F695">
            <v>3</v>
          </cell>
          <cell r="G695" t="str">
            <v>ja</v>
          </cell>
          <cell r="H695" t="str">
            <v>【上級】ニムダ（台）</v>
          </cell>
          <cell r="I695" t="str">
            <v>上級</v>
          </cell>
          <cell r="J695">
            <v>902</v>
          </cell>
          <cell r="K695">
            <v>20</v>
          </cell>
          <cell r="L695">
            <v>2000</v>
          </cell>
          <cell r="M695">
            <v>1</v>
          </cell>
          <cell r="N695">
            <v>1</v>
          </cell>
          <cell r="O695">
            <v>1</v>
          </cell>
          <cell r="P695">
            <v>1</v>
          </cell>
          <cell r="Q695">
            <v>1</v>
          </cell>
          <cell r="R695">
            <v>3</v>
          </cell>
          <cell r="S695" t="str">
            <v>none</v>
          </cell>
          <cell r="T695">
            <v>0</v>
          </cell>
          <cell r="U695" t="str">
            <v>NULL</v>
          </cell>
          <cell r="V695" t="str">
            <v>NULL</v>
          </cell>
          <cell r="W695" t="str">
            <v/>
          </cell>
          <cell r="X695">
            <v>0</v>
          </cell>
          <cell r="Y695">
            <v>0</v>
          </cell>
          <cell r="Z695">
            <v>0</v>
          </cell>
          <cell r="AA695">
            <v>0</v>
          </cell>
          <cell r="AB695" t="str">
            <v>anytime</v>
          </cell>
          <cell r="AC695">
            <v>933</v>
          </cell>
          <cell r="AD695">
            <v>6</v>
          </cell>
          <cell r="AE695" t="str">
            <v>everyone</v>
          </cell>
        </row>
        <row r="696">
          <cell r="A696" t="str">
            <v>39007_4</v>
          </cell>
          <cell r="B696">
            <v>1</v>
          </cell>
          <cell r="C696">
            <v>39007</v>
          </cell>
          <cell r="D696" t="str">
            <v>ニムダ（台）</v>
          </cell>
          <cell r="E696" t="str">
            <v>コラボクエスト</v>
          </cell>
          <cell r="F696">
            <v>4</v>
          </cell>
          <cell r="G696" t="str">
            <v>ja</v>
          </cell>
          <cell r="H696" t="str">
            <v>【超級】ニムダ（台）</v>
          </cell>
          <cell r="I696" t="str">
            <v>超級</v>
          </cell>
          <cell r="J696">
            <v>902</v>
          </cell>
          <cell r="K696">
            <v>30</v>
          </cell>
          <cell r="L696">
            <v>3300</v>
          </cell>
          <cell r="M696">
            <v>1</v>
          </cell>
          <cell r="N696">
            <v>1</v>
          </cell>
          <cell r="O696">
            <v>1</v>
          </cell>
          <cell r="P696">
            <v>1</v>
          </cell>
          <cell r="Q696">
            <v>1</v>
          </cell>
          <cell r="R696">
            <v>3</v>
          </cell>
          <cell r="S696" t="str">
            <v>polygon</v>
          </cell>
          <cell r="T696">
            <v>1</v>
          </cell>
          <cell r="U696" t="str">
            <v>NULL</v>
          </cell>
          <cell r="V696" t="str">
            <v>NULL</v>
          </cell>
          <cell r="W696" t="str">
            <v/>
          </cell>
          <cell r="X696">
            <v>0</v>
          </cell>
          <cell r="Y696">
            <v>0</v>
          </cell>
          <cell r="Z696">
            <v>0</v>
          </cell>
          <cell r="AA696">
            <v>0</v>
          </cell>
          <cell r="AB696" t="str">
            <v>anytime</v>
          </cell>
          <cell r="AC696">
            <v>933</v>
          </cell>
          <cell r="AD696">
            <v>6</v>
          </cell>
          <cell r="AE696" t="str">
            <v>everyone</v>
          </cell>
        </row>
        <row r="697">
          <cell r="A697" t="str">
            <v>39008_1</v>
          </cell>
          <cell r="B697">
            <v>3</v>
          </cell>
          <cell r="C697">
            <v>39008</v>
          </cell>
          <cell r="D697" t="str">
            <v>雪の歌姫</v>
          </cell>
          <cell r="E697" t="str">
            <v>復刻コラボクエスト</v>
          </cell>
          <cell r="F697">
            <v>1</v>
          </cell>
          <cell r="G697" t="str">
            <v>ja</v>
          </cell>
          <cell r="H697" t="str">
            <v>【初級】雪の歌姫</v>
          </cell>
          <cell r="I697" t="str">
            <v>初級</v>
          </cell>
          <cell r="J697">
            <v>525</v>
          </cell>
          <cell r="K697">
            <v>5</v>
          </cell>
          <cell r="L697">
            <v>384</v>
          </cell>
          <cell r="M697">
            <v>1</v>
          </cell>
          <cell r="N697">
            <v>1</v>
          </cell>
          <cell r="O697">
            <v>1</v>
          </cell>
          <cell r="P697">
            <v>1</v>
          </cell>
          <cell r="Q697">
            <v>1</v>
          </cell>
          <cell r="R697">
            <v>3</v>
          </cell>
          <cell r="S697" t="str">
            <v>none</v>
          </cell>
          <cell r="T697">
            <v>0</v>
          </cell>
          <cell r="U697" t="str">
            <v>NULL</v>
          </cell>
          <cell r="V697" t="str">
            <v>NULL</v>
          </cell>
          <cell r="W697" t="str">
            <v/>
          </cell>
          <cell r="X697">
            <v>0</v>
          </cell>
          <cell r="Y697">
            <v>0</v>
          </cell>
          <cell r="Z697">
            <v>0</v>
          </cell>
          <cell r="AA697">
            <v>0</v>
          </cell>
          <cell r="AB697" t="str">
            <v>anytime</v>
          </cell>
          <cell r="AC697">
            <v>910</v>
          </cell>
          <cell r="AD697">
            <v>6</v>
          </cell>
          <cell r="AE697" t="str">
            <v>everyone</v>
          </cell>
        </row>
        <row r="698">
          <cell r="A698" t="str">
            <v>39008_2</v>
          </cell>
          <cell r="B698">
            <v>3</v>
          </cell>
          <cell r="C698">
            <v>39008</v>
          </cell>
          <cell r="D698" t="str">
            <v>雪の歌姫</v>
          </cell>
          <cell r="E698" t="str">
            <v>復刻コラボクエスト</v>
          </cell>
          <cell r="F698">
            <v>2</v>
          </cell>
          <cell r="G698" t="str">
            <v>ja</v>
          </cell>
          <cell r="H698" t="str">
            <v>【中級】雪の歌姫</v>
          </cell>
          <cell r="I698" t="str">
            <v>中級</v>
          </cell>
          <cell r="J698">
            <v>525</v>
          </cell>
          <cell r="K698">
            <v>9</v>
          </cell>
          <cell r="L698">
            <v>1200</v>
          </cell>
          <cell r="M698">
            <v>1</v>
          </cell>
          <cell r="N698">
            <v>1</v>
          </cell>
          <cell r="O698">
            <v>1</v>
          </cell>
          <cell r="P698">
            <v>1</v>
          </cell>
          <cell r="Q698">
            <v>1</v>
          </cell>
          <cell r="R698">
            <v>3</v>
          </cell>
          <cell r="S698" t="str">
            <v>none</v>
          </cell>
          <cell r="T698">
            <v>0</v>
          </cell>
          <cell r="U698" t="str">
            <v>NULL</v>
          </cell>
          <cell r="V698" t="str">
            <v>NULL</v>
          </cell>
          <cell r="W698" t="str">
            <v/>
          </cell>
          <cell r="X698">
            <v>0</v>
          </cell>
          <cell r="Y698">
            <v>0</v>
          </cell>
          <cell r="Z698">
            <v>0</v>
          </cell>
          <cell r="AA698">
            <v>0</v>
          </cell>
          <cell r="AB698" t="str">
            <v>anytime</v>
          </cell>
          <cell r="AC698">
            <v>910</v>
          </cell>
          <cell r="AD698">
            <v>6</v>
          </cell>
          <cell r="AE698" t="str">
            <v>everyone</v>
          </cell>
        </row>
        <row r="699">
          <cell r="A699" t="str">
            <v>39008_3</v>
          </cell>
          <cell r="B699">
            <v>3</v>
          </cell>
          <cell r="C699">
            <v>39008</v>
          </cell>
          <cell r="D699" t="str">
            <v>雪の歌姫</v>
          </cell>
          <cell r="E699" t="str">
            <v>復刻コラボクエスト</v>
          </cell>
          <cell r="F699">
            <v>3</v>
          </cell>
          <cell r="G699" t="str">
            <v>ja</v>
          </cell>
          <cell r="H699" t="str">
            <v>【上級】雪の歌姫</v>
          </cell>
          <cell r="I699" t="str">
            <v>上級</v>
          </cell>
          <cell r="J699">
            <v>525</v>
          </cell>
          <cell r="K699">
            <v>14</v>
          </cell>
          <cell r="L699">
            <v>2000</v>
          </cell>
          <cell r="M699">
            <v>1</v>
          </cell>
          <cell r="N699">
            <v>1</v>
          </cell>
          <cell r="O699">
            <v>1</v>
          </cell>
          <cell r="P699">
            <v>1</v>
          </cell>
          <cell r="Q699">
            <v>1</v>
          </cell>
          <cell r="R699">
            <v>3</v>
          </cell>
          <cell r="S699" t="str">
            <v>none</v>
          </cell>
          <cell r="T699">
            <v>0</v>
          </cell>
          <cell r="U699" t="str">
            <v>NULL</v>
          </cell>
          <cell r="V699" t="str">
            <v>NULL</v>
          </cell>
          <cell r="W699" t="str">
            <v/>
          </cell>
          <cell r="X699">
            <v>0</v>
          </cell>
          <cell r="Y699">
            <v>0</v>
          </cell>
          <cell r="Z699">
            <v>0</v>
          </cell>
          <cell r="AA699">
            <v>0</v>
          </cell>
          <cell r="AB699" t="str">
            <v>anytime</v>
          </cell>
          <cell r="AC699">
            <v>910</v>
          </cell>
          <cell r="AD699">
            <v>6</v>
          </cell>
          <cell r="AE699" t="str">
            <v>everyone</v>
          </cell>
        </row>
        <row r="700">
          <cell r="A700" t="str">
            <v>39008_4</v>
          </cell>
          <cell r="B700">
            <v>3</v>
          </cell>
          <cell r="C700">
            <v>39008</v>
          </cell>
          <cell r="D700" t="str">
            <v>雪の歌姫</v>
          </cell>
          <cell r="E700" t="str">
            <v>復刻コラボクエスト</v>
          </cell>
          <cell r="F700">
            <v>4</v>
          </cell>
          <cell r="G700" t="str">
            <v>ja</v>
          </cell>
          <cell r="H700" t="str">
            <v>【超級】雪の歌姫</v>
          </cell>
          <cell r="I700" t="str">
            <v>超級</v>
          </cell>
          <cell r="J700">
            <v>526</v>
          </cell>
          <cell r="K700">
            <v>20</v>
          </cell>
          <cell r="L700">
            <v>3300</v>
          </cell>
          <cell r="M700">
            <v>1</v>
          </cell>
          <cell r="N700">
            <v>1</v>
          </cell>
          <cell r="O700">
            <v>1</v>
          </cell>
          <cell r="P700">
            <v>1</v>
          </cell>
          <cell r="Q700">
            <v>1</v>
          </cell>
          <cell r="R700">
            <v>3</v>
          </cell>
          <cell r="S700" t="str">
            <v>none</v>
          </cell>
          <cell r="T700">
            <v>0</v>
          </cell>
          <cell r="U700" t="str">
            <v>NULL</v>
          </cell>
          <cell r="V700" t="str">
            <v>NULL</v>
          </cell>
          <cell r="W700" t="str">
            <v/>
          </cell>
          <cell r="X700">
            <v>0</v>
          </cell>
          <cell r="Y700">
            <v>0</v>
          </cell>
          <cell r="Z700">
            <v>0</v>
          </cell>
          <cell r="AA700">
            <v>0</v>
          </cell>
          <cell r="AB700" t="str">
            <v>anytime</v>
          </cell>
          <cell r="AC700">
            <v>910</v>
          </cell>
          <cell r="AD700">
            <v>6</v>
          </cell>
          <cell r="AE700" t="str">
            <v>everyone</v>
          </cell>
        </row>
        <row r="701">
          <cell r="A701" t="str">
            <v>39008_5</v>
          </cell>
          <cell r="B701">
            <v>3</v>
          </cell>
          <cell r="C701">
            <v>39008</v>
          </cell>
          <cell r="D701" t="str">
            <v>雪の歌姫</v>
          </cell>
          <cell r="E701" t="str">
            <v>復刻コラボクエスト</v>
          </cell>
          <cell r="F701">
            <v>5</v>
          </cell>
          <cell r="G701" t="str">
            <v>ja</v>
          </cell>
          <cell r="H701" t="str">
            <v>【超絶級】雪の歌姫</v>
          </cell>
          <cell r="I701" t="str">
            <v>超絶級</v>
          </cell>
          <cell r="J701">
            <v>526</v>
          </cell>
          <cell r="K701">
            <v>25</v>
          </cell>
          <cell r="L701">
            <v>4200</v>
          </cell>
          <cell r="M701">
            <v>1</v>
          </cell>
          <cell r="N701">
            <v>1</v>
          </cell>
          <cell r="O701">
            <v>1</v>
          </cell>
          <cell r="P701">
            <v>1</v>
          </cell>
          <cell r="Q701">
            <v>1</v>
          </cell>
          <cell r="R701">
            <v>3</v>
          </cell>
          <cell r="S701" t="str">
            <v>polygon</v>
          </cell>
          <cell r="T701">
            <v>1</v>
          </cell>
          <cell r="U701" t="str">
            <v>NULL</v>
          </cell>
          <cell r="V701" t="str">
            <v>NULL</v>
          </cell>
          <cell r="W701" t="str">
            <v/>
          </cell>
          <cell r="X701">
            <v>0</v>
          </cell>
          <cell r="Y701">
            <v>0</v>
          </cell>
          <cell r="Z701">
            <v>0</v>
          </cell>
          <cell r="AA701">
            <v>0</v>
          </cell>
          <cell r="AB701" t="str">
            <v>anytime</v>
          </cell>
          <cell r="AC701">
            <v>910</v>
          </cell>
          <cell r="AD701">
            <v>6</v>
          </cell>
          <cell r="AE701" t="str">
            <v>everyone</v>
          </cell>
        </row>
        <row r="702">
          <cell r="A702" t="str">
            <v>39009_1</v>
          </cell>
          <cell r="B702">
            <v>3</v>
          </cell>
          <cell r="C702">
            <v>39009</v>
          </cell>
          <cell r="D702" t="str">
            <v>星空の歌姫</v>
          </cell>
          <cell r="E702" t="str">
            <v>コラボクエスト</v>
          </cell>
          <cell r="F702">
            <v>1</v>
          </cell>
          <cell r="G702" t="str">
            <v>ja</v>
          </cell>
          <cell r="H702" t="str">
            <v>【初級】星空の歌姫</v>
          </cell>
          <cell r="I702" t="str">
            <v>初級</v>
          </cell>
          <cell r="J702">
            <v>1298</v>
          </cell>
          <cell r="K702">
            <v>5</v>
          </cell>
          <cell r="L702">
            <v>384</v>
          </cell>
          <cell r="M702">
            <v>1</v>
          </cell>
          <cell r="N702">
            <v>1</v>
          </cell>
          <cell r="O702">
            <v>1</v>
          </cell>
          <cell r="P702">
            <v>1</v>
          </cell>
          <cell r="Q702">
            <v>1</v>
          </cell>
          <cell r="R702">
            <v>3</v>
          </cell>
          <cell r="S702" t="str">
            <v>none</v>
          </cell>
          <cell r="T702">
            <v>0</v>
          </cell>
          <cell r="U702" t="str">
            <v>NULL</v>
          </cell>
          <cell r="V702" t="str">
            <v>NULL</v>
          </cell>
          <cell r="W702" t="str">
            <v/>
          </cell>
          <cell r="X702">
            <v>0</v>
          </cell>
          <cell r="Y702">
            <v>0</v>
          </cell>
          <cell r="Z702">
            <v>0</v>
          </cell>
          <cell r="AA702">
            <v>0</v>
          </cell>
          <cell r="AB702" t="str">
            <v>anytime</v>
          </cell>
          <cell r="AC702">
            <v>910</v>
          </cell>
          <cell r="AD702">
            <v>6</v>
          </cell>
          <cell r="AE702" t="str">
            <v>everyone</v>
          </cell>
        </row>
        <row r="703">
          <cell r="A703" t="str">
            <v>39009_2</v>
          </cell>
          <cell r="B703">
            <v>3</v>
          </cell>
          <cell r="C703">
            <v>39009</v>
          </cell>
          <cell r="D703" t="str">
            <v>星空の歌姫</v>
          </cell>
          <cell r="E703" t="str">
            <v>コラボクエスト</v>
          </cell>
          <cell r="F703">
            <v>2</v>
          </cell>
          <cell r="G703" t="str">
            <v>ja</v>
          </cell>
          <cell r="H703" t="str">
            <v>【中級】星空の歌姫</v>
          </cell>
          <cell r="I703" t="str">
            <v>中級</v>
          </cell>
          <cell r="J703">
            <v>1298</v>
          </cell>
          <cell r="K703">
            <v>9</v>
          </cell>
          <cell r="L703">
            <v>1200</v>
          </cell>
          <cell r="M703">
            <v>1</v>
          </cell>
          <cell r="N703">
            <v>1</v>
          </cell>
          <cell r="O703">
            <v>1</v>
          </cell>
          <cell r="P703">
            <v>1</v>
          </cell>
          <cell r="Q703">
            <v>1</v>
          </cell>
          <cell r="R703">
            <v>3</v>
          </cell>
          <cell r="S703" t="str">
            <v>none</v>
          </cell>
          <cell r="T703">
            <v>0</v>
          </cell>
          <cell r="U703" t="str">
            <v>NULL</v>
          </cell>
          <cell r="V703" t="str">
            <v>NULL</v>
          </cell>
          <cell r="W703" t="str">
            <v/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  <cell r="AB703" t="str">
            <v>anytime</v>
          </cell>
          <cell r="AC703">
            <v>910</v>
          </cell>
          <cell r="AD703">
            <v>6</v>
          </cell>
          <cell r="AE703" t="str">
            <v>everyone</v>
          </cell>
        </row>
        <row r="704">
          <cell r="A704" t="str">
            <v>39009_3</v>
          </cell>
          <cell r="B704">
            <v>3</v>
          </cell>
          <cell r="C704">
            <v>39009</v>
          </cell>
          <cell r="D704" t="str">
            <v>星空の歌姫</v>
          </cell>
          <cell r="E704" t="str">
            <v>コラボクエスト</v>
          </cell>
          <cell r="F704">
            <v>3</v>
          </cell>
          <cell r="G704" t="str">
            <v>ja</v>
          </cell>
          <cell r="H704" t="str">
            <v>【上級】星空の歌姫</v>
          </cell>
          <cell r="I704" t="str">
            <v>上級</v>
          </cell>
          <cell r="J704">
            <v>1298</v>
          </cell>
          <cell r="K704">
            <v>14</v>
          </cell>
          <cell r="L704">
            <v>2000</v>
          </cell>
          <cell r="M704">
            <v>1</v>
          </cell>
          <cell r="N704">
            <v>1</v>
          </cell>
          <cell r="O704">
            <v>1</v>
          </cell>
          <cell r="P704">
            <v>1</v>
          </cell>
          <cell r="Q704">
            <v>1</v>
          </cell>
          <cell r="R704">
            <v>3</v>
          </cell>
          <cell r="S704" t="str">
            <v>none</v>
          </cell>
          <cell r="T704">
            <v>0</v>
          </cell>
          <cell r="U704" t="str">
            <v>NULL</v>
          </cell>
          <cell r="V704" t="str">
            <v>NULL</v>
          </cell>
          <cell r="W704" t="str">
            <v/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  <cell r="AB704" t="str">
            <v>anytime</v>
          </cell>
          <cell r="AC704">
            <v>910</v>
          </cell>
          <cell r="AD704">
            <v>6</v>
          </cell>
          <cell r="AE704" t="str">
            <v>everyone</v>
          </cell>
        </row>
        <row r="705">
          <cell r="A705" t="str">
            <v>39009_4</v>
          </cell>
          <cell r="B705">
            <v>3</v>
          </cell>
          <cell r="C705">
            <v>39009</v>
          </cell>
          <cell r="D705" t="str">
            <v>星空の歌姫</v>
          </cell>
          <cell r="E705" t="str">
            <v>コラボクエスト</v>
          </cell>
          <cell r="F705">
            <v>4</v>
          </cell>
          <cell r="G705" t="str">
            <v>ja</v>
          </cell>
          <cell r="H705" t="str">
            <v>【超級】星空の歌姫</v>
          </cell>
          <cell r="I705" t="str">
            <v>超級</v>
          </cell>
          <cell r="J705">
            <v>1298</v>
          </cell>
          <cell r="K705">
            <v>20</v>
          </cell>
          <cell r="L705">
            <v>3300</v>
          </cell>
          <cell r="M705">
            <v>1</v>
          </cell>
          <cell r="N705">
            <v>1</v>
          </cell>
          <cell r="O705">
            <v>1</v>
          </cell>
          <cell r="P705">
            <v>1</v>
          </cell>
          <cell r="Q705">
            <v>1</v>
          </cell>
          <cell r="R705">
            <v>3</v>
          </cell>
          <cell r="S705" t="str">
            <v>none</v>
          </cell>
          <cell r="T705">
            <v>0</v>
          </cell>
          <cell r="U705" t="str">
            <v>NULL</v>
          </cell>
          <cell r="V705" t="str">
            <v>NULL</v>
          </cell>
          <cell r="W705" t="str">
            <v/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  <cell r="AB705" t="str">
            <v>anytime</v>
          </cell>
          <cell r="AC705">
            <v>910</v>
          </cell>
          <cell r="AD705">
            <v>6</v>
          </cell>
          <cell r="AE705" t="str">
            <v>everyone</v>
          </cell>
        </row>
        <row r="706">
          <cell r="A706" t="str">
            <v>39009_5</v>
          </cell>
          <cell r="B706">
            <v>3</v>
          </cell>
          <cell r="C706">
            <v>39009</v>
          </cell>
          <cell r="D706" t="str">
            <v>星空の歌姫</v>
          </cell>
          <cell r="E706" t="str">
            <v>コラボクエスト</v>
          </cell>
          <cell r="F706">
            <v>5</v>
          </cell>
          <cell r="G706" t="str">
            <v>ja</v>
          </cell>
          <cell r="H706" t="str">
            <v>【超絶級】星空の歌姫</v>
          </cell>
          <cell r="I706" t="str">
            <v>超絶級</v>
          </cell>
          <cell r="J706">
            <v>1298</v>
          </cell>
          <cell r="K706">
            <v>25</v>
          </cell>
          <cell r="L706">
            <v>4200</v>
          </cell>
          <cell r="M706">
            <v>1</v>
          </cell>
          <cell r="N706">
            <v>1</v>
          </cell>
          <cell r="O706">
            <v>1</v>
          </cell>
          <cell r="P706">
            <v>1</v>
          </cell>
          <cell r="Q706">
            <v>1</v>
          </cell>
          <cell r="R706">
            <v>3</v>
          </cell>
          <cell r="S706" t="str">
            <v>polygon</v>
          </cell>
          <cell r="T706">
            <v>1</v>
          </cell>
          <cell r="U706" t="str">
            <v>NULL</v>
          </cell>
          <cell r="V706" t="str">
            <v>NULL</v>
          </cell>
          <cell r="W706" t="str">
            <v/>
          </cell>
          <cell r="X706">
            <v>0</v>
          </cell>
          <cell r="Y706">
            <v>0</v>
          </cell>
          <cell r="Z706">
            <v>0</v>
          </cell>
          <cell r="AA706">
            <v>0</v>
          </cell>
          <cell r="AB706" t="str">
            <v>anytime</v>
          </cell>
          <cell r="AC706">
            <v>910</v>
          </cell>
          <cell r="AD706">
            <v>6</v>
          </cell>
          <cell r="AE706" t="str">
            <v>everyone</v>
          </cell>
        </row>
        <row r="707">
          <cell r="A707" t="str">
            <v>39010_1</v>
          </cell>
          <cell r="B707">
            <v>3</v>
          </cell>
          <cell r="C707">
            <v>39010</v>
          </cell>
          <cell r="D707" t="str">
            <v>黄巾賊の暴走を止めろ！</v>
          </cell>
          <cell r="E707" t="str">
            <v>コラボクエスト（復刻）</v>
          </cell>
          <cell r="F707">
            <v>1</v>
          </cell>
          <cell r="G707" t="str">
            <v>ja</v>
          </cell>
          <cell r="H707" t="str">
            <v>【初級】黄巾賊の暴走を止めろ！</v>
          </cell>
          <cell r="I707" t="str">
            <v>初級</v>
          </cell>
          <cell r="J707">
            <v>694</v>
          </cell>
          <cell r="K707">
            <v>8</v>
          </cell>
          <cell r="L707">
            <v>384</v>
          </cell>
          <cell r="M707">
            <v>1</v>
          </cell>
          <cell r="N707">
            <v>1</v>
          </cell>
          <cell r="O707">
            <v>1</v>
          </cell>
          <cell r="P707">
            <v>1</v>
          </cell>
          <cell r="Q707">
            <v>1</v>
          </cell>
          <cell r="R707">
            <v>3</v>
          </cell>
          <cell r="S707" t="str">
            <v>none</v>
          </cell>
          <cell r="T707">
            <v>0</v>
          </cell>
          <cell r="U707" t="str">
            <v>NULL</v>
          </cell>
          <cell r="V707" t="str">
            <v>NULL</v>
          </cell>
          <cell r="W707" t="str">
            <v/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  <cell r="AB707" t="str">
            <v>anytime</v>
          </cell>
          <cell r="AC707">
            <v>12</v>
          </cell>
          <cell r="AD707">
            <v>6</v>
          </cell>
          <cell r="AE707" t="str">
            <v>everyone</v>
          </cell>
        </row>
        <row r="708">
          <cell r="A708" t="str">
            <v>39010_2</v>
          </cell>
          <cell r="B708">
            <v>3</v>
          </cell>
          <cell r="C708">
            <v>39010</v>
          </cell>
          <cell r="D708" t="str">
            <v>黄巾賊の暴走を止めろ！</v>
          </cell>
          <cell r="E708" t="str">
            <v>コラボクエスト（復刻）</v>
          </cell>
          <cell r="F708">
            <v>2</v>
          </cell>
          <cell r="G708" t="str">
            <v>ja</v>
          </cell>
          <cell r="H708" t="str">
            <v>【中級】黄巾賊の暴走を止めろ！</v>
          </cell>
          <cell r="I708" t="str">
            <v>中級</v>
          </cell>
          <cell r="J708">
            <v>694</v>
          </cell>
          <cell r="K708">
            <v>15</v>
          </cell>
          <cell r="L708">
            <v>1200</v>
          </cell>
          <cell r="M708">
            <v>1</v>
          </cell>
          <cell r="N708">
            <v>1</v>
          </cell>
          <cell r="O708">
            <v>1</v>
          </cell>
          <cell r="P708">
            <v>1</v>
          </cell>
          <cell r="Q708">
            <v>1</v>
          </cell>
          <cell r="R708">
            <v>3</v>
          </cell>
          <cell r="S708" t="str">
            <v>none</v>
          </cell>
          <cell r="T708">
            <v>0</v>
          </cell>
          <cell r="U708" t="str">
            <v>NULL</v>
          </cell>
          <cell r="V708" t="str">
            <v>NULL</v>
          </cell>
          <cell r="W708" t="str">
            <v/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  <cell r="AB708" t="str">
            <v>anytime</v>
          </cell>
          <cell r="AC708">
            <v>12</v>
          </cell>
          <cell r="AD708">
            <v>6</v>
          </cell>
          <cell r="AE708" t="str">
            <v>everyone</v>
          </cell>
        </row>
        <row r="709">
          <cell r="A709" t="str">
            <v>39010_3</v>
          </cell>
          <cell r="B709">
            <v>3</v>
          </cell>
          <cell r="C709">
            <v>39010</v>
          </cell>
          <cell r="D709" t="str">
            <v>黄巾賊の暴走を止めろ！</v>
          </cell>
          <cell r="E709" t="str">
            <v>コラボクエスト（復刻）</v>
          </cell>
          <cell r="F709">
            <v>3</v>
          </cell>
          <cell r="G709" t="str">
            <v>ja</v>
          </cell>
          <cell r="H709" t="str">
            <v>【上級】黄巾賊の暴走を止めろ！</v>
          </cell>
          <cell r="I709" t="str">
            <v>上級</v>
          </cell>
          <cell r="J709">
            <v>694</v>
          </cell>
          <cell r="K709">
            <v>20</v>
          </cell>
          <cell r="L709">
            <v>2000</v>
          </cell>
          <cell r="M709">
            <v>1</v>
          </cell>
          <cell r="N709">
            <v>1</v>
          </cell>
          <cell r="O709">
            <v>1</v>
          </cell>
          <cell r="P709">
            <v>1</v>
          </cell>
          <cell r="Q709">
            <v>1</v>
          </cell>
          <cell r="R709">
            <v>3</v>
          </cell>
          <cell r="S709" t="str">
            <v>none</v>
          </cell>
          <cell r="T709">
            <v>0</v>
          </cell>
          <cell r="U709" t="str">
            <v>NULL</v>
          </cell>
          <cell r="V709" t="str">
            <v>NULL</v>
          </cell>
          <cell r="W709" t="str">
            <v/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  <cell r="AB709" t="str">
            <v>anytime</v>
          </cell>
          <cell r="AC709">
            <v>12</v>
          </cell>
          <cell r="AD709">
            <v>6</v>
          </cell>
          <cell r="AE709" t="str">
            <v>everyone</v>
          </cell>
        </row>
        <row r="710">
          <cell r="A710" t="str">
            <v>39010_4</v>
          </cell>
          <cell r="B710">
            <v>3</v>
          </cell>
          <cell r="C710">
            <v>39010</v>
          </cell>
          <cell r="D710" t="str">
            <v>黄巾賊の暴走を止めろ！</v>
          </cell>
          <cell r="E710" t="str">
            <v>コラボクエスト（復刻）</v>
          </cell>
          <cell r="F710">
            <v>4</v>
          </cell>
          <cell r="G710" t="str">
            <v>ja</v>
          </cell>
          <cell r="H710" t="str">
            <v>【超級】黄巾賊の暴走を止めろ！</v>
          </cell>
          <cell r="I710" t="str">
            <v>超級</v>
          </cell>
          <cell r="J710">
            <v>694</v>
          </cell>
          <cell r="K710">
            <v>30</v>
          </cell>
          <cell r="L710">
            <v>3300</v>
          </cell>
          <cell r="M710">
            <v>1</v>
          </cell>
          <cell r="N710">
            <v>1</v>
          </cell>
          <cell r="O710">
            <v>1</v>
          </cell>
          <cell r="P710">
            <v>1</v>
          </cell>
          <cell r="Q710">
            <v>1</v>
          </cell>
          <cell r="R710">
            <v>3</v>
          </cell>
          <cell r="S710" t="str">
            <v>polygon</v>
          </cell>
          <cell r="T710">
            <v>1</v>
          </cell>
          <cell r="U710" t="str">
            <v>NULL</v>
          </cell>
          <cell r="V710" t="str">
            <v>NULL</v>
          </cell>
          <cell r="W710" t="str">
            <v/>
          </cell>
          <cell r="X710">
            <v>0</v>
          </cell>
          <cell r="Y710">
            <v>0</v>
          </cell>
          <cell r="Z710">
            <v>0</v>
          </cell>
          <cell r="AA710">
            <v>0</v>
          </cell>
          <cell r="AB710" t="str">
            <v>anytime</v>
          </cell>
          <cell r="AC710">
            <v>12</v>
          </cell>
          <cell r="AD710">
            <v>6</v>
          </cell>
          <cell r="AE710" t="str">
            <v>everyone</v>
          </cell>
        </row>
        <row r="711">
          <cell r="A711" t="str">
            <v>39011_1</v>
          </cell>
          <cell r="B711">
            <v>3</v>
          </cell>
          <cell r="C711">
            <v>39011</v>
          </cell>
          <cell r="D711" t="str">
            <v>ブルースクウェアを追え！</v>
          </cell>
          <cell r="E711" t="str">
            <v>コラボクエスト（復刻）</v>
          </cell>
          <cell r="F711">
            <v>1</v>
          </cell>
          <cell r="G711" t="str">
            <v>ja</v>
          </cell>
          <cell r="H711" t="str">
            <v>【初級】ブルースクウェアを追え！</v>
          </cell>
          <cell r="I711" t="str">
            <v>初級</v>
          </cell>
          <cell r="J711">
            <v>691</v>
          </cell>
          <cell r="K711">
            <v>8</v>
          </cell>
          <cell r="L711">
            <v>384</v>
          </cell>
          <cell r="M711">
            <v>1</v>
          </cell>
          <cell r="N711">
            <v>1</v>
          </cell>
          <cell r="O711">
            <v>1</v>
          </cell>
          <cell r="P711">
            <v>1</v>
          </cell>
          <cell r="Q711">
            <v>1</v>
          </cell>
          <cell r="R711">
            <v>3</v>
          </cell>
          <cell r="S711" t="str">
            <v>none</v>
          </cell>
          <cell r="T711">
            <v>0</v>
          </cell>
          <cell r="U711" t="str">
            <v>NULL</v>
          </cell>
          <cell r="V711" t="str">
            <v>NULL</v>
          </cell>
          <cell r="W711" t="str">
            <v/>
          </cell>
          <cell r="X711">
            <v>0</v>
          </cell>
          <cell r="Y711">
            <v>0</v>
          </cell>
          <cell r="Z711">
            <v>0</v>
          </cell>
          <cell r="AA711">
            <v>0</v>
          </cell>
          <cell r="AB711" t="str">
            <v>anytime</v>
          </cell>
          <cell r="AC711">
            <v>14</v>
          </cell>
          <cell r="AD711">
            <v>6</v>
          </cell>
          <cell r="AE711" t="str">
            <v>everyone</v>
          </cell>
        </row>
        <row r="712">
          <cell r="A712" t="str">
            <v>39011_2</v>
          </cell>
          <cell r="B712">
            <v>3</v>
          </cell>
          <cell r="C712">
            <v>39011</v>
          </cell>
          <cell r="D712" t="str">
            <v>ブルースクウェアを追え！</v>
          </cell>
          <cell r="E712" t="str">
            <v>コラボクエスト（復刻）</v>
          </cell>
          <cell r="F712">
            <v>2</v>
          </cell>
          <cell r="G712" t="str">
            <v>ja</v>
          </cell>
          <cell r="H712" t="str">
            <v>【中級】ブルースクウェアを追え！</v>
          </cell>
          <cell r="I712" t="str">
            <v>中級</v>
          </cell>
          <cell r="J712">
            <v>691</v>
          </cell>
          <cell r="K712">
            <v>15</v>
          </cell>
          <cell r="L712">
            <v>1200</v>
          </cell>
          <cell r="M712">
            <v>1</v>
          </cell>
          <cell r="N712">
            <v>1</v>
          </cell>
          <cell r="O712">
            <v>1</v>
          </cell>
          <cell r="P712">
            <v>1</v>
          </cell>
          <cell r="Q712">
            <v>1</v>
          </cell>
          <cell r="R712">
            <v>3</v>
          </cell>
          <cell r="S712" t="str">
            <v>none</v>
          </cell>
          <cell r="T712">
            <v>0</v>
          </cell>
          <cell r="U712" t="str">
            <v>NULL</v>
          </cell>
          <cell r="V712" t="str">
            <v>NULL</v>
          </cell>
          <cell r="W712" t="str">
            <v/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  <cell r="AB712" t="str">
            <v>anytime</v>
          </cell>
          <cell r="AC712">
            <v>14</v>
          </cell>
          <cell r="AD712">
            <v>6</v>
          </cell>
          <cell r="AE712" t="str">
            <v>everyone</v>
          </cell>
        </row>
        <row r="713">
          <cell r="A713" t="str">
            <v>39011_3</v>
          </cell>
          <cell r="B713">
            <v>3</v>
          </cell>
          <cell r="C713">
            <v>39011</v>
          </cell>
          <cell r="D713" t="str">
            <v>ブルースクウェアを追え！</v>
          </cell>
          <cell r="E713" t="str">
            <v>コラボクエスト（復刻）</v>
          </cell>
          <cell r="F713">
            <v>3</v>
          </cell>
          <cell r="G713" t="str">
            <v>ja</v>
          </cell>
          <cell r="H713" t="str">
            <v>【上級】ブルースクウェアを追え！</v>
          </cell>
          <cell r="I713" t="str">
            <v>上級</v>
          </cell>
          <cell r="J713">
            <v>691</v>
          </cell>
          <cell r="K713">
            <v>20</v>
          </cell>
          <cell r="L713">
            <v>2000</v>
          </cell>
          <cell r="M713">
            <v>1</v>
          </cell>
          <cell r="N713">
            <v>1</v>
          </cell>
          <cell r="O713">
            <v>1</v>
          </cell>
          <cell r="P713">
            <v>1</v>
          </cell>
          <cell r="Q713">
            <v>1</v>
          </cell>
          <cell r="R713">
            <v>3</v>
          </cell>
          <cell r="S713" t="str">
            <v>none</v>
          </cell>
          <cell r="T713">
            <v>0</v>
          </cell>
          <cell r="U713" t="str">
            <v>NULL</v>
          </cell>
          <cell r="V713" t="str">
            <v>NULL</v>
          </cell>
          <cell r="W713" t="str">
            <v/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  <cell r="AB713" t="str">
            <v>anytime</v>
          </cell>
          <cell r="AC713">
            <v>14</v>
          </cell>
          <cell r="AD713">
            <v>6</v>
          </cell>
          <cell r="AE713" t="str">
            <v>everyone</v>
          </cell>
        </row>
        <row r="714">
          <cell r="A714" t="str">
            <v>39011_4</v>
          </cell>
          <cell r="B714">
            <v>3</v>
          </cell>
          <cell r="C714">
            <v>39011</v>
          </cell>
          <cell r="D714" t="str">
            <v>ブルースクウェアを追え！</v>
          </cell>
          <cell r="E714" t="str">
            <v>コラボクエスト（復刻）</v>
          </cell>
          <cell r="F714">
            <v>4</v>
          </cell>
          <cell r="G714" t="str">
            <v>ja</v>
          </cell>
          <cell r="H714" t="str">
            <v>【超級】ブルースクウェアを追え！</v>
          </cell>
          <cell r="I714" t="str">
            <v>超級</v>
          </cell>
          <cell r="J714">
            <v>691</v>
          </cell>
          <cell r="K714">
            <v>30</v>
          </cell>
          <cell r="L714">
            <v>3300</v>
          </cell>
          <cell r="M714">
            <v>1</v>
          </cell>
          <cell r="N714">
            <v>1</v>
          </cell>
          <cell r="O714">
            <v>1</v>
          </cell>
          <cell r="P714">
            <v>1</v>
          </cell>
          <cell r="Q714">
            <v>1</v>
          </cell>
          <cell r="R714">
            <v>3</v>
          </cell>
          <cell r="S714" t="str">
            <v>polygon</v>
          </cell>
          <cell r="T714">
            <v>1</v>
          </cell>
          <cell r="U714" t="str">
            <v>NULL</v>
          </cell>
          <cell r="V714" t="str">
            <v>NULL</v>
          </cell>
          <cell r="W714" t="str">
            <v/>
          </cell>
          <cell r="X714">
            <v>0</v>
          </cell>
          <cell r="Y714">
            <v>0</v>
          </cell>
          <cell r="Z714">
            <v>0</v>
          </cell>
          <cell r="AA714">
            <v>0</v>
          </cell>
          <cell r="AB714" t="str">
            <v>anytime</v>
          </cell>
          <cell r="AC714">
            <v>14</v>
          </cell>
          <cell r="AD714">
            <v>6</v>
          </cell>
          <cell r="AE714" t="str">
            <v>everyone</v>
          </cell>
        </row>
        <row r="715">
          <cell r="A715" t="str">
            <v>39012_1</v>
          </cell>
          <cell r="B715">
            <v>3</v>
          </cell>
          <cell r="C715">
            <v>39012</v>
          </cell>
          <cell r="D715" t="str">
            <v>侵略！？にゃんこ軍団現る！</v>
          </cell>
          <cell r="E715" t="str">
            <v>コラボクエスト</v>
          </cell>
          <cell r="F715">
            <v>1</v>
          </cell>
          <cell r="G715" t="str">
            <v>ja</v>
          </cell>
          <cell r="H715" t="str">
            <v>【初級】侵略！？にゃんこ軍団現る！</v>
          </cell>
          <cell r="I715" t="str">
            <v>初級</v>
          </cell>
          <cell r="J715">
            <v>1506</v>
          </cell>
          <cell r="K715">
            <v>8</v>
          </cell>
          <cell r="L715">
            <v>600</v>
          </cell>
          <cell r="M715">
            <v>1</v>
          </cell>
          <cell r="N715">
            <v>1</v>
          </cell>
          <cell r="O715">
            <v>1</v>
          </cell>
          <cell r="P715">
            <v>1</v>
          </cell>
          <cell r="Q715">
            <v>1</v>
          </cell>
          <cell r="R715">
            <v>3</v>
          </cell>
          <cell r="S715" t="str">
            <v>item</v>
          </cell>
          <cell r="T715">
            <v>704</v>
          </cell>
          <cell r="U715" t="str">
            <v>NULL</v>
          </cell>
          <cell r="V715" t="str">
            <v>NULL</v>
          </cell>
          <cell r="W715" t="str">
            <v/>
          </cell>
          <cell r="X715">
            <v>0</v>
          </cell>
          <cell r="Y715">
            <v>0</v>
          </cell>
          <cell r="Z715">
            <v>0</v>
          </cell>
          <cell r="AA715">
            <v>0</v>
          </cell>
          <cell r="AB715" t="str">
            <v>anytime</v>
          </cell>
          <cell r="AC715">
            <v>980</v>
          </cell>
          <cell r="AD715">
            <v>6</v>
          </cell>
          <cell r="AE715" t="str">
            <v>everyone</v>
          </cell>
        </row>
        <row r="716">
          <cell r="A716" t="str">
            <v>39012_2</v>
          </cell>
          <cell r="B716">
            <v>3</v>
          </cell>
          <cell r="C716">
            <v>39012</v>
          </cell>
          <cell r="D716" t="str">
            <v>侵略！？にゃんこ軍団現る！</v>
          </cell>
          <cell r="E716" t="str">
            <v>コラボクエスト</v>
          </cell>
          <cell r="F716">
            <v>2</v>
          </cell>
          <cell r="G716" t="str">
            <v>ja</v>
          </cell>
          <cell r="H716" t="str">
            <v>【中級】侵略！？にゃんこ軍団現る！</v>
          </cell>
          <cell r="I716" t="str">
            <v>中級</v>
          </cell>
          <cell r="J716">
            <v>1507</v>
          </cell>
          <cell r="K716">
            <v>12</v>
          </cell>
          <cell r="L716">
            <v>1200</v>
          </cell>
          <cell r="M716">
            <v>1</v>
          </cell>
          <cell r="N716">
            <v>1</v>
          </cell>
          <cell r="O716">
            <v>1</v>
          </cell>
          <cell r="P716">
            <v>1</v>
          </cell>
          <cell r="Q716">
            <v>1</v>
          </cell>
          <cell r="R716">
            <v>3</v>
          </cell>
          <cell r="S716" t="str">
            <v>item</v>
          </cell>
          <cell r="T716">
            <v>704</v>
          </cell>
          <cell r="U716" t="str">
            <v>NULL</v>
          </cell>
          <cell r="V716" t="str">
            <v>NULL</v>
          </cell>
          <cell r="W716" t="str">
            <v/>
          </cell>
          <cell r="X716">
            <v>0</v>
          </cell>
          <cell r="Y716">
            <v>0</v>
          </cell>
          <cell r="Z716">
            <v>0</v>
          </cell>
          <cell r="AA716">
            <v>0</v>
          </cell>
          <cell r="AB716" t="str">
            <v>anytime</v>
          </cell>
          <cell r="AC716">
            <v>980</v>
          </cell>
          <cell r="AD716">
            <v>6</v>
          </cell>
          <cell r="AE716" t="str">
            <v>everyone</v>
          </cell>
        </row>
        <row r="717">
          <cell r="A717" t="str">
            <v>39012_3</v>
          </cell>
          <cell r="B717">
            <v>3</v>
          </cell>
          <cell r="C717">
            <v>39012</v>
          </cell>
          <cell r="D717" t="str">
            <v>侵略！？にゃんこ軍団現る！</v>
          </cell>
          <cell r="E717" t="str">
            <v>コラボクエスト</v>
          </cell>
          <cell r="F717">
            <v>3</v>
          </cell>
          <cell r="G717" t="str">
            <v>ja</v>
          </cell>
          <cell r="H717" t="str">
            <v>【上級】侵略！？にゃんこ軍団現る！</v>
          </cell>
          <cell r="I717" t="str">
            <v>上級</v>
          </cell>
          <cell r="J717">
            <v>1508</v>
          </cell>
          <cell r="K717">
            <v>16</v>
          </cell>
          <cell r="L717">
            <v>2000</v>
          </cell>
          <cell r="M717">
            <v>1</v>
          </cell>
          <cell r="N717">
            <v>1</v>
          </cell>
          <cell r="O717">
            <v>1</v>
          </cell>
          <cell r="P717">
            <v>1</v>
          </cell>
          <cell r="Q717">
            <v>1</v>
          </cell>
          <cell r="R717">
            <v>3</v>
          </cell>
          <cell r="S717" t="str">
            <v>item</v>
          </cell>
          <cell r="T717">
            <v>704</v>
          </cell>
          <cell r="U717" t="str">
            <v>NULL</v>
          </cell>
          <cell r="V717" t="str">
            <v>NULL</v>
          </cell>
          <cell r="W717" t="str">
            <v/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  <cell r="AB717" t="str">
            <v>anytime</v>
          </cell>
          <cell r="AC717">
            <v>980</v>
          </cell>
          <cell r="AD717">
            <v>6</v>
          </cell>
          <cell r="AE717" t="str">
            <v>everyone</v>
          </cell>
        </row>
        <row r="718">
          <cell r="A718" t="str">
            <v>39012_4</v>
          </cell>
          <cell r="B718">
            <v>3</v>
          </cell>
          <cell r="C718">
            <v>39012</v>
          </cell>
          <cell r="D718" t="str">
            <v>侵略！？にゃんこ軍団現る！</v>
          </cell>
          <cell r="E718" t="str">
            <v>コラボクエスト</v>
          </cell>
          <cell r="F718">
            <v>4</v>
          </cell>
          <cell r="G718" t="str">
            <v>ja</v>
          </cell>
          <cell r="H718" t="str">
            <v>【超上級】侵略！？にゃんこ軍団現る！</v>
          </cell>
          <cell r="I718" t="str">
            <v>超級</v>
          </cell>
          <cell r="J718">
            <v>1509</v>
          </cell>
          <cell r="K718">
            <v>20</v>
          </cell>
          <cell r="L718">
            <v>3000</v>
          </cell>
          <cell r="M718">
            <v>1</v>
          </cell>
          <cell r="N718">
            <v>1</v>
          </cell>
          <cell r="O718">
            <v>1</v>
          </cell>
          <cell r="P718">
            <v>1</v>
          </cell>
          <cell r="Q718">
            <v>1</v>
          </cell>
          <cell r="R718">
            <v>3</v>
          </cell>
          <cell r="S718" t="str">
            <v>item</v>
          </cell>
          <cell r="T718">
            <v>704</v>
          </cell>
          <cell r="U718" t="str">
            <v>NULL</v>
          </cell>
          <cell r="V718" t="str">
            <v>NULL</v>
          </cell>
          <cell r="W718" t="str">
            <v/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 t="str">
            <v>anytime</v>
          </cell>
          <cell r="AC718">
            <v>980</v>
          </cell>
          <cell r="AD718">
            <v>6</v>
          </cell>
          <cell r="AE718" t="str">
            <v>everyone</v>
          </cell>
        </row>
        <row r="719">
          <cell r="A719" t="str">
            <v>39012_5</v>
          </cell>
          <cell r="B719">
            <v>3</v>
          </cell>
          <cell r="C719">
            <v>39012</v>
          </cell>
          <cell r="D719" t="str">
            <v>侵略！？にゃんこ軍団現る！</v>
          </cell>
          <cell r="E719" t="str">
            <v>コラボクエスト</v>
          </cell>
          <cell r="F719">
            <v>5</v>
          </cell>
          <cell r="G719" t="str">
            <v>ja</v>
          </cell>
          <cell r="H719" t="str">
            <v>【激ムズ】侵略！？にゃんこ軍団現る！</v>
          </cell>
          <cell r="I719" t="str">
            <v>超絶級</v>
          </cell>
          <cell r="J719">
            <v>1512</v>
          </cell>
          <cell r="K719">
            <v>26</v>
          </cell>
          <cell r="L719">
            <v>4000</v>
          </cell>
          <cell r="M719">
            <v>1</v>
          </cell>
          <cell r="N719">
            <v>1</v>
          </cell>
          <cell r="O719">
            <v>1</v>
          </cell>
          <cell r="P719">
            <v>1</v>
          </cell>
          <cell r="Q719">
            <v>1</v>
          </cell>
          <cell r="R719">
            <v>3</v>
          </cell>
          <cell r="S719" t="str">
            <v>polygon</v>
          </cell>
          <cell r="T719">
            <v>1</v>
          </cell>
          <cell r="U719" t="str">
            <v>NULL</v>
          </cell>
          <cell r="V719" t="str">
            <v>NULL</v>
          </cell>
          <cell r="W719" t="str">
            <v/>
          </cell>
          <cell r="X719">
            <v>0</v>
          </cell>
          <cell r="Y719">
            <v>0</v>
          </cell>
          <cell r="Z719">
            <v>0</v>
          </cell>
          <cell r="AA719">
            <v>0</v>
          </cell>
          <cell r="AB719" t="str">
            <v>anytime</v>
          </cell>
          <cell r="AC719">
            <v>980</v>
          </cell>
          <cell r="AD719">
            <v>6</v>
          </cell>
          <cell r="AE719" t="str">
            <v>everyone</v>
          </cell>
        </row>
        <row r="720">
          <cell r="A720" t="str">
            <v>39013_1</v>
          </cell>
          <cell r="B720">
            <v>1</v>
          </cell>
          <cell r="C720">
            <v>39013</v>
          </cell>
          <cell r="D720" t="str">
            <v>兄左</v>
          </cell>
          <cell r="E720" t="str">
            <v>コラボクエスト</v>
          </cell>
          <cell r="F720">
            <v>1</v>
          </cell>
          <cell r="G720" t="str">
            <v>ja</v>
          </cell>
          <cell r="H720" t="str">
            <v>【初級】兄左</v>
          </cell>
          <cell r="I720" t="str">
            <v>初級</v>
          </cell>
          <cell r="J720">
            <v>1584</v>
          </cell>
          <cell r="K720">
            <v>8</v>
          </cell>
          <cell r="L720">
            <v>600</v>
          </cell>
          <cell r="M720">
            <v>1</v>
          </cell>
          <cell r="N720">
            <v>1</v>
          </cell>
          <cell r="O720">
            <v>1</v>
          </cell>
          <cell r="P720">
            <v>1</v>
          </cell>
          <cell r="Q720">
            <v>1</v>
          </cell>
          <cell r="R720">
            <v>3</v>
          </cell>
          <cell r="S720" t="str">
            <v>none</v>
          </cell>
          <cell r="T720">
            <v>0</v>
          </cell>
          <cell r="U720" t="str">
            <v>NULL</v>
          </cell>
          <cell r="V720" t="str">
            <v>NULL</v>
          </cell>
          <cell r="W720" t="str">
            <v/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  <cell r="AB720" t="str">
            <v>anytime</v>
          </cell>
          <cell r="AC720">
            <v>996</v>
          </cell>
          <cell r="AD720">
            <v>6</v>
          </cell>
          <cell r="AE720" t="str">
            <v>everyone</v>
          </cell>
        </row>
        <row r="721">
          <cell r="A721" t="str">
            <v>39013_2</v>
          </cell>
          <cell r="B721">
            <v>1</v>
          </cell>
          <cell r="C721">
            <v>39013</v>
          </cell>
          <cell r="D721" t="str">
            <v>兄左</v>
          </cell>
          <cell r="E721" t="str">
            <v>コラボクエスト</v>
          </cell>
          <cell r="F721">
            <v>2</v>
          </cell>
          <cell r="G721" t="str">
            <v>ja</v>
          </cell>
          <cell r="H721" t="str">
            <v>【中級】兄左</v>
          </cell>
          <cell r="I721" t="str">
            <v>中級</v>
          </cell>
          <cell r="J721">
            <v>1584</v>
          </cell>
          <cell r="K721">
            <v>12</v>
          </cell>
          <cell r="L721">
            <v>1200</v>
          </cell>
          <cell r="M721">
            <v>1</v>
          </cell>
          <cell r="N721">
            <v>1</v>
          </cell>
          <cell r="O721">
            <v>1</v>
          </cell>
          <cell r="P721">
            <v>1</v>
          </cell>
          <cell r="Q721">
            <v>1</v>
          </cell>
          <cell r="R721">
            <v>3</v>
          </cell>
          <cell r="S721" t="str">
            <v>none</v>
          </cell>
          <cell r="T721">
            <v>0</v>
          </cell>
          <cell r="U721" t="str">
            <v>NULL</v>
          </cell>
          <cell r="V721" t="str">
            <v>NULL</v>
          </cell>
          <cell r="W721" t="str">
            <v/>
          </cell>
          <cell r="X721">
            <v>0</v>
          </cell>
          <cell r="Y721">
            <v>0</v>
          </cell>
          <cell r="Z721">
            <v>0</v>
          </cell>
          <cell r="AA721">
            <v>0</v>
          </cell>
          <cell r="AB721" t="str">
            <v>anytime</v>
          </cell>
          <cell r="AC721">
            <v>996</v>
          </cell>
          <cell r="AD721">
            <v>6</v>
          </cell>
          <cell r="AE721" t="str">
            <v>everyone</v>
          </cell>
        </row>
        <row r="722">
          <cell r="A722" t="str">
            <v>39013_3</v>
          </cell>
          <cell r="B722">
            <v>1</v>
          </cell>
          <cell r="C722">
            <v>39013</v>
          </cell>
          <cell r="D722" t="str">
            <v>兄左</v>
          </cell>
          <cell r="E722" t="str">
            <v>コラボクエスト</v>
          </cell>
          <cell r="F722">
            <v>3</v>
          </cell>
          <cell r="G722" t="str">
            <v>ja</v>
          </cell>
          <cell r="H722" t="str">
            <v>【上級】兄左</v>
          </cell>
          <cell r="I722" t="str">
            <v>上級</v>
          </cell>
          <cell r="J722">
            <v>1585</v>
          </cell>
          <cell r="K722">
            <v>16</v>
          </cell>
          <cell r="L722">
            <v>2000</v>
          </cell>
          <cell r="M722">
            <v>1</v>
          </cell>
          <cell r="N722">
            <v>1</v>
          </cell>
          <cell r="O722">
            <v>1</v>
          </cell>
          <cell r="P722">
            <v>1</v>
          </cell>
          <cell r="Q722">
            <v>1</v>
          </cell>
          <cell r="R722">
            <v>3</v>
          </cell>
          <cell r="S722" t="str">
            <v>none</v>
          </cell>
          <cell r="T722">
            <v>0</v>
          </cell>
          <cell r="U722" t="str">
            <v>NULL</v>
          </cell>
          <cell r="V722" t="str">
            <v>NULL</v>
          </cell>
          <cell r="W722" t="str">
            <v/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 t="str">
            <v>anytime</v>
          </cell>
          <cell r="AC722">
            <v>996</v>
          </cell>
          <cell r="AD722">
            <v>6</v>
          </cell>
          <cell r="AE722" t="str">
            <v>everyone</v>
          </cell>
        </row>
        <row r="723">
          <cell r="A723" t="str">
            <v>39013_4</v>
          </cell>
          <cell r="B723">
            <v>1</v>
          </cell>
          <cell r="C723">
            <v>39013</v>
          </cell>
          <cell r="D723" t="str">
            <v>兄左</v>
          </cell>
          <cell r="E723" t="str">
            <v>コラボクエスト</v>
          </cell>
          <cell r="F723">
            <v>4</v>
          </cell>
          <cell r="G723" t="str">
            <v>ja</v>
          </cell>
          <cell r="H723" t="str">
            <v>【超級】兄左</v>
          </cell>
          <cell r="I723" t="str">
            <v>超級</v>
          </cell>
          <cell r="J723">
            <v>1586</v>
          </cell>
          <cell r="K723">
            <v>30</v>
          </cell>
          <cell r="L723">
            <v>3300</v>
          </cell>
          <cell r="M723">
            <v>1</v>
          </cell>
          <cell r="N723">
            <v>1</v>
          </cell>
          <cell r="O723">
            <v>1</v>
          </cell>
          <cell r="P723">
            <v>1</v>
          </cell>
          <cell r="Q723">
            <v>1</v>
          </cell>
          <cell r="R723">
            <v>3</v>
          </cell>
          <cell r="S723" t="str">
            <v>none</v>
          </cell>
          <cell r="T723">
            <v>0</v>
          </cell>
          <cell r="U723" t="str">
            <v>NULL</v>
          </cell>
          <cell r="V723" t="str">
            <v>NULL</v>
          </cell>
          <cell r="W723" t="str">
            <v/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 t="str">
            <v>anytime</v>
          </cell>
          <cell r="AC723">
            <v>996</v>
          </cell>
          <cell r="AD723">
            <v>6</v>
          </cell>
          <cell r="AE723" t="str">
            <v>everyone</v>
          </cell>
        </row>
        <row r="724">
          <cell r="A724" t="str">
            <v>39014_1</v>
          </cell>
          <cell r="B724">
            <v>1</v>
          </cell>
          <cell r="C724">
            <v>39014</v>
          </cell>
          <cell r="D724" t="str">
            <v>金券</v>
          </cell>
          <cell r="E724" t="str">
            <v>コラボクエスト</v>
          </cell>
          <cell r="F724">
            <v>1</v>
          </cell>
          <cell r="G724" t="str">
            <v>ja</v>
          </cell>
          <cell r="H724" t="str">
            <v>【超級】金券</v>
          </cell>
          <cell r="I724" t="str">
            <v>超級</v>
          </cell>
          <cell r="J724">
            <v>1512</v>
          </cell>
          <cell r="K724">
            <v>26</v>
          </cell>
          <cell r="L724">
            <v>4000</v>
          </cell>
          <cell r="M724">
            <v>1</v>
          </cell>
          <cell r="N724">
            <v>1</v>
          </cell>
          <cell r="O724">
            <v>1</v>
          </cell>
          <cell r="P724">
            <v>1</v>
          </cell>
          <cell r="Q724">
            <v>1</v>
          </cell>
          <cell r="R724">
            <v>3</v>
          </cell>
          <cell r="S724" t="str">
            <v>none</v>
          </cell>
          <cell r="T724">
            <v>0</v>
          </cell>
          <cell r="U724" t="str">
            <v>NULL</v>
          </cell>
          <cell r="V724" t="str">
            <v>NULL</v>
          </cell>
          <cell r="W724" t="str">
            <v/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  <cell r="AB724" t="str">
            <v>anytime</v>
          </cell>
          <cell r="AC724">
            <v>980</v>
          </cell>
          <cell r="AD724">
            <v>6</v>
          </cell>
          <cell r="AE724" t="str">
            <v>everyone</v>
          </cell>
        </row>
        <row r="725">
          <cell r="A725" t="str">
            <v>40001_1</v>
          </cell>
          <cell r="B725">
            <v>1</v>
          </cell>
          <cell r="C725">
            <v>40001</v>
          </cell>
          <cell r="D725" t="str">
            <v>アマテラス襲来！</v>
          </cell>
          <cell r="E725" t="str">
            <v>降臨1</v>
          </cell>
          <cell r="F725">
            <v>1</v>
          </cell>
          <cell r="G725" t="str">
            <v>ja</v>
          </cell>
          <cell r="H725" t="str">
            <v xml:space="preserve">【ウィザード級】アマテラス襲来 </v>
          </cell>
          <cell r="I725" t="str">
            <v>地獄級</v>
          </cell>
          <cell r="J725">
            <v>278</v>
          </cell>
          <cell r="K725">
            <v>35</v>
          </cell>
          <cell r="L725">
            <v>4200</v>
          </cell>
          <cell r="M725">
            <v>1</v>
          </cell>
          <cell r="N725">
            <v>1</v>
          </cell>
          <cell r="O725">
            <v>1</v>
          </cell>
          <cell r="P725">
            <v>1</v>
          </cell>
          <cell r="Q725">
            <v>1</v>
          </cell>
          <cell r="R725">
            <v>3</v>
          </cell>
          <cell r="S725" t="str">
            <v>none</v>
          </cell>
          <cell r="T725">
            <v>0</v>
          </cell>
          <cell r="U725" t="str">
            <v>NULL</v>
          </cell>
          <cell r="V725" t="str">
            <v>NULL</v>
          </cell>
          <cell r="W725" t="str">
            <v/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  <cell r="AB725" t="str">
            <v>anytime</v>
          </cell>
          <cell r="AC725">
            <v>901</v>
          </cell>
          <cell r="AD725">
            <v>6</v>
          </cell>
          <cell r="AE725" t="str">
            <v>everyone</v>
          </cell>
        </row>
        <row r="726">
          <cell r="A726" t="str">
            <v>40002_1</v>
          </cell>
          <cell r="B726">
            <v>1</v>
          </cell>
          <cell r="C726">
            <v>40002</v>
          </cell>
          <cell r="D726" t="str">
            <v>アザゼル襲来！</v>
          </cell>
          <cell r="E726" t="str">
            <v>降臨2</v>
          </cell>
          <cell r="F726">
            <v>1</v>
          </cell>
          <cell r="G726" t="str">
            <v>ja</v>
          </cell>
          <cell r="H726" t="str">
            <v xml:space="preserve">【超級】アザゼル襲来 </v>
          </cell>
          <cell r="I726" t="str">
            <v>超級</v>
          </cell>
          <cell r="J726">
            <v>296</v>
          </cell>
          <cell r="K726">
            <v>25</v>
          </cell>
          <cell r="L726">
            <v>2000</v>
          </cell>
          <cell r="M726">
            <v>1</v>
          </cell>
          <cell r="N726">
            <v>1</v>
          </cell>
          <cell r="O726">
            <v>1</v>
          </cell>
          <cell r="P726">
            <v>1</v>
          </cell>
          <cell r="Q726">
            <v>1</v>
          </cell>
          <cell r="R726">
            <v>3</v>
          </cell>
          <cell r="S726" t="str">
            <v>none</v>
          </cell>
          <cell r="T726">
            <v>0</v>
          </cell>
          <cell r="U726" t="str">
            <v>NULL</v>
          </cell>
          <cell r="V726" t="str">
            <v>NULL</v>
          </cell>
          <cell r="W726" t="str">
            <v/>
          </cell>
          <cell r="X726">
            <v>0</v>
          </cell>
          <cell r="Y726">
            <v>0</v>
          </cell>
          <cell r="Z726">
            <v>0</v>
          </cell>
          <cell r="AA726">
            <v>0</v>
          </cell>
          <cell r="AB726" t="str">
            <v>anytime</v>
          </cell>
          <cell r="AC726">
            <v>902</v>
          </cell>
          <cell r="AD726">
            <v>6</v>
          </cell>
          <cell r="AE726" t="str">
            <v>everyone</v>
          </cell>
        </row>
        <row r="727">
          <cell r="A727" t="str">
            <v>40002_2</v>
          </cell>
          <cell r="B727">
            <v>1</v>
          </cell>
          <cell r="C727">
            <v>40002</v>
          </cell>
          <cell r="D727" t="str">
            <v>アザゼル襲来！</v>
          </cell>
          <cell r="E727" t="str">
            <v>降臨2</v>
          </cell>
          <cell r="F727">
            <v>2</v>
          </cell>
          <cell r="G727" t="str">
            <v>ja</v>
          </cell>
          <cell r="H727" t="str">
            <v>【超絶級】アザゼル襲来</v>
          </cell>
          <cell r="I727" t="str">
            <v>超絶級</v>
          </cell>
          <cell r="J727">
            <v>297</v>
          </cell>
          <cell r="K727">
            <v>30</v>
          </cell>
          <cell r="L727">
            <v>3300</v>
          </cell>
          <cell r="M727">
            <v>1</v>
          </cell>
          <cell r="N727">
            <v>1</v>
          </cell>
          <cell r="O727">
            <v>1</v>
          </cell>
          <cell r="P727">
            <v>1</v>
          </cell>
          <cell r="Q727">
            <v>1</v>
          </cell>
          <cell r="R727">
            <v>3</v>
          </cell>
          <cell r="S727" t="str">
            <v>none</v>
          </cell>
          <cell r="T727">
            <v>0</v>
          </cell>
          <cell r="U727" t="str">
            <v>NULL</v>
          </cell>
          <cell r="V727" t="str">
            <v>NULL</v>
          </cell>
          <cell r="W727" t="str">
            <v/>
          </cell>
          <cell r="X727">
            <v>0</v>
          </cell>
          <cell r="Y727">
            <v>0</v>
          </cell>
          <cell r="Z727">
            <v>0</v>
          </cell>
          <cell r="AA727">
            <v>0</v>
          </cell>
          <cell r="AB727" t="str">
            <v>anytime</v>
          </cell>
          <cell r="AC727">
            <v>902</v>
          </cell>
          <cell r="AD727">
            <v>6</v>
          </cell>
          <cell r="AE727" t="str">
            <v>everyone</v>
          </cell>
        </row>
        <row r="728">
          <cell r="A728" t="str">
            <v>40002_3</v>
          </cell>
          <cell r="B728">
            <v>1</v>
          </cell>
          <cell r="C728">
            <v>40002</v>
          </cell>
          <cell r="D728" t="str">
            <v>アザゼル襲来！</v>
          </cell>
          <cell r="E728" t="str">
            <v>降臨2</v>
          </cell>
          <cell r="F728">
            <v>3</v>
          </cell>
          <cell r="G728" t="str">
            <v>ja</v>
          </cell>
          <cell r="H728" t="str">
            <v xml:space="preserve">【ウィザード級】アザゼル襲来 </v>
          </cell>
          <cell r="I728" t="str">
            <v>地獄級</v>
          </cell>
          <cell r="J728">
            <v>297</v>
          </cell>
          <cell r="K728">
            <v>35</v>
          </cell>
          <cell r="L728">
            <v>4200</v>
          </cell>
          <cell r="M728">
            <v>1</v>
          </cell>
          <cell r="N728">
            <v>1</v>
          </cell>
          <cell r="O728">
            <v>1</v>
          </cell>
          <cell r="P728">
            <v>1</v>
          </cell>
          <cell r="Q728">
            <v>1</v>
          </cell>
          <cell r="R728">
            <v>3</v>
          </cell>
          <cell r="S728" t="str">
            <v>character</v>
          </cell>
          <cell r="T728">
            <v>296</v>
          </cell>
          <cell r="U728" t="str">
            <v>NULL</v>
          </cell>
          <cell r="V728" t="str">
            <v>NULL</v>
          </cell>
          <cell r="W728" t="str">
            <v/>
          </cell>
          <cell r="X728">
            <v>0</v>
          </cell>
          <cell r="Y728">
            <v>0</v>
          </cell>
          <cell r="Z728">
            <v>0</v>
          </cell>
          <cell r="AA728">
            <v>0</v>
          </cell>
          <cell r="AB728" t="str">
            <v>anytime</v>
          </cell>
          <cell r="AC728">
            <v>902</v>
          </cell>
          <cell r="AD728">
            <v>6</v>
          </cell>
          <cell r="AE728" t="str">
            <v>everyone</v>
          </cell>
        </row>
        <row r="729">
          <cell r="A729" t="str">
            <v>40003_1</v>
          </cell>
          <cell r="B729">
            <v>1</v>
          </cell>
          <cell r="C729">
            <v>40003</v>
          </cell>
          <cell r="D729" t="str">
            <v>ジャンヌ襲来！</v>
          </cell>
          <cell r="E729" t="str">
            <v>降臨3</v>
          </cell>
          <cell r="F729">
            <v>1</v>
          </cell>
          <cell r="G729" t="str">
            <v>ja</v>
          </cell>
          <cell r="H729" t="str">
            <v xml:space="preserve">【ウィザード級】ジャンヌ襲来 </v>
          </cell>
          <cell r="I729" t="str">
            <v>地獄級</v>
          </cell>
          <cell r="J729">
            <v>315</v>
          </cell>
          <cell r="K729">
            <v>35</v>
          </cell>
          <cell r="L729">
            <v>4200</v>
          </cell>
          <cell r="M729">
            <v>1</v>
          </cell>
          <cell r="N729">
            <v>1</v>
          </cell>
          <cell r="O729">
            <v>1</v>
          </cell>
          <cell r="P729">
            <v>1</v>
          </cell>
          <cell r="Q729">
            <v>1</v>
          </cell>
          <cell r="R729">
            <v>3</v>
          </cell>
          <cell r="S729" t="str">
            <v>character</v>
          </cell>
          <cell r="T729">
            <v>314</v>
          </cell>
          <cell r="U729" t="str">
            <v>NULL</v>
          </cell>
          <cell r="V729" t="str">
            <v>NULL</v>
          </cell>
          <cell r="W729" t="str">
            <v/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 t="str">
            <v>anytime</v>
          </cell>
          <cell r="AC729">
            <v>903</v>
          </cell>
          <cell r="AD729">
            <v>6</v>
          </cell>
          <cell r="AE729" t="str">
            <v>everyone</v>
          </cell>
        </row>
        <row r="730">
          <cell r="A730" t="str">
            <v>40004_1</v>
          </cell>
          <cell r="B730">
            <v>1</v>
          </cell>
          <cell r="C730">
            <v>40004</v>
          </cell>
          <cell r="D730" t="str">
            <v>宮本武蔵襲来！</v>
          </cell>
          <cell r="E730" t="str">
            <v>降臨4</v>
          </cell>
          <cell r="F730">
            <v>1</v>
          </cell>
          <cell r="G730" t="str">
            <v>ja</v>
          </cell>
          <cell r="H730" t="str">
            <v xml:space="preserve">【ウィザード級】宮本武蔵襲来 </v>
          </cell>
          <cell r="I730" t="str">
            <v>地獄級</v>
          </cell>
          <cell r="J730">
            <v>427</v>
          </cell>
          <cell r="K730">
            <v>35</v>
          </cell>
          <cell r="L730">
            <v>4200</v>
          </cell>
          <cell r="M730">
            <v>1</v>
          </cell>
          <cell r="N730">
            <v>1</v>
          </cell>
          <cell r="O730">
            <v>1</v>
          </cell>
          <cell r="P730">
            <v>1</v>
          </cell>
          <cell r="Q730">
            <v>1</v>
          </cell>
          <cell r="R730">
            <v>3</v>
          </cell>
          <cell r="S730" t="str">
            <v>character</v>
          </cell>
          <cell r="T730">
            <v>426</v>
          </cell>
          <cell r="U730" t="str">
            <v>NULL</v>
          </cell>
          <cell r="V730" t="str">
            <v>NULL</v>
          </cell>
          <cell r="W730" t="str">
            <v/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 t="str">
            <v>anytime</v>
          </cell>
          <cell r="AC730">
            <v>904</v>
          </cell>
          <cell r="AD730">
            <v>6</v>
          </cell>
          <cell r="AE730" t="str">
            <v>everyone</v>
          </cell>
        </row>
        <row r="731">
          <cell r="A731" t="str">
            <v>40005_1</v>
          </cell>
          <cell r="B731">
            <v>1</v>
          </cell>
          <cell r="C731">
            <v>40005</v>
          </cell>
          <cell r="D731" t="str">
            <v>オズ襲来！</v>
          </cell>
          <cell r="E731" t="str">
            <v>降臨5</v>
          </cell>
          <cell r="F731">
            <v>1</v>
          </cell>
          <cell r="G731" t="str">
            <v>ja</v>
          </cell>
          <cell r="H731" t="str">
            <v xml:space="preserve">【ウィザード級】オズ襲来 </v>
          </cell>
          <cell r="I731" t="str">
            <v>地獄級</v>
          </cell>
          <cell r="J731">
            <v>461</v>
          </cell>
          <cell r="K731">
            <v>35</v>
          </cell>
          <cell r="L731">
            <v>4200</v>
          </cell>
          <cell r="M731">
            <v>1</v>
          </cell>
          <cell r="N731">
            <v>1</v>
          </cell>
          <cell r="O731">
            <v>1</v>
          </cell>
          <cell r="P731">
            <v>1</v>
          </cell>
          <cell r="Q731">
            <v>1</v>
          </cell>
          <cell r="R731">
            <v>3</v>
          </cell>
          <cell r="S731" t="str">
            <v>character</v>
          </cell>
          <cell r="T731">
            <v>460</v>
          </cell>
          <cell r="U731" t="str">
            <v>NULL</v>
          </cell>
          <cell r="V731" t="str">
            <v>NULL</v>
          </cell>
          <cell r="W731" t="str">
            <v/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 t="str">
            <v>anytime</v>
          </cell>
          <cell r="AC731">
            <v>906</v>
          </cell>
          <cell r="AD731">
            <v>6</v>
          </cell>
          <cell r="AE731" t="str">
            <v>everyone</v>
          </cell>
        </row>
        <row r="732">
          <cell r="A732" t="str">
            <v>40006_1</v>
          </cell>
          <cell r="B732">
            <v>1</v>
          </cell>
          <cell r="C732">
            <v>40006</v>
          </cell>
          <cell r="D732" t="str">
            <v>アーサー襲来！</v>
          </cell>
          <cell r="E732" t="str">
            <v>降臨6</v>
          </cell>
          <cell r="F732">
            <v>1</v>
          </cell>
          <cell r="G732" t="str">
            <v>ja</v>
          </cell>
          <cell r="H732" t="str">
            <v xml:space="preserve">【ウィザード級】アーサー襲来 </v>
          </cell>
          <cell r="I732" t="str">
            <v>地獄級</v>
          </cell>
          <cell r="J732">
            <v>473</v>
          </cell>
          <cell r="K732">
            <v>35</v>
          </cell>
          <cell r="L732">
            <v>4200</v>
          </cell>
          <cell r="M732">
            <v>1</v>
          </cell>
          <cell r="N732">
            <v>1</v>
          </cell>
          <cell r="O732">
            <v>1</v>
          </cell>
          <cell r="P732">
            <v>1</v>
          </cell>
          <cell r="Q732">
            <v>1</v>
          </cell>
          <cell r="R732">
            <v>3</v>
          </cell>
          <cell r="S732" t="str">
            <v>character</v>
          </cell>
          <cell r="T732">
            <v>472</v>
          </cell>
          <cell r="U732" t="str">
            <v>NULL</v>
          </cell>
          <cell r="V732" t="str">
            <v>NULL</v>
          </cell>
          <cell r="W732" t="str">
            <v/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 t="str">
            <v>anytime</v>
          </cell>
          <cell r="AC732">
            <v>907</v>
          </cell>
          <cell r="AD732">
            <v>6</v>
          </cell>
          <cell r="AE732" t="str">
            <v>everyone</v>
          </cell>
        </row>
        <row r="733">
          <cell r="A733" t="str">
            <v>40007_1</v>
          </cell>
          <cell r="B733">
            <v>1</v>
          </cell>
          <cell r="C733">
            <v>40007</v>
          </cell>
          <cell r="D733" t="str">
            <v>グリム襲来！</v>
          </cell>
          <cell r="E733" t="str">
            <v>降臨7</v>
          </cell>
          <cell r="F733">
            <v>1</v>
          </cell>
          <cell r="G733" t="str">
            <v>ja</v>
          </cell>
          <cell r="H733" t="str">
            <v xml:space="preserve">【ウィザード級】グリム襲来 </v>
          </cell>
          <cell r="I733" t="str">
            <v>地獄級</v>
          </cell>
          <cell r="J733">
            <v>491</v>
          </cell>
          <cell r="K733">
            <v>35</v>
          </cell>
          <cell r="L733">
            <v>4200</v>
          </cell>
          <cell r="M733">
            <v>1</v>
          </cell>
          <cell r="N733">
            <v>1</v>
          </cell>
          <cell r="O733">
            <v>1</v>
          </cell>
          <cell r="P733">
            <v>1</v>
          </cell>
          <cell r="Q733">
            <v>1</v>
          </cell>
          <cell r="R733">
            <v>3</v>
          </cell>
          <cell r="S733" t="str">
            <v>character</v>
          </cell>
          <cell r="T733">
            <v>490</v>
          </cell>
          <cell r="U733" t="str">
            <v>NULL</v>
          </cell>
          <cell r="V733" t="str">
            <v>NULL</v>
          </cell>
          <cell r="W733" t="str">
            <v/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 t="str">
            <v>anytime</v>
          </cell>
          <cell r="AC733">
            <v>908</v>
          </cell>
          <cell r="AD733">
            <v>6</v>
          </cell>
          <cell r="AE733" t="str">
            <v>everyone</v>
          </cell>
        </row>
        <row r="734">
          <cell r="A734" t="str">
            <v>40008_1</v>
          </cell>
          <cell r="B734">
            <v>1</v>
          </cell>
          <cell r="C734">
            <v>40008</v>
          </cell>
          <cell r="D734" t="str">
            <v>Gスター襲来！</v>
          </cell>
          <cell r="E734" t="str">
            <v>降臨8</v>
          </cell>
          <cell r="F734">
            <v>1</v>
          </cell>
          <cell r="G734" t="str">
            <v>ja</v>
          </cell>
          <cell r="H734" t="str">
            <v xml:space="preserve">【ウィザード級】Gスター襲来 </v>
          </cell>
          <cell r="I734" t="str">
            <v>地獄級</v>
          </cell>
          <cell r="J734">
            <v>509</v>
          </cell>
          <cell r="K734">
            <v>35</v>
          </cell>
          <cell r="L734">
            <v>4200</v>
          </cell>
          <cell r="M734">
            <v>1</v>
          </cell>
          <cell r="N734">
            <v>1</v>
          </cell>
          <cell r="O734">
            <v>1</v>
          </cell>
          <cell r="P734">
            <v>1</v>
          </cell>
          <cell r="Q734">
            <v>1</v>
          </cell>
          <cell r="R734">
            <v>3</v>
          </cell>
          <cell r="S734" t="str">
            <v>character</v>
          </cell>
          <cell r="T734">
            <v>508</v>
          </cell>
          <cell r="U734" t="str">
            <v>NULL</v>
          </cell>
          <cell r="V734" t="str">
            <v>NULL</v>
          </cell>
          <cell r="W734" t="str">
            <v/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 t="str">
            <v>anytime</v>
          </cell>
          <cell r="AC734">
            <v>2601</v>
          </cell>
          <cell r="AD734">
            <v>6</v>
          </cell>
          <cell r="AE734" t="str">
            <v>everyone</v>
          </cell>
        </row>
        <row r="735">
          <cell r="A735" t="str">
            <v>40009_1</v>
          </cell>
          <cell r="B735">
            <v>1</v>
          </cell>
          <cell r="C735">
            <v>40009</v>
          </cell>
          <cell r="D735" t="str">
            <v>フギンとムニン襲来！</v>
          </cell>
          <cell r="E735" t="str">
            <v>降臨9</v>
          </cell>
          <cell r="F735">
            <v>1</v>
          </cell>
          <cell r="G735" t="str">
            <v>ja</v>
          </cell>
          <cell r="H735" t="str">
            <v xml:space="preserve">【ウィザード級】フギンとムニン襲来 </v>
          </cell>
          <cell r="I735" t="str">
            <v>地獄級</v>
          </cell>
          <cell r="J735">
            <v>582</v>
          </cell>
          <cell r="K735">
            <v>35</v>
          </cell>
          <cell r="L735">
            <v>4200</v>
          </cell>
          <cell r="M735">
            <v>1</v>
          </cell>
          <cell r="N735">
            <v>1</v>
          </cell>
          <cell r="O735">
            <v>1</v>
          </cell>
          <cell r="P735">
            <v>1</v>
          </cell>
          <cell r="Q735">
            <v>1</v>
          </cell>
          <cell r="R735">
            <v>3</v>
          </cell>
          <cell r="S735" t="str">
            <v>character</v>
          </cell>
          <cell r="T735">
            <v>581</v>
          </cell>
          <cell r="U735" t="str">
            <v>NULL</v>
          </cell>
          <cell r="V735" t="str">
            <v>NULL</v>
          </cell>
          <cell r="W735" t="str">
            <v/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 t="str">
            <v>anytime</v>
          </cell>
          <cell r="AC735">
            <v>25</v>
          </cell>
          <cell r="AD735">
            <v>6</v>
          </cell>
          <cell r="AE735" t="str">
            <v>everyone</v>
          </cell>
        </row>
        <row r="736">
          <cell r="A736" t="str">
            <v>40010_1</v>
          </cell>
          <cell r="B736">
            <v>1</v>
          </cell>
          <cell r="C736">
            <v>40010</v>
          </cell>
          <cell r="D736" t="str">
            <v>フレイ襲来！</v>
          </cell>
          <cell r="E736" t="str">
            <v>降臨10</v>
          </cell>
          <cell r="F736">
            <v>1</v>
          </cell>
          <cell r="G736" t="str">
            <v>ja</v>
          </cell>
          <cell r="H736" t="str">
            <v xml:space="preserve">【ウィザード級】フレイ襲来 </v>
          </cell>
          <cell r="I736" t="str">
            <v>地獄級</v>
          </cell>
          <cell r="J736">
            <v>575</v>
          </cell>
          <cell r="K736">
            <v>35</v>
          </cell>
          <cell r="L736">
            <v>4200</v>
          </cell>
          <cell r="M736">
            <v>1</v>
          </cell>
          <cell r="N736">
            <v>1</v>
          </cell>
          <cell r="O736">
            <v>1</v>
          </cell>
          <cell r="P736">
            <v>0</v>
          </cell>
          <cell r="Q736">
            <v>1</v>
          </cell>
          <cell r="R736">
            <v>3</v>
          </cell>
          <cell r="S736" t="str">
            <v>character</v>
          </cell>
          <cell r="T736">
            <v>575</v>
          </cell>
          <cell r="U736" t="str">
            <v>NULL</v>
          </cell>
          <cell r="V736" t="str">
            <v>NULL</v>
          </cell>
          <cell r="W736" t="str">
            <v/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  <cell r="AB736" t="str">
            <v>anytime</v>
          </cell>
          <cell r="AC736">
            <v>912</v>
          </cell>
          <cell r="AD736">
            <v>6</v>
          </cell>
          <cell r="AE736" t="str">
            <v>everyone</v>
          </cell>
        </row>
        <row r="737">
          <cell r="A737" t="str">
            <v>40011_1</v>
          </cell>
          <cell r="B737">
            <v>1</v>
          </cell>
          <cell r="C737">
            <v>40011</v>
          </cell>
          <cell r="D737" t="str">
            <v>ヨミ襲来！</v>
          </cell>
          <cell r="E737" t="str">
            <v>降臨11</v>
          </cell>
          <cell r="F737">
            <v>1</v>
          </cell>
          <cell r="G737" t="str">
            <v>ja</v>
          </cell>
          <cell r="H737" t="str">
            <v xml:space="preserve">【ウィザード級】ヨミ襲来 </v>
          </cell>
          <cell r="I737" t="str">
            <v>地獄級</v>
          </cell>
          <cell r="J737">
            <v>655</v>
          </cell>
          <cell r="K737">
            <v>35</v>
          </cell>
          <cell r="L737">
            <v>4200</v>
          </cell>
          <cell r="M737">
            <v>1</v>
          </cell>
          <cell r="N737">
            <v>1</v>
          </cell>
          <cell r="O737">
            <v>1</v>
          </cell>
          <cell r="P737">
            <v>1</v>
          </cell>
          <cell r="Q737">
            <v>1</v>
          </cell>
          <cell r="R737">
            <v>3</v>
          </cell>
          <cell r="S737" t="str">
            <v>character</v>
          </cell>
          <cell r="T737">
            <v>654</v>
          </cell>
          <cell r="U737" t="str">
            <v>NULL</v>
          </cell>
          <cell r="V737" t="str">
            <v>NULL</v>
          </cell>
          <cell r="W737" t="str">
            <v/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 t="str">
            <v>anytime</v>
          </cell>
          <cell r="AC737">
            <v>913</v>
          </cell>
          <cell r="AD737">
            <v>6</v>
          </cell>
          <cell r="AE737" t="str">
            <v>everyone</v>
          </cell>
        </row>
        <row r="738">
          <cell r="A738" t="str">
            <v>40012_1</v>
          </cell>
          <cell r="B738">
            <v>1</v>
          </cell>
          <cell r="C738">
            <v>40012</v>
          </cell>
          <cell r="D738" t="str">
            <v>ショウキ襲来！</v>
          </cell>
          <cell r="E738" t="str">
            <v>降臨12</v>
          </cell>
          <cell r="F738">
            <v>1</v>
          </cell>
          <cell r="G738" t="str">
            <v>ja</v>
          </cell>
          <cell r="H738" t="str">
            <v xml:space="preserve">【ウィザード級】ショウキ襲来 </v>
          </cell>
          <cell r="I738" t="str">
            <v>地獄級</v>
          </cell>
          <cell r="J738">
            <v>645</v>
          </cell>
          <cell r="K738">
            <v>35</v>
          </cell>
          <cell r="L738">
            <v>4200</v>
          </cell>
          <cell r="M738">
            <v>1</v>
          </cell>
          <cell r="N738">
            <v>1</v>
          </cell>
          <cell r="O738">
            <v>1</v>
          </cell>
          <cell r="P738">
            <v>1</v>
          </cell>
          <cell r="Q738">
            <v>1</v>
          </cell>
          <cell r="R738">
            <v>3</v>
          </cell>
          <cell r="S738" t="str">
            <v>character</v>
          </cell>
          <cell r="T738">
            <v>644</v>
          </cell>
          <cell r="U738" t="str">
            <v>NULL</v>
          </cell>
          <cell r="V738" t="str">
            <v>NULL</v>
          </cell>
          <cell r="W738" t="str">
            <v/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 t="str">
            <v>anytime</v>
          </cell>
          <cell r="AC738">
            <v>915</v>
          </cell>
          <cell r="AD738">
            <v>6</v>
          </cell>
          <cell r="AE738" t="str">
            <v>everyone</v>
          </cell>
        </row>
        <row r="739">
          <cell r="A739" t="str">
            <v>40013_1</v>
          </cell>
          <cell r="B739">
            <v>1</v>
          </cell>
          <cell r="C739">
            <v>40013</v>
          </cell>
          <cell r="D739" t="str">
            <v>カーマ襲来！</v>
          </cell>
          <cell r="E739" t="str">
            <v>降臨13</v>
          </cell>
          <cell r="F739">
            <v>1</v>
          </cell>
          <cell r="G739" t="str">
            <v>ja</v>
          </cell>
          <cell r="H739" t="str">
            <v xml:space="preserve">【ウィザード級】カーマ襲来 </v>
          </cell>
          <cell r="I739" t="str">
            <v>地獄級</v>
          </cell>
          <cell r="J739">
            <v>643</v>
          </cell>
          <cell r="K739">
            <v>35</v>
          </cell>
          <cell r="L739">
            <v>4200</v>
          </cell>
          <cell r="M739">
            <v>1</v>
          </cell>
          <cell r="N739">
            <v>1</v>
          </cell>
          <cell r="O739">
            <v>1</v>
          </cell>
          <cell r="P739">
            <v>1</v>
          </cell>
          <cell r="Q739">
            <v>0</v>
          </cell>
          <cell r="R739">
            <v>3</v>
          </cell>
          <cell r="S739" t="str">
            <v>character</v>
          </cell>
          <cell r="T739">
            <v>642</v>
          </cell>
          <cell r="U739" t="str">
            <v>NULL</v>
          </cell>
          <cell r="V739" t="str">
            <v>NULL</v>
          </cell>
          <cell r="W739" t="str">
            <v/>
          </cell>
          <cell r="X739">
            <v>0</v>
          </cell>
          <cell r="Y739">
            <v>0</v>
          </cell>
          <cell r="Z739">
            <v>0</v>
          </cell>
          <cell r="AA739">
            <v>0</v>
          </cell>
          <cell r="AB739" t="str">
            <v>anytime</v>
          </cell>
          <cell r="AC739">
            <v>916</v>
          </cell>
          <cell r="AD739">
            <v>6</v>
          </cell>
          <cell r="AE739" t="str">
            <v>everyone</v>
          </cell>
        </row>
        <row r="740">
          <cell r="A740" t="str">
            <v>40014_1</v>
          </cell>
          <cell r="B740">
            <v>1</v>
          </cell>
          <cell r="C740">
            <v>40014</v>
          </cell>
          <cell r="D740" t="str">
            <v>シヴァ襲来！</v>
          </cell>
          <cell r="E740" t="str">
            <v>降臨14</v>
          </cell>
          <cell r="F740">
            <v>1</v>
          </cell>
          <cell r="G740" t="str">
            <v>ja</v>
          </cell>
          <cell r="H740" t="str">
            <v xml:space="preserve">【ウィザード級】シヴァ襲来 </v>
          </cell>
          <cell r="I740" t="str">
            <v>地獄級</v>
          </cell>
          <cell r="J740">
            <v>657</v>
          </cell>
          <cell r="K740">
            <v>35</v>
          </cell>
          <cell r="L740">
            <v>4200</v>
          </cell>
          <cell r="M740">
            <v>1</v>
          </cell>
          <cell r="N740">
            <v>1</v>
          </cell>
          <cell r="O740">
            <v>1</v>
          </cell>
          <cell r="P740">
            <v>1</v>
          </cell>
          <cell r="Q740">
            <v>1</v>
          </cell>
          <cell r="R740">
            <v>3</v>
          </cell>
          <cell r="S740" t="str">
            <v>character</v>
          </cell>
          <cell r="T740">
            <v>656</v>
          </cell>
          <cell r="U740" t="str">
            <v>NULL</v>
          </cell>
          <cell r="V740" t="str">
            <v>NULL</v>
          </cell>
          <cell r="W740" t="str">
            <v/>
          </cell>
          <cell r="X740">
            <v>0</v>
          </cell>
          <cell r="Y740">
            <v>0</v>
          </cell>
          <cell r="Z740">
            <v>0</v>
          </cell>
          <cell r="AA740">
            <v>0</v>
          </cell>
          <cell r="AB740" t="str">
            <v>anytime</v>
          </cell>
          <cell r="AC740">
            <v>916</v>
          </cell>
          <cell r="AD740">
            <v>6</v>
          </cell>
          <cell r="AE740" t="str">
            <v>everyone</v>
          </cell>
        </row>
        <row r="741">
          <cell r="A741" t="str">
            <v>40015_1</v>
          </cell>
          <cell r="B741">
            <v>1</v>
          </cell>
          <cell r="C741">
            <v>40015</v>
          </cell>
          <cell r="D741" t="str">
            <v>ガレス襲来！</v>
          </cell>
          <cell r="E741" t="str">
            <v>降臨15</v>
          </cell>
          <cell r="F741">
            <v>1</v>
          </cell>
          <cell r="G741" t="str">
            <v>ja</v>
          </cell>
          <cell r="H741" t="str">
            <v xml:space="preserve">【ウィザード級】ガレス襲来 </v>
          </cell>
          <cell r="I741" t="str">
            <v>地獄級</v>
          </cell>
          <cell r="J741">
            <v>769</v>
          </cell>
          <cell r="K741">
            <v>35</v>
          </cell>
          <cell r="L741">
            <v>4200</v>
          </cell>
          <cell r="M741">
            <v>1</v>
          </cell>
          <cell r="N741">
            <v>1</v>
          </cell>
          <cell r="O741">
            <v>1</v>
          </cell>
          <cell r="P741">
            <v>1</v>
          </cell>
          <cell r="Q741">
            <v>1</v>
          </cell>
          <cell r="R741">
            <v>3</v>
          </cell>
          <cell r="S741" t="str">
            <v>character</v>
          </cell>
          <cell r="T741">
            <v>768</v>
          </cell>
          <cell r="U741" t="str">
            <v>NULL</v>
          </cell>
          <cell r="V741" t="str">
            <v>NULL</v>
          </cell>
          <cell r="W741" t="str">
            <v/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  <cell r="AB741" t="str">
            <v>anytime</v>
          </cell>
          <cell r="AC741">
            <v>907</v>
          </cell>
          <cell r="AD741">
            <v>6</v>
          </cell>
          <cell r="AE741" t="str">
            <v>everyone</v>
          </cell>
        </row>
        <row r="742">
          <cell r="A742" t="str">
            <v>40016_1</v>
          </cell>
          <cell r="B742">
            <v>3</v>
          </cell>
          <cell r="C742">
            <v>40016</v>
          </cell>
          <cell r="D742" t="str">
            <v>武田信玄襲来！</v>
          </cell>
          <cell r="E742" t="str">
            <v>降臨16</v>
          </cell>
          <cell r="F742">
            <v>1</v>
          </cell>
          <cell r="G742" t="str">
            <v>ja</v>
          </cell>
          <cell r="H742" t="str">
            <v xml:space="preserve">【ウィザード級】武田信玄襲来 </v>
          </cell>
          <cell r="I742" t="str">
            <v>地獄級</v>
          </cell>
          <cell r="J742">
            <v>725</v>
          </cell>
          <cell r="K742">
            <v>40</v>
          </cell>
          <cell r="L742">
            <v>4500</v>
          </cell>
          <cell r="M742">
            <v>1</v>
          </cell>
          <cell r="N742">
            <v>1</v>
          </cell>
          <cell r="O742">
            <v>1</v>
          </cell>
          <cell r="P742">
            <v>1</v>
          </cell>
          <cell r="Q742">
            <v>1</v>
          </cell>
          <cell r="R742">
            <v>3</v>
          </cell>
          <cell r="S742" t="str">
            <v>polygon</v>
          </cell>
          <cell r="T742">
            <v>1</v>
          </cell>
          <cell r="U742" t="str">
            <v>NULL</v>
          </cell>
          <cell r="V742" t="str">
            <v>NULL</v>
          </cell>
          <cell r="W742" t="str">
            <v/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 t="str">
            <v>anytime</v>
          </cell>
          <cell r="AC742">
            <v>919</v>
          </cell>
          <cell r="AD742">
            <v>6</v>
          </cell>
          <cell r="AE742" t="str">
            <v>everyone</v>
          </cell>
        </row>
        <row r="743">
          <cell r="A743" t="str">
            <v>40016_2</v>
          </cell>
          <cell r="B743">
            <v>1</v>
          </cell>
          <cell r="C743">
            <v>40016</v>
          </cell>
          <cell r="D743" t="str">
            <v>武田信玄襲来！</v>
          </cell>
          <cell r="E743" t="str">
            <v>降臨16</v>
          </cell>
          <cell r="F743">
            <v>2</v>
          </cell>
          <cell r="G743" t="str">
            <v>ja</v>
          </cell>
          <cell r="H743" t="str">
            <v xml:space="preserve">【ノーコンテニュー】武田信玄襲来 </v>
          </cell>
          <cell r="I743" t="str">
            <v>地獄級</v>
          </cell>
          <cell r="J743">
            <v>725</v>
          </cell>
          <cell r="K743">
            <v>40</v>
          </cell>
          <cell r="L743">
            <v>4500</v>
          </cell>
          <cell r="M743">
            <v>1</v>
          </cell>
          <cell r="N743">
            <v>1</v>
          </cell>
          <cell r="O743">
            <v>1</v>
          </cell>
          <cell r="P743">
            <v>1</v>
          </cell>
          <cell r="Q743">
            <v>1</v>
          </cell>
          <cell r="R743">
            <v>3</v>
          </cell>
          <cell r="S743" t="str">
            <v>polygon</v>
          </cell>
          <cell r="T743">
            <v>1</v>
          </cell>
          <cell r="U743" t="str">
            <v>NULL</v>
          </cell>
          <cell r="V743" t="str">
            <v>NULL</v>
          </cell>
          <cell r="W743" t="str">
            <v/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  <cell r="AB743" t="str">
            <v>anytime</v>
          </cell>
          <cell r="AC743">
            <v>919</v>
          </cell>
          <cell r="AD743">
            <v>6</v>
          </cell>
          <cell r="AE743" t="str">
            <v>everyone</v>
          </cell>
        </row>
        <row r="744">
          <cell r="A744" t="str">
            <v>40017_1</v>
          </cell>
          <cell r="B744">
            <v>3</v>
          </cell>
          <cell r="C744">
            <v>40017</v>
          </cell>
          <cell r="D744" t="str">
            <v>ベルゼブブ襲来！</v>
          </cell>
          <cell r="E744" t="str">
            <v>降臨17</v>
          </cell>
          <cell r="F744">
            <v>1</v>
          </cell>
          <cell r="G744" t="str">
            <v>ja</v>
          </cell>
          <cell r="H744" t="str">
            <v xml:space="preserve">【超絶級】ベルゼブブ襲来 </v>
          </cell>
          <cell r="I744" t="str">
            <v>地獄級</v>
          </cell>
          <cell r="J744">
            <v>845</v>
          </cell>
          <cell r="K744">
            <v>35</v>
          </cell>
          <cell r="L744">
            <v>4200</v>
          </cell>
          <cell r="M744">
            <v>1</v>
          </cell>
          <cell r="N744">
            <v>1</v>
          </cell>
          <cell r="O744">
            <v>1</v>
          </cell>
          <cell r="P744">
            <v>1</v>
          </cell>
          <cell r="Q744">
            <v>1</v>
          </cell>
          <cell r="R744">
            <v>3</v>
          </cell>
          <cell r="S744" t="str">
            <v>polygon</v>
          </cell>
          <cell r="T744">
            <v>1</v>
          </cell>
          <cell r="U744" t="str">
            <v>NULL</v>
          </cell>
          <cell r="V744" t="str">
            <v>NULL</v>
          </cell>
          <cell r="W744" t="str">
            <v/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  <cell r="AB744" t="str">
            <v>anytime</v>
          </cell>
          <cell r="AC744">
            <v>927</v>
          </cell>
          <cell r="AD744">
            <v>6</v>
          </cell>
          <cell r="AE744" t="str">
            <v>everyone</v>
          </cell>
        </row>
        <row r="745">
          <cell r="A745" t="str">
            <v>40017_2</v>
          </cell>
          <cell r="B745">
            <v>3</v>
          </cell>
          <cell r="C745">
            <v>40017</v>
          </cell>
          <cell r="D745" t="str">
            <v>ベルゼブブ襲来！</v>
          </cell>
          <cell r="E745" t="str">
            <v>降臨17</v>
          </cell>
          <cell r="F745">
            <v>2</v>
          </cell>
          <cell r="G745" t="str">
            <v>ja</v>
          </cell>
          <cell r="H745" t="str">
            <v>【ウィザード級】ベルゼブブ襲来</v>
          </cell>
          <cell r="I745" t="str">
            <v>地獄級</v>
          </cell>
          <cell r="J745">
            <v>845</v>
          </cell>
          <cell r="K745">
            <v>40</v>
          </cell>
          <cell r="L745">
            <v>4500</v>
          </cell>
          <cell r="M745">
            <v>1</v>
          </cell>
          <cell r="N745">
            <v>1</v>
          </cell>
          <cell r="O745">
            <v>1</v>
          </cell>
          <cell r="P745">
            <v>1</v>
          </cell>
          <cell r="Q745">
            <v>1</v>
          </cell>
          <cell r="R745">
            <v>3</v>
          </cell>
          <cell r="S745" t="str">
            <v>polygon</v>
          </cell>
          <cell r="T745">
            <v>1</v>
          </cell>
          <cell r="U745" t="str">
            <v>NULL</v>
          </cell>
          <cell r="V745" t="str">
            <v>NULL</v>
          </cell>
          <cell r="W745" t="str">
            <v/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  <cell r="AB745" t="str">
            <v>anytime</v>
          </cell>
          <cell r="AC745">
            <v>927</v>
          </cell>
          <cell r="AD745">
            <v>6</v>
          </cell>
          <cell r="AE745" t="str">
            <v>everyone</v>
          </cell>
        </row>
        <row r="746">
          <cell r="A746" t="str">
            <v>40017_3</v>
          </cell>
          <cell r="B746">
            <v>1</v>
          </cell>
          <cell r="C746">
            <v>40017</v>
          </cell>
          <cell r="D746" t="str">
            <v>ベルゼブブ襲来！</v>
          </cell>
          <cell r="E746" t="str">
            <v>降臨17</v>
          </cell>
          <cell r="F746">
            <v>3</v>
          </cell>
          <cell r="G746" t="str">
            <v>ja</v>
          </cell>
          <cell r="H746" t="str">
            <v>【ノーコンテニュー】ベルゼブブ襲来</v>
          </cell>
          <cell r="I746" t="str">
            <v>地獄級</v>
          </cell>
          <cell r="J746">
            <v>845</v>
          </cell>
          <cell r="K746">
            <v>40</v>
          </cell>
          <cell r="L746">
            <v>4500</v>
          </cell>
          <cell r="M746">
            <v>1</v>
          </cell>
          <cell r="N746">
            <v>1</v>
          </cell>
          <cell r="O746">
            <v>1</v>
          </cell>
          <cell r="P746">
            <v>1</v>
          </cell>
          <cell r="Q746">
            <v>1</v>
          </cell>
          <cell r="R746">
            <v>3</v>
          </cell>
          <cell r="S746" t="str">
            <v>polygon</v>
          </cell>
          <cell r="T746">
            <v>1</v>
          </cell>
          <cell r="U746" t="str">
            <v>NULL</v>
          </cell>
          <cell r="V746" t="str">
            <v>NULL</v>
          </cell>
          <cell r="W746" t="str">
            <v/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  <cell r="AB746" t="str">
            <v>anytime</v>
          </cell>
          <cell r="AC746">
            <v>927</v>
          </cell>
          <cell r="AD746">
            <v>6</v>
          </cell>
          <cell r="AE746" t="str">
            <v>everyone</v>
          </cell>
        </row>
        <row r="747">
          <cell r="A747" t="str">
            <v>40018_1</v>
          </cell>
          <cell r="B747">
            <v>3</v>
          </cell>
          <cell r="C747">
            <v>40018</v>
          </cell>
          <cell r="D747" t="str">
            <v>ジーナ襲来！</v>
          </cell>
          <cell r="E747" t="str">
            <v>降臨18</v>
          </cell>
          <cell r="F747">
            <v>1</v>
          </cell>
          <cell r="G747" t="str">
            <v>ja</v>
          </cell>
          <cell r="H747" t="str">
            <v xml:space="preserve">【超絶級】ジーナ襲来 </v>
          </cell>
          <cell r="I747" t="str">
            <v>地獄級</v>
          </cell>
          <cell r="J747">
            <v>861</v>
          </cell>
          <cell r="K747">
            <v>35</v>
          </cell>
          <cell r="L747">
            <v>4200</v>
          </cell>
          <cell r="M747">
            <v>1</v>
          </cell>
          <cell r="N747">
            <v>1</v>
          </cell>
          <cell r="O747">
            <v>1</v>
          </cell>
          <cell r="P747">
            <v>1</v>
          </cell>
          <cell r="Q747">
            <v>1</v>
          </cell>
          <cell r="R747">
            <v>3</v>
          </cell>
          <cell r="S747" t="str">
            <v>polygon</v>
          </cell>
          <cell r="T747">
            <v>1</v>
          </cell>
          <cell r="U747" t="str">
            <v>NULL</v>
          </cell>
          <cell r="V747" t="str">
            <v>NULL</v>
          </cell>
          <cell r="W747" t="str">
            <v/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  <cell r="AB747" t="str">
            <v>anytime</v>
          </cell>
          <cell r="AC747">
            <v>929</v>
          </cell>
          <cell r="AD747">
            <v>6</v>
          </cell>
          <cell r="AE747" t="str">
            <v>everyone</v>
          </cell>
        </row>
        <row r="748">
          <cell r="A748" t="str">
            <v>40018_2</v>
          </cell>
          <cell r="B748">
            <v>3</v>
          </cell>
          <cell r="C748">
            <v>40018</v>
          </cell>
          <cell r="D748" t="str">
            <v>ジーナ襲来！</v>
          </cell>
          <cell r="E748" t="str">
            <v>降臨18</v>
          </cell>
          <cell r="F748">
            <v>2</v>
          </cell>
          <cell r="G748" t="str">
            <v>ja</v>
          </cell>
          <cell r="H748" t="str">
            <v>【ウィザード級】ジーナ襲来</v>
          </cell>
          <cell r="I748" t="str">
            <v>地獄級</v>
          </cell>
          <cell r="J748">
            <v>861</v>
          </cell>
          <cell r="K748">
            <v>40</v>
          </cell>
          <cell r="L748">
            <v>4500</v>
          </cell>
          <cell r="M748">
            <v>1</v>
          </cell>
          <cell r="N748">
            <v>1</v>
          </cell>
          <cell r="O748">
            <v>1</v>
          </cell>
          <cell r="P748">
            <v>1</v>
          </cell>
          <cell r="Q748">
            <v>1</v>
          </cell>
          <cell r="R748">
            <v>3</v>
          </cell>
          <cell r="S748" t="str">
            <v>polygon</v>
          </cell>
          <cell r="T748">
            <v>1</v>
          </cell>
          <cell r="U748" t="str">
            <v>NULL</v>
          </cell>
          <cell r="V748" t="str">
            <v>NULL</v>
          </cell>
          <cell r="W748" t="str">
            <v/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 t="str">
            <v>anytime</v>
          </cell>
          <cell r="AC748">
            <v>929</v>
          </cell>
          <cell r="AD748">
            <v>6</v>
          </cell>
          <cell r="AE748" t="str">
            <v>everyone</v>
          </cell>
        </row>
        <row r="749">
          <cell r="A749" t="str">
            <v>40018_3</v>
          </cell>
          <cell r="B749">
            <v>1</v>
          </cell>
          <cell r="C749">
            <v>40018</v>
          </cell>
          <cell r="D749" t="str">
            <v>ジーナ襲来！</v>
          </cell>
          <cell r="E749" t="str">
            <v>降臨18</v>
          </cell>
          <cell r="F749">
            <v>3</v>
          </cell>
          <cell r="G749" t="str">
            <v>ja</v>
          </cell>
          <cell r="H749" t="str">
            <v>【ノーコンテニュー】ジーナ襲来</v>
          </cell>
          <cell r="I749" t="str">
            <v>地獄級</v>
          </cell>
          <cell r="J749">
            <v>861</v>
          </cell>
          <cell r="K749">
            <v>40</v>
          </cell>
          <cell r="L749">
            <v>4500</v>
          </cell>
          <cell r="M749">
            <v>1</v>
          </cell>
          <cell r="N749">
            <v>1</v>
          </cell>
          <cell r="O749">
            <v>1</v>
          </cell>
          <cell r="P749">
            <v>1</v>
          </cell>
          <cell r="Q749">
            <v>1</v>
          </cell>
          <cell r="R749">
            <v>3</v>
          </cell>
          <cell r="S749" t="str">
            <v>polygon</v>
          </cell>
          <cell r="T749">
            <v>1</v>
          </cell>
          <cell r="U749" t="str">
            <v>NULL</v>
          </cell>
          <cell r="V749" t="str">
            <v>NULL</v>
          </cell>
          <cell r="W749" t="str">
            <v/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 t="str">
            <v>anytime</v>
          </cell>
          <cell r="AC749">
            <v>929</v>
          </cell>
          <cell r="AD749">
            <v>6</v>
          </cell>
          <cell r="AE749" t="str">
            <v>everyone</v>
          </cell>
        </row>
        <row r="750">
          <cell r="A750" t="str">
            <v>40019_1</v>
          </cell>
          <cell r="B750">
            <v>3</v>
          </cell>
          <cell r="C750">
            <v>40019</v>
          </cell>
          <cell r="D750" t="str">
            <v>テュポーン襲来！</v>
          </cell>
          <cell r="E750" t="str">
            <v>降臨19</v>
          </cell>
          <cell r="F750">
            <v>1</v>
          </cell>
          <cell r="G750" t="str">
            <v>ja</v>
          </cell>
          <cell r="H750" t="str">
            <v xml:space="preserve">【超絶級】テュポーン襲来 </v>
          </cell>
          <cell r="I750" t="str">
            <v>超絶級</v>
          </cell>
          <cell r="J750">
            <v>741</v>
          </cell>
          <cell r="K750">
            <v>35</v>
          </cell>
          <cell r="L750">
            <v>4200</v>
          </cell>
          <cell r="M750">
            <v>1</v>
          </cell>
          <cell r="N750">
            <v>1</v>
          </cell>
          <cell r="O750">
            <v>1</v>
          </cell>
          <cell r="P750">
            <v>1</v>
          </cell>
          <cell r="Q750">
            <v>1</v>
          </cell>
          <cell r="R750">
            <v>3</v>
          </cell>
          <cell r="S750" t="str">
            <v>polygon</v>
          </cell>
          <cell r="T750">
            <v>1</v>
          </cell>
          <cell r="U750" t="str">
            <v>NULL</v>
          </cell>
          <cell r="V750" t="str">
            <v>NULL</v>
          </cell>
          <cell r="W750" t="str">
            <v/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 t="str">
            <v>anytime</v>
          </cell>
          <cell r="AC750">
            <v>921</v>
          </cell>
          <cell r="AD750">
            <v>6</v>
          </cell>
          <cell r="AE750" t="str">
            <v>everyone</v>
          </cell>
        </row>
        <row r="751">
          <cell r="A751" t="str">
            <v>40019_2</v>
          </cell>
          <cell r="B751">
            <v>3</v>
          </cell>
          <cell r="C751">
            <v>40019</v>
          </cell>
          <cell r="D751" t="str">
            <v>テュポーン襲来！</v>
          </cell>
          <cell r="E751" t="str">
            <v>降臨19</v>
          </cell>
          <cell r="F751">
            <v>2</v>
          </cell>
          <cell r="G751" t="str">
            <v>ja</v>
          </cell>
          <cell r="H751" t="str">
            <v>【ウィザード級】テュポーン襲来</v>
          </cell>
          <cell r="I751" t="str">
            <v>地獄級</v>
          </cell>
          <cell r="J751">
            <v>741</v>
          </cell>
          <cell r="K751">
            <v>40</v>
          </cell>
          <cell r="L751">
            <v>4500</v>
          </cell>
          <cell r="M751">
            <v>1</v>
          </cell>
          <cell r="N751">
            <v>1</v>
          </cell>
          <cell r="O751">
            <v>1</v>
          </cell>
          <cell r="P751">
            <v>1</v>
          </cell>
          <cell r="Q751">
            <v>1</v>
          </cell>
          <cell r="R751">
            <v>3</v>
          </cell>
          <cell r="S751" t="str">
            <v>polygon</v>
          </cell>
          <cell r="T751">
            <v>1</v>
          </cell>
          <cell r="U751" t="str">
            <v>NULL</v>
          </cell>
          <cell r="V751" t="str">
            <v>NULL</v>
          </cell>
          <cell r="W751" t="str">
            <v/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 t="str">
            <v>anytime</v>
          </cell>
          <cell r="AC751">
            <v>921</v>
          </cell>
          <cell r="AD751">
            <v>6</v>
          </cell>
          <cell r="AE751" t="str">
            <v>everyone</v>
          </cell>
        </row>
        <row r="752">
          <cell r="A752" t="str">
            <v>40019_3</v>
          </cell>
          <cell r="B752">
            <v>1</v>
          </cell>
          <cell r="C752">
            <v>40019</v>
          </cell>
          <cell r="D752" t="str">
            <v>テュポーン襲来！</v>
          </cell>
          <cell r="E752" t="str">
            <v>降臨19</v>
          </cell>
          <cell r="F752">
            <v>3</v>
          </cell>
          <cell r="G752" t="str">
            <v>ja</v>
          </cell>
          <cell r="H752" t="str">
            <v>【ノーコンテニュー】テュポーン襲来</v>
          </cell>
          <cell r="I752" t="str">
            <v>地獄級</v>
          </cell>
          <cell r="J752">
            <v>741</v>
          </cell>
          <cell r="K752">
            <v>40</v>
          </cell>
          <cell r="L752">
            <v>4500</v>
          </cell>
          <cell r="M752">
            <v>1</v>
          </cell>
          <cell r="N752">
            <v>1</v>
          </cell>
          <cell r="O752">
            <v>1</v>
          </cell>
          <cell r="P752">
            <v>1</v>
          </cell>
          <cell r="Q752">
            <v>1</v>
          </cell>
          <cell r="R752">
            <v>3</v>
          </cell>
          <cell r="S752" t="str">
            <v>polygon</v>
          </cell>
          <cell r="T752">
            <v>1</v>
          </cell>
          <cell r="U752" t="str">
            <v>NULL</v>
          </cell>
          <cell r="V752" t="str">
            <v>NULL</v>
          </cell>
          <cell r="W752" t="str">
            <v/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 t="str">
            <v>anytime</v>
          </cell>
          <cell r="AC752">
            <v>921</v>
          </cell>
          <cell r="AD752">
            <v>6</v>
          </cell>
          <cell r="AE752" t="str">
            <v>everyone</v>
          </cell>
        </row>
        <row r="753">
          <cell r="A753" t="str">
            <v>40021_1</v>
          </cell>
          <cell r="B753">
            <v>3</v>
          </cell>
          <cell r="C753">
            <v>40021</v>
          </cell>
          <cell r="D753" t="str">
            <v>ルイ16世襲来！</v>
          </cell>
          <cell r="E753" t="str">
            <v>降臨21</v>
          </cell>
          <cell r="F753">
            <v>1</v>
          </cell>
          <cell r="G753" t="str">
            <v>ja</v>
          </cell>
          <cell r="H753" t="str">
            <v xml:space="preserve">【超絶級】ルイ16世襲来 </v>
          </cell>
          <cell r="I753" t="str">
            <v>超絶級</v>
          </cell>
          <cell r="J753">
            <v>936</v>
          </cell>
          <cell r="K753">
            <v>35</v>
          </cell>
          <cell r="L753">
            <v>4200</v>
          </cell>
          <cell r="M753">
            <v>1</v>
          </cell>
          <cell r="N753">
            <v>1</v>
          </cell>
          <cell r="O753">
            <v>1</v>
          </cell>
          <cell r="P753">
            <v>1</v>
          </cell>
          <cell r="Q753">
            <v>1</v>
          </cell>
          <cell r="R753">
            <v>3</v>
          </cell>
          <cell r="S753" t="str">
            <v>polygon</v>
          </cell>
          <cell r="T753">
            <v>1</v>
          </cell>
          <cell r="U753" t="str">
            <v>NULL</v>
          </cell>
          <cell r="V753" t="str">
            <v>NULL</v>
          </cell>
          <cell r="W753" t="str">
            <v/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 t="str">
            <v>anytime</v>
          </cell>
          <cell r="AC753">
            <v>936</v>
          </cell>
          <cell r="AD753">
            <v>6</v>
          </cell>
          <cell r="AE753" t="str">
            <v>everyone</v>
          </cell>
        </row>
        <row r="754">
          <cell r="A754" t="str">
            <v>40021_2</v>
          </cell>
          <cell r="B754">
            <v>3</v>
          </cell>
          <cell r="C754">
            <v>40021</v>
          </cell>
          <cell r="D754" t="str">
            <v>ルイ16世襲来！</v>
          </cell>
          <cell r="E754" t="str">
            <v>降臨21</v>
          </cell>
          <cell r="F754">
            <v>2</v>
          </cell>
          <cell r="G754" t="str">
            <v>ja</v>
          </cell>
          <cell r="H754" t="str">
            <v>【ウィザード級】ルイ16世襲来</v>
          </cell>
          <cell r="I754" t="str">
            <v>地獄級</v>
          </cell>
          <cell r="J754">
            <v>936</v>
          </cell>
          <cell r="K754">
            <v>40</v>
          </cell>
          <cell r="L754">
            <v>4500</v>
          </cell>
          <cell r="M754">
            <v>1</v>
          </cell>
          <cell r="N754">
            <v>1</v>
          </cell>
          <cell r="O754">
            <v>1</v>
          </cell>
          <cell r="P754">
            <v>1</v>
          </cell>
          <cell r="Q754">
            <v>1</v>
          </cell>
          <cell r="R754">
            <v>3</v>
          </cell>
          <cell r="S754" t="str">
            <v>polygon</v>
          </cell>
          <cell r="T754">
            <v>1</v>
          </cell>
          <cell r="U754" t="str">
            <v>NULL</v>
          </cell>
          <cell r="V754" t="str">
            <v>NULL</v>
          </cell>
          <cell r="W754" t="str">
            <v/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 t="str">
            <v>anytime</v>
          </cell>
          <cell r="AC754">
            <v>936</v>
          </cell>
          <cell r="AD754">
            <v>6</v>
          </cell>
          <cell r="AE754" t="str">
            <v>everyone</v>
          </cell>
        </row>
        <row r="755">
          <cell r="A755" t="str">
            <v>40022_1</v>
          </cell>
          <cell r="B755">
            <v>3</v>
          </cell>
          <cell r="C755">
            <v>40022</v>
          </cell>
          <cell r="D755" t="str">
            <v>オシリス襲来！</v>
          </cell>
          <cell r="E755" t="str">
            <v>降臨22</v>
          </cell>
          <cell r="F755">
            <v>1</v>
          </cell>
          <cell r="G755" t="str">
            <v>ja</v>
          </cell>
          <cell r="H755" t="str">
            <v xml:space="preserve">【超絶級】オシリス襲来 </v>
          </cell>
          <cell r="I755" t="str">
            <v>超絶級</v>
          </cell>
          <cell r="J755">
            <v>1009</v>
          </cell>
          <cell r="K755">
            <v>35</v>
          </cell>
          <cell r="L755">
            <v>4200</v>
          </cell>
          <cell r="M755">
            <v>1</v>
          </cell>
          <cell r="N755">
            <v>1</v>
          </cell>
          <cell r="O755">
            <v>1</v>
          </cell>
          <cell r="P755">
            <v>0</v>
          </cell>
          <cell r="Q755">
            <v>1</v>
          </cell>
          <cell r="R755">
            <v>3</v>
          </cell>
          <cell r="S755" t="str">
            <v>polygon</v>
          </cell>
          <cell r="T755">
            <v>1</v>
          </cell>
          <cell r="U755" t="str">
            <v>NULL</v>
          </cell>
          <cell r="V755" t="str">
            <v>NULL</v>
          </cell>
          <cell r="W755" t="str">
            <v/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 t="str">
            <v>anytime</v>
          </cell>
          <cell r="AC755">
            <v>940</v>
          </cell>
          <cell r="AD755">
            <v>6</v>
          </cell>
          <cell r="AE755" t="str">
            <v>everyone</v>
          </cell>
        </row>
        <row r="756">
          <cell r="A756" t="str">
            <v>40022_2</v>
          </cell>
          <cell r="B756">
            <v>3</v>
          </cell>
          <cell r="C756">
            <v>40022</v>
          </cell>
          <cell r="D756" t="str">
            <v>オシリス襲来！</v>
          </cell>
          <cell r="E756" t="str">
            <v>降臨22</v>
          </cell>
          <cell r="F756">
            <v>2</v>
          </cell>
          <cell r="G756" t="str">
            <v>ja</v>
          </cell>
          <cell r="H756" t="str">
            <v>【ウィザード級】オシリス襲来</v>
          </cell>
          <cell r="I756" t="str">
            <v>地獄級</v>
          </cell>
          <cell r="J756">
            <v>1009</v>
          </cell>
          <cell r="K756">
            <v>40</v>
          </cell>
          <cell r="L756">
            <v>4500</v>
          </cell>
          <cell r="M756">
            <v>1</v>
          </cell>
          <cell r="N756">
            <v>1</v>
          </cell>
          <cell r="O756">
            <v>1</v>
          </cell>
          <cell r="P756">
            <v>0</v>
          </cell>
          <cell r="Q756">
            <v>1</v>
          </cell>
          <cell r="R756">
            <v>3</v>
          </cell>
          <cell r="S756" t="str">
            <v>polygon</v>
          </cell>
          <cell r="T756">
            <v>1</v>
          </cell>
          <cell r="U756" t="str">
            <v>NULL</v>
          </cell>
          <cell r="V756" t="str">
            <v>NULL</v>
          </cell>
          <cell r="W756" t="str">
            <v/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 t="str">
            <v>anytime</v>
          </cell>
          <cell r="AC756">
            <v>940</v>
          </cell>
          <cell r="AD756">
            <v>6</v>
          </cell>
          <cell r="AE756" t="str">
            <v>everyone</v>
          </cell>
        </row>
        <row r="757">
          <cell r="A757" t="str">
            <v>40023_1</v>
          </cell>
          <cell r="B757">
            <v>3</v>
          </cell>
          <cell r="C757">
            <v>40023</v>
          </cell>
          <cell r="D757" t="str">
            <v>武蔵坊弁慶襲来！</v>
          </cell>
          <cell r="E757" t="str">
            <v>降臨23</v>
          </cell>
          <cell r="F757">
            <v>1</v>
          </cell>
          <cell r="G757" t="str">
            <v>ja</v>
          </cell>
          <cell r="H757" t="str">
            <v xml:space="preserve">【超絶級】武蔵坊弁慶襲来 </v>
          </cell>
          <cell r="I757" t="str">
            <v>超絶級</v>
          </cell>
          <cell r="J757">
            <v>1025</v>
          </cell>
          <cell r="K757">
            <v>35</v>
          </cell>
          <cell r="L757">
            <v>4200</v>
          </cell>
          <cell r="M757">
            <v>1</v>
          </cell>
          <cell r="N757">
            <v>1</v>
          </cell>
          <cell r="O757">
            <v>1</v>
          </cell>
          <cell r="P757">
            <v>1</v>
          </cell>
          <cell r="Q757">
            <v>1</v>
          </cell>
          <cell r="R757">
            <v>3</v>
          </cell>
          <cell r="S757" t="str">
            <v>polygon</v>
          </cell>
          <cell r="T757">
            <v>1</v>
          </cell>
          <cell r="U757" t="str">
            <v>NULL</v>
          </cell>
          <cell r="V757" t="str">
            <v>NULL</v>
          </cell>
          <cell r="W757" t="str">
            <v/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  <cell r="AB757" t="str">
            <v>anytime</v>
          </cell>
          <cell r="AC757">
            <v>941</v>
          </cell>
          <cell r="AD757">
            <v>6</v>
          </cell>
          <cell r="AE757" t="str">
            <v>everyone</v>
          </cell>
        </row>
        <row r="758">
          <cell r="A758" t="str">
            <v>40023_2</v>
          </cell>
          <cell r="B758">
            <v>3</v>
          </cell>
          <cell r="C758">
            <v>40023</v>
          </cell>
          <cell r="D758" t="str">
            <v>武蔵坊弁慶襲来！</v>
          </cell>
          <cell r="E758" t="str">
            <v>降臨23</v>
          </cell>
          <cell r="F758">
            <v>2</v>
          </cell>
          <cell r="G758" t="str">
            <v>ja</v>
          </cell>
          <cell r="H758" t="str">
            <v>【ウィザード級】武蔵坊弁慶襲来</v>
          </cell>
          <cell r="I758" t="str">
            <v>地獄級</v>
          </cell>
          <cell r="J758">
            <v>1025</v>
          </cell>
          <cell r="K758">
            <v>40</v>
          </cell>
          <cell r="L758">
            <v>4500</v>
          </cell>
          <cell r="M758">
            <v>1</v>
          </cell>
          <cell r="N758">
            <v>1</v>
          </cell>
          <cell r="O758">
            <v>1</v>
          </cell>
          <cell r="P758">
            <v>1</v>
          </cell>
          <cell r="Q758">
            <v>1</v>
          </cell>
          <cell r="R758">
            <v>3</v>
          </cell>
          <cell r="S758" t="str">
            <v>polygon</v>
          </cell>
          <cell r="T758">
            <v>1</v>
          </cell>
          <cell r="U758" t="str">
            <v>NULL</v>
          </cell>
          <cell r="V758" t="str">
            <v>NULL</v>
          </cell>
          <cell r="W758" t="str">
            <v/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  <cell r="AB758" t="str">
            <v>anytime</v>
          </cell>
          <cell r="AC758">
            <v>941</v>
          </cell>
          <cell r="AD758">
            <v>6</v>
          </cell>
          <cell r="AE758" t="str">
            <v>everyone</v>
          </cell>
        </row>
        <row r="759">
          <cell r="A759" t="str">
            <v>40024_1</v>
          </cell>
          <cell r="B759">
            <v>3</v>
          </cell>
          <cell r="C759">
            <v>40024</v>
          </cell>
          <cell r="D759" t="str">
            <v>アトラス襲来！</v>
          </cell>
          <cell r="E759" t="str">
            <v>降臨24</v>
          </cell>
          <cell r="F759">
            <v>1</v>
          </cell>
          <cell r="G759" t="str">
            <v>ja</v>
          </cell>
          <cell r="H759" t="str">
            <v>【超絶級】アトラス襲来</v>
          </cell>
          <cell r="I759" t="str">
            <v>超絶級</v>
          </cell>
          <cell r="J759">
            <v>789</v>
          </cell>
          <cell r="K759">
            <v>35</v>
          </cell>
          <cell r="L759">
            <v>4200</v>
          </cell>
          <cell r="M759">
            <v>1</v>
          </cell>
          <cell r="N759">
            <v>1</v>
          </cell>
          <cell r="O759">
            <v>1</v>
          </cell>
          <cell r="P759">
            <v>1</v>
          </cell>
          <cell r="Q759">
            <v>1</v>
          </cell>
          <cell r="R759">
            <v>3</v>
          </cell>
          <cell r="S759" t="str">
            <v>polygon</v>
          </cell>
          <cell r="T759">
            <v>1</v>
          </cell>
          <cell r="U759" t="str">
            <v>NULL</v>
          </cell>
          <cell r="V759" t="str">
            <v>NULL</v>
          </cell>
          <cell r="W759" t="str">
            <v/>
          </cell>
          <cell r="X759">
            <v>0</v>
          </cell>
          <cell r="Y759">
            <v>0</v>
          </cell>
          <cell r="Z759">
            <v>0</v>
          </cell>
          <cell r="AA759">
            <v>0</v>
          </cell>
          <cell r="AB759" t="str">
            <v>anytime</v>
          </cell>
          <cell r="AC759">
            <v>20</v>
          </cell>
          <cell r="AD759">
            <v>6</v>
          </cell>
          <cell r="AE759" t="str">
            <v>everyone</v>
          </cell>
        </row>
        <row r="760">
          <cell r="A760" t="str">
            <v>40024_2</v>
          </cell>
          <cell r="B760">
            <v>3</v>
          </cell>
          <cell r="C760">
            <v>40024</v>
          </cell>
          <cell r="D760" t="str">
            <v>アトラス襲来！</v>
          </cell>
          <cell r="E760" t="str">
            <v>降臨24</v>
          </cell>
          <cell r="F760">
            <v>2</v>
          </cell>
          <cell r="G760" t="str">
            <v>ja</v>
          </cell>
          <cell r="H760" t="str">
            <v>【ウィザード級】アトラス襲来</v>
          </cell>
          <cell r="I760" t="str">
            <v>地獄級</v>
          </cell>
          <cell r="J760">
            <v>789</v>
          </cell>
          <cell r="K760">
            <v>40</v>
          </cell>
          <cell r="L760">
            <v>4500</v>
          </cell>
          <cell r="M760">
            <v>1</v>
          </cell>
          <cell r="N760">
            <v>1</v>
          </cell>
          <cell r="O760">
            <v>1</v>
          </cell>
          <cell r="P760">
            <v>1</v>
          </cell>
          <cell r="Q760">
            <v>1</v>
          </cell>
          <cell r="R760">
            <v>3</v>
          </cell>
          <cell r="S760" t="str">
            <v>polygon</v>
          </cell>
          <cell r="T760">
            <v>1</v>
          </cell>
          <cell r="U760" t="str">
            <v>NULL</v>
          </cell>
          <cell r="V760" t="str">
            <v>NULL</v>
          </cell>
          <cell r="W760" t="str">
            <v/>
          </cell>
          <cell r="X760">
            <v>0</v>
          </cell>
          <cell r="Y760">
            <v>0</v>
          </cell>
          <cell r="Z760">
            <v>0</v>
          </cell>
          <cell r="AA760">
            <v>0</v>
          </cell>
          <cell r="AB760" t="str">
            <v>anytime</v>
          </cell>
          <cell r="AC760">
            <v>20</v>
          </cell>
          <cell r="AD760">
            <v>6</v>
          </cell>
          <cell r="AE760" t="str">
            <v>everyone</v>
          </cell>
        </row>
        <row r="761">
          <cell r="A761" t="str">
            <v>40025_1</v>
          </cell>
          <cell r="B761">
            <v>3</v>
          </cell>
          <cell r="C761">
            <v>40025</v>
          </cell>
          <cell r="D761" t="str">
            <v>ティアマト襲来！</v>
          </cell>
          <cell r="E761" t="str">
            <v>降臨25</v>
          </cell>
          <cell r="F761">
            <v>1</v>
          </cell>
          <cell r="G761" t="str">
            <v>ja</v>
          </cell>
          <cell r="H761" t="str">
            <v>【超絶級】ティアマト襲来</v>
          </cell>
          <cell r="I761" t="str">
            <v>超絶級</v>
          </cell>
          <cell r="J761">
            <v>1064</v>
          </cell>
          <cell r="K761">
            <v>35</v>
          </cell>
          <cell r="L761">
            <v>4200</v>
          </cell>
          <cell r="M761">
            <v>1</v>
          </cell>
          <cell r="N761">
            <v>1</v>
          </cell>
          <cell r="O761">
            <v>1</v>
          </cell>
          <cell r="P761">
            <v>1</v>
          </cell>
          <cell r="Q761">
            <v>1</v>
          </cell>
          <cell r="R761">
            <v>3</v>
          </cell>
          <cell r="S761" t="str">
            <v>polygon</v>
          </cell>
          <cell r="T761">
            <v>1</v>
          </cell>
          <cell r="U761" t="str">
            <v>NULL</v>
          </cell>
          <cell r="V761" t="str">
            <v>NULL</v>
          </cell>
          <cell r="W761" t="str">
            <v/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  <cell r="AB761" t="str">
            <v>anytime</v>
          </cell>
          <cell r="AC761">
            <v>944</v>
          </cell>
          <cell r="AD761">
            <v>6</v>
          </cell>
          <cell r="AE761" t="str">
            <v>everyone</v>
          </cell>
        </row>
        <row r="762">
          <cell r="A762" t="str">
            <v>40025_2</v>
          </cell>
          <cell r="B762">
            <v>3</v>
          </cell>
          <cell r="C762">
            <v>40025</v>
          </cell>
          <cell r="D762" t="str">
            <v>ティアマト襲来！</v>
          </cell>
          <cell r="E762" t="str">
            <v>降臨25</v>
          </cell>
          <cell r="F762">
            <v>2</v>
          </cell>
          <cell r="G762" t="str">
            <v>ja</v>
          </cell>
          <cell r="H762" t="str">
            <v>【ウィザード級】ティアマト襲来</v>
          </cell>
          <cell r="I762" t="str">
            <v>地獄級</v>
          </cell>
          <cell r="J762">
            <v>1064</v>
          </cell>
          <cell r="K762">
            <v>40</v>
          </cell>
          <cell r="L762">
            <v>4500</v>
          </cell>
          <cell r="M762">
            <v>1</v>
          </cell>
          <cell r="N762">
            <v>1</v>
          </cell>
          <cell r="O762">
            <v>1</v>
          </cell>
          <cell r="P762">
            <v>1</v>
          </cell>
          <cell r="Q762">
            <v>1</v>
          </cell>
          <cell r="R762">
            <v>3</v>
          </cell>
          <cell r="S762" t="str">
            <v>polygon</v>
          </cell>
          <cell r="T762">
            <v>1</v>
          </cell>
          <cell r="U762" t="str">
            <v>NULL</v>
          </cell>
          <cell r="V762" t="str">
            <v>NULL</v>
          </cell>
          <cell r="W762" t="str">
            <v/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 t="str">
            <v>anytime</v>
          </cell>
          <cell r="AC762">
            <v>944</v>
          </cell>
          <cell r="AD762">
            <v>6</v>
          </cell>
          <cell r="AE762" t="str">
            <v>everyone</v>
          </cell>
        </row>
        <row r="763">
          <cell r="A763" t="str">
            <v>40026_1</v>
          </cell>
          <cell r="B763">
            <v>3</v>
          </cell>
          <cell r="C763">
            <v>40026</v>
          </cell>
          <cell r="D763" t="str">
            <v>ミケランジェロ襲来！</v>
          </cell>
          <cell r="E763" t="str">
            <v>降臨26</v>
          </cell>
          <cell r="F763">
            <v>1</v>
          </cell>
          <cell r="G763" t="str">
            <v>ja</v>
          </cell>
          <cell r="H763" t="str">
            <v>【超絶級】ミケランジェロ襲来</v>
          </cell>
          <cell r="I763" t="str">
            <v>超絶級</v>
          </cell>
          <cell r="J763">
            <v>1089</v>
          </cell>
          <cell r="K763">
            <v>35</v>
          </cell>
          <cell r="L763">
            <v>4200</v>
          </cell>
          <cell r="M763">
            <v>1</v>
          </cell>
          <cell r="N763">
            <v>1</v>
          </cell>
          <cell r="O763">
            <v>1</v>
          </cell>
          <cell r="P763">
            <v>1</v>
          </cell>
          <cell r="Q763">
            <v>1</v>
          </cell>
          <cell r="R763">
            <v>3</v>
          </cell>
          <cell r="S763" t="str">
            <v>polygon</v>
          </cell>
          <cell r="T763">
            <v>1</v>
          </cell>
          <cell r="U763" t="str">
            <v>NULL</v>
          </cell>
          <cell r="V763" t="str">
            <v>NULL</v>
          </cell>
          <cell r="W763" t="str">
            <v/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 t="str">
            <v>anytime</v>
          </cell>
          <cell r="AC763">
            <v>26</v>
          </cell>
          <cell r="AD763">
            <v>6</v>
          </cell>
          <cell r="AE763" t="str">
            <v>everyone</v>
          </cell>
        </row>
        <row r="764">
          <cell r="A764" t="str">
            <v>40026_2</v>
          </cell>
          <cell r="B764">
            <v>3</v>
          </cell>
          <cell r="C764">
            <v>40026</v>
          </cell>
          <cell r="D764" t="str">
            <v>ミケランジェロ襲来！</v>
          </cell>
          <cell r="E764" t="str">
            <v>降臨26</v>
          </cell>
          <cell r="F764">
            <v>2</v>
          </cell>
          <cell r="G764" t="str">
            <v>ja</v>
          </cell>
          <cell r="H764" t="str">
            <v>【ウィザード級】ミケランジェロ襲来</v>
          </cell>
          <cell r="I764" t="str">
            <v>地獄級</v>
          </cell>
          <cell r="J764">
            <v>1089</v>
          </cell>
          <cell r="K764">
            <v>40</v>
          </cell>
          <cell r="L764">
            <v>4500</v>
          </cell>
          <cell r="M764">
            <v>1</v>
          </cell>
          <cell r="N764">
            <v>1</v>
          </cell>
          <cell r="O764">
            <v>1</v>
          </cell>
          <cell r="P764">
            <v>1</v>
          </cell>
          <cell r="Q764">
            <v>1</v>
          </cell>
          <cell r="R764">
            <v>3</v>
          </cell>
          <cell r="S764" t="str">
            <v>polygon</v>
          </cell>
          <cell r="T764">
            <v>1</v>
          </cell>
          <cell r="U764" t="str">
            <v>NULL</v>
          </cell>
          <cell r="V764" t="str">
            <v>NULL</v>
          </cell>
          <cell r="W764" t="str">
            <v/>
          </cell>
          <cell r="X764">
            <v>0</v>
          </cell>
          <cell r="Y764">
            <v>0</v>
          </cell>
          <cell r="Z764">
            <v>0</v>
          </cell>
          <cell r="AA764">
            <v>0</v>
          </cell>
          <cell r="AB764" t="str">
            <v>anytime</v>
          </cell>
          <cell r="AC764">
            <v>26</v>
          </cell>
          <cell r="AD764">
            <v>6</v>
          </cell>
          <cell r="AE764" t="str">
            <v>everyone</v>
          </cell>
        </row>
        <row r="765">
          <cell r="A765" t="str">
            <v>40027_1</v>
          </cell>
          <cell r="B765">
            <v>3</v>
          </cell>
          <cell r="C765">
            <v>40027</v>
          </cell>
          <cell r="D765" t="str">
            <v>コルキス襲来！</v>
          </cell>
          <cell r="E765" t="str">
            <v>降臨27</v>
          </cell>
          <cell r="F765">
            <v>1</v>
          </cell>
          <cell r="G765" t="str">
            <v>ja</v>
          </cell>
          <cell r="H765" t="str">
            <v>【超絶級】コルキス襲来</v>
          </cell>
          <cell r="I765" t="str">
            <v>超絶級</v>
          </cell>
          <cell r="J765">
            <v>892</v>
          </cell>
          <cell r="K765">
            <v>35</v>
          </cell>
          <cell r="L765">
            <v>4200</v>
          </cell>
          <cell r="M765">
            <v>1</v>
          </cell>
          <cell r="N765">
            <v>1</v>
          </cell>
          <cell r="O765">
            <v>0</v>
          </cell>
          <cell r="P765">
            <v>1</v>
          </cell>
          <cell r="Q765">
            <v>1</v>
          </cell>
          <cell r="R765">
            <v>3</v>
          </cell>
          <cell r="S765" t="str">
            <v>polygon</v>
          </cell>
          <cell r="T765">
            <v>1</v>
          </cell>
          <cell r="U765" t="str">
            <v>NULL</v>
          </cell>
          <cell r="V765" t="str">
            <v>NULL</v>
          </cell>
          <cell r="W765" t="str">
            <v/>
          </cell>
          <cell r="X765">
            <v>0</v>
          </cell>
          <cell r="Y765">
            <v>0</v>
          </cell>
          <cell r="Z765">
            <v>0</v>
          </cell>
          <cell r="AA765">
            <v>0</v>
          </cell>
          <cell r="AB765" t="str">
            <v>anytime</v>
          </cell>
          <cell r="AC765">
            <v>11</v>
          </cell>
          <cell r="AD765">
            <v>6</v>
          </cell>
          <cell r="AE765" t="str">
            <v>everyone</v>
          </cell>
        </row>
        <row r="766">
          <cell r="A766" t="str">
            <v>40027_2</v>
          </cell>
          <cell r="B766">
            <v>3</v>
          </cell>
          <cell r="C766">
            <v>40027</v>
          </cell>
          <cell r="D766" t="str">
            <v>コルキス襲来！</v>
          </cell>
          <cell r="E766" t="str">
            <v>降臨27</v>
          </cell>
          <cell r="F766">
            <v>2</v>
          </cell>
          <cell r="G766" t="str">
            <v>ja</v>
          </cell>
          <cell r="H766" t="str">
            <v>【ウィザード級】コルキス襲来</v>
          </cell>
          <cell r="I766" t="str">
            <v>地獄級</v>
          </cell>
          <cell r="J766">
            <v>892</v>
          </cell>
          <cell r="K766">
            <v>40</v>
          </cell>
          <cell r="L766">
            <v>4500</v>
          </cell>
          <cell r="M766">
            <v>1</v>
          </cell>
          <cell r="N766">
            <v>1</v>
          </cell>
          <cell r="O766">
            <v>0</v>
          </cell>
          <cell r="P766">
            <v>1</v>
          </cell>
          <cell r="Q766">
            <v>1</v>
          </cell>
          <cell r="R766">
            <v>3</v>
          </cell>
          <cell r="S766" t="str">
            <v>polygon</v>
          </cell>
          <cell r="T766">
            <v>1</v>
          </cell>
          <cell r="U766" t="str">
            <v>NULL</v>
          </cell>
          <cell r="V766" t="str">
            <v>NULL</v>
          </cell>
          <cell r="W766" t="str">
            <v/>
          </cell>
          <cell r="X766">
            <v>0</v>
          </cell>
          <cell r="Y766">
            <v>0</v>
          </cell>
          <cell r="Z766">
            <v>0</v>
          </cell>
          <cell r="AA766">
            <v>0</v>
          </cell>
          <cell r="AB766" t="str">
            <v>anytime</v>
          </cell>
          <cell r="AC766">
            <v>11</v>
          </cell>
          <cell r="AD766">
            <v>6</v>
          </cell>
          <cell r="AE766" t="str">
            <v>everyone</v>
          </cell>
        </row>
        <row r="767">
          <cell r="A767" t="str">
            <v>40028_1</v>
          </cell>
          <cell r="B767">
            <v>3</v>
          </cell>
          <cell r="C767">
            <v>40028</v>
          </cell>
          <cell r="D767" t="str">
            <v>ルピカ襲来！</v>
          </cell>
          <cell r="E767" t="str">
            <v>降臨28</v>
          </cell>
          <cell r="F767">
            <v>1</v>
          </cell>
          <cell r="G767" t="str">
            <v>ja</v>
          </cell>
          <cell r="H767" t="str">
            <v>【超絶級】ルピカ襲来</v>
          </cell>
          <cell r="I767" t="str">
            <v>超絶級</v>
          </cell>
          <cell r="J767">
            <v>1098</v>
          </cell>
          <cell r="K767">
            <v>35</v>
          </cell>
          <cell r="L767">
            <v>4200</v>
          </cell>
          <cell r="M767">
            <v>1</v>
          </cell>
          <cell r="N767">
            <v>1</v>
          </cell>
          <cell r="O767">
            <v>1</v>
          </cell>
          <cell r="P767">
            <v>1</v>
          </cell>
          <cell r="Q767">
            <v>1</v>
          </cell>
          <cell r="R767">
            <v>3</v>
          </cell>
          <cell r="S767" t="str">
            <v>polygon</v>
          </cell>
          <cell r="T767">
            <v>1</v>
          </cell>
          <cell r="U767" t="str">
            <v>NULL</v>
          </cell>
          <cell r="V767" t="str">
            <v>NULL</v>
          </cell>
          <cell r="W767" t="str">
            <v/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 t="str">
            <v>anytime</v>
          </cell>
          <cell r="AC767">
            <v>947</v>
          </cell>
          <cell r="AD767">
            <v>6</v>
          </cell>
          <cell r="AE767" t="str">
            <v>everyone</v>
          </cell>
        </row>
        <row r="768">
          <cell r="A768" t="str">
            <v>40028_2</v>
          </cell>
          <cell r="B768">
            <v>3</v>
          </cell>
          <cell r="C768">
            <v>40028</v>
          </cell>
          <cell r="D768" t="str">
            <v>ルピカ襲来！</v>
          </cell>
          <cell r="E768" t="str">
            <v>降臨28</v>
          </cell>
          <cell r="F768">
            <v>2</v>
          </cell>
          <cell r="G768" t="str">
            <v>ja</v>
          </cell>
          <cell r="H768" t="str">
            <v>【ウィザード級】ルピカ襲来</v>
          </cell>
          <cell r="I768" t="str">
            <v>地獄級</v>
          </cell>
          <cell r="J768">
            <v>1099</v>
          </cell>
          <cell r="K768">
            <v>40</v>
          </cell>
          <cell r="L768">
            <v>4500</v>
          </cell>
          <cell r="M768">
            <v>1</v>
          </cell>
          <cell r="N768">
            <v>1</v>
          </cell>
          <cell r="O768">
            <v>1</v>
          </cell>
          <cell r="P768">
            <v>1</v>
          </cell>
          <cell r="Q768">
            <v>1</v>
          </cell>
          <cell r="R768">
            <v>3</v>
          </cell>
          <cell r="S768" t="str">
            <v>polygon</v>
          </cell>
          <cell r="T768">
            <v>1</v>
          </cell>
          <cell r="U768" t="str">
            <v>NULL</v>
          </cell>
          <cell r="V768" t="str">
            <v>NULL</v>
          </cell>
          <cell r="W768" t="str">
            <v/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 t="str">
            <v>anytime</v>
          </cell>
          <cell r="AC768">
            <v>947</v>
          </cell>
          <cell r="AD768">
            <v>6</v>
          </cell>
          <cell r="AE768" t="str">
            <v>everyone</v>
          </cell>
        </row>
        <row r="769">
          <cell r="A769" t="str">
            <v>40029_1</v>
          </cell>
          <cell r="B769">
            <v>3</v>
          </cell>
          <cell r="C769">
            <v>40029</v>
          </cell>
          <cell r="D769" t="str">
            <v>カスケード襲来！</v>
          </cell>
          <cell r="E769" t="str">
            <v>降臨29</v>
          </cell>
          <cell r="F769">
            <v>1</v>
          </cell>
          <cell r="G769" t="str">
            <v>ja</v>
          </cell>
          <cell r="H769" t="str">
            <v>【超絶級】カスケード襲来</v>
          </cell>
          <cell r="I769" t="str">
            <v>超絶級</v>
          </cell>
          <cell r="J769">
            <v>781</v>
          </cell>
          <cell r="K769">
            <v>35</v>
          </cell>
          <cell r="L769">
            <v>4200</v>
          </cell>
          <cell r="M769">
            <v>1</v>
          </cell>
          <cell r="N769">
            <v>1</v>
          </cell>
          <cell r="O769">
            <v>1</v>
          </cell>
          <cell r="P769">
            <v>1</v>
          </cell>
          <cell r="Q769">
            <v>1</v>
          </cell>
          <cell r="R769">
            <v>3</v>
          </cell>
          <cell r="S769" t="str">
            <v>polygon</v>
          </cell>
          <cell r="T769">
            <v>1</v>
          </cell>
          <cell r="U769" t="str">
            <v>NULL</v>
          </cell>
          <cell r="V769" t="str">
            <v>NULL</v>
          </cell>
          <cell r="W769" t="str">
            <v/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 t="str">
            <v>anytime</v>
          </cell>
          <cell r="AC769">
            <v>12</v>
          </cell>
          <cell r="AD769">
            <v>6</v>
          </cell>
          <cell r="AE769" t="str">
            <v>everyone</v>
          </cell>
        </row>
        <row r="770">
          <cell r="A770" t="str">
            <v>40029_2</v>
          </cell>
          <cell r="B770">
            <v>3</v>
          </cell>
          <cell r="C770">
            <v>40029</v>
          </cell>
          <cell r="D770" t="str">
            <v>カスケード襲来！</v>
          </cell>
          <cell r="E770" t="str">
            <v>降臨29</v>
          </cell>
          <cell r="F770">
            <v>2</v>
          </cell>
          <cell r="G770" t="str">
            <v>ja</v>
          </cell>
          <cell r="H770" t="str">
            <v>【ウィザード級】カスケード襲来</v>
          </cell>
          <cell r="I770" t="str">
            <v>地獄級</v>
          </cell>
          <cell r="J770">
            <v>781</v>
          </cell>
          <cell r="K770">
            <v>40</v>
          </cell>
          <cell r="L770">
            <v>4500</v>
          </cell>
          <cell r="M770">
            <v>1</v>
          </cell>
          <cell r="N770">
            <v>1</v>
          </cell>
          <cell r="O770">
            <v>1</v>
          </cell>
          <cell r="P770">
            <v>1</v>
          </cell>
          <cell r="Q770">
            <v>1</v>
          </cell>
          <cell r="R770">
            <v>3</v>
          </cell>
          <cell r="S770" t="str">
            <v>polygon</v>
          </cell>
          <cell r="T770">
            <v>1</v>
          </cell>
          <cell r="U770" t="str">
            <v>NULL</v>
          </cell>
          <cell r="V770" t="str">
            <v>NULL</v>
          </cell>
          <cell r="W770" t="str">
            <v/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  <cell r="AB770" t="str">
            <v>anytime</v>
          </cell>
          <cell r="AC770">
            <v>12</v>
          </cell>
          <cell r="AD770">
            <v>6</v>
          </cell>
          <cell r="AE770" t="str">
            <v>everyone</v>
          </cell>
        </row>
        <row r="771">
          <cell r="A771" t="str">
            <v>40030_1</v>
          </cell>
          <cell r="B771">
            <v>3</v>
          </cell>
          <cell r="C771">
            <v>40030</v>
          </cell>
          <cell r="D771" t="str">
            <v>エリス襲来！</v>
          </cell>
          <cell r="E771" t="str">
            <v>降臨30</v>
          </cell>
          <cell r="F771">
            <v>1</v>
          </cell>
          <cell r="G771" t="str">
            <v>ja</v>
          </cell>
          <cell r="H771" t="str">
            <v>【超絶級】エリス襲来</v>
          </cell>
          <cell r="I771" t="str">
            <v>超絶級</v>
          </cell>
          <cell r="J771">
            <v>888</v>
          </cell>
          <cell r="K771">
            <v>35</v>
          </cell>
          <cell r="L771">
            <v>4200</v>
          </cell>
          <cell r="M771">
            <v>1</v>
          </cell>
          <cell r="N771">
            <v>1</v>
          </cell>
          <cell r="O771">
            <v>1</v>
          </cell>
          <cell r="P771">
            <v>1</v>
          </cell>
          <cell r="Q771">
            <v>1</v>
          </cell>
          <cell r="R771">
            <v>3</v>
          </cell>
          <cell r="S771" t="str">
            <v>polygon</v>
          </cell>
          <cell r="T771">
            <v>1</v>
          </cell>
          <cell r="U771" t="str">
            <v>NULL</v>
          </cell>
          <cell r="V771" t="str">
            <v>NULL</v>
          </cell>
          <cell r="W771" t="str">
            <v/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 t="str">
            <v>anytime</v>
          </cell>
          <cell r="AC771">
            <v>17</v>
          </cell>
          <cell r="AD771">
            <v>6</v>
          </cell>
          <cell r="AE771" t="str">
            <v>everyone</v>
          </cell>
        </row>
        <row r="772">
          <cell r="A772" t="str">
            <v>40030_2</v>
          </cell>
          <cell r="B772">
            <v>3</v>
          </cell>
          <cell r="C772">
            <v>40030</v>
          </cell>
          <cell r="D772" t="str">
            <v>エリス襲来！</v>
          </cell>
          <cell r="E772" t="str">
            <v>降臨30</v>
          </cell>
          <cell r="F772">
            <v>2</v>
          </cell>
          <cell r="G772" t="str">
            <v>ja</v>
          </cell>
          <cell r="H772" t="str">
            <v>【ウィザード級】エリス襲来</v>
          </cell>
          <cell r="I772" t="str">
            <v>地獄級</v>
          </cell>
          <cell r="J772">
            <v>888</v>
          </cell>
          <cell r="K772">
            <v>40</v>
          </cell>
          <cell r="L772">
            <v>4500</v>
          </cell>
          <cell r="M772">
            <v>1</v>
          </cell>
          <cell r="N772">
            <v>1</v>
          </cell>
          <cell r="O772">
            <v>1</v>
          </cell>
          <cell r="P772">
            <v>1</v>
          </cell>
          <cell r="Q772">
            <v>1</v>
          </cell>
          <cell r="R772">
            <v>3</v>
          </cell>
          <cell r="S772" t="str">
            <v>polygon</v>
          </cell>
          <cell r="T772">
            <v>1</v>
          </cell>
          <cell r="U772" t="str">
            <v>NULL</v>
          </cell>
          <cell r="V772" t="str">
            <v>NULL</v>
          </cell>
          <cell r="W772" t="str">
            <v/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  <cell r="AB772" t="str">
            <v>anytime</v>
          </cell>
          <cell r="AC772">
            <v>17</v>
          </cell>
          <cell r="AD772">
            <v>6</v>
          </cell>
          <cell r="AE772" t="str">
            <v>everyone</v>
          </cell>
        </row>
        <row r="773">
          <cell r="A773" t="str">
            <v>40031_1</v>
          </cell>
          <cell r="B773">
            <v>3</v>
          </cell>
          <cell r="C773">
            <v>40031</v>
          </cell>
          <cell r="D773" t="str">
            <v>董卓襲来！</v>
          </cell>
          <cell r="E773" t="str">
            <v>降臨31</v>
          </cell>
          <cell r="F773">
            <v>1</v>
          </cell>
          <cell r="G773" t="str">
            <v>ja</v>
          </cell>
          <cell r="H773" t="str">
            <v>【超絶級】董卓襲来</v>
          </cell>
          <cell r="I773" t="str">
            <v>超絶級</v>
          </cell>
          <cell r="J773">
            <v>1131</v>
          </cell>
          <cell r="K773">
            <v>35</v>
          </cell>
          <cell r="L773">
            <v>4200</v>
          </cell>
          <cell r="M773">
            <v>1</v>
          </cell>
          <cell r="N773">
            <v>1</v>
          </cell>
          <cell r="O773">
            <v>1</v>
          </cell>
          <cell r="P773">
            <v>1</v>
          </cell>
          <cell r="Q773">
            <v>1</v>
          </cell>
          <cell r="R773">
            <v>3</v>
          </cell>
          <cell r="S773" t="str">
            <v>polygon</v>
          </cell>
          <cell r="T773">
            <v>1</v>
          </cell>
          <cell r="U773" t="str">
            <v>NULL</v>
          </cell>
          <cell r="V773" t="str">
            <v>NULL</v>
          </cell>
          <cell r="W773" t="str">
            <v/>
          </cell>
          <cell r="X773">
            <v>0</v>
          </cell>
          <cell r="Y773">
            <v>0</v>
          </cell>
          <cell r="Z773">
            <v>0</v>
          </cell>
          <cell r="AA773">
            <v>0</v>
          </cell>
          <cell r="AB773" t="str">
            <v>anytime</v>
          </cell>
          <cell r="AC773">
            <v>949</v>
          </cell>
          <cell r="AD773">
            <v>6</v>
          </cell>
          <cell r="AE773" t="str">
            <v>everyone</v>
          </cell>
        </row>
        <row r="774">
          <cell r="A774" t="str">
            <v>40031_2</v>
          </cell>
          <cell r="B774">
            <v>3</v>
          </cell>
          <cell r="C774">
            <v>40031</v>
          </cell>
          <cell r="D774" t="str">
            <v>董卓襲来！</v>
          </cell>
          <cell r="E774" t="str">
            <v>降臨31</v>
          </cell>
          <cell r="F774">
            <v>2</v>
          </cell>
          <cell r="G774" t="str">
            <v>ja</v>
          </cell>
          <cell r="H774" t="str">
            <v>【ウィザード級】董卓襲来</v>
          </cell>
          <cell r="I774" t="str">
            <v>地獄級</v>
          </cell>
          <cell r="J774">
            <v>1132</v>
          </cell>
          <cell r="K774">
            <v>40</v>
          </cell>
          <cell r="L774">
            <v>4500</v>
          </cell>
          <cell r="M774">
            <v>1</v>
          </cell>
          <cell r="N774">
            <v>1</v>
          </cell>
          <cell r="O774">
            <v>1</v>
          </cell>
          <cell r="P774">
            <v>1</v>
          </cell>
          <cell r="Q774">
            <v>1</v>
          </cell>
          <cell r="R774">
            <v>3</v>
          </cell>
          <cell r="S774" t="str">
            <v>polygon</v>
          </cell>
          <cell r="T774">
            <v>1</v>
          </cell>
          <cell r="U774" t="str">
            <v>NULL</v>
          </cell>
          <cell r="V774" t="str">
            <v>NULL</v>
          </cell>
          <cell r="W774" t="str">
            <v/>
          </cell>
          <cell r="X774">
            <v>0</v>
          </cell>
          <cell r="Y774">
            <v>0</v>
          </cell>
          <cell r="Z774">
            <v>0</v>
          </cell>
          <cell r="AA774">
            <v>0</v>
          </cell>
          <cell r="AB774" t="str">
            <v>anytime</v>
          </cell>
          <cell r="AC774">
            <v>949</v>
          </cell>
          <cell r="AD774">
            <v>6</v>
          </cell>
          <cell r="AE774" t="str">
            <v>everyone</v>
          </cell>
        </row>
        <row r="775">
          <cell r="A775" t="str">
            <v>40032_1</v>
          </cell>
          <cell r="B775">
            <v>3</v>
          </cell>
          <cell r="C775">
            <v>40032</v>
          </cell>
          <cell r="D775" t="str">
            <v>貂蝉襲来！</v>
          </cell>
          <cell r="E775" t="str">
            <v>降臨32</v>
          </cell>
          <cell r="F775">
            <v>1</v>
          </cell>
          <cell r="G775" t="str">
            <v>ja</v>
          </cell>
          <cell r="H775" t="str">
            <v>【超絶級】貂蝉襲来</v>
          </cell>
          <cell r="I775" t="str">
            <v>超絶級</v>
          </cell>
          <cell r="J775">
            <v>1133</v>
          </cell>
          <cell r="K775">
            <v>35</v>
          </cell>
          <cell r="L775">
            <v>4200</v>
          </cell>
          <cell r="M775">
            <v>1</v>
          </cell>
          <cell r="N775">
            <v>1</v>
          </cell>
          <cell r="O775">
            <v>1</v>
          </cell>
          <cell r="P775">
            <v>1</v>
          </cell>
          <cell r="Q775">
            <v>1</v>
          </cell>
          <cell r="R775">
            <v>3</v>
          </cell>
          <cell r="S775" t="str">
            <v>polygon</v>
          </cell>
          <cell r="T775">
            <v>1</v>
          </cell>
          <cell r="U775" t="str">
            <v>NULL</v>
          </cell>
          <cell r="V775" t="str">
            <v>NULL</v>
          </cell>
          <cell r="W775" t="str">
            <v/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 t="str">
            <v>anytime</v>
          </cell>
          <cell r="AC775">
            <v>949</v>
          </cell>
          <cell r="AD775">
            <v>6</v>
          </cell>
          <cell r="AE775" t="str">
            <v>everyone</v>
          </cell>
        </row>
        <row r="776">
          <cell r="A776" t="str">
            <v>40032_2</v>
          </cell>
          <cell r="B776">
            <v>3</v>
          </cell>
          <cell r="C776">
            <v>40032</v>
          </cell>
          <cell r="D776" t="str">
            <v>貂蝉襲来！</v>
          </cell>
          <cell r="E776" t="str">
            <v>降臨32</v>
          </cell>
          <cell r="F776">
            <v>2</v>
          </cell>
          <cell r="G776" t="str">
            <v>ja</v>
          </cell>
          <cell r="H776" t="str">
            <v>【ウィザード級】貂蝉襲来</v>
          </cell>
          <cell r="I776" t="str">
            <v>地獄級</v>
          </cell>
          <cell r="J776">
            <v>1134</v>
          </cell>
          <cell r="K776">
            <v>40</v>
          </cell>
          <cell r="L776">
            <v>4500</v>
          </cell>
          <cell r="M776">
            <v>1</v>
          </cell>
          <cell r="N776">
            <v>1</v>
          </cell>
          <cell r="O776">
            <v>1</v>
          </cell>
          <cell r="P776">
            <v>1</v>
          </cell>
          <cell r="Q776">
            <v>1</v>
          </cell>
          <cell r="R776">
            <v>3</v>
          </cell>
          <cell r="S776" t="str">
            <v>polygon</v>
          </cell>
          <cell r="T776">
            <v>1</v>
          </cell>
          <cell r="U776" t="str">
            <v>NULL</v>
          </cell>
          <cell r="V776" t="str">
            <v>NULL</v>
          </cell>
          <cell r="W776" t="str">
            <v/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 t="str">
            <v>anytime</v>
          </cell>
          <cell r="AC776">
            <v>949</v>
          </cell>
          <cell r="AD776">
            <v>6</v>
          </cell>
          <cell r="AE776" t="str">
            <v>everyone</v>
          </cell>
        </row>
        <row r="777">
          <cell r="A777" t="str">
            <v>40033_1</v>
          </cell>
          <cell r="B777">
            <v>3</v>
          </cell>
          <cell r="C777">
            <v>40033</v>
          </cell>
          <cell r="D777" t="str">
            <v>アテナ襲来！</v>
          </cell>
          <cell r="E777" t="str">
            <v>降臨33</v>
          </cell>
          <cell r="F777">
            <v>1</v>
          </cell>
          <cell r="G777" t="str">
            <v>ja</v>
          </cell>
          <cell r="H777" t="str">
            <v>【超絶級】アテナ襲来</v>
          </cell>
          <cell r="I777" t="str">
            <v>超絶級</v>
          </cell>
          <cell r="J777">
            <v>893</v>
          </cell>
          <cell r="K777">
            <v>35</v>
          </cell>
          <cell r="L777">
            <v>4200</v>
          </cell>
          <cell r="M777">
            <v>1</v>
          </cell>
          <cell r="N777">
            <v>1</v>
          </cell>
          <cell r="O777">
            <v>1</v>
          </cell>
          <cell r="P777">
            <v>1</v>
          </cell>
          <cell r="Q777">
            <v>1</v>
          </cell>
          <cell r="R777">
            <v>3</v>
          </cell>
          <cell r="S777" t="str">
            <v>polygon</v>
          </cell>
          <cell r="T777">
            <v>1</v>
          </cell>
          <cell r="U777" t="str">
            <v>NULL</v>
          </cell>
          <cell r="V777" t="str">
            <v>NULL</v>
          </cell>
          <cell r="W777" t="str">
            <v/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 t="str">
            <v>anytime</v>
          </cell>
          <cell r="AC777">
            <v>13</v>
          </cell>
          <cell r="AD777">
            <v>6</v>
          </cell>
          <cell r="AE777" t="str">
            <v>everyone</v>
          </cell>
        </row>
        <row r="778">
          <cell r="A778" t="str">
            <v>40033_2</v>
          </cell>
          <cell r="B778">
            <v>3</v>
          </cell>
          <cell r="C778">
            <v>40033</v>
          </cell>
          <cell r="D778" t="str">
            <v>アテナ襲来！</v>
          </cell>
          <cell r="E778" t="str">
            <v>降臨33</v>
          </cell>
          <cell r="F778">
            <v>2</v>
          </cell>
          <cell r="G778" t="str">
            <v>ja</v>
          </cell>
          <cell r="H778" t="str">
            <v>【ウィザード級】アテナ襲来</v>
          </cell>
          <cell r="I778" t="str">
            <v>地獄級</v>
          </cell>
          <cell r="J778">
            <v>894</v>
          </cell>
          <cell r="K778">
            <v>40</v>
          </cell>
          <cell r="L778">
            <v>4500</v>
          </cell>
          <cell r="M778">
            <v>1</v>
          </cell>
          <cell r="N778">
            <v>1</v>
          </cell>
          <cell r="O778">
            <v>1</v>
          </cell>
          <cell r="P778">
            <v>1</v>
          </cell>
          <cell r="Q778">
            <v>1</v>
          </cell>
          <cell r="R778">
            <v>3</v>
          </cell>
          <cell r="S778" t="str">
            <v>polygon</v>
          </cell>
          <cell r="T778">
            <v>1</v>
          </cell>
          <cell r="U778" t="str">
            <v>NULL</v>
          </cell>
          <cell r="V778" t="str">
            <v>NULL</v>
          </cell>
          <cell r="W778" t="str">
            <v/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  <cell r="AB778" t="str">
            <v>anytime</v>
          </cell>
          <cell r="AC778">
            <v>13</v>
          </cell>
          <cell r="AD778">
            <v>6</v>
          </cell>
          <cell r="AE778" t="str">
            <v>everyone</v>
          </cell>
        </row>
        <row r="779">
          <cell r="A779" t="str">
            <v>40034_1</v>
          </cell>
          <cell r="B779">
            <v>3</v>
          </cell>
          <cell r="C779">
            <v>40034</v>
          </cell>
          <cell r="D779" t="str">
            <v>カーリー襲来！</v>
          </cell>
          <cell r="E779" t="str">
            <v>降臨34</v>
          </cell>
          <cell r="F779">
            <v>1</v>
          </cell>
          <cell r="G779" t="str">
            <v>ja</v>
          </cell>
          <cell r="H779" t="str">
            <v>【超絶級】カーリー襲来</v>
          </cell>
          <cell r="I779" t="str">
            <v>超絶級</v>
          </cell>
          <cell r="J779">
            <v>1148</v>
          </cell>
          <cell r="K779">
            <v>35</v>
          </cell>
          <cell r="L779">
            <v>4200</v>
          </cell>
          <cell r="M779">
            <v>1</v>
          </cell>
          <cell r="N779">
            <v>1</v>
          </cell>
          <cell r="O779">
            <v>1</v>
          </cell>
          <cell r="P779">
            <v>1</v>
          </cell>
          <cell r="Q779">
            <v>1</v>
          </cell>
          <cell r="R779">
            <v>3</v>
          </cell>
          <cell r="S779" t="str">
            <v>polygon</v>
          </cell>
          <cell r="T779">
            <v>1</v>
          </cell>
          <cell r="U779" t="str">
            <v>NULL</v>
          </cell>
          <cell r="V779" t="str">
            <v>NULL</v>
          </cell>
          <cell r="W779" t="str">
            <v/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 t="str">
            <v>anytime</v>
          </cell>
          <cell r="AC779">
            <v>951</v>
          </cell>
          <cell r="AD779">
            <v>6</v>
          </cell>
          <cell r="AE779" t="str">
            <v>everyone</v>
          </cell>
        </row>
        <row r="780">
          <cell r="A780" t="str">
            <v>40034_2</v>
          </cell>
          <cell r="B780">
            <v>3</v>
          </cell>
          <cell r="C780">
            <v>40034</v>
          </cell>
          <cell r="D780" t="str">
            <v>カーリー襲来！</v>
          </cell>
          <cell r="E780" t="str">
            <v>降臨34</v>
          </cell>
          <cell r="F780">
            <v>2</v>
          </cell>
          <cell r="G780" t="str">
            <v>ja</v>
          </cell>
          <cell r="H780" t="str">
            <v>【ウィザード級】カーリー襲来</v>
          </cell>
          <cell r="I780" t="str">
            <v>地獄級</v>
          </cell>
          <cell r="J780">
            <v>1148</v>
          </cell>
          <cell r="K780">
            <v>40</v>
          </cell>
          <cell r="L780">
            <v>4500</v>
          </cell>
          <cell r="M780">
            <v>1</v>
          </cell>
          <cell r="N780">
            <v>1</v>
          </cell>
          <cell r="O780">
            <v>1</v>
          </cell>
          <cell r="P780">
            <v>1</v>
          </cell>
          <cell r="Q780">
            <v>1</v>
          </cell>
          <cell r="R780">
            <v>3</v>
          </cell>
          <cell r="S780" t="str">
            <v>polygon</v>
          </cell>
          <cell r="T780">
            <v>1</v>
          </cell>
          <cell r="U780" t="str">
            <v>NULL</v>
          </cell>
          <cell r="V780" t="str">
            <v>NULL</v>
          </cell>
          <cell r="W780" t="str">
            <v/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 t="str">
            <v>anytime</v>
          </cell>
          <cell r="AC780">
            <v>951</v>
          </cell>
          <cell r="AD780">
            <v>6</v>
          </cell>
          <cell r="AE780" t="str">
            <v>everyone</v>
          </cell>
        </row>
        <row r="781">
          <cell r="A781" t="str">
            <v>40035_1</v>
          </cell>
          <cell r="B781">
            <v>3</v>
          </cell>
          <cell r="C781">
            <v>40035</v>
          </cell>
          <cell r="D781" t="str">
            <v>ブラフマー襲来！</v>
          </cell>
          <cell r="E781" t="str">
            <v>降臨35</v>
          </cell>
          <cell r="F781">
            <v>1</v>
          </cell>
          <cell r="G781" t="str">
            <v>ja</v>
          </cell>
          <cell r="H781" t="str">
            <v>【超絶級】ブラフマー襲来</v>
          </cell>
          <cell r="I781" t="str">
            <v>超絶級</v>
          </cell>
          <cell r="J781">
            <v>1150</v>
          </cell>
          <cell r="K781">
            <v>35</v>
          </cell>
          <cell r="L781">
            <v>4200</v>
          </cell>
          <cell r="M781">
            <v>1</v>
          </cell>
          <cell r="N781">
            <v>1</v>
          </cell>
          <cell r="O781">
            <v>1</v>
          </cell>
          <cell r="P781">
            <v>1</v>
          </cell>
          <cell r="Q781">
            <v>1</v>
          </cell>
          <cell r="R781">
            <v>3</v>
          </cell>
          <cell r="S781" t="str">
            <v>polygon</v>
          </cell>
          <cell r="T781">
            <v>1</v>
          </cell>
          <cell r="U781" t="str">
            <v>NULL</v>
          </cell>
          <cell r="V781" t="str">
            <v>NULL</v>
          </cell>
          <cell r="W781" t="str">
            <v/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  <cell r="AB781" t="str">
            <v>anytime</v>
          </cell>
          <cell r="AC781">
            <v>951</v>
          </cell>
          <cell r="AD781">
            <v>6</v>
          </cell>
          <cell r="AE781" t="str">
            <v>everyone</v>
          </cell>
        </row>
        <row r="782">
          <cell r="A782" t="str">
            <v>40035_2</v>
          </cell>
          <cell r="B782">
            <v>3</v>
          </cell>
          <cell r="C782">
            <v>40035</v>
          </cell>
          <cell r="D782" t="str">
            <v>ブラフマー襲来！</v>
          </cell>
          <cell r="E782" t="str">
            <v>降臨35</v>
          </cell>
          <cell r="F782">
            <v>2</v>
          </cell>
          <cell r="G782" t="str">
            <v>ja</v>
          </cell>
          <cell r="H782" t="str">
            <v>【ウィザード級】ブラフマー襲来</v>
          </cell>
          <cell r="I782" t="str">
            <v>地獄級</v>
          </cell>
          <cell r="J782">
            <v>1150</v>
          </cell>
          <cell r="K782">
            <v>40</v>
          </cell>
          <cell r="L782">
            <v>4500</v>
          </cell>
          <cell r="M782">
            <v>1</v>
          </cell>
          <cell r="N782">
            <v>1</v>
          </cell>
          <cell r="O782">
            <v>1</v>
          </cell>
          <cell r="P782">
            <v>1</v>
          </cell>
          <cell r="Q782">
            <v>1</v>
          </cell>
          <cell r="R782">
            <v>3</v>
          </cell>
          <cell r="S782" t="str">
            <v>polygon</v>
          </cell>
          <cell r="T782">
            <v>1</v>
          </cell>
          <cell r="U782" t="str">
            <v>NULL</v>
          </cell>
          <cell r="V782" t="str">
            <v>NULL</v>
          </cell>
          <cell r="W782" t="str">
            <v/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  <cell r="AB782" t="str">
            <v>anytime</v>
          </cell>
          <cell r="AC782">
            <v>951</v>
          </cell>
          <cell r="AD782">
            <v>6</v>
          </cell>
          <cell r="AE782" t="str">
            <v>everyone</v>
          </cell>
        </row>
        <row r="783">
          <cell r="A783" t="str">
            <v>40036_1</v>
          </cell>
          <cell r="B783">
            <v>3</v>
          </cell>
          <cell r="C783">
            <v>40036</v>
          </cell>
          <cell r="D783" t="str">
            <v>ウラヌス襲来！</v>
          </cell>
          <cell r="E783" t="str">
            <v>降臨36</v>
          </cell>
          <cell r="F783">
            <v>1</v>
          </cell>
          <cell r="G783" t="str">
            <v>ja</v>
          </cell>
          <cell r="H783" t="str">
            <v>【超絶級】ウラヌス襲来</v>
          </cell>
          <cell r="I783" t="str">
            <v>超絶級</v>
          </cell>
          <cell r="J783">
            <v>1203</v>
          </cell>
          <cell r="K783">
            <v>35</v>
          </cell>
          <cell r="L783">
            <v>4200</v>
          </cell>
          <cell r="M783">
            <v>1</v>
          </cell>
          <cell r="N783">
            <v>1</v>
          </cell>
          <cell r="O783">
            <v>1</v>
          </cell>
          <cell r="P783">
            <v>1</v>
          </cell>
          <cell r="Q783">
            <v>1</v>
          </cell>
          <cell r="R783">
            <v>3</v>
          </cell>
          <cell r="S783" t="str">
            <v>polygon</v>
          </cell>
          <cell r="T783">
            <v>1</v>
          </cell>
          <cell r="U783" t="str">
            <v>NULL</v>
          </cell>
          <cell r="V783" t="str">
            <v>NULL</v>
          </cell>
          <cell r="W783" t="str">
            <v/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  <cell r="AB783" t="str">
            <v>anytime</v>
          </cell>
          <cell r="AC783">
            <v>954</v>
          </cell>
          <cell r="AD783">
            <v>6</v>
          </cell>
          <cell r="AE783" t="str">
            <v>everyone</v>
          </cell>
        </row>
        <row r="784">
          <cell r="A784" t="str">
            <v>40036_2</v>
          </cell>
          <cell r="B784">
            <v>3</v>
          </cell>
          <cell r="C784">
            <v>40036</v>
          </cell>
          <cell r="D784" t="str">
            <v>ウラヌス襲来！</v>
          </cell>
          <cell r="E784" t="str">
            <v>降臨36</v>
          </cell>
          <cell r="F784">
            <v>2</v>
          </cell>
          <cell r="G784" t="str">
            <v>ja</v>
          </cell>
          <cell r="H784" t="str">
            <v>【ウィザード級】ウラヌス襲来</v>
          </cell>
          <cell r="I784" t="str">
            <v>地獄級</v>
          </cell>
          <cell r="J784">
            <v>1203</v>
          </cell>
          <cell r="K784">
            <v>40</v>
          </cell>
          <cell r="L784">
            <v>4500</v>
          </cell>
          <cell r="M784">
            <v>1</v>
          </cell>
          <cell r="N784">
            <v>1</v>
          </cell>
          <cell r="O784">
            <v>1</v>
          </cell>
          <cell r="P784">
            <v>1</v>
          </cell>
          <cell r="Q784">
            <v>1</v>
          </cell>
          <cell r="R784">
            <v>3</v>
          </cell>
          <cell r="S784" t="str">
            <v>polygon</v>
          </cell>
          <cell r="T784">
            <v>1</v>
          </cell>
          <cell r="U784" t="str">
            <v>NULL</v>
          </cell>
          <cell r="V784" t="str">
            <v>NULL</v>
          </cell>
          <cell r="W784" t="str">
            <v/>
          </cell>
          <cell r="X784">
            <v>0</v>
          </cell>
          <cell r="Y784">
            <v>0</v>
          </cell>
          <cell r="Z784">
            <v>0</v>
          </cell>
          <cell r="AA784">
            <v>0</v>
          </cell>
          <cell r="AB784" t="str">
            <v>anytime</v>
          </cell>
          <cell r="AC784">
            <v>954</v>
          </cell>
          <cell r="AD784">
            <v>6</v>
          </cell>
          <cell r="AE784" t="str">
            <v>everyone</v>
          </cell>
        </row>
        <row r="785">
          <cell r="A785" t="str">
            <v>40037_1</v>
          </cell>
          <cell r="B785">
            <v>3</v>
          </cell>
          <cell r="C785">
            <v>40037</v>
          </cell>
          <cell r="D785" t="str">
            <v>デルピュネー襲来！</v>
          </cell>
          <cell r="E785" t="str">
            <v>降臨37</v>
          </cell>
          <cell r="F785">
            <v>1</v>
          </cell>
          <cell r="G785" t="str">
            <v>ja</v>
          </cell>
          <cell r="H785" t="str">
            <v>【超絶級】デルピュネー襲来</v>
          </cell>
          <cell r="I785" t="str">
            <v>超絶級</v>
          </cell>
          <cell r="J785">
            <v>1205</v>
          </cell>
          <cell r="K785">
            <v>35</v>
          </cell>
          <cell r="L785">
            <v>4200</v>
          </cell>
          <cell r="M785">
            <v>1</v>
          </cell>
          <cell r="N785">
            <v>1</v>
          </cell>
          <cell r="O785">
            <v>1</v>
          </cell>
          <cell r="P785">
            <v>1</v>
          </cell>
          <cell r="Q785">
            <v>1</v>
          </cell>
          <cell r="R785">
            <v>3</v>
          </cell>
          <cell r="S785" t="str">
            <v>polygon</v>
          </cell>
          <cell r="T785">
            <v>1</v>
          </cell>
          <cell r="U785" t="str">
            <v>NULL</v>
          </cell>
          <cell r="V785" t="str">
            <v>NULL</v>
          </cell>
          <cell r="W785" t="str">
            <v/>
          </cell>
          <cell r="X785">
            <v>0</v>
          </cell>
          <cell r="Y785">
            <v>0</v>
          </cell>
          <cell r="Z785">
            <v>0</v>
          </cell>
          <cell r="AA785">
            <v>0</v>
          </cell>
          <cell r="AB785" t="str">
            <v>anytime</v>
          </cell>
          <cell r="AC785">
            <v>954</v>
          </cell>
          <cell r="AD785">
            <v>6</v>
          </cell>
          <cell r="AE785" t="str">
            <v>everyone</v>
          </cell>
        </row>
        <row r="786">
          <cell r="A786" t="str">
            <v>40037_2</v>
          </cell>
          <cell r="B786">
            <v>3</v>
          </cell>
          <cell r="C786">
            <v>40037</v>
          </cell>
          <cell r="D786" t="str">
            <v>デルピュネー襲来！</v>
          </cell>
          <cell r="E786" t="str">
            <v>降臨37</v>
          </cell>
          <cell r="F786">
            <v>2</v>
          </cell>
          <cell r="G786" t="str">
            <v>ja</v>
          </cell>
          <cell r="H786" t="str">
            <v>【ウィザード級】デルピュネー襲来</v>
          </cell>
          <cell r="I786" t="str">
            <v>地獄級</v>
          </cell>
          <cell r="J786">
            <v>1205</v>
          </cell>
          <cell r="K786">
            <v>40</v>
          </cell>
          <cell r="L786">
            <v>4500</v>
          </cell>
          <cell r="M786">
            <v>1</v>
          </cell>
          <cell r="N786">
            <v>1</v>
          </cell>
          <cell r="O786">
            <v>1</v>
          </cell>
          <cell r="P786">
            <v>1</v>
          </cell>
          <cell r="Q786">
            <v>1</v>
          </cell>
          <cell r="R786">
            <v>3</v>
          </cell>
          <cell r="S786" t="str">
            <v>polygon</v>
          </cell>
          <cell r="T786">
            <v>1</v>
          </cell>
          <cell r="U786" t="str">
            <v>NULL</v>
          </cell>
          <cell r="V786" t="str">
            <v>NULL</v>
          </cell>
          <cell r="W786" t="str">
            <v/>
          </cell>
          <cell r="X786">
            <v>0</v>
          </cell>
          <cell r="Y786">
            <v>0</v>
          </cell>
          <cell r="Z786">
            <v>0</v>
          </cell>
          <cell r="AA786">
            <v>0</v>
          </cell>
          <cell r="AB786" t="str">
            <v>anytime</v>
          </cell>
          <cell r="AC786">
            <v>954</v>
          </cell>
          <cell r="AD786">
            <v>6</v>
          </cell>
          <cell r="AE786" t="str">
            <v>everyone</v>
          </cell>
        </row>
        <row r="787">
          <cell r="A787" t="str">
            <v>40038_1</v>
          </cell>
          <cell r="B787">
            <v>3</v>
          </cell>
          <cell r="C787">
            <v>40038</v>
          </cell>
          <cell r="D787" t="str">
            <v>太宰治襲来！</v>
          </cell>
          <cell r="E787" t="str">
            <v>降臨38</v>
          </cell>
          <cell r="F787">
            <v>1</v>
          </cell>
          <cell r="G787" t="str">
            <v>ja</v>
          </cell>
          <cell r="H787" t="str">
            <v>【超絶級】太宰治襲来</v>
          </cell>
          <cell r="I787" t="str">
            <v>超絶級</v>
          </cell>
          <cell r="J787">
            <v>1218</v>
          </cell>
          <cell r="K787">
            <v>35</v>
          </cell>
          <cell r="L787">
            <v>4200</v>
          </cell>
          <cell r="M787">
            <v>1</v>
          </cell>
          <cell r="N787">
            <v>1</v>
          </cell>
          <cell r="O787">
            <v>1</v>
          </cell>
          <cell r="P787">
            <v>1</v>
          </cell>
          <cell r="Q787">
            <v>0</v>
          </cell>
          <cell r="R787">
            <v>3</v>
          </cell>
          <cell r="S787" t="str">
            <v>polygon</v>
          </cell>
          <cell r="T787">
            <v>1</v>
          </cell>
          <cell r="U787" t="str">
            <v>NULL</v>
          </cell>
          <cell r="V787" t="str">
            <v>NULL</v>
          </cell>
          <cell r="W787" t="str">
            <v/>
          </cell>
          <cell r="X787">
            <v>0</v>
          </cell>
          <cell r="Y787">
            <v>0</v>
          </cell>
          <cell r="Z787">
            <v>0</v>
          </cell>
          <cell r="AA787">
            <v>0</v>
          </cell>
          <cell r="AB787" t="str">
            <v>anytime</v>
          </cell>
          <cell r="AC787">
            <v>956</v>
          </cell>
          <cell r="AD787">
            <v>6</v>
          </cell>
          <cell r="AE787" t="str">
            <v>everyone</v>
          </cell>
        </row>
        <row r="788">
          <cell r="A788" t="str">
            <v>40038_2</v>
          </cell>
          <cell r="B788">
            <v>3</v>
          </cell>
          <cell r="C788">
            <v>40038</v>
          </cell>
          <cell r="D788" t="str">
            <v>太宰治襲来！</v>
          </cell>
          <cell r="E788" t="str">
            <v>降臨38</v>
          </cell>
          <cell r="F788">
            <v>2</v>
          </cell>
          <cell r="G788" t="str">
            <v>ja</v>
          </cell>
          <cell r="H788" t="str">
            <v>【ウィザード級】太宰治襲来</v>
          </cell>
          <cell r="I788" t="str">
            <v>地獄級</v>
          </cell>
          <cell r="J788">
            <v>1219</v>
          </cell>
          <cell r="K788">
            <v>40</v>
          </cell>
          <cell r="L788">
            <v>4500</v>
          </cell>
          <cell r="M788">
            <v>1</v>
          </cell>
          <cell r="N788">
            <v>1</v>
          </cell>
          <cell r="O788">
            <v>1</v>
          </cell>
          <cell r="P788">
            <v>1</v>
          </cell>
          <cell r="Q788">
            <v>0</v>
          </cell>
          <cell r="R788">
            <v>3</v>
          </cell>
          <cell r="S788" t="str">
            <v>polygon</v>
          </cell>
          <cell r="T788">
            <v>1</v>
          </cell>
          <cell r="U788" t="str">
            <v>NULL</v>
          </cell>
          <cell r="V788" t="str">
            <v>NULL</v>
          </cell>
          <cell r="W788" t="str">
            <v/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  <cell r="AB788" t="str">
            <v>anytime</v>
          </cell>
          <cell r="AC788">
            <v>956</v>
          </cell>
          <cell r="AD788">
            <v>6</v>
          </cell>
          <cell r="AE788" t="str">
            <v>everyone</v>
          </cell>
        </row>
        <row r="789">
          <cell r="A789" t="str">
            <v>40039_1</v>
          </cell>
          <cell r="B789">
            <v>3</v>
          </cell>
          <cell r="C789">
            <v>40039</v>
          </cell>
          <cell r="D789" t="str">
            <v>シェイクスピア襲来！</v>
          </cell>
          <cell r="E789" t="str">
            <v>降臨39</v>
          </cell>
          <cell r="F789">
            <v>1</v>
          </cell>
          <cell r="G789" t="str">
            <v>ja</v>
          </cell>
          <cell r="H789" t="str">
            <v>【超絶級】シェイクスピア襲来</v>
          </cell>
          <cell r="I789" t="str">
            <v>超絶級</v>
          </cell>
          <cell r="J789">
            <v>1220</v>
          </cell>
          <cell r="K789">
            <v>35</v>
          </cell>
          <cell r="L789">
            <v>4200</v>
          </cell>
          <cell r="M789">
            <v>1</v>
          </cell>
          <cell r="N789">
            <v>1</v>
          </cell>
          <cell r="O789">
            <v>1</v>
          </cell>
          <cell r="P789">
            <v>1</v>
          </cell>
          <cell r="Q789">
            <v>1</v>
          </cell>
          <cell r="R789">
            <v>3</v>
          </cell>
          <cell r="S789" t="str">
            <v>polygon</v>
          </cell>
          <cell r="T789">
            <v>1</v>
          </cell>
          <cell r="U789" t="str">
            <v>NULL</v>
          </cell>
          <cell r="V789" t="str">
            <v>NULL</v>
          </cell>
          <cell r="W789" t="str">
            <v/>
          </cell>
          <cell r="X789">
            <v>0</v>
          </cell>
          <cell r="Y789">
            <v>0</v>
          </cell>
          <cell r="Z789">
            <v>0</v>
          </cell>
          <cell r="AA789">
            <v>0</v>
          </cell>
          <cell r="AB789" t="str">
            <v>anytime</v>
          </cell>
          <cell r="AC789">
            <v>956</v>
          </cell>
          <cell r="AD789">
            <v>6</v>
          </cell>
          <cell r="AE789" t="str">
            <v>everyone</v>
          </cell>
        </row>
        <row r="790">
          <cell r="A790" t="str">
            <v>40039_2</v>
          </cell>
          <cell r="B790">
            <v>3</v>
          </cell>
          <cell r="C790">
            <v>40039</v>
          </cell>
          <cell r="D790" t="str">
            <v>シェイクスピア襲来！</v>
          </cell>
          <cell r="E790" t="str">
            <v>降臨39</v>
          </cell>
          <cell r="F790">
            <v>2</v>
          </cell>
          <cell r="G790" t="str">
            <v>ja</v>
          </cell>
          <cell r="H790" t="str">
            <v>【ウィザード級】シェイクスピア襲来</v>
          </cell>
          <cell r="I790" t="str">
            <v>地獄級</v>
          </cell>
          <cell r="J790">
            <v>1221</v>
          </cell>
          <cell r="K790">
            <v>40</v>
          </cell>
          <cell r="L790">
            <v>4500</v>
          </cell>
          <cell r="M790">
            <v>1</v>
          </cell>
          <cell r="N790">
            <v>1</v>
          </cell>
          <cell r="O790">
            <v>1</v>
          </cell>
          <cell r="P790">
            <v>1</v>
          </cell>
          <cell r="Q790">
            <v>1</v>
          </cell>
          <cell r="R790">
            <v>3</v>
          </cell>
          <cell r="S790" t="str">
            <v>polygon</v>
          </cell>
          <cell r="T790">
            <v>1</v>
          </cell>
          <cell r="U790" t="str">
            <v>NULL</v>
          </cell>
          <cell r="V790" t="str">
            <v>NULL</v>
          </cell>
          <cell r="W790" t="str">
            <v/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  <cell r="AB790" t="str">
            <v>anytime</v>
          </cell>
          <cell r="AC790">
            <v>956</v>
          </cell>
          <cell r="AD790">
            <v>6</v>
          </cell>
          <cell r="AE790" t="str">
            <v>everyone</v>
          </cell>
        </row>
        <row r="791">
          <cell r="A791" t="str">
            <v>40040_1</v>
          </cell>
          <cell r="B791">
            <v>3</v>
          </cell>
          <cell r="C791">
            <v>40040</v>
          </cell>
          <cell r="D791" t="str">
            <v>竹中半兵衛襲来！</v>
          </cell>
          <cell r="E791" t="str">
            <v>降臨40</v>
          </cell>
          <cell r="F791">
            <v>1</v>
          </cell>
          <cell r="G791" t="str">
            <v>ja</v>
          </cell>
          <cell r="H791" t="str">
            <v>【超絶級】竹中半兵衛襲来</v>
          </cell>
          <cell r="I791" t="str">
            <v>超絶級</v>
          </cell>
          <cell r="J791">
            <v>1241</v>
          </cell>
          <cell r="K791">
            <v>35</v>
          </cell>
          <cell r="L791">
            <v>4200</v>
          </cell>
          <cell r="M791">
            <v>1</v>
          </cell>
          <cell r="N791">
            <v>1</v>
          </cell>
          <cell r="O791">
            <v>1</v>
          </cell>
          <cell r="P791">
            <v>1</v>
          </cell>
          <cell r="Q791">
            <v>1</v>
          </cell>
          <cell r="R791">
            <v>3</v>
          </cell>
          <cell r="S791" t="str">
            <v>polygon</v>
          </cell>
          <cell r="T791">
            <v>1</v>
          </cell>
          <cell r="U791" t="str">
            <v>NULL</v>
          </cell>
          <cell r="V791" t="str">
            <v>NULL</v>
          </cell>
          <cell r="W791" t="str">
            <v/>
          </cell>
          <cell r="X791">
            <v>0</v>
          </cell>
          <cell r="Y791">
            <v>0</v>
          </cell>
          <cell r="Z791">
            <v>0</v>
          </cell>
          <cell r="AA791">
            <v>0</v>
          </cell>
          <cell r="AB791" t="str">
            <v>anytime</v>
          </cell>
          <cell r="AC791">
            <v>958</v>
          </cell>
          <cell r="AD791">
            <v>6</v>
          </cell>
          <cell r="AE791" t="str">
            <v>everyone</v>
          </cell>
        </row>
        <row r="792">
          <cell r="A792" t="str">
            <v>40040_2</v>
          </cell>
          <cell r="B792">
            <v>3</v>
          </cell>
          <cell r="C792">
            <v>40040</v>
          </cell>
          <cell r="D792" t="str">
            <v>竹中半兵衛襲来！</v>
          </cell>
          <cell r="E792" t="str">
            <v>降臨40</v>
          </cell>
          <cell r="F792">
            <v>2</v>
          </cell>
          <cell r="G792" t="str">
            <v>ja</v>
          </cell>
          <cell r="H792" t="str">
            <v>【ウィザード級】竹中半兵衛襲来</v>
          </cell>
          <cell r="I792" t="str">
            <v>地獄級</v>
          </cell>
          <cell r="J792">
            <v>1241</v>
          </cell>
          <cell r="K792">
            <v>40</v>
          </cell>
          <cell r="L792">
            <v>4500</v>
          </cell>
          <cell r="M792">
            <v>1</v>
          </cell>
          <cell r="N792">
            <v>1</v>
          </cell>
          <cell r="O792">
            <v>1</v>
          </cell>
          <cell r="P792">
            <v>1</v>
          </cell>
          <cell r="Q792">
            <v>1</v>
          </cell>
          <cell r="R792">
            <v>3</v>
          </cell>
          <cell r="S792" t="str">
            <v>polygon</v>
          </cell>
          <cell r="T792">
            <v>1</v>
          </cell>
          <cell r="U792" t="str">
            <v>NULL</v>
          </cell>
          <cell r="V792" t="str">
            <v>NULL</v>
          </cell>
          <cell r="W792" t="str">
            <v/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  <cell r="AB792" t="str">
            <v>anytime</v>
          </cell>
          <cell r="AC792">
            <v>958</v>
          </cell>
          <cell r="AD792">
            <v>6</v>
          </cell>
          <cell r="AE792" t="str">
            <v>everyone</v>
          </cell>
        </row>
        <row r="793">
          <cell r="A793" t="str">
            <v>40041_1</v>
          </cell>
          <cell r="B793">
            <v>3</v>
          </cell>
          <cell r="C793">
            <v>40041</v>
          </cell>
          <cell r="D793" t="str">
            <v>ポーラとダニー襲来！</v>
          </cell>
          <cell r="E793" t="str">
            <v>降臨41</v>
          </cell>
          <cell r="F793">
            <v>1</v>
          </cell>
          <cell r="G793" t="str">
            <v>ja</v>
          </cell>
          <cell r="H793" t="str">
            <v>【超絶級】ポーラとダニー襲来！</v>
          </cell>
          <cell r="I793" t="str">
            <v>地獄級</v>
          </cell>
          <cell r="J793">
            <v>1283</v>
          </cell>
          <cell r="K793">
            <v>35</v>
          </cell>
          <cell r="L793">
            <v>4200</v>
          </cell>
          <cell r="M793">
            <v>1</v>
          </cell>
          <cell r="N793">
            <v>1</v>
          </cell>
          <cell r="O793">
            <v>1</v>
          </cell>
          <cell r="P793">
            <v>1</v>
          </cell>
          <cell r="Q793">
            <v>1</v>
          </cell>
          <cell r="R793">
            <v>3</v>
          </cell>
          <cell r="S793" t="str">
            <v>polygon</v>
          </cell>
          <cell r="T793">
            <v>1</v>
          </cell>
          <cell r="U793" t="str">
            <v>NULL</v>
          </cell>
          <cell r="V793" t="str">
            <v>NULL</v>
          </cell>
          <cell r="W793" t="str">
            <v/>
          </cell>
          <cell r="X793">
            <v>0</v>
          </cell>
          <cell r="Y793">
            <v>0</v>
          </cell>
          <cell r="Z793">
            <v>0</v>
          </cell>
          <cell r="AA793">
            <v>0</v>
          </cell>
          <cell r="AB793" t="str">
            <v>anytime</v>
          </cell>
          <cell r="AC793">
            <v>962</v>
          </cell>
          <cell r="AD793">
            <v>6</v>
          </cell>
          <cell r="AE793" t="str">
            <v>everyone</v>
          </cell>
        </row>
        <row r="794">
          <cell r="A794" t="str">
            <v>40041_2</v>
          </cell>
          <cell r="B794">
            <v>3</v>
          </cell>
          <cell r="C794">
            <v>40041</v>
          </cell>
          <cell r="D794" t="str">
            <v>ポーラとダニー襲来！</v>
          </cell>
          <cell r="E794" t="str">
            <v>降臨41</v>
          </cell>
          <cell r="F794">
            <v>2</v>
          </cell>
          <cell r="G794" t="str">
            <v>ja</v>
          </cell>
          <cell r="H794" t="str">
            <v>【ｳｨｻﾞ】ポーラとダニー襲来！</v>
          </cell>
          <cell r="I794" t="str">
            <v>地獄級</v>
          </cell>
          <cell r="J794">
            <v>1283</v>
          </cell>
          <cell r="K794">
            <v>40</v>
          </cell>
          <cell r="L794">
            <v>4500</v>
          </cell>
          <cell r="M794">
            <v>1</v>
          </cell>
          <cell r="N794">
            <v>1</v>
          </cell>
          <cell r="O794">
            <v>1</v>
          </cell>
          <cell r="P794">
            <v>1</v>
          </cell>
          <cell r="Q794">
            <v>1</v>
          </cell>
          <cell r="R794">
            <v>3</v>
          </cell>
          <cell r="S794" t="str">
            <v>polygon</v>
          </cell>
          <cell r="T794">
            <v>1</v>
          </cell>
          <cell r="U794" t="str">
            <v>NULL</v>
          </cell>
          <cell r="V794" t="str">
            <v>NULL</v>
          </cell>
          <cell r="W794" t="str">
            <v/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  <cell r="AB794" t="str">
            <v>anytime</v>
          </cell>
          <cell r="AC794">
            <v>962</v>
          </cell>
          <cell r="AD794">
            <v>6</v>
          </cell>
          <cell r="AE794" t="str">
            <v>everyone</v>
          </cell>
        </row>
        <row r="795">
          <cell r="A795" t="str">
            <v>40042_1</v>
          </cell>
          <cell r="B795">
            <v>3</v>
          </cell>
          <cell r="C795">
            <v>40042</v>
          </cell>
          <cell r="D795" t="str">
            <v>ヘル襲来！</v>
          </cell>
          <cell r="E795" t="str">
            <v>降臨42</v>
          </cell>
          <cell r="F795">
            <v>1</v>
          </cell>
          <cell r="G795" t="str">
            <v>ja</v>
          </cell>
          <cell r="H795" t="str">
            <v>【超絶級】ヘル襲来</v>
          </cell>
          <cell r="I795" t="str">
            <v>超絶級</v>
          </cell>
          <cell r="J795">
            <v>1257</v>
          </cell>
          <cell r="K795">
            <v>35</v>
          </cell>
          <cell r="L795">
            <v>4200</v>
          </cell>
          <cell r="M795">
            <v>1</v>
          </cell>
          <cell r="N795">
            <v>1</v>
          </cell>
          <cell r="O795">
            <v>1</v>
          </cell>
          <cell r="P795">
            <v>1</v>
          </cell>
          <cell r="Q795">
            <v>1</v>
          </cell>
          <cell r="R795">
            <v>3</v>
          </cell>
          <cell r="S795" t="str">
            <v>polygon</v>
          </cell>
          <cell r="T795">
            <v>1</v>
          </cell>
          <cell r="U795" t="str">
            <v>NULL</v>
          </cell>
          <cell r="V795" t="str">
            <v>NULL</v>
          </cell>
          <cell r="W795" t="str">
            <v/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 t="str">
            <v>anytime</v>
          </cell>
          <cell r="AC795">
            <v>960</v>
          </cell>
          <cell r="AD795">
            <v>6</v>
          </cell>
          <cell r="AE795" t="str">
            <v>everyone</v>
          </cell>
        </row>
        <row r="796">
          <cell r="A796" t="str">
            <v>40042_2</v>
          </cell>
          <cell r="B796">
            <v>3</v>
          </cell>
          <cell r="C796">
            <v>40042</v>
          </cell>
          <cell r="D796" t="str">
            <v>ヘル襲来！</v>
          </cell>
          <cell r="E796" t="str">
            <v>降臨42</v>
          </cell>
          <cell r="F796">
            <v>2</v>
          </cell>
          <cell r="G796" t="str">
            <v>ja</v>
          </cell>
          <cell r="H796" t="str">
            <v>【ウィザード級】ヘル襲来</v>
          </cell>
          <cell r="I796" t="str">
            <v>地獄級</v>
          </cell>
          <cell r="J796">
            <v>1257</v>
          </cell>
          <cell r="K796">
            <v>40</v>
          </cell>
          <cell r="L796">
            <v>4500</v>
          </cell>
          <cell r="M796">
            <v>1</v>
          </cell>
          <cell r="N796">
            <v>1</v>
          </cell>
          <cell r="O796">
            <v>1</v>
          </cell>
          <cell r="P796">
            <v>1</v>
          </cell>
          <cell r="Q796">
            <v>1</v>
          </cell>
          <cell r="R796">
            <v>3</v>
          </cell>
          <cell r="S796" t="str">
            <v>polygon</v>
          </cell>
          <cell r="T796">
            <v>1</v>
          </cell>
          <cell r="U796" t="str">
            <v>NULL</v>
          </cell>
          <cell r="V796" t="str">
            <v>NULL</v>
          </cell>
          <cell r="W796" t="str">
            <v/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 t="str">
            <v>anytime</v>
          </cell>
          <cell r="AC796">
            <v>960</v>
          </cell>
          <cell r="AD796">
            <v>6</v>
          </cell>
          <cell r="AE796" t="str">
            <v>everyone</v>
          </cell>
        </row>
        <row r="797">
          <cell r="A797" t="str">
            <v>40043_1</v>
          </cell>
          <cell r="B797">
            <v>3</v>
          </cell>
          <cell r="C797">
            <v>40043</v>
          </cell>
          <cell r="D797" t="str">
            <v>ワカヒルメ襲来！</v>
          </cell>
          <cell r="E797" t="str">
            <v>降臨43</v>
          </cell>
          <cell r="F797">
            <v>1</v>
          </cell>
          <cell r="G797" t="str">
            <v>ja</v>
          </cell>
          <cell r="H797" t="str">
            <v>【超絶級】ワカヒルメ襲来</v>
          </cell>
          <cell r="I797" t="str">
            <v>超絶級</v>
          </cell>
          <cell r="J797">
            <v>1327</v>
          </cell>
          <cell r="K797">
            <v>35</v>
          </cell>
          <cell r="L797">
            <v>4200</v>
          </cell>
          <cell r="M797">
            <v>1</v>
          </cell>
          <cell r="N797">
            <v>1</v>
          </cell>
          <cell r="O797">
            <v>1</v>
          </cell>
          <cell r="P797">
            <v>1</v>
          </cell>
          <cell r="Q797">
            <v>1</v>
          </cell>
          <cell r="R797">
            <v>3</v>
          </cell>
          <cell r="S797" t="str">
            <v>polygon</v>
          </cell>
          <cell r="T797">
            <v>1</v>
          </cell>
          <cell r="U797" t="str">
            <v>NULL</v>
          </cell>
          <cell r="V797" t="str">
            <v>NULL</v>
          </cell>
          <cell r="W797" t="str">
            <v/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 t="str">
            <v>anytime</v>
          </cell>
          <cell r="AC797">
            <v>966</v>
          </cell>
          <cell r="AD797">
            <v>6</v>
          </cell>
          <cell r="AE797" t="str">
            <v>everyone</v>
          </cell>
        </row>
        <row r="798">
          <cell r="A798" t="str">
            <v>40043_2</v>
          </cell>
          <cell r="B798">
            <v>3</v>
          </cell>
          <cell r="C798">
            <v>40043</v>
          </cell>
          <cell r="D798" t="str">
            <v>ワカヒルメ襲来！</v>
          </cell>
          <cell r="E798" t="str">
            <v>降臨43</v>
          </cell>
          <cell r="F798">
            <v>2</v>
          </cell>
          <cell r="G798" t="str">
            <v>ja</v>
          </cell>
          <cell r="H798" t="str">
            <v>【ウィザード級】ワカヒルメ襲来</v>
          </cell>
          <cell r="I798" t="str">
            <v>地獄級</v>
          </cell>
          <cell r="J798">
            <v>1327</v>
          </cell>
          <cell r="K798">
            <v>40</v>
          </cell>
          <cell r="L798">
            <v>4500</v>
          </cell>
          <cell r="M798">
            <v>1</v>
          </cell>
          <cell r="N798">
            <v>1</v>
          </cell>
          <cell r="O798">
            <v>1</v>
          </cell>
          <cell r="P798">
            <v>1</v>
          </cell>
          <cell r="Q798">
            <v>1</v>
          </cell>
          <cell r="R798">
            <v>3</v>
          </cell>
          <cell r="S798" t="str">
            <v>polygon</v>
          </cell>
          <cell r="T798">
            <v>1</v>
          </cell>
          <cell r="U798" t="str">
            <v>NULL</v>
          </cell>
          <cell r="V798" t="str">
            <v>NULL</v>
          </cell>
          <cell r="W798" t="str">
            <v/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 t="str">
            <v>anytime</v>
          </cell>
          <cell r="AC798">
            <v>966</v>
          </cell>
          <cell r="AD798">
            <v>6</v>
          </cell>
          <cell r="AE798" t="str">
            <v>everyone</v>
          </cell>
        </row>
        <row r="799">
          <cell r="A799" t="str">
            <v>40044_1</v>
          </cell>
          <cell r="B799">
            <v>3</v>
          </cell>
          <cell r="C799">
            <v>40044</v>
          </cell>
          <cell r="D799" t="str">
            <v>ジキル&amp;ハイド襲来！</v>
          </cell>
          <cell r="E799" t="str">
            <v>降臨44</v>
          </cell>
          <cell r="F799">
            <v>1</v>
          </cell>
          <cell r="G799" t="str">
            <v>ja</v>
          </cell>
          <cell r="H799" t="str">
            <v>【超絶級】ジキル&amp;ハイド襲来</v>
          </cell>
          <cell r="I799" t="str">
            <v>超絶級</v>
          </cell>
          <cell r="J799">
            <v>1376</v>
          </cell>
          <cell r="K799">
            <v>35</v>
          </cell>
          <cell r="L799">
            <v>4200</v>
          </cell>
          <cell r="M799">
            <v>1</v>
          </cell>
          <cell r="N799">
            <v>1</v>
          </cell>
          <cell r="O799">
            <v>1</v>
          </cell>
          <cell r="P799">
            <v>1</v>
          </cell>
          <cell r="Q799">
            <v>1</v>
          </cell>
          <cell r="R799">
            <v>3</v>
          </cell>
          <cell r="S799" t="str">
            <v>polygon</v>
          </cell>
          <cell r="T799">
            <v>1</v>
          </cell>
          <cell r="U799" t="str">
            <v>NULL</v>
          </cell>
          <cell r="V799" t="str">
            <v>NULL</v>
          </cell>
          <cell r="W799" t="str">
            <v/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 t="str">
            <v>anytime</v>
          </cell>
          <cell r="AC799">
            <v>973</v>
          </cell>
          <cell r="AD799">
            <v>6</v>
          </cell>
          <cell r="AE799" t="str">
            <v>everyone</v>
          </cell>
        </row>
        <row r="800">
          <cell r="A800" t="str">
            <v>40044_2</v>
          </cell>
          <cell r="B800">
            <v>3</v>
          </cell>
          <cell r="C800">
            <v>40044</v>
          </cell>
          <cell r="D800" t="str">
            <v>ジキル&amp;ハイド襲来！</v>
          </cell>
          <cell r="E800" t="str">
            <v>降臨44</v>
          </cell>
          <cell r="F800">
            <v>2</v>
          </cell>
          <cell r="G800" t="str">
            <v>ja</v>
          </cell>
          <cell r="H800" t="str">
            <v>【ウィザード級】ジキル&amp;ハイド襲来</v>
          </cell>
          <cell r="I800" t="str">
            <v>地獄級</v>
          </cell>
          <cell r="J800">
            <v>1376</v>
          </cell>
          <cell r="K800">
            <v>40</v>
          </cell>
          <cell r="L800">
            <v>4500</v>
          </cell>
          <cell r="M800">
            <v>1</v>
          </cell>
          <cell r="N800">
            <v>1</v>
          </cell>
          <cell r="O800">
            <v>1</v>
          </cell>
          <cell r="P800">
            <v>1</v>
          </cell>
          <cell r="Q800">
            <v>1</v>
          </cell>
          <cell r="R800">
            <v>3</v>
          </cell>
          <cell r="S800" t="str">
            <v>polygon</v>
          </cell>
          <cell r="T800">
            <v>1</v>
          </cell>
          <cell r="U800" t="str">
            <v>NULL</v>
          </cell>
          <cell r="V800" t="str">
            <v>NULL</v>
          </cell>
          <cell r="W800" t="str">
            <v/>
          </cell>
          <cell r="X800">
            <v>0</v>
          </cell>
          <cell r="Y800">
            <v>0</v>
          </cell>
          <cell r="Z800">
            <v>0</v>
          </cell>
          <cell r="AA800">
            <v>0</v>
          </cell>
          <cell r="AB800" t="str">
            <v>anytime</v>
          </cell>
          <cell r="AC800">
            <v>973</v>
          </cell>
          <cell r="AD800">
            <v>6</v>
          </cell>
          <cell r="AE800" t="str">
            <v>everyone</v>
          </cell>
        </row>
        <row r="801">
          <cell r="A801" t="str">
            <v>40045_1</v>
          </cell>
          <cell r="B801">
            <v>3</v>
          </cell>
          <cell r="C801">
            <v>40045</v>
          </cell>
          <cell r="D801" t="str">
            <v>服部半蔵襲来！</v>
          </cell>
          <cell r="E801" t="str">
            <v>降臨45</v>
          </cell>
          <cell r="F801">
            <v>1</v>
          </cell>
          <cell r="G801" t="str">
            <v>ja</v>
          </cell>
          <cell r="H801" t="str">
            <v>【超絶級】服部半蔵襲来</v>
          </cell>
          <cell r="I801" t="str">
            <v>超絶級</v>
          </cell>
          <cell r="J801">
            <v>1239</v>
          </cell>
          <cell r="K801">
            <v>35</v>
          </cell>
          <cell r="L801">
            <v>4200</v>
          </cell>
          <cell r="M801">
            <v>1</v>
          </cell>
          <cell r="N801">
            <v>1</v>
          </cell>
          <cell r="O801">
            <v>1</v>
          </cell>
          <cell r="P801">
            <v>1</v>
          </cell>
          <cell r="Q801">
            <v>1</v>
          </cell>
          <cell r="R801">
            <v>3</v>
          </cell>
          <cell r="S801" t="str">
            <v>polygon</v>
          </cell>
          <cell r="T801">
            <v>1</v>
          </cell>
          <cell r="U801" t="str">
            <v>NULL</v>
          </cell>
          <cell r="V801" t="str">
            <v>NULL</v>
          </cell>
          <cell r="W801" t="str">
            <v/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 t="str">
            <v>anytime</v>
          </cell>
          <cell r="AC801">
            <v>958</v>
          </cell>
          <cell r="AD801">
            <v>6</v>
          </cell>
          <cell r="AE801" t="str">
            <v>everyone</v>
          </cell>
        </row>
        <row r="802">
          <cell r="A802" t="str">
            <v>40045_2</v>
          </cell>
          <cell r="B802">
            <v>3</v>
          </cell>
          <cell r="C802">
            <v>40045</v>
          </cell>
          <cell r="D802" t="str">
            <v>服部半蔵襲来！</v>
          </cell>
          <cell r="E802" t="str">
            <v>降臨45</v>
          </cell>
          <cell r="F802">
            <v>2</v>
          </cell>
          <cell r="G802" t="str">
            <v>ja</v>
          </cell>
          <cell r="H802" t="str">
            <v>【ウィザード級】服部半蔵襲来</v>
          </cell>
          <cell r="I802" t="str">
            <v>地獄級</v>
          </cell>
          <cell r="J802">
            <v>1239</v>
          </cell>
          <cell r="K802">
            <v>40</v>
          </cell>
          <cell r="L802">
            <v>4500</v>
          </cell>
          <cell r="M802">
            <v>1</v>
          </cell>
          <cell r="N802">
            <v>1</v>
          </cell>
          <cell r="O802">
            <v>1</v>
          </cell>
          <cell r="P802">
            <v>1</v>
          </cell>
          <cell r="Q802">
            <v>1</v>
          </cell>
          <cell r="R802">
            <v>3</v>
          </cell>
          <cell r="S802" t="str">
            <v>polygon</v>
          </cell>
          <cell r="T802">
            <v>1</v>
          </cell>
          <cell r="U802" t="str">
            <v>NULL</v>
          </cell>
          <cell r="V802" t="str">
            <v>NULL</v>
          </cell>
          <cell r="W802" t="str">
            <v/>
          </cell>
          <cell r="X802">
            <v>0</v>
          </cell>
          <cell r="Y802">
            <v>0</v>
          </cell>
          <cell r="Z802">
            <v>0</v>
          </cell>
          <cell r="AA802">
            <v>0</v>
          </cell>
          <cell r="AB802" t="str">
            <v>anytime</v>
          </cell>
          <cell r="AC802">
            <v>958</v>
          </cell>
          <cell r="AD802">
            <v>6</v>
          </cell>
          <cell r="AE802" t="str">
            <v>everyone</v>
          </cell>
        </row>
        <row r="803">
          <cell r="A803" t="str">
            <v>40046_1</v>
          </cell>
          <cell r="B803">
            <v>3</v>
          </cell>
          <cell r="C803">
            <v>40046</v>
          </cell>
          <cell r="D803" t="str">
            <v>ゼノビア襲来！</v>
          </cell>
          <cell r="E803" t="str">
            <v>降臨46</v>
          </cell>
          <cell r="F803">
            <v>1</v>
          </cell>
          <cell r="G803" t="str">
            <v>ja</v>
          </cell>
          <cell r="H803" t="str">
            <v>【超絶級】ゼノビア襲来</v>
          </cell>
          <cell r="I803" t="str">
            <v>超絶級</v>
          </cell>
          <cell r="J803">
            <v>1438</v>
          </cell>
          <cell r="K803">
            <v>35</v>
          </cell>
          <cell r="L803">
            <v>4200</v>
          </cell>
          <cell r="M803">
            <v>1</v>
          </cell>
          <cell r="N803">
            <v>1</v>
          </cell>
          <cell r="O803">
            <v>1</v>
          </cell>
          <cell r="P803">
            <v>1</v>
          </cell>
          <cell r="Q803">
            <v>1</v>
          </cell>
          <cell r="R803">
            <v>3</v>
          </cell>
          <cell r="S803" t="str">
            <v>polygon</v>
          </cell>
          <cell r="T803">
            <v>1</v>
          </cell>
          <cell r="U803" t="str">
            <v>NULL</v>
          </cell>
          <cell r="V803" t="str">
            <v>NULL</v>
          </cell>
          <cell r="W803" t="str">
            <v/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 t="str">
            <v>anytime</v>
          </cell>
          <cell r="AC803">
            <v>988</v>
          </cell>
          <cell r="AD803">
            <v>6</v>
          </cell>
          <cell r="AE803" t="str">
            <v>everyone</v>
          </cell>
        </row>
        <row r="804">
          <cell r="A804" t="str">
            <v>40046_2</v>
          </cell>
          <cell r="B804">
            <v>3</v>
          </cell>
          <cell r="C804">
            <v>40046</v>
          </cell>
          <cell r="D804" t="str">
            <v>ゼノビア襲来！</v>
          </cell>
          <cell r="E804" t="str">
            <v>降臨46</v>
          </cell>
          <cell r="F804">
            <v>2</v>
          </cell>
          <cell r="G804" t="str">
            <v>ja</v>
          </cell>
          <cell r="H804" t="str">
            <v>【ウィザード級】ゼノビア襲来</v>
          </cell>
          <cell r="I804" t="str">
            <v>地獄級</v>
          </cell>
          <cell r="J804">
            <v>1439</v>
          </cell>
          <cell r="K804">
            <v>40</v>
          </cell>
          <cell r="L804">
            <v>4500</v>
          </cell>
          <cell r="M804">
            <v>1</v>
          </cell>
          <cell r="N804">
            <v>1</v>
          </cell>
          <cell r="O804">
            <v>1</v>
          </cell>
          <cell r="P804">
            <v>1</v>
          </cell>
          <cell r="Q804">
            <v>1</v>
          </cell>
          <cell r="R804">
            <v>3</v>
          </cell>
          <cell r="S804" t="str">
            <v>polygon</v>
          </cell>
          <cell r="T804">
            <v>1</v>
          </cell>
          <cell r="U804" t="str">
            <v>NULL</v>
          </cell>
          <cell r="V804" t="str">
            <v>NULL</v>
          </cell>
          <cell r="W804" t="str">
            <v/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  <cell r="AB804" t="str">
            <v>anytime</v>
          </cell>
          <cell r="AC804">
            <v>988</v>
          </cell>
          <cell r="AD804">
            <v>6</v>
          </cell>
          <cell r="AE804" t="str">
            <v>everyone</v>
          </cell>
        </row>
        <row r="805">
          <cell r="A805" t="str">
            <v>41001_1</v>
          </cell>
          <cell r="B805">
            <v>3</v>
          </cell>
          <cell r="C805">
            <v>41001</v>
          </cell>
          <cell r="D805" t="str">
            <v>アマテラス襲来！</v>
          </cell>
          <cell r="E805" t="str">
            <v>降臨1</v>
          </cell>
          <cell r="F805">
            <v>1</v>
          </cell>
          <cell r="G805" t="str">
            <v>ja</v>
          </cell>
          <cell r="H805" t="str">
            <v>【超絶級】アマテラス襲来</v>
          </cell>
          <cell r="I805" t="str">
            <v>超絶級</v>
          </cell>
          <cell r="J805">
            <v>279</v>
          </cell>
          <cell r="K805">
            <v>35</v>
          </cell>
          <cell r="L805">
            <v>4200</v>
          </cell>
          <cell r="M805">
            <v>1</v>
          </cell>
          <cell r="N805">
            <v>1</v>
          </cell>
          <cell r="O805">
            <v>1</v>
          </cell>
          <cell r="P805">
            <v>1</v>
          </cell>
          <cell r="Q805">
            <v>1</v>
          </cell>
          <cell r="R805">
            <v>3</v>
          </cell>
          <cell r="S805" t="str">
            <v>polygon</v>
          </cell>
          <cell r="T805">
            <v>1</v>
          </cell>
          <cell r="U805" t="str">
            <v>NULL</v>
          </cell>
          <cell r="V805" t="str">
            <v>NULL</v>
          </cell>
          <cell r="W805" t="str">
            <v/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 t="str">
            <v>anytime</v>
          </cell>
          <cell r="AC805">
            <v>901</v>
          </cell>
          <cell r="AD805">
            <v>6</v>
          </cell>
          <cell r="AE805" t="str">
            <v>everyone</v>
          </cell>
        </row>
        <row r="806">
          <cell r="A806" t="str">
            <v>41001_2</v>
          </cell>
          <cell r="B806">
            <v>3</v>
          </cell>
          <cell r="C806">
            <v>41001</v>
          </cell>
          <cell r="D806" t="str">
            <v>アマテラス襲来！</v>
          </cell>
          <cell r="E806" t="str">
            <v>降臨1</v>
          </cell>
          <cell r="F806">
            <v>2</v>
          </cell>
          <cell r="G806" t="str">
            <v>ja</v>
          </cell>
          <cell r="H806" t="str">
            <v>【ウィザード級】アマテラス襲来</v>
          </cell>
          <cell r="I806" t="str">
            <v>地獄級</v>
          </cell>
          <cell r="J806">
            <v>810</v>
          </cell>
          <cell r="K806">
            <v>40</v>
          </cell>
          <cell r="L806">
            <v>4500</v>
          </cell>
          <cell r="M806">
            <v>1</v>
          </cell>
          <cell r="N806">
            <v>1</v>
          </cell>
          <cell r="O806">
            <v>1</v>
          </cell>
          <cell r="P806">
            <v>1</v>
          </cell>
          <cell r="Q806">
            <v>1</v>
          </cell>
          <cell r="R806">
            <v>3</v>
          </cell>
          <cell r="S806" t="str">
            <v>polygon</v>
          </cell>
          <cell r="T806">
            <v>1</v>
          </cell>
          <cell r="U806" t="str">
            <v>NULL</v>
          </cell>
          <cell r="V806" t="str">
            <v>NULL</v>
          </cell>
          <cell r="W806" t="str">
            <v/>
          </cell>
          <cell r="X806">
            <v>0</v>
          </cell>
          <cell r="Y806">
            <v>0</v>
          </cell>
          <cell r="Z806">
            <v>0</v>
          </cell>
          <cell r="AA806">
            <v>0</v>
          </cell>
          <cell r="AB806" t="str">
            <v>anytime</v>
          </cell>
          <cell r="AC806">
            <v>901</v>
          </cell>
          <cell r="AD806">
            <v>6</v>
          </cell>
          <cell r="AE806" t="str">
            <v>everyone</v>
          </cell>
        </row>
        <row r="807">
          <cell r="A807" t="str">
            <v>41001_3</v>
          </cell>
          <cell r="B807">
            <v>1</v>
          </cell>
          <cell r="C807">
            <v>41001</v>
          </cell>
          <cell r="D807" t="str">
            <v>アマテラス襲来！</v>
          </cell>
          <cell r="E807" t="str">
            <v>降臨1</v>
          </cell>
          <cell r="F807">
            <v>3</v>
          </cell>
          <cell r="G807" t="str">
            <v>ja</v>
          </cell>
          <cell r="H807" t="str">
            <v>【ノーコンテニュー】アマテラス襲来</v>
          </cell>
          <cell r="I807" t="str">
            <v>地獄級</v>
          </cell>
          <cell r="J807">
            <v>810</v>
          </cell>
          <cell r="K807">
            <v>40</v>
          </cell>
          <cell r="L807">
            <v>4500</v>
          </cell>
          <cell r="M807">
            <v>1</v>
          </cell>
          <cell r="N807">
            <v>1</v>
          </cell>
          <cell r="O807">
            <v>1</v>
          </cell>
          <cell r="P807">
            <v>1</v>
          </cell>
          <cell r="Q807">
            <v>1</v>
          </cell>
          <cell r="R807">
            <v>3</v>
          </cell>
          <cell r="S807" t="str">
            <v>polygon</v>
          </cell>
          <cell r="T807">
            <v>1</v>
          </cell>
          <cell r="U807" t="str">
            <v>NULL</v>
          </cell>
          <cell r="V807" t="str">
            <v>NULL</v>
          </cell>
          <cell r="W807" t="str">
            <v/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  <cell r="AB807" t="str">
            <v>anytime</v>
          </cell>
          <cell r="AC807">
            <v>901</v>
          </cell>
          <cell r="AD807">
            <v>6</v>
          </cell>
          <cell r="AE807" t="str">
            <v>everyone</v>
          </cell>
        </row>
        <row r="808">
          <cell r="A808" t="str">
            <v>41002_1</v>
          </cell>
          <cell r="B808">
            <v>3</v>
          </cell>
          <cell r="C808">
            <v>41002</v>
          </cell>
          <cell r="D808" t="str">
            <v>アザゼル襲来！</v>
          </cell>
          <cell r="E808" t="str">
            <v>降臨1</v>
          </cell>
          <cell r="F808">
            <v>1</v>
          </cell>
          <cell r="G808" t="str">
            <v>ja</v>
          </cell>
          <cell r="H808" t="str">
            <v>【超絶級】アザゼル襲来</v>
          </cell>
          <cell r="I808" t="str">
            <v>超絶級</v>
          </cell>
          <cell r="J808">
            <v>297</v>
          </cell>
          <cell r="K808">
            <v>35</v>
          </cell>
          <cell r="L808">
            <v>4200</v>
          </cell>
          <cell r="M808">
            <v>1</v>
          </cell>
          <cell r="N808">
            <v>1</v>
          </cell>
          <cell r="O808">
            <v>1</v>
          </cell>
          <cell r="P808">
            <v>1</v>
          </cell>
          <cell r="Q808">
            <v>1</v>
          </cell>
          <cell r="R808">
            <v>3</v>
          </cell>
          <cell r="S808" t="str">
            <v>polygon</v>
          </cell>
          <cell r="T808">
            <v>1</v>
          </cell>
          <cell r="U808" t="str">
            <v>NULL</v>
          </cell>
          <cell r="V808" t="str">
            <v>NULL</v>
          </cell>
          <cell r="W808" t="str">
            <v/>
          </cell>
          <cell r="X808">
            <v>0</v>
          </cell>
          <cell r="Y808">
            <v>0</v>
          </cell>
          <cell r="Z808">
            <v>0</v>
          </cell>
          <cell r="AA808">
            <v>0</v>
          </cell>
          <cell r="AB808" t="str">
            <v>anytime</v>
          </cell>
          <cell r="AC808">
            <v>902</v>
          </cell>
          <cell r="AD808">
            <v>6</v>
          </cell>
          <cell r="AE808" t="str">
            <v>everyone</v>
          </cell>
        </row>
        <row r="809">
          <cell r="A809" t="str">
            <v>41002_2</v>
          </cell>
          <cell r="B809">
            <v>3</v>
          </cell>
          <cell r="C809">
            <v>41002</v>
          </cell>
          <cell r="D809" t="str">
            <v>アザゼル襲来！</v>
          </cell>
          <cell r="E809" t="str">
            <v>降臨1</v>
          </cell>
          <cell r="F809">
            <v>2</v>
          </cell>
          <cell r="G809" t="str">
            <v>ja</v>
          </cell>
          <cell r="H809" t="str">
            <v>【ウィザード級】アザゼル襲来</v>
          </cell>
          <cell r="I809" t="str">
            <v>地獄級</v>
          </cell>
          <cell r="J809">
            <v>812</v>
          </cell>
          <cell r="K809">
            <v>40</v>
          </cell>
          <cell r="L809">
            <v>4500</v>
          </cell>
          <cell r="M809">
            <v>1</v>
          </cell>
          <cell r="N809">
            <v>1</v>
          </cell>
          <cell r="O809">
            <v>1</v>
          </cell>
          <cell r="P809">
            <v>1</v>
          </cell>
          <cell r="Q809">
            <v>1</v>
          </cell>
          <cell r="R809">
            <v>3</v>
          </cell>
          <cell r="S809" t="str">
            <v>polygon</v>
          </cell>
          <cell r="T809">
            <v>1</v>
          </cell>
          <cell r="U809" t="str">
            <v>NULL</v>
          </cell>
          <cell r="V809" t="str">
            <v>NULL</v>
          </cell>
          <cell r="W809" t="str">
            <v/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  <cell r="AB809" t="str">
            <v>anytime</v>
          </cell>
          <cell r="AC809">
            <v>902</v>
          </cell>
          <cell r="AD809">
            <v>6</v>
          </cell>
          <cell r="AE809" t="str">
            <v>everyone</v>
          </cell>
        </row>
        <row r="810">
          <cell r="A810" t="str">
            <v>41002_3</v>
          </cell>
          <cell r="B810">
            <v>1</v>
          </cell>
          <cell r="C810">
            <v>41002</v>
          </cell>
          <cell r="D810" t="str">
            <v>アザゼル襲来！</v>
          </cell>
          <cell r="E810" t="str">
            <v>降臨1</v>
          </cell>
          <cell r="F810">
            <v>3</v>
          </cell>
          <cell r="G810" t="str">
            <v>ja</v>
          </cell>
          <cell r="H810" t="str">
            <v>【ノーコンテニュー】アザゼル襲来</v>
          </cell>
          <cell r="I810" t="str">
            <v>地獄級</v>
          </cell>
          <cell r="J810">
            <v>812</v>
          </cell>
          <cell r="K810">
            <v>40</v>
          </cell>
          <cell r="L810">
            <v>4500</v>
          </cell>
          <cell r="M810">
            <v>1</v>
          </cell>
          <cell r="N810">
            <v>1</v>
          </cell>
          <cell r="O810">
            <v>1</v>
          </cell>
          <cell r="P810">
            <v>1</v>
          </cell>
          <cell r="Q810">
            <v>1</v>
          </cell>
          <cell r="R810">
            <v>3</v>
          </cell>
          <cell r="S810" t="str">
            <v>polygon</v>
          </cell>
          <cell r="T810">
            <v>1</v>
          </cell>
          <cell r="U810" t="str">
            <v>NULL</v>
          </cell>
          <cell r="V810" t="str">
            <v>NULL</v>
          </cell>
          <cell r="W810" t="str">
            <v/>
          </cell>
          <cell r="X810">
            <v>0</v>
          </cell>
          <cell r="Y810">
            <v>0</v>
          </cell>
          <cell r="Z810">
            <v>0</v>
          </cell>
          <cell r="AA810">
            <v>0</v>
          </cell>
          <cell r="AB810" t="str">
            <v>anytime</v>
          </cell>
          <cell r="AC810">
            <v>902</v>
          </cell>
          <cell r="AD810">
            <v>6</v>
          </cell>
          <cell r="AE810" t="str">
            <v>everyone</v>
          </cell>
        </row>
        <row r="811">
          <cell r="A811" t="str">
            <v>41003_1</v>
          </cell>
          <cell r="B811">
            <v>3</v>
          </cell>
          <cell r="C811">
            <v>41003</v>
          </cell>
          <cell r="D811" t="str">
            <v>ジャンヌ襲来！</v>
          </cell>
          <cell r="E811" t="str">
            <v>降臨1</v>
          </cell>
          <cell r="F811">
            <v>1</v>
          </cell>
          <cell r="G811" t="str">
            <v>ja</v>
          </cell>
          <cell r="H811" t="str">
            <v>【超絶級】ジャンヌ襲来</v>
          </cell>
          <cell r="I811" t="str">
            <v>超絶級</v>
          </cell>
          <cell r="J811">
            <v>315</v>
          </cell>
          <cell r="K811">
            <v>35</v>
          </cell>
          <cell r="L811">
            <v>4200</v>
          </cell>
          <cell r="M811">
            <v>1</v>
          </cell>
          <cell r="N811">
            <v>1</v>
          </cell>
          <cell r="O811">
            <v>1</v>
          </cell>
          <cell r="P811">
            <v>1</v>
          </cell>
          <cell r="Q811">
            <v>1</v>
          </cell>
          <cell r="R811">
            <v>3</v>
          </cell>
          <cell r="S811" t="str">
            <v>polygon</v>
          </cell>
          <cell r="T811">
            <v>1</v>
          </cell>
          <cell r="U811" t="str">
            <v>NULL</v>
          </cell>
          <cell r="V811" t="str">
            <v>NULL</v>
          </cell>
          <cell r="W811" t="str">
            <v/>
          </cell>
          <cell r="X811">
            <v>0</v>
          </cell>
          <cell r="Y811">
            <v>0</v>
          </cell>
          <cell r="Z811">
            <v>0</v>
          </cell>
          <cell r="AA811">
            <v>0</v>
          </cell>
          <cell r="AB811" t="str">
            <v>anytime</v>
          </cell>
          <cell r="AC811">
            <v>903</v>
          </cell>
          <cell r="AD811">
            <v>6</v>
          </cell>
          <cell r="AE811" t="str">
            <v>everyone</v>
          </cell>
        </row>
        <row r="812">
          <cell r="A812" t="str">
            <v>41003_2</v>
          </cell>
          <cell r="B812">
            <v>3</v>
          </cell>
          <cell r="C812">
            <v>41003</v>
          </cell>
          <cell r="D812" t="str">
            <v>ジャンヌ襲来！</v>
          </cell>
          <cell r="E812" t="str">
            <v>降臨1</v>
          </cell>
          <cell r="F812">
            <v>2</v>
          </cell>
          <cell r="G812" t="str">
            <v>ja</v>
          </cell>
          <cell r="H812" t="str">
            <v>【ウィザード級】ジャンヌ襲来</v>
          </cell>
          <cell r="I812" t="str">
            <v>地獄級</v>
          </cell>
          <cell r="J812">
            <v>814</v>
          </cell>
          <cell r="K812">
            <v>40</v>
          </cell>
          <cell r="L812">
            <v>4500</v>
          </cell>
          <cell r="M812">
            <v>1</v>
          </cell>
          <cell r="N812">
            <v>1</v>
          </cell>
          <cell r="O812">
            <v>1</v>
          </cell>
          <cell r="P812">
            <v>1</v>
          </cell>
          <cell r="Q812">
            <v>1</v>
          </cell>
          <cell r="R812">
            <v>3</v>
          </cell>
          <cell r="S812" t="str">
            <v>polygon</v>
          </cell>
          <cell r="T812">
            <v>1</v>
          </cell>
          <cell r="U812" t="str">
            <v>NULL</v>
          </cell>
          <cell r="V812" t="str">
            <v>NULL</v>
          </cell>
          <cell r="W812" t="str">
            <v/>
          </cell>
          <cell r="X812">
            <v>0</v>
          </cell>
          <cell r="Y812">
            <v>0</v>
          </cell>
          <cell r="Z812">
            <v>0</v>
          </cell>
          <cell r="AA812">
            <v>0</v>
          </cell>
          <cell r="AB812" t="str">
            <v>anytime</v>
          </cell>
          <cell r="AC812">
            <v>903</v>
          </cell>
          <cell r="AD812">
            <v>6</v>
          </cell>
          <cell r="AE812" t="str">
            <v>everyone</v>
          </cell>
        </row>
        <row r="813">
          <cell r="A813" t="str">
            <v>41003_3</v>
          </cell>
          <cell r="B813">
            <v>1</v>
          </cell>
          <cell r="C813">
            <v>41003</v>
          </cell>
          <cell r="D813" t="str">
            <v>ジャンヌ襲来！</v>
          </cell>
          <cell r="E813" t="str">
            <v>降臨1</v>
          </cell>
          <cell r="F813">
            <v>3</v>
          </cell>
          <cell r="G813" t="str">
            <v>ja</v>
          </cell>
          <cell r="H813" t="str">
            <v>【ノーコンテニュー】ジャンヌ襲来</v>
          </cell>
          <cell r="I813" t="str">
            <v>地獄級</v>
          </cell>
          <cell r="J813">
            <v>814</v>
          </cell>
          <cell r="K813">
            <v>40</v>
          </cell>
          <cell r="L813">
            <v>4500</v>
          </cell>
          <cell r="M813">
            <v>1</v>
          </cell>
          <cell r="N813">
            <v>1</v>
          </cell>
          <cell r="O813">
            <v>1</v>
          </cell>
          <cell r="P813">
            <v>1</v>
          </cell>
          <cell r="Q813">
            <v>1</v>
          </cell>
          <cell r="R813">
            <v>3</v>
          </cell>
          <cell r="S813" t="str">
            <v>polygon</v>
          </cell>
          <cell r="T813">
            <v>1</v>
          </cell>
          <cell r="U813" t="str">
            <v>NULL</v>
          </cell>
          <cell r="V813" t="str">
            <v>NULL</v>
          </cell>
          <cell r="W813" t="str">
            <v/>
          </cell>
          <cell r="X813">
            <v>0</v>
          </cell>
          <cell r="Y813">
            <v>0</v>
          </cell>
          <cell r="Z813">
            <v>0</v>
          </cell>
          <cell r="AA813">
            <v>0</v>
          </cell>
          <cell r="AB813" t="str">
            <v>anytime</v>
          </cell>
          <cell r="AC813">
            <v>903</v>
          </cell>
          <cell r="AD813">
            <v>6</v>
          </cell>
          <cell r="AE813" t="str">
            <v>everyone</v>
          </cell>
        </row>
        <row r="814">
          <cell r="A814" t="str">
            <v>41004_1</v>
          </cell>
          <cell r="B814">
            <v>3</v>
          </cell>
          <cell r="C814">
            <v>41004</v>
          </cell>
          <cell r="D814" t="str">
            <v>宮本武蔵襲来！</v>
          </cell>
          <cell r="E814" t="str">
            <v>降臨1</v>
          </cell>
          <cell r="F814">
            <v>1</v>
          </cell>
          <cell r="G814" t="str">
            <v>ja</v>
          </cell>
          <cell r="H814" t="str">
            <v>【超絶級】宮本武蔵襲来</v>
          </cell>
          <cell r="I814" t="str">
            <v>超絶級</v>
          </cell>
          <cell r="J814">
            <v>427</v>
          </cell>
          <cell r="K814">
            <v>35</v>
          </cell>
          <cell r="L814">
            <v>4200</v>
          </cell>
          <cell r="M814">
            <v>1</v>
          </cell>
          <cell r="N814">
            <v>1</v>
          </cell>
          <cell r="O814">
            <v>1</v>
          </cell>
          <cell r="P814">
            <v>1</v>
          </cell>
          <cell r="Q814">
            <v>1</v>
          </cell>
          <cell r="R814">
            <v>3</v>
          </cell>
          <cell r="S814" t="str">
            <v>polygon</v>
          </cell>
          <cell r="T814">
            <v>1</v>
          </cell>
          <cell r="U814" t="str">
            <v>NULL</v>
          </cell>
          <cell r="V814" t="str">
            <v>NULL</v>
          </cell>
          <cell r="W814" t="str">
            <v/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  <cell r="AB814" t="str">
            <v>anytime</v>
          </cell>
          <cell r="AC814">
            <v>904</v>
          </cell>
          <cell r="AD814">
            <v>6</v>
          </cell>
          <cell r="AE814" t="str">
            <v>everyone</v>
          </cell>
        </row>
        <row r="815">
          <cell r="A815" t="str">
            <v>41004_2</v>
          </cell>
          <cell r="B815">
            <v>3</v>
          </cell>
          <cell r="C815">
            <v>41004</v>
          </cell>
          <cell r="D815" t="str">
            <v>宮本武蔵襲来！</v>
          </cell>
          <cell r="E815" t="str">
            <v>降臨1</v>
          </cell>
          <cell r="F815">
            <v>2</v>
          </cell>
          <cell r="G815" t="str">
            <v>ja</v>
          </cell>
          <cell r="H815" t="str">
            <v>【ウィザード級】宮本武蔵襲来</v>
          </cell>
          <cell r="I815" t="str">
            <v>地獄級</v>
          </cell>
          <cell r="J815">
            <v>816</v>
          </cell>
          <cell r="K815">
            <v>40</v>
          </cell>
          <cell r="L815">
            <v>4500</v>
          </cell>
          <cell r="M815">
            <v>1</v>
          </cell>
          <cell r="N815">
            <v>1</v>
          </cell>
          <cell r="O815">
            <v>1</v>
          </cell>
          <cell r="P815">
            <v>1</v>
          </cell>
          <cell r="Q815">
            <v>1</v>
          </cell>
          <cell r="R815">
            <v>3</v>
          </cell>
          <cell r="S815" t="str">
            <v>polygon</v>
          </cell>
          <cell r="T815">
            <v>1</v>
          </cell>
          <cell r="U815" t="str">
            <v>NULL</v>
          </cell>
          <cell r="V815" t="str">
            <v>NULL</v>
          </cell>
          <cell r="W815" t="str">
            <v/>
          </cell>
          <cell r="X815">
            <v>0</v>
          </cell>
          <cell r="Y815">
            <v>0</v>
          </cell>
          <cell r="Z815">
            <v>0</v>
          </cell>
          <cell r="AA815">
            <v>0</v>
          </cell>
          <cell r="AB815" t="str">
            <v>anytime</v>
          </cell>
          <cell r="AC815">
            <v>904</v>
          </cell>
          <cell r="AD815">
            <v>6</v>
          </cell>
          <cell r="AE815" t="str">
            <v>everyone</v>
          </cell>
        </row>
        <row r="816">
          <cell r="A816" t="str">
            <v>41004_3</v>
          </cell>
          <cell r="B816">
            <v>1</v>
          </cell>
          <cell r="C816">
            <v>41004</v>
          </cell>
          <cell r="D816" t="str">
            <v>宮本武蔵襲来！</v>
          </cell>
          <cell r="E816" t="str">
            <v>降臨1</v>
          </cell>
          <cell r="F816">
            <v>3</v>
          </cell>
          <cell r="G816" t="str">
            <v>ja</v>
          </cell>
          <cell r="H816" t="str">
            <v>【ノーコンテニュー】宮本武蔵襲来</v>
          </cell>
          <cell r="I816" t="str">
            <v>地獄級</v>
          </cell>
          <cell r="J816">
            <v>816</v>
          </cell>
          <cell r="K816">
            <v>40</v>
          </cell>
          <cell r="L816">
            <v>4500</v>
          </cell>
          <cell r="M816">
            <v>1</v>
          </cell>
          <cell r="N816">
            <v>1</v>
          </cell>
          <cell r="O816">
            <v>1</v>
          </cell>
          <cell r="P816">
            <v>1</v>
          </cell>
          <cell r="Q816">
            <v>1</v>
          </cell>
          <cell r="R816">
            <v>3</v>
          </cell>
          <cell r="S816" t="str">
            <v>polygon</v>
          </cell>
          <cell r="T816">
            <v>1</v>
          </cell>
          <cell r="U816" t="str">
            <v>NULL</v>
          </cell>
          <cell r="V816" t="str">
            <v>NULL</v>
          </cell>
          <cell r="W816" t="str">
            <v/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  <cell r="AB816" t="str">
            <v>anytime</v>
          </cell>
          <cell r="AC816">
            <v>904</v>
          </cell>
          <cell r="AD816">
            <v>6</v>
          </cell>
          <cell r="AE816" t="str">
            <v>everyone</v>
          </cell>
        </row>
        <row r="817">
          <cell r="A817" t="str">
            <v>41005_1</v>
          </cell>
          <cell r="B817">
            <v>3</v>
          </cell>
          <cell r="C817">
            <v>41005</v>
          </cell>
          <cell r="D817" t="str">
            <v>オズ襲来！</v>
          </cell>
          <cell r="E817" t="str">
            <v>降臨1</v>
          </cell>
          <cell r="F817">
            <v>1</v>
          </cell>
          <cell r="G817" t="str">
            <v>ja</v>
          </cell>
          <cell r="H817" t="str">
            <v>【超絶級】オズ襲来</v>
          </cell>
          <cell r="I817" t="str">
            <v>超絶級</v>
          </cell>
          <cell r="J817">
            <v>461</v>
          </cell>
          <cell r="K817">
            <v>35</v>
          </cell>
          <cell r="L817">
            <v>4200</v>
          </cell>
          <cell r="M817">
            <v>1</v>
          </cell>
          <cell r="N817">
            <v>1</v>
          </cell>
          <cell r="O817">
            <v>1</v>
          </cell>
          <cell r="P817">
            <v>1</v>
          </cell>
          <cell r="Q817">
            <v>1</v>
          </cell>
          <cell r="R817">
            <v>3</v>
          </cell>
          <cell r="S817" t="str">
            <v>polygon</v>
          </cell>
          <cell r="T817">
            <v>1</v>
          </cell>
          <cell r="U817" t="str">
            <v>NULL</v>
          </cell>
          <cell r="V817" t="str">
            <v>NULL</v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  <cell r="AB817" t="str">
            <v>anytime</v>
          </cell>
          <cell r="AC817">
            <v>906</v>
          </cell>
          <cell r="AD817">
            <v>6</v>
          </cell>
          <cell r="AE817" t="str">
            <v>everyone</v>
          </cell>
        </row>
        <row r="818">
          <cell r="A818" t="str">
            <v>41005_2</v>
          </cell>
          <cell r="B818">
            <v>3</v>
          </cell>
          <cell r="C818">
            <v>41005</v>
          </cell>
          <cell r="D818" t="str">
            <v>オズ襲来！</v>
          </cell>
          <cell r="E818" t="str">
            <v>降臨1</v>
          </cell>
          <cell r="F818">
            <v>2</v>
          </cell>
          <cell r="G818" t="str">
            <v>ja</v>
          </cell>
          <cell r="H818" t="str">
            <v>【ウィザード級】オズ襲来</v>
          </cell>
          <cell r="I818" t="str">
            <v>地獄級</v>
          </cell>
          <cell r="J818">
            <v>818</v>
          </cell>
          <cell r="K818">
            <v>40</v>
          </cell>
          <cell r="L818">
            <v>4500</v>
          </cell>
          <cell r="M818">
            <v>1</v>
          </cell>
          <cell r="N818">
            <v>1</v>
          </cell>
          <cell r="O818">
            <v>1</v>
          </cell>
          <cell r="P818">
            <v>1</v>
          </cell>
          <cell r="Q818">
            <v>1</v>
          </cell>
          <cell r="R818">
            <v>3</v>
          </cell>
          <cell r="S818" t="str">
            <v>polygon</v>
          </cell>
          <cell r="T818">
            <v>1</v>
          </cell>
          <cell r="U818" t="str">
            <v>NULL</v>
          </cell>
          <cell r="V818" t="str">
            <v>NULL</v>
          </cell>
          <cell r="X818">
            <v>0</v>
          </cell>
          <cell r="Y818">
            <v>0</v>
          </cell>
          <cell r="Z818">
            <v>0</v>
          </cell>
          <cell r="AA818">
            <v>0</v>
          </cell>
          <cell r="AB818" t="str">
            <v>anytime</v>
          </cell>
          <cell r="AC818">
            <v>906</v>
          </cell>
          <cell r="AD818">
            <v>6</v>
          </cell>
          <cell r="AE818" t="str">
            <v>everyone</v>
          </cell>
        </row>
        <row r="819">
          <cell r="A819" t="str">
            <v>41005_3</v>
          </cell>
          <cell r="B819">
            <v>1</v>
          </cell>
          <cell r="C819">
            <v>41005</v>
          </cell>
          <cell r="D819" t="str">
            <v>オズ襲来！</v>
          </cell>
          <cell r="E819" t="str">
            <v>降臨1</v>
          </cell>
          <cell r="F819">
            <v>3</v>
          </cell>
          <cell r="G819" t="str">
            <v>ja</v>
          </cell>
          <cell r="H819" t="str">
            <v>【ノーコンテニュー】オズ襲来</v>
          </cell>
          <cell r="I819" t="str">
            <v>地獄級</v>
          </cell>
          <cell r="J819">
            <v>818</v>
          </cell>
          <cell r="K819">
            <v>40</v>
          </cell>
          <cell r="L819">
            <v>4500</v>
          </cell>
          <cell r="M819">
            <v>1</v>
          </cell>
          <cell r="N819">
            <v>1</v>
          </cell>
          <cell r="O819">
            <v>1</v>
          </cell>
          <cell r="P819">
            <v>1</v>
          </cell>
          <cell r="Q819">
            <v>1</v>
          </cell>
          <cell r="R819">
            <v>3</v>
          </cell>
          <cell r="S819" t="str">
            <v>polygon</v>
          </cell>
          <cell r="T819">
            <v>1</v>
          </cell>
          <cell r="U819" t="str">
            <v>NULL</v>
          </cell>
          <cell r="V819" t="str">
            <v>NULL</v>
          </cell>
          <cell r="X819">
            <v>0</v>
          </cell>
          <cell r="Y819">
            <v>0</v>
          </cell>
          <cell r="Z819">
            <v>0</v>
          </cell>
          <cell r="AA819">
            <v>0</v>
          </cell>
          <cell r="AB819" t="str">
            <v>anytime</v>
          </cell>
          <cell r="AC819">
            <v>906</v>
          </cell>
          <cell r="AD819">
            <v>6</v>
          </cell>
          <cell r="AE819" t="str">
            <v>everyone</v>
          </cell>
        </row>
        <row r="820">
          <cell r="A820" t="str">
            <v>41006_1</v>
          </cell>
          <cell r="B820">
            <v>3</v>
          </cell>
          <cell r="C820">
            <v>41006</v>
          </cell>
          <cell r="D820" t="str">
            <v>アーサー襲来！</v>
          </cell>
          <cell r="E820" t="str">
            <v>降臨1</v>
          </cell>
          <cell r="F820">
            <v>1</v>
          </cell>
          <cell r="G820" t="str">
            <v>ja</v>
          </cell>
          <cell r="H820" t="str">
            <v>【超絶級】アーサー襲来</v>
          </cell>
          <cell r="I820" t="str">
            <v>超絶級</v>
          </cell>
          <cell r="J820">
            <v>473</v>
          </cell>
          <cell r="K820">
            <v>35</v>
          </cell>
          <cell r="L820">
            <v>4200</v>
          </cell>
          <cell r="M820">
            <v>1</v>
          </cell>
          <cell r="N820">
            <v>1</v>
          </cell>
          <cell r="O820">
            <v>1</v>
          </cell>
          <cell r="P820">
            <v>1</v>
          </cell>
          <cell r="Q820">
            <v>1</v>
          </cell>
          <cell r="R820">
            <v>3</v>
          </cell>
          <cell r="S820" t="str">
            <v>polygon</v>
          </cell>
          <cell r="T820">
            <v>1</v>
          </cell>
          <cell r="U820" t="str">
            <v>NULL</v>
          </cell>
          <cell r="V820" t="str">
            <v>NULL</v>
          </cell>
          <cell r="X820">
            <v>0</v>
          </cell>
          <cell r="Y820">
            <v>0</v>
          </cell>
          <cell r="Z820">
            <v>0</v>
          </cell>
          <cell r="AA820">
            <v>0</v>
          </cell>
          <cell r="AB820" t="str">
            <v>anytime</v>
          </cell>
          <cell r="AC820">
            <v>907</v>
          </cell>
          <cell r="AD820">
            <v>6</v>
          </cell>
          <cell r="AE820" t="str">
            <v>everyone</v>
          </cell>
        </row>
        <row r="821">
          <cell r="A821" t="str">
            <v>41006_2</v>
          </cell>
          <cell r="B821">
            <v>3</v>
          </cell>
          <cell r="C821">
            <v>41006</v>
          </cell>
          <cell r="D821" t="str">
            <v>アーサー襲来！</v>
          </cell>
          <cell r="E821" t="str">
            <v>降臨1</v>
          </cell>
          <cell r="F821">
            <v>2</v>
          </cell>
          <cell r="G821" t="str">
            <v>ja</v>
          </cell>
          <cell r="H821" t="str">
            <v>【ウィザード級】アーサー襲来</v>
          </cell>
          <cell r="I821" t="str">
            <v>地獄級</v>
          </cell>
          <cell r="J821">
            <v>820</v>
          </cell>
          <cell r="K821">
            <v>40</v>
          </cell>
          <cell r="L821">
            <v>4500</v>
          </cell>
          <cell r="M821">
            <v>1</v>
          </cell>
          <cell r="N821">
            <v>1</v>
          </cell>
          <cell r="O821">
            <v>1</v>
          </cell>
          <cell r="P821">
            <v>1</v>
          </cell>
          <cell r="Q821">
            <v>1</v>
          </cell>
          <cell r="R821">
            <v>3</v>
          </cell>
          <cell r="S821" t="str">
            <v>polygon</v>
          </cell>
          <cell r="T821">
            <v>1</v>
          </cell>
          <cell r="U821" t="str">
            <v>NULL</v>
          </cell>
          <cell r="V821" t="str">
            <v>NULL</v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  <cell r="AB821" t="str">
            <v>anytime</v>
          </cell>
          <cell r="AC821">
            <v>907</v>
          </cell>
          <cell r="AD821">
            <v>6</v>
          </cell>
          <cell r="AE821" t="str">
            <v>everyone</v>
          </cell>
        </row>
        <row r="822">
          <cell r="A822" t="str">
            <v>41006_3</v>
          </cell>
          <cell r="B822">
            <v>1</v>
          </cell>
          <cell r="C822">
            <v>41006</v>
          </cell>
          <cell r="D822" t="str">
            <v>アーサー襲来！</v>
          </cell>
          <cell r="E822" t="str">
            <v>降臨1</v>
          </cell>
          <cell r="F822">
            <v>3</v>
          </cell>
          <cell r="G822" t="str">
            <v>ja</v>
          </cell>
          <cell r="H822" t="str">
            <v>【ノーコンテニュー】アーサー襲来</v>
          </cell>
          <cell r="I822" t="str">
            <v>地獄級</v>
          </cell>
          <cell r="J822">
            <v>820</v>
          </cell>
          <cell r="K822">
            <v>40</v>
          </cell>
          <cell r="L822">
            <v>4500</v>
          </cell>
          <cell r="M822">
            <v>1</v>
          </cell>
          <cell r="N822">
            <v>1</v>
          </cell>
          <cell r="O822">
            <v>1</v>
          </cell>
          <cell r="P822">
            <v>1</v>
          </cell>
          <cell r="Q822">
            <v>1</v>
          </cell>
          <cell r="R822">
            <v>3</v>
          </cell>
          <cell r="S822" t="str">
            <v>polygon</v>
          </cell>
          <cell r="T822">
            <v>1</v>
          </cell>
          <cell r="U822" t="str">
            <v>NULL</v>
          </cell>
          <cell r="V822" t="str">
            <v>NULL</v>
          </cell>
          <cell r="X822">
            <v>0</v>
          </cell>
          <cell r="Y822">
            <v>0</v>
          </cell>
          <cell r="Z822">
            <v>0</v>
          </cell>
          <cell r="AA822">
            <v>0</v>
          </cell>
          <cell r="AB822" t="str">
            <v>anytime</v>
          </cell>
          <cell r="AC822">
            <v>907</v>
          </cell>
          <cell r="AD822">
            <v>6</v>
          </cell>
          <cell r="AE822" t="str">
            <v>everyone</v>
          </cell>
        </row>
        <row r="823">
          <cell r="A823" t="str">
            <v>41007_1</v>
          </cell>
          <cell r="B823">
            <v>3</v>
          </cell>
          <cell r="C823">
            <v>41007</v>
          </cell>
          <cell r="D823" t="str">
            <v>グリム襲来！</v>
          </cell>
          <cell r="E823" t="str">
            <v>降臨1</v>
          </cell>
          <cell r="F823">
            <v>1</v>
          </cell>
          <cell r="G823" t="str">
            <v>ja</v>
          </cell>
          <cell r="H823" t="str">
            <v>【超絶級】グリム襲来</v>
          </cell>
          <cell r="I823" t="str">
            <v>超絶級</v>
          </cell>
          <cell r="J823">
            <v>491</v>
          </cell>
          <cell r="K823">
            <v>35</v>
          </cell>
          <cell r="L823">
            <v>4200</v>
          </cell>
          <cell r="M823">
            <v>1</v>
          </cell>
          <cell r="N823">
            <v>1</v>
          </cell>
          <cell r="O823">
            <v>1</v>
          </cell>
          <cell r="P823">
            <v>1</v>
          </cell>
          <cell r="Q823">
            <v>1</v>
          </cell>
          <cell r="R823">
            <v>3</v>
          </cell>
          <cell r="S823" t="str">
            <v>polygon</v>
          </cell>
          <cell r="T823">
            <v>1</v>
          </cell>
          <cell r="U823" t="str">
            <v>NULL</v>
          </cell>
          <cell r="V823" t="str">
            <v>NULL</v>
          </cell>
          <cell r="X823">
            <v>0</v>
          </cell>
          <cell r="Y823">
            <v>0</v>
          </cell>
          <cell r="Z823">
            <v>0</v>
          </cell>
          <cell r="AA823">
            <v>0</v>
          </cell>
          <cell r="AB823" t="str">
            <v>anytime</v>
          </cell>
          <cell r="AC823">
            <v>908</v>
          </cell>
          <cell r="AD823">
            <v>6</v>
          </cell>
          <cell r="AE823" t="str">
            <v>everyone</v>
          </cell>
        </row>
        <row r="824">
          <cell r="A824" t="str">
            <v>41007_2</v>
          </cell>
          <cell r="B824">
            <v>3</v>
          </cell>
          <cell r="C824">
            <v>41007</v>
          </cell>
          <cell r="D824" t="str">
            <v>グリム襲来！</v>
          </cell>
          <cell r="E824" t="str">
            <v>降臨1</v>
          </cell>
          <cell r="F824">
            <v>2</v>
          </cell>
          <cell r="G824" t="str">
            <v>ja</v>
          </cell>
          <cell r="H824" t="str">
            <v>【ウィザード級】グリム襲来</v>
          </cell>
          <cell r="I824" t="str">
            <v>地獄級</v>
          </cell>
          <cell r="J824">
            <v>822</v>
          </cell>
          <cell r="K824">
            <v>40</v>
          </cell>
          <cell r="L824">
            <v>4500</v>
          </cell>
          <cell r="M824">
            <v>1</v>
          </cell>
          <cell r="N824">
            <v>1</v>
          </cell>
          <cell r="O824">
            <v>1</v>
          </cell>
          <cell r="P824">
            <v>1</v>
          </cell>
          <cell r="Q824">
            <v>1</v>
          </cell>
          <cell r="R824">
            <v>3</v>
          </cell>
          <cell r="S824" t="str">
            <v>polygon</v>
          </cell>
          <cell r="T824">
            <v>1</v>
          </cell>
          <cell r="U824" t="str">
            <v>NULL</v>
          </cell>
          <cell r="V824" t="str">
            <v>NULL</v>
          </cell>
          <cell r="X824">
            <v>0</v>
          </cell>
          <cell r="Y824">
            <v>0</v>
          </cell>
          <cell r="Z824">
            <v>0</v>
          </cell>
          <cell r="AA824">
            <v>0</v>
          </cell>
          <cell r="AB824" t="str">
            <v>anytime</v>
          </cell>
          <cell r="AC824">
            <v>908</v>
          </cell>
          <cell r="AD824">
            <v>6</v>
          </cell>
          <cell r="AE824" t="str">
            <v>everyone</v>
          </cell>
        </row>
        <row r="825">
          <cell r="A825" t="str">
            <v>41007_3</v>
          </cell>
          <cell r="B825">
            <v>1</v>
          </cell>
          <cell r="C825">
            <v>41007</v>
          </cell>
          <cell r="D825" t="str">
            <v>グリム襲来！</v>
          </cell>
          <cell r="E825" t="str">
            <v>降臨1</v>
          </cell>
          <cell r="F825">
            <v>3</v>
          </cell>
          <cell r="G825" t="str">
            <v>ja</v>
          </cell>
          <cell r="H825" t="str">
            <v>【ノーコンテニュー】グリム襲来</v>
          </cell>
          <cell r="I825" t="str">
            <v>地獄級</v>
          </cell>
          <cell r="J825">
            <v>822</v>
          </cell>
          <cell r="K825">
            <v>40</v>
          </cell>
          <cell r="L825">
            <v>4500</v>
          </cell>
          <cell r="M825">
            <v>1</v>
          </cell>
          <cell r="N825">
            <v>1</v>
          </cell>
          <cell r="O825">
            <v>1</v>
          </cell>
          <cell r="P825">
            <v>1</v>
          </cell>
          <cell r="Q825">
            <v>1</v>
          </cell>
          <cell r="R825">
            <v>3</v>
          </cell>
          <cell r="S825" t="str">
            <v>polygon</v>
          </cell>
          <cell r="T825">
            <v>1</v>
          </cell>
          <cell r="U825" t="str">
            <v>NULL</v>
          </cell>
          <cell r="V825" t="str">
            <v>NULL</v>
          </cell>
          <cell r="X825">
            <v>0</v>
          </cell>
          <cell r="Y825">
            <v>0</v>
          </cell>
          <cell r="Z825">
            <v>0</v>
          </cell>
          <cell r="AA825">
            <v>0</v>
          </cell>
          <cell r="AB825" t="str">
            <v>anytime</v>
          </cell>
          <cell r="AC825">
            <v>908</v>
          </cell>
          <cell r="AD825">
            <v>6</v>
          </cell>
          <cell r="AE825" t="str">
            <v>everyone</v>
          </cell>
        </row>
        <row r="826">
          <cell r="A826" t="str">
            <v>41008_1</v>
          </cell>
          <cell r="B826">
            <v>3</v>
          </cell>
          <cell r="C826">
            <v>41008</v>
          </cell>
          <cell r="D826" t="str">
            <v>Gスター襲来！</v>
          </cell>
          <cell r="E826" t="str">
            <v>降臨1</v>
          </cell>
          <cell r="F826">
            <v>1</v>
          </cell>
          <cell r="G826" t="str">
            <v>ja</v>
          </cell>
          <cell r="H826" t="str">
            <v>【超絶級】Gスター襲来</v>
          </cell>
          <cell r="I826" t="str">
            <v>超絶級</v>
          </cell>
          <cell r="J826">
            <v>509</v>
          </cell>
          <cell r="K826">
            <v>35</v>
          </cell>
          <cell r="L826">
            <v>4200</v>
          </cell>
          <cell r="M826">
            <v>1</v>
          </cell>
          <cell r="N826">
            <v>1</v>
          </cell>
          <cell r="O826">
            <v>1</v>
          </cell>
          <cell r="P826">
            <v>1</v>
          </cell>
          <cell r="Q826">
            <v>1</v>
          </cell>
          <cell r="R826">
            <v>3</v>
          </cell>
          <cell r="S826" t="str">
            <v>polygon</v>
          </cell>
          <cell r="T826">
            <v>1</v>
          </cell>
          <cell r="U826" t="str">
            <v>NULL</v>
          </cell>
          <cell r="V826" t="str">
            <v>NULL</v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  <cell r="AB826" t="str">
            <v>anytime</v>
          </cell>
          <cell r="AC826">
            <v>2601</v>
          </cell>
          <cell r="AD826">
            <v>6</v>
          </cell>
          <cell r="AE826" t="str">
            <v>everyone</v>
          </cell>
        </row>
        <row r="827">
          <cell r="A827" t="str">
            <v>41008_2</v>
          </cell>
          <cell r="B827">
            <v>3</v>
          </cell>
          <cell r="C827">
            <v>41008</v>
          </cell>
          <cell r="D827" t="str">
            <v>Gスター襲来！</v>
          </cell>
          <cell r="E827" t="str">
            <v>降臨1</v>
          </cell>
          <cell r="F827">
            <v>2</v>
          </cell>
          <cell r="G827" t="str">
            <v>ja</v>
          </cell>
          <cell r="H827" t="str">
            <v>【ウィザード級】Gスター襲来</v>
          </cell>
          <cell r="I827" t="str">
            <v>地獄級</v>
          </cell>
          <cell r="J827">
            <v>824</v>
          </cell>
          <cell r="K827">
            <v>40</v>
          </cell>
          <cell r="L827">
            <v>4500</v>
          </cell>
          <cell r="M827">
            <v>1</v>
          </cell>
          <cell r="N827">
            <v>1</v>
          </cell>
          <cell r="O827">
            <v>1</v>
          </cell>
          <cell r="P827">
            <v>1</v>
          </cell>
          <cell r="Q827">
            <v>1</v>
          </cell>
          <cell r="R827">
            <v>3</v>
          </cell>
          <cell r="S827" t="str">
            <v>polygon</v>
          </cell>
          <cell r="T827">
            <v>1</v>
          </cell>
          <cell r="U827" t="str">
            <v>NULL</v>
          </cell>
          <cell r="V827" t="str">
            <v>NULL</v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 t="str">
            <v>anytime</v>
          </cell>
          <cell r="AC827">
            <v>2601</v>
          </cell>
          <cell r="AD827">
            <v>6</v>
          </cell>
          <cell r="AE827" t="str">
            <v>everyone</v>
          </cell>
        </row>
        <row r="828">
          <cell r="A828" t="str">
            <v>41008_3</v>
          </cell>
          <cell r="B828">
            <v>1</v>
          </cell>
          <cell r="C828">
            <v>41008</v>
          </cell>
          <cell r="D828" t="str">
            <v>Gスター襲来！</v>
          </cell>
          <cell r="E828" t="str">
            <v>降臨1</v>
          </cell>
          <cell r="F828">
            <v>3</v>
          </cell>
          <cell r="G828" t="str">
            <v>ja</v>
          </cell>
          <cell r="H828" t="str">
            <v>【ノーコンテニュー】Gスター襲来</v>
          </cell>
          <cell r="I828" t="str">
            <v>地獄級</v>
          </cell>
          <cell r="J828">
            <v>824</v>
          </cell>
          <cell r="K828">
            <v>40</v>
          </cell>
          <cell r="L828">
            <v>4500</v>
          </cell>
          <cell r="M828">
            <v>1</v>
          </cell>
          <cell r="N828">
            <v>1</v>
          </cell>
          <cell r="O828">
            <v>1</v>
          </cell>
          <cell r="P828">
            <v>1</v>
          </cell>
          <cell r="Q828">
            <v>1</v>
          </cell>
          <cell r="R828">
            <v>3</v>
          </cell>
          <cell r="S828" t="str">
            <v>polygon</v>
          </cell>
          <cell r="T828">
            <v>1</v>
          </cell>
          <cell r="U828" t="str">
            <v>NULL</v>
          </cell>
          <cell r="V828" t="str">
            <v>NULL</v>
          </cell>
          <cell r="X828">
            <v>0</v>
          </cell>
          <cell r="Y828">
            <v>0</v>
          </cell>
          <cell r="Z828">
            <v>0</v>
          </cell>
          <cell r="AA828">
            <v>0</v>
          </cell>
          <cell r="AB828" t="str">
            <v>anytime</v>
          </cell>
          <cell r="AC828">
            <v>2601</v>
          </cell>
          <cell r="AD828">
            <v>6</v>
          </cell>
          <cell r="AE828" t="str">
            <v>everyone</v>
          </cell>
        </row>
        <row r="829">
          <cell r="A829" t="str">
            <v>41009_1</v>
          </cell>
          <cell r="B829">
            <v>3</v>
          </cell>
          <cell r="C829">
            <v>41009</v>
          </cell>
          <cell r="D829" t="str">
            <v>フギンとムニン襲来！</v>
          </cell>
          <cell r="E829" t="str">
            <v>降臨1</v>
          </cell>
          <cell r="F829">
            <v>1</v>
          </cell>
          <cell r="G829" t="str">
            <v>ja</v>
          </cell>
          <cell r="H829" t="str">
            <v>【超絶級】フギンとムニン襲来</v>
          </cell>
          <cell r="I829" t="str">
            <v>超絶級</v>
          </cell>
          <cell r="J829">
            <v>582</v>
          </cell>
          <cell r="K829">
            <v>35</v>
          </cell>
          <cell r="L829">
            <v>4200</v>
          </cell>
          <cell r="M829">
            <v>1</v>
          </cell>
          <cell r="N829">
            <v>1</v>
          </cell>
          <cell r="O829">
            <v>1</v>
          </cell>
          <cell r="P829">
            <v>1</v>
          </cell>
          <cell r="Q829">
            <v>1</v>
          </cell>
          <cell r="R829">
            <v>3</v>
          </cell>
          <cell r="S829" t="str">
            <v>polygon</v>
          </cell>
          <cell r="T829">
            <v>1</v>
          </cell>
          <cell r="U829" t="str">
            <v>NULL</v>
          </cell>
          <cell r="V829" t="str">
            <v>NULL</v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 t="str">
            <v>anytime</v>
          </cell>
          <cell r="AC829">
            <v>25</v>
          </cell>
          <cell r="AD829">
            <v>6</v>
          </cell>
          <cell r="AE829" t="str">
            <v>everyone</v>
          </cell>
        </row>
        <row r="830">
          <cell r="A830" t="str">
            <v>41009_2</v>
          </cell>
          <cell r="B830">
            <v>3</v>
          </cell>
          <cell r="C830">
            <v>41009</v>
          </cell>
          <cell r="D830" t="str">
            <v>フギンとムニン襲来！</v>
          </cell>
          <cell r="E830" t="str">
            <v>降臨1</v>
          </cell>
          <cell r="F830">
            <v>2</v>
          </cell>
          <cell r="G830" t="str">
            <v>ja</v>
          </cell>
          <cell r="H830" t="str">
            <v>【ウィザード級】フギンとムニン襲来</v>
          </cell>
          <cell r="I830" t="str">
            <v>地獄級</v>
          </cell>
          <cell r="J830">
            <v>828</v>
          </cell>
          <cell r="K830">
            <v>40</v>
          </cell>
          <cell r="L830">
            <v>4500</v>
          </cell>
          <cell r="M830">
            <v>1</v>
          </cell>
          <cell r="N830">
            <v>1</v>
          </cell>
          <cell r="O830">
            <v>1</v>
          </cell>
          <cell r="P830">
            <v>1</v>
          </cell>
          <cell r="Q830">
            <v>1</v>
          </cell>
          <cell r="R830">
            <v>3</v>
          </cell>
          <cell r="S830" t="str">
            <v>polygon</v>
          </cell>
          <cell r="T830">
            <v>1</v>
          </cell>
          <cell r="U830" t="str">
            <v>NULL</v>
          </cell>
          <cell r="V830" t="str">
            <v>NULL</v>
          </cell>
          <cell r="X830">
            <v>0</v>
          </cell>
          <cell r="Y830">
            <v>0</v>
          </cell>
          <cell r="Z830">
            <v>0</v>
          </cell>
          <cell r="AA830">
            <v>0</v>
          </cell>
          <cell r="AB830" t="str">
            <v>anytime</v>
          </cell>
          <cell r="AC830">
            <v>25</v>
          </cell>
          <cell r="AD830">
            <v>6</v>
          </cell>
          <cell r="AE830" t="str">
            <v>everyone</v>
          </cell>
        </row>
        <row r="831">
          <cell r="A831" t="str">
            <v>41009_3</v>
          </cell>
          <cell r="B831">
            <v>1</v>
          </cell>
          <cell r="C831">
            <v>41009</v>
          </cell>
          <cell r="D831" t="str">
            <v>フギンとムニン襲来！</v>
          </cell>
          <cell r="E831" t="str">
            <v>降臨1</v>
          </cell>
          <cell r="F831">
            <v>3</v>
          </cell>
          <cell r="G831" t="str">
            <v>ja</v>
          </cell>
          <cell r="H831" t="str">
            <v>【ノーコンテニュー】フギンとムニン襲来</v>
          </cell>
          <cell r="I831" t="str">
            <v>地獄級</v>
          </cell>
          <cell r="J831">
            <v>1</v>
          </cell>
          <cell r="K831">
            <v>40</v>
          </cell>
          <cell r="L831">
            <v>4500</v>
          </cell>
          <cell r="M831">
            <v>1</v>
          </cell>
          <cell r="N831">
            <v>1</v>
          </cell>
          <cell r="O831">
            <v>1</v>
          </cell>
          <cell r="P831">
            <v>1</v>
          </cell>
          <cell r="Q831">
            <v>1</v>
          </cell>
          <cell r="R831">
            <v>3</v>
          </cell>
          <cell r="S831" t="str">
            <v>polygon</v>
          </cell>
          <cell r="T831">
            <v>1</v>
          </cell>
          <cell r="U831" t="str">
            <v>NULL</v>
          </cell>
          <cell r="V831" t="str">
            <v>NULL</v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  <cell r="AB831" t="str">
            <v>anytime</v>
          </cell>
          <cell r="AC831">
            <v>25</v>
          </cell>
          <cell r="AD831">
            <v>6</v>
          </cell>
          <cell r="AE831" t="str">
            <v>everyone</v>
          </cell>
        </row>
        <row r="832">
          <cell r="A832" t="str">
            <v>41010_1</v>
          </cell>
          <cell r="B832">
            <v>3</v>
          </cell>
          <cell r="C832">
            <v>41010</v>
          </cell>
          <cell r="D832" t="str">
            <v>フレイ襲来！</v>
          </cell>
          <cell r="E832" t="str">
            <v>降臨1</v>
          </cell>
          <cell r="F832">
            <v>1</v>
          </cell>
          <cell r="G832" t="str">
            <v>ja</v>
          </cell>
          <cell r="H832" t="str">
            <v>【超絶級】フレイ襲来</v>
          </cell>
          <cell r="I832" t="str">
            <v>超絶級</v>
          </cell>
          <cell r="J832">
            <v>576</v>
          </cell>
          <cell r="K832">
            <v>35</v>
          </cell>
          <cell r="L832">
            <v>4200</v>
          </cell>
          <cell r="M832">
            <v>1</v>
          </cell>
          <cell r="N832">
            <v>1</v>
          </cell>
          <cell r="O832">
            <v>1</v>
          </cell>
          <cell r="P832">
            <v>0</v>
          </cell>
          <cell r="Q832">
            <v>1</v>
          </cell>
          <cell r="R832">
            <v>3</v>
          </cell>
          <cell r="S832" t="str">
            <v>polygon</v>
          </cell>
          <cell r="T832">
            <v>1</v>
          </cell>
          <cell r="U832" t="str">
            <v>NULL</v>
          </cell>
          <cell r="V832" t="str">
            <v>NULL</v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  <cell r="AB832" t="str">
            <v>anytime</v>
          </cell>
          <cell r="AC832">
            <v>912</v>
          </cell>
          <cell r="AD832">
            <v>6</v>
          </cell>
          <cell r="AE832" t="str">
            <v>everyone</v>
          </cell>
        </row>
        <row r="833">
          <cell r="A833" t="str">
            <v>41010_2</v>
          </cell>
          <cell r="B833">
            <v>3</v>
          </cell>
          <cell r="C833">
            <v>41010</v>
          </cell>
          <cell r="D833" t="str">
            <v>フレイ襲来！</v>
          </cell>
          <cell r="E833" t="str">
            <v>降臨1</v>
          </cell>
          <cell r="F833">
            <v>2</v>
          </cell>
          <cell r="G833" t="str">
            <v>ja</v>
          </cell>
          <cell r="H833" t="str">
            <v>【ウィザード級】フレイ襲来</v>
          </cell>
          <cell r="I833" t="str">
            <v>地獄級</v>
          </cell>
          <cell r="J833">
            <v>826</v>
          </cell>
          <cell r="K833">
            <v>40</v>
          </cell>
          <cell r="L833">
            <v>4500</v>
          </cell>
          <cell r="M833">
            <v>1</v>
          </cell>
          <cell r="N833">
            <v>1</v>
          </cell>
          <cell r="O833">
            <v>1</v>
          </cell>
          <cell r="P833">
            <v>0</v>
          </cell>
          <cell r="Q833">
            <v>1</v>
          </cell>
          <cell r="R833">
            <v>3</v>
          </cell>
          <cell r="S833" t="str">
            <v>polygon</v>
          </cell>
          <cell r="T833">
            <v>1</v>
          </cell>
          <cell r="U833" t="str">
            <v>NULL</v>
          </cell>
          <cell r="V833" t="str">
            <v>NULL</v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  <cell r="AB833" t="str">
            <v>anytime</v>
          </cell>
          <cell r="AC833">
            <v>912</v>
          </cell>
          <cell r="AD833">
            <v>6</v>
          </cell>
          <cell r="AE833" t="str">
            <v>everyone</v>
          </cell>
        </row>
        <row r="834">
          <cell r="A834" t="str">
            <v>41010_3</v>
          </cell>
          <cell r="B834">
            <v>1</v>
          </cell>
          <cell r="C834">
            <v>41010</v>
          </cell>
          <cell r="D834" t="str">
            <v>フレイ襲来！</v>
          </cell>
          <cell r="E834" t="str">
            <v>降臨1</v>
          </cell>
          <cell r="F834">
            <v>3</v>
          </cell>
          <cell r="G834" t="str">
            <v>ja</v>
          </cell>
          <cell r="H834" t="str">
            <v>【ノーコンテニュー】フレイ襲来</v>
          </cell>
          <cell r="I834" t="str">
            <v>地獄級</v>
          </cell>
          <cell r="J834">
            <v>1</v>
          </cell>
          <cell r="K834">
            <v>40</v>
          </cell>
          <cell r="L834">
            <v>4500</v>
          </cell>
          <cell r="M834">
            <v>1</v>
          </cell>
          <cell r="N834">
            <v>1</v>
          </cell>
          <cell r="O834">
            <v>1</v>
          </cell>
          <cell r="P834">
            <v>0</v>
          </cell>
          <cell r="Q834">
            <v>1</v>
          </cell>
          <cell r="R834">
            <v>3</v>
          </cell>
          <cell r="S834" t="str">
            <v>polygon</v>
          </cell>
          <cell r="T834">
            <v>1</v>
          </cell>
          <cell r="U834" t="str">
            <v>NULL</v>
          </cell>
          <cell r="V834" t="str">
            <v>NULL</v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 t="str">
            <v>anytime</v>
          </cell>
          <cell r="AC834">
            <v>912</v>
          </cell>
          <cell r="AD834">
            <v>6</v>
          </cell>
          <cell r="AE834" t="str">
            <v>everyone</v>
          </cell>
        </row>
        <row r="835">
          <cell r="A835" t="str">
            <v>41011_1</v>
          </cell>
          <cell r="B835">
            <v>3</v>
          </cell>
          <cell r="C835">
            <v>41011</v>
          </cell>
          <cell r="D835" t="str">
            <v>ヨミ襲来！</v>
          </cell>
          <cell r="E835" t="str">
            <v>降臨1</v>
          </cell>
          <cell r="F835">
            <v>1</v>
          </cell>
          <cell r="G835" t="str">
            <v>ja</v>
          </cell>
          <cell r="H835" t="str">
            <v>【超絶級】ヨミ襲来</v>
          </cell>
          <cell r="I835" t="str">
            <v>超絶級</v>
          </cell>
          <cell r="J835">
            <v>655</v>
          </cell>
          <cell r="K835">
            <v>35</v>
          </cell>
          <cell r="L835">
            <v>4200</v>
          </cell>
          <cell r="M835">
            <v>1</v>
          </cell>
          <cell r="N835">
            <v>1</v>
          </cell>
          <cell r="O835">
            <v>1</v>
          </cell>
          <cell r="P835">
            <v>1</v>
          </cell>
          <cell r="Q835">
            <v>1</v>
          </cell>
          <cell r="R835">
            <v>3</v>
          </cell>
          <cell r="S835" t="str">
            <v>polygon</v>
          </cell>
          <cell r="T835">
            <v>1</v>
          </cell>
          <cell r="U835" t="str">
            <v>NULL</v>
          </cell>
          <cell r="V835" t="str">
            <v>NULL</v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  <cell r="AB835" t="str">
            <v>anytime</v>
          </cell>
          <cell r="AC835">
            <v>913</v>
          </cell>
          <cell r="AD835">
            <v>6</v>
          </cell>
          <cell r="AE835" t="str">
            <v>everyone</v>
          </cell>
        </row>
        <row r="836">
          <cell r="A836" t="str">
            <v>41011_2</v>
          </cell>
          <cell r="B836">
            <v>3</v>
          </cell>
          <cell r="C836">
            <v>41011</v>
          </cell>
          <cell r="D836" t="str">
            <v>ヨミ襲来！</v>
          </cell>
          <cell r="E836" t="str">
            <v>降臨1</v>
          </cell>
          <cell r="F836">
            <v>2</v>
          </cell>
          <cell r="G836" t="str">
            <v>ja</v>
          </cell>
          <cell r="H836" t="str">
            <v>【ウィザード級】ヨミ襲来</v>
          </cell>
          <cell r="I836" t="str">
            <v>ウィザード級</v>
          </cell>
          <cell r="J836">
            <v>832</v>
          </cell>
          <cell r="K836">
            <v>40</v>
          </cell>
          <cell r="L836">
            <v>4500</v>
          </cell>
          <cell r="M836">
            <v>1</v>
          </cell>
          <cell r="N836">
            <v>1</v>
          </cell>
          <cell r="O836">
            <v>1</v>
          </cell>
          <cell r="P836">
            <v>1</v>
          </cell>
          <cell r="Q836">
            <v>1</v>
          </cell>
          <cell r="R836">
            <v>3</v>
          </cell>
          <cell r="S836" t="str">
            <v>polygon</v>
          </cell>
          <cell r="T836">
            <v>1</v>
          </cell>
          <cell r="U836" t="str">
            <v>NULL</v>
          </cell>
          <cell r="V836" t="str">
            <v>NULL</v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 t="str">
            <v>anytime</v>
          </cell>
          <cell r="AC836">
            <v>913</v>
          </cell>
          <cell r="AD836">
            <v>6</v>
          </cell>
          <cell r="AE836" t="str">
            <v>everyone</v>
          </cell>
        </row>
        <row r="837">
          <cell r="A837" t="str">
            <v>41012_1</v>
          </cell>
          <cell r="B837">
            <v>3</v>
          </cell>
          <cell r="C837">
            <v>41012</v>
          </cell>
          <cell r="D837" t="str">
            <v>ショウキ襲来！</v>
          </cell>
          <cell r="E837" t="str">
            <v>降臨1</v>
          </cell>
          <cell r="F837">
            <v>1</v>
          </cell>
          <cell r="G837" t="str">
            <v>ja</v>
          </cell>
          <cell r="H837" t="str">
            <v>【超絶級】ショウキ襲来</v>
          </cell>
          <cell r="I837" t="str">
            <v>超絶級</v>
          </cell>
          <cell r="J837">
            <v>645</v>
          </cell>
          <cell r="K837">
            <v>35</v>
          </cell>
          <cell r="L837">
            <v>4200</v>
          </cell>
          <cell r="M837">
            <v>1</v>
          </cell>
          <cell r="N837">
            <v>1</v>
          </cell>
          <cell r="O837">
            <v>1</v>
          </cell>
          <cell r="P837">
            <v>1</v>
          </cell>
          <cell r="Q837">
            <v>1</v>
          </cell>
          <cell r="R837">
            <v>3</v>
          </cell>
          <cell r="S837" t="str">
            <v>polygon</v>
          </cell>
          <cell r="T837">
            <v>1</v>
          </cell>
          <cell r="U837" t="str">
            <v>NULL</v>
          </cell>
          <cell r="V837" t="str">
            <v>NULL</v>
          </cell>
          <cell r="X837">
            <v>0</v>
          </cell>
          <cell r="Y837">
            <v>0</v>
          </cell>
          <cell r="Z837">
            <v>0</v>
          </cell>
          <cell r="AA837">
            <v>0</v>
          </cell>
          <cell r="AB837" t="str">
            <v>anytime</v>
          </cell>
          <cell r="AC837">
            <v>915</v>
          </cell>
          <cell r="AD837">
            <v>6</v>
          </cell>
          <cell r="AE837" t="str">
            <v>everyone</v>
          </cell>
        </row>
        <row r="838">
          <cell r="A838" t="str">
            <v>41012_2</v>
          </cell>
          <cell r="B838">
            <v>3</v>
          </cell>
          <cell r="C838">
            <v>41012</v>
          </cell>
          <cell r="D838" t="str">
            <v>ショウキ襲来！</v>
          </cell>
          <cell r="E838" t="str">
            <v>降臨1</v>
          </cell>
          <cell r="F838">
            <v>2</v>
          </cell>
          <cell r="G838" t="str">
            <v>ja</v>
          </cell>
          <cell r="H838" t="str">
            <v>【ウィザード級】ショウキ襲来</v>
          </cell>
          <cell r="I838" t="str">
            <v>地獄級</v>
          </cell>
          <cell r="J838">
            <v>831</v>
          </cell>
          <cell r="K838">
            <v>40</v>
          </cell>
          <cell r="L838">
            <v>4500</v>
          </cell>
          <cell r="M838">
            <v>1</v>
          </cell>
          <cell r="N838">
            <v>1</v>
          </cell>
          <cell r="O838">
            <v>1</v>
          </cell>
          <cell r="P838">
            <v>1</v>
          </cell>
          <cell r="Q838">
            <v>1</v>
          </cell>
          <cell r="R838">
            <v>3</v>
          </cell>
          <cell r="S838" t="str">
            <v>polygon</v>
          </cell>
          <cell r="T838">
            <v>1</v>
          </cell>
          <cell r="U838" t="str">
            <v>NULL</v>
          </cell>
          <cell r="V838" t="str">
            <v>NULL</v>
          </cell>
          <cell r="X838">
            <v>0</v>
          </cell>
          <cell r="Y838">
            <v>0</v>
          </cell>
          <cell r="Z838">
            <v>0</v>
          </cell>
          <cell r="AA838">
            <v>0</v>
          </cell>
          <cell r="AB838" t="str">
            <v>anytime</v>
          </cell>
          <cell r="AC838">
            <v>915</v>
          </cell>
          <cell r="AD838">
            <v>6</v>
          </cell>
          <cell r="AE838" t="str">
            <v>everyone</v>
          </cell>
        </row>
        <row r="839">
          <cell r="A839" t="str">
            <v>41013_1</v>
          </cell>
          <cell r="B839">
            <v>3</v>
          </cell>
          <cell r="C839">
            <v>41013</v>
          </cell>
          <cell r="D839" t="str">
            <v>カーマ襲来！</v>
          </cell>
          <cell r="E839" t="str">
            <v>降臨1</v>
          </cell>
          <cell r="F839">
            <v>1</v>
          </cell>
          <cell r="G839" t="str">
            <v>ja</v>
          </cell>
          <cell r="H839" t="str">
            <v>【超絶級】カーマ襲来</v>
          </cell>
          <cell r="I839" t="str">
            <v>超絶級</v>
          </cell>
          <cell r="J839">
            <v>643</v>
          </cell>
          <cell r="K839">
            <v>35</v>
          </cell>
          <cell r="L839">
            <v>4200</v>
          </cell>
          <cell r="M839">
            <v>1</v>
          </cell>
          <cell r="N839">
            <v>1</v>
          </cell>
          <cell r="O839">
            <v>1</v>
          </cell>
          <cell r="P839">
            <v>1</v>
          </cell>
          <cell r="Q839">
            <v>0</v>
          </cell>
          <cell r="R839">
            <v>3</v>
          </cell>
          <cell r="S839" t="str">
            <v>polygon</v>
          </cell>
          <cell r="T839">
            <v>1</v>
          </cell>
          <cell r="U839" t="str">
            <v>NULL</v>
          </cell>
          <cell r="V839" t="str">
            <v>NULL</v>
          </cell>
          <cell r="X839">
            <v>0</v>
          </cell>
          <cell r="Y839">
            <v>0</v>
          </cell>
          <cell r="Z839">
            <v>0</v>
          </cell>
          <cell r="AA839">
            <v>0</v>
          </cell>
          <cell r="AB839" t="str">
            <v>anytime</v>
          </cell>
          <cell r="AC839">
            <v>916</v>
          </cell>
          <cell r="AD839">
            <v>6</v>
          </cell>
          <cell r="AE839" t="str">
            <v>everyone</v>
          </cell>
        </row>
        <row r="840">
          <cell r="A840" t="str">
            <v>41013_2</v>
          </cell>
          <cell r="B840">
            <v>3</v>
          </cell>
          <cell r="C840">
            <v>41013</v>
          </cell>
          <cell r="D840" t="str">
            <v>カーマ襲来！</v>
          </cell>
          <cell r="E840" t="str">
            <v>降臨1</v>
          </cell>
          <cell r="F840">
            <v>2</v>
          </cell>
          <cell r="G840" t="str">
            <v>ja</v>
          </cell>
          <cell r="H840" t="str">
            <v>【ウィザード級】カーマ襲来</v>
          </cell>
          <cell r="I840" t="str">
            <v>地獄級</v>
          </cell>
          <cell r="J840">
            <v>836</v>
          </cell>
          <cell r="K840">
            <v>40</v>
          </cell>
          <cell r="L840">
            <v>4500</v>
          </cell>
          <cell r="M840">
            <v>1</v>
          </cell>
          <cell r="N840">
            <v>1</v>
          </cell>
          <cell r="O840">
            <v>1</v>
          </cell>
          <cell r="P840">
            <v>1</v>
          </cell>
          <cell r="Q840">
            <v>0</v>
          </cell>
          <cell r="R840">
            <v>3</v>
          </cell>
          <cell r="S840" t="str">
            <v>polygon</v>
          </cell>
          <cell r="T840">
            <v>1</v>
          </cell>
          <cell r="U840" t="str">
            <v>NULL</v>
          </cell>
          <cell r="V840" t="str">
            <v>NULL</v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  <cell r="AB840" t="str">
            <v>anytime</v>
          </cell>
          <cell r="AC840">
            <v>916</v>
          </cell>
          <cell r="AD840">
            <v>6</v>
          </cell>
          <cell r="AE840" t="str">
            <v>everyone</v>
          </cell>
        </row>
        <row r="841">
          <cell r="A841" t="str">
            <v>41014_1</v>
          </cell>
          <cell r="B841">
            <v>3</v>
          </cell>
          <cell r="C841">
            <v>41014</v>
          </cell>
          <cell r="D841" t="str">
            <v>シヴァ襲来！</v>
          </cell>
          <cell r="E841" t="str">
            <v>降臨1</v>
          </cell>
          <cell r="F841">
            <v>1</v>
          </cell>
          <cell r="G841" t="str">
            <v>ja</v>
          </cell>
          <cell r="H841" t="str">
            <v>【超絶級】シヴァ襲来</v>
          </cell>
          <cell r="I841" t="str">
            <v>超絶級</v>
          </cell>
          <cell r="J841">
            <v>657</v>
          </cell>
          <cell r="K841">
            <v>35</v>
          </cell>
          <cell r="L841">
            <v>4200</v>
          </cell>
          <cell r="M841">
            <v>1</v>
          </cell>
          <cell r="N841">
            <v>1</v>
          </cell>
          <cell r="O841">
            <v>1</v>
          </cell>
          <cell r="P841">
            <v>1</v>
          </cell>
          <cell r="Q841">
            <v>1</v>
          </cell>
          <cell r="R841">
            <v>3</v>
          </cell>
          <cell r="S841" t="str">
            <v>polygon</v>
          </cell>
          <cell r="T841">
            <v>1</v>
          </cell>
          <cell r="U841" t="str">
            <v>NULL</v>
          </cell>
          <cell r="V841" t="str">
            <v>NULL</v>
          </cell>
          <cell r="W841" t="str">
            <v/>
          </cell>
          <cell r="X841">
            <v>0</v>
          </cell>
          <cell r="Y841">
            <v>0</v>
          </cell>
          <cell r="Z841">
            <v>0</v>
          </cell>
          <cell r="AA841">
            <v>0</v>
          </cell>
          <cell r="AB841" t="str">
            <v>anytime</v>
          </cell>
          <cell r="AC841">
            <v>914</v>
          </cell>
          <cell r="AD841">
            <v>6</v>
          </cell>
          <cell r="AE841" t="str">
            <v>everyone</v>
          </cell>
        </row>
        <row r="842">
          <cell r="A842" t="str">
            <v>41014_2</v>
          </cell>
          <cell r="B842">
            <v>3</v>
          </cell>
          <cell r="C842">
            <v>41014</v>
          </cell>
          <cell r="D842" t="str">
            <v>シヴァ襲来！</v>
          </cell>
          <cell r="E842" t="str">
            <v>降臨1</v>
          </cell>
          <cell r="F842">
            <v>2</v>
          </cell>
          <cell r="G842" t="str">
            <v>ja</v>
          </cell>
          <cell r="H842" t="str">
            <v>【ウィザード級】シヴァ襲来</v>
          </cell>
          <cell r="I842" t="str">
            <v>地獄級</v>
          </cell>
          <cell r="J842">
            <v>834</v>
          </cell>
          <cell r="K842">
            <v>40</v>
          </cell>
          <cell r="L842">
            <v>4500</v>
          </cell>
          <cell r="M842">
            <v>1</v>
          </cell>
          <cell r="N842">
            <v>1</v>
          </cell>
          <cell r="O842">
            <v>1</v>
          </cell>
          <cell r="P842">
            <v>1</v>
          </cell>
          <cell r="Q842">
            <v>1</v>
          </cell>
          <cell r="R842">
            <v>3</v>
          </cell>
          <cell r="S842" t="str">
            <v>polygon</v>
          </cell>
          <cell r="T842">
            <v>1</v>
          </cell>
          <cell r="U842" t="str">
            <v>NULL</v>
          </cell>
          <cell r="V842" t="str">
            <v>NULL</v>
          </cell>
          <cell r="W842" t="str">
            <v/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  <cell r="AB842" t="str">
            <v>anytime</v>
          </cell>
          <cell r="AC842">
            <v>914</v>
          </cell>
          <cell r="AD842">
            <v>6</v>
          </cell>
          <cell r="AE842" t="str">
            <v>everyone</v>
          </cell>
        </row>
        <row r="843">
          <cell r="A843" t="str">
            <v>41015_1</v>
          </cell>
          <cell r="B843">
            <v>3</v>
          </cell>
          <cell r="C843">
            <v>41015</v>
          </cell>
          <cell r="D843" t="str">
            <v>ガレス襲来！</v>
          </cell>
          <cell r="E843" t="str">
            <v>降臨1</v>
          </cell>
          <cell r="F843">
            <v>1</v>
          </cell>
          <cell r="G843" t="str">
            <v>ja</v>
          </cell>
          <cell r="H843" t="str">
            <v>【超絶級】ガレス襲来</v>
          </cell>
          <cell r="I843" t="str">
            <v>超絶級</v>
          </cell>
          <cell r="J843">
            <v>769</v>
          </cell>
          <cell r="K843">
            <v>35</v>
          </cell>
          <cell r="L843">
            <v>4200</v>
          </cell>
          <cell r="M843">
            <v>1</v>
          </cell>
          <cell r="N843">
            <v>1</v>
          </cell>
          <cell r="O843">
            <v>1</v>
          </cell>
          <cell r="P843">
            <v>1</v>
          </cell>
          <cell r="Q843">
            <v>1</v>
          </cell>
          <cell r="R843">
            <v>3</v>
          </cell>
          <cell r="S843" t="str">
            <v>polygon</v>
          </cell>
          <cell r="T843">
            <v>1</v>
          </cell>
          <cell r="U843" t="str">
            <v>NULL</v>
          </cell>
          <cell r="V843" t="str">
            <v>NULL</v>
          </cell>
          <cell r="X843">
            <v>0</v>
          </cell>
          <cell r="Y843">
            <v>0</v>
          </cell>
          <cell r="Z843">
            <v>0</v>
          </cell>
          <cell r="AA843">
            <v>0</v>
          </cell>
          <cell r="AB843" t="str">
            <v>anytime</v>
          </cell>
          <cell r="AC843">
            <v>907</v>
          </cell>
          <cell r="AD843">
            <v>6</v>
          </cell>
          <cell r="AE843" t="str">
            <v>everyone</v>
          </cell>
        </row>
        <row r="844">
          <cell r="A844" t="str">
            <v>41015_2</v>
          </cell>
          <cell r="B844">
            <v>3</v>
          </cell>
          <cell r="C844">
            <v>41015</v>
          </cell>
          <cell r="D844" t="str">
            <v>ガレス襲来！</v>
          </cell>
          <cell r="E844" t="str">
            <v>降臨1</v>
          </cell>
          <cell r="F844">
            <v>2</v>
          </cell>
          <cell r="G844" t="str">
            <v>ja</v>
          </cell>
          <cell r="H844" t="str">
            <v>【ウィザード級】ガレス襲来</v>
          </cell>
          <cell r="I844" t="str">
            <v>地獄級</v>
          </cell>
          <cell r="J844">
            <v>961</v>
          </cell>
          <cell r="K844">
            <v>40</v>
          </cell>
          <cell r="L844">
            <v>4500</v>
          </cell>
          <cell r="M844">
            <v>1</v>
          </cell>
          <cell r="N844">
            <v>1</v>
          </cell>
          <cell r="O844">
            <v>1</v>
          </cell>
          <cell r="P844">
            <v>1</v>
          </cell>
          <cell r="Q844">
            <v>1</v>
          </cell>
          <cell r="R844">
            <v>3</v>
          </cell>
          <cell r="S844" t="str">
            <v>polygon</v>
          </cell>
          <cell r="T844">
            <v>1</v>
          </cell>
          <cell r="U844" t="str">
            <v>NULL</v>
          </cell>
          <cell r="V844" t="str">
            <v>NULL</v>
          </cell>
          <cell r="X844">
            <v>0</v>
          </cell>
          <cell r="Y844">
            <v>0</v>
          </cell>
          <cell r="Z844">
            <v>0</v>
          </cell>
          <cell r="AA844">
            <v>0</v>
          </cell>
          <cell r="AB844" t="str">
            <v>anytime</v>
          </cell>
          <cell r="AC844">
            <v>907</v>
          </cell>
          <cell r="AD844">
            <v>6</v>
          </cell>
          <cell r="AE844" t="str">
            <v>everyone</v>
          </cell>
        </row>
        <row r="845">
          <cell r="A845" t="str">
            <v>47001_1</v>
          </cell>
          <cell r="B845">
            <v>3</v>
          </cell>
          <cell r="C845">
            <v>47001</v>
          </cell>
          <cell r="D845" t="str">
            <v>彦星襲来！</v>
          </cell>
          <cell r="E845" t="str">
            <v>季節イベント</v>
          </cell>
          <cell r="F845">
            <v>1</v>
          </cell>
          <cell r="G845" t="str">
            <v>ja</v>
          </cell>
          <cell r="H845" t="str">
            <v>【超絶級】彦星襲来</v>
          </cell>
          <cell r="I845" t="str">
            <v>地獄級</v>
          </cell>
          <cell r="J845">
            <v>1043</v>
          </cell>
          <cell r="K845">
            <v>35</v>
          </cell>
          <cell r="L845">
            <v>4200</v>
          </cell>
          <cell r="M845">
            <v>1</v>
          </cell>
          <cell r="N845">
            <v>1</v>
          </cell>
          <cell r="O845">
            <v>1</v>
          </cell>
          <cell r="P845">
            <v>1</v>
          </cell>
          <cell r="Q845">
            <v>1</v>
          </cell>
          <cell r="R845">
            <v>3</v>
          </cell>
          <cell r="S845" t="str">
            <v>polygon</v>
          </cell>
          <cell r="T845">
            <v>1</v>
          </cell>
          <cell r="U845" t="str">
            <v>NULL</v>
          </cell>
          <cell r="V845" t="str">
            <v>NULL</v>
          </cell>
          <cell r="W845" t="str">
            <v/>
          </cell>
          <cell r="X845">
            <v>0</v>
          </cell>
          <cell r="Y845">
            <v>0</v>
          </cell>
          <cell r="Z845">
            <v>0</v>
          </cell>
          <cell r="AA845">
            <v>0</v>
          </cell>
          <cell r="AB845" t="str">
            <v>anytime</v>
          </cell>
          <cell r="AC845">
            <v>943</v>
          </cell>
          <cell r="AD845">
            <v>6</v>
          </cell>
          <cell r="AE845" t="str">
            <v>everyone</v>
          </cell>
        </row>
        <row r="846">
          <cell r="A846" t="str">
            <v>47001_2</v>
          </cell>
          <cell r="B846">
            <v>3</v>
          </cell>
          <cell r="C846">
            <v>47001</v>
          </cell>
          <cell r="D846" t="str">
            <v>彦星襲来！</v>
          </cell>
          <cell r="E846" t="str">
            <v>季節イベント</v>
          </cell>
          <cell r="F846">
            <v>2</v>
          </cell>
          <cell r="G846" t="str">
            <v>ja</v>
          </cell>
          <cell r="H846" t="str">
            <v>【ウィザード級】彦星襲来</v>
          </cell>
          <cell r="I846" t="str">
            <v>地獄級</v>
          </cell>
          <cell r="J846">
            <v>1044</v>
          </cell>
          <cell r="K846">
            <v>40</v>
          </cell>
          <cell r="L846">
            <v>4500</v>
          </cell>
          <cell r="M846">
            <v>1</v>
          </cell>
          <cell r="N846">
            <v>1</v>
          </cell>
          <cell r="O846">
            <v>1</v>
          </cell>
          <cell r="P846">
            <v>1</v>
          </cell>
          <cell r="Q846">
            <v>1</v>
          </cell>
          <cell r="R846">
            <v>3</v>
          </cell>
          <cell r="S846" t="str">
            <v>polygon</v>
          </cell>
          <cell r="T846">
            <v>1</v>
          </cell>
          <cell r="U846" t="str">
            <v>NULL</v>
          </cell>
          <cell r="V846" t="str">
            <v>NULL</v>
          </cell>
          <cell r="W846" t="str">
            <v/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 t="str">
            <v>anytime</v>
          </cell>
          <cell r="AC846">
            <v>943</v>
          </cell>
          <cell r="AD846">
            <v>6</v>
          </cell>
          <cell r="AE846" t="str">
            <v>everyone</v>
          </cell>
        </row>
        <row r="847">
          <cell r="A847" t="str">
            <v>47002_1</v>
          </cell>
          <cell r="B847">
            <v>3</v>
          </cell>
          <cell r="C847">
            <v>47002</v>
          </cell>
          <cell r="D847" t="str">
            <v>夏☆襲来！</v>
          </cell>
          <cell r="E847" t="str">
            <v>季節イベント</v>
          </cell>
          <cell r="F847">
            <v>1</v>
          </cell>
          <cell r="G847" t="str">
            <v>ja</v>
          </cell>
          <cell r="H847" t="str">
            <v>【超絶級】夏☆襲来</v>
          </cell>
          <cell r="I847" t="str">
            <v>地獄級</v>
          </cell>
          <cell r="J847">
            <v>1053</v>
          </cell>
          <cell r="K847">
            <v>35</v>
          </cell>
          <cell r="L847">
            <v>4200</v>
          </cell>
          <cell r="M847">
            <v>1</v>
          </cell>
          <cell r="N847">
            <v>1</v>
          </cell>
          <cell r="O847">
            <v>1</v>
          </cell>
          <cell r="P847">
            <v>1</v>
          </cell>
          <cell r="Q847">
            <v>1</v>
          </cell>
          <cell r="R847">
            <v>3</v>
          </cell>
          <cell r="S847" t="str">
            <v>polygon</v>
          </cell>
          <cell r="T847">
            <v>1</v>
          </cell>
          <cell r="U847" t="str">
            <v>NULL</v>
          </cell>
          <cell r="V847" t="str">
            <v>NULL</v>
          </cell>
          <cell r="W847" t="str">
            <v/>
          </cell>
          <cell r="X847">
            <v>0</v>
          </cell>
          <cell r="Y847">
            <v>0</v>
          </cell>
          <cell r="Z847">
            <v>0</v>
          </cell>
          <cell r="AA847">
            <v>0</v>
          </cell>
          <cell r="AB847" t="str">
            <v>anytime</v>
          </cell>
          <cell r="AC847">
            <v>5</v>
          </cell>
          <cell r="AD847">
            <v>6</v>
          </cell>
          <cell r="AE847" t="str">
            <v>everyone</v>
          </cell>
        </row>
        <row r="848">
          <cell r="A848" t="str">
            <v>47002_2</v>
          </cell>
          <cell r="B848">
            <v>3</v>
          </cell>
          <cell r="C848">
            <v>47002</v>
          </cell>
          <cell r="D848" t="str">
            <v>夏☆襲来！</v>
          </cell>
          <cell r="E848" t="str">
            <v>季節イベント</v>
          </cell>
          <cell r="F848">
            <v>2</v>
          </cell>
          <cell r="G848" t="str">
            <v>ja</v>
          </cell>
          <cell r="H848" t="str">
            <v>【ウィザード級】夏☆襲来</v>
          </cell>
          <cell r="I848" t="str">
            <v>地獄級</v>
          </cell>
          <cell r="J848">
            <v>1054</v>
          </cell>
          <cell r="K848">
            <v>40</v>
          </cell>
          <cell r="L848">
            <v>4500</v>
          </cell>
          <cell r="M848">
            <v>1</v>
          </cell>
          <cell r="N848">
            <v>1</v>
          </cell>
          <cell r="O848">
            <v>1</v>
          </cell>
          <cell r="P848">
            <v>1</v>
          </cell>
          <cell r="Q848">
            <v>1</v>
          </cell>
          <cell r="R848">
            <v>3</v>
          </cell>
          <cell r="S848" t="str">
            <v>polygon</v>
          </cell>
          <cell r="T848">
            <v>1</v>
          </cell>
          <cell r="U848" t="str">
            <v>NULL</v>
          </cell>
          <cell r="V848" t="str">
            <v>NULL</v>
          </cell>
          <cell r="W848" t="str">
            <v/>
          </cell>
          <cell r="X848">
            <v>0</v>
          </cell>
          <cell r="Y848">
            <v>0</v>
          </cell>
          <cell r="Z848">
            <v>0</v>
          </cell>
          <cell r="AA848">
            <v>0</v>
          </cell>
          <cell r="AB848" t="str">
            <v>anytime</v>
          </cell>
          <cell r="AC848">
            <v>5</v>
          </cell>
          <cell r="AD848">
            <v>6</v>
          </cell>
          <cell r="AE848" t="str">
            <v>everyone</v>
          </cell>
        </row>
        <row r="849">
          <cell r="A849" t="str">
            <v>47003_1</v>
          </cell>
          <cell r="B849">
            <v>3</v>
          </cell>
          <cell r="C849">
            <v>47003</v>
          </cell>
          <cell r="D849" t="str">
            <v>ハロウィンナイトパニック！</v>
          </cell>
          <cell r="E849" t="str">
            <v>季節イベント</v>
          </cell>
          <cell r="F849">
            <v>1</v>
          </cell>
          <cell r="G849" t="str">
            <v>ja</v>
          </cell>
          <cell r="H849" t="str">
            <v>【上級】ハロウィンナイトパニック！</v>
          </cell>
          <cell r="I849" t="str">
            <v>地獄級</v>
          </cell>
          <cell r="J849">
            <v>1192</v>
          </cell>
          <cell r="K849">
            <v>20</v>
          </cell>
          <cell r="L849">
            <v>2000</v>
          </cell>
          <cell r="M849">
            <v>1</v>
          </cell>
          <cell r="N849">
            <v>1</v>
          </cell>
          <cell r="O849">
            <v>1</v>
          </cell>
          <cell r="P849">
            <v>1</v>
          </cell>
          <cell r="Q849">
            <v>1</v>
          </cell>
          <cell r="R849">
            <v>3</v>
          </cell>
          <cell r="S849" t="str">
            <v>none</v>
          </cell>
          <cell r="T849">
            <v>0</v>
          </cell>
          <cell r="U849" t="str">
            <v>NULL</v>
          </cell>
          <cell r="V849" t="str">
            <v>NULL</v>
          </cell>
          <cell r="W849" t="str">
            <v/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 t="str">
            <v>anytime</v>
          </cell>
          <cell r="AC849">
            <v>952</v>
          </cell>
          <cell r="AD849">
            <v>6</v>
          </cell>
          <cell r="AE849" t="str">
            <v>everyone</v>
          </cell>
        </row>
        <row r="850">
          <cell r="A850" t="str">
            <v>47003_2</v>
          </cell>
          <cell r="B850">
            <v>3</v>
          </cell>
          <cell r="C850">
            <v>47003</v>
          </cell>
          <cell r="D850" t="str">
            <v>ハロウィンナイトパニック！</v>
          </cell>
          <cell r="E850" t="str">
            <v>季節イベント</v>
          </cell>
          <cell r="F850">
            <v>2</v>
          </cell>
          <cell r="G850" t="str">
            <v>ja</v>
          </cell>
          <cell r="H850" t="str">
            <v>【超級】ハロウィンナイトパニック！</v>
          </cell>
          <cell r="I850" t="str">
            <v>地獄級</v>
          </cell>
          <cell r="J850">
            <v>1192</v>
          </cell>
          <cell r="K850">
            <v>30</v>
          </cell>
          <cell r="L850">
            <v>3300</v>
          </cell>
          <cell r="M850">
            <v>1</v>
          </cell>
          <cell r="N850">
            <v>1</v>
          </cell>
          <cell r="O850">
            <v>1</v>
          </cell>
          <cell r="P850">
            <v>1</v>
          </cell>
          <cell r="Q850">
            <v>1</v>
          </cell>
          <cell r="R850">
            <v>3</v>
          </cell>
          <cell r="S850" t="str">
            <v>none</v>
          </cell>
          <cell r="T850">
            <v>0</v>
          </cell>
          <cell r="U850" t="str">
            <v>NULL</v>
          </cell>
          <cell r="V850" t="str">
            <v>NULL</v>
          </cell>
          <cell r="W850" t="str">
            <v/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 t="str">
            <v>anytime</v>
          </cell>
          <cell r="AC850">
            <v>952</v>
          </cell>
          <cell r="AD850">
            <v>6</v>
          </cell>
          <cell r="AE850" t="str">
            <v>everyone</v>
          </cell>
        </row>
        <row r="851">
          <cell r="A851" t="str">
            <v>47003_3</v>
          </cell>
          <cell r="B851">
            <v>3</v>
          </cell>
          <cell r="C851">
            <v>47003</v>
          </cell>
          <cell r="D851" t="str">
            <v>ハロウィンナイトパニック！</v>
          </cell>
          <cell r="E851" t="str">
            <v>季節イベント</v>
          </cell>
          <cell r="F851">
            <v>3</v>
          </cell>
          <cell r="G851" t="str">
            <v>ja</v>
          </cell>
          <cell r="H851" t="str">
            <v>【超絶】ハロウィンナイトパニック！</v>
          </cell>
          <cell r="I851" t="str">
            <v>地獄級</v>
          </cell>
          <cell r="J851">
            <v>1192</v>
          </cell>
          <cell r="K851">
            <v>35</v>
          </cell>
          <cell r="L851">
            <v>4200</v>
          </cell>
          <cell r="M851">
            <v>1</v>
          </cell>
          <cell r="N851">
            <v>1</v>
          </cell>
          <cell r="O851">
            <v>1</v>
          </cell>
          <cell r="P851">
            <v>1</v>
          </cell>
          <cell r="Q851">
            <v>1</v>
          </cell>
          <cell r="R851">
            <v>3</v>
          </cell>
          <cell r="S851" t="str">
            <v>polygon</v>
          </cell>
          <cell r="T851">
            <v>1</v>
          </cell>
          <cell r="U851" t="str">
            <v>NULL</v>
          </cell>
          <cell r="V851" t="str">
            <v>NULL</v>
          </cell>
          <cell r="W851" t="str">
            <v/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 t="str">
            <v>anytime</v>
          </cell>
          <cell r="AC851">
            <v>952</v>
          </cell>
          <cell r="AD851">
            <v>6</v>
          </cell>
          <cell r="AE851" t="str">
            <v>everyone</v>
          </cell>
        </row>
        <row r="852">
          <cell r="A852" t="str">
            <v>47003_4</v>
          </cell>
          <cell r="B852">
            <v>3</v>
          </cell>
          <cell r="C852">
            <v>47003</v>
          </cell>
          <cell r="D852" t="str">
            <v>ハロウィンナイトパニック！</v>
          </cell>
          <cell r="E852" t="str">
            <v>季節イベント</v>
          </cell>
          <cell r="F852">
            <v>4</v>
          </cell>
          <cell r="G852" t="str">
            <v>ja</v>
          </cell>
          <cell r="H852" t="str">
            <v>【ｳｨｻﾞ】ハロウィンナイトパニック！</v>
          </cell>
          <cell r="I852" t="str">
            <v>地獄級</v>
          </cell>
          <cell r="J852">
            <v>1192</v>
          </cell>
          <cell r="K852">
            <v>40</v>
          </cell>
          <cell r="L852">
            <v>4500</v>
          </cell>
          <cell r="M852">
            <v>1</v>
          </cell>
          <cell r="N852">
            <v>1</v>
          </cell>
          <cell r="O852">
            <v>1</v>
          </cell>
          <cell r="P852">
            <v>1</v>
          </cell>
          <cell r="Q852">
            <v>1</v>
          </cell>
          <cell r="R852">
            <v>3</v>
          </cell>
          <cell r="S852" t="str">
            <v>polygon</v>
          </cell>
          <cell r="T852">
            <v>1</v>
          </cell>
          <cell r="U852" t="str">
            <v>NULL</v>
          </cell>
          <cell r="V852" t="str">
            <v>NULL</v>
          </cell>
          <cell r="W852" t="str">
            <v/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  <cell r="AB852" t="str">
            <v>anytime</v>
          </cell>
          <cell r="AC852">
            <v>952</v>
          </cell>
          <cell r="AD852">
            <v>6</v>
          </cell>
          <cell r="AE852" t="str">
            <v>everyone</v>
          </cell>
        </row>
        <row r="853">
          <cell r="A853" t="str">
            <v>47004_1</v>
          </cell>
          <cell r="B853">
            <v>3</v>
          </cell>
          <cell r="C853">
            <v>47004</v>
          </cell>
          <cell r="D853" t="str">
            <v>聖なる夜に祝福を</v>
          </cell>
          <cell r="E853" t="str">
            <v>季節イベント</v>
          </cell>
          <cell r="F853">
            <v>1</v>
          </cell>
          <cell r="G853" t="str">
            <v>ja</v>
          </cell>
          <cell r="H853" t="str">
            <v>【上級】聖なる夜に祝福を</v>
          </cell>
          <cell r="I853" t="str">
            <v>上級</v>
          </cell>
          <cell r="J853">
            <v>1284</v>
          </cell>
          <cell r="K853">
            <v>20</v>
          </cell>
          <cell r="L853">
            <v>2000</v>
          </cell>
          <cell r="M853">
            <v>1</v>
          </cell>
          <cell r="N853">
            <v>1</v>
          </cell>
          <cell r="O853">
            <v>1</v>
          </cell>
          <cell r="P853">
            <v>1</v>
          </cell>
          <cell r="Q853">
            <v>1</v>
          </cell>
          <cell r="R853">
            <v>3</v>
          </cell>
          <cell r="S853" t="str">
            <v>none</v>
          </cell>
          <cell r="T853">
            <v>0</v>
          </cell>
          <cell r="U853" t="str">
            <v>NULL</v>
          </cell>
          <cell r="V853" t="str">
            <v>NULL</v>
          </cell>
          <cell r="W853" t="str">
            <v/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 t="str">
            <v>anytime</v>
          </cell>
          <cell r="AC853">
            <v>962</v>
          </cell>
          <cell r="AD853">
            <v>6</v>
          </cell>
          <cell r="AE853" t="str">
            <v>everyone</v>
          </cell>
        </row>
        <row r="854">
          <cell r="A854" t="str">
            <v>47004_2</v>
          </cell>
          <cell r="B854">
            <v>3</v>
          </cell>
          <cell r="C854">
            <v>47004</v>
          </cell>
          <cell r="D854" t="str">
            <v>聖なる夜に祝福を</v>
          </cell>
          <cell r="E854" t="str">
            <v>季節イベント</v>
          </cell>
          <cell r="F854">
            <v>2</v>
          </cell>
          <cell r="G854" t="str">
            <v>ja</v>
          </cell>
          <cell r="H854" t="str">
            <v>【超級】聖なる夜に祝福を</v>
          </cell>
          <cell r="I854" t="str">
            <v>超級</v>
          </cell>
          <cell r="J854">
            <v>1284</v>
          </cell>
          <cell r="K854">
            <v>30</v>
          </cell>
          <cell r="L854">
            <v>3300</v>
          </cell>
          <cell r="M854">
            <v>1</v>
          </cell>
          <cell r="N854">
            <v>1</v>
          </cell>
          <cell r="O854">
            <v>1</v>
          </cell>
          <cell r="P854">
            <v>1</v>
          </cell>
          <cell r="Q854">
            <v>1</v>
          </cell>
          <cell r="R854">
            <v>3</v>
          </cell>
          <cell r="S854" t="str">
            <v>none</v>
          </cell>
          <cell r="T854">
            <v>0</v>
          </cell>
          <cell r="U854" t="str">
            <v>NULL</v>
          </cell>
          <cell r="V854" t="str">
            <v>NULL</v>
          </cell>
          <cell r="W854" t="str">
            <v/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 t="str">
            <v>anytime</v>
          </cell>
          <cell r="AC854">
            <v>962</v>
          </cell>
          <cell r="AD854">
            <v>6</v>
          </cell>
          <cell r="AE854" t="str">
            <v>everyone</v>
          </cell>
        </row>
        <row r="855">
          <cell r="A855" t="str">
            <v>47004_3</v>
          </cell>
          <cell r="B855">
            <v>3</v>
          </cell>
          <cell r="C855">
            <v>47004</v>
          </cell>
          <cell r="D855" t="str">
            <v>聖なる夜に祝福を</v>
          </cell>
          <cell r="E855" t="str">
            <v>季節イベント</v>
          </cell>
          <cell r="F855">
            <v>3</v>
          </cell>
          <cell r="G855" t="str">
            <v>ja</v>
          </cell>
          <cell r="H855" t="str">
            <v>【超絶級】聖なる夜に祝福を</v>
          </cell>
          <cell r="I855" t="str">
            <v>超絶級</v>
          </cell>
          <cell r="J855">
            <v>1284</v>
          </cell>
          <cell r="K855">
            <v>35</v>
          </cell>
          <cell r="L855">
            <v>4200</v>
          </cell>
          <cell r="M855">
            <v>1</v>
          </cell>
          <cell r="N855">
            <v>1</v>
          </cell>
          <cell r="O855">
            <v>1</v>
          </cell>
          <cell r="P855">
            <v>1</v>
          </cell>
          <cell r="Q855">
            <v>1</v>
          </cell>
          <cell r="R855">
            <v>3</v>
          </cell>
          <cell r="S855" t="str">
            <v>polygon</v>
          </cell>
          <cell r="T855">
            <v>1</v>
          </cell>
          <cell r="U855" t="str">
            <v>NULL</v>
          </cell>
          <cell r="V855" t="str">
            <v>NULL</v>
          </cell>
          <cell r="W855" t="str">
            <v/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 t="str">
            <v>anytime</v>
          </cell>
          <cell r="AC855">
            <v>962</v>
          </cell>
          <cell r="AD855">
            <v>6</v>
          </cell>
          <cell r="AE855" t="str">
            <v>everyone</v>
          </cell>
        </row>
        <row r="856">
          <cell r="A856" t="str">
            <v>47004_4</v>
          </cell>
          <cell r="B856">
            <v>3</v>
          </cell>
          <cell r="C856">
            <v>47004</v>
          </cell>
          <cell r="D856" t="str">
            <v>聖なる夜に祝福を</v>
          </cell>
          <cell r="E856" t="str">
            <v>季節イベント</v>
          </cell>
          <cell r="F856">
            <v>4</v>
          </cell>
          <cell r="G856" t="str">
            <v>ja</v>
          </cell>
          <cell r="H856" t="str">
            <v>【ウィザード級】聖なる夜に祝福を</v>
          </cell>
          <cell r="I856" t="str">
            <v>地獄級</v>
          </cell>
          <cell r="J856">
            <v>1284</v>
          </cell>
          <cell r="K856">
            <v>40</v>
          </cell>
          <cell r="L856">
            <v>4500</v>
          </cell>
          <cell r="M856">
            <v>1</v>
          </cell>
          <cell r="N856">
            <v>1</v>
          </cell>
          <cell r="O856">
            <v>1</v>
          </cell>
          <cell r="P856">
            <v>1</v>
          </cell>
          <cell r="Q856">
            <v>1</v>
          </cell>
          <cell r="R856">
            <v>3</v>
          </cell>
          <cell r="S856" t="str">
            <v>polygon</v>
          </cell>
          <cell r="T856">
            <v>1</v>
          </cell>
          <cell r="U856" t="str">
            <v>NULL</v>
          </cell>
          <cell r="V856" t="str">
            <v>NULL</v>
          </cell>
          <cell r="W856" t="str">
            <v/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 t="str">
            <v>anytime</v>
          </cell>
          <cell r="AC856">
            <v>962</v>
          </cell>
          <cell r="AD856">
            <v>6</v>
          </cell>
          <cell r="AE856" t="str">
            <v>everyone</v>
          </cell>
        </row>
        <row r="857">
          <cell r="A857" t="str">
            <v>47005_1</v>
          </cell>
          <cell r="B857">
            <v>3</v>
          </cell>
          <cell r="C857">
            <v>47005</v>
          </cell>
          <cell r="D857" t="str">
            <v>年を越える儀式</v>
          </cell>
          <cell r="E857" t="str">
            <v>季節イベント</v>
          </cell>
          <cell r="F857">
            <v>1</v>
          </cell>
          <cell r="G857" t="str">
            <v>ja</v>
          </cell>
          <cell r="H857" t="str">
            <v>【ウィザード級】年を越える儀式</v>
          </cell>
          <cell r="I857" t="str">
            <v>地獄級</v>
          </cell>
          <cell r="J857">
            <v>1292</v>
          </cell>
          <cell r="K857">
            <v>30</v>
          </cell>
          <cell r="L857">
            <v>4000</v>
          </cell>
          <cell r="M857">
            <v>1</v>
          </cell>
          <cell r="N857">
            <v>1</v>
          </cell>
          <cell r="O857">
            <v>1</v>
          </cell>
          <cell r="P857">
            <v>1</v>
          </cell>
          <cell r="Q857">
            <v>1</v>
          </cell>
          <cell r="R857">
            <v>3</v>
          </cell>
          <cell r="S857" t="str">
            <v>polygon</v>
          </cell>
          <cell r="T857">
            <v>1</v>
          </cell>
          <cell r="U857" t="str">
            <v>NULL</v>
          </cell>
          <cell r="V857" t="str">
            <v>NULL</v>
          </cell>
          <cell r="W857" t="str">
            <v/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 t="str">
            <v>anytime</v>
          </cell>
          <cell r="AC857">
            <v>901</v>
          </cell>
          <cell r="AD857">
            <v>6</v>
          </cell>
          <cell r="AE857" t="str">
            <v>everyone</v>
          </cell>
        </row>
        <row r="858">
          <cell r="A858" t="str">
            <v>47006_1</v>
          </cell>
          <cell r="B858">
            <v>3</v>
          </cell>
          <cell r="C858">
            <v>47006</v>
          </cell>
          <cell r="D858" t="str">
            <v>酉の初めはたまごから</v>
          </cell>
          <cell r="E858" t="str">
            <v>季節イベント</v>
          </cell>
          <cell r="F858">
            <v>1</v>
          </cell>
          <cell r="G858" t="str">
            <v>ja</v>
          </cell>
          <cell r="H858" t="str">
            <v>【超絶】酉の初めはたまごから</v>
          </cell>
          <cell r="I858" t="str">
            <v>超絶級</v>
          </cell>
          <cell r="J858">
            <v>1294</v>
          </cell>
          <cell r="K858">
            <v>30</v>
          </cell>
          <cell r="L858">
            <v>4200</v>
          </cell>
          <cell r="M858">
            <v>1</v>
          </cell>
          <cell r="N858">
            <v>1</v>
          </cell>
          <cell r="O858">
            <v>1</v>
          </cell>
          <cell r="P858">
            <v>0</v>
          </cell>
          <cell r="Q858">
            <v>1</v>
          </cell>
          <cell r="R858">
            <v>3</v>
          </cell>
          <cell r="S858" t="str">
            <v>polygon</v>
          </cell>
          <cell r="T858">
            <v>1</v>
          </cell>
          <cell r="U858" t="str">
            <v>NULL</v>
          </cell>
          <cell r="V858" t="str">
            <v>NULL</v>
          </cell>
          <cell r="W858" t="str">
            <v/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 t="str">
            <v>anytime</v>
          </cell>
          <cell r="AC858">
            <v>2</v>
          </cell>
          <cell r="AD858">
            <v>6</v>
          </cell>
          <cell r="AE858" t="str">
            <v>everyone</v>
          </cell>
        </row>
        <row r="859">
          <cell r="A859" t="str">
            <v>47006_2</v>
          </cell>
          <cell r="B859">
            <v>3</v>
          </cell>
          <cell r="C859">
            <v>47006</v>
          </cell>
          <cell r="D859" t="str">
            <v>酉の初めはたまごから</v>
          </cell>
          <cell r="E859" t="str">
            <v>季節イベント</v>
          </cell>
          <cell r="F859">
            <v>2</v>
          </cell>
          <cell r="G859" t="str">
            <v>ja</v>
          </cell>
          <cell r="H859" t="str">
            <v>【ｳｨｻﾞ】酉の初めはたまごから</v>
          </cell>
          <cell r="I859" t="str">
            <v>地獄級</v>
          </cell>
          <cell r="J859">
            <v>1294</v>
          </cell>
          <cell r="K859">
            <v>35</v>
          </cell>
          <cell r="L859">
            <v>4500</v>
          </cell>
          <cell r="M859">
            <v>1</v>
          </cell>
          <cell r="N859">
            <v>1</v>
          </cell>
          <cell r="O859">
            <v>1</v>
          </cell>
          <cell r="P859">
            <v>0</v>
          </cell>
          <cell r="Q859">
            <v>1</v>
          </cell>
          <cell r="R859">
            <v>3</v>
          </cell>
          <cell r="S859" t="str">
            <v>polygon</v>
          </cell>
          <cell r="T859">
            <v>1</v>
          </cell>
          <cell r="U859" t="str">
            <v>NULL</v>
          </cell>
          <cell r="V859" t="str">
            <v>NULL</v>
          </cell>
          <cell r="W859" t="str">
            <v/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 t="str">
            <v>anytime</v>
          </cell>
          <cell r="AC859">
            <v>2</v>
          </cell>
          <cell r="AD859">
            <v>6</v>
          </cell>
          <cell r="AE859" t="str">
            <v>everyone</v>
          </cell>
        </row>
        <row r="860">
          <cell r="A860" t="str">
            <v>47007_1</v>
          </cell>
          <cell r="B860">
            <v>3</v>
          </cell>
          <cell r="C860">
            <v>47007</v>
          </cell>
          <cell r="D860" t="str">
            <v>ツンデレ少女の恋心</v>
          </cell>
          <cell r="E860" t="str">
            <v>季節イベント</v>
          </cell>
          <cell r="F860">
            <v>1</v>
          </cell>
          <cell r="G860" t="str">
            <v>ja</v>
          </cell>
          <cell r="H860" t="str">
            <v>【上級】ツンデレ少女の恋心</v>
          </cell>
          <cell r="I860" t="str">
            <v>超絶級</v>
          </cell>
          <cell r="J860">
            <v>1351</v>
          </cell>
          <cell r="K860">
            <v>15</v>
          </cell>
          <cell r="L860">
            <v>2000</v>
          </cell>
          <cell r="M860">
            <v>1</v>
          </cell>
          <cell r="N860">
            <v>1</v>
          </cell>
          <cell r="O860">
            <v>0</v>
          </cell>
          <cell r="P860">
            <v>1</v>
          </cell>
          <cell r="Q860">
            <v>1</v>
          </cell>
          <cell r="R860">
            <v>3</v>
          </cell>
          <cell r="S860" t="str">
            <v>none</v>
          </cell>
          <cell r="T860">
            <v>0</v>
          </cell>
          <cell r="U860" t="str">
            <v>NULL</v>
          </cell>
          <cell r="V860" t="str">
            <v>NULL</v>
          </cell>
          <cell r="W860" t="str">
            <v/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 t="str">
            <v>anytime</v>
          </cell>
          <cell r="AC860">
            <v>969</v>
          </cell>
          <cell r="AD860">
            <v>6</v>
          </cell>
          <cell r="AE860" t="str">
            <v>everyone</v>
          </cell>
        </row>
        <row r="861">
          <cell r="A861" t="str">
            <v>47007_2</v>
          </cell>
          <cell r="B861">
            <v>3</v>
          </cell>
          <cell r="C861">
            <v>47007</v>
          </cell>
          <cell r="D861" t="str">
            <v>ツンデレ少女の恋心</v>
          </cell>
          <cell r="E861" t="str">
            <v>季節イベント</v>
          </cell>
          <cell r="F861">
            <v>2</v>
          </cell>
          <cell r="G861" t="str">
            <v>ja</v>
          </cell>
          <cell r="H861" t="str">
            <v>【ウィザード級】ツンデレ少女の恋心</v>
          </cell>
          <cell r="I861" t="str">
            <v>地獄級</v>
          </cell>
          <cell r="J861">
            <v>1351</v>
          </cell>
          <cell r="K861">
            <v>30</v>
          </cell>
          <cell r="L861">
            <v>4500</v>
          </cell>
          <cell r="M861">
            <v>1</v>
          </cell>
          <cell r="N861">
            <v>1</v>
          </cell>
          <cell r="O861">
            <v>0</v>
          </cell>
          <cell r="P861">
            <v>1</v>
          </cell>
          <cell r="Q861">
            <v>1</v>
          </cell>
          <cell r="R861">
            <v>3</v>
          </cell>
          <cell r="S861" t="str">
            <v>polygon</v>
          </cell>
          <cell r="T861">
            <v>1</v>
          </cell>
          <cell r="U861" t="str">
            <v>NULL</v>
          </cell>
          <cell r="V861" t="str">
            <v>NULL</v>
          </cell>
          <cell r="W861" t="str">
            <v/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 t="str">
            <v>anytime</v>
          </cell>
          <cell r="AC861">
            <v>969</v>
          </cell>
          <cell r="AD861">
            <v>6</v>
          </cell>
          <cell r="AE861" t="str">
            <v>everyone</v>
          </cell>
        </row>
        <row r="862">
          <cell r="A862" t="str">
            <v>47008_1</v>
          </cell>
          <cell r="B862">
            <v>3</v>
          </cell>
          <cell r="C862">
            <v>47008</v>
          </cell>
          <cell r="D862" t="str">
            <v>ふんわり少女の恋心</v>
          </cell>
          <cell r="E862" t="str">
            <v>季節イベント</v>
          </cell>
          <cell r="F862">
            <v>1</v>
          </cell>
          <cell r="G862" t="str">
            <v>ja</v>
          </cell>
          <cell r="H862" t="str">
            <v>【上級】ふんわり少女の恋心</v>
          </cell>
          <cell r="I862" t="str">
            <v>超絶級</v>
          </cell>
          <cell r="J862">
            <v>1364</v>
          </cell>
          <cell r="K862">
            <v>15</v>
          </cell>
          <cell r="L862">
            <v>2000</v>
          </cell>
          <cell r="M862">
            <v>1</v>
          </cell>
          <cell r="N862">
            <v>1</v>
          </cell>
          <cell r="O862">
            <v>1</v>
          </cell>
          <cell r="P862">
            <v>0</v>
          </cell>
          <cell r="Q862">
            <v>1</v>
          </cell>
          <cell r="R862">
            <v>3</v>
          </cell>
          <cell r="S862" t="str">
            <v>none</v>
          </cell>
          <cell r="T862">
            <v>0</v>
          </cell>
          <cell r="U862" t="str">
            <v>NULL</v>
          </cell>
          <cell r="V862" t="str">
            <v>NULL</v>
          </cell>
          <cell r="W862" t="str">
            <v/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 t="str">
            <v>anytime</v>
          </cell>
          <cell r="AC862">
            <v>969</v>
          </cell>
          <cell r="AD862">
            <v>6</v>
          </cell>
          <cell r="AE862" t="str">
            <v>everyone</v>
          </cell>
        </row>
        <row r="863">
          <cell r="A863" t="str">
            <v>47008_2</v>
          </cell>
          <cell r="B863">
            <v>3</v>
          </cell>
          <cell r="C863">
            <v>47008</v>
          </cell>
          <cell r="D863" t="str">
            <v>ふんわり少女の恋心</v>
          </cell>
          <cell r="E863" t="str">
            <v>季節イベント</v>
          </cell>
          <cell r="F863">
            <v>2</v>
          </cell>
          <cell r="G863" t="str">
            <v>ja</v>
          </cell>
          <cell r="H863" t="str">
            <v>【ウィザード級】ふんわり少女の恋心</v>
          </cell>
          <cell r="I863" t="str">
            <v>地獄級</v>
          </cell>
          <cell r="J863">
            <v>1364</v>
          </cell>
          <cell r="K863">
            <v>30</v>
          </cell>
          <cell r="L863">
            <v>4500</v>
          </cell>
          <cell r="M863">
            <v>1</v>
          </cell>
          <cell r="N863">
            <v>1</v>
          </cell>
          <cell r="O863">
            <v>1</v>
          </cell>
          <cell r="P863">
            <v>0</v>
          </cell>
          <cell r="Q863">
            <v>1</v>
          </cell>
          <cell r="R863">
            <v>3</v>
          </cell>
          <cell r="S863" t="str">
            <v>polygon</v>
          </cell>
          <cell r="T863">
            <v>1</v>
          </cell>
          <cell r="U863" t="str">
            <v>NULL</v>
          </cell>
          <cell r="V863" t="str">
            <v>NULL</v>
          </cell>
          <cell r="W863" t="str">
            <v/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  <cell r="AB863" t="str">
            <v>anytime</v>
          </cell>
          <cell r="AC863">
            <v>969</v>
          </cell>
          <cell r="AD863">
            <v>6</v>
          </cell>
          <cell r="AE863" t="str">
            <v>everyone</v>
          </cell>
        </row>
        <row r="864">
          <cell r="A864" t="str">
            <v>47009_1</v>
          </cell>
          <cell r="B864">
            <v>3</v>
          </cell>
          <cell r="C864">
            <v>47009</v>
          </cell>
          <cell r="D864" t="str">
            <v>夏☆襲来！</v>
          </cell>
          <cell r="E864" t="str">
            <v>（復刻）季節イベント</v>
          </cell>
          <cell r="F864">
            <v>1</v>
          </cell>
          <cell r="G864" t="str">
            <v>ja</v>
          </cell>
          <cell r="H864" t="str">
            <v>【超絶級】夏☆襲来</v>
          </cell>
          <cell r="I864" t="str">
            <v>地獄級</v>
          </cell>
          <cell r="J864">
            <v>1053</v>
          </cell>
          <cell r="K864">
            <v>35</v>
          </cell>
          <cell r="L864">
            <v>4200</v>
          </cell>
          <cell r="M864">
            <v>1</v>
          </cell>
          <cell r="N864">
            <v>1</v>
          </cell>
          <cell r="O864">
            <v>1</v>
          </cell>
          <cell r="P864">
            <v>1</v>
          </cell>
          <cell r="Q864">
            <v>1</v>
          </cell>
          <cell r="R864">
            <v>3</v>
          </cell>
          <cell r="S864" t="str">
            <v>polygon</v>
          </cell>
          <cell r="T864">
            <v>1</v>
          </cell>
          <cell r="U864" t="str">
            <v>NULL</v>
          </cell>
          <cell r="V864" t="str">
            <v>NULL</v>
          </cell>
          <cell r="W864" t="str">
            <v/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 t="str">
            <v>anytime</v>
          </cell>
          <cell r="AC864">
            <v>5</v>
          </cell>
          <cell r="AD864">
            <v>6</v>
          </cell>
          <cell r="AE864" t="str">
            <v>everyone</v>
          </cell>
        </row>
        <row r="865">
          <cell r="A865" t="str">
            <v>47009_2</v>
          </cell>
          <cell r="B865">
            <v>3</v>
          </cell>
          <cell r="C865">
            <v>47009</v>
          </cell>
          <cell r="D865" t="str">
            <v>夏☆襲来！</v>
          </cell>
          <cell r="E865" t="str">
            <v>（復刻）季節イベント</v>
          </cell>
          <cell r="F865">
            <v>2</v>
          </cell>
          <cell r="G865" t="str">
            <v>ja</v>
          </cell>
          <cell r="H865" t="str">
            <v>【ウィザード級】夏☆襲来</v>
          </cell>
          <cell r="I865" t="str">
            <v>地獄級</v>
          </cell>
          <cell r="J865">
            <v>1054</v>
          </cell>
          <cell r="K865">
            <v>40</v>
          </cell>
          <cell r="L865">
            <v>4500</v>
          </cell>
          <cell r="M865">
            <v>1</v>
          </cell>
          <cell r="N865">
            <v>1</v>
          </cell>
          <cell r="O865">
            <v>1</v>
          </cell>
          <cell r="P865">
            <v>1</v>
          </cell>
          <cell r="Q865">
            <v>1</v>
          </cell>
          <cell r="R865">
            <v>3</v>
          </cell>
          <cell r="S865" t="str">
            <v>polygon</v>
          </cell>
          <cell r="T865">
            <v>1</v>
          </cell>
          <cell r="U865" t="str">
            <v>NULL</v>
          </cell>
          <cell r="V865" t="str">
            <v>NULL</v>
          </cell>
          <cell r="W865" t="str">
            <v/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 t="str">
            <v>anytime</v>
          </cell>
          <cell r="AC865">
            <v>5</v>
          </cell>
          <cell r="AD865">
            <v>6</v>
          </cell>
          <cell r="AE865" t="str">
            <v>everyone</v>
          </cell>
        </row>
        <row r="866">
          <cell r="A866" t="str">
            <v>47010_1</v>
          </cell>
          <cell r="B866">
            <v>3</v>
          </cell>
          <cell r="C866">
            <v>47010</v>
          </cell>
          <cell r="D866" t="str">
            <v>僕の愛よあの子にとどけ！</v>
          </cell>
          <cell r="E866" t="str">
            <v>季節イベント</v>
          </cell>
          <cell r="F866">
            <v>1</v>
          </cell>
          <cell r="G866" t="str">
            <v>ja</v>
          </cell>
          <cell r="H866" t="str">
            <v>【上級】僕の愛よあの子にとどけ！</v>
          </cell>
          <cell r="I866" t="str">
            <v>地獄級</v>
          </cell>
          <cell r="J866">
            <v>1408</v>
          </cell>
          <cell r="K866">
            <v>20</v>
          </cell>
          <cell r="L866">
            <v>2000</v>
          </cell>
          <cell r="M866">
            <v>1</v>
          </cell>
          <cell r="N866">
            <v>1</v>
          </cell>
          <cell r="O866">
            <v>1</v>
          </cell>
          <cell r="P866">
            <v>1</v>
          </cell>
          <cell r="Q866">
            <v>1</v>
          </cell>
          <cell r="R866">
            <v>3</v>
          </cell>
          <cell r="S866" t="str">
            <v>item</v>
          </cell>
          <cell r="T866">
            <v>703</v>
          </cell>
          <cell r="U866" t="str">
            <v>NULL</v>
          </cell>
          <cell r="V866" t="str">
            <v>NULL</v>
          </cell>
          <cell r="W866" t="str">
            <v/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 t="str">
            <v>anytime</v>
          </cell>
          <cell r="AC866">
            <v>908</v>
          </cell>
          <cell r="AD866">
            <v>6</v>
          </cell>
          <cell r="AE866" t="str">
            <v>everyone</v>
          </cell>
        </row>
        <row r="867">
          <cell r="A867" t="str">
            <v>47010_2</v>
          </cell>
          <cell r="B867">
            <v>3</v>
          </cell>
          <cell r="C867">
            <v>47010</v>
          </cell>
          <cell r="D867" t="str">
            <v>僕の愛よあの子にとどけ！</v>
          </cell>
          <cell r="E867" t="str">
            <v>季節イベント</v>
          </cell>
          <cell r="F867">
            <v>2</v>
          </cell>
          <cell r="G867" t="str">
            <v>ja</v>
          </cell>
          <cell r="H867" t="str">
            <v>【ｳｨｻﾞ】僕の愛よあの子にとどけ！</v>
          </cell>
          <cell r="I867" t="str">
            <v>地獄級</v>
          </cell>
          <cell r="J867">
            <v>1408</v>
          </cell>
          <cell r="K867">
            <v>40</v>
          </cell>
          <cell r="L867">
            <v>4500</v>
          </cell>
          <cell r="M867">
            <v>1</v>
          </cell>
          <cell r="N867">
            <v>1</v>
          </cell>
          <cell r="O867">
            <v>1</v>
          </cell>
          <cell r="P867">
            <v>1</v>
          </cell>
          <cell r="Q867">
            <v>1</v>
          </cell>
          <cell r="R867">
            <v>3</v>
          </cell>
          <cell r="S867" t="str">
            <v>polygon</v>
          </cell>
          <cell r="T867">
            <v>1</v>
          </cell>
          <cell r="U867" t="str">
            <v>NULL</v>
          </cell>
          <cell r="V867" t="str">
            <v>NULL</v>
          </cell>
          <cell r="W867" t="str">
            <v/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  <cell r="AB867" t="str">
            <v>anytime</v>
          </cell>
          <cell r="AC867">
            <v>908</v>
          </cell>
          <cell r="AD867">
            <v>6</v>
          </cell>
          <cell r="AE867" t="str">
            <v>everyone</v>
          </cell>
        </row>
        <row r="868">
          <cell r="A868" t="str">
            <v>47011_1</v>
          </cell>
          <cell r="B868">
            <v>3</v>
          </cell>
          <cell r="C868">
            <v>47011</v>
          </cell>
          <cell r="D868" t="str">
            <v>ツンデレ少女にお返しを！</v>
          </cell>
          <cell r="E868" t="str">
            <v>季節イベント</v>
          </cell>
          <cell r="F868">
            <v>1</v>
          </cell>
          <cell r="G868" t="str">
            <v>ja</v>
          </cell>
          <cell r="H868" t="str">
            <v>ツンデレ少女にお返しを！</v>
          </cell>
          <cell r="I868" t="str">
            <v>地獄級</v>
          </cell>
          <cell r="J868">
            <v>1351</v>
          </cell>
          <cell r="K868">
            <v>1</v>
          </cell>
          <cell r="L868">
            <v>0</v>
          </cell>
          <cell r="M868">
            <v>1</v>
          </cell>
          <cell r="N868">
            <v>1</v>
          </cell>
          <cell r="O868">
            <v>1</v>
          </cell>
          <cell r="P868">
            <v>1</v>
          </cell>
          <cell r="Q868">
            <v>1</v>
          </cell>
          <cell r="R868">
            <v>3</v>
          </cell>
          <cell r="S868" t="str">
            <v>polygon</v>
          </cell>
          <cell r="T868">
            <v>1</v>
          </cell>
          <cell r="U868" t="str">
            <v>NULL</v>
          </cell>
          <cell r="V868" t="str">
            <v>NULL</v>
          </cell>
          <cell r="W868" t="str">
            <v/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  <cell r="AB868" t="str">
            <v>anytime</v>
          </cell>
          <cell r="AC868">
            <v>926</v>
          </cell>
          <cell r="AD868">
            <v>6</v>
          </cell>
          <cell r="AE868" t="str">
            <v>singleonly</v>
          </cell>
        </row>
        <row r="869">
          <cell r="A869" t="str">
            <v>47012_1</v>
          </cell>
          <cell r="B869">
            <v>3</v>
          </cell>
          <cell r="C869">
            <v>47012</v>
          </cell>
          <cell r="D869" t="str">
            <v>春呼ぶキミの行方</v>
          </cell>
          <cell r="E869" t="str">
            <v>季節イベント</v>
          </cell>
          <cell r="F869">
            <v>1</v>
          </cell>
          <cell r="G869" t="str">
            <v>ja</v>
          </cell>
          <cell r="H869" t="str">
            <v>【上級】春呼ぶキミの行方</v>
          </cell>
          <cell r="I869" t="str">
            <v>超絶級</v>
          </cell>
          <cell r="J869">
            <v>1498</v>
          </cell>
          <cell r="K869">
            <v>20</v>
          </cell>
          <cell r="L869">
            <v>2000</v>
          </cell>
          <cell r="M869">
            <v>1</v>
          </cell>
          <cell r="N869">
            <v>1</v>
          </cell>
          <cell r="O869">
            <v>1</v>
          </cell>
          <cell r="P869">
            <v>1</v>
          </cell>
          <cell r="Q869">
            <v>1</v>
          </cell>
          <cell r="R869">
            <v>3</v>
          </cell>
          <cell r="S869" t="str">
            <v>item</v>
          </cell>
          <cell r="T869">
            <v>705</v>
          </cell>
          <cell r="U869" t="str">
            <v>NULL</v>
          </cell>
          <cell r="V869" t="str">
            <v>NULL</v>
          </cell>
          <cell r="W869" t="str">
            <v/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 t="str">
            <v>anytime</v>
          </cell>
          <cell r="AC869">
            <v>1009</v>
          </cell>
          <cell r="AD869">
            <v>6</v>
          </cell>
          <cell r="AE869" t="str">
            <v>everyone</v>
          </cell>
        </row>
        <row r="870">
          <cell r="A870" t="str">
            <v>47012_2</v>
          </cell>
          <cell r="B870">
            <v>3</v>
          </cell>
          <cell r="C870">
            <v>47012</v>
          </cell>
          <cell r="D870" t="str">
            <v>春呼ぶキミの行方</v>
          </cell>
          <cell r="E870" t="str">
            <v>季節イベント</v>
          </cell>
          <cell r="F870">
            <v>2</v>
          </cell>
          <cell r="G870" t="str">
            <v>ja</v>
          </cell>
          <cell r="H870" t="str">
            <v>【ウィザード級】春呼ぶキミの行方</v>
          </cell>
          <cell r="I870" t="str">
            <v>地獄級</v>
          </cell>
          <cell r="J870">
            <v>1498</v>
          </cell>
          <cell r="K870">
            <v>40</v>
          </cell>
          <cell r="L870">
            <v>4500</v>
          </cell>
          <cell r="M870">
            <v>1</v>
          </cell>
          <cell r="N870">
            <v>1</v>
          </cell>
          <cell r="O870">
            <v>1</v>
          </cell>
          <cell r="P870">
            <v>1</v>
          </cell>
          <cell r="Q870">
            <v>1</v>
          </cell>
          <cell r="R870">
            <v>3</v>
          </cell>
          <cell r="S870" t="str">
            <v>polygon</v>
          </cell>
          <cell r="T870">
            <v>1</v>
          </cell>
          <cell r="U870" t="str">
            <v>NULL</v>
          </cell>
          <cell r="V870" t="str">
            <v>NULL</v>
          </cell>
          <cell r="W870" t="str">
            <v/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 t="str">
            <v>anytime</v>
          </cell>
          <cell r="AC870">
            <v>1009</v>
          </cell>
          <cell r="AD870">
            <v>6</v>
          </cell>
          <cell r="AE870" t="str">
            <v>everyone</v>
          </cell>
        </row>
        <row r="871">
          <cell r="A871" t="str">
            <v>47013_1</v>
          </cell>
          <cell r="B871">
            <v>3</v>
          </cell>
          <cell r="C871">
            <v>47013</v>
          </cell>
          <cell r="D871" t="str">
            <v>スカルズ襲来！</v>
          </cell>
          <cell r="E871" t="str">
            <v>1000億パネル破壊記念イベント</v>
          </cell>
          <cell r="F871">
            <v>1</v>
          </cell>
          <cell r="G871" t="str">
            <v>ja</v>
          </cell>
          <cell r="H871" t="str">
            <v>【超絶級】スカルズ襲来！</v>
          </cell>
          <cell r="I871" t="str">
            <v>超絶級</v>
          </cell>
          <cell r="J871">
            <v>1036</v>
          </cell>
          <cell r="K871">
            <v>35</v>
          </cell>
          <cell r="L871">
            <v>4200</v>
          </cell>
          <cell r="M871">
            <v>1</v>
          </cell>
          <cell r="N871">
            <v>1</v>
          </cell>
          <cell r="O871">
            <v>1</v>
          </cell>
          <cell r="P871">
            <v>1</v>
          </cell>
          <cell r="Q871">
            <v>1</v>
          </cell>
          <cell r="R871">
            <v>3</v>
          </cell>
          <cell r="S871" t="str">
            <v>polygon</v>
          </cell>
          <cell r="T871">
            <v>1</v>
          </cell>
          <cell r="U871" t="str">
            <v>NULL</v>
          </cell>
          <cell r="V871" t="str">
            <v>NULL</v>
          </cell>
          <cell r="W871" t="str">
            <v/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 t="str">
            <v>anytime</v>
          </cell>
          <cell r="AC871">
            <v>954</v>
          </cell>
          <cell r="AD871">
            <v>6</v>
          </cell>
          <cell r="AE871" t="str">
            <v>everyone</v>
          </cell>
        </row>
        <row r="872">
          <cell r="A872" t="str">
            <v>47013_2</v>
          </cell>
          <cell r="B872">
            <v>3</v>
          </cell>
          <cell r="C872">
            <v>47013</v>
          </cell>
          <cell r="D872" t="str">
            <v>スカルズ襲来！</v>
          </cell>
          <cell r="E872" t="str">
            <v>1000億パネル破壊記念イベント</v>
          </cell>
          <cell r="F872">
            <v>2</v>
          </cell>
          <cell r="G872" t="str">
            <v>ja</v>
          </cell>
          <cell r="H872" t="str">
            <v>【ウィザード級】スカルズ襲来！</v>
          </cell>
          <cell r="I872" t="str">
            <v>地獄級</v>
          </cell>
          <cell r="J872">
            <v>1036</v>
          </cell>
          <cell r="K872">
            <v>40</v>
          </cell>
          <cell r="L872">
            <v>4500</v>
          </cell>
          <cell r="M872">
            <v>1</v>
          </cell>
          <cell r="N872">
            <v>1</v>
          </cell>
          <cell r="O872">
            <v>1</v>
          </cell>
          <cell r="P872">
            <v>1</v>
          </cell>
          <cell r="Q872">
            <v>1</v>
          </cell>
          <cell r="R872">
            <v>3</v>
          </cell>
          <cell r="S872" t="str">
            <v>polygon</v>
          </cell>
          <cell r="T872">
            <v>1</v>
          </cell>
          <cell r="U872" t="str">
            <v>NULL</v>
          </cell>
          <cell r="V872" t="str">
            <v>NULL</v>
          </cell>
          <cell r="W872" t="str">
            <v/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 t="str">
            <v>anytime</v>
          </cell>
          <cell r="AC872">
            <v>954</v>
          </cell>
          <cell r="AD872">
            <v>6</v>
          </cell>
          <cell r="AE872" t="str">
            <v>everyone</v>
          </cell>
        </row>
        <row r="873">
          <cell r="A873" t="str">
            <v>47013_3</v>
          </cell>
          <cell r="B873">
            <v>0</v>
          </cell>
          <cell r="C873">
            <v>47013</v>
          </cell>
          <cell r="D873" t="str">
            <v>スカルズ襲来！</v>
          </cell>
          <cell r="E873" t="str">
            <v>1000億パネル破壊記念イベント</v>
          </cell>
          <cell r="F873">
            <v>3</v>
          </cell>
          <cell r="G873" t="str">
            <v>ja</v>
          </cell>
          <cell r="H873" t="str">
            <v>【スコア超絶】スカルズ襲来！</v>
          </cell>
          <cell r="I873" t="str">
            <v>超絶級</v>
          </cell>
          <cell r="J873">
            <v>1036</v>
          </cell>
          <cell r="K873">
            <v>35</v>
          </cell>
          <cell r="L873">
            <v>4200</v>
          </cell>
          <cell r="M873">
            <v>1</v>
          </cell>
          <cell r="N873">
            <v>1</v>
          </cell>
          <cell r="O873">
            <v>1</v>
          </cell>
          <cell r="P873">
            <v>1</v>
          </cell>
          <cell r="Q873">
            <v>1</v>
          </cell>
          <cell r="R873">
            <v>3</v>
          </cell>
          <cell r="S873" t="str">
            <v>polygon</v>
          </cell>
          <cell r="T873">
            <v>1</v>
          </cell>
          <cell r="U873" t="str">
            <v>NULL</v>
          </cell>
          <cell r="V873" t="str">
            <v>NULL</v>
          </cell>
          <cell r="W873" t="str">
            <v/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  <cell r="AB873" t="str">
            <v>anytime</v>
          </cell>
          <cell r="AC873">
            <v>954</v>
          </cell>
          <cell r="AD873">
            <v>6</v>
          </cell>
          <cell r="AE873" t="str">
            <v>everyone</v>
          </cell>
        </row>
        <row r="874">
          <cell r="A874" t="str">
            <v>47013_4</v>
          </cell>
          <cell r="B874">
            <v>3</v>
          </cell>
          <cell r="C874">
            <v>47013</v>
          </cell>
          <cell r="D874" t="str">
            <v>スカルズ襲来！</v>
          </cell>
          <cell r="E874" t="str">
            <v>1000億パネル破壊記念イベント</v>
          </cell>
          <cell r="F874">
            <v>4</v>
          </cell>
          <cell r="G874" t="str">
            <v>ja</v>
          </cell>
          <cell r="H874" t="str">
            <v>【スコアアタック】スカルズ襲来！</v>
          </cell>
          <cell r="I874" t="str">
            <v>地獄級</v>
          </cell>
          <cell r="J874">
            <v>1036</v>
          </cell>
          <cell r="K874">
            <v>40</v>
          </cell>
          <cell r="L874">
            <v>4500</v>
          </cell>
          <cell r="M874">
            <v>1</v>
          </cell>
          <cell r="N874">
            <v>1</v>
          </cell>
          <cell r="O874">
            <v>1</v>
          </cell>
          <cell r="P874">
            <v>1</v>
          </cell>
          <cell r="Q874">
            <v>1</v>
          </cell>
          <cell r="R874">
            <v>3</v>
          </cell>
          <cell r="S874" t="str">
            <v>polygon</v>
          </cell>
          <cell r="T874">
            <v>1</v>
          </cell>
          <cell r="U874" t="str">
            <v>NULL</v>
          </cell>
          <cell r="V874" t="str">
            <v>NULL</v>
          </cell>
          <cell r="W874" t="str">
            <v/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 t="str">
            <v>anytime</v>
          </cell>
          <cell r="AC874">
            <v>954</v>
          </cell>
          <cell r="AD874">
            <v>6</v>
          </cell>
          <cell r="AE874" t="str">
            <v>singleonly</v>
          </cell>
        </row>
        <row r="875">
          <cell r="A875" t="str">
            <v>48001_1</v>
          </cell>
          <cell r="B875">
            <v>1</v>
          </cell>
          <cell r="C875">
            <v>48001</v>
          </cell>
          <cell r="D875" t="str">
            <v>蛟龍襲来！</v>
          </cell>
          <cell r="E875" t="str">
            <v>台湾版降臨1</v>
          </cell>
          <cell r="F875">
            <v>1</v>
          </cell>
          <cell r="G875" t="str">
            <v>ja</v>
          </cell>
          <cell r="H875" t="str">
            <v>【ウィザード級】蛟龍襲来</v>
          </cell>
          <cell r="I875" t="str">
            <v>地獄級</v>
          </cell>
          <cell r="J875">
            <v>8003</v>
          </cell>
          <cell r="K875">
            <v>35</v>
          </cell>
          <cell r="L875">
            <v>4200</v>
          </cell>
          <cell r="M875">
            <v>1</v>
          </cell>
          <cell r="N875">
            <v>1</v>
          </cell>
          <cell r="O875">
            <v>1</v>
          </cell>
          <cell r="P875">
            <v>1</v>
          </cell>
          <cell r="Q875">
            <v>1</v>
          </cell>
          <cell r="R875">
            <v>3</v>
          </cell>
          <cell r="S875" t="str">
            <v>character</v>
          </cell>
          <cell r="T875">
            <v>8003</v>
          </cell>
          <cell r="U875" t="str">
            <v>NULL</v>
          </cell>
          <cell r="V875" t="str">
            <v>NULL</v>
          </cell>
          <cell r="W875" t="str">
            <v/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 t="str">
            <v>anytime</v>
          </cell>
          <cell r="AC875">
            <v>930</v>
          </cell>
          <cell r="AD875">
            <v>6</v>
          </cell>
          <cell r="AE875" t="str">
            <v>everyone</v>
          </cell>
        </row>
        <row r="876">
          <cell r="A876" t="str">
            <v>48002_1</v>
          </cell>
          <cell r="B876">
            <v>1</v>
          </cell>
          <cell r="C876">
            <v>48002</v>
          </cell>
          <cell r="D876" t="str">
            <v>孫悟空襲来！</v>
          </cell>
          <cell r="E876" t="str">
            <v>台湾版降臨2</v>
          </cell>
          <cell r="F876">
            <v>1</v>
          </cell>
          <cell r="G876" t="str">
            <v>ja</v>
          </cell>
          <cell r="H876" t="str">
            <v>【超絶級】孫悟空襲来</v>
          </cell>
          <cell r="I876" t="str">
            <v>地獄級</v>
          </cell>
          <cell r="J876">
            <v>8007</v>
          </cell>
          <cell r="K876">
            <v>35</v>
          </cell>
          <cell r="L876">
            <v>4200</v>
          </cell>
          <cell r="M876">
            <v>1</v>
          </cell>
          <cell r="N876">
            <v>1</v>
          </cell>
          <cell r="O876">
            <v>1</v>
          </cell>
          <cell r="P876">
            <v>1</v>
          </cell>
          <cell r="Q876">
            <v>1</v>
          </cell>
          <cell r="R876">
            <v>3</v>
          </cell>
          <cell r="S876" t="str">
            <v>polygon</v>
          </cell>
          <cell r="T876">
            <v>1</v>
          </cell>
          <cell r="U876" t="str">
            <v>NULL</v>
          </cell>
          <cell r="V876" t="str">
            <v>NULL</v>
          </cell>
          <cell r="W876" t="str">
            <v/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 t="str">
            <v>anytime</v>
          </cell>
          <cell r="AC876">
            <v>927</v>
          </cell>
          <cell r="AD876">
            <v>6</v>
          </cell>
          <cell r="AE876" t="str">
            <v>everyone</v>
          </cell>
        </row>
        <row r="877">
          <cell r="A877" t="str">
            <v>48002_2</v>
          </cell>
          <cell r="B877">
            <v>1</v>
          </cell>
          <cell r="C877">
            <v>48002</v>
          </cell>
          <cell r="D877" t="str">
            <v>孫悟空襲来！</v>
          </cell>
          <cell r="E877" t="str">
            <v>台湾版降臨2</v>
          </cell>
          <cell r="F877">
            <v>2</v>
          </cell>
          <cell r="G877" t="str">
            <v>ja</v>
          </cell>
          <cell r="H877" t="str">
            <v>【ウィザード級】孫悟空襲来</v>
          </cell>
          <cell r="I877" t="str">
            <v>地獄級</v>
          </cell>
          <cell r="J877">
            <v>8007</v>
          </cell>
          <cell r="K877">
            <v>40</v>
          </cell>
          <cell r="L877">
            <v>4500</v>
          </cell>
          <cell r="M877">
            <v>1</v>
          </cell>
          <cell r="N877">
            <v>1</v>
          </cell>
          <cell r="O877">
            <v>1</v>
          </cell>
          <cell r="P877">
            <v>1</v>
          </cell>
          <cell r="Q877">
            <v>1</v>
          </cell>
          <cell r="R877">
            <v>3</v>
          </cell>
          <cell r="S877" t="str">
            <v>polygon</v>
          </cell>
          <cell r="T877">
            <v>1</v>
          </cell>
          <cell r="U877" t="str">
            <v>NULL</v>
          </cell>
          <cell r="V877" t="str">
            <v>NULL</v>
          </cell>
          <cell r="W877" t="str">
            <v/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  <cell r="AB877" t="str">
            <v>anytime</v>
          </cell>
          <cell r="AC877">
            <v>927</v>
          </cell>
          <cell r="AD877">
            <v>6</v>
          </cell>
          <cell r="AE877" t="str">
            <v>everyone</v>
          </cell>
        </row>
        <row r="878">
          <cell r="A878" t="str">
            <v>48002_3</v>
          </cell>
          <cell r="B878">
            <v>1</v>
          </cell>
          <cell r="C878">
            <v>48002</v>
          </cell>
          <cell r="D878" t="str">
            <v>孫悟空襲来！</v>
          </cell>
          <cell r="E878" t="str">
            <v>台湾版降臨2</v>
          </cell>
          <cell r="F878">
            <v>3</v>
          </cell>
          <cell r="G878" t="str">
            <v>ja</v>
          </cell>
          <cell r="H878" t="str">
            <v>【ノーコンテニュー】孫悟空襲来</v>
          </cell>
          <cell r="I878" t="str">
            <v>地獄級</v>
          </cell>
          <cell r="J878">
            <v>8007</v>
          </cell>
          <cell r="K878">
            <v>40</v>
          </cell>
          <cell r="L878">
            <v>4500</v>
          </cell>
          <cell r="M878">
            <v>1</v>
          </cell>
          <cell r="N878">
            <v>1</v>
          </cell>
          <cell r="O878">
            <v>1</v>
          </cell>
          <cell r="P878">
            <v>1</v>
          </cell>
          <cell r="Q878">
            <v>1</v>
          </cell>
          <cell r="R878">
            <v>3</v>
          </cell>
          <cell r="S878" t="str">
            <v>character</v>
          </cell>
          <cell r="T878">
            <v>8007</v>
          </cell>
          <cell r="U878" t="str">
            <v>NULL</v>
          </cell>
          <cell r="V878" t="str">
            <v>NULL</v>
          </cell>
          <cell r="W878" t="str">
            <v/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 t="str">
            <v>anytime</v>
          </cell>
          <cell r="AC878">
            <v>927</v>
          </cell>
          <cell r="AD878">
            <v>6</v>
          </cell>
          <cell r="AE878" t="str">
            <v>everyone</v>
          </cell>
        </row>
        <row r="879">
          <cell r="A879" t="str">
            <v>48003_1</v>
          </cell>
          <cell r="B879">
            <v>3</v>
          </cell>
          <cell r="C879">
            <v>48003</v>
          </cell>
          <cell r="D879" t="str">
            <v>月下老人襲来！</v>
          </cell>
          <cell r="E879" t="str">
            <v>台湾版降臨4</v>
          </cell>
          <cell r="F879">
            <v>1</v>
          </cell>
          <cell r="G879" t="str">
            <v>ja</v>
          </cell>
          <cell r="H879" t="str">
            <v>【超絶級】月下老人襲来</v>
          </cell>
          <cell r="I879" t="str">
            <v>超絶級</v>
          </cell>
          <cell r="J879">
            <v>8012</v>
          </cell>
          <cell r="K879">
            <v>35</v>
          </cell>
          <cell r="L879">
            <v>4200</v>
          </cell>
          <cell r="M879">
            <v>1</v>
          </cell>
          <cell r="N879">
            <v>1</v>
          </cell>
          <cell r="O879">
            <v>1</v>
          </cell>
          <cell r="P879">
            <v>1</v>
          </cell>
          <cell r="Q879">
            <v>1</v>
          </cell>
          <cell r="R879">
            <v>3</v>
          </cell>
          <cell r="S879" t="str">
            <v>polygon</v>
          </cell>
          <cell r="T879">
            <v>1</v>
          </cell>
          <cell r="U879" t="str">
            <v>NULL</v>
          </cell>
          <cell r="V879" t="str">
            <v>NULL</v>
          </cell>
          <cell r="W879" t="str">
            <v/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 t="str">
            <v>anytime</v>
          </cell>
          <cell r="AC879">
            <v>942</v>
          </cell>
          <cell r="AD879">
            <v>6</v>
          </cell>
          <cell r="AE879" t="str">
            <v>everyone</v>
          </cell>
        </row>
        <row r="880">
          <cell r="A880" t="str">
            <v>48003_2</v>
          </cell>
          <cell r="B880">
            <v>3</v>
          </cell>
          <cell r="C880">
            <v>48003</v>
          </cell>
          <cell r="D880" t="str">
            <v>月下老人襲来！</v>
          </cell>
          <cell r="E880" t="str">
            <v>台湾版降臨4</v>
          </cell>
          <cell r="F880">
            <v>2</v>
          </cell>
          <cell r="G880" t="str">
            <v>ja</v>
          </cell>
          <cell r="H880" t="str">
            <v>【ウィザード級】月下老人襲来</v>
          </cell>
          <cell r="I880" t="str">
            <v>地獄級</v>
          </cell>
          <cell r="J880">
            <v>8012</v>
          </cell>
          <cell r="K880">
            <v>40</v>
          </cell>
          <cell r="L880">
            <v>4500</v>
          </cell>
          <cell r="M880">
            <v>1</v>
          </cell>
          <cell r="N880">
            <v>1</v>
          </cell>
          <cell r="O880">
            <v>1</v>
          </cell>
          <cell r="P880">
            <v>1</v>
          </cell>
          <cell r="Q880">
            <v>1</v>
          </cell>
          <cell r="R880">
            <v>3</v>
          </cell>
          <cell r="S880" t="str">
            <v>polygon</v>
          </cell>
          <cell r="T880">
            <v>1</v>
          </cell>
          <cell r="U880" t="str">
            <v>NULL</v>
          </cell>
          <cell r="V880" t="str">
            <v>NULL</v>
          </cell>
          <cell r="W880" t="str">
            <v/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 t="str">
            <v>anytime</v>
          </cell>
          <cell r="AC880">
            <v>942</v>
          </cell>
          <cell r="AD880">
            <v>6</v>
          </cell>
          <cell r="AE880" t="str">
            <v>everyone</v>
          </cell>
        </row>
        <row r="881">
          <cell r="A881" t="str">
            <v>48004_1</v>
          </cell>
          <cell r="B881">
            <v>3</v>
          </cell>
          <cell r="C881">
            <v>48004</v>
          </cell>
          <cell r="D881" t="str">
            <v>蛟龍襲来！</v>
          </cell>
          <cell r="E881" t="str">
            <v>台湾版降臨5</v>
          </cell>
          <cell r="F881">
            <v>1</v>
          </cell>
          <cell r="G881" t="str">
            <v>ja</v>
          </cell>
          <cell r="H881" t="str">
            <v>【超絶級】蛟龍襲来</v>
          </cell>
          <cell r="I881" t="str">
            <v>地獄級</v>
          </cell>
          <cell r="J881">
            <v>8003</v>
          </cell>
          <cell r="K881">
            <v>35</v>
          </cell>
          <cell r="L881">
            <v>4200</v>
          </cell>
          <cell r="M881">
            <v>1</v>
          </cell>
          <cell r="N881">
            <v>1</v>
          </cell>
          <cell r="O881">
            <v>1</v>
          </cell>
          <cell r="P881">
            <v>1</v>
          </cell>
          <cell r="Q881">
            <v>1</v>
          </cell>
          <cell r="R881">
            <v>3</v>
          </cell>
          <cell r="S881" t="str">
            <v>polygon</v>
          </cell>
          <cell r="T881">
            <v>1</v>
          </cell>
          <cell r="U881" t="str">
            <v>NULL</v>
          </cell>
          <cell r="V881" t="str">
            <v>NULL</v>
          </cell>
          <cell r="W881" t="str">
            <v/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 t="str">
            <v>anytime</v>
          </cell>
          <cell r="AC881">
            <v>930</v>
          </cell>
          <cell r="AD881">
            <v>6</v>
          </cell>
          <cell r="AE881" t="str">
            <v>everyone</v>
          </cell>
        </row>
        <row r="882">
          <cell r="A882" t="str">
            <v>48004_2</v>
          </cell>
          <cell r="B882">
            <v>3</v>
          </cell>
          <cell r="C882">
            <v>48004</v>
          </cell>
          <cell r="D882" t="str">
            <v>蛟龍襲来！</v>
          </cell>
          <cell r="E882" t="str">
            <v>台湾版降臨5</v>
          </cell>
          <cell r="F882">
            <v>2</v>
          </cell>
          <cell r="G882" t="str">
            <v>ja</v>
          </cell>
          <cell r="H882" t="str">
            <v>【ウィザード級】蛟龍襲来</v>
          </cell>
          <cell r="I882" t="str">
            <v>地獄級</v>
          </cell>
          <cell r="J882">
            <v>8004</v>
          </cell>
          <cell r="K882">
            <v>40</v>
          </cell>
          <cell r="L882">
            <v>4500</v>
          </cell>
          <cell r="M882">
            <v>1</v>
          </cell>
          <cell r="N882">
            <v>1</v>
          </cell>
          <cell r="O882">
            <v>1</v>
          </cell>
          <cell r="P882">
            <v>1</v>
          </cell>
          <cell r="Q882">
            <v>1</v>
          </cell>
          <cell r="R882">
            <v>3</v>
          </cell>
          <cell r="S882" t="str">
            <v>polygon</v>
          </cell>
          <cell r="T882">
            <v>1</v>
          </cell>
          <cell r="U882" t="str">
            <v>NULL</v>
          </cell>
          <cell r="V882" t="str">
            <v>NULL</v>
          </cell>
          <cell r="W882" t="str">
            <v/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 t="str">
            <v>anytime</v>
          </cell>
          <cell r="AC882">
            <v>930</v>
          </cell>
          <cell r="AD882">
            <v>6</v>
          </cell>
          <cell r="AE882" t="str">
            <v>everyone</v>
          </cell>
        </row>
        <row r="883">
          <cell r="A883" t="str">
            <v>48005_1</v>
          </cell>
          <cell r="B883">
            <v>3</v>
          </cell>
          <cell r="C883">
            <v>48005</v>
          </cell>
          <cell r="D883" t="str">
            <v>孫悟空襲来！</v>
          </cell>
          <cell r="E883" t="str">
            <v>台湾版降臨6</v>
          </cell>
          <cell r="F883">
            <v>1</v>
          </cell>
          <cell r="G883" t="str">
            <v>ja</v>
          </cell>
          <cell r="H883" t="str">
            <v>【超絶級】孫悟空襲来</v>
          </cell>
          <cell r="I883" t="str">
            <v>地獄級</v>
          </cell>
          <cell r="J883">
            <v>8007</v>
          </cell>
          <cell r="K883">
            <v>35</v>
          </cell>
          <cell r="L883">
            <v>4200</v>
          </cell>
          <cell r="M883">
            <v>1</v>
          </cell>
          <cell r="N883">
            <v>1</v>
          </cell>
          <cell r="O883">
            <v>1</v>
          </cell>
          <cell r="P883">
            <v>1</v>
          </cell>
          <cell r="Q883">
            <v>1</v>
          </cell>
          <cell r="R883">
            <v>3</v>
          </cell>
          <cell r="S883" t="str">
            <v>polygon</v>
          </cell>
          <cell r="T883">
            <v>1</v>
          </cell>
          <cell r="U883" t="str">
            <v>NULL</v>
          </cell>
          <cell r="V883" t="str">
            <v>NULL</v>
          </cell>
          <cell r="W883" t="str">
            <v/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 t="str">
            <v>anytime</v>
          </cell>
          <cell r="AC883">
            <v>932</v>
          </cell>
          <cell r="AD883">
            <v>6</v>
          </cell>
          <cell r="AE883" t="str">
            <v>everyone</v>
          </cell>
        </row>
        <row r="884">
          <cell r="A884" t="str">
            <v>48005_2</v>
          </cell>
          <cell r="B884">
            <v>3</v>
          </cell>
          <cell r="C884">
            <v>48005</v>
          </cell>
          <cell r="D884" t="str">
            <v>孫悟空襲来！</v>
          </cell>
          <cell r="E884" t="str">
            <v>台湾版降臨6</v>
          </cell>
          <cell r="F884">
            <v>2</v>
          </cell>
          <cell r="G884" t="str">
            <v>ja</v>
          </cell>
          <cell r="H884" t="str">
            <v>【ウィザード級】孫悟空襲来</v>
          </cell>
          <cell r="I884" t="str">
            <v>地獄級</v>
          </cell>
          <cell r="J884">
            <v>8008</v>
          </cell>
          <cell r="K884">
            <v>40</v>
          </cell>
          <cell r="L884">
            <v>4500</v>
          </cell>
          <cell r="M884">
            <v>1</v>
          </cell>
          <cell r="N884">
            <v>1</v>
          </cell>
          <cell r="O884">
            <v>1</v>
          </cell>
          <cell r="P884">
            <v>1</v>
          </cell>
          <cell r="Q884">
            <v>1</v>
          </cell>
          <cell r="R884">
            <v>3</v>
          </cell>
          <cell r="S884" t="str">
            <v>polygon</v>
          </cell>
          <cell r="T884">
            <v>1</v>
          </cell>
          <cell r="U884" t="str">
            <v>NULL</v>
          </cell>
          <cell r="V884" t="str">
            <v>NULL</v>
          </cell>
          <cell r="W884" t="str">
            <v/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 t="str">
            <v>anytime</v>
          </cell>
          <cell r="AC884">
            <v>932</v>
          </cell>
          <cell r="AD884">
            <v>6</v>
          </cell>
          <cell r="AE884" t="str">
            <v>everyone</v>
          </cell>
        </row>
        <row r="885">
          <cell r="A885" t="str">
            <v>48006_1</v>
          </cell>
          <cell r="B885">
            <v>3</v>
          </cell>
          <cell r="C885">
            <v>48006</v>
          </cell>
          <cell r="D885" t="str">
            <v>牛頭馬面襲来！</v>
          </cell>
          <cell r="E885" t="str">
            <v>台湾版降臨7</v>
          </cell>
          <cell r="F885">
            <v>1</v>
          </cell>
          <cell r="G885" t="str">
            <v>ja</v>
          </cell>
          <cell r="H885" t="str">
            <v>【超絶級】牛頭馬面襲来</v>
          </cell>
          <cell r="I885" t="str">
            <v>地獄級</v>
          </cell>
          <cell r="J885">
            <v>8033</v>
          </cell>
          <cell r="K885">
            <v>35</v>
          </cell>
          <cell r="L885">
            <v>4200</v>
          </cell>
          <cell r="M885">
            <v>1</v>
          </cell>
          <cell r="N885">
            <v>1</v>
          </cell>
          <cell r="O885">
            <v>1</v>
          </cell>
          <cell r="P885">
            <v>1</v>
          </cell>
          <cell r="Q885">
            <v>0</v>
          </cell>
          <cell r="R885">
            <v>3</v>
          </cell>
          <cell r="S885" t="str">
            <v>polygon</v>
          </cell>
          <cell r="T885">
            <v>1</v>
          </cell>
          <cell r="U885" t="str">
            <v>NULL</v>
          </cell>
          <cell r="V885" t="str">
            <v>NULL</v>
          </cell>
          <cell r="W885" t="str">
            <v/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 t="str">
            <v>anytime</v>
          </cell>
          <cell r="AC885">
            <v>946</v>
          </cell>
          <cell r="AD885">
            <v>6</v>
          </cell>
          <cell r="AE885" t="str">
            <v>everyone</v>
          </cell>
        </row>
        <row r="886">
          <cell r="A886" t="str">
            <v>48006_2</v>
          </cell>
          <cell r="B886">
            <v>3</v>
          </cell>
          <cell r="C886">
            <v>48006</v>
          </cell>
          <cell r="D886" t="str">
            <v>牛頭馬面襲来！</v>
          </cell>
          <cell r="E886" t="str">
            <v>台湾版降臨7</v>
          </cell>
          <cell r="F886">
            <v>2</v>
          </cell>
          <cell r="G886" t="str">
            <v>ja</v>
          </cell>
          <cell r="H886" t="str">
            <v>【ウィザード級】牛頭馬面襲来</v>
          </cell>
          <cell r="I886" t="str">
            <v>地獄級</v>
          </cell>
          <cell r="J886">
            <v>8034</v>
          </cell>
          <cell r="K886">
            <v>40</v>
          </cell>
          <cell r="L886">
            <v>4500</v>
          </cell>
          <cell r="M886">
            <v>1</v>
          </cell>
          <cell r="N886">
            <v>1</v>
          </cell>
          <cell r="O886">
            <v>1</v>
          </cell>
          <cell r="P886">
            <v>1</v>
          </cell>
          <cell r="Q886">
            <v>0</v>
          </cell>
          <cell r="R886">
            <v>3</v>
          </cell>
          <cell r="S886" t="str">
            <v>polygon</v>
          </cell>
          <cell r="T886">
            <v>1</v>
          </cell>
          <cell r="U886" t="str">
            <v>NULL</v>
          </cell>
          <cell r="V886" t="str">
            <v>NULL</v>
          </cell>
          <cell r="W886" t="str">
            <v/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 t="str">
            <v>anytime</v>
          </cell>
          <cell r="AC886">
            <v>946</v>
          </cell>
          <cell r="AD886">
            <v>6</v>
          </cell>
          <cell r="AE886" t="str">
            <v>everyone</v>
          </cell>
        </row>
        <row r="887">
          <cell r="A887" t="str">
            <v>48007_1</v>
          </cell>
          <cell r="B887">
            <v>1</v>
          </cell>
          <cell r="C887">
            <v>48007</v>
          </cell>
          <cell r="D887" t="str">
            <v>紅鬼襲来！</v>
          </cell>
          <cell r="E887" t="str">
            <v>台湾版降臨8</v>
          </cell>
          <cell r="F887">
            <v>1</v>
          </cell>
          <cell r="G887" t="str">
            <v>ja</v>
          </cell>
          <cell r="H887" t="str">
            <v>【超絶級】紅鬼襲来</v>
          </cell>
          <cell r="I887" t="str">
            <v>地獄級</v>
          </cell>
          <cell r="J887">
            <v>8079</v>
          </cell>
          <cell r="K887">
            <v>35</v>
          </cell>
          <cell r="L887">
            <v>4200</v>
          </cell>
          <cell r="M887">
            <v>1</v>
          </cell>
          <cell r="N887">
            <v>1</v>
          </cell>
          <cell r="O887">
            <v>1</v>
          </cell>
          <cell r="P887">
            <v>1</v>
          </cell>
          <cell r="Q887">
            <v>1</v>
          </cell>
          <cell r="R887">
            <v>3</v>
          </cell>
          <cell r="S887" t="str">
            <v>polygon</v>
          </cell>
          <cell r="T887">
            <v>1</v>
          </cell>
          <cell r="U887" t="str">
            <v>NULL</v>
          </cell>
          <cell r="V887" t="str">
            <v>NULL</v>
          </cell>
          <cell r="W887" t="str">
            <v/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 t="str">
            <v>anytime</v>
          </cell>
          <cell r="AC887">
            <v>931</v>
          </cell>
          <cell r="AD887">
            <v>6</v>
          </cell>
          <cell r="AE887" t="str">
            <v>everyone</v>
          </cell>
        </row>
        <row r="888">
          <cell r="A888" t="str">
            <v>48007_2</v>
          </cell>
          <cell r="B888">
            <v>1</v>
          </cell>
          <cell r="C888">
            <v>48007</v>
          </cell>
          <cell r="D888" t="str">
            <v>紅鬼襲来！</v>
          </cell>
          <cell r="E888" t="str">
            <v>台湾版降臨8</v>
          </cell>
          <cell r="F888">
            <v>2</v>
          </cell>
          <cell r="G888" t="str">
            <v>ja</v>
          </cell>
          <cell r="H888" t="str">
            <v>【ウィザード級】紅鬼襲来</v>
          </cell>
          <cell r="I888" t="str">
            <v>地獄級</v>
          </cell>
          <cell r="J888">
            <v>8080</v>
          </cell>
          <cell r="K888">
            <v>40</v>
          </cell>
          <cell r="L888">
            <v>4500</v>
          </cell>
          <cell r="M888">
            <v>1</v>
          </cell>
          <cell r="N888">
            <v>1</v>
          </cell>
          <cell r="O888">
            <v>1</v>
          </cell>
          <cell r="P888">
            <v>1</v>
          </cell>
          <cell r="Q888">
            <v>1</v>
          </cell>
          <cell r="R888">
            <v>3</v>
          </cell>
          <cell r="S888" t="str">
            <v>polygon</v>
          </cell>
          <cell r="T888">
            <v>1</v>
          </cell>
          <cell r="U888" t="str">
            <v>NULL</v>
          </cell>
          <cell r="V888" t="str">
            <v>NULL</v>
          </cell>
          <cell r="W888" t="str">
            <v/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 t="str">
            <v>anytime</v>
          </cell>
          <cell r="AC888">
            <v>931</v>
          </cell>
          <cell r="AD888">
            <v>6</v>
          </cell>
          <cell r="AE888" t="str">
            <v>everyone</v>
          </cell>
        </row>
        <row r="889">
          <cell r="A889" t="str">
            <v>48008_1</v>
          </cell>
          <cell r="B889">
            <v>1</v>
          </cell>
          <cell r="C889">
            <v>48008</v>
          </cell>
          <cell r="D889" t="str">
            <v>紀昌襲来！</v>
          </cell>
          <cell r="E889" t="str">
            <v>台湾版降臨9</v>
          </cell>
          <cell r="F889">
            <v>1</v>
          </cell>
          <cell r="G889" t="str">
            <v>ja</v>
          </cell>
          <cell r="H889" t="str">
            <v>【超絶級】紀昌襲来</v>
          </cell>
          <cell r="I889" t="str">
            <v>地獄級</v>
          </cell>
          <cell r="J889">
            <v>8037</v>
          </cell>
          <cell r="K889">
            <v>35</v>
          </cell>
          <cell r="L889">
            <v>4200</v>
          </cell>
          <cell r="M889">
            <v>1</v>
          </cell>
          <cell r="N889">
            <v>1</v>
          </cell>
          <cell r="O889">
            <v>1</v>
          </cell>
          <cell r="P889">
            <v>1</v>
          </cell>
          <cell r="Q889">
            <v>1</v>
          </cell>
          <cell r="R889">
            <v>3</v>
          </cell>
          <cell r="S889" t="str">
            <v>polygon</v>
          </cell>
          <cell r="T889">
            <v>1</v>
          </cell>
          <cell r="U889" t="str">
            <v>NULL</v>
          </cell>
          <cell r="V889" t="str">
            <v>NULL</v>
          </cell>
          <cell r="W889" t="str">
            <v/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  <cell r="AB889" t="str">
            <v>anytime</v>
          </cell>
          <cell r="AC889">
            <v>948</v>
          </cell>
          <cell r="AD889">
            <v>6</v>
          </cell>
          <cell r="AE889" t="str">
            <v>everyone</v>
          </cell>
        </row>
        <row r="890">
          <cell r="A890" t="str">
            <v>48008_2</v>
          </cell>
          <cell r="B890">
            <v>1</v>
          </cell>
          <cell r="C890">
            <v>48008</v>
          </cell>
          <cell r="D890" t="str">
            <v>紀昌襲来！</v>
          </cell>
          <cell r="E890" t="str">
            <v>台湾版降臨9</v>
          </cell>
          <cell r="F890">
            <v>2</v>
          </cell>
          <cell r="G890" t="str">
            <v>ja</v>
          </cell>
          <cell r="H890" t="str">
            <v>【ウィザード級】紀昌襲来</v>
          </cell>
          <cell r="I890" t="str">
            <v>地獄級</v>
          </cell>
          <cell r="J890">
            <v>8038</v>
          </cell>
          <cell r="K890">
            <v>40</v>
          </cell>
          <cell r="L890">
            <v>4500</v>
          </cell>
          <cell r="M890">
            <v>1</v>
          </cell>
          <cell r="N890">
            <v>1</v>
          </cell>
          <cell r="O890">
            <v>1</v>
          </cell>
          <cell r="P890">
            <v>1</v>
          </cell>
          <cell r="Q890">
            <v>1</v>
          </cell>
          <cell r="R890">
            <v>3</v>
          </cell>
          <cell r="S890" t="str">
            <v>polygon</v>
          </cell>
          <cell r="T890">
            <v>1</v>
          </cell>
          <cell r="U890" t="str">
            <v>NULL</v>
          </cell>
          <cell r="V890" t="str">
            <v>NULL</v>
          </cell>
          <cell r="W890" t="str">
            <v/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 t="str">
            <v>anytime</v>
          </cell>
          <cell r="AC890">
            <v>948</v>
          </cell>
          <cell r="AD890">
            <v>6</v>
          </cell>
          <cell r="AE890" t="str">
            <v>everyone</v>
          </cell>
        </row>
        <row r="891">
          <cell r="A891" t="str">
            <v>48009_1</v>
          </cell>
          <cell r="B891">
            <v>1</v>
          </cell>
          <cell r="C891">
            <v>48009</v>
          </cell>
          <cell r="D891" t="str">
            <v>藍采和襲来！</v>
          </cell>
          <cell r="E891" t="str">
            <v>台湾版降臨10</v>
          </cell>
          <cell r="F891">
            <v>1</v>
          </cell>
          <cell r="G891" t="str">
            <v>ja</v>
          </cell>
          <cell r="H891" t="str">
            <v>【超絶級】藍采和襲来</v>
          </cell>
          <cell r="I891" t="str">
            <v>地獄級</v>
          </cell>
          <cell r="J891">
            <v>8042</v>
          </cell>
          <cell r="K891">
            <v>35</v>
          </cell>
          <cell r="L891">
            <v>4200</v>
          </cell>
          <cell r="M891">
            <v>1</v>
          </cell>
          <cell r="N891">
            <v>1</v>
          </cell>
          <cell r="O891">
            <v>1</v>
          </cell>
          <cell r="P891">
            <v>1</v>
          </cell>
          <cell r="Q891">
            <v>1</v>
          </cell>
          <cell r="R891">
            <v>3</v>
          </cell>
          <cell r="S891" t="str">
            <v>polygon</v>
          </cell>
          <cell r="T891">
            <v>1</v>
          </cell>
          <cell r="U891" t="str">
            <v>NULL</v>
          </cell>
          <cell r="V891" t="str">
            <v>NULL</v>
          </cell>
          <cell r="W891" t="str">
            <v/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 t="str">
            <v>anytime</v>
          </cell>
          <cell r="AC891">
            <v>953</v>
          </cell>
          <cell r="AD891">
            <v>6</v>
          </cell>
          <cell r="AE891" t="str">
            <v>everyone</v>
          </cell>
        </row>
        <row r="892">
          <cell r="A892" t="str">
            <v>48009_2</v>
          </cell>
          <cell r="B892">
            <v>1</v>
          </cell>
          <cell r="C892">
            <v>48009</v>
          </cell>
          <cell r="D892" t="str">
            <v>藍采和襲来！</v>
          </cell>
          <cell r="E892" t="str">
            <v>台湾版降臨10</v>
          </cell>
          <cell r="F892">
            <v>2</v>
          </cell>
          <cell r="G892" t="str">
            <v>ja</v>
          </cell>
          <cell r="H892" t="str">
            <v>【ウィザード級】藍采和襲来</v>
          </cell>
          <cell r="I892" t="str">
            <v>地獄級</v>
          </cell>
          <cell r="J892">
            <v>8042</v>
          </cell>
          <cell r="K892">
            <v>40</v>
          </cell>
          <cell r="L892">
            <v>4500</v>
          </cell>
          <cell r="M892">
            <v>1</v>
          </cell>
          <cell r="N892">
            <v>1</v>
          </cell>
          <cell r="O892">
            <v>1</v>
          </cell>
          <cell r="P892">
            <v>1</v>
          </cell>
          <cell r="Q892">
            <v>1</v>
          </cell>
          <cell r="R892">
            <v>3</v>
          </cell>
          <cell r="S892" t="str">
            <v>polygon</v>
          </cell>
          <cell r="T892">
            <v>1</v>
          </cell>
          <cell r="U892" t="str">
            <v>NULL</v>
          </cell>
          <cell r="V892" t="str">
            <v>NULL</v>
          </cell>
          <cell r="W892" t="str">
            <v/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 t="str">
            <v>anytime</v>
          </cell>
          <cell r="AC892">
            <v>953</v>
          </cell>
          <cell r="AD892">
            <v>6</v>
          </cell>
          <cell r="AE892" t="str">
            <v>everyone</v>
          </cell>
        </row>
        <row r="893">
          <cell r="A893" t="str">
            <v>48010_1</v>
          </cell>
          <cell r="B893">
            <v>1</v>
          </cell>
          <cell r="C893">
            <v>48010</v>
          </cell>
          <cell r="D893" t="str">
            <v>バハムートダックより祝福を</v>
          </cell>
          <cell r="E893" t="str">
            <v>台湾バハムート記念限定クエスト</v>
          </cell>
          <cell r="F893">
            <v>1</v>
          </cell>
          <cell r="G893" t="str">
            <v>ja</v>
          </cell>
          <cell r="H893" t="str">
            <v>バハムートダックより祝福を</v>
          </cell>
          <cell r="I893" t="str">
            <v>台湾バハムート記念限定クエスト</v>
          </cell>
          <cell r="J893">
            <v>8095</v>
          </cell>
          <cell r="K893">
            <v>1</v>
          </cell>
          <cell r="L893">
            <v>200</v>
          </cell>
          <cell r="M893">
            <v>1</v>
          </cell>
          <cell r="N893">
            <v>1</v>
          </cell>
          <cell r="O893">
            <v>1</v>
          </cell>
          <cell r="P893">
            <v>1</v>
          </cell>
          <cell r="Q893">
            <v>1</v>
          </cell>
          <cell r="R893">
            <v>3</v>
          </cell>
          <cell r="S893" t="str">
            <v>polygon</v>
          </cell>
          <cell r="T893">
            <v>1</v>
          </cell>
          <cell r="U893" t="str">
            <v>NULL</v>
          </cell>
          <cell r="V893" t="str">
            <v>NULL</v>
          </cell>
          <cell r="W893" t="str">
            <v/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 t="str">
            <v>once</v>
          </cell>
          <cell r="AC893">
            <v>1</v>
          </cell>
          <cell r="AD893">
            <v>6</v>
          </cell>
          <cell r="AE893" t="str">
            <v>singleonly</v>
          </cell>
        </row>
        <row r="894">
          <cell r="A894" t="str">
            <v>48011_1</v>
          </cell>
          <cell r="B894">
            <v>1</v>
          </cell>
          <cell r="C894">
            <v>48011</v>
          </cell>
          <cell r="D894" t="str">
            <v>年獣襲来！</v>
          </cell>
          <cell r="E894" t="str">
            <v>台湾版降臨11</v>
          </cell>
          <cell r="F894">
            <v>1</v>
          </cell>
          <cell r="G894" t="str">
            <v>ja</v>
          </cell>
          <cell r="H894" t="str">
            <v>【超絶級】年獣襲来</v>
          </cell>
          <cell r="I894" t="str">
            <v>地獄級</v>
          </cell>
          <cell r="J894">
            <v>8090</v>
          </cell>
          <cell r="K894">
            <v>35</v>
          </cell>
          <cell r="L894">
            <v>4200</v>
          </cell>
          <cell r="M894">
            <v>1</v>
          </cell>
          <cell r="N894">
            <v>1</v>
          </cell>
          <cell r="O894">
            <v>1</v>
          </cell>
          <cell r="P894">
            <v>1</v>
          </cell>
          <cell r="Q894">
            <v>1</v>
          </cell>
          <cell r="R894">
            <v>3</v>
          </cell>
          <cell r="S894" t="str">
            <v>polygon</v>
          </cell>
          <cell r="T894">
            <v>1</v>
          </cell>
          <cell r="U894" t="str">
            <v>NULL</v>
          </cell>
          <cell r="V894" t="str">
            <v>NULL</v>
          </cell>
          <cell r="W894" t="str">
            <v/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 t="str">
            <v>anytime</v>
          </cell>
          <cell r="AC894">
            <v>970</v>
          </cell>
          <cell r="AD894">
            <v>6</v>
          </cell>
          <cell r="AE894" t="str">
            <v>everyone</v>
          </cell>
        </row>
        <row r="895">
          <cell r="A895" t="str">
            <v>48011_2</v>
          </cell>
          <cell r="B895">
            <v>1</v>
          </cell>
          <cell r="C895">
            <v>48011</v>
          </cell>
          <cell r="D895" t="str">
            <v>年獣襲来！</v>
          </cell>
          <cell r="E895" t="str">
            <v>台湾版降臨11</v>
          </cell>
          <cell r="F895">
            <v>2</v>
          </cell>
          <cell r="G895" t="str">
            <v>ja</v>
          </cell>
          <cell r="H895" t="str">
            <v>【ウィザード級】年獣襲来</v>
          </cell>
          <cell r="I895" t="str">
            <v>地獄級</v>
          </cell>
          <cell r="J895">
            <v>8090</v>
          </cell>
          <cell r="K895">
            <v>40</v>
          </cell>
          <cell r="L895">
            <v>4500</v>
          </cell>
          <cell r="M895">
            <v>1</v>
          </cell>
          <cell r="N895">
            <v>1</v>
          </cell>
          <cell r="O895">
            <v>1</v>
          </cell>
          <cell r="P895">
            <v>1</v>
          </cell>
          <cell r="Q895">
            <v>1</v>
          </cell>
          <cell r="R895">
            <v>3</v>
          </cell>
          <cell r="S895" t="str">
            <v>polygon</v>
          </cell>
          <cell r="T895">
            <v>1</v>
          </cell>
          <cell r="U895" t="str">
            <v>NULL</v>
          </cell>
          <cell r="V895" t="str">
            <v>NULL</v>
          </cell>
          <cell r="W895" t="str">
            <v/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 t="str">
            <v>anytime</v>
          </cell>
          <cell r="AC895">
            <v>970</v>
          </cell>
          <cell r="AD895">
            <v>6</v>
          </cell>
          <cell r="AE895" t="str">
            <v>everyone</v>
          </cell>
        </row>
        <row r="896">
          <cell r="A896" t="str">
            <v>48012_1</v>
          </cell>
          <cell r="B896">
            <v>1</v>
          </cell>
          <cell r="C896">
            <v>48012</v>
          </cell>
          <cell r="D896" t="str">
            <v>張果老襲来！</v>
          </cell>
          <cell r="E896" t="str">
            <v>台湾版降臨12</v>
          </cell>
          <cell r="F896">
            <v>1</v>
          </cell>
          <cell r="G896" t="str">
            <v>ja</v>
          </cell>
          <cell r="H896" t="str">
            <v>【超絶級】張果老襲来</v>
          </cell>
          <cell r="I896" t="str">
            <v>地獄級</v>
          </cell>
          <cell r="J896">
            <v>8102</v>
          </cell>
          <cell r="K896">
            <v>35</v>
          </cell>
          <cell r="L896">
            <v>4200</v>
          </cell>
          <cell r="M896">
            <v>1</v>
          </cell>
          <cell r="N896">
            <v>1</v>
          </cell>
          <cell r="O896">
            <v>1</v>
          </cell>
          <cell r="P896">
            <v>1</v>
          </cell>
          <cell r="Q896">
            <v>1</v>
          </cell>
          <cell r="R896">
            <v>3</v>
          </cell>
          <cell r="S896" t="str">
            <v>polygon</v>
          </cell>
          <cell r="T896">
            <v>1</v>
          </cell>
          <cell r="U896" t="str">
            <v>NULL</v>
          </cell>
          <cell r="V896" t="str">
            <v>NULL</v>
          </cell>
          <cell r="W896" t="str">
            <v/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 t="str">
            <v>anytime</v>
          </cell>
          <cell r="AC896">
            <v>975</v>
          </cell>
          <cell r="AD896">
            <v>6</v>
          </cell>
          <cell r="AE896" t="str">
            <v>everyone</v>
          </cell>
        </row>
        <row r="897">
          <cell r="A897" t="str">
            <v>48012_2</v>
          </cell>
          <cell r="B897">
            <v>1</v>
          </cell>
          <cell r="C897">
            <v>48012</v>
          </cell>
          <cell r="D897" t="str">
            <v>張果老襲来！</v>
          </cell>
          <cell r="E897" t="str">
            <v>台湾版降臨12</v>
          </cell>
          <cell r="F897">
            <v>2</v>
          </cell>
          <cell r="G897" t="str">
            <v>ja</v>
          </cell>
          <cell r="H897" t="str">
            <v>【ウィザード級】張果老襲来</v>
          </cell>
          <cell r="I897" t="str">
            <v>地獄級</v>
          </cell>
          <cell r="J897">
            <v>8102</v>
          </cell>
          <cell r="K897">
            <v>40</v>
          </cell>
          <cell r="L897">
            <v>4500</v>
          </cell>
          <cell r="M897">
            <v>1</v>
          </cell>
          <cell r="N897">
            <v>1</v>
          </cell>
          <cell r="O897">
            <v>1</v>
          </cell>
          <cell r="P897">
            <v>1</v>
          </cell>
          <cell r="Q897">
            <v>1</v>
          </cell>
          <cell r="R897">
            <v>3</v>
          </cell>
          <cell r="S897" t="str">
            <v>polygon</v>
          </cell>
          <cell r="T897">
            <v>1</v>
          </cell>
          <cell r="U897" t="str">
            <v>NULL</v>
          </cell>
          <cell r="V897" t="str">
            <v>NULL</v>
          </cell>
          <cell r="W897" t="str">
            <v/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 t="str">
            <v>anytime</v>
          </cell>
          <cell r="AC897">
            <v>975</v>
          </cell>
          <cell r="AD897">
            <v>6</v>
          </cell>
          <cell r="AE897" t="str">
            <v>everyone</v>
          </cell>
        </row>
        <row r="898">
          <cell r="A898" t="str">
            <v>48013_1</v>
          </cell>
          <cell r="B898">
            <v>1</v>
          </cell>
          <cell r="C898">
            <v>48013</v>
          </cell>
          <cell r="D898" t="str">
            <v>法海襲来！</v>
          </cell>
          <cell r="E898" t="str">
            <v>台湾版降臨13</v>
          </cell>
          <cell r="F898">
            <v>1</v>
          </cell>
          <cell r="G898" t="str">
            <v>ja</v>
          </cell>
          <cell r="H898" t="str">
            <v>【超絶級】法海襲来</v>
          </cell>
          <cell r="I898" t="str">
            <v>地獄級</v>
          </cell>
          <cell r="J898">
            <v>1</v>
          </cell>
          <cell r="K898">
            <v>35</v>
          </cell>
          <cell r="L898">
            <v>4200</v>
          </cell>
          <cell r="M898">
            <v>1</v>
          </cell>
          <cell r="N898">
            <v>1</v>
          </cell>
          <cell r="O898">
            <v>1</v>
          </cell>
          <cell r="P898">
            <v>1</v>
          </cell>
          <cell r="Q898">
            <v>1</v>
          </cell>
          <cell r="R898">
            <v>3</v>
          </cell>
          <cell r="S898" t="str">
            <v>polygon</v>
          </cell>
          <cell r="T898">
            <v>1</v>
          </cell>
          <cell r="U898" t="str">
            <v>NULL</v>
          </cell>
          <cell r="V898" t="str">
            <v>NULL</v>
          </cell>
          <cell r="W898" t="str">
            <v/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 t="str">
            <v>anytime</v>
          </cell>
          <cell r="AC898">
            <v>1</v>
          </cell>
          <cell r="AD898">
            <v>6</v>
          </cell>
          <cell r="AE898" t="str">
            <v>everyone</v>
          </cell>
        </row>
        <row r="899">
          <cell r="A899" t="str">
            <v>48013_2</v>
          </cell>
          <cell r="B899">
            <v>1</v>
          </cell>
          <cell r="C899">
            <v>48013</v>
          </cell>
          <cell r="D899" t="str">
            <v>法海襲来！</v>
          </cell>
          <cell r="E899" t="str">
            <v>台湾版降臨13</v>
          </cell>
          <cell r="F899">
            <v>2</v>
          </cell>
          <cell r="G899" t="str">
            <v>ja</v>
          </cell>
          <cell r="H899" t="str">
            <v>【ウィザード級】法海襲来</v>
          </cell>
          <cell r="I899" t="str">
            <v>地獄級</v>
          </cell>
          <cell r="J899">
            <v>1</v>
          </cell>
          <cell r="K899">
            <v>40</v>
          </cell>
          <cell r="L899">
            <v>4500</v>
          </cell>
          <cell r="M899">
            <v>1</v>
          </cell>
          <cell r="N899">
            <v>1</v>
          </cell>
          <cell r="O899">
            <v>1</v>
          </cell>
          <cell r="P899">
            <v>1</v>
          </cell>
          <cell r="Q899">
            <v>1</v>
          </cell>
          <cell r="R899">
            <v>3</v>
          </cell>
          <cell r="S899" t="str">
            <v>polygon</v>
          </cell>
          <cell r="T899">
            <v>1</v>
          </cell>
          <cell r="U899" t="str">
            <v>NULL</v>
          </cell>
          <cell r="V899" t="str">
            <v>NULL</v>
          </cell>
          <cell r="W899" t="str">
            <v/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 t="str">
            <v>anytime</v>
          </cell>
          <cell r="AC899">
            <v>1</v>
          </cell>
          <cell r="AD899">
            <v>6</v>
          </cell>
          <cell r="AE899" t="str">
            <v>everyone</v>
          </cell>
        </row>
        <row r="900">
          <cell r="A900" t="str">
            <v>48014_1</v>
          </cell>
          <cell r="B900">
            <v>3</v>
          </cell>
          <cell r="C900">
            <v>48014</v>
          </cell>
          <cell r="D900" t="str">
            <v>藍采和襲来！</v>
          </cell>
          <cell r="E900" t="str">
            <v>台湾版降臨10</v>
          </cell>
          <cell r="F900">
            <v>1</v>
          </cell>
          <cell r="G900" t="str">
            <v>ja</v>
          </cell>
          <cell r="H900" t="str">
            <v>【超絶級】藍采和襲来</v>
          </cell>
          <cell r="I900" t="str">
            <v>地獄級</v>
          </cell>
          <cell r="J900">
            <v>8042</v>
          </cell>
          <cell r="K900">
            <v>35</v>
          </cell>
          <cell r="L900">
            <v>4200</v>
          </cell>
          <cell r="M900">
            <v>1</v>
          </cell>
          <cell r="N900">
            <v>1</v>
          </cell>
          <cell r="O900">
            <v>1</v>
          </cell>
          <cell r="P900">
            <v>1</v>
          </cell>
          <cell r="Q900">
            <v>1</v>
          </cell>
          <cell r="R900">
            <v>3</v>
          </cell>
          <cell r="S900" t="str">
            <v>polygon</v>
          </cell>
          <cell r="T900">
            <v>1</v>
          </cell>
          <cell r="U900" t="str">
            <v>NULL</v>
          </cell>
          <cell r="V900" t="str">
            <v>NULL</v>
          </cell>
          <cell r="W900" t="str">
            <v/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 t="str">
            <v>anytime</v>
          </cell>
          <cell r="AC900">
            <v>953</v>
          </cell>
          <cell r="AD900">
            <v>6</v>
          </cell>
          <cell r="AE900" t="str">
            <v>everyone</v>
          </cell>
        </row>
        <row r="901">
          <cell r="A901" t="str">
            <v>48014_2</v>
          </cell>
          <cell r="B901">
            <v>3</v>
          </cell>
          <cell r="C901">
            <v>48014</v>
          </cell>
          <cell r="D901" t="str">
            <v>藍采和襲来！</v>
          </cell>
          <cell r="E901" t="str">
            <v>台湾版降臨10</v>
          </cell>
          <cell r="F901">
            <v>2</v>
          </cell>
          <cell r="G901" t="str">
            <v>ja</v>
          </cell>
          <cell r="H901" t="str">
            <v>【ウィザード級】藍采和襲来</v>
          </cell>
          <cell r="I901" t="str">
            <v>地獄級</v>
          </cell>
          <cell r="J901">
            <v>8042</v>
          </cell>
          <cell r="K901">
            <v>40</v>
          </cell>
          <cell r="L901">
            <v>4500</v>
          </cell>
          <cell r="M901">
            <v>1</v>
          </cell>
          <cell r="N901">
            <v>1</v>
          </cell>
          <cell r="O901">
            <v>1</v>
          </cell>
          <cell r="P901">
            <v>1</v>
          </cell>
          <cell r="Q901">
            <v>1</v>
          </cell>
          <cell r="R901">
            <v>3</v>
          </cell>
          <cell r="S901" t="str">
            <v>polygon</v>
          </cell>
          <cell r="T901">
            <v>1</v>
          </cell>
          <cell r="U901" t="str">
            <v>NULL</v>
          </cell>
          <cell r="V901" t="str">
            <v>NULL</v>
          </cell>
          <cell r="W901" t="str">
            <v/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 t="str">
            <v>anytime</v>
          </cell>
          <cell r="AC901">
            <v>953</v>
          </cell>
          <cell r="AD901">
            <v>6</v>
          </cell>
          <cell r="AE901" t="str">
            <v>everyone</v>
          </cell>
        </row>
        <row r="902">
          <cell r="A902" t="str">
            <v>48501_1</v>
          </cell>
          <cell r="B902">
            <v>1</v>
          </cell>
          <cell r="C902">
            <v>48501</v>
          </cell>
          <cell r="D902" t="str">
            <v>ナーガ襲来！</v>
          </cell>
          <cell r="E902" t="str">
            <v>グローバル版降臨1</v>
          </cell>
          <cell r="F902">
            <v>1</v>
          </cell>
          <cell r="G902" t="str">
            <v>ja</v>
          </cell>
          <cell r="H902" t="str">
            <v>【超絶級】ナーガ襲来</v>
          </cell>
          <cell r="I902" t="str">
            <v>地獄級</v>
          </cell>
          <cell r="J902">
            <v>5004</v>
          </cell>
          <cell r="K902">
            <v>35</v>
          </cell>
          <cell r="L902">
            <v>4200</v>
          </cell>
          <cell r="M902">
            <v>1</v>
          </cell>
          <cell r="N902">
            <v>1</v>
          </cell>
          <cell r="O902">
            <v>1</v>
          </cell>
          <cell r="P902">
            <v>1</v>
          </cell>
          <cell r="Q902">
            <v>1</v>
          </cell>
          <cell r="R902">
            <v>3</v>
          </cell>
          <cell r="S902" t="str">
            <v>polygon</v>
          </cell>
          <cell r="T902">
            <v>1</v>
          </cell>
          <cell r="U902" t="str">
            <v>NULL</v>
          </cell>
          <cell r="V902" t="str">
            <v>NULL</v>
          </cell>
          <cell r="W902" t="str">
            <v/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 t="str">
            <v>anytime</v>
          </cell>
          <cell r="AC902">
            <v>963</v>
          </cell>
          <cell r="AD902">
            <v>6</v>
          </cell>
          <cell r="AE902" t="str">
            <v>everyone</v>
          </cell>
        </row>
        <row r="903">
          <cell r="A903" t="str">
            <v>48501_2</v>
          </cell>
          <cell r="B903">
            <v>1</v>
          </cell>
          <cell r="C903">
            <v>48501</v>
          </cell>
          <cell r="D903" t="str">
            <v>ナーガ襲来！</v>
          </cell>
          <cell r="E903" t="str">
            <v>グローバル版降臨1</v>
          </cell>
          <cell r="F903">
            <v>2</v>
          </cell>
          <cell r="G903" t="str">
            <v>ja</v>
          </cell>
          <cell r="H903" t="str">
            <v>【ウィザード級】ナーガ襲来</v>
          </cell>
          <cell r="I903" t="str">
            <v>地獄級</v>
          </cell>
          <cell r="J903">
            <v>5004</v>
          </cell>
          <cell r="K903">
            <v>40</v>
          </cell>
          <cell r="L903">
            <v>4500</v>
          </cell>
          <cell r="M903">
            <v>1</v>
          </cell>
          <cell r="N903">
            <v>1</v>
          </cell>
          <cell r="O903">
            <v>1</v>
          </cell>
          <cell r="P903">
            <v>1</v>
          </cell>
          <cell r="Q903">
            <v>1</v>
          </cell>
          <cell r="R903">
            <v>3</v>
          </cell>
          <cell r="S903" t="str">
            <v>polygon</v>
          </cell>
          <cell r="T903">
            <v>1</v>
          </cell>
          <cell r="U903" t="str">
            <v>NULL</v>
          </cell>
          <cell r="V903" t="str">
            <v>NULL</v>
          </cell>
          <cell r="W903" t="str">
            <v/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 t="str">
            <v>anytime</v>
          </cell>
          <cell r="AC903">
            <v>963</v>
          </cell>
          <cell r="AD903">
            <v>6</v>
          </cell>
          <cell r="AE903" t="str">
            <v>everyone</v>
          </cell>
        </row>
        <row r="904">
          <cell r="A904" t="str">
            <v>48502_1</v>
          </cell>
          <cell r="B904">
            <v>1</v>
          </cell>
          <cell r="C904">
            <v>48502</v>
          </cell>
          <cell r="D904" t="str">
            <v>ヘルシング襲来！</v>
          </cell>
          <cell r="E904" t="str">
            <v>グローバル版降臨2</v>
          </cell>
          <cell r="F904">
            <v>1</v>
          </cell>
          <cell r="G904" t="str">
            <v>ja</v>
          </cell>
          <cell r="H904" t="str">
            <v>【超絶級】ヘルシング襲来</v>
          </cell>
          <cell r="I904" t="str">
            <v>地獄級</v>
          </cell>
          <cell r="J904">
            <v>5008</v>
          </cell>
          <cell r="K904">
            <v>35</v>
          </cell>
          <cell r="L904">
            <v>4200</v>
          </cell>
          <cell r="M904">
            <v>1</v>
          </cell>
          <cell r="N904">
            <v>1</v>
          </cell>
          <cell r="O904">
            <v>1</v>
          </cell>
          <cell r="P904">
            <v>1</v>
          </cell>
          <cell r="Q904">
            <v>1</v>
          </cell>
          <cell r="R904">
            <v>3</v>
          </cell>
          <cell r="S904" t="str">
            <v>polygon</v>
          </cell>
          <cell r="T904">
            <v>1</v>
          </cell>
          <cell r="U904" t="str">
            <v>NULL</v>
          </cell>
          <cell r="V904" t="str">
            <v>NULL</v>
          </cell>
          <cell r="W904" t="str">
            <v/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 t="str">
            <v>anytime</v>
          </cell>
          <cell r="AC904">
            <v>971</v>
          </cell>
          <cell r="AD904">
            <v>6</v>
          </cell>
          <cell r="AE904" t="str">
            <v>everyone</v>
          </cell>
        </row>
        <row r="905">
          <cell r="A905" t="str">
            <v>48502_2</v>
          </cell>
          <cell r="B905">
            <v>1</v>
          </cell>
          <cell r="C905">
            <v>48502</v>
          </cell>
          <cell r="D905" t="str">
            <v>ヘルシング襲来！</v>
          </cell>
          <cell r="E905" t="str">
            <v>グローバル版降臨2</v>
          </cell>
          <cell r="F905">
            <v>2</v>
          </cell>
          <cell r="G905" t="str">
            <v>ja</v>
          </cell>
          <cell r="H905" t="str">
            <v>【ウィザード級】ヘルシング襲来</v>
          </cell>
          <cell r="I905" t="str">
            <v>地獄級</v>
          </cell>
          <cell r="J905">
            <v>5008</v>
          </cell>
          <cell r="K905">
            <v>40</v>
          </cell>
          <cell r="L905">
            <v>4500</v>
          </cell>
          <cell r="M905">
            <v>1</v>
          </cell>
          <cell r="N905">
            <v>1</v>
          </cell>
          <cell r="O905">
            <v>1</v>
          </cell>
          <cell r="P905">
            <v>1</v>
          </cell>
          <cell r="Q905">
            <v>1</v>
          </cell>
          <cell r="R905">
            <v>3</v>
          </cell>
          <cell r="S905" t="str">
            <v>polygon</v>
          </cell>
          <cell r="T905">
            <v>1</v>
          </cell>
          <cell r="U905" t="str">
            <v>NULL</v>
          </cell>
          <cell r="V905" t="str">
            <v>NULL</v>
          </cell>
          <cell r="W905" t="str">
            <v/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 t="str">
            <v>anytime</v>
          </cell>
          <cell r="AC905">
            <v>971</v>
          </cell>
          <cell r="AD905">
            <v>6</v>
          </cell>
          <cell r="AE905" t="str">
            <v>everyone</v>
          </cell>
        </row>
        <row r="906">
          <cell r="A906" t="str">
            <v>48503_1</v>
          </cell>
          <cell r="B906">
            <v>3</v>
          </cell>
          <cell r="C906">
            <v>48503</v>
          </cell>
          <cell r="D906" t="str">
            <v>ナーガ襲来！</v>
          </cell>
          <cell r="E906" t="str">
            <v>グローバル版降臨3</v>
          </cell>
          <cell r="F906">
            <v>1</v>
          </cell>
          <cell r="G906" t="str">
            <v>ja</v>
          </cell>
          <cell r="H906" t="str">
            <v>【超絶級】ナーガ襲来</v>
          </cell>
          <cell r="I906" t="str">
            <v>地獄級</v>
          </cell>
          <cell r="J906">
            <v>5004</v>
          </cell>
          <cell r="K906">
            <v>35</v>
          </cell>
          <cell r="L906">
            <v>4200</v>
          </cell>
          <cell r="M906">
            <v>1</v>
          </cell>
          <cell r="N906">
            <v>1</v>
          </cell>
          <cell r="O906">
            <v>1</v>
          </cell>
          <cell r="P906">
            <v>1</v>
          </cell>
          <cell r="Q906">
            <v>1</v>
          </cell>
          <cell r="R906">
            <v>3</v>
          </cell>
          <cell r="S906" t="str">
            <v>polygon</v>
          </cell>
          <cell r="T906">
            <v>1</v>
          </cell>
          <cell r="U906" t="str">
            <v>NULL</v>
          </cell>
          <cell r="V906" t="str">
            <v>NULL</v>
          </cell>
          <cell r="W906" t="str">
            <v/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 t="str">
            <v>anytime</v>
          </cell>
          <cell r="AC906">
            <v>963</v>
          </cell>
          <cell r="AD906">
            <v>6</v>
          </cell>
          <cell r="AE906" t="str">
            <v>everyone</v>
          </cell>
        </row>
        <row r="907">
          <cell r="A907" t="str">
            <v>48503_2</v>
          </cell>
          <cell r="B907">
            <v>3</v>
          </cell>
          <cell r="C907">
            <v>48503</v>
          </cell>
          <cell r="D907" t="str">
            <v>ナーガ襲来！</v>
          </cell>
          <cell r="E907" t="str">
            <v>グローバル版降臨3</v>
          </cell>
          <cell r="F907">
            <v>2</v>
          </cell>
          <cell r="G907" t="str">
            <v>ja</v>
          </cell>
          <cell r="H907" t="str">
            <v>【ウィザード級】ナーガ襲来</v>
          </cell>
          <cell r="I907" t="str">
            <v>地獄級</v>
          </cell>
          <cell r="J907">
            <v>5004</v>
          </cell>
          <cell r="K907">
            <v>40</v>
          </cell>
          <cell r="L907">
            <v>4500</v>
          </cell>
          <cell r="M907">
            <v>1</v>
          </cell>
          <cell r="N907">
            <v>1</v>
          </cell>
          <cell r="O907">
            <v>1</v>
          </cell>
          <cell r="P907">
            <v>1</v>
          </cell>
          <cell r="Q907">
            <v>1</v>
          </cell>
          <cell r="R907">
            <v>3</v>
          </cell>
          <cell r="S907" t="str">
            <v>polygon</v>
          </cell>
          <cell r="T907">
            <v>1</v>
          </cell>
          <cell r="U907" t="str">
            <v>NULL</v>
          </cell>
          <cell r="V907" t="str">
            <v>NULL</v>
          </cell>
          <cell r="W907" t="str">
            <v/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 t="str">
            <v>anytime</v>
          </cell>
          <cell r="AC907">
            <v>963</v>
          </cell>
          <cell r="AD907">
            <v>6</v>
          </cell>
          <cell r="AE907" t="str">
            <v>everyone</v>
          </cell>
        </row>
        <row r="908">
          <cell r="A908" t="str">
            <v>48701_1</v>
          </cell>
          <cell r="B908">
            <v>1</v>
          </cell>
          <cell r="C908">
            <v>48701</v>
          </cell>
          <cell r="D908" t="str">
            <v>M.Dragon襲来！</v>
          </cell>
          <cell r="E908" t="str">
            <v>韓国版降臨1</v>
          </cell>
          <cell r="F908">
            <v>1</v>
          </cell>
          <cell r="G908" t="str">
            <v>ja</v>
          </cell>
          <cell r="H908" t="str">
            <v>【超絶級】M.Dragon襲来</v>
          </cell>
          <cell r="I908" t="str">
            <v>地獄級</v>
          </cell>
          <cell r="J908">
            <v>9004</v>
          </cell>
          <cell r="K908">
            <v>35</v>
          </cell>
          <cell r="L908">
            <v>4200</v>
          </cell>
          <cell r="M908">
            <v>1</v>
          </cell>
          <cell r="N908">
            <v>1</v>
          </cell>
          <cell r="O908">
            <v>1</v>
          </cell>
          <cell r="P908">
            <v>1</v>
          </cell>
          <cell r="Q908">
            <v>1</v>
          </cell>
          <cell r="R908">
            <v>3</v>
          </cell>
          <cell r="S908" t="str">
            <v>polygon</v>
          </cell>
          <cell r="T908">
            <v>1</v>
          </cell>
          <cell r="U908" t="str">
            <v>NULL</v>
          </cell>
          <cell r="V908" t="str">
            <v>NULL</v>
          </cell>
          <cell r="W908" t="str">
            <v/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 t="str">
            <v>anytime</v>
          </cell>
          <cell r="AC908">
            <v>985</v>
          </cell>
          <cell r="AD908">
            <v>6</v>
          </cell>
          <cell r="AE908" t="str">
            <v>everyone</v>
          </cell>
        </row>
        <row r="909">
          <cell r="A909" t="str">
            <v>48701_2</v>
          </cell>
          <cell r="B909">
            <v>1</v>
          </cell>
          <cell r="C909">
            <v>48701</v>
          </cell>
          <cell r="D909" t="str">
            <v>M.Dragon襲来！</v>
          </cell>
          <cell r="E909" t="str">
            <v>韓国版降臨1</v>
          </cell>
          <cell r="F909">
            <v>2</v>
          </cell>
          <cell r="G909" t="str">
            <v>ja</v>
          </cell>
          <cell r="H909" t="str">
            <v>【ウィザード級】M.Dragon襲来</v>
          </cell>
          <cell r="I909" t="str">
            <v>地獄級</v>
          </cell>
          <cell r="J909">
            <v>9004</v>
          </cell>
          <cell r="K909">
            <v>40</v>
          </cell>
          <cell r="L909">
            <v>4500</v>
          </cell>
          <cell r="M909">
            <v>1</v>
          </cell>
          <cell r="N909">
            <v>1</v>
          </cell>
          <cell r="O909">
            <v>1</v>
          </cell>
          <cell r="P909">
            <v>1</v>
          </cell>
          <cell r="Q909">
            <v>1</v>
          </cell>
          <cell r="R909">
            <v>3</v>
          </cell>
          <cell r="S909" t="str">
            <v>polygon</v>
          </cell>
          <cell r="T909">
            <v>1</v>
          </cell>
          <cell r="U909" t="str">
            <v>NULL</v>
          </cell>
          <cell r="V909" t="str">
            <v>NULL</v>
          </cell>
          <cell r="W909" t="str">
            <v/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 t="str">
            <v>anytime</v>
          </cell>
          <cell r="AC909">
            <v>985</v>
          </cell>
          <cell r="AD909">
            <v>6</v>
          </cell>
          <cell r="AE909" t="str">
            <v>everyone</v>
          </cell>
        </row>
        <row r="910">
          <cell r="A910" t="str">
            <v>48702_1</v>
          </cell>
          <cell r="B910">
            <v>1</v>
          </cell>
          <cell r="C910">
            <v>48702</v>
          </cell>
          <cell r="D910" t="str">
            <v>田禹治襲来！</v>
          </cell>
          <cell r="E910" t="str">
            <v>韓国版降臨2</v>
          </cell>
          <cell r="F910">
            <v>1</v>
          </cell>
          <cell r="G910" t="str">
            <v>ja</v>
          </cell>
          <cell r="H910" t="str">
            <v>【超絶級】田禹治襲来</v>
          </cell>
          <cell r="I910" t="str">
            <v>地獄級</v>
          </cell>
          <cell r="J910">
            <v>9008</v>
          </cell>
          <cell r="K910">
            <v>35</v>
          </cell>
          <cell r="L910">
            <v>4200</v>
          </cell>
          <cell r="M910">
            <v>1</v>
          </cell>
          <cell r="N910">
            <v>1</v>
          </cell>
          <cell r="O910">
            <v>1</v>
          </cell>
          <cell r="P910">
            <v>1</v>
          </cell>
          <cell r="Q910">
            <v>1</v>
          </cell>
          <cell r="R910">
            <v>3</v>
          </cell>
          <cell r="S910" t="str">
            <v>polygon</v>
          </cell>
          <cell r="T910">
            <v>1</v>
          </cell>
          <cell r="U910" t="str">
            <v>NULL</v>
          </cell>
          <cell r="V910" t="str">
            <v>NULL</v>
          </cell>
          <cell r="W910" t="str">
            <v/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 t="str">
            <v>anytime</v>
          </cell>
          <cell r="AC910">
            <v>991</v>
          </cell>
          <cell r="AD910">
            <v>6</v>
          </cell>
          <cell r="AE910" t="str">
            <v>everyone</v>
          </cell>
        </row>
        <row r="911">
          <cell r="A911" t="str">
            <v>48702_2</v>
          </cell>
          <cell r="B911">
            <v>1</v>
          </cell>
          <cell r="C911">
            <v>48702</v>
          </cell>
          <cell r="D911" t="str">
            <v>田禹治襲来！</v>
          </cell>
          <cell r="E911" t="str">
            <v>韓国版降臨2</v>
          </cell>
          <cell r="F911">
            <v>2</v>
          </cell>
          <cell r="G911" t="str">
            <v>ja</v>
          </cell>
          <cell r="H911" t="str">
            <v>【ウィザード級】田禹治襲来</v>
          </cell>
          <cell r="I911" t="str">
            <v>地獄級</v>
          </cell>
          <cell r="J911">
            <v>9008</v>
          </cell>
          <cell r="K911">
            <v>40</v>
          </cell>
          <cell r="L911">
            <v>4500</v>
          </cell>
          <cell r="M911">
            <v>1</v>
          </cell>
          <cell r="N911">
            <v>1</v>
          </cell>
          <cell r="O911">
            <v>1</v>
          </cell>
          <cell r="P911">
            <v>1</v>
          </cell>
          <cell r="Q911">
            <v>1</v>
          </cell>
          <cell r="R911">
            <v>3</v>
          </cell>
          <cell r="S911" t="str">
            <v>polygon</v>
          </cell>
          <cell r="T911">
            <v>1</v>
          </cell>
          <cell r="U911" t="str">
            <v>NULL</v>
          </cell>
          <cell r="V911" t="str">
            <v>NULL</v>
          </cell>
          <cell r="W911" t="str">
            <v/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 t="str">
            <v>anytime</v>
          </cell>
          <cell r="AC911">
            <v>991</v>
          </cell>
          <cell r="AD911">
            <v>6</v>
          </cell>
          <cell r="AE911" t="str">
            <v>everyone</v>
          </cell>
        </row>
        <row r="912">
          <cell r="A912" t="str">
            <v>49001_1</v>
          </cell>
          <cell r="B912">
            <v>3</v>
          </cell>
          <cell r="C912">
            <v>49001</v>
          </cell>
          <cell r="D912" t="str">
            <v>熱唱！初音ミクV3</v>
          </cell>
          <cell r="E912" t="str">
            <v>コラボ降臨1</v>
          </cell>
          <cell r="F912">
            <v>1</v>
          </cell>
          <cell r="G912" t="str">
            <v>ja</v>
          </cell>
          <cell r="H912" t="str">
            <v>【ウィザード級】熱唱！初音ミクV3</v>
          </cell>
          <cell r="I912" t="str">
            <v>地獄級</v>
          </cell>
          <cell r="J912">
            <v>528</v>
          </cell>
          <cell r="K912">
            <v>40</v>
          </cell>
          <cell r="L912">
            <v>4200</v>
          </cell>
          <cell r="M912">
            <v>1</v>
          </cell>
          <cell r="N912">
            <v>1</v>
          </cell>
          <cell r="O912">
            <v>1</v>
          </cell>
          <cell r="P912">
            <v>1</v>
          </cell>
          <cell r="Q912">
            <v>1</v>
          </cell>
          <cell r="R912">
            <v>3</v>
          </cell>
          <cell r="S912" t="str">
            <v>polygon</v>
          </cell>
          <cell r="T912">
            <v>1</v>
          </cell>
          <cell r="U912" t="str">
            <v>NULL</v>
          </cell>
          <cell r="V912" t="str">
            <v>NULL</v>
          </cell>
          <cell r="W912" t="str">
            <v/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 t="str">
            <v>anytime</v>
          </cell>
          <cell r="AC912">
            <v>910</v>
          </cell>
          <cell r="AD912">
            <v>6</v>
          </cell>
          <cell r="AE912" t="str">
            <v>everyone</v>
          </cell>
        </row>
        <row r="913">
          <cell r="A913" t="str">
            <v>49002_1</v>
          </cell>
          <cell r="B913">
            <v>3</v>
          </cell>
          <cell r="C913">
            <v>49002</v>
          </cell>
          <cell r="D913" t="str">
            <v>園原杏里襲来！</v>
          </cell>
          <cell r="E913" t="str">
            <v>コラボ降臨2</v>
          </cell>
          <cell r="F913">
            <v>1</v>
          </cell>
          <cell r="G913" t="str">
            <v>ja</v>
          </cell>
          <cell r="H913" t="str">
            <v>【ウィザード級】園原杏里襲来</v>
          </cell>
          <cell r="I913" t="str">
            <v>地獄級</v>
          </cell>
          <cell r="J913">
            <v>699</v>
          </cell>
          <cell r="K913">
            <v>40</v>
          </cell>
          <cell r="L913">
            <v>4500</v>
          </cell>
          <cell r="M913">
            <v>1</v>
          </cell>
          <cell r="N913">
            <v>1</v>
          </cell>
          <cell r="O913">
            <v>1</v>
          </cell>
          <cell r="P913">
            <v>1</v>
          </cell>
          <cell r="Q913">
            <v>1</v>
          </cell>
          <cell r="R913">
            <v>3</v>
          </cell>
          <cell r="S913" t="str">
            <v>polygon</v>
          </cell>
          <cell r="T913">
            <v>1</v>
          </cell>
          <cell r="U913" t="str">
            <v>NULL</v>
          </cell>
          <cell r="V913" t="str">
            <v>NULL</v>
          </cell>
          <cell r="W913" t="str">
            <v/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 t="str">
            <v>anytime</v>
          </cell>
          <cell r="AC913">
            <v>917</v>
          </cell>
          <cell r="AD913">
            <v>6</v>
          </cell>
          <cell r="AE913" t="str">
            <v>everyone</v>
          </cell>
        </row>
        <row r="914">
          <cell r="A914" t="str">
            <v>49002_2</v>
          </cell>
          <cell r="B914">
            <v>3</v>
          </cell>
          <cell r="C914">
            <v>49002</v>
          </cell>
          <cell r="D914" t="str">
            <v>園原杏里襲来！</v>
          </cell>
          <cell r="E914" t="str">
            <v>コラボ降臨2</v>
          </cell>
          <cell r="F914">
            <v>2</v>
          </cell>
          <cell r="G914" t="str">
            <v>ja</v>
          </cell>
          <cell r="H914" t="str">
            <v>【ノーコンテニュー】園原杏里襲来</v>
          </cell>
          <cell r="I914" t="str">
            <v>地獄級</v>
          </cell>
          <cell r="J914">
            <v>699</v>
          </cell>
          <cell r="K914">
            <v>40</v>
          </cell>
          <cell r="L914">
            <v>4500</v>
          </cell>
          <cell r="M914">
            <v>1</v>
          </cell>
          <cell r="N914">
            <v>1</v>
          </cell>
          <cell r="O914">
            <v>1</v>
          </cell>
          <cell r="P914">
            <v>1</v>
          </cell>
          <cell r="Q914">
            <v>1</v>
          </cell>
          <cell r="R914">
            <v>3</v>
          </cell>
          <cell r="S914" t="str">
            <v>polygon</v>
          </cell>
          <cell r="T914">
            <v>1</v>
          </cell>
          <cell r="U914" t="str">
            <v>NULL</v>
          </cell>
          <cell r="V914" t="str">
            <v>NULL</v>
          </cell>
          <cell r="W914" t="str">
            <v/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 t="str">
            <v>anytime</v>
          </cell>
          <cell r="AC914">
            <v>917</v>
          </cell>
          <cell r="AD914">
            <v>6</v>
          </cell>
          <cell r="AE914" t="str">
            <v>everyone</v>
          </cell>
        </row>
        <row r="915">
          <cell r="A915" t="str">
            <v>49003_1</v>
          </cell>
          <cell r="B915">
            <v>3</v>
          </cell>
          <cell r="C915">
            <v>49003</v>
          </cell>
          <cell r="D915" t="str">
            <v>折原臨也襲来！</v>
          </cell>
          <cell r="E915" t="str">
            <v>コラボ降臨3</v>
          </cell>
          <cell r="F915">
            <v>1</v>
          </cell>
          <cell r="G915" t="str">
            <v>ja</v>
          </cell>
          <cell r="H915" t="str">
            <v>【ウィザード級】折原臨也襲来</v>
          </cell>
          <cell r="I915" t="str">
            <v>地獄級</v>
          </cell>
          <cell r="J915">
            <v>701</v>
          </cell>
          <cell r="K915">
            <v>40</v>
          </cell>
          <cell r="L915">
            <v>4500</v>
          </cell>
          <cell r="M915">
            <v>1</v>
          </cell>
          <cell r="N915">
            <v>1</v>
          </cell>
          <cell r="O915">
            <v>1</v>
          </cell>
          <cell r="P915">
            <v>1</v>
          </cell>
          <cell r="Q915">
            <v>1</v>
          </cell>
          <cell r="R915">
            <v>3</v>
          </cell>
          <cell r="S915" t="str">
            <v>polygon</v>
          </cell>
          <cell r="T915">
            <v>1</v>
          </cell>
          <cell r="U915" t="str">
            <v>NULL</v>
          </cell>
          <cell r="V915" t="str">
            <v>NULL</v>
          </cell>
          <cell r="W915" t="str">
            <v/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 t="str">
            <v>anytime</v>
          </cell>
          <cell r="AC915">
            <v>918</v>
          </cell>
          <cell r="AD915">
            <v>6</v>
          </cell>
          <cell r="AE915" t="str">
            <v>everyone</v>
          </cell>
        </row>
        <row r="916">
          <cell r="A916" t="str">
            <v>49003_2</v>
          </cell>
          <cell r="B916">
            <v>3</v>
          </cell>
          <cell r="C916">
            <v>49003</v>
          </cell>
          <cell r="D916" t="str">
            <v>折原臨也襲来！</v>
          </cell>
          <cell r="E916" t="str">
            <v>コラボ降臨3</v>
          </cell>
          <cell r="F916">
            <v>2</v>
          </cell>
          <cell r="G916" t="str">
            <v>ja</v>
          </cell>
          <cell r="H916" t="str">
            <v>【ノーコンテニュー】折原臨也襲来</v>
          </cell>
          <cell r="I916" t="str">
            <v>地獄級</v>
          </cell>
          <cell r="J916">
            <v>701</v>
          </cell>
          <cell r="K916">
            <v>40</v>
          </cell>
          <cell r="L916">
            <v>4500</v>
          </cell>
          <cell r="M916">
            <v>1</v>
          </cell>
          <cell r="N916">
            <v>1</v>
          </cell>
          <cell r="O916">
            <v>1</v>
          </cell>
          <cell r="P916">
            <v>1</v>
          </cell>
          <cell r="Q916">
            <v>1</v>
          </cell>
          <cell r="R916">
            <v>3</v>
          </cell>
          <cell r="S916" t="str">
            <v>polygon</v>
          </cell>
          <cell r="T916">
            <v>1</v>
          </cell>
          <cell r="U916" t="str">
            <v>NULL</v>
          </cell>
          <cell r="V916" t="str">
            <v>NULL</v>
          </cell>
          <cell r="W916" t="str">
            <v/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 t="str">
            <v>anytime</v>
          </cell>
          <cell r="AC916">
            <v>918</v>
          </cell>
          <cell r="AD916">
            <v>6</v>
          </cell>
          <cell r="AE916" t="str">
            <v>everyone</v>
          </cell>
        </row>
        <row r="917">
          <cell r="A917" t="str">
            <v>49004_1</v>
          </cell>
          <cell r="B917">
            <v>3</v>
          </cell>
          <cell r="C917">
            <v>49004</v>
          </cell>
          <cell r="D917" t="str">
            <v>サンリオ好きなのだーれだ♪</v>
          </cell>
          <cell r="E917" t="str">
            <v>コラボ降臨4</v>
          </cell>
          <cell r="F917">
            <v>1</v>
          </cell>
          <cell r="G917" t="str">
            <v>ja</v>
          </cell>
          <cell r="H917" t="str">
            <v>【超絶】サンリオ好きなのだーれだ♪</v>
          </cell>
          <cell r="I917" t="str">
            <v>地獄級</v>
          </cell>
          <cell r="J917">
            <v>0</v>
          </cell>
          <cell r="K917">
            <v>35</v>
          </cell>
          <cell r="L917">
            <v>4200</v>
          </cell>
          <cell r="M917">
            <v>1</v>
          </cell>
          <cell r="N917">
            <v>1</v>
          </cell>
          <cell r="O917">
            <v>1</v>
          </cell>
          <cell r="P917">
            <v>1</v>
          </cell>
          <cell r="Q917">
            <v>1</v>
          </cell>
          <cell r="R917">
            <v>3</v>
          </cell>
          <cell r="S917" t="str">
            <v>polygon</v>
          </cell>
          <cell r="T917">
            <v>1</v>
          </cell>
          <cell r="U917" t="str">
            <v>NULL</v>
          </cell>
          <cell r="V917" t="str">
            <v>NULL</v>
          </cell>
          <cell r="W917" t="str">
            <v/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 t="str">
            <v>anytime</v>
          </cell>
          <cell r="AC917">
            <v>934</v>
          </cell>
          <cell r="AD917">
            <v>6</v>
          </cell>
          <cell r="AE917" t="str">
            <v>everyone</v>
          </cell>
        </row>
        <row r="918">
          <cell r="A918" t="str">
            <v>49004_2</v>
          </cell>
          <cell r="B918">
            <v>3</v>
          </cell>
          <cell r="C918">
            <v>49004</v>
          </cell>
          <cell r="D918" t="str">
            <v>サンリオ好きなのだーれだ♪</v>
          </cell>
          <cell r="E918" t="str">
            <v>コラボ降臨4</v>
          </cell>
          <cell r="F918">
            <v>2</v>
          </cell>
          <cell r="G918" t="str">
            <v>ja</v>
          </cell>
          <cell r="H918" t="str">
            <v>【ｳｨｻﾞ】サンリオ好きなのだーれだ♪</v>
          </cell>
          <cell r="I918" t="str">
            <v>地獄級</v>
          </cell>
          <cell r="J918">
            <v>0</v>
          </cell>
          <cell r="K918">
            <v>40</v>
          </cell>
          <cell r="L918">
            <v>4500</v>
          </cell>
          <cell r="M918">
            <v>1</v>
          </cell>
          <cell r="N918">
            <v>1</v>
          </cell>
          <cell r="O918">
            <v>1</v>
          </cell>
          <cell r="P918">
            <v>1</v>
          </cell>
          <cell r="Q918">
            <v>1</v>
          </cell>
          <cell r="R918">
            <v>3</v>
          </cell>
          <cell r="S918" t="str">
            <v>polygon</v>
          </cell>
          <cell r="T918">
            <v>1</v>
          </cell>
          <cell r="U918" t="str">
            <v>NULL</v>
          </cell>
          <cell r="V918" t="str">
            <v>NULL</v>
          </cell>
          <cell r="W918" t="str">
            <v/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 t="str">
            <v>anytime</v>
          </cell>
          <cell r="AC918">
            <v>934</v>
          </cell>
          <cell r="AD918">
            <v>6</v>
          </cell>
          <cell r="AE918" t="str">
            <v>everyone</v>
          </cell>
        </row>
        <row r="919">
          <cell r="A919" t="str">
            <v>49004_3</v>
          </cell>
          <cell r="B919">
            <v>3</v>
          </cell>
          <cell r="C919">
            <v>49004</v>
          </cell>
          <cell r="D919" t="str">
            <v>サンリオ好きなのだーれだ♪</v>
          </cell>
          <cell r="E919" t="str">
            <v>コラボ降臨4</v>
          </cell>
          <cell r="F919">
            <v>3</v>
          </cell>
          <cell r="G919" t="str">
            <v>ja</v>
          </cell>
          <cell r="H919" t="str">
            <v>【ﾉｰｺﾝ】サンリオ好きなのだーれだ♪</v>
          </cell>
          <cell r="I919" t="str">
            <v>地獄級</v>
          </cell>
          <cell r="J919">
            <v>0</v>
          </cell>
          <cell r="K919">
            <v>40</v>
          </cell>
          <cell r="L919">
            <v>4500</v>
          </cell>
          <cell r="M919">
            <v>1</v>
          </cell>
          <cell r="N919">
            <v>1</v>
          </cell>
          <cell r="O919">
            <v>1</v>
          </cell>
          <cell r="P919">
            <v>1</v>
          </cell>
          <cell r="Q919">
            <v>1</v>
          </cell>
          <cell r="R919">
            <v>3</v>
          </cell>
          <cell r="S919" t="str">
            <v>polygon</v>
          </cell>
          <cell r="T919">
            <v>1</v>
          </cell>
          <cell r="U919" t="str">
            <v>NULL</v>
          </cell>
          <cell r="V919" t="str">
            <v>NULL</v>
          </cell>
          <cell r="W919" t="str">
            <v/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 t="str">
            <v>anytime</v>
          </cell>
          <cell r="AC919">
            <v>934</v>
          </cell>
          <cell r="AD919">
            <v>6</v>
          </cell>
          <cell r="AE919" t="str">
            <v>everyone</v>
          </cell>
        </row>
        <row r="920">
          <cell r="A920" t="str">
            <v>49005_1</v>
          </cell>
          <cell r="B920">
            <v>1</v>
          </cell>
          <cell r="C920">
            <v>49005</v>
          </cell>
          <cell r="D920" t="str">
            <v>襲来クエスト</v>
          </cell>
          <cell r="E920" t="str">
            <v>コラボ降臨5</v>
          </cell>
          <cell r="F920">
            <v>1</v>
          </cell>
          <cell r="G920" t="str">
            <v>ja</v>
          </cell>
          <cell r="H920" t="str">
            <v>【ウィザード級】襲来クエスト</v>
          </cell>
          <cell r="I920" t="str">
            <v>地獄級</v>
          </cell>
          <cell r="J920">
            <v>8013</v>
          </cell>
          <cell r="K920">
            <v>40</v>
          </cell>
          <cell r="L920">
            <v>4200</v>
          </cell>
          <cell r="M920">
            <v>1</v>
          </cell>
          <cell r="N920">
            <v>1</v>
          </cell>
          <cell r="O920">
            <v>1</v>
          </cell>
          <cell r="P920">
            <v>1</v>
          </cell>
          <cell r="Q920">
            <v>1</v>
          </cell>
          <cell r="R920">
            <v>3</v>
          </cell>
          <cell r="S920" t="str">
            <v>polygon</v>
          </cell>
          <cell r="T920">
            <v>1</v>
          </cell>
          <cell r="U920" t="str">
            <v>NULL</v>
          </cell>
          <cell r="V920" t="str">
            <v>NULL</v>
          </cell>
          <cell r="W920" t="str">
            <v/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 t="str">
            <v>anytime</v>
          </cell>
          <cell r="AC920">
            <v>910</v>
          </cell>
          <cell r="AD920">
            <v>6</v>
          </cell>
          <cell r="AE920" t="str">
            <v>everyone</v>
          </cell>
        </row>
        <row r="921">
          <cell r="A921" t="str">
            <v>49006_1</v>
          </cell>
          <cell r="B921">
            <v>3</v>
          </cell>
          <cell r="C921">
            <v>49006</v>
          </cell>
          <cell r="D921" t="str">
            <v>超大型巨人襲来！</v>
          </cell>
          <cell r="E921" t="str">
            <v>コラボ降臨6</v>
          </cell>
          <cell r="F921">
            <v>1</v>
          </cell>
          <cell r="G921" t="str">
            <v>ja</v>
          </cell>
          <cell r="H921" t="str">
            <v>【超絶級】超大型巨人襲来</v>
          </cell>
          <cell r="I921" t="str">
            <v>地獄級</v>
          </cell>
          <cell r="J921">
            <v>980</v>
          </cell>
          <cell r="K921">
            <v>35</v>
          </cell>
          <cell r="L921">
            <v>4200</v>
          </cell>
          <cell r="M921">
            <v>1</v>
          </cell>
          <cell r="N921">
            <v>1</v>
          </cell>
          <cell r="O921">
            <v>1</v>
          </cell>
          <cell r="P921">
            <v>1</v>
          </cell>
          <cell r="Q921">
            <v>1</v>
          </cell>
          <cell r="R921">
            <v>3</v>
          </cell>
          <cell r="S921" t="str">
            <v>polygon</v>
          </cell>
          <cell r="T921">
            <v>1</v>
          </cell>
          <cell r="U921" t="str">
            <v>NULL</v>
          </cell>
          <cell r="V921" t="str">
            <v>NULL</v>
          </cell>
          <cell r="W921" t="str">
            <v/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 t="str">
            <v>anytime</v>
          </cell>
          <cell r="AC921">
            <v>937</v>
          </cell>
          <cell r="AD921">
            <v>6</v>
          </cell>
          <cell r="AE921" t="str">
            <v>everyone</v>
          </cell>
        </row>
        <row r="922">
          <cell r="A922" t="str">
            <v>49006_2</v>
          </cell>
          <cell r="B922">
            <v>3</v>
          </cell>
          <cell r="C922">
            <v>49006</v>
          </cell>
          <cell r="D922" t="str">
            <v>超大型巨人襲来！</v>
          </cell>
          <cell r="E922" t="str">
            <v>コラボ降臨6</v>
          </cell>
          <cell r="F922">
            <v>2</v>
          </cell>
          <cell r="G922" t="str">
            <v>ja</v>
          </cell>
          <cell r="H922" t="str">
            <v>【ウィザード級】超大型巨人襲来</v>
          </cell>
          <cell r="I922" t="str">
            <v>地獄級</v>
          </cell>
          <cell r="J922">
            <v>980</v>
          </cell>
          <cell r="K922">
            <v>40</v>
          </cell>
          <cell r="L922">
            <v>4500</v>
          </cell>
          <cell r="M922">
            <v>1</v>
          </cell>
          <cell r="N922">
            <v>1</v>
          </cell>
          <cell r="O922">
            <v>1</v>
          </cell>
          <cell r="P922">
            <v>1</v>
          </cell>
          <cell r="Q922">
            <v>1</v>
          </cell>
          <cell r="R922">
            <v>3</v>
          </cell>
          <cell r="S922" t="str">
            <v>polygon</v>
          </cell>
          <cell r="T922">
            <v>1</v>
          </cell>
          <cell r="U922" t="str">
            <v>NULL</v>
          </cell>
          <cell r="V922" t="str">
            <v>NULL</v>
          </cell>
          <cell r="W922" t="str">
            <v/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 t="str">
            <v>anytime</v>
          </cell>
          <cell r="AC922">
            <v>937</v>
          </cell>
          <cell r="AD922">
            <v>6</v>
          </cell>
          <cell r="AE922" t="str">
            <v>everyone</v>
          </cell>
        </row>
        <row r="923">
          <cell r="A923" t="str">
            <v>49007_1</v>
          </cell>
          <cell r="B923">
            <v>1</v>
          </cell>
          <cell r="C923">
            <v>49007</v>
          </cell>
          <cell r="D923" t="str">
            <v>アザゼル（台）</v>
          </cell>
          <cell r="E923" t="str">
            <v>コラボ降臨4</v>
          </cell>
          <cell r="F923">
            <v>1</v>
          </cell>
          <cell r="G923" t="str">
            <v>ja</v>
          </cell>
          <cell r="H923" t="str">
            <v>【超絶】アザゼル（台）</v>
          </cell>
          <cell r="I923" t="str">
            <v>地獄級</v>
          </cell>
          <cell r="J923">
            <v>0</v>
          </cell>
          <cell r="K923">
            <v>35</v>
          </cell>
          <cell r="L923">
            <v>4200</v>
          </cell>
          <cell r="M923">
            <v>1</v>
          </cell>
          <cell r="N923">
            <v>1</v>
          </cell>
          <cell r="O923">
            <v>1</v>
          </cell>
          <cell r="P923">
            <v>1</v>
          </cell>
          <cell r="Q923">
            <v>1</v>
          </cell>
          <cell r="R923">
            <v>3</v>
          </cell>
          <cell r="S923" t="str">
            <v>polygon</v>
          </cell>
          <cell r="T923">
            <v>1</v>
          </cell>
          <cell r="U923" t="str">
            <v>NULL</v>
          </cell>
          <cell r="V923" t="str">
            <v>NULL</v>
          </cell>
          <cell r="W923" t="str">
            <v/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 t="str">
            <v>anytime</v>
          </cell>
          <cell r="AC923">
            <v>934</v>
          </cell>
          <cell r="AD923">
            <v>6</v>
          </cell>
          <cell r="AE923" t="str">
            <v>everyone</v>
          </cell>
        </row>
        <row r="924">
          <cell r="A924" t="str">
            <v>49007_2</v>
          </cell>
          <cell r="B924">
            <v>1</v>
          </cell>
          <cell r="C924">
            <v>49007</v>
          </cell>
          <cell r="D924" t="str">
            <v>アザゼル（台）</v>
          </cell>
          <cell r="E924" t="str">
            <v>コラボ降臨4</v>
          </cell>
          <cell r="F924">
            <v>2</v>
          </cell>
          <cell r="G924" t="str">
            <v>ja</v>
          </cell>
          <cell r="H924" t="str">
            <v>【ｳｨｻﾞ】アザゼル（台）</v>
          </cell>
          <cell r="I924" t="str">
            <v>地獄級</v>
          </cell>
          <cell r="J924">
            <v>0</v>
          </cell>
          <cell r="K924">
            <v>40</v>
          </cell>
          <cell r="L924">
            <v>4500</v>
          </cell>
          <cell r="M924">
            <v>1</v>
          </cell>
          <cell r="N924">
            <v>1</v>
          </cell>
          <cell r="O924">
            <v>1</v>
          </cell>
          <cell r="P924">
            <v>1</v>
          </cell>
          <cell r="Q924">
            <v>1</v>
          </cell>
          <cell r="R924">
            <v>3</v>
          </cell>
          <cell r="S924" t="str">
            <v>polygon</v>
          </cell>
          <cell r="T924">
            <v>1</v>
          </cell>
          <cell r="U924" t="str">
            <v>NULL</v>
          </cell>
          <cell r="V924" t="str">
            <v>NULL</v>
          </cell>
          <cell r="W924" t="str">
            <v/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 t="str">
            <v>anytime</v>
          </cell>
          <cell r="AC924">
            <v>934</v>
          </cell>
          <cell r="AD924">
            <v>6</v>
          </cell>
          <cell r="AE924" t="str">
            <v>everyone</v>
          </cell>
        </row>
        <row r="925">
          <cell r="A925" t="str">
            <v>49007_3</v>
          </cell>
          <cell r="B925">
            <v>1</v>
          </cell>
          <cell r="C925">
            <v>49007</v>
          </cell>
          <cell r="D925" t="str">
            <v>アザゼル（台）</v>
          </cell>
          <cell r="E925" t="str">
            <v>コラボ降臨4</v>
          </cell>
          <cell r="F925">
            <v>3</v>
          </cell>
          <cell r="G925" t="str">
            <v>ja</v>
          </cell>
          <cell r="H925" t="str">
            <v>【ﾉｰｺﾝ】アザゼル（台）</v>
          </cell>
          <cell r="I925" t="str">
            <v>地獄級</v>
          </cell>
          <cell r="J925">
            <v>0</v>
          </cell>
          <cell r="K925">
            <v>40</v>
          </cell>
          <cell r="L925">
            <v>4500</v>
          </cell>
          <cell r="M925">
            <v>1</v>
          </cell>
          <cell r="N925">
            <v>1</v>
          </cell>
          <cell r="O925">
            <v>1</v>
          </cell>
          <cell r="P925">
            <v>1</v>
          </cell>
          <cell r="Q925">
            <v>1</v>
          </cell>
          <cell r="R925">
            <v>3</v>
          </cell>
          <cell r="S925" t="str">
            <v>polygon</v>
          </cell>
          <cell r="T925">
            <v>1</v>
          </cell>
          <cell r="U925" t="str">
            <v>NULL</v>
          </cell>
          <cell r="V925" t="str">
            <v>NULL</v>
          </cell>
          <cell r="W925" t="str">
            <v/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 t="str">
            <v>anytime</v>
          </cell>
          <cell r="AC925">
            <v>934</v>
          </cell>
          <cell r="AD925">
            <v>6</v>
          </cell>
          <cell r="AE925" t="str">
            <v>everyone</v>
          </cell>
        </row>
        <row r="926">
          <cell r="A926" t="str">
            <v>49008_1</v>
          </cell>
          <cell r="B926">
            <v>3</v>
          </cell>
          <cell r="C926">
            <v>49008</v>
          </cell>
          <cell r="D926" t="str">
            <v>熱唱！初音ミクV3</v>
          </cell>
          <cell r="E926" t="str">
            <v>コラボ降臨1</v>
          </cell>
          <cell r="F926">
            <v>1</v>
          </cell>
          <cell r="G926" t="str">
            <v>ja</v>
          </cell>
          <cell r="H926" t="str">
            <v>【ウィザード級】熱唱！初音ミクV3</v>
          </cell>
          <cell r="I926" t="str">
            <v>地獄級</v>
          </cell>
          <cell r="J926">
            <v>1299</v>
          </cell>
          <cell r="K926">
            <v>30</v>
          </cell>
          <cell r="L926">
            <v>4500</v>
          </cell>
          <cell r="M926">
            <v>1</v>
          </cell>
          <cell r="N926">
            <v>1</v>
          </cell>
          <cell r="O926">
            <v>1</v>
          </cell>
          <cell r="P926">
            <v>1</v>
          </cell>
          <cell r="Q926">
            <v>1</v>
          </cell>
          <cell r="R926">
            <v>3</v>
          </cell>
          <cell r="S926" t="str">
            <v>polygon</v>
          </cell>
          <cell r="T926">
            <v>1</v>
          </cell>
          <cell r="U926" t="str">
            <v>NULL</v>
          </cell>
          <cell r="V926" t="str">
            <v>NULL</v>
          </cell>
          <cell r="W926" t="str">
            <v/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 t="str">
            <v>anytime</v>
          </cell>
          <cell r="AC926">
            <v>910</v>
          </cell>
          <cell r="AD926">
            <v>6</v>
          </cell>
          <cell r="AE926" t="str">
            <v>everyone</v>
          </cell>
        </row>
        <row r="927">
          <cell r="A927" t="str">
            <v>49009_1</v>
          </cell>
          <cell r="B927">
            <v>3</v>
          </cell>
          <cell r="C927">
            <v>49009</v>
          </cell>
          <cell r="D927" t="str">
            <v>電子音協奏曲</v>
          </cell>
          <cell r="E927" t="str">
            <v>コラボ降臨7</v>
          </cell>
          <cell r="F927">
            <v>1</v>
          </cell>
          <cell r="G927" t="str">
            <v>ja</v>
          </cell>
          <cell r="H927" t="str">
            <v>【ウィザード級】電子音協奏曲</v>
          </cell>
          <cell r="I927" t="str">
            <v>地獄級</v>
          </cell>
          <cell r="J927">
            <v>1305</v>
          </cell>
          <cell r="K927">
            <v>30</v>
          </cell>
          <cell r="L927">
            <v>4500</v>
          </cell>
          <cell r="M927">
            <v>1</v>
          </cell>
          <cell r="N927">
            <v>1</v>
          </cell>
          <cell r="O927">
            <v>1</v>
          </cell>
          <cell r="P927">
            <v>1</v>
          </cell>
          <cell r="Q927">
            <v>1</v>
          </cell>
          <cell r="R927">
            <v>3</v>
          </cell>
          <cell r="S927" t="str">
            <v>polygon</v>
          </cell>
          <cell r="T927">
            <v>1</v>
          </cell>
          <cell r="U927" t="str">
            <v>NULL</v>
          </cell>
          <cell r="V927" t="str">
            <v>NULL</v>
          </cell>
          <cell r="W927" t="str">
            <v/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 t="str">
            <v>anytime</v>
          </cell>
          <cell r="AC927">
            <v>910</v>
          </cell>
          <cell r="AD927">
            <v>6</v>
          </cell>
          <cell r="AE927" t="str">
            <v>everyone</v>
          </cell>
        </row>
        <row r="928">
          <cell r="A928" t="str">
            <v>49010_1</v>
          </cell>
          <cell r="B928">
            <v>3</v>
          </cell>
          <cell r="C928">
            <v>49010</v>
          </cell>
          <cell r="D928" t="str">
            <v>走り抜けろ！ALICE GP</v>
          </cell>
          <cell r="E928" t="str">
            <v>コラボ降臨8</v>
          </cell>
          <cell r="F928">
            <v>1</v>
          </cell>
          <cell r="G928" t="str">
            <v>ja</v>
          </cell>
          <cell r="H928" t="str">
            <v>【ｳｨｻﾞ】走り抜けろ！ALICE GP</v>
          </cell>
          <cell r="I928" t="str">
            <v>地獄級</v>
          </cell>
          <cell r="J928">
            <v>1303</v>
          </cell>
          <cell r="K928">
            <v>30</v>
          </cell>
          <cell r="L928">
            <v>4500</v>
          </cell>
          <cell r="M928">
            <v>1</v>
          </cell>
          <cell r="N928">
            <v>0</v>
          </cell>
          <cell r="O928">
            <v>1</v>
          </cell>
          <cell r="P928">
            <v>1</v>
          </cell>
          <cell r="Q928">
            <v>1</v>
          </cell>
          <cell r="R928">
            <v>3</v>
          </cell>
          <cell r="S928" t="str">
            <v>polygon</v>
          </cell>
          <cell r="T928">
            <v>1</v>
          </cell>
          <cell r="U928" t="str">
            <v>NULL</v>
          </cell>
          <cell r="V928" t="str">
            <v>NULL</v>
          </cell>
          <cell r="W928" t="str">
            <v/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 t="str">
            <v>anytime</v>
          </cell>
          <cell r="AC928">
            <v>987</v>
          </cell>
          <cell r="AD928">
            <v>6</v>
          </cell>
          <cell r="AE928" t="str">
            <v>everyone</v>
          </cell>
        </row>
        <row r="929">
          <cell r="A929" t="str">
            <v>49011_1</v>
          </cell>
          <cell r="B929">
            <v>3</v>
          </cell>
          <cell r="C929">
            <v>49011</v>
          </cell>
          <cell r="D929" t="str">
            <v>秘密のイベント潜入作戦</v>
          </cell>
          <cell r="E929" t="str">
            <v>コラボ降臨9</v>
          </cell>
          <cell r="F929">
            <v>1</v>
          </cell>
          <cell r="G929" t="str">
            <v>ja</v>
          </cell>
          <cell r="H929" t="str">
            <v>【ｳｨｻﾞ】秘密のイベント潜入作戦</v>
          </cell>
          <cell r="I929" t="str">
            <v>地獄級</v>
          </cell>
          <cell r="J929">
            <v>1301</v>
          </cell>
          <cell r="K929">
            <v>30</v>
          </cell>
          <cell r="L929">
            <v>4500</v>
          </cell>
          <cell r="M929">
            <v>1</v>
          </cell>
          <cell r="N929">
            <v>1</v>
          </cell>
          <cell r="O929">
            <v>1</v>
          </cell>
          <cell r="P929">
            <v>1</v>
          </cell>
          <cell r="Q929">
            <v>1</v>
          </cell>
          <cell r="R929">
            <v>3</v>
          </cell>
          <cell r="S929" t="str">
            <v>polygon</v>
          </cell>
          <cell r="T929">
            <v>1</v>
          </cell>
          <cell r="U929" t="str">
            <v>NULL</v>
          </cell>
          <cell r="V929" t="str">
            <v>NULL</v>
          </cell>
          <cell r="W929" t="str">
            <v/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 t="str">
            <v>anytime</v>
          </cell>
          <cell r="AC929">
            <v>909</v>
          </cell>
          <cell r="AD929">
            <v>6</v>
          </cell>
          <cell r="AE929" t="str">
            <v>everyone</v>
          </cell>
        </row>
        <row r="930">
          <cell r="A930" t="str">
            <v>49012_1</v>
          </cell>
          <cell r="B930">
            <v>3</v>
          </cell>
          <cell r="C930">
            <v>49012</v>
          </cell>
          <cell r="D930" t="str">
            <v>園原杏里襲来！</v>
          </cell>
          <cell r="E930" t="str">
            <v>コラボ降臨2（復刻）</v>
          </cell>
          <cell r="F930">
            <v>1</v>
          </cell>
          <cell r="G930" t="str">
            <v>ja</v>
          </cell>
          <cell r="H930" t="str">
            <v>【ウィザード級】園原杏里襲来</v>
          </cell>
          <cell r="I930" t="str">
            <v>地獄級</v>
          </cell>
          <cell r="J930">
            <v>699</v>
          </cell>
          <cell r="K930">
            <v>40</v>
          </cell>
          <cell r="L930">
            <v>4500</v>
          </cell>
          <cell r="M930">
            <v>1</v>
          </cell>
          <cell r="N930">
            <v>1</v>
          </cell>
          <cell r="O930">
            <v>1</v>
          </cell>
          <cell r="P930">
            <v>1</v>
          </cell>
          <cell r="Q930">
            <v>1</v>
          </cell>
          <cell r="R930">
            <v>3</v>
          </cell>
          <cell r="S930" t="str">
            <v>polygon</v>
          </cell>
          <cell r="T930">
            <v>1</v>
          </cell>
          <cell r="U930" t="str">
            <v>NULL</v>
          </cell>
          <cell r="V930" t="str">
            <v>NULL</v>
          </cell>
          <cell r="W930" t="str">
            <v/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 t="str">
            <v>anytime</v>
          </cell>
          <cell r="AC930">
            <v>917</v>
          </cell>
          <cell r="AD930">
            <v>6</v>
          </cell>
          <cell r="AE930" t="str">
            <v>everyone</v>
          </cell>
        </row>
        <row r="931">
          <cell r="A931" t="str">
            <v>49013_1</v>
          </cell>
          <cell r="B931">
            <v>3</v>
          </cell>
          <cell r="C931">
            <v>49013</v>
          </cell>
          <cell r="D931" t="str">
            <v>折原臨也襲来！</v>
          </cell>
          <cell r="E931" t="str">
            <v>コラボ降臨3（復刻）</v>
          </cell>
          <cell r="F931">
            <v>1</v>
          </cell>
          <cell r="G931" t="str">
            <v>ja</v>
          </cell>
          <cell r="H931" t="str">
            <v>【ウィザード級】折原臨也襲来</v>
          </cell>
          <cell r="I931" t="str">
            <v>地獄級</v>
          </cell>
          <cell r="J931">
            <v>701</v>
          </cell>
          <cell r="K931">
            <v>40</v>
          </cell>
          <cell r="L931">
            <v>4500</v>
          </cell>
          <cell r="M931">
            <v>1</v>
          </cell>
          <cell r="N931">
            <v>1</v>
          </cell>
          <cell r="O931">
            <v>1</v>
          </cell>
          <cell r="P931">
            <v>1</v>
          </cell>
          <cell r="Q931">
            <v>1</v>
          </cell>
          <cell r="R931">
            <v>3</v>
          </cell>
          <cell r="S931" t="str">
            <v>polygon</v>
          </cell>
          <cell r="T931">
            <v>1</v>
          </cell>
          <cell r="U931" t="str">
            <v>NULL</v>
          </cell>
          <cell r="V931" t="str">
            <v>NULL</v>
          </cell>
          <cell r="W931" t="str">
            <v/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 t="str">
            <v>anytime</v>
          </cell>
          <cell r="AC931">
            <v>918</v>
          </cell>
          <cell r="AD931">
            <v>6</v>
          </cell>
          <cell r="AE931" t="str">
            <v>everyone</v>
          </cell>
        </row>
        <row r="932">
          <cell r="A932" t="str">
            <v>49014_1</v>
          </cell>
          <cell r="B932">
            <v>3</v>
          </cell>
          <cell r="C932">
            <v>49014</v>
          </cell>
          <cell r="D932" t="str">
            <v>ネコムート襲来！</v>
          </cell>
          <cell r="E932" t="str">
            <v>コラボ降臨10</v>
          </cell>
          <cell r="F932">
            <v>1</v>
          </cell>
          <cell r="G932" t="str">
            <v>ja</v>
          </cell>
          <cell r="H932" t="str">
            <v>【激ムズ】ネコムート襲来！</v>
          </cell>
          <cell r="I932" t="str">
            <v>地獄級</v>
          </cell>
          <cell r="J932">
            <v>1524</v>
          </cell>
          <cell r="K932">
            <v>26</v>
          </cell>
          <cell r="L932">
            <v>4000</v>
          </cell>
          <cell r="M932">
            <v>1</v>
          </cell>
          <cell r="N932">
            <v>1</v>
          </cell>
          <cell r="O932">
            <v>1</v>
          </cell>
          <cell r="P932">
            <v>1</v>
          </cell>
          <cell r="Q932">
            <v>1</v>
          </cell>
          <cell r="R932">
            <v>3</v>
          </cell>
          <cell r="S932" t="str">
            <v>polygon</v>
          </cell>
          <cell r="T932">
            <v>1</v>
          </cell>
          <cell r="U932" t="str">
            <v>NULL</v>
          </cell>
          <cell r="V932" t="str">
            <v>NULL</v>
          </cell>
          <cell r="W932" t="str">
            <v/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 t="str">
            <v>anytime</v>
          </cell>
          <cell r="AC932">
            <v>981</v>
          </cell>
          <cell r="AD932">
            <v>6</v>
          </cell>
          <cell r="AE932" t="str">
            <v>everyone</v>
          </cell>
        </row>
        <row r="933">
          <cell r="A933" t="str">
            <v>49014_2</v>
          </cell>
          <cell r="B933">
            <v>3</v>
          </cell>
          <cell r="C933">
            <v>49014</v>
          </cell>
          <cell r="D933" t="str">
            <v>ネコムート襲来！</v>
          </cell>
          <cell r="E933" t="str">
            <v>コラボ降臨10</v>
          </cell>
          <cell r="F933">
            <v>2</v>
          </cell>
          <cell r="G933" t="str">
            <v>ja</v>
          </cell>
          <cell r="H933" t="str">
            <v>【超激ムズ】ネコムート襲来！</v>
          </cell>
          <cell r="I933" t="str">
            <v>地獄級</v>
          </cell>
          <cell r="J933">
            <v>1524</v>
          </cell>
          <cell r="K933">
            <v>30</v>
          </cell>
          <cell r="L933">
            <v>5000</v>
          </cell>
          <cell r="M933">
            <v>1</v>
          </cell>
          <cell r="N933">
            <v>1</v>
          </cell>
          <cell r="O933">
            <v>1</v>
          </cell>
          <cell r="P933">
            <v>1</v>
          </cell>
          <cell r="Q933">
            <v>1</v>
          </cell>
          <cell r="R933">
            <v>3</v>
          </cell>
          <cell r="S933" t="str">
            <v>polygon</v>
          </cell>
          <cell r="T933">
            <v>1</v>
          </cell>
          <cell r="U933" t="str">
            <v>NULL</v>
          </cell>
          <cell r="V933" t="str">
            <v>NULL</v>
          </cell>
          <cell r="W933" t="str">
            <v/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 t="str">
            <v>anytime</v>
          </cell>
          <cell r="AC933">
            <v>981</v>
          </cell>
          <cell r="AD933">
            <v>6</v>
          </cell>
          <cell r="AE933" t="str">
            <v>everyone</v>
          </cell>
        </row>
        <row r="934">
          <cell r="A934" t="str">
            <v>49015_1</v>
          </cell>
          <cell r="B934">
            <v>1</v>
          </cell>
          <cell r="C934">
            <v>49015</v>
          </cell>
          <cell r="D934" t="str">
            <v>FA</v>
          </cell>
          <cell r="E934" t="str">
            <v>コラボ降臨11</v>
          </cell>
          <cell r="F934">
            <v>1</v>
          </cell>
          <cell r="G934" t="str">
            <v>ja</v>
          </cell>
          <cell r="H934" t="str">
            <v>【上級】FA</v>
          </cell>
          <cell r="I934" t="str">
            <v>地獄級</v>
          </cell>
          <cell r="J934">
            <v>1467</v>
          </cell>
          <cell r="K934">
            <v>20</v>
          </cell>
          <cell r="L934">
            <v>2000</v>
          </cell>
          <cell r="M934">
            <v>1</v>
          </cell>
          <cell r="N934">
            <v>1</v>
          </cell>
          <cell r="O934">
            <v>1</v>
          </cell>
          <cell r="P934">
            <v>1</v>
          </cell>
          <cell r="Q934">
            <v>1</v>
          </cell>
          <cell r="R934">
            <v>3</v>
          </cell>
          <cell r="S934" t="str">
            <v>none</v>
          </cell>
          <cell r="T934">
            <v>0</v>
          </cell>
          <cell r="U934" t="str">
            <v>NULL</v>
          </cell>
          <cell r="V934" t="str">
            <v>NULL</v>
          </cell>
          <cell r="W934" t="str">
            <v/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 t="str">
            <v>anytime</v>
          </cell>
          <cell r="AC934">
            <v>995</v>
          </cell>
          <cell r="AD934">
            <v>6</v>
          </cell>
          <cell r="AE934" t="str">
            <v>everyone</v>
          </cell>
        </row>
        <row r="935">
          <cell r="A935" t="str">
            <v>49015_2</v>
          </cell>
          <cell r="B935">
            <v>1</v>
          </cell>
          <cell r="C935">
            <v>49015</v>
          </cell>
          <cell r="D935" t="str">
            <v>FA</v>
          </cell>
          <cell r="E935" t="str">
            <v>コラボ降臨11</v>
          </cell>
          <cell r="F935">
            <v>2</v>
          </cell>
          <cell r="G935" t="str">
            <v>ja</v>
          </cell>
          <cell r="H935" t="str">
            <v>【超級】FA</v>
          </cell>
          <cell r="I935" t="str">
            <v>地獄級</v>
          </cell>
          <cell r="J935">
            <v>1467</v>
          </cell>
          <cell r="K935">
            <v>30</v>
          </cell>
          <cell r="L935">
            <v>3300</v>
          </cell>
          <cell r="M935">
            <v>1</v>
          </cell>
          <cell r="N935">
            <v>1</v>
          </cell>
          <cell r="O935">
            <v>1</v>
          </cell>
          <cell r="P935">
            <v>1</v>
          </cell>
          <cell r="Q935">
            <v>1</v>
          </cell>
          <cell r="R935">
            <v>3</v>
          </cell>
          <cell r="S935" t="str">
            <v>none</v>
          </cell>
          <cell r="T935">
            <v>0</v>
          </cell>
          <cell r="U935" t="str">
            <v>NULL</v>
          </cell>
          <cell r="V935" t="str">
            <v>NULL</v>
          </cell>
          <cell r="W935" t="str">
            <v/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 t="str">
            <v>anytime</v>
          </cell>
          <cell r="AC935">
            <v>995</v>
          </cell>
          <cell r="AD935">
            <v>6</v>
          </cell>
          <cell r="AE935" t="str">
            <v>everyone</v>
          </cell>
        </row>
        <row r="936">
          <cell r="A936" t="str">
            <v>49015_3</v>
          </cell>
          <cell r="B936">
            <v>1</v>
          </cell>
          <cell r="C936">
            <v>49015</v>
          </cell>
          <cell r="D936" t="str">
            <v>FA</v>
          </cell>
          <cell r="E936" t="str">
            <v>コラボ降臨11</v>
          </cell>
          <cell r="F936">
            <v>3</v>
          </cell>
          <cell r="G936" t="str">
            <v>ja</v>
          </cell>
          <cell r="H936" t="str">
            <v>【ウィザード級】FA</v>
          </cell>
          <cell r="I936" t="str">
            <v>地獄級</v>
          </cell>
          <cell r="J936">
            <v>1467</v>
          </cell>
          <cell r="K936">
            <v>40</v>
          </cell>
          <cell r="L936">
            <v>4500</v>
          </cell>
          <cell r="M936">
            <v>1</v>
          </cell>
          <cell r="N936">
            <v>1</v>
          </cell>
          <cell r="O936">
            <v>1</v>
          </cell>
          <cell r="P936">
            <v>1</v>
          </cell>
          <cell r="Q936">
            <v>1</v>
          </cell>
          <cell r="R936">
            <v>3</v>
          </cell>
          <cell r="S936" t="str">
            <v>polygon</v>
          </cell>
          <cell r="T936">
            <v>1</v>
          </cell>
          <cell r="U936" t="str">
            <v>NULL</v>
          </cell>
          <cell r="V936" t="str">
            <v>NULL</v>
          </cell>
          <cell r="W936" t="str">
            <v/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 t="str">
            <v>anytime</v>
          </cell>
          <cell r="AC936">
            <v>995</v>
          </cell>
          <cell r="AD936">
            <v>6</v>
          </cell>
          <cell r="AE936" t="str">
            <v>everyone</v>
          </cell>
        </row>
        <row r="937">
          <cell r="A937" t="str">
            <v>49016_1</v>
          </cell>
          <cell r="B937">
            <v>1</v>
          </cell>
          <cell r="C937">
            <v>49016</v>
          </cell>
          <cell r="D937" t="str">
            <v>栗転</v>
          </cell>
          <cell r="E937" t="str">
            <v>コラボ降臨12</v>
          </cell>
          <cell r="F937">
            <v>1</v>
          </cell>
          <cell r="G937" t="str">
            <v>ja</v>
          </cell>
          <cell r="H937" t="str">
            <v>【超絶級】栗転</v>
          </cell>
          <cell r="I937" t="str">
            <v>地獄級</v>
          </cell>
          <cell r="J937">
            <v>0</v>
          </cell>
          <cell r="K937">
            <v>35</v>
          </cell>
          <cell r="L937">
            <v>4200</v>
          </cell>
          <cell r="M937">
            <v>1</v>
          </cell>
          <cell r="N937">
            <v>1</v>
          </cell>
          <cell r="O937">
            <v>1</v>
          </cell>
          <cell r="P937">
            <v>1</v>
          </cell>
          <cell r="Q937">
            <v>1</v>
          </cell>
          <cell r="R937">
            <v>3</v>
          </cell>
          <cell r="S937" t="str">
            <v>polygon</v>
          </cell>
          <cell r="T937">
            <v>1</v>
          </cell>
          <cell r="U937" t="str">
            <v>NULL</v>
          </cell>
          <cell r="V937" t="str">
            <v>NULL</v>
          </cell>
          <cell r="W937" t="str">
            <v/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 t="str">
            <v>anytime</v>
          </cell>
          <cell r="AC937">
            <v>998</v>
          </cell>
          <cell r="AD937">
            <v>6</v>
          </cell>
          <cell r="AE937" t="str">
            <v>everyone</v>
          </cell>
        </row>
        <row r="938">
          <cell r="A938" t="str">
            <v>49016_2</v>
          </cell>
          <cell r="B938">
            <v>1</v>
          </cell>
          <cell r="C938">
            <v>49016</v>
          </cell>
          <cell r="D938" t="str">
            <v>栗転</v>
          </cell>
          <cell r="E938" t="str">
            <v>コラボ降臨12</v>
          </cell>
          <cell r="F938">
            <v>2</v>
          </cell>
          <cell r="G938" t="str">
            <v>ja</v>
          </cell>
          <cell r="H938" t="str">
            <v>【ウィザード級】栗転</v>
          </cell>
          <cell r="I938" t="str">
            <v>地獄級</v>
          </cell>
          <cell r="J938">
            <v>0</v>
          </cell>
          <cell r="K938">
            <v>40</v>
          </cell>
          <cell r="L938">
            <v>4500</v>
          </cell>
          <cell r="M938">
            <v>1</v>
          </cell>
          <cell r="N938">
            <v>1</v>
          </cell>
          <cell r="O938">
            <v>1</v>
          </cell>
          <cell r="P938">
            <v>1</v>
          </cell>
          <cell r="Q938">
            <v>1</v>
          </cell>
          <cell r="R938">
            <v>3</v>
          </cell>
          <cell r="S938" t="str">
            <v>polygon</v>
          </cell>
          <cell r="T938">
            <v>1</v>
          </cell>
          <cell r="U938" t="str">
            <v>NULL</v>
          </cell>
          <cell r="V938" t="str">
            <v>NULL</v>
          </cell>
          <cell r="W938" t="str">
            <v/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 t="str">
            <v>anytime</v>
          </cell>
          <cell r="AC938">
            <v>998</v>
          </cell>
          <cell r="AD938">
            <v>6</v>
          </cell>
          <cell r="AE938" t="str">
            <v>everyone</v>
          </cell>
        </row>
        <row r="939">
          <cell r="A939" t="str">
            <v>50001_1</v>
          </cell>
          <cell r="B939">
            <v>3</v>
          </cell>
          <cell r="C939">
            <v>50001</v>
          </cell>
          <cell r="D939" t="str">
            <v>麒麟襲来！</v>
          </cell>
          <cell r="E939" t="str">
            <v>超降臨1</v>
          </cell>
          <cell r="F939">
            <v>1</v>
          </cell>
          <cell r="G939" t="str">
            <v>ja</v>
          </cell>
          <cell r="H939" t="str">
            <v xml:space="preserve">【超ウィザード級】麒麟襲来 </v>
          </cell>
          <cell r="I939" t="str">
            <v>超地獄級</v>
          </cell>
          <cell r="J939">
            <v>329</v>
          </cell>
          <cell r="K939">
            <v>40</v>
          </cell>
          <cell r="L939">
            <v>5200</v>
          </cell>
          <cell r="M939">
            <v>1</v>
          </cell>
          <cell r="N939">
            <v>1</v>
          </cell>
          <cell r="O939">
            <v>1</v>
          </cell>
          <cell r="P939">
            <v>1</v>
          </cell>
          <cell r="Q939">
            <v>1</v>
          </cell>
          <cell r="R939">
            <v>3</v>
          </cell>
          <cell r="S939" t="str">
            <v>character</v>
          </cell>
          <cell r="T939">
            <v>432</v>
          </cell>
          <cell r="U939" t="str">
            <v>NULL</v>
          </cell>
          <cell r="V939" t="str">
            <v>NULL</v>
          </cell>
          <cell r="W939" t="str">
            <v/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 t="str">
            <v>anytime</v>
          </cell>
          <cell r="AC939">
            <v>905</v>
          </cell>
          <cell r="AD939">
            <v>6</v>
          </cell>
          <cell r="AE939" t="str">
            <v>everyone</v>
          </cell>
        </row>
        <row r="940">
          <cell r="A940" t="str">
            <v>50002_1</v>
          </cell>
          <cell r="B940">
            <v>3</v>
          </cell>
          <cell r="C940">
            <v>50002</v>
          </cell>
          <cell r="D940" t="str">
            <v>オーディン襲来！</v>
          </cell>
          <cell r="E940" t="str">
            <v>超降臨2</v>
          </cell>
          <cell r="F940">
            <v>1</v>
          </cell>
          <cell r="G940" t="str">
            <v>ja</v>
          </cell>
          <cell r="H940" t="str">
            <v xml:space="preserve">【超ウィザード級】オーディン襲来 </v>
          </cell>
          <cell r="I940" t="str">
            <v>超地獄級</v>
          </cell>
          <cell r="J940">
            <v>331</v>
          </cell>
          <cell r="K940">
            <v>40</v>
          </cell>
          <cell r="L940">
            <v>5200</v>
          </cell>
          <cell r="M940">
            <v>1</v>
          </cell>
          <cell r="N940">
            <v>1</v>
          </cell>
          <cell r="O940">
            <v>1</v>
          </cell>
          <cell r="P940">
            <v>1</v>
          </cell>
          <cell r="Q940">
            <v>1</v>
          </cell>
          <cell r="R940">
            <v>3</v>
          </cell>
          <cell r="S940" t="str">
            <v>character</v>
          </cell>
          <cell r="T940">
            <v>573</v>
          </cell>
          <cell r="U940" t="str">
            <v>NULL</v>
          </cell>
          <cell r="V940" t="str">
            <v>NULL</v>
          </cell>
          <cell r="W940" t="str">
            <v/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 t="str">
            <v>anytime</v>
          </cell>
          <cell r="AC940">
            <v>911</v>
          </cell>
          <cell r="AD940">
            <v>6</v>
          </cell>
          <cell r="AE940" t="str">
            <v>everyone</v>
          </cell>
        </row>
        <row r="941">
          <cell r="A941" t="str">
            <v>50003_1</v>
          </cell>
          <cell r="B941">
            <v>3</v>
          </cell>
          <cell r="C941">
            <v>50003</v>
          </cell>
          <cell r="D941" t="str">
            <v>織田信長襲来！</v>
          </cell>
          <cell r="E941" t="str">
            <v>超降臨3</v>
          </cell>
          <cell r="F941">
            <v>1</v>
          </cell>
          <cell r="G941" t="str">
            <v>ja</v>
          </cell>
          <cell r="H941" t="str">
            <v xml:space="preserve">【超ウィザード級】織田信長襲来 </v>
          </cell>
          <cell r="I941" t="str">
            <v>超地獄級</v>
          </cell>
          <cell r="J941">
            <v>0</v>
          </cell>
          <cell r="K941">
            <v>40</v>
          </cell>
          <cell r="L941">
            <v>5200</v>
          </cell>
          <cell r="M941">
            <v>1</v>
          </cell>
          <cell r="N941">
            <v>1</v>
          </cell>
          <cell r="O941">
            <v>1</v>
          </cell>
          <cell r="P941">
            <v>1</v>
          </cell>
          <cell r="Q941">
            <v>1</v>
          </cell>
          <cell r="R941">
            <v>3</v>
          </cell>
          <cell r="S941" t="str">
            <v>character</v>
          </cell>
          <cell r="T941">
            <v>726</v>
          </cell>
          <cell r="U941" t="str">
            <v>NULL</v>
          </cell>
          <cell r="V941" t="str">
            <v>NULL</v>
          </cell>
          <cell r="W941" t="str">
            <v/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 t="str">
            <v>anytime</v>
          </cell>
          <cell r="AC941">
            <v>920</v>
          </cell>
          <cell r="AD941">
            <v>6</v>
          </cell>
          <cell r="AE941" t="str">
            <v>everyone</v>
          </cell>
        </row>
        <row r="942">
          <cell r="A942" t="str">
            <v>50004_1</v>
          </cell>
          <cell r="B942">
            <v>3</v>
          </cell>
          <cell r="C942">
            <v>50004</v>
          </cell>
          <cell r="D942" t="str">
            <v>ルシファー襲来！</v>
          </cell>
          <cell r="E942" t="str">
            <v>超降臨4</v>
          </cell>
          <cell r="F942">
            <v>1</v>
          </cell>
          <cell r="G942" t="str">
            <v>ja</v>
          </cell>
          <cell r="H942" t="str">
            <v xml:space="preserve">【超ウィザード級】ルシファー襲来 </v>
          </cell>
          <cell r="I942" t="str">
            <v>超地獄級</v>
          </cell>
          <cell r="J942">
            <v>0</v>
          </cell>
          <cell r="K942">
            <v>40</v>
          </cell>
          <cell r="L942">
            <v>5200</v>
          </cell>
          <cell r="M942">
            <v>1</v>
          </cell>
          <cell r="N942">
            <v>1</v>
          </cell>
          <cell r="O942">
            <v>1</v>
          </cell>
          <cell r="P942">
            <v>1</v>
          </cell>
          <cell r="Q942">
            <v>1</v>
          </cell>
          <cell r="R942">
            <v>3</v>
          </cell>
          <cell r="S942" t="str">
            <v>character</v>
          </cell>
          <cell r="T942">
            <v>846</v>
          </cell>
          <cell r="U942" t="str">
            <v>NULL</v>
          </cell>
          <cell r="V942" t="str">
            <v>NULL</v>
          </cell>
          <cell r="W942" t="str">
            <v/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 t="str">
            <v>anytime</v>
          </cell>
          <cell r="AC942">
            <v>928</v>
          </cell>
          <cell r="AD942">
            <v>6</v>
          </cell>
          <cell r="AE942" t="str">
            <v>everyone</v>
          </cell>
        </row>
        <row r="943">
          <cell r="A943" t="str">
            <v>50005_1</v>
          </cell>
          <cell r="B943">
            <v>3</v>
          </cell>
          <cell r="C943">
            <v>50005</v>
          </cell>
          <cell r="D943" t="str">
            <v>ゼウス襲来！</v>
          </cell>
          <cell r="E943" t="str">
            <v>超降臨5</v>
          </cell>
          <cell r="F943">
            <v>1</v>
          </cell>
          <cell r="G943" t="str">
            <v>ja</v>
          </cell>
          <cell r="H943" t="str">
            <v>【超ウィザード級】ゼウス襲来</v>
          </cell>
          <cell r="I943" t="str">
            <v>超地獄級</v>
          </cell>
          <cell r="J943">
            <v>0</v>
          </cell>
          <cell r="K943">
            <v>40</v>
          </cell>
          <cell r="L943">
            <v>5200</v>
          </cell>
          <cell r="M943">
            <v>1</v>
          </cell>
          <cell r="N943">
            <v>1</v>
          </cell>
          <cell r="O943">
            <v>1</v>
          </cell>
          <cell r="P943">
            <v>1</v>
          </cell>
          <cell r="Q943">
            <v>1</v>
          </cell>
          <cell r="R943">
            <v>3</v>
          </cell>
          <cell r="S943" t="str">
            <v>character</v>
          </cell>
          <cell r="T943">
            <v>929</v>
          </cell>
          <cell r="U943" t="str">
            <v>NULL</v>
          </cell>
          <cell r="V943" t="str">
            <v>NULL</v>
          </cell>
          <cell r="W943" t="str">
            <v/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 t="str">
            <v>anytime</v>
          </cell>
          <cell r="AC943">
            <v>935</v>
          </cell>
          <cell r="AD943">
            <v>6</v>
          </cell>
          <cell r="AE943" t="str">
            <v>everyone</v>
          </cell>
        </row>
        <row r="944">
          <cell r="A944" t="str">
            <v>50006_1</v>
          </cell>
          <cell r="B944">
            <v>3</v>
          </cell>
          <cell r="C944">
            <v>50006</v>
          </cell>
          <cell r="D944" t="str">
            <v>セト襲来！</v>
          </cell>
          <cell r="E944" t="str">
            <v>超降臨6</v>
          </cell>
          <cell r="F944">
            <v>1</v>
          </cell>
          <cell r="G944" t="str">
            <v>ja</v>
          </cell>
          <cell r="H944" t="str">
            <v>【超ウィザード級】セト襲来</v>
          </cell>
          <cell r="I944" t="str">
            <v>超地獄級</v>
          </cell>
          <cell r="J944">
            <v>0</v>
          </cell>
          <cell r="K944">
            <v>40</v>
          </cell>
          <cell r="L944">
            <v>5200</v>
          </cell>
          <cell r="M944">
            <v>1</v>
          </cell>
          <cell r="N944">
            <v>1</v>
          </cell>
          <cell r="O944">
            <v>1</v>
          </cell>
          <cell r="P944">
            <v>1</v>
          </cell>
          <cell r="Q944">
            <v>1</v>
          </cell>
          <cell r="R944">
            <v>3</v>
          </cell>
          <cell r="S944" t="str">
            <v>character</v>
          </cell>
          <cell r="T944">
            <v>1010</v>
          </cell>
          <cell r="U944" t="str">
            <v>NULL</v>
          </cell>
          <cell r="V944" t="str">
            <v>NULL</v>
          </cell>
          <cell r="W944" t="str">
            <v/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 t="str">
            <v>anytime</v>
          </cell>
          <cell r="AC944">
            <v>939</v>
          </cell>
          <cell r="AD944">
            <v>6</v>
          </cell>
          <cell r="AE944" t="str">
            <v>everyone</v>
          </cell>
        </row>
        <row r="945">
          <cell r="A945" t="str">
            <v>50007_1</v>
          </cell>
          <cell r="B945">
            <v>3</v>
          </cell>
          <cell r="C945">
            <v>50007</v>
          </cell>
          <cell r="D945" t="str">
            <v>ギルガメッシュ襲来！</v>
          </cell>
          <cell r="E945" t="str">
            <v>超降臨7</v>
          </cell>
          <cell r="F945">
            <v>1</v>
          </cell>
          <cell r="G945" t="str">
            <v>ja</v>
          </cell>
          <cell r="H945" t="str">
            <v>【超ウィザ】ギルガメッシュ襲来</v>
          </cell>
          <cell r="I945" t="str">
            <v>超地獄級</v>
          </cell>
          <cell r="J945">
            <v>0</v>
          </cell>
          <cell r="K945">
            <v>40</v>
          </cell>
          <cell r="L945">
            <v>5200</v>
          </cell>
          <cell r="M945">
            <v>1</v>
          </cell>
          <cell r="N945">
            <v>1</v>
          </cell>
          <cell r="O945">
            <v>1</v>
          </cell>
          <cell r="P945">
            <v>1</v>
          </cell>
          <cell r="Q945">
            <v>1</v>
          </cell>
          <cell r="R945">
            <v>3</v>
          </cell>
          <cell r="S945" t="str">
            <v>character</v>
          </cell>
          <cell r="T945">
            <v>1065</v>
          </cell>
          <cell r="U945" t="str">
            <v>NULL</v>
          </cell>
          <cell r="V945" t="str">
            <v>NULL</v>
          </cell>
          <cell r="W945" t="str">
            <v/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 t="str">
            <v>anytime</v>
          </cell>
          <cell r="AC945">
            <v>945</v>
          </cell>
          <cell r="AD945">
            <v>6</v>
          </cell>
          <cell r="AE945" t="str">
            <v>everyone</v>
          </cell>
        </row>
        <row r="946">
          <cell r="A946" t="str">
            <v>50008_1</v>
          </cell>
          <cell r="B946">
            <v>3</v>
          </cell>
          <cell r="C946">
            <v>50008</v>
          </cell>
          <cell r="D946" t="str">
            <v>呂布襲来！</v>
          </cell>
          <cell r="E946" t="str">
            <v>超降臨8</v>
          </cell>
          <cell r="F946">
            <v>1</v>
          </cell>
          <cell r="G946" t="str">
            <v>ja</v>
          </cell>
          <cell r="H946" t="str">
            <v>【超ウィザード級】呂布襲来</v>
          </cell>
          <cell r="I946" t="str">
            <v>超地獄級</v>
          </cell>
          <cell r="J946">
            <v>0</v>
          </cell>
          <cell r="K946">
            <v>40</v>
          </cell>
          <cell r="L946">
            <v>5200</v>
          </cell>
          <cell r="M946">
            <v>1</v>
          </cell>
          <cell r="N946">
            <v>1</v>
          </cell>
          <cell r="O946">
            <v>1</v>
          </cell>
          <cell r="P946">
            <v>1</v>
          </cell>
          <cell r="Q946">
            <v>1</v>
          </cell>
          <cell r="R946">
            <v>3</v>
          </cell>
          <cell r="S946" t="str">
            <v>character</v>
          </cell>
          <cell r="T946">
            <v>1135</v>
          </cell>
          <cell r="U946" t="str">
            <v>NULL</v>
          </cell>
          <cell r="V946" t="str">
            <v>NULL</v>
          </cell>
          <cell r="W946" t="str">
            <v/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 t="str">
            <v>anytime</v>
          </cell>
          <cell r="AC946">
            <v>950</v>
          </cell>
          <cell r="AD946">
            <v>6</v>
          </cell>
          <cell r="AE946" t="str">
            <v>everyone</v>
          </cell>
        </row>
        <row r="947">
          <cell r="A947" t="str">
            <v>50009_1</v>
          </cell>
          <cell r="B947">
            <v>1</v>
          </cell>
          <cell r="C947">
            <v>50009</v>
          </cell>
          <cell r="D947" t="str">
            <v>ヘラ襲来！</v>
          </cell>
          <cell r="E947" t="str">
            <v>超降臨9</v>
          </cell>
          <cell r="F947">
            <v>1</v>
          </cell>
          <cell r="G947" t="str">
            <v>ja</v>
          </cell>
          <cell r="H947" t="str">
            <v>【超ウィザード級】ヘラ襲来</v>
          </cell>
          <cell r="I947" t="str">
            <v>超地獄級</v>
          </cell>
          <cell r="J947">
            <v>0</v>
          </cell>
          <cell r="K947">
            <v>40</v>
          </cell>
          <cell r="L947">
            <v>5200</v>
          </cell>
          <cell r="M947">
            <v>1</v>
          </cell>
          <cell r="N947">
            <v>1</v>
          </cell>
          <cell r="O947">
            <v>1</v>
          </cell>
          <cell r="P947">
            <v>1</v>
          </cell>
          <cell r="Q947">
            <v>1</v>
          </cell>
          <cell r="R947">
            <v>3</v>
          </cell>
          <cell r="S947" t="str">
            <v>character</v>
          </cell>
          <cell r="T947">
            <v>1206</v>
          </cell>
          <cell r="U947" t="str">
            <v>NULL</v>
          </cell>
          <cell r="V947" t="str">
            <v>NULL</v>
          </cell>
          <cell r="W947" t="str">
            <v/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 t="str">
            <v>anytime</v>
          </cell>
          <cell r="AC947">
            <v>955</v>
          </cell>
          <cell r="AD947">
            <v>6</v>
          </cell>
          <cell r="AE947" t="str">
            <v>everyone</v>
          </cell>
        </row>
        <row r="948">
          <cell r="A948" t="str">
            <v>50010_1</v>
          </cell>
          <cell r="B948">
            <v>3</v>
          </cell>
          <cell r="C948">
            <v>50010</v>
          </cell>
          <cell r="D948" t="str">
            <v>カフカ襲来！</v>
          </cell>
          <cell r="E948" t="str">
            <v>超降臨10</v>
          </cell>
          <cell r="F948">
            <v>1</v>
          </cell>
          <cell r="G948" t="str">
            <v>ja</v>
          </cell>
          <cell r="H948" t="str">
            <v>【超ウィザード級】カフカ襲来</v>
          </cell>
          <cell r="I948" t="str">
            <v>超地獄級</v>
          </cell>
          <cell r="J948">
            <v>0</v>
          </cell>
          <cell r="K948">
            <v>40</v>
          </cell>
          <cell r="L948">
            <v>5200</v>
          </cell>
          <cell r="M948">
            <v>1</v>
          </cell>
          <cell r="N948">
            <v>1</v>
          </cell>
          <cell r="O948">
            <v>1</v>
          </cell>
          <cell r="P948">
            <v>1</v>
          </cell>
          <cell r="Q948">
            <v>1</v>
          </cell>
          <cell r="R948">
            <v>3</v>
          </cell>
          <cell r="S948" t="str">
            <v>character</v>
          </cell>
          <cell r="T948">
            <v>1222</v>
          </cell>
          <cell r="U948" t="str">
            <v>NULL</v>
          </cell>
          <cell r="V948" t="str">
            <v>NULL</v>
          </cell>
          <cell r="W948" t="str">
            <v/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 t="str">
            <v>anytime</v>
          </cell>
          <cell r="AC948">
            <v>957</v>
          </cell>
          <cell r="AD948">
            <v>6</v>
          </cell>
          <cell r="AE948" t="str">
            <v>everyone</v>
          </cell>
        </row>
        <row r="949">
          <cell r="A949" t="str">
            <v>50011_1</v>
          </cell>
          <cell r="B949">
            <v>3</v>
          </cell>
          <cell r="C949">
            <v>50011</v>
          </cell>
          <cell r="D949" t="str">
            <v>ヘラ襲来！</v>
          </cell>
          <cell r="E949" t="str">
            <v>超降臨9</v>
          </cell>
          <cell r="F949">
            <v>1</v>
          </cell>
          <cell r="G949" t="str">
            <v>ja</v>
          </cell>
          <cell r="H949" t="str">
            <v>【超ウィザード級】ヘラ襲来</v>
          </cell>
          <cell r="I949" t="str">
            <v>超地獄級</v>
          </cell>
          <cell r="J949">
            <v>0</v>
          </cell>
          <cell r="K949">
            <v>40</v>
          </cell>
          <cell r="L949">
            <v>5200</v>
          </cell>
          <cell r="M949">
            <v>1</v>
          </cell>
          <cell r="N949">
            <v>1</v>
          </cell>
          <cell r="O949">
            <v>1</v>
          </cell>
          <cell r="P949">
            <v>1</v>
          </cell>
          <cell r="Q949">
            <v>1</v>
          </cell>
          <cell r="R949">
            <v>3</v>
          </cell>
          <cell r="S949" t="str">
            <v>character</v>
          </cell>
          <cell r="T949">
            <v>1206</v>
          </cell>
          <cell r="U949" t="str">
            <v>NULL</v>
          </cell>
          <cell r="V949" t="str">
            <v>NULL</v>
          </cell>
          <cell r="W949" t="str">
            <v/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 t="str">
            <v>anytime</v>
          </cell>
          <cell r="AC949">
            <v>955</v>
          </cell>
          <cell r="AD949">
            <v>6</v>
          </cell>
          <cell r="AE949" t="str">
            <v>everyone</v>
          </cell>
        </row>
        <row r="950">
          <cell r="A950" t="str">
            <v>50012_1</v>
          </cell>
          <cell r="B950">
            <v>3</v>
          </cell>
          <cell r="C950">
            <v>50012</v>
          </cell>
          <cell r="D950" t="str">
            <v>豊臣秀吉襲来！</v>
          </cell>
          <cell r="E950" t="str">
            <v>超降臨11</v>
          </cell>
          <cell r="F950">
            <v>1</v>
          </cell>
          <cell r="G950" t="str">
            <v>ja</v>
          </cell>
          <cell r="H950" t="str">
            <v>【超ウィザード級】豊臣秀吉襲来</v>
          </cell>
          <cell r="I950" t="str">
            <v>超地獄級</v>
          </cell>
          <cell r="J950">
            <v>0</v>
          </cell>
          <cell r="K950">
            <v>40</v>
          </cell>
          <cell r="L950">
            <v>5200</v>
          </cell>
          <cell r="M950">
            <v>1</v>
          </cell>
          <cell r="N950">
            <v>1</v>
          </cell>
          <cell r="O950">
            <v>1</v>
          </cell>
          <cell r="P950">
            <v>1</v>
          </cell>
          <cell r="Q950">
            <v>1</v>
          </cell>
          <cell r="R950">
            <v>3</v>
          </cell>
          <cell r="S950" t="str">
            <v>character</v>
          </cell>
          <cell r="T950">
            <v>1242</v>
          </cell>
          <cell r="U950" t="str">
            <v>NULL</v>
          </cell>
          <cell r="V950" t="str">
            <v>NULL</v>
          </cell>
          <cell r="W950" t="str">
            <v/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 t="str">
            <v>anytime</v>
          </cell>
          <cell r="AC950">
            <v>959</v>
          </cell>
          <cell r="AD950">
            <v>6</v>
          </cell>
          <cell r="AE950" t="str">
            <v>everyone</v>
          </cell>
        </row>
        <row r="951">
          <cell r="A951" t="str">
            <v>50013_1</v>
          </cell>
          <cell r="B951">
            <v>3</v>
          </cell>
          <cell r="C951">
            <v>50013</v>
          </cell>
          <cell r="D951" t="str">
            <v>ロキ襲来！</v>
          </cell>
          <cell r="E951" t="str">
            <v>超降臨12</v>
          </cell>
          <cell r="F951">
            <v>1</v>
          </cell>
          <cell r="G951" t="str">
            <v>ja</v>
          </cell>
          <cell r="H951" t="str">
            <v>【超ウィザード級】ロキ襲来</v>
          </cell>
          <cell r="I951" t="str">
            <v>超地獄級</v>
          </cell>
          <cell r="J951">
            <v>0</v>
          </cell>
          <cell r="K951">
            <v>40</v>
          </cell>
          <cell r="L951">
            <v>5200</v>
          </cell>
          <cell r="M951">
            <v>1</v>
          </cell>
          <cell r="N951">
            <v>1</v>
          </cell>
          <cell r="O951">
            <v>1</v>
          </cell>
          <cell r="P951">
            <v>1</v>
          </cell>
          <cell r="Q951">
            <v>1</v>
          </cell>
          <cell r="R951">
            <v>3</v>
          </cell>
          <cell r="S951" t="str">
            <v>character</v>
          </cell>
          <cell r="T951">
            <v>1258</v>
          </cell>
          <cell r="U951" t="str">
            <v>NULL</v>
          </cell>
          <cell r="V951" t="str">
            <v>NULL</v>
          </cell>
          <cell r="W951" t="str">
            <v/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 t="str">
            <v>anytime</v>
          </cell>
          <cell r="AC951">
            <v>961</v>
          </cell>
          <cell r="AD951">
            <v>6</v>
          </cell>
          <cell r="AE951" t="str">
            <v>everyone</v>
          </cell>
        </row>
        <row r="952">
          <cell r="A952" t="str">
            <v>50014_1</v>
          </cell>
          <cell r="B952">
            <v>3</v>
          </cell>
          <cell r="C952">
            <v>50014</v>
          </cell>
          <cell r="D952" t="str">
            <v>スサノオ襲来！</v>
          </cell>
          <cell r="E952" t="str">
            <v>超降臨13</v>
          </cell>
          <cell r="F952">
            <v>1</v>
          </cell>
          <cell r="G952" t="str">
            <v>ja</v>
          </cell>
          <cell r="H952" t="str">
            <v>【超ウィザード級】スサノオ襲来</v>
          </cell>
          <cell r="I952" t="str">
            <v>超地獄級</v>
          </cell>
          <cell r="J952">
            <v>0</v>
          </cell>
          <cell r="K952">
            <v>40</v>
          </cell>
          <cell r="L952">
            <v>5200</v>
          </cell>
          <cell r="M952">
            <v>1</v>
          </cell>
          <cell r="N952">
            <v>1</v>
          </cell>
          <cell r="O952">
            <v>1</v>
          </cell>
          <cell r="P952">
            <v>1</v>
          </cell>
          <cell r="Q952">
            <v>1</v>
          </cell>
          <cell r="R952">
            <v>3</v>
          </cell>
          <cell r="S952" t="str">
            <v>character</v>
          </cell>
          <cell r="T952">
            <v>1330</v>
          </cell>
          <cell r="U952" t="str">
            <v>NULL</v>
          </cell>
          <cell r="V952" t="str">
            <v>NULL</v>
          </cell>
          <cell r="W952" t="str">
            <v/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 t="str">
            <v>anytime</v>
          </cell>
          <cell r="AC952">
            <v>967</v>
          </cell>
          <cell r="AD952">
            <v>6</v>
          </cell>
          <cell r="AE952" t="str">
            <v>everyone</v>
          </cell>
        </row>
        <row r="953">
          <cell r="A953" t="str">
            <v>50015_1</v>
          </cell>
          <cell r="B953">
            <v>3</v>
          </cell>
          <cell r="C953">
            <v>50015</v>
          </cell>
          <cell r="D953" t="str">
            <v>アンデルセン襲来！</v>
          </cell>
          <cell r="E953" t="str">
            <v>超降臨14</v>
          </cell>
          <cell r="F953">
            <v>1</v>
          </cell>
          <cell r="G953" t="str">
            <v>ja</v>
          </cell>
          <cell r="H953" t="str">
            <v>【超ウィザード級】アンデルセン襲来</v>
          </cell>
          <cell r="I953" t="str">
            <v>超地獄級</v>
          </cell>
          <cell r="J953">
            <v>0</v>
          </cell>
          <cell r="K953">
            <v>40</v>
          </cell>
          <cell r="L953">
            <v>5200</v>
          </cell>
          <cell r="M953">
            <v>1</v>
          </cell>
          <cell r="N953">
            <v>1</v>
          </cell>
          <cell r="O953">
            <v>1</v>
          </cell>
          <cell r="P953">
            <v>1</v>
          </cell>
          <cell r="Q953">
            <v>1</v>
          </cell>
          <cell r="R953">
            <v>3</v>
          </cell>
          <cell r="S953" t="str">
            <v>character</v>
          </cell>
          <cell r="T953">
            <v>1379</v>
          </cell>
          <cell r="U953" t="str">
            <v>NULL</v>
          </cell>
          <cell r="V953" t="str">
            <v>NULL</v>
          </cell>
          <cell r="W953" t="str">
            <v/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 t="str">
            <v>anytime</v>
          </cell>
          <cell r="AC953">
            <v>974</v>
          </cell>
          <cell r="AD953">
            <v>6</v>
          </cell>
          <cell r="AE953" t="str">
            <v>everyone</v>
          </cell>
        </row>
        <row r="954">
          <cell r="A954" t="str">
            <v>50016_1</v>
          </cell>
          <cell r="B954">
            <v>1</v>
          </cell>
          <cell r="C954">
            <v>50016</v>
          </cell>
          <cell r="D954" t="str">
            <v>アレキサンダー襲来！</v>
          </cell>
          <cell r="E954" t="str">
            <v>超降臨15</v>
          </cell>
          <cell r="F954">
            <v>1</v>
          </cell>
          <cell r="G954" t="str">
            <v>ja</v>
          </cell>
          <cell r="H954" t="str">
            <v>【超ウィザ】アレキサンダー襲来</v>
          </cell>
          <cell r="I954" t="str">
            <v>超地獄級</v>
          </cell>
          <cell r="J954">
            <v>0</v>
          </cell>
          <cell r="K954">
            <v>40</v>
          </cell>
          <cell r="L954">
            <v>5200</v>
          </cell>
          <cell r="M954">
            <v>1</v>
          </cell>
          <cell r="N954">
            <v>1</v>
          </cell>
          <cell r="O954">
            <v>1</v>
          </cell>
          <cell r="P954">
            <v>1</v>
          </cell>
          <cell r="Q954">
            <v>1</v>
          </cell>
          <cell r="R954">
            <v>3</v>
          </cell>
          <cell r="S954" t="str">
            <v>character</v>
          </cell>
          <cell r="T954">
            <v>1442</v>
          </cell>
          <cell r="U954" t="str">
            <v>NULL</v>
          </cell>
          <cell r="V954" t="str">
            <v>NULL</v>
          </cell>
          <cell r="W954" t="str">
            <v/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 t="str">
            <v>anytime</v>
          </cell>
          <cell r="AC954">
            <v>989</v>
          </cell>
          <cell r="AD954">
            <v>6</v>
          </cell>
          <cell r="AE954" t="str">
            <v>everyone</v>
          </cell>
        </row>
        <row r="955">
          <cell r="A955" t="str">
            <v>51001_1</v>
          </cell>
          <cell r="B955">
            <v>3</v>
          </cell>
          <cell r="C955">
            <v>51001</v>
          </cell>
          <cell r="D955" t="str">
            <v>麒麟襲来！</v>
          </cell>
          <cell r="E955" t="str">
            <v>超降臨1</v>
          </cell>
          <cell r="F955">
            <v>1</v>
          </cell>
          <cell r="G955" t="str">
            <v>ja</v>
          </cell>
          <cell r="H955" t="str">
            <v xml:space="preserve">【超ウィザード級】麒麟襲来 </v>
          </cell>
          <cell r="I955" t="str">
            <v>超地獄級</v>
          </cell>
          <cell r="J955">
            <v>0</v>
          </cell>
          <cell r="K955">
            <v>40</v>
          </cell>
          <cell r="L955">
            <v>5200</v>
          </cell>
          <cell r="M955">
            <v>1</v>
          </cell>
          <cell r="N955">
            <v>1</v>
          </cell>
          <cell r="O955">
            <v>1</v>
          </cell>
          <cell r="P955">
            <v>1</v>
          </cell>
          <cell r="Q955">
            <v>1</v>
          </cell>
          <cell r="R955">
            <v>3</v>
          </cell>
          <cell r="S955" t="str">
            <v>character</v>
          </cell>
          <cell r="T955">
            <v>432</v>
          </cell>
          <cell r="U955" t="str">
            <v>NULL</v>
          </cell>
          <cell r="V955" t="str">
            <v>NULL</v>
          </cell>
          <cell r="W955" t="str">
            <v/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 t="str">
            <v>anytime</v>
          </cell>
          <cell r="AC955">
            <v>905</v>
          </cell>
          <cell r="AD955">
            <v>6</v>
          </cell>
          <cell r="AE955" t="str">
            <v>everyone</v>
          </cell>
        </row>
        <row r="956">
          <cell r="A956" t="str">
            <v>51002_1</v>
          </cell>
          <cell r="B956">
            <v>3</v>
          </cell>
          <cell r="C956">
            <v>51002</v>
          </cell>
          <cell r="D956" t="str">
            <v>オーディン襲来！</v>
          </cell>
          <cell r="E956" t="str">
            <v>超降臨2</v>
          </cell>
          <cell r="F956">
            <v>1</v>
          </cell>
          <cell r="G956" t="str">
            <v>ja</v>
          </cell>
          <cell r="H956" t="str">
            <v>【超ウィザード級】オーディン襲来</v>
          </cell>
          <cell r="I956" t="str">
            <v>超地獄級</v>
          </cell>
          <cell r="J956">
            <v>0</v>
          </cell>
          <cell r="K956">
            <v>40</v>
          </cell>
          <cell r="L956">
            <v>5200</v>
          </cell>
          <cell r="M956">
            <v>1</v>
          </cell>
          <cell r="N956">
            <v>1</v>
          </cell>
          <cell r="O956">
            <v>1</v>
          </cell>
          <cell r="P956">
            <v>1</v>
          </cell>
          <cell r="Q956">
            <v>1</v>
          </cell>
          <cell r="R956">
            <v>3</v>
          </cell>
          <cell r="S956" t="str">
            <v>character</v>
          </cell>
          <cell r="T956">
            <v>573</v>
          </cell>
          <cell r="U956" t="str">
            <v>NULL</v>
          </cell>
          <cell r="V956" t="str">
            <v>NULL</v>
          </cell>
          <cell r="W956" t="str">
            <v/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 t="str">
            <v>anytime</v>
          </cell>
          <cell r="AC956">
            <v>911</v>
          </cell>
          <cell r="AD956">
            <v>6</v>
          </cell>
          <cell r="AE956" t="str">
            <v>everyone</v>
          </cell>
        </row>
        <row r="957">
          <cell r="A957" t="str">
            <v>58001_1</v>
          </cell>
          <cell r="B957">
            <v>1</v>
          </cell>
          <cell r="C957">
            <v>58001</v>
          </cell>
          <cell r="D957" t="str">
            <v>曹操襲来！</v>
          </cell>
          <cell r="E957" t="str">
            <v>繁体字版超降臨1</v>
          </cell>
          <cell r="F957">
            <v>1</v>
          </cell>
          <cell r="G957" t="str">
            <v>ja</v>
          </cell>
          <cell r="H957" t="str">
            <v>【超ウィザード級】曹操襲来</v>
          </cell>
          <cell r="I957" t="str">
            <v>超地獄級</v>
          </cell>
          <cell r="J957">
            <v>0</v>
          </cell>
          <cell r="K957">
            <v>40</v>
          </cell>
          <cell r="L957">
            <v>5200</v>
          </cell>
          <cell r="M957">
            <v>1</v>
          </cell>
          <cell r="N957">
            <v>1</v>
          </cell>
          <cell r="O957">
            <v>1</v>
          </cell>
          <cell r="P957">
            <v>1</v>
          </cell>
          <cell r="Q957">
            <v>1</v>
          </cell>
          <cell r="R957">
            <v>3</v>
          </cell>
          <cell r="S957" t="str">
            <v>character</v>
          </cell>
          <cell r="T957">
            <v>8083</v>
          </cell>
          <cell r="U957" t="str">
            <v>NULL</v>
          </cell>
          <cell r="V957" t="str">
            <v>NULL</v>
          </cell>
          <cell r="W957" t="str">
            <v/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 t="str">
            <v>anytime</v>
          </cell>
          <cell r="AC957">
            <v>964</v>
          </cell>
          <cell r="AD957">
            <v>6</v>
          </cell>
          <cell r="AE957" t="str">
            <v>everyone</v>
          </cell>
        </row>
        <row r="958">
          <cell r="A958" t="str">
            <v>58002_1</v>
          </cell>
          <cell r="B958">
            <v>1</v>
          </cell>
          <cell r="C958">
            <v>58002</v>
          </cell>
          <cell r="D958" t="str">
            <v>始皇贏政襲来！</v>
          </cell>
          <cell r="E958" t="str">
            <v>繁体字版超降臨2</v>
          </cell>
          <cell r="F958">
            <v>1</v>
          </cell>
          <cell r="G958" t="str">
            <v>ja</v>
          </cell>
          <cell r="H958" t="str">
            <v>【超ウィザード級】始皇贏政襲来</v>
          </cell>
          <cell r="I958" t="str">
            <v>超地獄級</v>
          </cell>
          <cell r="J958">
            <v>0</v>
          </cell>
          <cell r="K958">
            <v>40</v>
          </cell>
          <cell r="L958">
            <v>5200</v>
          </cell>
          <cell r="M958">
            <v>1</v>
          </cell>
          <cell r="N958">
            <v>1</v>
          </cell>
          <cell r="O958">
            <v>1</v>
          </cell>
          <cell r="P958">
            <v>1</v>
          </cell>
          <cell r="Q958">
            <v>1</v>
          </cell>
          <cell r="R958">
            <v>3</v>
          </cell>
          <cell r="S958" t="str">
            <v>character</v>
          </cell>
          <cell r="T958">
            <v>1</v>
          </cell>
          <cell r="U958" t="str">
            <v>NULL</v>
          </cell>
          <cell r="V958" t="str">
            <v>NULL</v>
          </cell>
          <cell r="W958" t="str">
            <v/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 t="str">
            <v>anytime</v>
          </cell>
          <cell r="AC958">
            <v>1</v>
          </cell>
          <cell r="AD958">
            <v>6</v>
          </cell>
          <cell r="AE958" t="str">
            <v>everyone</v>
          </cell>
        </row>
        <row r="959">
          <cell r="A959" t="str">
            <v>59001_1</v>
          </cell>
          <cell r="B959">
            <v>3</v>
          </cell>
          <cell r="C959">
            <v>59001</v>
          </cell>
          <cell r="D959" t="str">
            <v>電子歌姫の堕天使</v>
          </cell>
          <cell r="E959" t="str">
            <v>コラボ超降臨1</v>
          </cell>
          <cell r="F959">
            <v>1</v>
          </cell>
          <cell r="G959" t="str">
            <v>ja</v>
          </cell>
          <cell r="H959" t="str">
            <v>【超ウィザード級】電子歌姫の堕天使</v>
          </cell>
          <cell r="I959" t="str">
            <v>超地獄級</v>
          </cell>
          <cell r="J959">
            <v>0</v>
          </cell>
          <cell r="K959">
            <v>30</v>
          </cell>
          <cell r="L959">
            <v>5200</v>
          </cell>
          <cell r="M959">
            <v>1</v>
          </cell>
          <cell r="N959">
            <v>1</v>
          </cell>
          <cell r="O959">
            <v>1</v>
          </cell>
          <cell r="P959">
            <v>1</v>
          </cell>
          <cell r="Q959">
            <v>1</v>
          </cell>
          <cell r="R959">
            <v>3</v>
          </cell>
          <cell r="S959" t="str">
            <v>character</v>
          </cell>
          <cell r="T959">
            <v>1306</v>
          </cell>
          <cell r="U959" t="str">
            <v>NULL</v>
          </cell>
          <cell r="V959" t="str">
            <v>NULL</v>
          </cell>
          <cell r="W959" t="str">
            <v/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 t="str">
            <v>anytime</v>
          </cell>
          <cell r="AC959">
            <v>968</v>
          </cell>
          <cell r="AD959">
            <v>6</v>
          </cell>
          <cell r="AE959" t="str">
            <v>everyone</v>
          </cell>
        </row>
        <row r="960">
          <cell r="A960" t="str">
            <v>59002_1</v>
          </cell>
          <cell r="B960">
            <v>3</v>
          </cell>
          <cell r="C960">
            <v>59002</v>
          </cell>
          <cell r="D960" t="str">
            <v>狂乱のネコ降臨</v>
          </cell>
          <cell r="E960" t="str">
            <v>コラボ超降臨2</v>
          </cell>
          <cell r="F960">
            <v>1</v>
          </cell>
          <cell r="G960" t="str">
            <v>ja</v>
          </cell>
          <cell r="H960" t="str">
            <v>【極ムズ】狂乱のネコ降臨</v>
          </cell>
          <cell r="I960" t="str">
            <v>超地獄級</v>
          </cell>
          <cell r="J960">
            <v>0</v>
          </cell>
          <cell r="K960">
            <v>34</v>
          </cell>
          <cell r="L960">
            <v>6000</v>
          </cell>
          <cell r="M960">
            <v>1</v>
          </cell>
          <cell r="N960">
            <v>1</v>
          </cell>
          <cell r="O960">
            <v>1</v>
          </cell>
          <cell r="P960">
            <v>1</v>
          </cell>
          <cell r="Q960">
            <v>1</v>
          </cell>
          <cell r="R960">
            <v>3</v>
          </cell>
          <cell r="S960" t="str">
            <v>polygon</v>
          </cell>
          <cell r="T960">
            <v>1</v>
          </cell>
          <cell r="U960" t="str">
            <v>NULL</v>
          </cell>
          <cell r="V960" t="str">
            <v>NULL</v>
          </cell>
          <cell r="W960" t="str">
            <v/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 t="str">
            <v>anytime</v>
          </cell>
          <cell r="AC960">
            <v>982</v>
          </cell>
          <cell r="AD960">
            <v>6</v>
          </cell>
          <cell r="AE960" t="str">
            <v>everyone</v>
          </cell>
        </row>
        <row r="961">
          <cell r="A961" t="str">
            <v>59003_1</v>
          </cell>
          <cell r="B961">
            <v>1</v>
          </cell>
          <cell r="C961">
            <v>59003</v>
          </cell>
          <cell r="D961" t="str">
            <v>風雷</v>
          </cell>
          <cell r="E961" t="str">
            <v>コラボ超降臨3</v>
          </cell>
          <cell r="F961">
            <v>1</v>
          </cell>
          <cell r="G961" t="str">
            <v>ja</v>
          </cell>
          <cell r="H961" t="str">
            <v>【ウィザード級】風雷</v>
          </cell>
          <cell r="I961" t="str">
            <v>地獄級</v>
          </cell>
          <cell r="J961">
            <v>0</v>
          </cell>
          <cell r="K961">
            <v>40</v>
          </cell>
          <cell r="L961">
            <v>4500</v>
          </cell>
          <cell r="M961">
            <v>1</v>
          </cell>
          <cell r="N961">
            <v>1</v>
          </cell>
          <cell r="O961">
            <v>1</v>
          </cell>
          <cell r="P961">
            <v>1</v>
          </cell>
          <cell r="Q961">
            <v>1</v>
          </cell>
          <cell r="R961">
            <v>3</v>
          </cell>
          <cell r="S961" t="str">
            <v>polygon</v>
          </cell>
          <cell r="T961">
            <v>1</v>
          </cell>
          <cell r="U961" t="str">
            <v>NULL</v>
          </cell>
          <cell r="V961" t="str">
            <v>NULL</v>
          </cell>
          <cell r="W961" t="str">
            <v/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 t="str">
            <v>anytime</v>
          </cell>
          <cell r="AC961">
            <v>1000</v>
          </cell>
          <cell r="AD961">
            <v>6</v>
          </cell>
          <cell r="AE961" t="str">
            <v>everyone</v>
          </cell>
        </row>
        <row r="962">
          <cell r="A962" t="str">
            <v>59003_2</v>
          </cell>
          <cell r="B962">
            <v>1</v>
          </cell>
          <cell r="C962">
            <v>59003</v>
          </cell>
          <cell r="D962" t="str">
            <v>風雷</v>
          </cell>
          <cell r="E962" t="str">
            <v>コラボ超降臨3</v>
          </cell>
          <cell r="F962">
            <v>2</v>
          </cell>
          <cell r="G962" t="str">
            <v>ja</v>
          </cell>
          <cell r="H962" t="str">
            <v>【超ウィザード級】風雷</v>
          </cell>
          <cell r="I962" t="str">
            <v>超地獄級</v>
          </cell>
          <cell r="J962">
            <v>0</v>
          </cell>
          <cell r="K962">
            <v>40</v>
          </cell>
          <cell r="L962">
            <v>5200</v>
          </cell>
          <cell r="M962">
            <v>1</v>
          </cell>
          <cell r="N962">
            <v>1</v>
          </cell>
          <cell r="O962">
            <v>1</v>
          </cell>
          <cell r="P962">
            <v>1</v>
          </cell>
          <cell r="Q962">
            <v>1</v>
          </cell>
          <cell r="R962">
            <v>3</v>
          </cell>
          <cell r="S962" t="str">
            <v>polygon</v>
          </cell>
          <cell r="T962">
            <v>1</v>
          </cell>
          <cell r="U962" t="str">
            <v>NULL</v>
          </cell>
          <cell r="V962" t="str">
            <v>NULL</v>
          </cell>
          <cell r="W962" t="str">
            <v/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 t="str">
            <v>anytime</v>
          </cell>
          <cell r="AC962">
            <v>1000</v>
          </cell>
          <cell r="AD962">
            <v>6</v>
          </cell>
          <cell r="AE962" t="str">
            <v>everyone</v>
          </cell>
        </row>
        <row r="963">
          <cell r="A963" t="str">
            <v>60001_1</v>
          </cell>
          <cell r="B963">
            <v>1</v>
          </cell>
          <cell r="C963">
            <v>60001</v>
          </cell>
          <cell r="D963" t="str">
            <v>ヘンペルチャレンジ</v>
          </cell>
          <cell r="E963" t="str">
            <v>ランキング1</v>
          </cell>
          <cell r="F963">
            <v>1</v>
          </cell>
          <cell r="G963" t="str">
            <v>ja</v>
          </cell>
          <cell r="H963" t="str">
            <v>[ウィザード] 第一回</v>
          </cell>
          <cell r="I963" t="str">
            <v>ランキング</v>
          </cell>
          <cell r="J963">
            <v>488</v>
          </cell>
          <cell r="K963">
            <v>5</v>
          </cell>
          <cell r="L963">
            <v>0</v>
          </cell>
          <cell r="M963">
            <v>1</v>
          </cell>
          <cell r="N963">
            <v>1</v>
          </cell>
          <cell r="O963">
            <v>1</v>
          </cell>
          <cell r="P963">
            <v>1</v>
          </cell>
          <cell r="Q963">
            <v>1</v>
          </cell>
          <cell r="R963">
            <v>3</v>
          </cell>
          <cell r="S963" t="str">
            <v>none</v>
          </cell>
          <cell r="T963">
            <v>0</v>
          </cell>
          <cell r="U963" t="str">
            <v>NULL</v>
          </cell>
          <cell r="V963" t="str">
            <v>NULL</v>
          </cell>
          <cell r="W963" t="str">
            <v/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 t="str">
            <v>anytime</v>
          </cell>
          <cell r="AC963">
            <v>911</v>
          </cell>
          <cell r="AD963">
            <v>6</v>
          </cell>
          <cell r="AE963" t="str">
            <v>singleonly</v>
          </cell>
        </row>
        <row r="964">
          <cell r="A964" t="str">
            <v>60002_1</v>
          </cell>
          <cell r="B964">
            <v>1</v>
          </cell>
          <cell r="C964">
            <v>60002</v>
          </cell>
          <cell r="D964" t="str">
            <v>ヘンペルチャレンジ</v>
          </cell>
          <cell r="E964" t="str">
            <v>ランキング1</v>
          </cell>
          <cell r="F964">
            <v>1</v>
          </cell>
          <cell r="G964" t="str">
            <v>ja</v>
          </cell>
          <cell r="H964" t="str">
            <v>[超級] 第2回　※Wizと難易度は同じ</v>
          </cell>
          <cell r="I964" t="str">
            <v>ランキング</v>
          </cell>
          <cell r="J964">
            <v>488</v>
          </cell>
          <cell r="K964">
            <v>5</v>
          </cell>
          <cell r="L964">
            <v>0</v>
          </cell>
          <cell r="M964">
            <v>1</v>
          </cell>
          <cell r="N964">
            <v>1</v>
          </cell>
          <cell r="O964">
            <v>1</v>
          </cell>
          <cell r="P964">
            <v>1</v>
          </cell>
          <cell r="Q964">
            <v>1</v>
          </cell>
          <cell r="R964">
            <v>3</v>
          </cell>
          <cell r="S964" t="str">
            <v>none</v>
          </cell>
          <cell r="T964">
            <v>0</v>
          </cell>
          <cell r="U964" t="str">
            <v>NULL</v>
          </cell>
          <cell r="V964" t="str">
            <v>NULL</v>
          </cell>
          <cell r="W964" t="str">
            <v/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 t="str">
            <v>anytime</v>
          </cell>
          <cell r="AC964">
            <v>911</v>
          </cell>
          <cell r="AD964">
            <v>6</v>
          </cell>
          <cell r="AE964" t="str">
            <v>singleonly</v>
          </cell>
        </row>
        <row r="965">
          <cell r="A965" t="str">
            <v>60002_2</v>
          </cell>
          <cell r="B965">
            <v>1</v>
          </cell>
          <cell r="C965">
            <v>60002</v>
          </cell>
          <cell r="D965" t="str">
            <v>ヘンペルチャレンジ</v>
          </cell>
          <cell r="E965" t="str">
            <v>ランキング1</v>
          </cell>
          <cell r="F965">
            <v>2</v>
          </cell>
          <cell r="G965" t="str">
            <v>ja</v>
          </cell>
          <cell r="H965" t="str">
            <v>[ウィザード] 第2回　※Wizと難易度は同じ</v>
          </cell>
          <cell r="I965" t="str">
            <v>ランキング</v>
          </cell>
          <cell r="J965">
            <v>488</v>
          </cell>
          <cell r="K965">
            <v>5</v>
          </cell>
          <cell r="L965">
            <v>0</v>
          </cell>
          <cell r="M965">
            <v>1</v>
          </cell>
          <cell r="N965">
            <v>1</v>
          </cell>
          <cell r="O965">
            <v>1</v>
          </cell>
          <cell r="P965">
            <v>1</v>
          </cell>
          <cell r="Q965">
            <v>1</v>
          </cell>
          <cell r="R965">
            <v>3</v>
          </cell>
          <cell r="S965" t="str">
            <v>none</v>
          </cell>
          <cell r="T965">
            <v>0</v>
          </cell>
          <cell r="U965" t="str">
            <v>NULL</v>
          </cell>
          <cell r="V965" t="str">
            <v>NULL</v>
          </cell>
          <cell r="W965" t="str">
            <v/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 t="str">
            <v>anytime</v>
          </cell>
          <cell r="AC965">
            <v>911</v>
          </cell>
          <cell r="AD965">
            <v>6</v>
          </cell>
          <cell r="AE965" t="str">
            <v>singleonly</v>
          </cell>
        </row>
        <row r="966">
          <cell r="A966" t="str">
            <v>60003_1</v>
          </cell>
          <cell r="B966">
            <v>1</v>
          </cell>
          <cell r="C966">
            <v>60003</v>
          </cell>
          <cell r="D966" t="str">
            <v>ヘンペルチャレンジ</v>
          </cell>
          <cell r="E966" t="str">
            <v>ランキング1</v>
          </cell>
          <cell r="F966">
            <v>1</v>
          </cell>
          <cell r="G966" t="str">
            <v>ja</v>
          </cell>
          <cell r="H966" t="str">
            <v>[中級] 第3回　</v>
          </cell>
          <cell r="I966" t="str">
            <v>ランキング</v>
          </cell>
          <cell r="J966">
            <v>488</v>
          </cell>
          <cell r="K966">
            <v>5</v>
          </cell>
          <cell r="L966">
            <v>0</v>
          </cell>
          <cell r="M966">
            <v>1</v>
          </cell>
          <cell r="N966">
            <v>1</v>
          </cell>
          <cell r="O966">
            <v>1</v>
          </cell>
          <cell r="P966">
            <v>1</v>
          </cell>
          <cell r="Q966">
            <v>1</v>
          </cell>
          <cell r="R966">
            <v>3</v>
          </cell>
          <cell r="S966" t="str">
            <v>none</v>
          </cell>
          <cell r="T966">
            <v>0</v>
          </cell>
          <cell r="U966" t="str">
            <v>NULL</v>
          </cell>
          <cell r="V966" t="str">
            <v>NULL</v>
          </cell>
          <cell r="W966" t="str">
            <v/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 t="str">
            <v>anytime</v>
          </cell>
          <cell r="AC966">
            <v>911</v>
          </cell>
          <cell r="AD966">
            <v>6</v>
          </cell>
          <cell r="AE966" t="str">
            <v>singleonly</v>
          </cell>
        </row>
        <row r="967">
          <cell r="A967" t="str">
            <v>60003_2</v>
          </cell>
          <cell r="B967">
            <v>1</v>
          </cell>
          <cell r="C967">
            <v>60003</v>
          </cell>
          <cell r="D967" t="str">
            <v>ヘンペルチャレンジ</v>
          </cell>
          <cell r="E967" t="str">
            <v>ランキング1</v>
          </cell>
          <cell r="F967">
            <v>2</v>
          </cell>
          <cell r="G967" t="str">
            <v>ja</v>
          </cell>
          <cell r="H967" t="str">
            <v>[超級] 第3回　</v>
          </cell>
          <cell r="I967" t="str">
            <v>ランキング</v>
          </cell>
          <cell r="J967">
            <v>488</v>
          </cell>
          <cell r="K967">
            <v>5</v>
          </cell>
          <cell r="L967">
            <v>0</v>
          </cell>
          <cell r="M967">
            <v>1</v>
          </cell>
          <cell r="N967">
            <v>1</v>
          </cell>
          <cell r="O967">
            <v>1</v>
          </cell>
          <cell r="P967">
            <v>1</v>
          </cell>
          <cell r="Q967">
            <v>1</v>
          </cell>
          <cell r="R967">
            <v>3</v>
          </cell>
          <cell r="S967" t="str">
            <v>none</v>
          </cell>
          <cell r="T967">
            <v>0</v>
          </cell>
          <cell r="U967">
            <v>60003</v>
          </cell>
          <cell r="V967">
            <v>1</v>
          </cell>
          <cell r="W967" t="str">
            <v>[中級] 第3回　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 t="str">
            <v>anytime</v>
          </cell>
          <cell r="AC967">
            <v>911</v>
          </cell>
          <cell r="AD967">
            <v>6</v>
          </cell>
          <cell r="AE967" t="str">
            <v>singleonly</v>
          </cell>
        </row>
        <row r="968">
          <cell r="A968" t="str">
            <v>60003_3</v>
          </cell>
          <cell r="B968">
            <v>1</v>
          </cell>
          <cell r="C968">
            <v>60003</v>
          </cell>
          <cell r="D968" t="str">
            <v>ヘンペルチャレンジ</v>
          </cell>
          <cell r="E968" t="str">
            <v>ランキング1</v>
          </cell>
          <cell r="F968">
            <v>3</v>
          </cell>
          <cell r="G968" t="str">
            <v>ja</v>
          </cell>
          <cell r="H968" t="str">
            <v>[ウィザード] 第3回　</v>
          </cell>
          <cell r="I968" t="str">
            <v>ランキング</v>
          </cell>
          <cell r="J968">
            <v>488</v>
          </cell>
          <cell r="K968">
            <v>5</v>
          </cell>
          <cell r="L968">
            <v>0</v>
          </cell>
          <cell r="M968">
            <v>1</v>
          </cell>
          <cell r="N968">
            <v>1</v>
          </cell>
          <cell r="O968">
            <v>1</v>
          </cell>
          <cell r="P968">
            <v>1</v>
          </cell>
          <cell r="Q968">
            <v>1</v>
          </cell>
          <cell r="R968">
            <v>3</v>
          </cell>
          <cell r="S968" t="str">
            <v>none</v>
          </cell>
          <cell r="T968">
            <v>0</v>
          </cell>
          <cell r="U968">
            <v>60003</v>
          </cell>
          <cell r="V968">
            <v>2</v>
          </cell>
          <cell r="W968" t="str">
            <v>[超級] 第3回　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 t="str">
            <v>anytime</v>
          </cell>
          <cell r="AC968">
            <v>911</v>
          </cell>
          <cell r="AD968">
            <v>6</v>
          </cell>
          <cell r="AE968" t="str">
            <v>singleonly</v>
          </cell>
        </row>
        <row r="969">
          <cell r="A969" t="str">
            <v>60004_1</v>
          </cell>
          <cell r="B969">
            <v>1</v>
          </cell>
          <cell r="C969">
            <v>60004</v>
          </cell>
          <cell r="D969" t="str">
            <v>ヘンペルチャレンジ</v>
          </cell>
          <cell r="E969" t="str">
            <v>ランキング1</v>
          </cell>
          <cell r="F969">
            <v>1</v>
          </cell>
          <cell r="G969" t="str">
            <v>ja</v>
          </cell>
          <cell r="H969" t="str">
            <v>[ウィザード] 第4回　</v>
          </cell>
          <cell r="I969" t="str">
            <v>ランキング</v>
          </cell>
          <cell r="J969">
            <v>488</v>
          </cell>
          <cell r="K969">
            <v>5</v>
          </cell>
          <cell r="L969">
            <v>0</v>
          </cell>
          <cell r="M969">
            <v>1</v>
          </cell>
          <cell r="N969">
            <v>1</v>
          </cell>
          <cell r="O969">
            <v>1</v>
          </cell>
          <cell r="P969">
            <v>1</v>
          </cell>
          <cell r="Q969">
            <v>1</v>
          </cell>
          <cell r="R969">
            <v>3</v>
          </cell>
          <cell r="S969" t="str">
            <v>none</v>
          </cell>
          <cell r="T969">
            <v>0</v>
          </cell>
          <cell r="U969" t="str">
            <v>NULL</v>
          </cell>
          <cell r="V969" t="str">
            <v>NULL</v>
          </cell>
          <cell r="W969" t="str">
            <v/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 t="str">
            <v>anytime</v>
          </cell>
          <cell r="AC969">
            <v>911</v>
          </cell>
          <cell r="AD969">
            <v>6</v>
          </cell>
          <cell r="AE969" t="str">
            <v>singleonly</v>
          </cell>
        </row>
        <row r="970">
          <cell r="A970" t="str">
            <v>60005_1</v>
          </cell>
          <cell r="B970">
            <v>1</v>
          </cell>
          <cell r="C970">
            <v>60005</v>
          </cell>
          <cell r="D970" t="str">
            <v>オイラーチャレンジ</v>
          </cell>
          <cell r="E970" t="str">
            <v>ランキング1</v>
          </cell>
          <cell r="F970">
            <v>1</v>
          </cell>
          <cell r="G970" t="str">
            <v>ja</v>
          </cell>
          <cell r="H970" t="str">
            <v>[ウィザード] 第5回　</v>
          </cell>
          <cell r="I970" t="str">
            <v>ランキング</v>
          </cell>
          <cell r="J970">
            <v>379</v>
          </cell>
          <cell r="K970">
            <v>5</v>
          </cell>
          <cell r="L970">
            <v>0</v>
          </cell>
          <cell r="M970">
            <v>1</v>
          </cell>
          <cell r="N970">
            <v>1</v>
          </cell>
          <cell r="O970">
            <v>1</v>
          </cell>
          <cell r="P970">
            <v>1</v>
          </cell>
          <cell r="Q970">
            <v>1</v>
          </cell>
          <cell r="R970">
            <v>3</v>
          </cell>
          <cell r="S970" t="str">
            <v>none</v>
          </cell>
          <cell r="T970">
            <v>0</v>
          </cell>
          <cell r="U970" t="str">
            <v>NULL</v>
          </cell>
          <cell r="V970" t="str">
            <v>NULL</v>
          </cell>
          <cell r="W970" t="str">
            <v/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 t="str">
            <v>anytime</v>
          </cell>
          <cell r="AC970">
            <v>923</v>
          </cell>
          <cell r="AD970">
            <v>6</v>
          </cell>
          <cell r="AE970" t="str">
            <v>singleonly</v>
          </cell>
        </row>
        <row r="971">
          <cell r="A971" t="str">
            <v>60006_1</v>
          </cell>
          <cell r="B971">
            <v>0</v>
          </cell>
          <cell r="C971">
            <v>60006</v>
          </cell>
          <cell r="D971" t="str">
            <v>オイラーチャレンジ</v>
          </cell>
          <cell r="E971" t="str">
            <v>ランキング1（本番実装用）</v>
          </cell>
          <cell r="F971">
            <v>1</v>
          </cell>
          <cell r="G971" t="str">
            <v>ja</v>
          </cell>
          <cell r="H971" t="str">
            <v>【中級】オイラーチャレンジ</v>
          </cell>
          <cell r="I971" t="str">
            <v>中級</v>
          </cell>
          <cell r="J971">
            <v>378</v>
          </cell>
          <cell r="K971">
            <v>15</v>
          </cell>
          <cell r="L971">
            <v>1200</v>
          </cell>
          <cell r="M971">
            <v>1</v>
          </cell>
          <cell r="N971">
            <v>1</v>
          </cell>
          <cell r="O971">
            <v>1</v>
          </cell>
          <cell r="P971">
            <v>1</v>
          </cell>
          <cell r="Q971">
            <v>1</v>
          </cell>
          <cell r="R971">
            <v>3</v>
          </cell>
          <cell r="S971" t="str">
            <v>none</v>
          </cell>
          <cell r="T971">
            <v>0</v>
          </cell>
          <cell r="U971">
            <v>60006</v>
          </cell>
          <cell r="V971">
            <v>1</v>
          </cell>
          <cell r="W971" t="str">
            <v>【中級】オイラーチャレンジ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 t="str">
            <v>anytime</v>
          </cell>
          <cell r="AC971">
            <v>923</v>
          </cell>
          <cell r="AD971">
            <v>6</v>
          </cell>
          <cell r="AE971" t="str">
            <v>singleonly</v>
          </cell>
        </row>
        <row r="972">
          <cell r="A972" t="str">
            <v>60006_2</v>
          </cell>
          <cell r="B972">
            <v>0</v>
          </cell>
          <cell r="C972">
            <v>60006</v>
          </cell>
          <cell r="D972" t="str">
            <v>オイラーチャレンジ</v>
          </cell>
          <cell r="E972" t="str">
            <v>ランキング1（本番実装用）</v>
          </cell>
          <cell r="F972">
            <v>2</v>
          </cell>
          <cell r="G972" t="str">
            <v>ja</v>
          </cell>
          <cell r="H972" t="str">
            <v>【超級】オイラーチャレンジ</v>
          </cell>
          <cell r="I972" t="str">
            <v>超級</v>
          </cell>
          <cell r="J972">
            <v>378</v>
          </cell>
          <cell r="K972">
            <v>30</v>
          </cell>
          <cell r="L972">
            <v>3300</v>
          </cell>
          <cell r="M972">
            <v>1</v>
          </cell>
          <cell r="N972">
            <v>1</v>
          </cell>
          <cell r="O972">
            <v>1</v>
          </cell>
          <cell r="P972">
            <v>1</v>
          </cell>
          <cell r="Q972">
            <v>1</v>
          </cell>
          <cell r="R972">
            <v>3</v>
          </cell>
          <cell r="S972" t="str">
            <v>none</v>
          </cell>
          <cell r="T972">
            <v>0</v>
          </cell>
          <cell r="U972">
            <v>60006</v>
          </cell>
          <cell r="V972">
            <v>2</v>
          </cell>
          <cell r="W972" t="str">
            <v>【超級】オイラーチャレンジ</v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 t="str">
            <v>anytime</v>
          </cell>
          <cell r="AC972">
            <v>923</v>
          </cell>
          <cell r="AD972">
            <v>6</v>
          </cell>
          <cell r="AE972" t="str">
            <v>singleonly</v>
          </cell>
        </row>
        <row r="973">
          <cell r="A973" t="str">
            <v>60006_3</v>
          </cell>
          <cell r="B973">
            <v>3</v>
          </cell>
          <cell r="C973">
            <v>60006</v>
          </cell>
          <cell r="D973" t="str">
            <v>オイラーチャレンジ</v>
          </cell>
          <cell r="E973" t="str">
            <v>ランキング1（本番実装用）</v>
          </cell>
          <cell r="F973">
            <v>3</v>
          </cell>
          <cell r="G973" t="str">
            <v>ja</v>
          </cell>
          <cell r="H973" t="str">
            <v>【ウィザード級】オイラーチャレンジ</v>
          </cell>
          <cell r="I973" t="str">
            <v>ウィザード級</v>
          </cell>
          <cell r="J973">
            <v>379</v>
          </cell>
          <cell r="K973">
            <v>35</v>
          </cell>
          <cell r="L973">
            <v>4200</v>
          </cell>
          <cell r="M973">
            <v>1</v>
          </cell>
          <cell r="N973">
            <v>1</v>
          </cell>
          <cell r="O973">
            <v>1</v>
          </cell>
          <cell r="P973">
            <v>1</v>
          </cell>
          <cell r="Q973">
            <v>1</v>
          </cell>
          <cell r="R973">
            <v>3</v>
          </cell>
          <cell r="S973" t="str">
            <v>none</v>
          </cell>
          <cell r="T973">
            <v>0</v>
          </cell>
          <cell r="U973">
            <v>60006</v>
          </cell>
          <cell r="V973">
            <v>3</v>
          </cell>
          <cell r="W973" t="str">
            <v>【ウィザード級】オイラーチャレンジ</v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 t="str">
            <v>anytime</v>
          </cell>
          <cell r="AC973">
            <v>923</v>
          </cell>
          <cell r="AD973">
            <v>6</v>
          </cell>
          <cell r="AE973" t="str">
            <v>singleonly</v>
          </cell>
        </row>
        <row r="974">
          <cell r="A974" t="str">
            <v>60007_1</v>
          </cell>
          <cell r="B974">
            <v>0</v>
          </cell>
          <cell r="C974">
            <v>60007</v>
          </cell>
          <cell r="D974" t="str">
            <v>オイラーチャレンジ</v>
          </cell>
          <cell r="E974" t="str">
            <v>ランキング1（改修版）</v>
          </cell>
          <cell r="F974">
            <v>1</v>
          </cell>
          <cell r="G974" t="str">
            <v>ja</v>
          </cell>
          <cell r="H974" t="str">
            <v>【中級】オイラーチャレンジ</v>
          </cell>
          <cell r="I974" t="str">
            <v>中級</v>
          </cell>
          <cell r="J974">
            <v>378</v>
          </cell>
          <cell r="K974">
            <v>15</v>
          </cell>
          <cell r="L974">
            <v>1200</v>
          </cell>
          <cell r="M974">
            <v>1</v>
          </cell>
          <cell r="N974">
            <v>1</v>
          </cell>
          <cell r="O974">
            <v>1</v>
          </cell>
          <cell r="P974">
            <v>1</v>
          </cell>
          <cell r="Q974">
            <v>1</v>
          </cell>
          <cell r="R974">
            <v>3</v>
          </cell>
          <cell r="S974" t="str">
            <v>none</v>
          </cell>
          <cell r="T974">
            <v>0</v>
          </cell>
          <cell r="U974" t="str">
            <v>NULL</v>
          </cell>
          <cell r="V974" t="str">
            <v>NULL</v>
          </cell>
          <cell r="W974" t="str">
            <v/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 t="str">
            <v>anytime</v>
          </cell>
          <cell r="AC974">
            <v>923</v>
          </cell>
          <cell r="AD974">
            <v>6</v>
          </cell>
          <cell r="AE974" t="str">
            <v>singleonly</v>
          </cell>
        </row>
        <row r="975">
          <cell r="A975" t="str">
            <v>60007_2</v>
          </cell>
          <cell r="B975">
            <v>0</v>
          </cell>
          <cell r="C975">
            <v>60007</v>
          </cell>
          <cell r="D975" t="str">
            <v>オイラーチャレンジ</v>
          </cell>
          <cell r="E975" t="str">
            <v>ランキング1（改修版）</v>
          </cell>
          <cell r="F975">
            <v>2</v>
          </cell>
          <cell r="G975" t="str">
            <v>ja</v>
          </cell>
          <cell r="H975" t="str">
            <v>【超級】オイラーチャレンジ</v>
          </cell>
          <cell r="I975" t="str">
            <v>超級</v>
          </cell>
          <cell r="J975">
            <v>378</v>
          </cell>
          <cell r="K975">
            <v>30</v>
          </cell>
          <cell r="L975">
            <v>3300</v>
          </cell>
          <cell r="M975">
            <v>1</v>
          </cell>
          <cell r="N975">
            <v>1</v>
          </cell>
          <cell r="O975">
            <v>1</v>
          </cell>
          <cell r="P975">
            <v>1</v>
          </cell>
          <cell r="Q975">
            <v>1</v>
          </cell>
          <cell r="R975">
            <v>3</v>
          </cell>
          <cell r="S975" t="str">
            <v>none</v>
          </cell>
          <cell r="T975">
            <v>0</v>
          </cell>
          <cell r="U975" t="str">
            <v>NULL</v>
          </cell>
          <cell r="V975" t="str">
            <v>NULL</v>
          </cell>
          <cell r="W975" t="str">
            <v/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 t="str">
            <v>anytime</v>
          </cell>
          <cell r="AC975">
            <v>923</v>
          </cell>
          <cell r="AD975">
            <v>6</v>
          </cell>
          <cell r="AE975" t="str">
            <v>singleonly</v>
          </cell>
        </row>
        <row r="976">
          <cell r="A976" t="str">
            <v>60007_3</v>
          </cell>
          <cell r="B976">
            <v>3</v>
          </cell>
          <cell r="C976">
            <v>60007</v>
          </cell>
          <cell r="D976" t="str">
            <v>オイラーチャレンジ</v>
          </cell>
          <cell r="E976" t="str">
            <v>ランキング1（改修版）</v>
          </cell>
          <cell r="F976">
            <v>3</v>
          </cell>
          <cell r="G976" t="str">
            <v>ja</v>
          </cell>
          <cell r="H976" t="str">
            <v>【ウィザード級】オイラーチャレンジ</v>
          </cell>
          <cell r="I976" t="str">
            <v>ウィザード級</v>
          </cell>
          <cell r="J976">
            <v>379</v>
          </cell>
          <cell r="K976">
            <v>35</v>
          </cell>
          <cell r="L976">
            <v>4200</v>
          </cell>
          <cell r="M976">
            <v>1</v>
          </cell>
          <cell r="N976">
            <v>1</v>
          </cell>
          <cell r="O976">
            <v>1</v>
          </cell>
          <cell r="P976">
            <v>1</v>
          </cell>
          <cell r="Q976">
            <v>1</v>
          </cell>
          <cell r="R976">
            <v>3</v>
          </cell>
          <cell r="S976" t="str">
            <v>none</v>
          </cell>
          <cell r="T976">
            <v>0</v>
          </cell>
          <cell r="U976" t="str">
            <v>NULL</v>
          </cell>
          <cell r="V976" t="str">
            <v>NULL</v>
          </cell>
          <cell r="W976" t="str">
            <v/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 t="str">
            <v>anytime</v>
          </cell>
          <cell r="AC976">
            <v>923</v>
          </cell>
          <cell r="AD976">
            <v>6</v>
          </cell>
          <cell r="AE976" t="str">
            <v>singleonly</v>
          </cell>
        </row>
        <row r="977">
          <cell r="A977" t="str">
            <v>60010_1</v>
          </cell>
          <cell r="B977">
            <v>3</v>
          </cell>
          <cell r="C977">
            <v>60010</v>
          </cell>
          <cell r="D977" t="str">
            <v>ラグランジュチャレンジ</v>
          </cell>
          <cell r="E977" t="str">
            <v>ランキング2（ラグランジュ）</v>
          </cell>
          <cell r="F977">
            <v>1</v>
          </cell>
          <cell r="G977" t="str">
            <v>ja</v>
          </cell>
          <cell r="H977" t="str">
            <v>ラグランジュチャレンジ</v>
          </cell>
          <cell r="I977" t="str">
            <v>ウィザード級</v>
          </cell>
          <cell r="J977">
            <v>796</v>
          </cell>
          <cell r="K977">
            <v>35</v>
          </cell>
          <cell r="L977">
            <v>4200</v>
          </cell>
          <cell r="M977">
            <v>1</v>
          </cell>
          <cell r="N977">
            <v>1</v>
          </cell>
          <cell r="O977">
            <v>1</v>
          </cell>
          <cell r="P977">
            <v>1</v>
          </cell>
          <cell r="Q977">
            <v>1</v>
          </cell>
          <cell r="R977">
            <v>3</v>
          </cell>
          <cell r="S977" t="str">
            <v>none</v>
          </cell>
          <cell r="T977">
            <v>0</v>
          </cell>
          <cell r="U977" t="str">
            <v>NULL</v>
          </cell>
          <cell r="V977" t="str">
            <v>NULL</v>
          </cell>
          <cell r="W977" t="str">
            <v/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 t="str">
            <v>anytime</v>
          </cell>
          <cell r="AC977">
            <v>922</v>
          </cell>
          <cell r="AD977">
            <v>6</v>
          </cell>
          <cell r="AE977" t="str">
            <v>singleonly</v>
          </cell>
        </row>
        <row r="978">
          <cell r="A978" t="str">
            <v>60011_1</v>
          </cell>
          <cell r="B978">
            <v>3</v>
          </cell>
          <cell r="C978">
            <v>60011</v>
          </cell>
          <cell r="D978" t="str">
            <v>ユークリッドチャレンジ</v>
          </cell>
          <cell r="E978" t="str">
            <v>ランキング3（ユークリッド）</v>
          </cell>
          <cell r="F978">
            <v>1</v>
          </cell>
          <cell r="G978" t="str">
            <v>ja</v>
          </cell>
          <cell r="H978" t="str">
            <v>ウィザード級</v>
          </cell>
          <cell r="I978" t="str">
            <v>ウィザード級</v>
          </cell>
          <cell r="J978">
            <v>690</v>
          </cell>
          <cell r="K978">
            <v>35</v>
          </cell>
          <cell r="L978">
            <v>4200</v>
          </cell>
          <cell r="M978">
            <v>1</v>
          </cell>
          <cell r="N978">
            <v>1</v>
          </cell>
          <cell r="O978">
            <v>1</v>
          </cell>
          <cell r="P978">
            <v>1</v>
          </cell>
          <cell r="Q978">
            <v>1</v>
          </cell>
          <cell r="R978">
            <v>3</v>
          </cell>
          <cell r="S978" t="str">
            <v>none</v>
          </cell>
          <cell r="T978">
            <v>0</v>
          </cell>
          <cell r="U978" t="str">
            <v>NULL</v>
          </cell>
          <cell r="V978" t="str">
            <v>NULL</v>
          </cell>
          <cell r="W978" t="str">
            <v/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 t="str">
            <v>anytime</v>
          </cell>
          <cell r="AC978">
            <v>924</v>
          </cell>
          <cell r="AD978">
            <v>6</v>
          </cell>
          <cell r="AE978" t="str">
            <v>singleonly</v>
          </cell>
        </row>
        <row r="979">
          <cell r="A979" t="str">
            <v>60011_2</v>
          </cell>
          <cell r="B979">
            <v>1</v>
          </cell>
          <cell r="C979">
            <v>60011</v>
          </cell>
          <cell r="D979" t="str">
            <v>ユークリッドチャレンジ</v>
          </cell>
          <cell r="E979" t="str">
            <v>ランキング3（ユークリッド）</v>
          </cell>
          <cell r="F979">
            <v>2</v>
          </cell>
          <cell r="G979" t="str">
            <v>ja</v>
          </cell>
          <cell r="H979" t="str">
            <v>超絶級</v>
          </cell>
          <cell r="I979" t="str">
            <v>ウィザード級</v>
          </cell>
          <cell r="J979">
            <v>690</v>
          </cell>
          <cell r="K979">
            <v>30</v>
          </cell>
          <cell r="L979">
            <v>3300</v>
          </cell>
          <cell r="M979">
            <v>1</v>
          </cell>
          <cell r="N979">
            <v>1</v>
          </cell>
          <cell r="O979">
            <v>1</v>
          </cell>
          <cell r="P979">
            <v>1</v>
          </cell>
          <cell r="Q979">
            <v>1</v>
          </cell>
          <cell r="R979">
            <v>3</v>
          </cell>
          <cell r="S979" t="str">
            <v>none</v>
          </cell>
          <cell r="T979">
            <v>0</v>
          </cell>
          <cell r="U979" t="str">
            <v>NULL</v>
          </cell>
          <cell r="V979" t="str">
            <v>NULL</v>
          </cell>
          <cell r="W979" t="str">
            <v/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 t="str">
            <v>anytime</v>
          </cell>
          <cell r="AC979">
            <v>924</v>
          </cell>
          <cell r="AD979">
            <v>6</v>
          </cell>
          <cell r="AE979" t="str">
            <v>singleonly</v>
          </cell>
        </row>
        <row r="980">
          <cell r="A980" t="str">
            <v>60012_1</v>
          </cell>
          <cell r="B980">
            <v>3</v>
          </cell>
          <cell r="C980">
            <v>60012</v>
          </cell>
          <cell r="D980" t="str">
            <v>ユークリッドチャレンジ</v>
          </cell>
          <cell r="E980" t="str">
            <v>ランキング3（ユークリッド）</v>
          </cell>
          <cell r="F980">
            <v>1</v>
          </cell>
          <cell r="G980" t="str">
            <v>ja</v>
          </cell>
          <cell r="H980" t="str">
            <v>ユークリッドチャレンジ</v>
          </cell>
          <cell r="I980" t="str">
            <v>ウィザード級</v>
          </cell>
          <cell r="J980">
            <v>690</v>
          </cell>
          <cell r="K980">
            <v>35</v>
          </cell>
          <cell r="L980">
            <v>4200</v>
          </cell>
          <cell r="M980">
            <v>1</v>
          </cell>
          <cell r="N980">
            <v>1</v>
          </cell>
          <cell r="O980">
            <v>1</v>
          </cell>
          <cell r="P980">
            <v>1</v>
          </cell>
          <cell r="Q980">
            <v>1</v>
          </cell>
          <cell r="R980">
            <v>3</v>
          </cell>
          <cell r="S980" t="str">
            <v>none</v>
          </cell>
          <cell r="T980">
            <v>0</v>
          </cell>
          <cell r="U980" t="str">
            <v>NULL</v>
          </cell>
          <cell r="V980" t="str">
            <v>NULL</v>
          </cell>
          <cell r="W980" t="str">
            <v/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 t="str">
            <v>anytime</v>
          </cell>
          <cell r="AC980">
            <v>924</v>
          </cell>
          <cell r="AD980">
            <v>6</v>
          </cell>
          <cell r="AE980" t="str">
            <v>singleonly</v>
          </cell>
        </row>
        <row r="981">
          <cell r="A981" t="str">
            <v>60013_1</v>
          </cell>
          <cell r="B981">
            <v>0</v>
          </cell>
          <cell r="C981">
            <v>60013</v>
          </cell>
          <cell r="D981" t="str">
            <v>オイラーチャレンジ</v>
          </cell>
          <cell r="E981" t="str">
            <v>ランキング1（再開催版）</v>
          </cell>
          <cell r="F981">
            <v>1</v>
          </cell>
          <cell r="G981" t="str">
            <v>ja</v>
          </cell>
          <cell r="H981" t="str">
            <v>【中級】オイラーチャレンジ</v>
          </cell>
          <cell r="I981" t="str">
            <v>中級</v>
          </cell>
          <cell r="J981">
            <v>378</v>
          </cell>
          <cell r="K981">
            <v>15</v>
          </cell>
          <cell r="L981">
            <v>1200</v>
          </cell>
          <cell r="M981">
            <v>1</v>
          </cell>
          <cell r="N981">
            <v>1</v>
          </cell>
          <cell r="O981">
            <v>1</v>
          </cell>
          <cell r="P981">
            <v>1</v>
          </cell>
          <cell r="Q981">
            <v>1</v>
          </cell>
          <cell r="R981">
            <v>3</v>
          </cell>
          <cell r="S981" t="str">
            <v>none</v>
          </cell>
          <cell r="T981">
            <v>0</v>
          </cell>
          <cell r="U981" t="str">
            <v>NULL</v>
          </cell>
          <cell r="V981" t="str">
            <v>NULL</v>
          </cell>
          <cell r="W981" t="str">
            <v/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 t="str">
            <v>anytime</v>
          </cell>
          <cell r="AC981">
            <v>923</v>
          </cell>
          <cell r="AD981">
            <v>6</v>
          </cell>
          <cell r="AE981" t="str">
            <v>singleonly</v>
          </cell>
        </row>
        <row r="982">
          <cell r="A982" t="str">
            <v>60013_2</v>
          </cell>
          <cell r="B982">
            <v>0</v>
          </cell>
          <cell r="C982">
            <v>60013</v>
          </cell>
          <cell r="D982" t="str">
            <v>オイラーチャレンジ</v>
          </cell>
          <cell r="E982" t="str">
            <v>ランキング1（再開催版）</v>
          </cell>
          <cell r="F982">
            <v>2</v>
          </cell>
          <cell r="G982" t="str">
            <v>ja</v>
          </cell>
          <cell r="H982" t="str">
            <v>【超級】オイラーチャレンジ</v>
          </cell>
          <cell r="I982" t="str">
            <v>超級</v>
          </cell>
          <cell r="J982">
            <v>378</v>
          </cell>
          <cell r="K982">
            <v>30</v>
          </cell>
          <cell r="L982">
            <v>3300</v>
          </cell>
          <cell r="M982">
            <v>1</v>
          </cell>
          <cell r="N982">
            <v>1</v>
          </cell>
          <cell r="O982">
            <v>1</v>
          </cell>
          <cell r="P982">
            <v>1</v>
          </cell>
          <cell r="Q982">
            <v>1</v>
          </cell>
          <cell r="R982">
            <v>3</v>
          </cell>
          <cell r="S982" t="str">
            <v>none</v>
          </cell>
          <cell r="T982">
            <v>0</v>
          </cell>
          <cell r="U982" t="str">
            <v>NULL</v>
          </cell>
          <cell r="V982" t="str">
            <v>NULL</v>
          </cell>
          <cell r="W982" t="str">
            <v/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 t="str">
            <v>anytime</v>
          </cell>
          <cell r="AC982">
            <v>923</v>
          </cell>
          <cell r="AD982">
            <v>6</v>
          </cell>
          <cell r="AE982" t="str">
            <v>singleonly</v>
          </cell>
        </row>
        <row r="983">
          <cell r="A983" t="str">
            <v>60013_3</v>
          </cell>
          <cell r="B983">
            <v>3</v>
          </cell>
          <cell r="C983">
            <v>60013</v>
          </cell>
          <cell r="D983" t="str">
            <v>オイラーチャレンジ</v>
          </cell>
          <cell r="E983" t="str">
            <v>ランキング1（再開催版）</v>
          </cell>
          <cell r="F983">
            <v>3</v>
          </cell>
          <cell r="G983" t="str">
            <v>ja</v>
          </cell>
          <cell r="H983" t="str">
            <v>【ウィザード級】オイラーチャレンジ</v>
          </cell>
          <cell r="I983" t="str">
            <v>ウィザード級</v>
          </cell>
          <cell r="J983">
            <v>379</v>
          </cell>
          <cell r="K983">
            <v>35</v>
          </cell>
          <cell r="L983">
            <v>4200</v>
          </cell>
          <cell r="M983">
            <v>1</v>
          </cell>
          <cell r="N983">
            <v>1</v>
          </cell>
          <cell r="O983">
            <v>1</v>
          </cell>
          <cell r="P983">
            <v>1</v>
          </cell>
          <cell r="Q983">
            <v>1</v>
          </cell>
          <cell r="R983">
            <v>3</v>
          </cell>
          <cell r="S983" t="str">
            <v>none</v>
          </cell>
          <cell r="T983">
            <v>0</v>
          </cell>
          <cell r="U983" t="str">
            <v>NULL</v>
          </cell>
          <cell r="V983" t="str">
            <v>NULL</v>
          </cell>
          <cell r="W983" t="str">
            <v/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 t="str">
            <v>anytime</v>
          </cell>
          <cell r="AC983">
            <v>923</v>
          </cell>
          <cell r="AD983">
            <v>6</v>
          </cell>
          <cell r="AE983" t="str">
            <v>singleonly</v>
          </cell>
        </row>
        <row r="984">
          <cell r="A984" t="str">
            <v>60014_1</v>
          </cell>
          <cell r="B984">
            <v>3</v>
          </cell>
          <cell r="C984">
            <v>60014</v>
          </cell>
          <cell r="D984" t="str">
            <v xml:space="preserve">クロネッカーチャレンジ </v>
          </cell>
          <cell r="E984" t="str">
            <v>ランキング4（クロネッカー）</v>
          </cell>
          <cell r="F984">
            <v>1</v>
          </cell>
          <cell r="G984" t="str">
            <v>ja</v>
          </cell>
          <cell r="H984" t="str">
            <v>クロネッカーチャレンジ</v>
          </cell>
          <cell r="I984" t="str">
            <v>ウィザード級</v>
          </cell>
          <cell r="J984">
            <v>761</v>
          </cell>
          <cell r="K984">
            <v>35</v>
          </cell>
          <cell r="L984">
            <v>4200</v>
          </cell>
          <cell r="M984">
            <v>1</v>
          </cell>
          <cell r="N984">
            <v>1</v>
          </cell>
          <cell r="O984">
            <v>1</v>
          </cell>
          <cell r="P984">
            <v>1</v>
          </cell>
          <cell r="Q984">
            <v>1</v>
          </cell>
          <cell r="R984">
            <v>3</v>
          </cell>
          <cell r="S984" t="str">
            <v>none</v>
          </cell>
          <cell r="T984">
            <v>0</v>
          </cell>
          <cell r="U984" t="str">
            <v>NULL</v>
          </cell>
          <cell r="V984" t="str">
            <v>NULL</v>
          </cell>
          <cell r="W984" t="str">
            <v/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  <cell r="AB984" t="str">
            <v>anytime</v>
          </cell>
          <cell r="AC984">
            <v>925</v>
          </cell>
          <cell r="AD984">
            <v>6</v>
          </cell>
          <cell r="AE984" t="str">
            <v>singleonly</v>
          </cell>
        </row>
        <row r="985">
          <cell r="A985" t="str">
            <v>60015_1</v>
          </cell>
          <cell r="B985">
            <v>3</v>
          </cell>
          <cell r="C985">
            <v>60015</v>
          </cell>
          <cell r="D985" t="str">
            <v>ラグランジュチャレンジ</v>
          </cell>
          <cell r="E985" t="str">
            <v>ランキング2（再開催）</v>
          </cell>
          <cell r="F985">
            <v>1</v>
          </cell>
          <cell r="G985" t="str">
            <v>ja</v>
          </cell>
          <cell r="H985" t="str">
            <v>ラグランジュチャレンジ</v>
          </cell>
          <cell r="I985" t="str">
            <v>ウィザード級</v>
          </cell>
          <cell r="J985">
            <v>796</v>
          </cell>
          <cell r="K985">
            <v>35</v>
          </cell>
          <cell r="L985">
            <v>4200</v>
          </cell>
          <cell r="M985">
            <v>1</v>
          </cell>
          <cell r="N985">
            <v>1</v>
          </cell>
          <cell r="O985">
            <v>1</v>
          </cell>
          <cell r="P985">
            <v>1</v>
          </cell>
          <cell r="Q985">
            <v>1</v>
          </cell>
          <cell r="R985">
            <v>3</v>
          </cell>
          <cell r="S985" t="str">
            <v>none</v>
          </cell>
          <cell r="T985">
            <v>0</v>
          </cell>
          <cell r="U985" t="str">
            <v>NULL</v>
          </cell>
          <cell r="V985" t="str">
            <v>NULL</v>
          </cell>
          <cell r="W985" t="str">
            <v/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  <cell r="AB985" t="str">
            <v>anytime</v>
          </cell>
          <cell r="AC985">
            <v>922</v>
          </cell>
          <cell r="AD985">
            <v>6</v>
          </cell>
          <cell r="AE985" t="str">
            <v>singleonly</v>
          </cell>
        </row>
        <row r="986">
          <cell r="A986" t="str">
            <v>60016_1</v>
          </cell>
          <cell r="B986">
            <v>3</v>
          </cell>
          <cell r="C986">
            <v>60016</v>
          </cell>
          <cell r="D986" t="str">
            <v>シュレディンガーチャレンジ</v>
          </cell>
          <cell r="E986" t="str">
            <v>ランキング5（シュレディンガー）</v>
          </cell>
          <cell r="F986">
            <v>1</v>
          </cell>
          <cell r="G986" t="str">
            <v>ja</v>
          </cell>
          <cell r="H986" t="str">
            <v>シュレディンガーチャレンジ</v>
          </cell>
          <cell r="I986" t="str">
            <v>ウィザード級</v>
          </cell>
          <cell r="J986">
            <v>797</v>
          </cell>
          <cell r="K986">
            <v>35</v>
          </cell>
          <cell r="L986">
            <v>4200</v>
          </cell>
          <cell r="M986">
            <v>1</v>
          </cell>
          <cell r="N986">
            <v>1</v>
          </cell>
          <cell r="O986">
            <v>1</v>
          </cell>
          <cell r="P986">
            <v>1</v>
          </cell>
          <cell r="Q986">
            <v>1</v>
          </cell>
          <cell r="R986">
            <v>3</v>
          </cell>
          <cell r="S986" t="str">
            <v>none</v>
          </cell>
          <cell r="T986">
            <v>0</v>
          </cell>
          <cell r="U986" t="str">
            <v>NULL</v>
          </cell>
          <cell r="V986" t="str">
            <v>NULL</v>
          </cell>
          <cell r="W986" t="str">
            <v/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 t="str">
            <v>anytime</v>
          </cell>
          <cell r="AC986">
            <v>922</v>
          </cell>
          <cell r="AD986">
            <v>6</v>
          </cell>
          <cell r="AE986" t="str">
            <v>singleonly</v>
          </cell>
        </row>
        <row r="987">
          <cell r="A987" t="str">
            <v>60017_1</v>
          </cell>
          <cell r="B987">
            <v>3</v>
          </cell>
          <cell r="C987">
            <v>60017</v>
          </cell>
          <cell r="D987" t="str">
            <v>ユークリッドチャレンジ</v>
          </cell>
          <cell r="E987" t="str">
            <v>ランキング3（再開催）</v>
          </cell>
          <cell r="F987">
            <v>1</v>
          </cell>
          <cell r="G987" t="str">
            <v>ja</v>
          </cell>
          <cell r="H987" t="str">
            <v>ユークリッドチャレンジ</v>
          </cell>
          <cell r="I987" t="str">
            <v>ウィザード級</v>
          </cell>
          <cell r="J987">
            <v>690</v>
          </cell>
          <cell r="K987">
            <v>35</v>
          </cell>
          <cell r="L987">
            <v>4200</v>
          </cell>
          <cell r="M987">
            <v>1</v>
          </cell>
          <cell r="N987">
            <v>1</v>
          </cell>
          <cell r="O987">
            <v>1</v>
          </cell>
          <cell r="P987">
            <v>1</v>
          </cell>
          <cell r="Q987">
            <v>1</v>
          </cell>
          <cell r="R987">
            <v>3</v>
          </cell>
          <cell r="S987" t="str">
            <v>none</v>
          </cell>
          <cell r="T987">
            <v>0</v>
          </cell>
          <cell r="U987" t="str">
            <v>NULL</v>
          </cell>
          <cell r="V987" t="str">
            <v>NULL</v>
          </cell>
          <cell r="W987" t="str">
            <v/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 t="str">
            <v>anytime</v>
          </cell>
          <cell r="AC987">
            <v>924</v>
          </cell>
          <cell r="AD987">
            <v>6</v>
          </cell>
          <cell r="AE987" t="str">
            <v>singleonly</v>
          </cell>
        </row>
        <row r="988">
          <cell r="A988" t="str">
            <v>60018_1</v>
          </cell>
          <cell r="B988">
            <v>3</v>
          </cell>
          <cell r="C988">
            <v>60018</v>
          </cell>
          <cell r="D988" t="str">
            <v>チューリングチャレンジ</v>
          </cell>
          <cell r="E988" t="str">
            <v>ランキング6</v>
          </cell>
          <cell r="F988">
            <v>1</v>
          </cell>
          <cell r="G988" t="str">
            <v>ja</v>
          </cell>
          <cell r="H988" t="str">
            <v>チューリングチャレンジ</v>
          </cell>
          <cell r="I988" t="str">
            <v>ウィザード級</v>
          </cell>
          <cell r="J988">
            <v>799</v>
          </cell>
          <cell r="K988">
            <v>35</v>
          </cell>
          <cell r="L988">
            <v>4200</v>
          </cell>
          <cell r="M988">
            <v>1</v>
          </cell>
          <cell r="N988">
            <v>1</v>
          </cell>
          <cell r="O988">
            <v>1</v>
          </cell>
          <cell r="P988">
            <v>1</v>
          </cell>
          <cell r="Q988">
            <v>1</v>
          </cell>
          <cell r="R988">
            <v>3</v>
          </cell>
          <cell r="S988" t="str">
            <v>none</v>
          </cell>
          <cell r="T988">
            <v>0</v>
          </cell>
          <cell r="U988" t="str">
            <v>NULL</v>
          </cell>
          <cell r="V988" t="str">
            <v>NULL</v>
          </cell>
          <cell r="W988" t="str">
            <v/>
          </cell>
          <cell r="X988">
            <v>0</v>
          </cell>
          <cell r="Y988">
            <v>0</v>
          </cell>
          <cell r="Z988">
            <v>0</v>
          </cell>
          <cell r="AA988">
            <v>0</v>
          </cell>
          <cell r="AB988" t="str">
            <v>anytime</v>
          </cell>
          <cell r="AC988">
            <v>923</v>
          </cell>
          <cell r="AD988">
            <v>6</v>
          </cell>
          <cell r="AE988" t="str">
            <v>singleonly</v>
          </cell>
        </row>
        <row r="989">
          <cell r="A989" t="str">
            <v>60019_1</v>
          </cell>
          <cell r="B989">
            <v>3</v>
          </cell>
          <cell r="C989">
            <v>60019</v>
          </cell>
          <cell r="D989" t="str">
            <v>ヘンペルチャレンジ</v>
          </cell>
          <cell r="E989" t="str">
            <v>ランキング7</v>
          </cell>
          <cell r="F989">
            <v>1</v>
          </cell>
          <cell r="G989" t="str">
            <v>ja</v>
          </cell>
          <cell r="H989" t="str">
            <v>ヘンペルチャレンジ</v>
          </cell>
          <cell r="I989" t="str">
            <v>ウィザード級</v>
          </cell>
          <cell r="J989">
            <v>800</v>
          </cell>
          <cell r="K989">
            <v>35</v>
          </cell>
          <cell r="L989">
            <v>4200</v>
          </cell>
          <cell r="M989">
            <v>1</v>
          </cell>
          <cell r="N989">
            <v>1</v>
          </cell>
          <cell r="O989">
            <v>1</v>
          </cell>
          <cell r="P989">
            <v>1</v>
          </cell>
          <cell r="Q989">
            <v>1</v>
          </cell>
          <cell r="R989">
            <v>3</v>
          </cell>
          <cell r="S989" t="str">
            <v>none</v>
          </cell>
          <cell r="T989">
            <v>0</v>
          </cell>
          <cell r="U989" t="str">
            <v>NULL</v>
          </cell>
          <cell r="V989" t="str">
            <v>NULL</v>
          </cell>
          <cell r="W989" t="str">
            <v/>
          </cell>
          <cell r="X989">
            <v>0</v>
          </cell>
          <cell r="Y989">
            <v>0</v>
          </cell>
          <cell r="Z989">
            <v>0</v>
          </cell>
          <cell r="AA989">
            <v>0</v>
          </cell>
          <cell r="AB989" t="str">
            <v>anytime</v>
          </cell>
          <cell r="AC989">
            <v>924</v>
          </cell>
          <cell r="AD989">
            <v>6</v>
          </cell>
          <cell r="AE989" t="str">
            <v>singleonly</v>
          </cell>
        </row>
        <row r="990">
          <cell r="A990" t="str">
            <v>60020_1</v>
          </cell>
          <cell r="B990">
            <v>3</v>
          </cell>
          <cell r="C990">
            <v>60020</v>
          </cell>
          <cell r="D990" t="str">
            <v>シュレディンガーチャレンジ</v>
          </cell>
          <cell r="E990" t="str">
            <v>ランキング5（再開催）</v>
          </cell>
          <cell r="F990">
            <v>1</v>
          </cell>
          <cell r="G990" t="str">
            <v>ja</v>
          </cell>
          <cell r="H990" t="str">
            <v>シュレディンガーチャレンジ</v>
          </cell>
          <cell r="I990" t="str">
            <v>ウィザード級</v>
          </cell>
          <cell r="J990">
            <v>797</v>
          </cell>
          <cell r="K990">
            <v>35</v>
          </cell>
          <cell r="L990">
            <v>4200</v>
          </cell>
          <cell r="M990">
            <v>1</v>
          </cell>
          <cell r="N990">
            <v>1</v>
          </cell>
          <cell r="O990">
            <v>1</v>
          </cell>
          <cell r="P990">
            <v>1</v>
          </cell>
          <cell r="Q990">
            <v>1</v>
          </cell>
          <cell r="R990">
            <v>3</v>
          </cell>
          <cell r="S990" t="str">
            <v>none</v>
          </cell>
          <cell r="T990">
            <v>0</v>
          </cell>
          <cell r="U990" t="str">
            <v>NULL</v>
          </cell>
          <cell r="V990" t="str">
            <v>NULL</v>
          </cell>
          <cell r="W990" t="str">
            <v/>
          </cell>
          <cell r="X990">
            <v>0</v>
          </cell>
          <cell r="Y990">
            <v>0</v>
          </cell>
          <cell r="Z990">
            <v>0</v>
          </cell>
          <cell r="AA990">
            <v>0</v>
          </cell>
          <cell r="AB990" t="str">
            <v>anytime</v>
          </cell>
          <cell r="AC990">
            <v>922</v>
          </cell>
          <cell r="AD990">
            <v>6</v>
          </cell>
          <cell r="AE990" t="str">
            <v>singleonly</v>
          </cell>
        </row>
        <row r="991">
          <cell r="A991" t="str">
            <v>60021_3</v>
          </cell>
          <cell r="B991">
            <v>1</v>
          </cell>
          <cell r="C991">
            <v>60021</v>
          </cell>
          <cell r="D991" t="str">
            <v>【月曜限定】 黄の素材verハンプ検証</v>
          </cell>
          <cell r="E991" t="str">
            <v>検証</v>
          </cell>
          <cell r="F991">
            <v>3</v>
          </cell>
          <cell r="G991" t="str">
            <v>ja</v>
          </cell>
          <cell r="H991" t="str">
            <v>【上級】ハンプティ検証</v>
          </cell>
          <cell r="I991" t="str">
            <v>上級</v>
          </cell>
          <cell r="J991">
            <v>84</v>
          </cell>
          <cell r="K991">
            <v>20</v>
          </cell>
          <cell r="L991">
            <v>860</v>
          </cell>
          <cell r="M991">
            <v>1</v>
          </cell>
          <cell r="N991">
            <v>1</v>
          </cell>
          <cell r="O991">
            <v>1</v>
          </cell>
          <cell r="P991">
            <v>1</v>
          </cell>
          <cell r="Q991">
            <v>1</v>
          </cell>
          <cell r="R991">
            <v>3</v>
          </cell>
          <cell r="S991" t="str">
            <v>none</v>
          </cell>
          <cell r="T991">
            <v>0</v>
          </cell>
          <cell r="U991" t="str">
            <v>NULL</v>
          </cell>
          <cell r="V991" t="str">
            <v>NULL</v>
          </cell>
          <cell r="W991" t="str">
            <v/>
          </cell>
          <cell r="X991">
            <v>0</v>
          </cell>
          <cell r="Y991">
            <v>0</v>
          </cell>
          <cell r="Z991">
            <v>0</v>
          </cell>
          <cell r="AA991">
            <v>0</v>
          </cell>
          <cell r="AB991" t="str">
            <v>anytime</v>
          </cell>
          <cell r="AC991">
            <v>101</v>
          </cell>
          <cell r="AD991">
            <v>6</v>
          </cell>
          <cell r="AE991" t="str">
            <v>everyone</v>
          </cell>
        </row>
        <row r="992">
          <cell r="A992" t="str">
            <v>60022_3</v>
          </cell>
          <cell r="B992">
            <v>1</v>
          </cell>
          <cell r="C992">
            <v>60022</v>
          </cell>
          <cell r="D992" t="str">
            <v>【火曜限定】 赤の素材verハンプ検証</v>
          </cell>
          <cell r="E992" t="str">
            <v>検証</v>
          </cell>
          <cell r="F992">
            <v>3</v>
          </cell>
          <cell r="G992" t="str">
            <v>ja</v>
          </cell>
          <cell r="H992" t="str">
            <v>【上級】ハンプティ検証</v>
          </cell>
          <cell r="I992" t="str">
            <v>上級</v>
          </cell>
          <cell r="J992">
            <v>84</v>
          </cell>
          <cell r="K992">
            <v>20</v>
          </cell>
          <cell r="L992">
            <v>860</v>
          </cell>
          <cell r="M992">
            <v>1</v>
          </cell>
          <cell r="N992">
            <v>1</v>
          </cell>
          <cell r="O992">
            <v>1</v>
          </cell>
          <cell r="P992">
            <v>1</v>
          </cell>
          <cell r="Q992">
            <v>1</v>
          </cell>
          <cell r="R992">
            <v>3</v>
          </cell>
          <cell r="S992" t="str">
            <v>none</v>
          </cell>
          <cell r="T992">
            <v>0</v>
          </cell>
          <cell r="U992" t="str">
            <v>NULL</v>
          </cell>
          <cell r="V992" t="str">
            <v>NULL</v>
          </cell>
          <cell r="W992" t="str">
            <v/>
          </cell>
          <cell r="X992">
            <v>0</v>
          </cell>
          <cell r="Y992">
            <v>0</v>
          </cell>
          <cell r="Z992">
            <v>0</v>
          </cell>
          <cell r="AA992">
            <v>0</v>
          </cell>
          <cell r="AB992" t="str">
            <v>anytime</v>
          </cell>
          <cell r="AC992">
            <v>101</v>
          </cell>
          <cell r="AD992">
            <v>6</v>
          </cell>
          <cell r="AE992" t="str">
            <v>everyone</v>
          </cell>
        </row>
        <row r="993">
          <cell r="A993" t="str">
            <v>60023_3</v>
          </cell>
          <cell r="B993">
            <v>1</v>
          </cell>
          <cell r="C993">
            <v>60023</v>
          </cell>
          <cell r="D993" t="str">
            <v>【水曜限定】 青の素材verハンプ検証</v>
          </cell>
          <cell r="E993" t="str">
            <v>検証</v>
          </cell>
          <cell r="F993">
            <v>3</v>
          </cell>
          <cell r="G993" t="str">
            <v>ja</v>
          </cell>
          <cell r="H993" t="str">
            <v>【上級】ハンプティ検証</v>
          </cell>
          <cell r="I993" t="str">
            <v>上級</v>
          </cell>
          <cell r="J993">
            <v>84</v>
          </cell>
          <cell r="K993">
            <v>20</v>
          </cell>
          <cell r="L993">
            <v>860</v>
          </cell>
          <cell r="M993">
            <v>1</v>
          </cell>
          <cell r="N993">
            <v>1</v>
          </cell>
          <cell r="O993">
            <v>1</v>
          </cell>
          <cell r="P993">
            <v>1</v>
          </cell>
          <cell r="Q993">
            <v>1</v>
          </cell>
          <cell r="R993">
            <v>3</v>
          </cell>
          <cell r="S993" t="str">
            <v>none</v>
          </cell>
          <cell r="T993">
            <v>0</v>
          </cell>
          <cell r="U993" t="str">
            <v>NULL</v>
          </cell>
          <cell r="V993" t="str">
            <v>NULL</v>
          </cell>
          <cell r="W993" t="str">
            <v/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  <cell r="AB993" t="str">
            <v>anytime</v>
          </cell>
          <cell r="AC993">
            <v>101</v>
          </cell>
          <cell r="AD993">
            <v>6</v>
          </cell>
          <cell r="AE993" t="str">
            <v>everyone</v>
          </cell>
        </row>
        <row r="994">
          <cell r="A994" t="str">
            <v>60024_3</v>
          </cell>
          <cell r="B994">
            <v>1</v>
          </cell>
          <cell r="C994">
            <v>60024</v>
          </cell>
          <cell r="D994" t="str">
            <v>【木曜限定】 緑の素材verハンプ検証</v>
          </cell>
          <cell r="E994" t="str">
            <v>検証</v>
          </cell>
          <cell r="F994">
            <v>3</v>
          </cell>
          <cell r="G994" t="str">
            <v>ja</v>
          </cell>
          <cell r="H994" t="str">
            <v>【上級】ハンプティ検証</v>
          </cell>
          <cell r="I994" t="str">
            <v>上級</v>
          </cell>
          <cell r="J994">
            <v>84</v>
          </cell>
          <cell r="K994">
            <v>20</v>
          </cell>
          <cell r="L994">
            <v>860</v>
          </cell>
          <cell r="M994">
            <v>1</v>
          </cell>
          <cell r="N994">
            <v>1</v>
          </cell>
          <cell r="O994">
            <v>1</v>
          </cell>
          <cell r="P994">
            <v>1</v>
          </cell>
          <cell r="Q994">
            <v>1</v>
          </cell>
          <cell r="R994">
            <v>3</v>
          </cell>
          <cell r="S994" t="str">
            <v>none</v>
          </cell>
          <cell r="T994">
            <v>0</v>
          </cell>
          <cell r="U994" t="str">
            <v>NULL</v>
          </cell>
          <cell r="V994" t="str">
            <v>NULL</v>
          </cell>
          <cell r="W994" t="str">
            <v/>
          </cell>
          <cell r="X994">
            <v>0</v>
          </cell>
          <cell r="Y994">
            <v>0</v>
          </cell>
          <cell r="Z994">
            <v>0</v>
          </cell>
          <cell r="AA994">
            <v>0</v>
          </cell>
          <cell r="AB994" t="str">
            <v>anytime</v>
          </cell>
          <cell r="AC994">
            <v>101</v>
          </cell>
          <cell r="AD994">
            <v>6</v>
          </cell>
          <cell r="AE994" t="str">
            <v>everyone</v>
          </cell>
        </row>
        <row r="995">
          <cell r="A995" t="str">
            <v>60025_1</v>
          </cell>
          <cell r="B995">
            <v>3</v>
          </cell>
          <cell r="C995">
            <v>60025</v>
          </cell>
          <cell r="D995" t="str">
            <v>マリアチャレンジ</v>
          </cell>
          <cell r="E995" t="str">
            <v>ランキング8</v>
          </cell>
          <cell r="F995">
            <v>1</v>
          </cell>
          <cell r="G995" t="str">
            <v>ja</v>
          </cell>
          <cell r="H995" t="str">
            <v>マリアチャレンジ</v>
          </cell>
          <cell r="I995" t="str">
            <v>ウィザード級</v>
          </cell>
          <cell r="J995">
            <v>1274</v>
          </cell>
          <cell r="K995">
            <v>35</v>
          </cell>
          <cell r="L995">
            <v>4200</v>
          </cell>
          <cell r="M995">
            <v>1</v>
          </cell>
          <cell r="N995">
            <v>1</v>
          </cell>
          <cell r="O995">
            <v>1</v>
          </cell>
          <cell r="P995">
            <v>1</v>
          </cell>
          <cell r="Q995">
            <v>1</v>
          </cell>
          <cell r="R995">
            <v>3</v>
          </cell>
          <cell r="S995" t="str">
            <v>none</v>
          </cell>
          <cell r="T995">
            <v>0</v>
          </cell>
          <cell r="U995" t="str">
            <v>NULL</v>
          </cell>
          <cell r="V995" t="str">
            <v>NULL</v>
          </cell>
          <cell r="W995" t="str">
            <v/>
          </cell>
          <cell r="X995">
            <v>0</v>
          </cell>
          <cell r="Y995">
            <v>0</v>
          </cell>
          <cell r="Z995">
            <v>0</v>
          </cell>
          <cell r="AA995">
            <v>0</v>
          </cell>
          <cell r="AB995" t="str">
            <v>anytime</v>
          </cell>
          <cell r="AC995">
            <v>9</v>
          </cell>
          <cell r="AD995">
            <v>6</v>
          </cell>
          <cell r="AE995" t="str">
            <v>singleonly</v>
          </cell>
        </row>
        <row r="996">
          <cell r="A996" t="str">
            <v>60026_1</v>
          </cell>
          <cell r="B996">
            <v>3</v>
          </cell>
          <cell r="C996">
            <v>60026</v>
          </cell>
          <cell r="D996" t="str">
            <v>ハップルチャレンジ</v>
          </cell>
          <cell r="E996" t="str">
            <v>ランキング9</v>
          </cell>
          <cell r="F996">
            <v>1</v>
          </cell>
          <cell r="G996" t="str">
            <v>ja</v>
          </cell>
          <cell r="H996" t="str">
            <v>ハップルチャレンジ</v>
          </cell>
          <cell r="I996" t="str">
            <v>ウィザード級</v>
          </cell>
          <cell r="J996">
            <v>803</v>
          </cell>
          <cell r="K996">
            <v>35</v>
          </cell>
          <cell r="L996">
            <v>4200</v>
          </cell>
          <cell r="M996">
            <v>1</v>
          </cell>
          <cell r="N996">
            <v>1</v>
          </cell>
          <cell r="O996">
            <v>1</v>
          </cell>
          <cell r="P996">
            <v>1</v>
          </cell>
          <cell r="Q996">
            <v>1</v>
          </cell>
          <cell r="R996">
            <v>3</v>
          </cell>
          <cell r="S996" t="str">
            <v>none</v>
          </cell>
          <cell r="T996">
            <v>0</v>
          </cell>
          <cell r="U996" t="str">
            <v>NULL</v>
          </cell>
          <cell r="V996" t="str">
            <v>NULL</v>
          </cell>
          <cell r="W996" t="str">
            <v/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 t="str">
            <v>anytime</v>
          </cell>
          <cell r="AC996">
            <v>925</v>
          </cell>
          <cell r="AD996">
            <v>6</v>
          </cell>
          <cell r="AE996" t="str">
            <v>singleonly</v>
          </cell>
        </row>
        <row r="997">
          <cell r="A997" t="str">
            <v>61011_1</v>
          </cell>
          <cell r="B997">
            <v>1</v>
          </cell>
          <cell r="C997">
            <v>61011</v>
          </cell>
          <cell r="D997" t="str">
            <v>ユークリッドチャレンジコピー</v>
          </cell>
          <cell r="E997" t="str">
            <v>ランキング3（ユークリッド）</v>
          </cell>
          <cell r="F997">
            <v>1</v>
          </cell>
          <cell r="G997" t="str">
            <v>ja</v>
          </cell>
          <cell r="H997" t="str">
            <v>ウィザード級コピー</v>
          </cell>
          <cell r="I997" t="str">
            <v>ウィザード級</v>
          </cell>
          <cell r="J997">
            <v>690</v>
          </cell>
          <cell r="K997">
            <v>35</v>
          </cell>
          <cell r="L997">
            <v>4200</v>
          </cell>
          <cell r="M997">
            <v>1</v>
          </cell>
          <cell r="N997">
            <v>1</v>
          </cell>
          <cell r="O997">
            <v>1</v>
          </cell>
          <cell r="P997">
            <v>1</v>
          </cell>
          <cell r="Q997">
            <v>1</v>
          </cell>
          <cell r="R997">
            <v>3</v>
          </cell>
          <cell r="S997" t="str">
            <v>none</v>
          </cell>
          <cell r="T997">
            <v>0</v>
          </cell>
          <cell r="U997" t="str">
            <v>NULL</v>
          </cell>
          <cell r="V997" t="str">
            <v>NULL</v>
          </cell>
          <cell r="W997" t="str">
            <v/>
          </cell>
          <cell r="X997">
            <v>0</v>
          </cell>
          <cell r="Y997">
            <v>0</v>
          </cell>
          <cell r="Z997">
            <v>0</v>
          </cell>
          <cell r="AA997">
            <v>0</v>
          </cell>
          <cell r="AB997" t="str">
            <v>anytime</v>
          </cell>
          <cell r="AC997">
            <v>925</v>
          </cell>
          <cell r="AD997">
            <v>6</v>
          </cell>
          <cell r="AE997" t="str">
            <v>singleonly</v>
          </cell>
        </row>
        <row r="998">
          <cell r="A998" t="str">
            <v>60027_1</v>
          </cell>
          <cell r="B998">
            <v>3</v>
          </cell>
          <cell r="C998">
            <v>60027</v>
          </cell>
          <cell r="D998" t="str">
            <v>チューリングチャレンジ</v>
          </cell>
          <cell r="E998" t="str">
            <v>ランキング6（再開催）</v>
          </cell>
          <cell r="F998">
            <v>1</v>
          </cell>
          <cell r="G998" t="str">
            <v>ja</v>
          </cell>
          <cell r="H998" t="str">
            <v>チューリングチャレンジ</v>
          </cell>
          <cell r="I998" t="str">
            <v>ウィザード級</v>
          </cell>
          <cell r="J998">
            <v>799</v>
          </cell>
          <cell r="K998">
            <v>35</v>
          </cell>
          <cell r="L998">
            <v>4200</v>
          </cell>
          <cell r="M998">
            <v>1</v>
          </cell>
          <cell r="N998">
            <v>1</v>
          </cell>
          <cell r="O998">
            <v>1</v>
          </cell>
          <cell r="P998">
            <v>1</v>
          </cell>
          <cell r="Q998">
            <v>1</v>
          </cell>
          <cell r="R998">
            <v>3</v>
          </cell>
          <cell r="S998" t="str">
            <v>none</v>
          </cell>
          <cell r="T998">
            <v>0</v>
          </cell>
          <cell r="U998" t="str">
            <v>NULL</v>
          </cell>
          <cell r="V998" t="str">
            <v>NULL</v>
          </cell>
          <cell r="W998" t="str">
            <v/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  <cell r="AB998" t="str">
            <v>anytime</v>
          </cell>
          <cell r="AC998">
            <v>923</v>
          </cell>
          <cell r="AD998">
            <v>6</v>
          </cell>
          <cell r="AE998" t="str">
            <v>singleonly</v>
          </cell>
        </row>
        <row r="999">
          <cell r="A999" t="str">
            <v>60028_1</v>
          </cell>
          <cell r="B999">
            <v>3</v>
          </cell>
          <cell r="C999">
            <v>60028</v>
          </cell>
          <cell r="D999" t="str">
            <v xml:space="preserve">クロネッカーチャレンジ </v>
          </cell>
          <cell r="E999" t="str">
            <v>ランキング4（再開催）</v>
          </cell>
          <cell r="F999">
            <v>1</v>
          </cell>
          <cell r="G999" t="str">
            <v>ja</v>
          </cell>
          <cell r="H999" t="str">
            <v>クロネッカーチャレンジ</v>
          </cell>
          <cell r="I999" t="str">
            <v>ウィザード級</v>
          </cell>
          <cell r="J999">
            <v>761</v>
          </cell>
          <cell r="K999">
            <v>35</v>
          </cell>
          <cell r="L999">
            <v>4200</v>
          </cell>
          <cell r="M999">
            <v>1</v>
          </cell>
          <cell r="N999">
            <v>1</v>
          </cell>
          <cell r="O999">
            <v>1</v>
          </cell>
          <cell r="P999">
            <v>1</v>
          </cell>
          <cell r="Q999">
            <v>1</v>
          </cell>
          <cell r="R999">
            <v>3</v>
          </cell>
          <cell r="S999" t="str">
            <v>none</v>
          </cell>
          <cell r="T999">
            <v>0</v>
          </cell>
          <cell r="U999" t="str">
            <v>NULL</v>
          </cell>
          <cell r="V999" t="str">
            <v>NULL</v>
          </cell>
          <cell r="W999" t="str">
            <v/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 t="str">
            <v>anytime</v>
          </cell>
          <cell r="AC999">
            <v>925</v>
          </cell>
          <cell r="AD999">
            <v>6</v>
          </cell>
          <cell r="AE999" t="str">
            <v>singleonly</v>
          </cell>
        </row>
        <row r="1000">
          <cell r="A1000" t="str">
            <v>60029_1</v>
          </cell>
          <cell r="B1000">
            <v>3</v>
          </cell>
          <cell r="C1000">
            <v>60029</v>
          </cell>
          <cell r="D1000" t="str">
            <v xml:space="preserve">オイラーチャレンジ </v>
          </cell>
          <cell r="E1000" t="str">
            <v>ランキング1（3回目）</v>
          </cell>
          <cell r="F1000">
            <v>1</v>
          </cell>
          <cell r="G1000" t="str">
            <v>ja</v>
          </cell>
          <cell r="H1000" t="str">
            <v>オイラーチャレンジ</v>
          </cell>
          <cell r="I1000" t="str">
            <v>ウィザード級</v>
          </cell>
          <cell r="J1000">
            <v>798</v>
          </cell>
          <cell r="K1000">
            <v>35</v>
          </cell>
          <cell r="L1000">
            <v>4200</v>
          </cell>
          <cell r="M1000">
            <v>1</v>
          </cell>
          <cell r="N1000">
            <v>1</v>
          </cell>
          <cell r="O1000">
            <v>1</v>
          </cell>
          <cell r="P1000">
            <v>1</v>
          </cell>
          <cell r="Q1000">
            <v>1</v>
          </cell>
          <cell r="R1000">
            <v>3</v>
          </cell>
          <cell r="S1000" t="str">
            <v>none</v>
          </cell>
          <cell r="T1000">
            <v>0</v>
          </cell>
          <cell r="U1000" t="str">
            <v>NULL</v>
          </cell>
          <cell r="V1000" t="str">
            <v>NULL</v>
          </cell>
          <cell r="W1000" t="str">
            <v/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  <cell r="AB1000" t="str">
            <v>anytime</v>
          </cell>
          <cell r="AC1000">
            <v>923</v>
          </cell>
          <cell r="AD1000">
            <v>6</v>
          </cell>
          <cell r="AE1000" t="str">
            <v>singleonly</v>
          </cell>
        </row>
        <row r="1001">
          <cell r="A1001" t="str">
            <v>60030_1</v>
          </cell>
          <cell r="B1001">
            <v>1</v>
          </cell>
          <cell r="C1001">
            <v>60030</v>
          </cell>
          <cell r="D1001" t="str">
            <v xml:space="preserve">フロイトチャレンジ </v>
          </cell>
          <cell r="E1001" t="str">
            <v>ランキング10</v>
          </cell>
          <cell r="F1001">
            <v>1</v>
          </cell>
          <cell r="G1001" t="str">
            <v>ja</v>
          </cell>
          <cell r="H1001" t="str">
            <v>フロイトチャレンジ</v>
          </cell>
          <cell r="I1001" t="str">
            <v>ウィザード級</v>
          </cell>
          <cell r="J1001">
            <v>871</v>
          </cell>
          <cell r="K1001">
            <v>35</v>
          </cell>
          <cell r="L1001">
            <v>4200</v>
          </cell>
          <cell r="M1001">
            <v>1</v>
          </cell>
          <cell r="N1001">
            <v>1</v>
          </cell>
          <cell r="O1001">
            <v>1</v>
          </cell>
          <cell r="P1001">
            <v>1</v>
          </cell>
          <cell r="Q1001">
            <v>0</v>
          </cell>
          <cell r="R1001">
            <v>3</v>
          </cell>
          <cell r="S1001" t="str">
            <v>none</v>
          </cell>
          <cell r="T1001">
            <v>0</v>
          </cell>
          <cell r="U1001" t="str">
            <v>NULL</v>
          </cell>
          <cell r="V1001" t="str">
            <v>NULL</v>
          </cell>
          <cell r="W1001" t="str">
            <v/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  <cell r="AB1001" t="str">
            <v>anytime</v>
          </cell>
          <cell r="AC1001">
            <v>922</v>
          </cell>
          <cell r="AD1001">
            <v>6</v>
          </cell>
          <cell r="AE1001" t="str">
            <v>singleonly</v>
          </cell>
        </row>
        <row r="1002">
          <cell r="A1002" t="str">
            <v>60031_1</v>
          </cell>
          <cell r="B1002">
            <v>3</v>
          </cell>
          <cell r="C1002">
            <v>60031</v>
          </cell>
          <cell r="D1002" t="str">
            <v xml:space="preserve">ヘンペルチャレンジ </v>
          </cell>
          <cell r="E1002" t="str">
            <v>ランキング7（再開催）</v>
          </cell>
          <cell r="F1002">
            <v>1</v>
          </cell>
          <cell r="G1002" t="str">
            <v>ja</v>
          </cell>
          <cell r="H1002" t="str">
            <v xml:space="preserve">ヘンペルチャレンジ </v>
          </cell>
          <cell r="I1002" t="str">
            <v>ウィザード級</v>
          </cell>
          <cell r="J1002">
            <v>800</v>
          </cell>
          <cell r="K1002">
            <v>35</v>
          </cell>
          <cell r="L1002">
            <v>4200</v>
          </cell>
          <cell r="M1002">
            <v>1</v>
          </cell>
          <cell r="N1002">
            <v>1</v>
          </cell>
          <cell r="O1002">
            <v>1</v>
          </cell>
          <cell r="P1002">
            <v>1</v>
          </cell>
          <cell r="Q1002">
            <v>1</v>
          </cell>
          <cell r="R1002">
            <v>3</v>
          </cell>
          <cell r="S1002" t="str">
            <v>none</v>
          </cell>
          <cell r="T1002">
            <v>0</v>
          </cell>
          <cell r="U1002" t="str">
            <v>NULL</v>
          </cell>
          <cell r="V1002" t="str">
            <v>NULL</v>
          </cell>
          <cell r="W1002" t="str">
            <v/>
          </cell>
          <cell r="X1002">
            <v>0</v>
          </cell>
          <cell r="Y1002">
            <v>0</v>
          </cell>
          <cell r="Z1002">
            <v>0</v>
          </cell>
          <cell r="AA1002">
            <v>0</v>
          </cell>
          <cell r="AB1002" t="str">
            <v>anytime</v>
          </cell>
          <cell r="AC1002">
            <v>924</v>
          </cell>
          <cell r="AD1002">
            <v>6</v>
          </cell>
          <cell r="AE1002" t="str">
            <v>singleonly</v>
          </cell>
        </row>
        <row r="1003">
          <cell r="A1003" t="str">
            <v>65523_1</v>
          </cell>
          <cell r="B1003">
            <v>1</v>
          </cell>
          <cell r="C1003">
            <v>65523</v>
          </cell>
          <cell r="D1003" t="str">
            <v>【LB尾崎】検証クエスト</v>
          </cell>
          <cell r="E1003" t="str">
            <v>童話シリーズ　超級</v>
          </cell>
          <cell r="F1003">
            <v>1</v>
          </cell>
          <cell r="G1003" t="str">
            <v>ja</v>
          </cell>
          <cell r="H1003" t="str">
            <v>【超級】スリーピギーズ（仮）</v>
          </cell>
          <cell r="I1003" t="str">
            <v>中級</v>
          </cell>
          <cell r="J1003">
            <v>1</v>
          </cell>
          <cell r="K1003">
            <v>30</v>
          </cell>
          <cell r="L1003">
            <v>3300</v>
          </cell>
          <cell r="M1003">
            <v>1</v>
          </cell>
          <cell r="N1003">
            <v>1</v>
          </cell>
          <cell r="O1003">
            <v>1</v>
          </cell>
          <cell r="P1003">
            <v>1</v>
          </cell>
          <cell r="Q1003">
            <v>1</v>
          </cell>
          <cell r="R1003">
            <v>3</v>
          </cell>
          <cell r="S1003" t="str">
            <v>polygon</v>
          </cell>
          <cell r="T1003">
            <v>1</v>
          </cell>
          <cell r="U1003" t="str">
            <v>NULL</v>
          </cell>
          <cell r="V1003" t="str">
            <v>NULL</v>
          </cell>
          <cell r="W1003" t="str">
            <v/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  <cell r="AB1003" t="str">
            <v>anytime</v>
          </cell>
          <cell r="AC1003">
            <v>2</v>
          </cell>
          <cell r="AD1003">
            <v>6</v>
          </cell>
          <cell r="AE1003" t="str">
            <v>everyone</v>
          </cell>
        </row>
        <row r="1004">
          <cell r="A1004" t="str">
            <v>65523_2</v>
          </cell>
          <cell r="B1004">
            <v>1</v>
          </cell>
          <cell r="C1004">
            <v>65523</v>
          </cell>
          <cell r="D1004" t="str">
            <v>【LB尾崎】検証クエスト</v>
          </cell>
          <cell r="E1004" t="str">
            <v>童話シリーズ　超級</v>
          </cell>
          <cell r="F1004">
            <v>2</v>
          </cell>
          <cell r="G1004" t="str">
            <v>ja</v>
          </cell>
          <cell r="H1004" t="str">
            <v>【超級】スリーピギーズ（仮）</v>
          </cell>
          <cell r="I1004" t="str">
            <v>上級</v>
          </cell>
          <cell r="J1004">
            <v>1</v>
          </cell>
          <cell r="K1004">
            <v>30</v>
          </cell>
          <cell r="L1004">
            <v>3300</v>
          </cell>
          <cell r="M1004">
            <v>1</v>
          </cell>
          <cell r="N1004">
            <v>1</v>
          </cell>
          <cell r="O1004">
            <v>1</v>
          </cell>
          <cell r="P1004">
            <v>1</v>
          </cell>
          <cell r="Q1004">
            <v>1</v>
          </cell>
          <cell r="R1004">
            <v>3</v>
          </cell>
          <cell r="S1004" t="str">
            <v>polygon</v>
          </cell>
          <cell r="T1004">
            <v>1</v>
          </cell>
          <cell r="U1004" t="str">
            <v>NULL</v>
          </cell>
          <cell r="V1004" t="str">
            <v>NULL</v>
          </cell>
          <cell r="W1004" t="str">
            <v/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 t="str">
            <v>anytime</v>
          </cell>
          <cell r="AC1004">
            <v>2</v>
          </cell>
          <cell r="AD1004">
            <v>6</v>
          </cell>
          <cell r="AE1004" t="str">
            <v>everyone</v>
          </cell>
        </row>
        <row r="1005">
          <cell r="A1005" t="str">
            <v>65523_3</v>
          </cell>
          <cell r="B1005">
            <v>1</v>
          </cell>
          <cell r="C1005">
            <v>65523</v>
          </cell>
          <cell r="D1005" t="str">
            <v>【LB尾崎】検証クエスト</v>
          </cell>
          <cell r="E1005" t="str">
            <v>童話シリーズ　超級</v>
          </cell>
          <cell r="F1005">
            <v>3</v>
          </cell>
          <cell r="G1005" t="str">
            <v>ja</v>
          </cell>
          <cell r="H1005" t="str">
            <v>【超級】スリーピギーズ（仮）</v>
          </cell>
          <cell r="I1005" t="str">
            <v>超級</v>
          </cell>
          <cell r="J1005">
            <v>1</v>
          </cell>
          <cell r="K1005">
            <v>30</v>
          </cell>
          <cell r="L1005">
            <v>3300</v>
          </cell>
          <cell r="M1005">
            <v>1</v>
          </cell>
          <cell r="N1005">
            <v>1</v>
          </cell>
          <cell r="O1005">
            <v>1</v>
          </cell>
          <cell r="P1005">
            <v>1</v>
          </cell>
          <cell r="Q1005">
            <v>1</v>
          </cell>
          <cell r="R1005">
            <v>3</v>
          </cell>
          <cell r="S1005" t="str">
            <v>polygon</v>
          </cell>
          <cell r="T1005">
            <v>1</v>
          </cell>
          <cell r="U1005" t="str">
            <v>NULL</v>
          </cell>
          <cell r="V1005" t="str">
            <v>NULL</v>
          </cell>
          <cell r="W1005" t="str">
            <v/>
          </cell>
          <cell r="X1005">
            <v>0</v>
          </cell>
          <cell r="Y1005">
            <v>0</v>
          </cell>
          <cell r="Z1005">
            <v>0</v>
          </cell>
          <cell r="AA1005">
            <v>0</v>
          </cell>
          <cell r="AB1005" t="str">
            <v>anytime</v>
          </cell>
          <cell r="AC1005">
            <v>2</v>
          </cell>
          <cell r="AD1005">
            <v>6</v>
          </cell>
          <cell r="AE1005" t="str">
            <v>everyone</v>
          </cell>
        </row>
        <row r="1006">
          <cell r="A1006" t="str">
            <v>65524_1</v>
          </cell>
          <cell r="B1006">
            <v>1</v>
          </cell>
          <cell r="C1006">
            <v>65524</v>
          </cell>
          <cell r="D1006" t="str">
            <v>【LB田頭】検証クエスト</v>
          </cell>
          <cell r="E1006" t="str">
            <v>童話シリーズ　超級</v>
          </cell>
          <cell r="F1006">
            <v>1</v>
          </cell>
          <cell r="G1006" t="str">
            <v>ja</v>
          </cell>
          <cell r="H1006" t="str">
            <v>【上級】スリーピギーズ（仮）</v>
          </cell>
          <cell r="I1006" t="str">
            <v>上級</v>
          </cell>
          <cell r="J1006">
            <v>1</v>
          </cell>
          <cell r="K1006">
            <v>20</v>
          </cell>
          <cell r="L1006">
            <v>2000</v>
          </cell>
          <cell r="M1006">
            <v>1</v>
          </cell>
          <cell r="N1006">
            <v>1</v>
          </cell>
          <cell r="O1006">
            <v>1</v>
          </cell>
          <cell r="P1006">
            <v>1</v>
          </cell>
          <cell r="Q1006">
            <v>1</v>
          </cell>
          <cell r="R1006">
            <v>3</v>
          </cell>
          <cell r="S1006" t="str">
            <v>none</v>
          </cell>
          <cell r="T1006">
            <v>1</v>
          </cell>
          <cell r="U1006" t="str">
            <v>NULL</v>
          </cell>
          <cell r="V1006" t="str">
            <v>NULL</v>
          </cell>
          <cell r="W1006" t="str">
            <v/>
          </cell>
          <cell r="X1006">
            <v>0</v>
          </cell>
          <cell r="Y1006">
            <v>0</v>
          </cell>
          <cell r="Z1006">
            <v>0</v>
          </cell>
          <cell r="AA1006">
            <v>0</v>
          </cell>
          <cell r="AB1006" t="str">
            <v>anytime</v>
          </cell>
          <cell r="AC1006">
            <v>2</v>
          </cell>
          <cell r="AD1006">
            <v>6</v>
          </cell>
          <cell r="AE1006" t="str">
            <v>everyone</v>
          </cell>
        </row>
        <row r="1007">
          <cell r="A1007" t="str">
            <v>65524_2</v>
          </cell>
          <cell r="B1007">
            <v>1</v>
          </cell>
          <cell r="C1007">
            <v>65524</v>
          </cell>
          <cell r="D1007" t="str">
            <v>【LB田頭】検証クエスト</v>
          </cell>
          <cell r="E1007" t="str">
            <v>童話シリーズ　超級</v>
          </cell>
          <cell r="F1007">
            <v>2</v>
          </cell>
          <cell r="G1007" t="str">
            <v>ja</v>
          </cell>
          <cell r="H1007" t="str">
            <v>【超級】スリーピギーズ（仮）</v>
          </cell>
          <cell r="I1007" t="str">
            <v>超級</v>
          </cell>
          <cell r="J1007">
            <v>1</v>
          </cell>
          <cell r="K1007">
            <v>30</v>
          </cell>
          <cell r="L1007">
            <v>3300</v>
          </cell>
          <cell r="M1007">
            <v>1</v>
          </cell>
          <cell r="N1007">
            <v>1</v>
          </cell>
          <cell r="O1007">
            <v>1</v>
          </cell>
          <cell r="P1007">
            <v>1</v>
          </cell>
          <cell r="Q1007">
            <v>1</v>
          </cell>
          <cell r="R1007">
            <v>3</v>
          </cell>
          <cell r="S1007" t="str">
            <v>polygon</v>
          </cell>
          <cell r="T1007">
            <v>1</v>
          </cell>
          <cell r="U1007" t="str">
            <v>NULL</v>
          </cell>
          <cell r="V1007" t="str">
            <v>NULL</v>
          </cell>
          <cell r="W1007" t="str">
            <v/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  <cell r="AB1007" t="str">
            <v>anytime</v>
          </cell>
          <cell r="AC1007">
            <v>2</v>
          </cell>
          <cell r="AD1007">
            <v>6</v>
          </cell>
          <cell r="AE1007" t="str">
            <v>everyone</v>
          </cell>
        </row>
        <row r="1008">
          <cell r="A1008" t="str">
            <v>65525_1</v>
          </cell>
          <cell r="B1008">
            <v>1</v>
          </cell>
          <cell r="C1008">
            <v>65525</v>
          </cell>
          <cell r="D1008" t="str">
            <v>【LB田邉】検証クエスト</v>
          </cell>
          <cell r="E1008" t="str">
            <v>検証</v>
          </cell>
          <cell r="F1008">
            <v>1</v>
          </cell>
          <cell r="G1008" t="str">
            <v>ja</v>
          </cell>
          <cell r="H1008" t="str">
            <v>【LB田邉】アニメーション検証</v>
          </cell>
          <cell r="I1008" t="str">
            <v>検証</v>
          </cell>
          <cell r="J1008">
            <v>1</v>
          </cell>
          <cell r="K1008">
            <v>1</v>
          </cell>
          <cell r="L1008">
            <v>1</v>
          </cell>
          <cell r="M1008">
            <v>1</v>
          </cell>
          <cell r="N1008">
            <v>1</v>
          </cell>
          <cell r="O1008">
            <v>1</v>
          </cell>
          <cell r="P1008">
            <v>1</v>
          </cell>
          <cell r="Q1008">
            <v>1</v>
          </cell>
          <cell r="R1008">
            <v>3</v>
          </cell>
          <cell r="S1008" t="str">
            <v>polygon</v>
          </cell>
          <cell r="T1008">
            <v>0</v>
          </cell>
          <cell r="U1008" t="str">
            <v>NULL</v>
          </cell>
          <cell r="V1008" t="str">
            <v>NULL</v>
          </cell>
          <cell r="W1008" t="str">
            <v/>
          </cell>
          <cell r="X1008">
            <v>0</v>
          </cell>
          <cell r="Y1008">
            <v>0</v>
          </cell>
          <cell r="Z1008">
            <v>0</v>
          </cell>
          <cell r="AA1008">
            <v>0</v>
          </cell>
          <cell r="AB1008" t="str">
            <v>anytime</v>
          </cell>
          <cell r="AC1008">
            <v>24</v>
          </cell>
          <cell r="AD1008">
            <v>4</v>
          </cell>
          <cell r="AE1008" t="str">
            <v>everyone</v>
          </cell>
        </row>
        <row r="1009">
          <cell r="A1009" t="str">
            <v>65526_1</v>
          </cell>
          <cell r="B1009">
            <v>1</v>
          </cell>
          <cell r="C1009">
            <v>65526</v>
          </cell>
          <cell r="D1009" t="str">
            <v>【LB加藤】検証クエスト</v>
          </cell>
          <cell r="E1009" t="str">
            <v>検証</v>
          </cell>
          <cell r="F1009">
            <v>1</v>
          </cell>
          <cell r="G1009" t="str">
            <v>ja</v>
          </cell>
          <cell r="H1009" t="str">
            <v>【LB加藤】検証</v>
          </cell>
          <cell r="I1009" t="str">
            <v>検証</v>
          </cell>
          <cell r="J1009">
            <v>1</v>
          </cell>
          <cell r="K1009">
            <v>1</v>
          </cell>
          <cell r="L1009">
            <v>1</v>
          </cell>
          <cell r="M1009">
            <v>1</v>
          </cell>
          <cell r="N1009">
            <v>1</v>
          </cell>
          <cell r="O1009">
            <v>1</v>
          </cell>
          <cell r="P1009">
            <v>1</v>
          </cell>
          <cell r="Q1009">
            <v>1</v>
          </cell>
          <cell r="R1009">
            <v>3</v>
          </cell>
          <cell r="S1009" t="str">
            <v>polygon</v>
          </cell>
          <cell r="T1009">
            <v>0</v>
          </cell>
          <cell r="U1009" t="str">
            <v>NULL</v>
          </cell>
          <cell r="V1009" t="str">
            <v>NULL</v>
          </cell>
          <cell r="W1009" t="str">
            <v/>
          </cell>
          <cell r="X1009">
            <v>0</v>
          </cell>
          <cell r="Y1009">
            <v>0</v>
          </cell>
          <cell r="Z1009">
            <v>0</v>
          </cell>
          <cell r="AA1009">
            <v>0</v>
          </cell>
          <cell r="AB1009" t="str">
            <v>anytime</v>
          </cell>
          <cell r="AC1009">
            <v>1</v>
          </cell>
          <cell r="AD1009">
            <v>6</v>
          </cell>
          <cell r="AE1009" t="str">
            <v>everyone</v>
          </cell>
        </row>
        <row r="1010">
          <cell r="A1010" t="str">
            <v>65526_2</v>
          </cell>
          <cell r="B1010">
            <v>1</v>
          </cell>
          <cell r="C1010">
            <v>65526</v>
          </cell>
          <cell r="D1010" t="str">
            <v>【LB加藤】検証クエスト</v>
          </cell>
          <cell r="E1010" t="str">
            <v>検証</v>
          </cell>
          <cell r="F1010">
            <v>2</v>
          </cell>
          <cell r="G1010" t="str">
            <v>ja</v>
          </cell>
          <cell r="H1010" t="str">
            <v>【LB加藤】ハップル仮実装</v>
          </cell>
          <cell r="I1010" t="str">
            <v>検証</v>
          </cell>
          <cell r="J1010">
            <v>1</v>
          </cell>
          <cell r="K1010">
            <v>1</v>
          </cell>
          <cell r="L1010">
            <v>1</v>
          </cell>
          <cell r="M1010">
            <v>1</v>
          </cell>
          <cell r="N1010">
            <v>1</v>
          </cell>
          <cell r="O1010">
            <v>1</v>
          </cell>
          <cell r="P1010">
            <v>1</v>
          </cell>
          <cell r="Q1010">
            <v>1</v>
          </cell>
          <cell r="R1010">
            <v>3</v>
          </cell>
          <cell r="S1010" t="str">
            <v>polygon</v>
          </cell>
          <cell r="T1010">
            <v>0</v>
          </cell>
          <cell r="U1010" t="str">
            <v>NULL</v>
          </cell>
          <cell r="V1010" t="str">
            <v>NULL</v>
          </cell>
          <cell r="W1010" t="str">
            <v/>
          </cell>
          <cell r="X1010">
            <v>0</v>
          </cell>
          <cell r="Y1010">
            <v>0</v>
          </cell>
          <cell r="Z1010">
            <v>0</v>
          </cell>
          <cell r="AA1010">
            <v>0</v>
          </cell>
          <cell r="AB1010" t="str">
            <v>anytime</v>
          </cell>
          <cell r="AC1010">
            <v>1</v>
          </cell>
          <cell r="AD1010">
            <v>6</v>
          </cell>
          <cell r="AE1010" t="str">
            <v>everyone</v>
          </cell>
        </row>
        <row r="1011">
          <cell r="A1011" t="str">
            <v>65527_1</v>
          </cell>
          <cell r="B1011">
            <v>1</v>
          </cell>
          <cell r="C1011">
            <v>65527</v>
          </cell>
          <cell r="D1011" t="str">
            <v>【LB小原】検証クエスト</v>
          </cell>
          <cell r="E1011" t="str">
            <v>検証</v>
          </cell>
          <cell r="F1011">
            <v>1</v>
          </cell>
          <cell r="G1011" t="str">
            <v>ja</v>
          </cell>
          <cell r="H1011" t="str">
            <v>【LB小原】検証</v>
          </cell>
          <cell r="I1011" t="str">
            <v>検証</v>
          </cell>
          <cell r="J1011">
            <v>1</v>
          </cell>
          <cell r="K1011">
            <v>1</v>
          </cell>
          <cell r="L1011">
            <v>1</v>
          </cell>
          <cell r="M1011">
            <v>1</v>
          </cell>
          <cell r="N1011">
            <v>1</v>
          </cell>
          <cell r="O1011">
            <v>1</v>
          </cell>
          <cell r="P1011">
            <v>1</v>
          </cell>
          <cell r="Q1011">
            <v>1</v>
          </cell>
          <cell r="R1011">
            <v>3</v>
          </cell>
          <cell r="S1011" t="str">
            <v>polygon</v>
          </cell>
          <cell r="T1011">
            <v>0</v>
          </cell>
          <cell r="U1011" t="str">
            <v>NULL</v>
          </cell>
          <cell r="V1011" t="str">
            <v>NULL</v>
          </cell>
          <cell r="W1011" t="str">
            <v/>
          </cell>
          <cell r="X1011">
            <v>0</v>
          </cell>
          <cell r="Y1011">
            <v>0</v>
          </cell>
          <cell r="Z1011">
            <v>0</v>
          </cell>
          <cell r="AA1011">
            <v>0</v>
          </cell>
          <cell r="AB1011" t="str">
            <v>anytime</v>
          </cell>
          <cell r="AC1011">
            <v>1</v>
          </cell>
          <cell r="AD1011">
            <v>6</v>
          </cell>
          <cell r="AE1011" t="str">
            <v>everyone</v>
          </cell>
        </row>
        <row r="1012">
          <cell r="A1012" t="str">
            <v>65528_1</v>
          </cell>
          <cell r="B1012">
            <v>1</v>
          </cell>
          <cell r="C1012">
            <v>65528</v>
          </cell>
          <cell r="D1012" t="str">
            <v>【LB保堂】検証クエスト</v>
          </cell>
          <cell r="E1012" t="str">
            <v>検証</v>
          </cell>
          <cell r="F1012">
            <v>1</v>
          </cell>
          <cell r="G1012" t="str">
            <v>ja</v>
          </cell>
          <cell r="H1012" t="str">
            <v>【LB保堂】検証</v>
          </cell>
          <cell r="I1012" t="str">
            <v>検証</v>
          </cell>
          <cell r="J1012">
            <v>1</v>
          </cell>
          <cell r="K1012">
            <v>1</v>
          </cell>
          <cell r="L1012">
            <v>1</v>
          </cell>
          <cell r="M1012">
            <v>1</v>
          </cell>
          <cell r="N1012">
            <v>1</v>
          </cell>
          <cell r="O1012">
            <v>1</v>
          </cell>
          <cell r="P1012">
            <v>1</v>
          </cell>
          <cell r="Q1012">
            <v>1</v>
          </cell>
          <cell r="R1012">
            <v>3</v>
          </cell>
          <cell r="S1012" t="str">
            <v>polygon</v>
          </cell>
          <cell r="T1012">
            <v>0</v>
          </cell>
          <cell r="U1012" t="str">
            <v>NULL</v>
          </cell>
          <cell r="V1012" t="str">
            <v>NULL</v>
          </cell>
          <cell r="W1012" t="str">
            <v/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 t="str">
            <v>anytime</v>
          </cell>
          <cell r="AC1012">
            <v>1</v>
          </cell>
          <cell r="AD1012">
            <v>6</v>
          </cell>
          <cell r="AE1012" t="str">
            <v>everyone</v>
          </cell>
        </row>
        <row r="1013">
          <cell r="A1013" t="str">
            <v>65529_1</v>
          </cell>
          <cell r="B1013">
            <v>1</v>
          </cell>
          <cell r="C1013">
            <v>65529</v>
          </cell>
          <cell r="D1013" t="str">
            <v>【LB植松】検証クエスト</v>
          </cell>
          <cell r="E1013" t="str">
            <v>検証</v>
          </cell>
          <cell r="F1013">
            <v>1</v>
          </cell>
          <cell r="G1013" t="str">
            <v>ja</v>
          </cell>
          <cell r="H1013" t="str">
            <v>【LB植松】検証</v>
          </cell>
          <cell r="I1013" t="str">
            <v>検証</v>
          </cell>
          <cell r="J1013">
            <v>1</v>
          </cell>
          <cell r="K1013">
            <v>1</v>
          </cell>
          <cell r="L1013">
            <v>1</v>
          </cell>
          <cell r="M1013">
            <v>1</v>
          </cell>
          <cell r="N1013">
            <v>1</v>
          </cell>
          <cell r="O1013">
            <v>1</v>
          </cell>
          <cell r="P1013">
            <v>1</v>
          </cell>
          <cell r="Q1013">
            <v>1</v>
          </cell>
          <cell r="R1013">
            <v>3</v>
          </cell>
          <cell r="S1013" t="str">
            <v>polygon</v>
          </cell>
          <cell r="T1013">
            <v>0</v>
          </cell>
          <cell r="U1013" t="str">
            <v>NULL</v>
          </cell>
          <cell r="V1013" t="str">
            <v>NULL</v>
          </cell>
          <cell r="W1013" t="str">
            <v/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 t="str">
            <v>anytime</v>
          </cell>
          <cell r="AC1013">
            <v>1</v>
          </cell>
          <cell r="AD1013">
            <v>6</v>
          </cell>
          <cell r="AE1013" t="str">
            <v>everyone</v>
          </cell>
        </row>
        <row r="1014">
          <cell r="A1014" t="str">
            <v>65530_1</v>
          </cell>
          <cell r="B1014">
            <v>1</v>
          </cell>
          <cell r="C1014">
            <v>65530</v>
          </cell>
          <cell r="D1014" t="str">
            <v>【LB渡邉】検証クエスト</v>
          </cell>
          <cell r="E1014" t="str">
            <v>検証</v>
          </cell>
          <cell r="F1014">
            <v>1</v>
          </cell>
          <cell r="G1014" t="str">
            <v>ja</v>
          </cell>
          <cell r="H1014" t="str">
            <v>【LB渡邉】検証</v>
          </cell>
          <cell r="I1014" t="str">
            <v>検証</v>
          </cell>
          <cell r="J1014">
            <v>1</v>
          </cell>
          <cell r="K1014">
            <v>1</v>
          </cell>
          <cell r="L1014">
            <v>1</v>
          </cell>
          <cell r="M1014">
            <v>1</v>
          </cell>
          <cell r="N1014">
            <v>1</v>
          </cell>
          <cell r="O1014">
            <v>1</v>
          </cell>
          <cell r="P1014">
            <v>1</v>
          </cell>
          <cell r="Q1014">
            <v>1</v>
          </cell>
          <cell r="R1014">
            <v>3</v>
          </cell>
          <cell r="S1014" t="str">
            <v>polygon</v>
          </cell>
          <cell r="T1014">
            <v>0</v>
          </cell>
          <cell r="U1014" t="str">
            <v>NULL</v>
          </cell>
          <cell r="V1014" t="str">
            <v>NULL</v>
          </cell>
          <cell r="W1014" t="str">
            <v/>
          </cell>
          <cell r="X1014">
            <v>0</v>
          </cell>
          <cell r="Y1014">
            <v>0</v>
          </cell>
          <cell r="Z1014">
            <v>0</v>
          </cell>
          <cell r="AA1014">
            <v>0</v>
          </cell>
          <cell r="AB1014" t="str">
            <v>anytime</v>
          </cell>
          <cell r="AC1014">
            <v>1</v>
          </cell>
          <cell r="AD1014">
            <v>6</v>
          </cell>
          <cell r="AE1014" t="str">
            <v>everyone</v>
          </cell>
        </row>
        <row r="1015">
          <cell r="A1015" t="str">
            <v>65531_1</v>
          </cell>
          <cell r="B1015">
            <v>1</v>
          </cell>
          <cell r="C1015">
            <v>65531</v>
          </cell>
          <cell r="D1015" t="str">
            <v>【LB塚本】検証クエスト</v>
          </cell>
          <cell r="E1015" t="str">
            <v>検証</v>
          </cell>
          <cell r="F1015">
            <v>1</v>
          </cell>
          <cell r="G1015" t="str">
            <v>ja</v>
          </cell>
          <cell r="H1015" t="str">
            <v>【LB塚本】検証</v>
          </cell>
          <cell r="I1015" t="str">
            <v>検証</v>
          </cell>
          <cell r="J1015">
            <v>1</v>
          </cell>
          <cell r="K1015">
            <v>1</v>
          </cell>
          <cell r="L1015">
            <v>1</v>
          </cell>
          <cell r="M1015">
            <v>1</v>
          </cell>
          <cell r="N1015">
            <v>1</v>
          </cell>
          <cell r="O1015">
            <v>1</v>
          </cell>
          <cell r="P1015">
            <v>1</v>
          </cell>
          <cell r="Q1015">
            <v>1</v>
          </cell>
          <cell r="R1015">
            <v>3</v>
          </cell>
          <cell r="S1015" t="str">
            <v>polygon</v>
          </cell>
          <cell r="T1015">
            <v>0</v>
          </cell>
          <cell r="U1015" t="str">
            <v>NULL</v>
          </cell>
          <cell r="V1015" t="str">
            <v>NULL</v>
          </cell>
          <cell r="W1015" t="str">
            <v/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  <cell r="AB1015" t="str">
            <v>anytime</v>
          </cell>
          <cell r="AC1015">
            <v>1</v>
          </cell>
          <cell r="AD1015">
            <v>6</v>
          </cell>
          <cell r="AE1015" t="str">
            <v>everyone</v>
          </cell>
        </row>
        <row r="1016">
          <cell r="A1016" t="str">
            <v>65531_2</v>
          </cell>
          <cell r="B1016">
            <v>1</v>
          </cell>
          <cell r="C1016">
            <v>65531</v>
          </cell>
          <cell r="D1016" t="str">
            <v>【LB塚本】検証クエスト</v>
          </cell>
          <cell r="E1016" t="str">
            <v>検証</v>
          </cell>
          <cell r="F1016">
            <v>2</v>
          </cell>
          <cell r="G1016" t="str">
            <v>ja</v>
          </cell>
          <cell r="H1016" t="str">
            <v>【LB塚本】検証プレイ用</v>
          </cell>
          <cell r="I1016" t="str">
            <v>検証</v>
          </cell>
          <cell r="J1016">
            <v>1</v>
          </cell>
          <cell r="K1016">
            <v>1</v>
          </cell>
          <cell r="L1016">
            <v>1</v>
          </cell>
          <cell r="M1016">
            <v>1</v>
          </cell>
          <cell r="N1016">
            <v>1</v>
          </cell>
          <cell r="O1016">
            <v>1</v>
          </cell>
          <cell r="P1016">
            <v>1</v>
          </cell>
          <cell r="Q1016">
            <v>1</v>
          </cell>
          <cell r="R1016">
            <v>3</v>
          </cell>
          <cell r="S1016" t="str">
            <v>polygon</v>
          </cell>
          <cell r="T1016">
            <v>0</v>
          </cell>
          <cell r="U1016" t="str">
            <v>NULL</v>
          </cell>
          <cell r="V1016" t="str">
            <v>NULL</v>
          </cell>
          <cell r="W1016" t="str">
            <v/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  <cell r="AB1016" t="str">
            <v>anytime</v>
          </cell>
          <cell r="AC1016">
            <v>1</v>
          </cell>
          <cell r="AD1016">
            <v>6</v>
          </cell>
          <cell r="AE1016" t="str">
            <v>everyone</v>
          </cell>
        </row>
        <row r="1017">
          <cell r="A1017" t="str">
            <v>65532_1</v>
          </cell>
          <cell r="B1017">
            <v>1</v>
          </cell>
          <cell r="C1017">
            <v>65532</v>
          </cell>
          <cell r="D1017" t="str">
            <v>【LB山川】検証クエスト</v>
          </cell>
          <cell r="E1017" t="str">
            <v>検証</v>
          </cell>
          <cell r="F1017">
            <v>1</v>
          </cell>
          <cell r="G1017" t="str">
            <v>ja</v>
          </cell>
          <cell r="H1017" t="str">
            <v>【LB山川】検証</v>
          </cell>
          <cell r="I1017" t="str">
            <v>検証</v>
          </cell>
          <cell r="J1017">
            <v>1</v>
          </cell>
          <cell r="K1017">
            <v>1</v>
          </cell>
          <cell r="L1017">
            <v>1</v>
          </cell>
          <cell r="M1017">
            <v>1</v>
          </cell>
          <cell r="N1017">
            <v>1</v>
          </cell>
          <cell r="O1017">
            <v>1</v>
          </cell>
          <cell r="P1017">
            <v>1</v>
          </cell>
          <cell r="Q1017">
            <v>1</v>
          </cell>
          <cell r="R1017">
            <v>3</v>
          </cell>
          <cell r="S1017" t="str">
            <v>polygon</v>
          </cell>
          <cell r="T1017">
            <v>0</v>
          </cell>
          <cell r="U1017" t="str">
            <v>NULL</v>
          </cell>
          <cell r="V1017" t="str">
            <v>NULL</v>
          </cell>
          <cell r="W1017" t="str">
            <v/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 t="str">
            <v>anytime</v>
          </cell>
          <cell r="AC1017">
            <v>1</v>
          </cell>
          <cell r="AD1017">
            <v>6</v>
          </cell>
          <cell r="AE1017" t="str">
            <v>everyone</v>
          </cell>
        </row>
        <row r="1018">
          <cell r="A1018" t="str">
            <v>65532_2</v>
          </cell>
          <cell r="B1018">
            <v>1</v>
          </cell>
          <cell r="C1018">
            <v>65532</v>
          </cell>
          <cell r="D1018" t="str">
            <v>【LB山川】検証クエスト</v>
          </cell>
          <cell r="E1018" t="str">
            <v>検証</v>
          </cell>
          <cell r="F1018">
            <v>2</v>
          </cell>
          <cell r="G1018" t="str">
            <v>ja</v>
          </cell>
          <cell r="H1018" t="str">
            <v>【LB山川】検証プレイ用</v>
          </cell>
          <cell r="I1018" t="str">
            <v>検証</v>
          </cell>
          <cell r="J1018">
            <v>1</v>
          </cell>
          <cell r="K1018">
            <v>1</v>
          </cell>
          <cell r="L1018">
            <v>1</v>
          </cell>
          <cell r="M1018">
            <v>1</v>
          </cell>
          <cell r="N1018">
            <v>1</v>
          </cell>
          <cell r="O1018">
            <v>1</v>
          </cell>
          <cell r="P1018">
            <v>1</v>
          </cell>
          <cell r="Q1018">
            <v>1</v>
          </cell>
          <cell r="R1018">
            <v>3</v>
          </cell>
          <cell r="S1018" t="str">
            <v>polygon</v>
          </cell>
          <cell r="T1018">
            <v>0</v>
          </cell>
          <cell r="U1018" t="str">
            <v>NULL</v>
          </cell>
          <cell r="V1018" t="str">
            <v>NULL</v>
          </cell>
          <cell r="W1018" t="str">
            <v/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  <cell r="AB1018" t="str">
            <v>anytime</v>
          </cell>
          <cell r="AC1018">
            <v>1</v>
          </cell>
          <cell r="AD1018">
            <v>6</v>
          </cell>
          <cell r="AE1018" t="str">
            <v>everyone</v>
          </cell>
        </row>
        <row r="1019">
          <cell r="A1019" t="str">
            <v>65533_1</v>
          </cell>
          <cell r="B1019">
            <v>1</v>
          </cell>
          <cell r="C1019">
            <v>65533</v>
          </cell>
          <cell r="D1019" t="str">
            <v>【程塚】検証クエスト</v>
          </cell>
          <cell r="E1019" t="str">
            <v>検証</v>
          </cell>
          <cell r="F1019">
            <v>1</v>
          </cell>
          <cell r="G1019" t="str">
            <v>ja</v>
          </cell>
          <cell r="H1019" t="str">
            <v>【超級】若造よ、身の程を知れ</v>
          </cell>
          <cell r="I1019" t="str">
            <v>超級</v>
          </cell>
          <cell r="J1019">
            <v>458</v>
          </cell>
          <cell r="K1019">
            <v>30</v>
          </cell>
          <cell r="L1019">
            <v>3300</v>
          </cell>
          <cell r="M1019">
            <v>1</v>
          </cell>
          <cell r="N1019">
            <v>1</v>
          </cell>
          <cell r="O1019">
            <v>1</v>
          </cell>
          <cell r="P1019">
            <v>1</v>
          </cell>
          <cell r="Q1019">
            <v>1</v>
          </cell>
          <cell r="R1019">
            <v>3</v>
          </cell>
          <cell r="S1019" t="str">
            <v>none</v>
          </cell>
          <cell r="T1019">
            <v>0</v>
          </cell>
          <cell r="U1019" t="str">
            <v>NULL</v>
          </cell>
          <cell r="V1019" t="str">
            <v>NULL</v>
          </cell>
          <cell r="W1019" t="str">
            <v/>
          </cell>
          <cell r="X1019">
            <v>0</v>
          </cell>
          <cell r="Y1019">
            <v>0</v>
          </cell>
          <cell r="Z1019">
            <v>0</v>
          </cell>
          <cell r="AA1019">
            <v>0</v>
          </cell>
          <cell r="AB1019" t="str">
            <v>anytime</v>
          </cell>
          <cell r="AC1019">
            <v>13</v>
          </cell>
          <cell r="AD1019">
            <v>6</v>
          </cell>
          <cell r="AE1019" t="str">
            <v>everyone</v>
          </cell>
        </row>
        <row r="1020">
          <cell r="A1020" t="str">
            <v>65533_2</v>
          </cell>
          <cell r="B1020">
            <v>1</v>
          </cell>
          <cell r="C1020">
            <v>65533</v>
          </cell>
          <cell r="D1020" t="str">
            <v>【程塚】検証クエスト</v>
          </cell>
          <cell r="E1020" t="str">
            <v>検証</v>
          </cell>
          <cell r="F1020">
            <v>2</v>
          </cell>
          <cell r="G1020" t="str">
            <v>ja</v>
          </cell>
          <cell r="H1020" t="str">
            <v>【超絶級】若造よ、身の程を知れ</v>
          </cell>
          <cell r="I1020" t="str">
            <v>超絶級</v>
          </cell>
          <cell r="J1020">
            <v>459</v>
          </cell>
          <cell r="K1020">
            <v>35</v>
          </cell>
          <cell r="L1020">
            <v>4200</v>
          </cell>
          <cell r="M1020">
            <v>1</v>
          </cell>
          <cell r="N1020">
            <v>1</v>
          </cell>
          <cell r="O1020">
            <v>1</v>
          </cell>
          <cell r="P1020">
            <v>1</v>
          </cell>
          <cell r="Q1020">
            <v>1</v>
          </cell>
          <cell r="R1020">
            <v>3</v>
          </cell>
          <cell r="S1020" t="str">
            <v>polygon</v>
          </cell>
          <cell r="T1020">
            <v>1</v>
          </cell>
          <cell r="U1020" t="str">
            <v>NULL</v>
          </cell>
          <cell r="V1020" t="str">
            <v>NULL</v>
          </cell>
          <cell r="W1020" t="str">
            <v/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  <cell r="AB1020" t="str">
            <v>anytime</v>
          </cell>
          <cell r="AC1020">
            <v>13</v>
          </cell>
          <cell r="AD1020">
            <v>6</v>
          </cell>
          <cell r="AE1020" t="str">
            <v>everyone</v>
          </cell>
        </row>
        <row r="1021">
          <cell r="A1021" t="str">
            <v>65534_1</v>
          </cell>
          <cell r="B1021">
            <v>1</v>
          </cell>
          <cell r="C1021">
            <v>65534</v>
          </cell>
          <cell r="D1021" t="str">
            <v>【LB久保】検証クエスト</v>
          </cell>
          <cell r="E1021" t="str">
            <v>検証</v>
          </cell>
          <cell r="F1021">
            <v>1</v>
          </cell>
          <cell r="G1021" t="str">
            <v>ja</v>
          </cell>
          <cell r="H1021" t="str">
            <v>【LB久保】タワー調整用</v>
          </cell>
          <cell r="I1021" t="str">
            <v>検証</v>
          </cell>
          <cell r="J1021">
            <v>1</v>
          </cell>
          <cell r="K1021">
            <v>1</v>
          </cell>
          <cell r="L1021">
            <v>1</v>
          </cell>
          <cell r="M1021">
            <v>1</v>
          </cell>
          <cell r="N1021">
            <v>1</v>
          </cell>
          <cell r="O1021">
            <v>1</v>
          </cell>
          <cell r="P1021">
            <v>1</v>
          </cell>
          <cell r="Q1021">
            <v>1</v>
          </cell>
          <cell r="R1021">
            <v>3</v>
          </cell>
          <cell r="S1021" t="str">
            <v>polygon</v>
          </cell>
          <cell r="T1021">
            <v>0</v>
          </cell>
          <cell r="U1021" t="str">
            <v>NULL</v>
          </cell>
          <cell r="V1021" t="str">
            <v>NULL</v>
          </cell>
          <cell r="W1021" t="str">
            <v/>
          </cell>
          <cell r="X1021">
            <v>0</v>
          </cell>
          <cell r="Y1021">
            <v>0</v>
          </cell>
          <cell r="Z1021">
            <v>0</v>
          </cell>
          <cell r="AA1021">
            <v>0</v>
          </cell>
          <cell r="AB1021" t="str">
            <v>anytime</v>
          </cell>
          <cell r="AC1021">
            <v>24</v>
          </cell>
          <cell r="AD1021">
            <v>4</v>
          </cell>
          <cell r="AE1021" t="str">
            <v>everyone</v>
          </cell>
        </row>
        <row r="1022">
          <cell r="A1022" t="str">
            <v>65534_2</v>
          </cell>
          <cell r="B1022">
            <v>1</v>
          </cell>
          <cell r="C1022">
            <v>65534</v>
          </cell>
          <cell r="D1022" t="str">
            <v>【LB久保】検証クエスト</v>
          </cell>
          <cell r="E1022" t="str">
            <v>検証</v>
          </cell>
          <cell r="F1022">
            <v>2</v>
          </cell>
          <cell r="G1022" t="str">
            <v>ja</v>
          </cell>
          <cell r="H1022" t="str">
            <v>【LB久保】タワー調整用2</v>
          </cell>
          <cell r="I1022" t="str">
            <v>検証</v>
          </cell>
          <cell r="J1022">
            <v>1</v>
          </cell>
          <cell r="K1022">
            <v>1</v>
          </cell>
          <cell r="L1022">
            <v>1</v>
          </cell>
          <cell r="M1022">
            <v>1</v>
          </cell>
          <cell r="N1022">
            <v>1</v>
          </cell>
          <cell r="O1022">
            <v>1</v>
          </cell>
          <cell r="P1022">
            <v>1</v>
          </cell>
          <cell r="Q1022">
            <v>1</v>
          </cell>
          <cell r="R1022">
            <v>3</v>
          </cell>
          <cell r="S1022" t="str">
            <v>polygon</v>
          </cell>
          <cell r="T1022">
            <v>0</v>
          </cell>
          <cell r="U1022" t="str">
            <v>NULL</v>
          </cell>
          <cell r="V1022" t="str">
            <v>NULL</v>
          </cell>
          <cell r="W1022" t="str">
            <v/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  <cell r="AB1022" t="str">
            <v>anytime</v>
          </cell>
          <cell r="AC1022">
            <v>24</v>
          </cell>
          <cell r="AD1022">
            <v>4</v>
          </cell>
          <cell r="AE1022" t="str">
            <v>everyone</v>
          </cell>
        </row>
        <row r="1023">
          <cell r="A1023" t="str">
            <v>65535_1</v>
          </cell>
          <cell r="B1023">
            <v>1</v>
          </cell>
          <cell r="C1023">
            <v>65535</v>
          </cell>
          <cell r="D1023" t="str">
            <v>１２３４５６７８９０１２３４５６７８９０１２３４５６７８９０</v>
          </cell>
          <cell r="E1023" t="str">
            <v>検証</v>
          </cell>
          <cell r="F1023">
            <v>1</v>
          </cell>
          <cell r="G1023" t="str">
            <v>ja</v>
          </cell>
          <cell r="H1023" t="str">
            <v>テンプレート</v>
          </cell>
          <cell r="I1023" t="str">
            <v>検証</v>
          </cell>
          <cell r="J1023" t="str">
            <v>NULL</v>
          </cell>
          <cell r="K1023">
            <v>1</v>
          </cell>
          <cell r="L1023">
            <v>1</v>
          </cell>
          <cell r="M1023">
            <v>1</v>
          </cell>
          <cell r="N1023">
            <v>1</v>
          </cell>
          <cell r="O1023">
            <v>1</v>
          </cell>
          <cell r="P1023">
            <v>1</v>
          </cell>
          <cell r="Q1023">
            <v>1</v>
          </cell>
          <cell r="R1023">
            <v>3</v>
          </cell>
          <cell r="S1023" t="str">
            <v>none</v>
          </cell>
          <cell r="T1023">
            <v>0</v>
          </cell>
          <cell r="U1023" t="str">
            <v>NULL</v>
          </cell>
          <cell r="V1023" t="str">
            <v>NULL</v>
          </cell>
          <cell r="W1023" t="str">
            <v/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 t="str">
            <v>anytime</v>
          </cell>
          <cell r="AC1023">
            <v>903</v>
          </cell>
          <cell r="AD1023">
            <v>6</v>
          </cell>
          <cell r="AE1023" t="str">
            <v>everyone</v>
          </cell>
        </row>
        <row r="1024">
          <cell r="A1024" t="str">
            <v>65535_2</v>
          </cell>
          <cell r="B1024">
            <v>1</v>
          </cell>
          <cell r="C1024">
            <v>65535</v>
          </cell>
          <cell r="D1024" t="str">
            <v>１２３４５６７８９０１２３４５６７８９０１２３４５６７８９０</v>
          </cell>
          <cell r="E1024" t="str">
            <v>検証</v>
          </cell>
          <cell r="F1024">
            <v>2</v>
          </cell>
          <cell r="G1024" t="str">
            <v>ja</v>
          </cell>
          <cell r="H1024" t="str">
            <v>ランクアップクエスト</v>
          </cell>
          <cell r="I1024" t="str">
            <v>検証</v>
          </cell>
          <cell r="J1024" t="str">
            <v>NULL</v>
          </cell>
          <cell r="K1024">
            <v>1</v>
          </cell>
          <cell r="L1024">
            <v>65535</v>
          </cell>
          <cell r="M1024">
            <v>1</v>
          </cell>
          <cell r="N1024">
            <v>1</v>
          </cell>
          <cell r="O1024">
            <v>1</v>
          </cell>
          <cell r="P1024">
            <v>1</v>
          </cell>
          <cell r="Q1024">
            <v>1</v>
          </cell>
          <cell r="R1024">
            <v>3</v>
          </cell>
          <cell r="S1024" t="str">
            <v>none</v>
          </cell>
          <cell r="T1024">
            <v>0</v>
          </cell>
          <cell r="U1024" t="str">
            <v>NULL</v>
          </cell>
          <cell r="V1024" t="str">
            <v>NULL</v>
          </cell>
          <cell r="W1024" t="str">
            <v/>
          </cell>
          <cell r="X1024">
            <v>0</v>
          </cell>
          <cell r="Y1024">
            <v>0</v>
          </cell>
          <cell r="Z1024">
            <v>0</v>
          </cell>
          <cell r="AA1024">
            <v>0</v>
          </cell>
          <cell r="AB1024" t="str">
            <v>anytime</v>
          </cell>
          <cell r="AC1024">
            <v>903</v>
          </cell>
          <cell r="AD1024">
            <v>6</v>
          </cell>
          <cell r="AE1024" t="str">
            <v>everyone</v>
          </cell>
        </row>
        <row r="1025">
          <cell r="A1025" t="str">
            <v>65535_3</v>
          </cell>
          <cell r="B1025">
            <v>1</v>
          </cell>
          <cell r="C1025">
            <v>65535</v>
          </cell>
          <cell r="D1025" t="str">
            <v>１２３４５６７８９０１２３４５６７８９０１２３４５６７８９０</v>
          </cell>
          <cell r="E1025" t="str">
            <v>検証</v>
          </cell>
          <cell r="F1025">
            <v>3</v>
          </cell>
          <cell r="G1025" t="str">
            <v>ja</v>
          </cell>
          <cell r="H1025" t="str">
            <v>サンドボックス</v>
          </cell>
          <cell r="I1025" t="str">
            <v>検証</v>
          </cell>
          <cell r="J1025" t="str">
            <v>NULL</v>
          </cell>
          <cell r="K1025">
            <v>1</v>
          </cell>
          <cell r="L1025">
            <v>1</v>
          </cell>
          <cell r="M1025">
            <v>1</v>
          </cell>
          <cell r="N1025">
            <v>1</v>
          </cell>
          <cell r="O1025">
            <v>1</v>
          </cell>
          <cell r="P1025">
            <v>1</v>
          </cell>
          <cell r="Q1025">
            <v>1</v>
          </cell>
          <cell r="R1025">
            <v>3</v>
          </cell>
          <cell r="S1025" t="str">
            <v>none</v>
          </cell>
          <cell r="T1025">
            <v>0</v>
          </cell>
          <cell r="U1025" t="str">
            <v>NULL</v>
          </cell>
          <cell r="V1025" t="str">
            <v>NULL</v>
          </cell>
          <cell r="W1025" t="str">
            <v/>
          </cell>
          <cell r="X1025">
            <v>0</v>
          </cell>
          <cell r="Y1025">
            <v>0</v>
          </cell>
          <cell r="Z1025">
            <v>0</v>
          </cell>
          <cell r="AA1025">
            <v>0</v>
          </cell>
          <cell r="AB1025" t="str">
            <v>anytime</v>
          </cell>
          <cell r="AC1025">
            <v>105</v>
          </cell>
          <cell r="AD1025">
            <v>6</v>
          </cell>
          <cell r="AE1025" t="str">
            <v>everyone</v>
          </cell>
        </row>
        <row r="1026">
          <cell r="A1026" t="str">
            <v>65535_4</v>
          </cell>
          <cell r="B1026">
            <v>1</v>
          </cell>
          <cell r="C1026">
            <v>65535</v>
          </cell>
          <cell r="D1026" t="str">
            <v>１２３４５６７８９０１２３４５６７８９０１２３４５６７８９０</v>
          </cell>
          <cell r="E1026" t="str">
            <v>検証</v>
          </cell>
          <cell r="F1026">
            <v>4</v>
          </cell>
          <cell r="G1026" t="str">
            <v>ja</v>
          </cell>
          <cell r="H1026" t="str">
            <v>フリーズジャンヌ</v>
          </cell>
          <cell r="I1026" t="str">
            <v>検証</v>
          </cell>
          <cell r="J1026" t="str">
            <v>NULL</v>
          </cell>
          <cell r="K1026">
            <v>1</v>
          </cell>
          <cell r="L1026">
            <v>1</v>
          </cell>
          <cell r="M1026">
            <v>1</v>
          </cell>
          <cell r="N1026">
            <v>1</v>
          </cell>
          <cell r="O1026">
            <v>1</v>
          </cell>
          <cell r="P1026">
            <v>1</v>
          </cell>
          <cell r="Q1026">
            <v>1</v>
          </cell>
          <cell r="R1026">
            <v>3</v>
          </cell>
          <cell r="S1026" t="str">
            <v>none</v>
          </cell>
          <cell r="T1026">
            <v>0</v>
          </cell>
          <cell r="U1026" t="str">
            <v>NULL</v>
          </cell>
          <cell r="V1026" t="str">
            <v>NULL</v>
          </cell>
          <cell r="W1026" t="str">
            <v/>
          </cell>
          <cell r="X1026">
            <v>0</v>
          </cell>
          <cell r="Y1026">
            <v>0</v>
          </cell>
          <cell r="Z1026">
            <v>0</v>
          </cell>
          <cell r="AA1026">
            <v>0</v>
          </cell>
          <cell r="AB1026" t="str">
            <v>anytime</v>
          </cell>
          <cell r="AC1026">
            <v>105</v>
          </cell>
          <cell r="AD1026">
            <v>6</v>
          </cell>
          <cell r="AE1026" t="str">
            <v>everyone</v>
          </cell>
        </row>
        <row r="1027">
          <cell r="A1027" t="str">
            <v>65535_5</v>
          </cell>
          <cell r="B1027">
            <v>1</v>
          </cell>
          <cell r="C1027">
            <v>65535</v>
          </cell>
          <cell r="D1027" t="str">
            <v>１２３４５６７８９０１２３４５６７８９０１２３４５６７８９０</v>
          </cell>
          <cell r="E1027" t="str">
            <v>検証</v>
          </cell>
          <cell r="F1027">
            <v>5</v>
          </cell>
          <cell r="G1027" t="str">
            <v>ja</v>
          </cell>
          <cell r="H1027" t="str">
            <v>ウィルスジャンヌ</v>
          </cell>
          <cell r="I1027" t="str">
            <v>検証</v>
          </cell>
          <cell r="J1027" t="str">
            <v>NULL</v>
          </cell>
          <cell r="K1027">
            <v>1</v>
          </cell>
          <cell r="L1027">
            <v>1</v>
          </cell>
          <cell r="M1027">
            <v>1</v>
          </cell>
          <cell r="N1027">
            <v>1</v>
          </cell>
          <cell r="O1027">
            <v>1</v>
          </cell>
          <cell r="P1027">
            <v>1</v>
          </cell>
          <cell r="Q1027">
            <v>1</v>
          </cell>
          <cell r="R1027">
            <v>3</v>
          </cell>
          <cell r="S1027" t="str">
            <v>none</v>
          </cell>
          <cell r="T1027">
            <v>0</v>
          </cell>
          <cell r="U1027" t="str">
            <v>NULL</v>
          </cell>
          <cell r="V1027" t="str">
            <v>NULL</v>
          </cell>
          <cell r="W1027" t="str">
            <v/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  <cell r="AB1027" t="str">
            <v>anytime</v>
          </cell>
          <cell r="AC1027">
            <v>105</v>
          </cell>
          <cell r="AD1027">
            <v>6</v>
          </cell>
          <cell r="AE1027" t="str">
            <v>everyone</v>
          </cell>
        </row>
        <row r="1028">
          <cell r="A1028" t="str">
            <v>65535_6</v>
          </cell>
          <cell r="B1028">
            <v>1</v>
          </cell>
          <cell r="C1028">
            <v>65535</v>
          </cell>
          <cell r="D1028" t="str">
            <v>１２３４５６７８９０１２３４５６７８９０１２３４５６７８９０</v>
          </cell>
          <cell r="E1028" t="str">
            <v>検証</v>
          </cell>
          <cell r="F1028">
            <v>6</v>
          </cell>
          <cell r="G1028" t="str">
            <v>ja</v>
          </cell>
          <cell r="H1028" t="str">
            <v>お邪魔ジャンヌ</v>
          </cell>
          <cell r="I1028" t="str">
            <v>検証</v>
          </cell>
          <cell r="J1028" t="str">
            <v>NULL</v>
          </cell>
          <cell r="K1028">
            <v>1</v>
          </cell>
          <cell r="L1028">
            <v>1</v>
          </cell>
          <cell r="M1028">
            <v>1</v>
          </cell>
          <cell r="N1028">
            <v>1</v>
          </cell>
          <cell r="O1028">
            <v>1</v>
          </cell>
          <cell r="P1028">
            <v>1</v>
          </cell>
          <cell r="Q1028">
            <v>1</v>
          </cell>
          <cell r="R1028">
            <v>3</v>
          </cell>
          <cell r="S1028" t="str">
            <v>none</v>
          </cell>
          <cell r="T1028">
            <v>0</v>
          </cell>
          <cell r="U1028" t="str">
            <v>NULL</v>
          </cell>
          <cell r="V1028" t="str">
            <v>NULL</v>
          </cell>
          <cell r="W1028" t="str">
            <v/>
          </cell>
          <cell r="X1028">
            <v>0</v>
          </cell>
          <cell r="Y1028">
            <v>0</v>
          </cell>
          <cell r="Z1028">
            <v>0</v>
          </cell>
          <cell r="AA1028">
            <v>0</v>
          </cell>
          <cell r="AB1028" t="str">
            <v>anytime</v>
          </cell>
          <cell r="AC1028">
            <v>105</v>
          </cell>
          <cell r="AD1028">
            <v>6</v>
          </cell>
          <cell r="AE1028" t="str">
            <v>everyone</v>
          </cell>
        </row>
        <row r="1029">
          <cell r="A1029" t="str">
            <v>65535_7</v>
          </cell>
          <cell r="B1029">
            <v>1</v>
          </cell>
          <cell r="C1029">
            <v>65535</v>
          </cell>
          <cell r="D1029" t="str">
            <v>１２３４５６７８９０１２３４５６７８９０１２３４５６７８９０</v>
          </cell>
          <cell r="E1029" t="str">
            <v>検証</v>
          </cell>
          <cell r="F1029">
            <v>7</v>
          </cell>
          <cell r="G1029" t="str">
            <v>ja</v>
          </cell>
          <cell r="H1029" t="str">
            <v>爆風ジャンヌ</v>
          </cell>
          <cell r="I1029" t="str">
            <v>検証</v>
          </cell>
          <cell r="J1029" t="str">
            <v>NULL</v>
          </cell>
          <cell r="K1029">
            <v>1</v>
          </cell>
          <cell r="L1029">
            <v>1</v>
          </cell>
          <cell r="M1029">
            <v>1</v>
          </cell>
          <cell r="N1029">
            <v>1</v>
          </cell>
          <cell r="O1029">
            <v>1</v>
          </cell>
          <cell r="P1029">
            <v>1</v>
          </cell>
          <cell r="Q1029">
            <v>1</v>
          </cell>
          <cell r="R1029">
            <v>3</v>
          </cell>
          <cell r="S1029" t="str">
            <v>none</v>
          </cell>
          <cell r="T1029">
            <v>0</v>
          </cell>
          <cell r="U1029" t="str">
            <v>NULL</v>
          </cell>
          <cell r="V1029" t="str">
            <v>NULL</v>
          </cell>
          <cell r="W1029" t="str">
            <v/>
          </cell>
          <cell r="X1029">
            <v>0</v>
          </cell>
          <cell r="Y1029">
            <v>0</v>
          </cell>
          <cell r="Z1029">
            <v>0</v>
          </cell>
          <cell r="AA1029">
            <v>0</v>
          </cell>
          <cell r="AB1029" t="str">
            <v>anytime</v>
          </cell>
          <cell r="AC1029">
            <v>105</v>
          </cell>
          <cell r="AD1029">
            <v>6</v>
          </cell>
          <cell r="AE1029" t="str">
            <v>everyone</v>
          </cell>
        </row>
        <row r="1030">
          <cell r="A1030" t="str">
            <v>65535_8</v>
          </cell>
          <cell r="B1030">
            <v>1</v>
          </cell>
          <cell r="C1030">
            <v>65535</v>
          </cell>
          <cell r="D1030" t="str">
            <v>１２３４５６７８９０１２３４５６７８９０１２３４５６７８９０</v>
          </cell>
          <cell r="E1030" t="str">
            <v>検証</v>
          </cell>
          <cell r="F1030">
            <v>8</v>
          </cell>
          <cell r="G1030" t="str">
            <v>ja</v>
          </cell>
          <cell r="H1030" t="str">
            <v>テスト</v>
          </cell>
          <cell r="I1030" t="str">
            <v>検証</v>
          </cell>
          <cell r="J1030" t="str">
            <v>NULL</v>
          </cell>
          <cell r="K1030">
            <v>1</v>
          </cell>
          <cell r="L1030">
            <v>1</v>
          </cell>
          <cell r="M1030">
            <v>1</v>
          </cell>
          <cell r="N1030">
            <v>1</v>
          </cell>
          <cell r="O1030">
            <v>1</v>
          </cell>
          <cell r="P1030">
            <v>1</v>
          </cell>
          <cell r="Q1030">
            <v>1</v>
          </cell>
          <cell r="R1030">
            <v>3</v>
          </cell>
          <cell r="S1030" t="str">
            <v>none</v>
          </cell>
          <cell r="T1030">
            <v>0</v>
          </cell>
          <cell r="U1030" t="str">
            <v>NULL</v>
          </cell>
          <cell r="V1030" t="str">
            <v>NULL</v>
          </cell>
          <cell r="W1030" t="str">
            <v/>
          </cell>
          <cell r="X1030">
            <v>0</v>
          </cell>
          <cell r="Y1030">
            <v>0</v>
          </cell>
          <cell r="Z1030">
            <v>0</v>
          </cell>
          <cell r="AA1030">
            <v>0</v>
          </cell>
          <cell r="AB1030" t="str">
            <v>anytime</v>
          </cell>
          <cell r="AC1030">
            <v>105</v>
          </cell>
          <cell r="AD1030">
            <v>6</v>
          </cell>
          <cell r="AE1030" t="str">
            <v>everyone</v>
          </cell>
        </row>
        <row r="1031">
          <cell r="A1031" t="str">
            <v>65535_9</v>
          </cell>
          <cell r="B1031">
            <v>1</v>
          </cell>
          <cell r="C1031">
            <v>65535</v>
          </cell>
          <cell r="D1031" t="str">
            <v>１２３４５６７８９０１２３４５６７８９０１２３４５６７８９０</v>
          </cell>
          <cell r="E1031" t="str">
            <v>検証</v>
          </cell>
          <cell r="F1031">
            <v>9</v>
          </cell>
          <cell r="G1031" t="str">
            <v>ja</v>
          </cell>
          <cell r="H1031" t="str">
            <v>本気プロテクトジャンヌ</v>
          </cell>
          <cell r="I1031" t="str">
            <v>検証</v>
          </cell>
          <cell r="J1031">
            <v>814</v>
          </cell>
          <cell r="K1031">
            <v>1</v>
          </cell>
          <cell r="L1031">
            <v>1</v>
          </cell>
          <cell r="M1031">
            <v>1</v>
          </cell>
          <cell r="N1031">
            <v>1</v>
          </cell>
          <cell r="O1031">
            <v>1</v>
          </cell>
          <cell r="P1031">
            <v>1</v>
          </cell>
          <cell r="Q1031">
            <v>1</v>
          </cell>
          <cell r="R1031">
            <v>3</v>
          </cell>
          <cell r="S1031" t="str">
            <v>none</v>
          </cell>
          <cell r="T1031">
            <v>0</v>
          </cell>
          <cell r="U1031" t="str">
            <v>NULL</v>
          </cell>
          <cell r="V1031" t="str">
            <v>NULL</v>
          </cell>
          <cell r="W1031" t="str">
            <v/>
          </cell>
          <cell r="X1031">
            <v>0</v>
          </cell>
          <cell r="Y1031">
            <v>0</v>
          </cell>
          <cell r="Z1031">
            <v>0</v>
          </cell>
          <cell r="AA1031">
            <v>0</v>
          </cell>
          <cell r="AB1031" t="str">
            <v>anytime</v>
          </cell>
          <cell r="AC1031">
            <v>105</v>
          </cell>
          <cell r="AD1031">
            <v>6</v>
          </cell>
          <cell r="AE1031" t="str">
            <v>everyone</v>
          </cell>
        </row>
        <row r="1032">
          <cell r="A1032" t="str">
            <v>65535_10</v>
          </cell>
          <cell r="B1032">
            <v>1</v>
          </cell>
          <cell r="C1032">
            <v>65535</v>
          </cell>
          <cell r="D1032" t="str">
            <v>１２３４５６７８９０１２３４５６７８９０１２３４５６７８９０</v>
          </cell>
          <cell r="E1032" t="str">
            <v>検証</v>
          </cell>
          <cell r="F1032">
            <v>10</v>
          </cell>
          <cell r="G1032" t="str">
            <v>ja</v>
          </cell>
          <cell r="H1032" t="str">
            <v>本気ウィルスミケランジェロ</v>
          </cell>
          <cell r="I1032" t="str">
            <v>検証</v>
          </cell>
          <cell r="J1032">
            <v>1089</v>
          </cell>
          <cell r="K1032">
            <v>1</v>
          </cell>
          <cell r="L1032">
            <v>1</v>
          </cell>
          <cell r="M1032">
            <v>1</v>
          </cell>
          <cell r="N1032">
            <v>1</v>
          </cell>
          <cell r="O1032">
            <v>1</v>
          </cell>
          <cell r="P1032">
            <v>1</v>
          </cell>
          <cell r="Q1032">
            <v>1</v>
          </cell>
          <cell r="R1032">
            <v>3</v>
          </cell>
          <cell r="S1032" t="str">
            <v>none</v>
          </cell>
          <cell r="T1032">
            <v>0</v>
          </cell>
          <cell r="U1032" t="str">
            <v>NULL</v>
          </cell>
          <cell r="V1032" t="str">
            <v>NULL</v>
          </cell>
          <cell r="W1032" t="str">
            <v/>
          </cell>
          <cell r="X1032">
            <v>0</v>
          </cell>
          <cell r="Y1032">
            <v>0</v>
          </cell>
          <cell r="Z1032">
            <v>0</v>
          </cell>
          <cell r="AA1032">
            <v>0</v>
          </cell>
          <cell r="AB1032" t="str">
            <v>anytime</v>
          </cell>
          <cell r="AC1032">
            <v>105</v>
          </cell>
          <cell r="AD1032">
            <v>6</v>
          </cell>
          <cell r="AE1032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9001</v>
          </cell>
        </row>
        <row r="1572">
          <cell r="A1572">
            <v>9002</v>
          </cell>
        </row>
        <row r="1573">
          <cell r="A1573">
            <v>9003</v>
          </cell>
        </row>
        <row r="1574">
          <cell r="A1574">
            <v>9004</v>
          </cell>
        </row>
        <row r="1575">
          <cell r="A1575">
            <v>9005</v>
          </cell>
        </row>
        <row r="1576">
          <cell r="A1576">
            <v>9006</v>
          </cell>
        </row>
        <row r="1577">
          <cell r="A1577">
            <v>9007</v>
          </cell>
        </row>
        <row r="1578">
          <cell r="A1578">
            <v>9008</v>
          </cell>
        </row>
        <row r="1579">
          <cell r="A1579">
            <v>10101</v>
          </cell>
        </row>
        <row r="1580">
          <cell r="A1580">
            <v>10102</v>
          </cell>
        </row>
        <row r="1581">
          <cell r="A1581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D21" sqref="D21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6" t="s">
        <v>129</v>
      </c>
      <c r="B1" s="51" t="s">
        <v>99</v>
      </c>
      <c r="C1" s="51" t="s">
        <v>100</v>
      </c>
      <c r="D1" s="51" t="s">
        <v>101</v>
      </c>
      <c r="E1" s="51" t="s">
        <v>102</v>
      </c>
      <c r="F1" s="51" t="s">
        <v>103</v>
      </c>
      <c r="G1" s="51" t="s">
        <v>104</v>
      </c>
      <c r="H1" s="51"/>
      <c r="I1" s="51"/>
      <c r="J1" s="51"/>
      <c r="K1" s="51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</row>
    <row r="2" spans="1:30" x14ac:dyDescent="0.15">
      <c r="A2" s="57" t="s">
        <v>211</v>
      </c>
      <c r="B2" s="53" t="s">
        <v>105</v>
      </c>
      <c r="C2" s="90">
        <v>50003</v>
      </c>
      <c r="D2" s="53" t="s">
        <v>106</v>
      </c>
      <c r="E2" s="52" t="str">
        <f>B2&amp;C2&amp;D2</f>
        <v>floors_50003.tmp</v>
      </c>
      <c r="F2" s="53" t="s">
        <v>107</v>
      </c>
      <c r="G2" s="54" t="s">
        <v>0</v>
      </c>
      <c r="H2" s="54" t="s">
        <v>1</v>
      </c>
      <c r="I2" s="54" t="s">
        <v>13</v>
      </c>
      <c r="J2" s="54" t="s">
        <v>14</v>
      </c>
      <c r="K2" s="54" t="s">
        <v>15</v>
      </c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</row>
    <row r="3" spans="1:30" x14ac:dyDescent="0.15">
      <c r="A3" s="57" t="s">
        <v>211</v>
      </c>
      <c r="B3" s="53" t="s">
        <v>108</v>
      </c>
      <c r="C3" s="90">
        <v>50003</v>
      </c>
      <c r="D3" s="53" t="s">
        <v>106</v>
      </c>
      <c r="E3" s="52" t="str">
        <f>B3&amp;C3&amp;D3</f>
        <v>enemy_habitats_50003.tmp</v>
      </c>
      <c r="F3" s="53" t="s">
        <v>109</v>
      </c>
      <c r="G3" s="54" t="s">
        <v>0</v>
      </c>
      <c r="H3" s="54" t="s">
        <v>1</v>
      </c>
      <c r="I3" s="54" t="s">
        <v>13</v>
      </c>
      <c r="J3" s="54" t="s">
        <v>2</v>
      </c>
      <c r="K3" s="54" t="s">
        <v>3</v>
      </c>
      <c r="L3" s="54" t="s">
        <v>47</v>
      </c>
      <c r="M3" s="54" t="s">
        <v>49</v>
      </c>
      <c r="N3" s="54" t="s">
        <v>51</v>
      </c>
      <c r="O3" s="54" t="s">
        <v>22</v>
      </c>
      <c r="P3" s="54" t="s">
        <v>5</v>
      </c>
      <c r="Q3" s="54" t="s">
        <v>6</v>
      </c>
      <c r="R3" s="54" t="s">
        <v>7</v>
      </c>
      <c r="S3" s="54" t="s">
        <v>8</v>
      </c>
      <c r="T3" s="54" t="s">
        <v>9</v>
      </c>
      <c r="U3" s="54" t="s">
        <v>10</v>
      </c>
      <c r="V3" s="54" t="s">
        <v>11</v>
      </c>
      <c r="W3" s="54" t="s">
        <v>12</v>
      </c>
      <c r="X3" s="54" t="s">
        <v>37</v>
      </c>
      <c r="Y3" s="54" t="s">
        <v>39</v>
      </c>
      <c r="Z3" s="54" t="s">
        <v>41</v>
      </c>
      <c r="AA3" s="54" t="s">
        <v>43</v>
      </c>
      <c r="AB3" s="54" t="s">
        <v>45</v>
      </c>
      <c r="AC3" s="54" t="s">
        <v>54</v>
      </c>
      <c r="AD3" s="54" t="s">
        <v>177</v>
      </c>
    </row>
    <row r="4" spans="1:30" x14ac:dyDescent="0.15">
      <c r="A4" s="57" t="s">
        <v>211</v>
      </c>
      <c r="B4" s="53" t="s">
        <v>110</v>
      </c>
      <c r="C4" s="90">
        <v>50003</v>
      </c>
      <c r="D4" s="53" t="s">
        <v>106</v>
      </c>
      <c r="E4" s="52" t="str">
        <f>B4&amp;C4&amp;D4</f>
        <v>enemy_habitat_S_50003.tmp</v>
      </c>
      <c r="F4" s="53" t="s">
        <v>111</v>
      </c>
      <c r="G4" s="54" t="s">
        <v>0</v>
      </c>
      <c r="H4" s="54" t="s">
        <v>1</v>
      </c>
      <c r="I4" s="54" t="s">
        <v>13</v>
      </c>
      <c r="J4" s="54" t="s">
        <v>54</v>
      </c>
      <c r="K4" s="54" t="s">
        <v>55</v>
      </c>
      <c r="L4" s="54" t="s">
        <v>56</v>
      </c>
      <c r="M4" s="54" t="s">
        <v>57</v>
      </c>
      <c r="N4" s="54" t="s">
        <v>58</v>
      </c>
      <c r="O4" s="54" t="s">
        <v>59</v>
      </c>
      <c r="P4" s="54" t="s">
        <v>48</v>
      </c>
      <c r="Q4" s="54" t="s">
        <v>50</v>
      </c>
      <c r="R4" s="54" t="s">
        <v>52</v>
      </c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</row>
    <row r="5" spans="1:30" x14ac:dyDescent="0.15">
      <c r="A5" s="57" t="s">
        <v>211</v>
      </c>
      <c r="B5" s="53" t="s">
        <v>112</v>
      </c>
      <c r="C5" s="90">
        <v>50003</v>
      </c>
      <c r="D5" s="53" t="s">
        <v>106</v>
      </c>
      <c r="E5" s="52" t="str">
        <f>B5&amp;C5&amp;D5</f>
        <v>enemy_skill_sets_50003.tmp</v>
      </c>
      <c r="F5" s="53" t="s">
        <v>113</v>
      </c>
      <c r="G5" s="55" t="s">
        <v>22</v>
      </c>
      <c r="H5" s="55" t="s">
        <v>98</v>
      </c>
      <c r="I5" s="55" t="s">
        <v>93</v>
      </c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</row>
    <row r="6" spans="1:30" x14ac:dyDescent="0.15">
      <c r="A6" s="57" t="s">
        <v>211</v>
      </c>
      <c r="B6" s="53" t="s">
        <v>114</v>
      </c>
      <c r="C6" s="90">
        <v>50003</v>
      </c>
      <c r="D6" s="53" t="s">
        <v>115</v>
      </c>
      <c r="E6" s="52" t="str">
        <f t="shared" ref="E6:E10" si="0">B6&amp;C6&amp;D6</f>
        <v>enemy_skills_tmp_50003.tmp</v>
      </c>
      <c r="F6" s="53" t="s">
        <v>89</v>
      </c>
      <c r="G6" s="54" t="s">
        <v>79</v>
      </c>
      <c r="H6" s="54" t="s">
        <v>80</v>
      </c>
      <c r="I6" s="54" t="s">
        <v>81</v>
      </c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</row>
    <row r="7" spans="1:30" x14ac:dyDescent="0.15">
      <c r="A7" s="57" t="s">
        <v>211</v>
      </c>
      <c r="B7" s="53" t="s">
        <v>116</v>
      </c>
      <c r="C7" s="90">
        <v>50003</v>
      </c>
      <c r="D7" s="53" t="s">
        <v>106</v>
      </c>
      <c r="E7" s="52" t="str">
        <f>B7&amp;C7&amp;D7</f>
        <v>enemy_skills_i18n_50003.tmp</v>
      </c>
      <c r="F7" s="53" t="s">
        <v>117</v>
      </c>
      <c r="G7" s="54" t="s">
        <v>79</v>
      </c>
      <c r="H7" s="54" t="s">
        <v>90</v>
      </c>
      <c r="I7" s="54" t="s">
        <v>91</v>
      </c>
      <c r="J7" s="54" t="s">
        <v>92</v>
      </c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</row>
    <row r="8" spans="1:30" x14ac:dyDescent="0.15">
      <c r="A8" s="57" t="s">
        <v>211</v>
      </c>
      <c r="B8" s="53" t="s">
        <v>118</v>
      </c>
      <c r="C8" s="90">
        <v>50003</v>
      </c>
      <c r="D8" s="53" t="s">
        <v>119</v>
      </c>
      <c r="E8" s="52" t="str">
        <f t="shared" si="0"/>
        <v>enemy_skill_triggers_50003.tmp</v>
      </c>
      <c r="F8" s="53" t="s">
        <v>120</v>
      </c>
      <c r="G8" s="54" t="s">
        <v>93</v>
      </c>
      <c r="H8" s="54" t="s">
        <v>94</v>
      </c>
      <c r="I8" s="54" t="s">
        <v>95</v>
      </c>
      <c r="J8" s="54" t="s">
        <v>96</v>
      </c>
      <c r="K8" s="54" t="s">
        <v>121</v>
      </c>
      <c r="L8" s="54" t="s">
        <v>97</v>
      </c>
      <c r="M8" s="54" t="s">
        <v>122</v>
      </c>
      <c r="N8" s="54" t="s">
        <v>123</v>
      </c>
      <c r="O8" s="54" t="s">
        <v>124</v>
      </c>
      <c r="P8" s="54" t="s">
        <v>67</v>
      </c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</row>
    <row r="9" spans="1:30" x14ac:dyDescent="0.15">
      <c r="A9" s="57" t="s">
        <v>211</v>
      </c>
      <c r="B9" s="62" t="s">
        <v>176</v>
      </c>
      <c r="C9" s="90">
        <v>50003</v>
      </c>
      <c r="D9" s="62" t="s">
        <v>170</v>
      </c>
      <c r="E9" s="63" t="str">
        <f t="shared" si="0"/>
        <v>stage_bug_bonuses_50003.tmp</v>
      </c>
      <c r="F9" s="62" t="s">
        <v>171</v>
      </c>
      <c r="G9" s="59" t="s">
        <v>149</v>
      </c>
      <c r="H9" s="59" t="s">
        <v>172</v>
      </c>
      <c r="I9" s="59" t="s">
        <v>173</v>
      </c>
      <c r="J9" s="61" t="s">
        <v>174</v>
      </c>
      <c r="K9" s="59" t="s">
        <v>175</v>
      </c>
      <c r="L9" s="59" t="s">
        <v>155</v>
      </c>
      <c r="M9" s="59" t="s">
        <v>156</v>
      </c>
      <c r="N9" s="59" t="s">
        <v>157</v>
      </c>
      <c r="O9" s="59" t="s">
        <v>158</v>
      </c>
      <c r="P9" s="59" t="s">
        <v>159</v>
      </c>
      <c r="Q9" s="59" t="s">
        <v>160</v>
      </c>
      <c r="R9" s="59" t="s">
        <v>161</v>
      </c>
      <c r="S9" s="59" t="s">
        <v>162</v>
      </c>
      <c r="T9" s="59" t="s">
        <v>163</v>
      </c>
      <c r="U9" s="59" t="s">
        <v>164</v>
      </c>
      <c r="V9" s="59" t="s">
        <v>165</v>
      </c>
      <c r="W9" s="59" t="s">
        <v>166</v>
      </c>
    </row>
    <row r="10" spans="1:30" s="70" customFormat="1" x14ac:dyDescent="0.15">
      <c r="A10" s="57" t="s">
        <v>211</v>
      </c>
      <c r="B10" s="62" t="s">
        <v>200</v>
      </c>
      <c r="C10" s="90">
        <v>50003</v>
      </c>
      <c r="D10" s="62" t="s">
        <v>179</v>
      </c>
      <c r="E10" s="63" t="str">
        <f t="shared" si="0"/>
        <v>stage_hints_data_c_50003.tmp</v>
      </c>
      <c r="F10" s="62" t="s">
        <v>208</v>
      </c>
      <c r="G10" s="67" t="s">
        <v>180</v>
      </c>
      <c r="H10" s="67" t="s">
        <v>172</v>
      </c>
      <c r="I10" s="68" t="s">
        <v>181</v>
      </c>
      <c r="J10" s="61" t="s">
        <v>182</v>
      </c>
      <c r="K10" s="69" t="s">
        <v>183</v>
      </c>
    </row>
    <row r="11" spans="1:30" s="70" customFormat="1" x14ac:dyDescent="0.15">
      <c r="A11" s="57" t="s">
        <v>211</v>
      </c>
      <c r="B11" s="62" t="s">
        <v>201</v>
      </c>
      <c r="C11" s="90">
        <v>50003</v>
      </c>
      <c r="D11" s="62" t="s">
        <v>170</v>
      </c>
      <c r="E11" s="63" t="str">
        <f t="shared" ref="E11:E12" si="1">B11&amp;C11&amp;D11</f>
        <v>stage_hints_data_f_50003.tmp</v>
      </c>
      <c r="F11" s="62" t="s">
        <v>209</v>
      </c>
      <c r="G11" s="67" t="s">
        <v>180</v>
      </c>
      <c r="H11" s="67" t="s">
        <v>172</v>
      </c>
      <c r="I11" s="68" t="s">
        <v>181</v>
      </c>
      <c r="J11" s="61" t="s">
        <v>182</v>
      </c>
      <c r="K11" s="69" t="s">
        <v>183</v>
      </c>
    </row>
    <row r="12" spans="1:30" s="70" customFormat="1" x14ac:dyDescent="0.15">
      <c r="A12" s="57" t="s">
        <v>211</v>
      </c>
      <c r="B12" s="62" t="s">
        <v>202</v>
      </c>
      <c r="C12" s="90">
        <v>50003</v>
      </c>
      <c r="D12" s="62" t="s">
        <v>170</v>
      </c>
      <c r="E12" s="63" t="str">
        <f t="shared" si="1"/>
        <v>stage_hints_i18n_50003.tmp</v>
      </c>
      <c r="F12" s="62" t="s">
        <v>210</v>
      </c>
      <c r="G12" s="68" t="s">
        <v>203</v>
      </c>
      <c r="H12" s="88" t="s">
        <v>204</v>
      </c>
      <c r="I12" s="67" t="s">
        <v>205</v>
      </c>
      <c r="J12" s="89" t="s">
        <v>206</v>
      </c>
      <c r="K12" s="69" t="s">
        <v>207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A2" sqref="A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50003_1-1</v>
      </c>
      <c r="B2" s="16" t="str">
        <f>IF(COUNTIF(enemy_habitats!$H:$H,A2),"OK","NG")</f>
        <v>OK</v>
      </c>
      <c r="C2" s="90">
        <v>50003</v>
      </c>
      <c r="D2" s="11" t="str">
        <f ca="1">VLOOKUP($C2,OFFSET([2]quests!$A$1,0,0,COUNTA([2]quests!$A:$A),MATCH(D$1,[2]quests!$1:$1,0)-MATCH($C$1,[2]quests!$1:$1,0)+1),MATCH(D$1,[2]quests!$1:$1,0)-MATCH($C$1,[2]quests!$1:$1,0)+1,FALSE)</f>
        <v>織田信長襲来！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超降臨3</v>
      </c>
      <c r="F2" s="21">
        <v>1</v>
      </c>
      <c r="G2" s="22" t="str">
        <f>C2&amp;"_"&amp;F2</f>
        <v>50003_1</v>
      </c>
      <c r="H2" s="15" t="str">
        <f ca="1">VLOOKUP($G2,OFFSET([2]stages!$A$1,0,0,COUNTA([2]stages!$A:$A),MATCH(H$1,[2]stages!$2:$2,0)-MATCH($G$1,[2]stages!$2:$2,0)+1),MATCH(H$1,[2]stages!$2:$2,0)-MATCH($G$1,[2]stages!$2:$2,0)+1,FALSE)</f>
        <v xml:space="preserve">【超ウィザード級】織田信長襲来 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4" si="0">G3&amp;"-"&amp;I3</f>
        <v>50003_1-2</v>
      </c>
      <c r="B3" s="16" t="str">
        <f>IF(COUNTIF(enemy_habitats!$H:$H,A3),"OK","NG")</f>
        <v>OK</v>
      </c>
      <c r="C3" s="90">
        <v>50003</v>
      </c>
      <c r="D3" s="11" t="str">
        <f ca="1">VLOOKUP($C3,OFFSET([2]quests!$A$1,0,0,COUNTA([2]quests!$A:$A),MATCH(D$1,[2]quests!$1:$1,0)-MATCH($C$1,[2]quests!$1:$1,0)+1),MATCH(D$1,[2]quests!$1:$1,0)-MATCH($C$1,[2]quests!$1:$1,0)+1,FALSE)</f>
        <v>織田信長襲来！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超降臨3</v>
      </c>
      <c r="F3" s="21">
        <v>1</v>
      </c>
      <c r="G3" s="22" t="str">
        <f t="shared" ref="G3:G4" si="1">C3&amp;"_"&amp;F3</f>
        <v>50003_1</v>
      </c>
      <c r="H3" s="15" t="str">
        <f ca="1">VLOOKUP($G3,OFFSET([2]stages!$A$1,0,0,COUNTA([2]stages!$A:$A),MATCH(H$1,[2]stages!$2:$2,0)-MATCH($G$1,[2]stages!$2:$2,0)+1),MATCH(H$1,[2]stages!$2:$2,0)-MATCH($G$1,[2]stages!$2:$2,0)+1,FALSE)</f>
        <v xml:space="preserve">【超ウィザード級】織田信長襲来 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50003_1-3</v>
      </c>
      <c r="B4" s="16" t="str">
        <f>IF(COUNTIF(enemy_habitats!$H:$H,A4),"OK","NG")</f>
        <v>OK</v>
      </c>
      <c r="C4" s="90">
        <v>50003</v>
      </c>
      <c r="D4" s="11" t="str">
        <f ca="1">VLOOKUP($C4,OFFSET([2]quests!$A$1,0,0,COUNTA([2]quests!$A:$A),MATCH(D$1,[2]quests!$1:$1,0)-MATCH($C$1,[2]quests!$1:$1,0)+1),MATCH(D$1,[2]quests!$1:$1,0)-MATCH($C$1,[2]quests!$1:$1,0)+1,FALSE)</f>
        <v>織田信長襲来！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超降臨3</v>
      </c>
      <c r="F4" s="21">
        <v>1</v>
      </c>
      <c r="G4" s="22" t="str">
        <f t="shared" si="1"/>
        <v>50003_1</v>
      </c>
      <c r="H4" s="15" t="str">
        <f ca="1">VLOOKUP($G4,OFFSET([2]stages!$A$1,0,0,COUNTA([2]stages!$A:$A),MATCH(H$1,[2]stages!$2:$2,0)-MATCH($G$1,[2]stages!$2:$2,0)+1),MATCH(H$1,[2]stages!$2:$2,0)-MATCH($G$1,[2]stages!$2:$2,0)+1,FALSE)</f>
        <v xml:space="preserve">【超ウィザード級】織田信長襲来 </v>
      </c>
      <c r="I4" s="21">
        <v>3</v>
      </c>
      <c r="J4" s="12">
        <v>30</v>
      </c>
      <c r="K4" s="12">
        <v>30</v>
      </c>
    </row>
    <row r="5" spans="1:11" ht="21" customHeight="1" x14ac:dyDescent="0.15">
      <c r="A5" s="16" t="str">
        <f>G5&amp;"-"&amp;I5</f>
        <v>50003_1-4</v>
      </c>
      <c r="B5" s="16" t="str">
        <f>IF(COUNTIF(enemy_habitats!$H:$H,A5),"OK","NG")</f>
        <v>OK</v>
      </c>
      <c r="C5" s="90">
        <v>50003</v>
      </c>
      <c r="D5" s="11" t="str">
        <f ca="1">VLOOKUP($C5,OFFSET([2]quests!$A$1,0,0,COUNTA([2]quests!$A:$A),MATCH(D$1,[2]quests!$1:$1,0)-MATCH($C$1,[2]quests!$1:$1,0)+1),MATCH(D$1,[2]quests!$1:$1,0)-MATCH($C$1,[2]quests!$1:$1,0)+1,FALSE)</f>
        <v>織田信長襲来！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超降臨3</v>
      </c>
      <c r="F5" s="21">
        <v>1</v>
      </c>
      <c r="G5" s="22" t="str">
        <f>C5&amp;"_"&amp;F5</f>
        <v>50003_1</v>
      </c>
      <c r="H5" s="15" t="str">
        <f ca="1">VLOOKUP($G5,OFFSET([2]stages!$A$1,0,0,COUNTA([2]stages!$A:$A),MATCH(H$1,[2]stages!$2:$2,0)-MATCH($G$1,[2]stages!$2:$2,0)+1),MATCH(H$1,[2]stages!$2:$2,0)-MATCH($G$1,[2]stages!$2:$2,0)+1,FALSE)</f>
        <v xml:space="preserve">【超ウィザード級】織田信長襲来 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8"/>
  <sheetViews>
    <sheetView showGridLines="0" tabSelected="1" workbookViewId="0">
      <pane xSplit="17" ySplit="1" topLeftCell="AF2" activePane="bottomRight" state="frozen"/>
      <selection pane="topRight" activeCell="N1" sqref="N1"/>
      <selection pane="bottomLeft" activeCell="A2" sqref="A2"/>
      <selection pane="bottomRight" activeCell="K14" sqref="K14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25" t="s">
        <v>50</v>
      </c>
      <c r="U1" s="25" t="s">
        <v>52</v>
      </c>
      <c r="V1" s="28" t="s">
        <v>31</v>
      </c>
      <c r="W1" s="27" t="s">
        <v>4</v>
      </c>
      <c r="X1" s="27" t="s">
        <v>5</v>
      </c>
      <c r="Y1" s="27" t="s">
        <v>6</v>
      </c>
      <c r="Z1" s="27" t="s">
        <v>7</v>
      </c>
      <c r="AA1" s="27" t="s">
        <v>8</v>
      </c>
      <c r="AB1" s="32" t="s">
        <v>9</v>
      </c>
      <c r="AC1" s="33" t="s">
        <v>16</v>
      </c>
      <c r="AD1" s="33" t="s">
        <v>17</v>
      </c>
      <c r="AE1" s="33" t="s">
        <v>27</v>
      </c>
      <c r="AF1" s="32" t="s">
        <v>10</v>
      </c>
      <c r="AG1" s="27" t="s">
        <v>11</v>
      </c>
      <c r="AH1" s="27" t="s">
        <v>12</v>
      </c>
      <c r="AI1" s="27" t="s">
        <v>38</v>
      </c>
      <c r="AJ1" s="27" t="s">
        <v>40</v>
      </c>
      <c r="AK1" s="27" t="s">
        <v>42</v>
      </c>
      <c r="AL1" s="27" t="s">
        <v>44</v>
      </c>
      <c r="AM1" s="27" t="s">
        <v>46</v>
      </c>
      <c r="AN1" s="35" t="s">
        <v>178</v>
      </c>
    </row>
    <row r="2" spans="1:40" ht="21" customHeight="1" x14ac:dyDescent="0.15">
      <c r="A2" s="16" t="str">
        <f>B2&amp;"_"&amp;C2&amp;"-"&amp;G2&amp;"/"&amp;L2&amp;"&lt;lv"&amp;R2&amp;"&gt;s"&amp;AA2</f>
        <v>50003_1-1/71&lt;lv83&gt;s1</v>
      </c>
      <c r="B2" s="90">
        <v>50003</v>
      </c>
      <c r="C2" s="21">
        <v>1</v>
      </c>
      <c r="D2" s="2" t="str">
        <f>B2&amp;"_"&amp;C2</f>
        <v>50003_1</v>
      </c>
      <c r="E2" s="4" t="str">
        <f ca="1">VLOOKUP($B2,OFFSET([2]quests!$A$1,0,0,COUNTA([2]quests!$A:$A),MATCH(E$1,[2]quests!$1:$1,0)-MATCH($B$1,[2]quests!$1:$1,0)+1),MATCH(E$1,[2]quests!$1:$1,0)-MATCH($B$1,[2]quests!$1:$1,0)+1,FALSE)</f>
        <v>織田信長襲来！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【超ウィザード級】織田信長襲来 </v>
      </c>
      <c r="G2" s="21">
        <v>1</v>
      </c>
      <c r="H2" s="15" t="str">
        <f>B2&amp;"_"&amp;C2&amp;"-"&amp;G2</f>
        <v>50003_1-1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 t="s">
        <v>53</v>
      </c>
      <c r="L2" s="20">
        <v>71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ダックス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83</v>
      </c>
      <c r="S2" s="24">
        <v>3</v>
      </c>
      <c r="T2" s="24">
        <v>0.4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4">
        <v>50003001</v>
      </c>
      <c r="X2" s="6">
        <v>1</v>
      </c>
      <c r="Y2" s="6">
        <v>100</v>
      </c>
      <c r="Z2" s="6">
        <v>2</v>
      </c>
      <c r="AA2" s="17">
        <v>1</v>
      </c>
      <c r="AB2" s="23">
        <f>L2</f>
        <v>71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ダックス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Drop1S</v>
      </c>
      <c r="AF2" s="7">
        <v>1</v>
      </c>
      <c r="AG2" s="23">
        <f ca="1">AD2</f>
        <v>2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4">
        <v>1</v>
      </c>
    </row>
    <row r="3" spans="1:40" ht="21" customHeight="1" x14ac:dyDescent="0.15">
      <c r="A3" s="16" t="str">
        <f>B3&amp;"_"&amp;C3&amp;"-"&amp;G3&amp;"/"&amp;L3&amp;"&lt;lv"&amp;R3&amp;"&gt;s"&amp;AA3</f>
        <v>50003_1-1/730&lt;lv80&gt;s2</v>
      </c>
      <c r="B3" s="90">
        <v>50003</v>
      </c>
      <c r="C3" s="21">
        <v>1</v>
      </c>
      <c r="D3" s="2" t="str">
        <f>B3&amp;"_"&amp;C3</f>
        <v>50003_1</v>
      </c>
      <c r="E3" s="4" t="str">
        <f ca="1">VLOOKUP($B3,OFFSET([2]quests!$A$1,0,0,COUNTA([2]quests!$A:$A),MATCH(E$1,[2]quests!$1:$1,0)-MATCH($B$1,[2]quests!$1:$1,0)+1),MATCH(E$1,[2]quests!$1:$1,0)-MATCH($B$1,[2]quests!$1:$1,0)+1,FALSE)</f>
        <v>織田信長襲来！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【超ウィザード級】織田信長襲来 </v>
      </c>
      <c r="G3" s="21">
        <v>1</v>
      </c>
      <c r="H3" s="15" t="str">
        <f>B3&amp;"_"&amp;C3&amp;"-"&amp;G3</f>
        <v>50003_1-1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 t="s">
        <v>53</v>
      </c>
      <c r="L3" s="20">
        <v>730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ガラシャ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80</v>
      </c>
      <c r="S3" s="24">
        <v>3</v>
      </c>
      <c r="T3" s="24">
        <v>0.8</v>
      </c>
      <c r="U3" s="5">
        <v>0</v>
      </c>
      <c r="V3" s="4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" s="4">
        <v>50003002</v>
      </c>
      <c r="X3" s="6">
        <v>1</v>
      </c>
      <c r="Y3" s="6">
        <v>100</v>
      </c>
      <c r="Z3" s="6">
        <v>1</v>
      </c>
      <c r="AA3" s="17">
        <v>2</v>
      </c>
      <c r="AB3" s="23">
        <f t="shared" ref="AB3:AB7" si="0">L3</f>
        <v>730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ガラシャ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3" s="7">
        <v>1</v>
      </c>
      <c r="AG3" s="23">
        <f t="shared" ref="AG3:AG8" ca="1" si="1">AD3</f>
        <v>4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4">
        <v>1</v>
      </c>
    </row>
    <row r="4" spans="1:40" ht="21" customHeight="1" x14ac:dyDescent="0.15">
      <c r="A4" s="16" t="str">
        <f t="shared" ref="A4:A8" si="2">B4&amp;"_"&amp;C4&amp;"-"&amp;G4&amp;"/"&amp;L4&amp;"&lt;lv"&amp;R4&amp;"&gt;s"&amp;AA4</f>
        <v>50003_1-1/364&lt;lv77&gt;s1</v>
      </c>
      <c r="B4" s="90">
        <v>50003</v>
      </c>
      <c r="C4" s="21">
        <v>1</v>
      </c>
      <c r="D4" s="2" t="str">
        <f t="shared" ref="D4:D8" si="3">B4&amp;"_"&amp;C4</f>
        <v>50003_1</v>
      </c>
      <c r="E4" s="4" t="str">
        <f ca="1">VLOOKUP($B4,OFFSET([2]quests!$A$1,0,0,COUNTA([2]quests!$A:$A),MATCH(E$1,[2]quests!$1:$1,0)-MATCH($B$1,[2]quests!$1:$1,0)+1),MATCH(E$1,[2]quests!$1:$1,0)-MATCH($B$1,[2]quests!$1:$1,0)+1,FALSE)</f>
        <v>織田信長襲来！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【超ウィザード級】織田信長襲来 </v>
      </c>
      <c r="G4" s="21">
        <v>1</v>
      </c>
      <c r="H4" s="15" t="str">
        <f t="shared" ref="H4:H8" si="4">B4&amp;"_"&amp;C4&amp;"-"&amp;G4</f>
        <v>50003_1-1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 t="s">
        <v>53</v>
      </c>
      <c r="L4" s="20">
        <v>364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ノエル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77</v>
      </c>
      <c r="S4" s="24">
        <v>2.5</v>
      </c>
      <c r="T4" s="24">
        <v>0.7</v>
      </c>
      <c r="U4" s="5">
        <v>0</v>
      </c>
      <c r="V4" s="4" t="e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" s="4">
        <v>50003003</v>
      </c>
      <c r="X4" s="6">
        <v>1</v>
      </c>
      <c r="Y4" s="6">
        <v>100</v>
      </c>
      <c r="Z4" s="6">
        <v>2</v>
      </c>
      <c r="AA4" s="17">
        <v>1</v>
      </c>
      <c r="AB4" s="23">
        <f t="shared" si="0"/>
        <v>364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Drop1S</v>
      </c>
      <c r="AF4" s="7">
        <v>1</v>
      </c>
      <c r="AG4" s="23">
        <f t="shared" ca="1" si="1"/>
        <v>2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4">
        <v>1</v>
      </c>
    </row>
    <row r="5" spans="1:40" ht="21" customHeight="1" x14ac:dyDescent="0.15">
      <c r="A5" s="16" t="str">
        <f t="shared" si="2"/>
        <v>50003_1-2/724&lt;lv77&gt;s2</v>
      </c>
      <c r="B5" s="90">
        <v>50003</v>
      </c>
      <c r="C5" s="21">
        <v>1</v>
      </c>
      <c r="D5" s="2" t="str">
        <f t="shared" si="3"/>
        <v>50003_1</v>
      </c>
      <c r="E5" s="4" t="str">
        <f ca="1">VLOOKUP($B5,OFFSET([2]quests!$A$1,0,0,COUNTA([2]quests!$A:$A),MATCH(E$1,[2]quests!$1:$1,0)-MATCH($B$1,[2]quests!$1:$1,0)+1),MATCH(E$1,[2]quests!$1:$1,0)-MATCH($B$1,[2]quests!$1:$1,0)+1,FALSE)</f>
        <v>織田信長襲来！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【超ウィザード級】織田信長襲来 </v>
      </c>
      <c r="G5" s="21">
        <v>2</v>
      </c>
      <c r="H5" s="15" t="str">
        <f t="shared" si="4"/>
        <v>50003_1-2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1</v>
      </c>
      <c r="L5" s="20">
        <v>724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武田信玄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77</v>
      </c>
      <c r="S5" s="24">
        <v>4</v>
      </c>
      <c r="T5" s="24">
        <v>1</v>
      </c>
      <c r="U5" s="5">
        <v>0</v>
      </c>
      <c r="V5" s="4" t="e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5" s="4">
        <v>50003004</v>
      </c>
      <c r="X5" s="6">
        <v>1</v>
      </c>
      <c r="Y5" s="6">
        <v>100</v>
      </c>
      <c r="Z5" s="6">
        <v>1</v>
      </c>
      <c r="AA5" s="17">
        <v>2</v>
      </c>
      <c r="AB5" s="23">
        <f t="shared" si="0"/>
        <v>724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武田信玄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5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5" s="7">
        <v>1</v>
      </c>
      <c r="AG5" s="23">
        <f t="shared" ca="1" si="1"/>
        <v>5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4">
        <v>1</v>
      </c>
    </row>
    <row r="6" spans="1:40" ht="21" customHeight="1" x14ac:dyDescent="0.15">
      <c r="A6" s="16" t="str">
        <f t="shared" ref="A6" si="5">B6&amp;"_"&amp;C6&amp;"-"&amp;G6&amp;"/"&amp;L6&amp;"&lt;lv"&amp;R6&amp;"&gt;s"&amp;AA6</f>
        <v>50003_1-3/374&lt;lv80&gt;s1</v>
      </c>
      <c r="B6" s="90">
        <v>50003</v>
      </c>
      <c r="C6" s="21">
        <v>1</v>
      </c>
      <c r="D6" s="2" t="str">
        <f t="shared" ref="D6" si="6">B6&amp;"_"&amp;C6</f>
        <v>50003_1</v>
      </c>
      <c r="E6" s="4" t="str">
        <f ca="1">VLOOKUP($B6,OFFSET([2]quests!$A$1,0,0,COUNTA([2]quests!$A:$A),MATCH(E$1,[2]quests!$1:$1,0)-MATCH($B$1,[2]quests!$1:$1,0)+1),MATCH(E$1,[2]quests!$1:$1,0)-MATCH($B$1,[2]quests!$1:$1,0)+1,FALSE)</f>
        <v>織田信長襲来！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【超ウィザード級】織田信長襲来 </v>
      </c>
      <c r="G6" s="21">
        <v>3</v>
      </c>
      <c r="H6" s="15" t="str">
        <f t="shared" ref="H6" si="7">B6&amp;"_"&amp;C6&amp;"-"&amp;G6</f>
        <v>50003_1-3</v>
      </c>
      <c r="I6" s="4">
        <f ca="1">VLOOKUP($H6,OFFSET(floors!$A$1,0,0,COUNTA(floors!$A:$A),MATCH(I$1,floors!$1:$1,0)-MATCH($H$1,floors!$1:$1,0)+1),MATCH(I$1,floors!$1:$1,0)-MATCH($H$1,floors!$1:$1,0)+1,FALSE)</f>
        <v>30</v>
      </c>
      <c r="J6" s="4">
        <f ca="1">VLOOKUP($H6,OFFSET(floors!$A$1,0,0,COUNTA(floors!$A:$A),MATCH(J$1,floors!$1:$1,0)-MATCH($H$1,floors!$1:$1,0)+1),MATCH(J$1,floors!$1:$1,0)-MATCH($H$1,floors!$1:$1,0)+1,FALSE)</f>
        <v>30</v>
      </c>
      <c r="K6" s="37" t="s">
        <v>242</v>
      </c>
      <c r="L6" s="20">
        <v>374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影丸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80</v>
      </c>
      <c r="S6" s="24">
        <v>7</v>
      </c>
      <c r="T6" s="24">
        <v>1.4</v>
      </c>
      <c r="U6" s="5">
        <v>0</v>
      </c>
      <c r="V6" s="4" t="e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6" s="90">
        <v>50003008</v>
      </c>
      <c r="X6" s="6">
        <v>2</v>
      </c>
      <c r="Y6" s="6">
        <v>100</v>
      </c>
      <c r="Z6" s="6">
        <v>2</v>
      </c>
      <c r="AA6" s="17">
        <v>1</v>
      </c>
      <c r="AB6" s="23">
        <f t="shared" ref="AB6" si="8">L6</f>
        <v>374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影丸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Drop1S</v>
      </c>
      <c r="AF6" s="7">
        <v>1</v>
      </c>
      <c r="AG6" s="23">
        <f t="shared" ref="AG6" ca="1" si="9">AD6</f>
        <v>2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4">
        <v>1</v>
      </c>
    </row>
    <row r="7" spans="1:40" ht="21" customHeight="1" x14ac:dyDescent="0.15">
      <c r="A7" s="16" t="str">
        <f t="shared" si="2"/>
        <v>50003_1-3/722&lt;lv80&gt;s2</v>
      </c>
      <c r="B7" s="90">
        <v>50003</v>
      </c>
      <c r="C7" s="21">
        <v>1</v>
      </c>
      <c r="D7" s="2" t="str">
        <f t="shared" si="3"/>
        <v>50003_1</v>
      </c>
      <c r="E7" s="4" t="str">
        <f ca="1">VLOOKUP($B7,OFFSET([2]quests!$A$1,0,0,COUNTA([2]quests!$A:$A),MATCH(E$1,[2]quests!$1:$1,0)-MATCH($B$1,[2]quests!$1:$1,0)+1),MATCH(E$1,[2]quests!$1:$1,0)-MATCH($B$1,[2]quests!$1:$1,0)+1,FALSE)</f>
        <v>織田信長襲来！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 xml:space="preserve">【超ウィザード級】織田信長襲来 </v>
      </c>
      <c r="G7" s="21">
        <v>3</v>
      </c>
      <c r="H7" s="15" t="str">
        <f t="shared" si="4"/>
        <v>50003_1-3</v>
      </c>
      <c r="I7" s="4">
        <f ca="1">VLOOKUP($H7,OFFSET(floors!$A$1,0,0,COUNTA(floors!$A:$A),MATCH(I$1,floors!$1:$1,0)-MATCH($H$1,floors!$1:$1,0)+1),MATCH(I$1,floors!$1:$1,0)-MATCH($H$1,floors!$1:$1,0)+1,FALSE)</f>
        <v>30</v>
      </c>
      <c r="J7" s="4">
        <f ca="1">VLOOKUP($H7,OFFSET(floors!$A$1,0,0,COUNTA(floors!$A:$A),MATCH(J$1,floors!$1:$1,0)-MATCH($H$1,floors!$1:$1,0)+1),MATCH(J$1,floors!$1:$1,0)-MATCH($H$1,floors!$1:$1,0)+1,FALSE)</f>
        <v>30</v>
      </c>
      <c r="K7" s="37">
        <v>2</v>
      </c>
      <c r="L7" s="20">
        <v>722</v>
      </c>
      <c r="M7" s="17" t="str">
        <f ca="1">VLOOKUP($L7,OFFSET([3]enemies!$A$1,0,0,COUNTA([3]enemies!$A:$A),MATCH(M$1,[3]enemies!$1:$1,0)-MATCH($L$1,[3]enemies!$1:$1,0)+1),MATCH(M$1,[3]enemies!$1:$1,0)-MATCH($L$1,[3]enemies!$1:$1,0)+1,FALSE)</f>
        <v>森蘭丸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80</v>
      </c>
      <c r="S7" s="24">
        <v>4</v>
      </c>
      <c r="T7" s="24">
        <v>1.2</v>
      </c>
      <c r="U7" s="5">
        <v>0</v>
      </c>
      <c r="V7" s="4" t="e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7" s="90">
        <v>50003006</v>
      </c>
      <c r="X7" s="6">
        <v>1</v>
      </c>
      <c r="Y7" s="6">
        <v>100</v>
      </c>
      <c r="Z7" s="6">
        <v>1</v>
      </c>
      <c r="AA7" s="17">
        <v>2</v>
      </c>
      <c r="AB7" s="23">
        <f t="shared" si="0"/>
        <v>722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森蘭丸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Drop2N</v>
      </c>
      <c r="AF7" s="7">
        <v>1</v>
      </c>
      <c r="AG7" s="23">
        <f t="shared" ca="1" si="1"/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4">
        <v>1</v>
      </c>
    </row>
    <row r="8" spans="1:40" ht="21" customHeight="1" x14ac:dyDescent="0.15">
      <c r="A8" s="16" t="str">
        <f t="shared" si="2"/>
        <v>50003_1-4/726&lt;lv82&gt;s1</v>
      </c>
      <c r="B8" s="90">
        <v>50003</v>
      </c>
      <c r="C8" s="21">
        <v>1</v>
      </c>
      <c r="D8" s="2" t="str">
        <f t="shared" si="3"/>
        <v>50003_1</v>
      </c>
      <c r="E8" s="4" t="str">
        <f ca="1">VLOOKUP($B8,OFFSET([2]quests!$A$1,0,0,COUNTA([2]quests!$A:$A),MATCH(E$1,[2]quests!$1:$1,0)-MATCH($B$1,[2]quests!$1:$1,0)+1),MATCH(E$1,[2]quests!$1:$1,0)-MATCH($B$1,[2]quests!$1:$1,0)+1,FALSE)</f>
        <v>織田信長襲来！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 xml:space="preserve">【超ウィザード級】織田信長襲来 </v>
      </c>
      <c r="G8" s="21">
        <v>4</v>
      </c>
      <c r="H8" s="15" t="str">
        <f t="shared" si="4"/>
        <v>50003_1-4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>
        <v>3</v>
      </c>
      <c r="L8" s="20">
        <v>726</v>
      </c>
      <c r="M8" s="17" t="str">
        <f ca="1">VLOOKUP($L8,OFFSET([3]enemies!$A$1,0,0,COUNTA([3]enemies!$A:$A),MATCH(M$1,[3]enemies!$1:$1,0)-MATCH($L$1,[3]enemies!$1:$1,0)+1),MATCH(M$1,[3]enemies!$1:$1,0)-MATCH($L$1,[3]enemies!$1:$1,0)+1,FALSE)</f>
        <v>織田信長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DropWizSS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82</v>
      </c>
      <c r="S8" s="24">
        <v>5</v>
      </c>
      <c r="T8" s="24">
        <v>1.2</v>
      </c>
      <c r="U8" s="5">
        <v>0</v>
      </c>
      <c r="V8" s="4" t="e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8" s="90">
        <v>50003009</v>
      </c>
      <c r="X8" s="6">
        <v>1</v>
      </c>
      <c r="Y8" s="6">
        <v>100</v>
      </c>
      <c r="Z8" s="6">
        <v>1</v>
      </c>
      <c r="AA8" s="17">
        <v>1</v>
      </c>
      <c r="AB8" s="23">
        <v>726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織田信長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5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DropWizSS</v>
      </c>
      <c r="AF8" s="7">
        <v>1</v>
      </c>
      <c r="AG8" s="23">
        <f t="shared" ca="1" si="1"/>
        <v>5</v>
      </c>
      <c r="AH8" s="8">
        <v>85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4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I12" sqref="I1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25" t="s">
        <v>50</v>
      </c>
      <c r="V1" s="25" t="s">
        <v>52</v>
      </c>
      <c r="W1" s="27" t="s">
        <v>128</v>
      </c>
      <c r="X1" s="28" t="s">
        <v>127</v>
      </c>
      <c r="Y1" s="27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50003_1-2/724&lt;lv80&gt;sq1st2</v>
      </c>
      <c r="B2" s="90">
        <v>50003</v>
      </c>
      <c r="C2" s="21">
        <v>1</v>
      </c>
      <c r="D2" s="2" t="str">
        <f>B2&amp;"_"&amp;C2</f>
        <v>50003_1</v>
      </c>
      <c r="E2" s="4" t="str">
        <f ca="1">VLOOKUP($B2,OFFSET([2]quests!$A$1,0,0,COUNTA([2]quests!$A:$A),MATCH(E$1,[2]quests!$1:$1,0)-MATCH($B$1,[2]quests!$1:$1,0)+1),MATCH(E$1,[2]quests!$1:$1,0)-MATCH($B$1,[2]quests!$1:$1,0)+1,FALSE)</f>
        <v>織田信長襲来！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【超ウィザード級】織田信長襲来 </v>
      </c>
      <c r="G2" s="21">
        <v>2</v>
      </c>
      <c r="H2" s="15" t="str">
        <f>B2&amp;"_"&amp;C2&amp;"-"&amp;G2</f>
        <v>50003_1-2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20">
        <v>724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武田信玄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4">
        <v>4</v>
      </c>
      <c r="U2" s="24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90">
        <v>50003005</v>
      </c>
      <c r="Y2" s="65">
        <v>1</v>
      </c>
    </row>
    <row r="3" spans="1:25" ht="21" customHeight="1" x14ac:dyDescent="0.15">
      <c r="A3" s="16" t="str">
        <f t="shared" ref="A3:A4" si="0">B3&amp;"_"&amp;C3&amp;"-"&amp;G3&amp;"/"&amp;M3&amp;"&lt;lv"&amp;S3&amp;"&gt;sq"&amp;K3&amp;"st"&amp;L3</f>
        <v>50003_1-3/722&lt;lv83&gt;sq2st2</v>
      </c>
      <c r="B3" s="90">
        <v>50003</v>
      </c>
      <c r="C3" s="21">
        <v>1</v>
      </c>
      <c r="D3" s="2" t="str">
        <f t="shared" ref="D3:D4" si="1">B3&amp;"_"&amp;C3</f>
        <v>50003_1</v>
      </c>
      <c r="E3" s="4" t="str">
        <f ca="1">VLOOKUP($B3,OFFSET([2]quests!$A$1,0,0,COUNTA([2]quests!$A:$A),MATCH(E$1,[2]quests!$1:$1,0)-MATCH($B$1,[2]quests!$1:$1,0)+1),MATCH(E$1,[2]quests!$1:$1,0)-MATCH($B$1,[2]quests!$1:$1,0)+1,FALSE)</f>
        <v>織田信長襲来！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【超ウィザード級】織田信長襲来 </v>
      </c>
      <c r="G3" s="21">
        <v>3</v>
      </c>
      <c r="H3" s="15" t="str">
        <f t="shared" ref="H3:H4" si="2">B3&amp;"_"&amp;C3&amp;"-"&amp;G3</f>
        <v>50003_1-3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7">
        <v>2</v>
      </c>
      <c r="L3" s="37">
        <v>2</v>
      </c>
      <c r="M3" s="20">
        <v>722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森蘭丸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30</v>
      </c>
      <c r="S3" s="5">
        <v>83</v>
      </c>
      <c r="T3" s="24">
        <v>4</v>
      </c>
      <c r="U3" s="24">
        <v>0.9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90">
        <v>50003007</v>
      </c>
      <c r="Y3" s="65">
        <v>1</v>
      </c>
    </row>
    <row r="4" spans="1:25" ht="21" customHeight="1" x14ac:dyDescent="0.15">
      <c r="A4" s="16" t="str">
        <f t="shared" si="0"/>
        <v>50003_1-4/727&lt;lv80&gt;sq3st2</v>
      </c>
      <c r="B4" s="90">
        <v>50003</v>
      </c>
      <c r="C4" s="21">
        <v>1</v>
      </c>
      <c r="D4" s="2" t="str">
        <f t="shared" si="1"/>
        <v>50003_1</v>
      </c>
      <c r="E4" s="4" t="str">
        <f ca="1">VLOOKUP($B4,OFFSET([2]quests!$A$1,0,0,COUNTA([2]quests!$A:$A),MATCH(E$1,[2]quests!$1:$1,0)-MATCH($B$1,[2]quests!$1:$1,0)+1),MATCH(E$1,[2]quests!$1:$1,0)-MATCH($B$1,[2]quests!$1:$1,0)+1,FALSE)</f>
        <v>織田信長襲来！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【超ウィザード級】織田信長襲来 </v>
      </c>
      <c r="G4" s="21">
        <v>4</v>
      </c>
      <c r="H4" s="15" t="str">
        <f t="shared" si="2"/>
        <v>50003_1-4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3</v>
      </c>
      <c r="L4" s="37">
        <v>2</v>
      </c>
      <c r="M4" s="20">
        <v>727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真鋭の征服者 織田信長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4">
        <v>5</v>
      </c>
      <c r="U4" s="24">
        <v>1.1000000000000001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90">
        <v>50003010</v>
      </c>
      <c r="Y4" s="65">
        <v>1</v>
      </c>
    </row>
    <row r="5" spans="1:25" ht="21" customHeight="1" x14ac:dyDescent="0.15">
      <c r="A5" s="16" t="str">
        <f t="shared" ref="A5" si="3">B5&amp;"_"&amp;C5&amp;"-"&amp;G5&amp;"/"&amp;M5&amp;"&lt;lv"&amp;S5&amp;"&gt;sq"&amp;K5&amp;"st"&amp;L5</f>
        <v>50003_1-4/727&lt;lv80&gt;sq3st3</v>
      </c>
      <c r="B5" s="90">
        <v>50003</v>
      </c>
      <c r="C5" s="21">
        <v>1</v>
      </c>
      <c r="D5" s="2" t="str">
        <f t="shared" ref="D5" si="4">B5&amp;"_"&amp;C5</f>
        <v>50003_1</v>
      </c>
      <c r="E5" s="4" t="str">
        <f ca="1">VLOOKUP($B5,OFFSET([2]quests!$A$1,0,0,COUNTA([2]quests!$A:$A),MATCH(E$1,[2]quests!$1:$1,0)-MATCH($B$1,[2]quests!$1:$1,0)+1),MATCH(E$1,[2]quests!$1:$1,0)-MATCH($B$1,[2]quests!$1:$1,0)+1,FALSE)</f>
        <v>織田信長襲来！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【超ウィザード級】織田信長襲来 </v>
      </c>
      <c r="G5" s="21">
        <v>4</v>
      </c>
      <c r="H5" s="15" t="str">
        <f t="shared" ref="H5" si="5">B5&amp;"_"&amp;C5&amp;"-"&amp;G5</f>
        <v>50003_1-4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3</v>
      </c>
      <c r="L5" s="37">
        <v>3</v>
      </c>
      <c r="M5" s="20">
        <v>727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真鋭の征服者 織田信長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80</v>
      </c>
      <c r="T5" s="24">
        <v>5</v>
      </c>
      <c r="U5" s="24">
        <v>1.1000000000000001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5" s="90">
        <v>50003011</v>
      </c>
      <c r="Y5" s="65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7"/>
  <sheetViews>
    <sheetView showGridLines="0" zoomScale="110" zoomScaleNormal="110" zoomScalePageLayoutView="110" workbookViewId="0">
      <pane ySplit="1" topLeftCell="A38" activePane="bottomLeft" state="frozen"/>
      <selection pane="bottomLeft" activeCell="F39" sqref="F1:F1048576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5" bestFit="1" customWidth="1"/>
    <col min="3" max="3" width="9.6640625" style="45" customWidth="1"/>
    <col min="4" max="4" width="28.1640625" style="45" customWidth="1" outlineLevel="1"/>
    <col min="5" max="5" width="44.1640625" style="45" bestFit="1" customWidth="1" outlineLevel="1"/>
    <col min="6" max="6" width="10.83203125" style="45" bestFit="1" customWidth="1"/>
    <col min="7" max="7" width="8.33203125" style="45" bestFit="1" customWidth="1" outlineLevel="1"/>
    <col min="8" max="9" width="12.83203125" style="45" outlineLevel="1"/>
    <col min="10" max="10" width="17.6640625" style="45" bestFit="1" customWidth="1" outlineLevel="1"/>
    <col min="11" max="15" width="12.83203125" style="45" outlineLevel="1"/>
    <col min="16" max="16" width="8.33203125" style="41" bestFit="1" customWidth="1"/>
    <col min="17" max="17" width="9.6640625" style="41" customWidth="1"/>
    <col min="18" max="18" width="56.5" style="41" bestFit="1" customWidth="1"/>
    <col min="19" max="16384" width="12.83203125" style="41"/>
  </cols>
  <sheetData>
    <row r="1" spans="1:18" ht="21" customHeight="1" thickBot="1" x14ac:dyDescent="0.2">
      <c r="A1" s="38" t="s">
        <v>60</v>
      </c>
      <c r="B1" s="92" t="s">
        <v>61</v>
      </c>
      <c r="C1" s="92" t="s">
        <v>62</v>
      </c>
      <c r="D1" s="93" t="s">
        <v>63</v>
      </c>
      <c r="E1" s="93" t="s">
        <v>64</v>
      </c>
      <c r="F1" s="49" t="s">
        <v>65</v>
      </c>
      <c r="G1" s="40" t="s">
        <v>66</v>
      </c>
      <c r="H1" s="40" t="s">
        <v>68</v>
      </c>
      <c r="I1" s="40" t="s">
        <v>69</v>
      </c>
      <c r="J1" s="40" t="s">
        <v>70</v>
      </c>
      <c r="K1" s="40" t="s">
        <v>71</v>
      </c>
      <c r="L1" s="40" t="s">
        <v>72</v>
      </c>
      <c r="M1" s="40" t="s">
        <v>73</v>
      </c>
      <c r="N1" s="40" t="s">
        <v>74</v>
      </c>
      <c r="O1" s="40" t="s">
        <v>75</v>
      </c>
      <c r="P1" s="93" t="s">
        <v>76</v>
      </c>
      <c r="Q1" s="93" t="s">
        <v>77</v>
      </c>
      <c r="R1" s="93" t="s">
        <v>78</v>
      </c>
    </row>
    <row r="2" spans="1:18" ht="21" customHeight="1" x14ac:dyDescent="0.15">
      <c r="A2" s="91" t="str">
        <f t="shared" ref="A2:A3" si="0">B2&amp;"_"&amp;C2</f>
        <v>50003001_50003001</v>
      </c>
      <c r="B2" s="94">
        <v>50003001</v>
      </c>
      <c r="C2" s="94">
        <v>50003001</v>
      </c>
      <c r="D2" s="95" t="str">
        <f ca="1">VLOOKUP($C2,OFFSET(enemy_skills!$A$1,0,0,COUNTA(enemy_skills!$A:$A),MATCH(D$1,enemy_skills!$1:$1,0)-MATCH("enemy_skill_id",enemy_skills!$1:$1,0)+1),MATCH(D$1,enemy_skills!$1:$1,0)-MATCH("enemy_skill_id",enemy_skills!$1:$1,0)+1,FALSE)</f>
        <v>大洪水</v>
      </c>
      <c r="E2" s="95" t="str">
        <f ca="1">VLOOKUP($C2,OFFSET(enemy_skills!$A$1,0,0,COUNTA(enemy_skills!$A:$A),MATCH(E$1,enemy_skills!$1:$1,0)-MATCH("enemy_skill_id",enemy_skills!$1:$1,0)+1),MATCH(E$1,enemy_skills!$1:$1,0)-MATCH("enemy_skill_id",enemy_skills!$1:$1,0)+1,FALSE)</f>
        <v>赤属性に大ダメージ！</v>
      </c>
      <c r="F2" s="96">
        <v>50003001</v>
      </c>
      <c r="G2" s="44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4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4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4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4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4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4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" s="44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4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97"/>
      <c r="Q2" s="97"/>
      <c r="R2" s="98"/>
    </row>
    <row r="3" spans="1:18" ht="21" customHeight="1" x14ac:dyDescent="0.15">
      <c r="A3" s="99" t="str">
        <f t="shared" si="0"/>
        <v>50003002_50003000</v>
      </c>
      <c r="B3" s="90">
        <v>50003002</v>
      </c>
      <c r="C3" s="90">
        <v>50003000</v>
      </c>
      <c r="D3" s="42" t="str">
        <f ca="1">VLOOKUP($C3,OFFSET(enemy_skills!$A$1,0,0,COUNTA(enemy_skills!$A:$A),MATCH(D$1,enemy_skills!$1:$1,0)-MATCH("enemy_skill_id",enemy_skills!$1:$1,0)+1),MATCH(D$1,enemy_skills!$1:$1,0)-MATCH("enemy_skill_id",enemy_skills!$1:$1,0)+1,FALSE)</f>
        <v>私だって強いんですし！！</v>
      </c>
      <c r="E3" s="42" t="str">
        <f ca="1">VLOOKUP($C3,OFFSET(enemy_skills!$A$1,0,0,COUNTA(enemy_skills!$A:$A),MATCH(E$1,enemy_skills!$1:$1,0)-MATCH("enemy_skill_id",enemy_skills!$1:$1,0)+1),MATCH(E$1,enemy_skills!$1:$1,0)-MATCH("enemy_skill_id",enemy_skills!$1:$1,0)+1,FALSE)</f>
        <v>黄パネルを狙っている</v>
      </c>
      <c r="F3" s="96">
        <v>50003008</v>
      </c>
      <c r="G3" s="44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4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4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4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4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4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4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4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4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3"/>
      <c r="Q3" s="43"/>
      <c r="R3" s="43"/>
    </row>
    <row r="4" spans="1:18" ht="21" customHeight="1" x14ac:dyDescent="0.15">
      <c r="A4" s="99" t="str">
        <f t="shared" ref="A4:A7" si="1">B4&amp;"_"&amp;C4</f>
        <v>50003002_50003002</v>
      </c>
      <c r="B4" s="90">
        <v>50003002</v>
      </c>
      <c r="C4" s="90">
        <v>50003002</v>
      </c>
      <c r="D4" s="42" t="str">
        <f ca="1">VLOOKUP($C4,OFFSET(enemy_skills!$A$1,0,0,COUNTA(enemy_skills!$A:$A),MATCH(D$1,enemy_skills!$1:$1,0)-MATCH("enemy_skill_id",enemy_skills!$1:$1,0)+1),MATCH(D$1,enemy_skills!$1:$1,0)-MATCH("enemy_skill_id",enemy_skills!$1:$1,0)+1,FALSE)</f>
        <v>奇跡を見せますねっ！！</v>
      </c>
      <c r="E4" s="42" t="str">
        <f ca="1">VLOOKUP($C4,OFFSET(enemy_skills!$A$1,0,0,COUNTA(enemy_skills!$A:$A),MATCH(E$1,enemy_skills!$1:$1,0)-MATCH("enemy_skill_id",enemy_skills!$1:$1,0)+1),MATCH(E$1,enemy_skills!$1:$1,0)-MATCH("enemy_skill_id",enemy_skills!$1:$1,0)+1,FALSE)</f>
        <v>黄パネルを6個吸収して全体攻撃</v>
      </c>
      <c r="F4" s="96">
        <v>50003002</v>
      </c>
      <c r="G4" s="44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4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" s="44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4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4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4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4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4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4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3"/>
      <c r="Q4" s="43"/>
      <c r="R4" s="43"/>
    </row>
    <row r="5" spans="1:18" ht="21" customHeight="1" x14ac:dyDescent="0.15">
      <c r="A5" s="99" t="str">
        <f t="shared" ref="A5" si="2">B5&amp;"_"&amp;C5</f>
        <v>50003002_50003003</v>
      </c>
      <c r="B5" s="90">
        <v>50003002</v>
      </c>
      <c r="C5" s="90">
        <v>50003003</v>
      </c>
      <c r="D5" s="42" t="str">
        <f ca="1">VLOOKUP($C5,OFFSET(enemy_skills!$A$1,0,0,COUNTA(enemy_skills!$A:$A),MATCH(D$1,enemy_skills!$1:$1,0)-MATCH("enemy_skill_id",enemy_skills!$1:$1,0)+1),MATCH(D$1,enemy_skills!$1:$1,0)-MATCH("enemy_skill_id",enemy_skills!$1:$1,0)+1,FALSE)</f>
        <v>私からの洗礼です！！</v>
      </c>
      <c r="E5" s="42" t="str">
        <f ca="1">VLOOKUP($C5,OFFSET(enemy_skills!$A$1,0,0,COUNTA(enemy_skills!$A:$A),MATCH(E$1,enemy_skills!$1:$1,0)-MATCH("enemy_skill_id",enemy_skills!$1:$1,0)+1),MATCH(E$1,enemy_skills!$1:$1,0)-MATCH("enemy_skill_id",enemy_skills!$1:$1,0)+1,FALSE)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" s="96">
        <v>50003003</v>
      </c>
      <c r="G5" s="44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4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4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4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" s="44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4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4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4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4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3"/>
      <c r="Q5" s="43"/>
      <c r="R5" s="43"/>
    </row>
    <row r="6" spans="1:18" ht="21" customHeight="1" x14ac:dyDescent="0.15">
      <c r="A6" s="99" t="str">
        <f t="shared" si="1"/>
        <v>50003002_50003004</v>
      </c>
      <c r="B6" s="90">
        <v>50003002</v>
      </c>
      <c r="C6" s="90">
        <v>50003004</v>
      </c>
      <c r="D6" s="42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これが私の散り様…か…</v>
      </c>
      <c r="E6" s="42" t="str">
        <f ca="1">VLOOKUP($C6,OFFSET(enemy_skills!$A$1,0,0,COUNTA(enemy_skills!$A:$A),MATCH(E$1,enemy_skills!$1:$1,0)-MATCH("enemy_skill_id",enemy_skills!$1:$1,0)+1),MATCH(E$1,enemy_skills!$1:$1,0)-MATCH("enemy_skill_id",enemy_skills!$1:$1,0)+1,FALSE)</f>
        <v>「 散りぬべき　時知りてこそ　世の中の　_x000D_　花も花なれ　人も人なれ 」</v>
      </c>
      <c r="F6" s="96">
        <v>50003004</v>
      </c>
      <c r="G6" s="44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4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6" s="44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4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4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4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" s="44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4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" s="44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3"/>
      <c r="Q6" s="43"/>
      <c r="R6" s="43"/>
    </row>
    <row r="7" spans="1:18" ht="21" customHeight="1" x14ac:dyDescent="0.15">
      <c r="A7" s="99" t="str">
        <f t="shared" si="1"/>
        <v>50003003_50003005</v>
      </c>
      <c r="B7" s="90">
        <v>50003003</v>
      </c>
      <c r="C7" s="90">
        <v>50003005</v>
      </c>
      <c r="D7" s="42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ヒーリング</v>
      </c>
      <c r="E7" s="42" t="str">
        <f ca="1">VLOOKUP($C7,OFFSET(enemy_skills!$A$1,0,0,COUNTA(enemy_skills!$A:$A),MATCH(E$1,enemy_skills!$1:$1,0)-MATCH("enemy_skill_id",enemy_skills!$1:$1,0)+1),MATCH(E$1,enemy_skills!$1:$1,0)-MATCH("enemy_skill_id",enemy_skills!$1:$1,0)+1,FALSE)</f>
        <v>敵全体を回復</v>
      </c>
      <c r="F7" s="96">
        <v>50003005</v>
      </c>
      <c r="G7" s="44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4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4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4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4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4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4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" s="44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4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3"/>
      <c r="Q7" s="43"/>
      <c r="R7" s="43"/>
    </row>
    <row r="8" spans="1:18" ht="21" customHeight="1" x14ac:dyDescent="0.15">
      <c r="A8" s="99" t="str">
        <f t="shared" ref="A8:A16" si="3">B8&amp;"_"&amp;C8</f>
        <v>50003004_50003006</v>
      </c>
      <c r="B8" s="90">
        <v>50003004</v>
      </c>
      <c r="C8" s="90">
        <v>50003006</v>
      </c>
      <c r="D8" s="42" t="str">
        <f ca="1">VLOOKUP($C8,OFFSET(enemy_skills!$A$1,0,0,COUNTA(enemy_skills!$A:$A),MATCH(D$1,enemy_skills!$1:$1,0)-MATCH("enemy_skill_id",enemy_skills!$1:$1,0)+1),MATCH(D$1,enemy_skills!$1:$1,0)-MATCH("enemy_skill_id",enemy_skills!$1:$1,0)+1,FALSE)</f>
        <v>人間サマが最強だ！</v>
      </c>
      <c r="E8" s="42" t="str">
        <f ca="1">VLOOKUP($C8,OFFSET(enemy_skills!$A$1,0,0,COUNTA(enemy_skills!$A:$A),MATCH(E$1,enemy_skills!$1:$1,0)-MATCH("enemy_skill_id",enemy_skills!$1:$1,0)+1),MATCH(E$1,enemy_skills!$1:$1,0)-MATCH("enemy_skill_id",enemy_skills!$1:$1,0)+1,FALSE)</f>
        <v>種族アニマルに超大ダメージ！</v>
      </c>
      <c r="F8" s="96">
        <v>50003006</v>
      </c>
      <c r="G8" s="44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4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4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8" s="44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4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4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4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4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4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8" s="43"/>
      <c r="Q8" s="43"/>
      <c r="R8" s="43"/>
    </row>
    <row r="9" spans="1:18" ht="21" customHeight="1" x14ac:dyDescent="0.15">
      <c r="A9" s="99" t="str">
        <f t="shared" si="3"/>
        <v>50003004_50003007</v>
      </c>
      <c r="B9" s="90">
        <v>50003004</v>
      </c>
      <c r="C9" s="90">
        <v>50003007</v>
      </c>
      <c r="D9" s="42" t="str">
        <f ca="1">VLOOKUP($C9,OFFSET(enemy_skills!$A$1,0,0,COUNTA(enemy_skills!$A:$A),MATCH(D$1,enemy_skills!$1:$1,0)-MATCH("enemy_skill_id",enemy_skills!$1:$1,0)+1),MATCH(D$1,enemy_skills!$1:$1,0)-MATCH("enemy_skill_id",enemy_skills!$1:$1,0)+1,FALSE)</f>
        <v>遅い遅い！</v>
      </c>
      <c r="E9" s="42" t="str">
        <f ca="1">VLOOKUP($C9,OFFSET(enemy_skills!$A$1,0,0,COUNTA(enemy_skills!$A:$A),MATCH(E$1,enemy_skills!$1:$1,0)-MATCH("enemy_skill_id",enemy_skills!$1:$1,0)+1),MATCH(E$1,enemy_skills!$1:$1,0)-MATCH("enemy_skill_id",enemy_skills!$1:$1,0)+1,FALSE)</f>
        <v>連続攻撃</v>
      </c>
      <c r="F9" s="96">
        <v>50003007</v>
      </c>
      <c r="G9" s="44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4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4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9" s="44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4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4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4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4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4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9" s="43"/>
      <c r="Q9" s="43"/>
      <c r="R9" s="43"/>
    </row>
    <row r="10" spans="1:18" ht="21" customHeight="1" x14ac:dyDescent="0.15">
      <c r="A10" s="99" t="str">
        <f t="shared" si="3"/>
        <v>50003004_50003008</v>
      </c>
      <c r="B10" s="90">
        <v>50003004</v>
      </c>
      <c r="C10" s="90">
        <v>50003008</v>
      </c>
      <c r="D10" s="42" t="str">
        <f ca="1">VLOOKUP($C10,OFFSET(enemy_skills!$A$1,0,0,COUNTA(enemy_skills!$A:$A),MATCH(D$1,enemy_skills!$1:$1,0)-MATCH("enemy_skill_id",enemy_skills!$1:$1,0)+1),MATCH(D$1,enemy_skills!$1:$1,0)-MATCH("enemy_skill_id",enemy_skills!$1:$1,0)+1,FALSE)</f>
        <v>信長は俺の獲物だ！</v>
      </c>
      <c r="E10" s="42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緑属性に変化</v>
      </c>
      <c r="F10" s="96">
        <v>50003008</v>
      </c>
      <c r="G10" s="44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4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4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4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4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4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4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4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4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3"/>
      <c r="Q10" s="43"/>
      <c r="R10" s="43"/>
    </row>
    <row r="11" spans="1:18" ht="21" customHeight="1" x14ac:dyDescent="0.15">
      <c r="A11" s="99" t="str">
        <f t="shared" si="3"/>
        <v>50003004_50003009</v>
      </c>
      <c r="B11" s="90">
        <v>50003004</v>
      </c>
      <c r="C11" s="90">
        <v>50003009</v>
      </c>
      <c r="D11" s="42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しずかなること林の如く！</v>
      </c>
      <c r="E11" s="42" t="str">
        <f ca="1">VLOOKUP($C11,OFFSET(enemy_skills!$A$1,0,0,COUNTA(enemy_skills!$A:$A),MATCH(E$1,enemy_skills!$1:$1,0)-MATCH("enemy_skill_id",enemy_skills!$1:$1,0)+1),MATCH(E$1,enemy_skills!$1:$1,0)-MATCH("enemy_skill_id",enemy_skills!$1:$1,0)+1,FALSE)</f>
        <v>8ターン青パネルの出現率が低下</v>
      </c>
      <c r="F11" s="96">
        <v>50003009</v>
      </c>
      <c r="G11" s="44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4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" s="44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4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" s="44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4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4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4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4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3"/>
      <c r="Q11" s="43"/>
      <c r="R11" s="43"/>
    </row>
    <row r="12" spans="1:18" ht="21" customHeight="1" x14ac:dyDescent="0.15">
      <c r="A12" s="99" t="str">
        <f t="shared" si="3"/>
        <v>50003005_50003010</v>
      </c>
      <c r="B12" s="90">
        <v>50003005</v>
      </c>
      <c r="C12" s="90">
        <v>50003010</v>
      </c>
      <c r="D12" s="42" t="str">
        <f ca="1">VLOOKUP($C12,OFFSET(enemy_skills!$A$1,0,0,COUNTA(enemy_skills!$A:$A),MATCH(D$1,enemy_skills!$1:$1,0)-MATCH("enemy_skill_id",enemy_skills!$1:$1,0)+1),MATCH(D$1,enemy_skills!$1:$1,0)-MATCH("enemy_skill_id",enemy_skills!$1:$1,0)+1,FALSE)</f>
        <v>人間をナメるなよ！</v>
      </c>
      <c r="E12" s="42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種族アニマルに大ダメージ！</v>
      </c>
      <c r="F12" s="96">
        <v>50003010</v>
      </c>
      <c r="G12" s="44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4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4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2" s="44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4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4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4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4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4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2" s="43"/>
      <c r="Q12" s="43"/>
      <c r="R12" s="43"/>
    </row>
    <row r="13" spans="1:18" ht="21" customHeight="1" x14ac:dyDescent="0.15">
      <c r="A13" s="99" t="str">
        <f t="shared" si="3"/>
        <v>50003005_50003011</v>
      </c>
      <c r="B13" s="90">
        <v>50003005</v>
      </c>
      <c r="C13" s="90">
        <v>50003011</v>
      </c>
      <c r="D13" s="42" t="str">
        <f ca="1">VLOOKUP($C13,OFFSET(enemy_skills!$A$1,0,0,COUNTA(enemy_skills!$A:$A),MATCH(D$1,enemy_skills!$1:$1,0)-MATCH("enemy_skill_id",enemy_skills!$1:$1,0)+1),MATCH(D$1,enemy_skills!$1:$1,0)-MATCH("enemy_skill_id",enemy_skills!$1:$1,0)+1,FALSE)</f>
        <v>隙を見せるヤツから斬る！</v>
      </c>
      <c r="E13" s="42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3" s="96">
        <v>50003011</v>
      </c>
      <c r="G13" s="44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4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4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3" s="44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4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4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4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4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4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3" s="43"/>
      <c r="Q13" s="43"/>
      <c r="R13" s="43"/>
    </row>
    <row r="14" spans="1:18" ht="21" customHeight="1" x14ac:dyDescent="0.15">
      <c r="A14" s="99" t="str">
        <f t="shared" si="3"/>
        <v>50003005_50003012</v>
      </c>
      <c r="B14" s="90">
        <v>50003005</v>
      </c>
      <c r="C14" s="90">
        <v>50003012</v>
      </c>
      <c r="D14" s="42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動かざること山の如く！</v>
      </c>
      <c r="E14" s="42" t="str">
        <f ca="1">VLOOKUP($C14,OFFSET(enemy_skills!$A$1,0,0,COUNTA(enemy_skills!$A:$A),MATCH(E$1,enemy_skills!$1:$1,0)-MATCH("enemy_skill_id",enemy_skills!$1:$1,0)+1),MATCH(E$1,enemy_skills!$1:$1,0)-MATCH("enemy_skill_id",enemy_skills!$1:$1,0)+1,FALSE)</f>
        <v>防御力UP</v>
      </c>
      <c r="F14" s="96">
        <v>50003012</v>
      </c>
      <c r="G14" s="44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4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4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4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4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4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4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4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4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3"/>
      <c r="Q14" s="43"/>
      <c r="R14" s="43"/>
    </row>
    <row r="15" spans="1:18" ht="21" customHeight="1" x14ac:dyDescent="0.15">
      <c r="A15" s="99" t="str">
        <f t="shared" si="3"/>
        <v>50003005_50003013</v>
      </c>
      <c r="B15" s="90">
        <v>50003005</v>
      </c>
      <c r="C15" s="90">
        <v>50003013</v>
      </c>
      <c r="D15" s="42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動くこと雷霆の如し！</v>
      </c>
      <c r="E15" s="42" t="str">
        <f ca="1">VLOOKUP($C15,OFFSET(enemy_skills!$A$1,0,0,COUNTA(enemy_skills!$A:$A),MATCH(E$1,enemy_skills!$1:$1,0)-MATCH("enemy_skill_id",enemy_skills!$1:$1,0)+1),MATCH(E$1,enemy_skills!$1:$1,0)-MATCH("enemy_skill_id",enemy_skills!$1:$1,0)+1,FALSE)</f>
        <v>黄属性に変化＋強力な連続攻撃＋攻撃頻度UP</v>
      </c>
      <c r="F15" s="96">
        <v>50003013</v>
      </c>
      <c r="G15" s="44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4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5" s="44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4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44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4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4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4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4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3"/>
      <c r="Q15" s="43"/>
      <c r="R15" s="43"/>
    </row>
    <row r="16" spans="1:18" ht="21" customHeight="1" x14ac:dyDescent="0.15">
      <c r="A16" s="99" t="str">
        <f t="shared" si="3"/>
        <v>50003005_50003014</v>
      </c>
      <c r="B16" s="90">
        <v>50003005</v>
      </c>
      <c r="C16" s="90">
        <v>50003014</v>
      </c>
      <c r="D16" s="42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これで終わりだ！</v>
      </c>
      <c r="E16" s="42" t="str">
        <f ca="1">VLOOKUP($C16,OFFSET(enemy_skills!$A$1,0,0,COUNTA(enemy_skills!$A:$A),MATCH(E$1,enemy_skills!$1:$1,0)-MATCH("enemy_skill_id",enemy_skills!$1:$1,0)+1),MATCH(E$1,enemy_skills!$1:$1,0)-MATCH("enemy_skill_id",enemy_skills!$1:$1,0)+1,FALSE)</f>
        <v>連続攻撃</v>
      </c>
      <c r="F16" s="96">
        <v>50003014</v>
      </c>
      <c r="G16" s="44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4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" s="44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4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4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4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4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4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4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3"/>
      <c r="Q16" s="43"/>
      <c r="R16" s="43"/>
    </row>
    <row r="17" spans="1:18" ht="21" customHeight="1" x14ac:dyDescent="0.15">
      <c r="A17" s="99" t="str">
        <f t="shared" ref="A17:A37" si="4">B17&amp;"_"&amp;C17</f>
        <v>50003005_50003017</v>
      </c>
      <c r="B17" s="90">
        <v>50003005</v>
      </c>
      <c r="C17" s="90">
        <v>50003017</v>
      </c>
      <c r="D17" s="42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ふん…俺は俺なりに戦ったさ。</v>
      </c>
      <c r="E17" s="42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「 大ていは 地に任せて 肌骨好し_x000D_ 紅粉を塗らず 自ら風流 」</v>
      </c>
      <c r="F17" s="96">
        <v>50003015</v>
      </c>
      <c r="G17" s="44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4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7" s="44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4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4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4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" s="44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4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7" s="44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3"/>
      <c r="Q17" s="43"/>
      <c r="R17" s="43"/>
    </row>
    <row r="18" spans="1:18" ht="21" customHeight="1" x14ac:dyDescent="0.15">
      <c r="A18" s="99" t="str">
        <f t="shared" si="4"/>
        <v>50003006_50003018</v>
      </c>
      <c r="B18" s="90">
        <v>50003006</v>
      </c>
      <c r="C18" s="90">
        <v>50003018</v>
      </c>
      <c r="D18" s="42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よっしゃ！遊んでやるぜ！</v>
      </c>
      <c r="E18" s="42" t="str">
        <f ca="1">VLOOKUP($C18,OFFSET(enemy_skills!$A$1,0,0,COUNTA(enemy_skills!$A:$A),MATCH(E$1,enemy_skills!$1:$1,0)-MATCH("enemy_skill_id",enemy_skills!$1:$1,0)+1),MATCH(E$1,enemy_skills!$1:$1,0)-MATCH("enemy_skill_id",enemy_skills!$1:$1,0)+1,FALSE)</f>
        <v>次のターンからだんだん威力の上がる攻撃！</v>
      </c>
      <c r="F18" s="96">
        <v>50003016</v>
      </c>
      <c r="G18" s="44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4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4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4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4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4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4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4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4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3"/>
      <c r="Q18" s="43"/>
      <c r="R18" s="43"/>
    </row>
    <row r="19" spans="1:18" ht="21" customHeight="1" x14ac:dyDescent="0.15">
      <c r="A19" s="99" t="str">
        <f t="shared" si="4"/>
        <v>50003006_50003019</v>
      </c>
      <c r="B19" s="90">
        <v>50003006</v>
      </c>
      <c r="C19" s="90">
        <v>50003019</v>
      </c>
      <c r="D19" s="42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まずは兵力を奪う！</v>
      </c>
      <c r="E19" s="42" t="str">
        <f ca="1">VLOOKUP($C19,OFFSET(enemy_skills!$A$1,0,0,COUNTA(enemy_skills!$A:$A),MATCH(E$1,enemy_skills!$1:$1,0)-MATCH("enemy_skill_id",enemy_skills!$1:$1,0)+1),MATCH(E$1,enemy_skills!$1:$1,0)-MATCH("enemy_skill_id",enemy_skills!$1:$1,0)+1,FALSE)</f>
        <v>1ターンタップ回数減少</v>
      </c>
      <c r="F19" s="96">
        <v>50003017</v>
      </c>
      <c r="G19" s="44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4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4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4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4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4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4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4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4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3"/>
      <c r="Q19" s="43"/>
      <c r="R19" s="43"/>
    </row>
    <row r="20" spans="1:18" ht="21" customHeight="1" x14ac:dyDescent="0.15">
      <c r="A20" s="99" t="str">
        <f t="shared" si="4"/>
        <v>50003006_50003020</v>
      </c>
      <c r="B20" s="90">
        <v>50003006</v>
      </c>
      <c r="C20" s="90">
        <v>50003020</v>
      </c>
      <c r="D20" s="42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兵糧攻めだ！</v>
      </c>
      <c r="E20" s="42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ハートパネルを8個緑パネルに変換</v>
      </c>
      <c r="F20" s="96">
        <v>50003018</v>
      </c>
      <c r="G20" s="44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4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0" s="44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4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4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4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4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0" s="44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4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3"/>
      <c r="Q20" s="43"/>
      <c r="R20" s="43"/>
    </row>
    <row r="21" spans="1:18" ht="21" customHeight="1" x14ac:dyDescent="0.15">
      <c r="A21" s="99" t="str">
        <f t="shared" si="4"/>
        <v>50003006_50003021</v>
      </c>
      <c r="B21" s="90">
        <v>50003006</v>
      </c>
      <c r="C21" s="90">
        <v>50003021</v>
      </c>
      <c r="D21" s="42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そして一気に攻める！</v>
      </c>
      <c r="E21" s="42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スピードアップ</v>
      </c>
      <c r="F21" s="96">
        <v>50003019</v>
      </c>
      <c r="G21" s="44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4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21" s="44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4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4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4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4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1" s="44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4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3"/>
      <c r="Q21" s="43"/>
      <c r="R21" s="43"/>
    </row>
    <row r="22" spans="1:18" ht="21" customHeight="1" x14ac:dyDescent="0.15">
      <c r="A22" s="99" t="str">
        <f t="shared" si="4"/>
        <v>50003006_50003022</v>
      </c>
      <c r="B22" s="90">
        <v>50003006</v>
      </c>
      <c r="C22" s="90">
        <v>50003022</v>
      </c>
      <c r="D22" s="42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さらに武器を奪う！</v>
      </c>
      <c r="E22" s="42" t="str">
        <f ca="1">VLOOKUP($C22,OFFSET(enemy_skills!$A$1,0,0,COUNTA(enemy_skills!$A:$A),MATCH(E$1,enemy_skills!$1:$1,0)-MATCH("enemy_skill_id",enemy_skills!$1:$1,0)+1),MATCH(E$1,enemy_skills!$1:$1,0)-MATCH("enemy_skill_id",enemy_skills!$1:$1,0)+1,FALSE)</f>
        <v>1ターン赤パネル無効</v>
      </c>
      <c r="F22" s="96">
        <v>50003020</v>
      </c>
      <c r="G22" s="44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4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22" s="44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4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4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4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4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2" s="44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4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3"/>
      <c r="Q22" s="43"/>
      <c r="R22" s="43"/>
    </row>
    <row r="23" spans="1:18" ht="21" customHeight="1" x14ac:dyDescent="0.15">
      <c r="A23" s="99" t="str">
        <f t="shared" si="4"/>
        <v>50003006_50003023</v>
      </c>
      <c r="B23" s="90">
        <v>50003006</v>
      </c>
      <c r="C23" s="90">
        <v>50003023</v>
      </c>
      <c r="D23" s="42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動けなくしてやる！</v>
      </c>
      <c r="E23" s="42" t="str">
        <f ca="1">VLOOKUP($C23,OFFSET(enemy_skills!$A$1,0,0,COUNTA(enemy_skills!$A:$A),MATCH(E$1,enemy_skills!$1:$1,0)-MATCH("enemy_skill_id",enemy_skills!$1:$1,0)+1),MATCH(E$1,enemy_skills!$1:$1,0)-MATCH("enemy_skill_id",enemy_skills!$1:$1,0)+1,FALSE)</f>
        <v>1ターンスキルバインド</v>
      </c>
      <c r="F23" s="96">
        <v>50003021</v>
      </c>
      <c r="G23" s="44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4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23" s="44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4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4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4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4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3" s="44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4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3"/>
      <c r="Q23" s="43"/>
      <c r="R23" s="43"/>
    </row>
    <row r="24" spans="1:18" ht="21" customHeight="1" x14ac:dyDescent="0.15">
      <c r="A24" s="99" t="str">
        <f t="shared" si="4"/>
        <v>50003006_50003024</v>
      </c>
      <c r="B24" s="90">
        <v>50003006</v>
      </c>
      <c r="C24" s="90">
        <v>50003024</v>
      </c>
      <c r="D24" s="42" t="str">
        <f ca="1">VLOOKUP($C24,OFFSET(enemy_skills!$A$1,0,0,COUNTA(enemy_skills!$A:$A),MATCH(D$1,enemy_skills!$1:$1,0)-MATCH("enemy_skill_id",enemy_skills!$1:$1,0)+1),MATCH(D$1,enemy_skills!$1:$1,0)-MATCH("enemy_skill_id",enemy_skills!$1:$1,0)+1,FALSE)</f>
        <v>畳み掛けるぜ！</v>
      </c>
      <c r="E24" s="42" t="str">
        <f ca="1">VLOOKUP($C24,OFFSET(enemy_skills!$A$1,0,0,COUNTA(enemy_skills!$A:$A),MATCH(E$1,enemy_skills!$1:$1,0)-MATCH("enemy_skill_id",enemy_skills!$1:$1,0)+1),MATCH(E$1,enemy_skills!$1:$1,0)-MATCH("enemy_skill_id",enemy_skills!$1:$1,0)+1,FALSE)</f>
        <v>連続攻撃</v>
      </c>
      <c r="F24" s="96">
        <v>50003022</v>
      </c>
      <c r="G24" s="44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4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24" s="44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4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4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4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4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24" s="44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4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3"/>
      <c r="Q24" s="43"/>
      <c r="R24" s="43"/>
    </row>
    <row r="25" spans="1:18" ht="21" customHeight="1" x14ac:dyDescent="0.15">
      <c r="A25" s="99" t="str">
        <f t="shared" si="4"/>
        <v>50003006_50003025</v>
      </c>
      <c r="B25" s="90">
        <v>50003006</v>
      </c>
      <c r="C25" s="90">
        <v>50003025</v>
      </c>
      <c r="D25" s="42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立ち上がれなくしてやる！</v>
      </c>
      <c r="E25" s="42" t="str">
        <f ca="1">VLOOKUP($C25,OFFSET(enemy_skills!$A$1,0,0,COUNTA(enemy_skills!$A:$A),MATCH(E$1,enemy_skills!$1:$1,0)-MATCH("enemy_skill_id",enemy_skills!$1:$1,0)+1),MATCH(E$1,enemy_skills!$1:$1,0)-MATCH("enemy_skill_id",enemy_skills!$1:$1,0)+1,FALSE)</f>
        <v>1ターン攻撃力DOWN</v>
      </c>
      <c r="F25" s="96">
        <v>50003023</v>
      </c>
      <c r="G25" s="44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4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25" s="44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4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4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4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4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25" s="44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4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3"/>
      <c r="Q25" s="43"/>
      <c r="R25" s="43"/>
    </row>
    <row r="26" spans="1:18" ht="21" customHeight="1" x14ac:dyDescent="0.15">
      <c r="A26" s="99" t="str">
        <f t="shared" si="4"/>
        <v>50003006_50003026</v>
      </c>
      <c r="B26" s="90">
        <v>50003006</v>
      </c>
      <c r="C26" s="90">
        <v>50003026</v>
      </c>
      <c r="D26" s="42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ここからは小細工なしだ！</v>
      </c>
      <c r="E26" s="42" t="str">
        <f ca="1">VLOOKUP($C26,OFFSET(enemy_skills!$A$1,0,0,COUNTA(enemy_skills!$A:$A),MATCH(E$1,enemy_skills!$1:$1,0)-MATCH("enemy_skill_id",enemy_skills!$1:$1,0)+1),MATCH(E$1,enemy_skills!$1:$1,0)-MATCH("enemy_skill_id",enemy_skills!$1:$1,0)+1,FALSE)</f>
        <v>攻撃力UP</v>
      </c>
      <c r="F26" s="96">
        <v>50003024</v>
      </c>
      <c r="G26" s="44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4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26" s="44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4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4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4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4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26" s="44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4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3"/>
      <c r="Q26" s="43"/>
      <c r="R26" s="43"/>
    </row>
    <row r="27" spans="1:18" ht="21" customHeight="1" x14ac:dyDescent="0.15">
      <c r="A27" s="99" t="str">
        <f t="shared" si="4"/>
        <v>50003006_50003027</v>
      </c>
      <c r="B27" s="90">
        <v>50003006</v>
      </c>
      <c r="C27" s="90">
        <v>50003027</v>
      </c>
      <c r="D27" s="42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おい、影丸…！</v>
      </c>
      <c r="E27" s="42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影丸による回復術！</v>
      </c>
      <c r="F27" s="96">
        <v>50003025</v>
      </c>
      <c r="G27" s="44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4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7" s="44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4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4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4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4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4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374</v>
      </c>
      <c r="O27" s="44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3"/>
      <c r="Q27" s="43"/>
      <c r="R27" s="43"/>
    </row>
    <row r="28" spans="1:18" ht="21" customHeight="1" x14ac:dyDescent="0.15">
      <c r="A28" s="99" t="str">
        <f t="shared" si="4"/>
        <v>50003007_50003028</v>
      </c>
      <c r="B28" s="90">
        <v>50003007</v>
      </c>
      <c r="C28" s="90">
        <v>50003028</v>
      </c>
      <c r="D28" s="42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やるじゃん！でもまだまだ！</v>
      </c>
      <c r="E28" s="42" t="str">
        <f ca="1">VLOOKUP($C28,OFFSET(enemy_skills!$A$1,0,0,COUNTA(enemy_skills!$A:$A),MATCH(E$1,enemy_skills!$1:$1,0)-MATCH("enemy_skill_id",enemy_skills!$1:$1,0)+1),MATCH(E$1,enemy_skills!$1:$1,0)-MATCH("enemy_skill_id",enemy_skills!$1:$1,0)+1,FALSE)</f>
        <v>防御力UP</v>
      </c>
      <c r="F28" s="96">
        <v>50003026</v>
      </c>
      <c r="G28" s="44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4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4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4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4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4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4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4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4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3"/>
      <c r="Q28" s="43"/>
      <c r="R28" s="43"/>
    </row>
    <row r="29" spans="1:18" ht="21" customHeight="1" x14ac:dyDescent="0.15">
      <c r="A29" s="99" t="str">
        <f t="shared" si="4"/>
        <v>50003007_50003029</v>
      </c>
      <c r="B29" s="90">
        <v>50003007</v>
      </c>
      <c r="C29" s="90">
        <v>50003029</v>
      </c>
      <c r="D29" s="42" t="str">
        <f ca="1">VLOOKUP($C29,OFFSET(enemy_skills!$A$1,0,0,COUNTA(enemy_skills!$A:$A),MATCH(D$1,enemy_skills!$1:$1,0)-MATCH("enemy_skill_id",enemy_skills!$1:$1,0)+1),MATCH(D$1,enemy_skills!$1:$1,0)-MATCH("enemy_skill_id",enemy_skills!$1:$1,0)+1,FALSE)</f>
        <v>耐えてみろ！</v>
      </c>
      <c r="E29" s="42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9" s="96">
        <v>50003027</v>
      </c>
      <c r="G29" s="44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4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4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4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4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4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4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4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4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3"/>
      <c r="Q29" s="43"/>
      <c r="R29" s="43"/>
    </row>
    <row r="30" spans="1:18" ht="21" customHeight="1" thickBot="1" x14ac:dyDescent="0.2">
      <c r="A30" s="99" t="str">
        <f t="shared" si="4"/>
        <v>50003007_50003030</v>
      </c>
      <c r="B30" s="90">
        <v>50003007</v>
      </c>
      <c r="C30" s="90">
        <v>50003030</v>
      </c>
      <c r="D30" s="42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いくぜー！</v>
      </c>
      <c r="E30" s="42" t="str">
        <f ca="1">VLOOKUP($C30,OFFSET(enemy_skills!$A$1,0,0,COUNTA(enemy_skills!$A:$A),MATCH(E$1,enemy_skills!$1:$1,0)-MATCH("enemy_skill_id",enemy_skills!$1:$1,0)+1),MATCH(E$1,enemy_skills!$1:$1,0)-MATCH("enemy_skill_id",enemy_skills!$1:$1,0)+1,FALSE)</f>
        <v>防御力UP</v>
      </c>
      <c r="F30" s="96">
        <v>50003028</v>
      </c>
      <c r="G30" s="104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104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" s="104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4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4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4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4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0" s="44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4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3"/>
      <c r="Q30" s="43"/>
      <c r="R30" s="43"/>
    </row>
    <row r="31" spans="1:18" ht="21" customHeight="1" x14ac:dyDescent="0.15">
      <c r="A31" s="99" t="str">
        <f t="shared" si="4"/>
        <v>50003007_50003031</v>
      </c>
      <c r="B31" s="90">
        <v>50003007</v>
      </c>
      <c r="C31" s="90">
        <v>50003031</v>
      </c>
      <c r="D31" s="42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これでどうだ！</v>
      </c>
      <c r="E31" s="42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1" s="143">
        <v>50003029</v>
      </c>
      <c r="G31" s="145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126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1" s="146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31" s="144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4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4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4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4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4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31" s="43"/>
      <c r="Q31" s="43"/>
      <c r="R31" s="43"/>
    </row>
    <row r="32" spans="1:18" ht="21" customHeight="1" x14ac:dyDescent="0.15">
      <c r="A32" s="99" t="str">
        <f t="shared" si="4"/>
        <v>50003007_50003032</v>
      </c>
      <c r="B32" s="90">
        <v>50003007</v>
      </c>
      <c r="C32" s="90">
        <v>50003032</v>
      </c>
      <c r="D32" s="42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居合斬り！</v>
      </c>
      <c r="E32" s="42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クリティカル</v>
      </c>
      <c r="F32" s="143">
        <v>50003030</v>
      </c>
      <c r="G32" s="1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4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79</v>
      </c>
      <c r="I32" s="1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32" s="144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4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4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4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4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4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32" s="43"/>
      <c r="Q32" s="43"/>
      <c r="R32" s="43"/>
    </row>
    <row r="33" spans="1:18" ht="21" customHeight="1" x14ac:dyDescent="0.15">
      <c r="A33" s="99" t="str">
        <f t="shared" si="4"/>
        <v>50003007_50003033</v>
      </c>
      <c r="B33" s="90">
        <v>50003007</v>
      </c>
      <c r="C33" s="90">
        <v>50003033</v>
      </c>
      <c r="D33" s="42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回転斬り！</v>
      </c>
      <c r="E33" s="42" t="str">
        <f ca="1">VLOOKUP($C33,OFFSET(enemy_skills!$A$1,0,0,COUNTA(enemy_skills!$A:$A),MATCH(E$1,enemy_skills!$1:$1,0)-MATCH("enemy_skill_id",enemy_skills!$1:$1,0)+1),MATCH(E$1,enemy_skills!$1:$1,0)-MATCH("enemy_skill_id",enemy_skills!$1:$1,0)+1,FALSE)</f>
        <v>連続攻撃</v>
      </c>
      <c r="F33" s="143">
        <v>50003031</v>
      </c>
      <c r="G33" s="1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4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78</v>
      </c>
      <c r="I33" s="1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3" s="144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4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4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4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44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4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3" s="43"/>
      <c r="Q33" s="43"/>
      <c r="R33" s="43"/>
    </row>
    <row r="34" spans="1:18" ht="21" customHeight="1" thickBot="1" x14ac:dyDescent="0.2">
      <c r="A34" s="99" t="str">
        <f t="shared" si="4"/>
        <v>50003007_50003034</v>
      </c>
      <c r="B34" s="90">
        <v>50003007</v>
      </c>
      <c r="C34" s="90">
        <v>50003034</v>
      </c>
      <c r="D34" s="42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多段連続斬り！</v>
      </c>
      <c r="E34" s="42" t="str">
        <f ca="1">VLOOKUP($C34,OFFSET(enemy_skills!$A$1,0,0,COUNTA(enemy_skills!$A:$A),MATCH(E$1,enemy_skills!$1:$1,0)-MATCH("enemy_skill_id",enemy_skills!$1:$1,0)+1),MATCH(E$1,enemy_skills!$1:$1,0)-MATCH("enemy_skill_id",enemy_skills!$1:$1,0)+1,FALSE)</f>
        <v>連続攻撃</v>
      </c>
      <c r="F34" s="143">
        <v>50003032</v>
      </c>
      <c r="G34" s="149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13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77</v>
      </c>
      <c r="I34" s="150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144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4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4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4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4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4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3"/>
      <c r="Q34" s="43"/>
      <c r="R34" s="43"/>
    </row>
    <row r="35" spans="1:18" ht="21" customHeight="1" x14ac:dyDescent="0.15">
      <c r="A35" s="99" t="str">
        <f t="shared" si="4"/>
        <v>50003007_50003035</v>
      </c>
      <c r="B35" s="90">
        <v>50003007</v>
      </c>
      <c r="C35" s="90">
        <v>50003035</v>
      </c>
      <c r="D35" s="42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もう一発いくぜ！</v>
      </c>
      <c r="E35" s="42" t="str">
        <f ca="1">VLOOKUP($C35,OFFSET(enemy_skills!$A$1,0,0,COUNTA(enemy_skills!$A:$A),MATCH(E$1,enemy_skills!$1:$1,0)-MATCH("enemy_skill_id",enemy_skills!$1:$1,0)+1),MATCH(E$1,enemy_skills!$1:$1,0)-MATCH("enemy_skill_id",enemy_skills!$1:$1,0)+1,FALSE)</f>
        <v>防御力UP</v>
      </c>
      <c r="F35" s="96">
        <v>50003033</v>
      </c>
      <c r="G35" s="105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105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5" s="105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4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4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4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4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5" s="44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4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3"/>
      <c r="Q35" s="43"/>
      <c r="R35" s="43"/>
    </row>
    <row r="36" spans="1:18" ht="21" customHeight="1" x14ac:dyDescent="0.15">
      <c r="A36" s="99" t="str">
        <f t="shared" ref="A36" si="5">B36&amp;"_"&amp;C36</f>
        <v>50003007_50003027</v>
      </c>
      <c r="B36" s="90">
        <v>50003007</v>
      </c>
      <c r="C36" s="90">
        <v>50003027</v>
      </c>
      <c r="D36" s="42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おい、影丸…！</v>
      </c>
      <c r="E36" s="42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影丸による回復術！</v>
      </c>
      <c r="F36" s="96">
        <v>50003034</v>
      </c>
      <c r="G36" s="44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4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6" s="44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4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4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4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4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4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374</v>
      </c>
      <c r="O36" s="44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3"/>
      <c r="Q36" s="43"/>
      <c r="R36" s="43"/>
    </row>
    <row r="37" spans="1:18" ht="21" customHeight="1" x14ac:dyDescent="0.15">
      <c r="A37" s="99" t="str">
        <f t="shared" si="4"/>
        <v>50003007_50003036</v>
      </c>
      <c r="B37" s="90">
        <v>50003007</v>
      </c>
      <c r="C37" s="90">
        <v>50003036</v>
      </c>
      <c r="D37" s="42" t="str">
        <f ca="1">VLOOKUP($C37,OFFSET(enemy_skills!$A$1,0,0,COUNTA(enemy_skills!$A:$A),MATCH(D$1,enemy_skills!$1:$1,0)-MATCH("enemy_skill_id",enemy_skills!$1:$1,0)+1),MATCH(D$1,enemy_skills!$1:$1,0)-MATCH("enemy_skill_id",enemy_skills!$1:$1,0)+1,FALSE)</f>
        <v>御館様…！</v>
      </c>
      <c r="E37" s="42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「 梅が香を 袖に移して とどめおき_x000D_ 春は過ぐとも かたみならまし 」</v>
      </c>
      <c r="F37" s="96">
        <v>50003035</v>
      </c>
      <c r="G37" s="44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4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7" s="44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4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4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4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7" s="44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4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7" s="44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3"/>
      <c r="Q37" s="43"/>
      <c r="R37" s="43"/>
    </row>
    <row r="38" spans="1:18" ht="21" customHeight="1" thickBot="1" x14ac:dyDescent="0.2">
      <c r="A38" s="152" t="str">
        <f t="shared" ref="A38:A54" si="6">B38&amp;"_"&amp;C38</f>
        <v>50003008_50003039</v>
      </c>
      <c r="B38" s="96">
        <v>50003008</v>
      </c>
      <c r="C38" s="96">
        <v>50003039</v>
      </c>
      <c r="D38" s="153" t="str">
        <f ca="1">VLOOKUP($C38,OFFSET(enemy_skills!$A$1,0,0,COUNTA(enemy_skills!$A:$A),MATCH(D$1,enemy_skills!$1:$1,0)-MATCH("enemy_skill_id",enemy_skills!$1:$1,0)+1),MATCH(D$1,enemy_skills!$1:$1,0)-MATCH("enemy_skill_id",enemy_skills!$1:$1,0)+1,FALSE)</f>
        <v>忍法！</v>
      </c>
      <c r="E38" s="153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お邪魔パネルを1個生成</v>
      </c>
      <c r="F38" s="96">
        <v>50003036</v>
      </c>
      <c r="G38" s="104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104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8" s="104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104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104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104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104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8" s="104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104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154"/>
      <c r="Q38" s="154"/>
      <c r="R38" s="154"/>
    </row>
    <row r="39" spans="1:18" s="160" customFormat="1" ht="21" customHeight="1" x14ac:dyDescent="0.15">
      <c r="A39" s="157" t="str">
        <f t="shared" si="6"/>
        <v>50003009_50003041</v>
      </c>
      <c r="B39" s="158">
        <v>50003009</v>
      </c>
      <c r="C39" s="158">
        <v>50003041</v>
      </c>
      <c r="D39" s="169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ガーディアンか…面白い。</v>
      </c>
      <c r="E39" s="169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状態異常無効＋お邪魔パネル3個生成</v>
      </c>
      <c r="F39" s="170">
        <v>50003037</v>
      </c>
      <c r="G39" s="171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171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9" s="171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171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171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171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171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171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573</v>
      </c>
      <c r="O39" s="126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122"/>
      <c r="Q39" s="122"/>
      <c r="R39" s="122"/>
    </row>
    <row r="40" spans="1:18" s="162" customFormat="1" ht="21" customHeight="1" x14ac:dyDescent="0.15">
      <c r="A40" s="161" t="str">
        <f t="shared" si="6"/>
        <v>50003009_50003042</v>
      </c>
      <c r="B40" s="90">
        <v>50003009</v>
      </c>
      <c r="C40" s="90">
        <v>50003042</v>
      </c>
      <c r="D40" s="42" t="str">
        <f ca="1">VLOOKUP($C40,OFFSET(enemy_skills!$A$1,0,0,COUNTA(enemy_skills!$A:$A),MATCH(D$1,enemy_skills!$1:$1,0)-MATCH("enemy_skill_id",enemy_skills!$1:$1,0)+1),MATCH(D$1,enemy_skills!$1:$1,0)-MATCH("enemy_skill_id",enemy_skills!$1:$1,0)+1,FALSE)</f>
        <v>…奇襲成功！</v>
      </c>
      <c r="E40" s="42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状態異常無効＋お邪魔パネル3個生成</v>
      </c>
      <c r="F40" s="96">
        <v>50003038</v>
      </c>
      <c r="G40" s="44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4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0" s="44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4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4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4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4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4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4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3"/>
      <c r="Q40" s="43"/>
      <c r="R40" s="43"/>
    </row>
    <row r="41" spans="1:18" s="162" customFormat="1" ht="21" customHeight="1" x14ac:dyDescent="0.15">
      <c r="A41" s="161" t="str">
        <f t="shared" si="6"/>
        <v>50003009_50003043</v>
      </c>
      <c r="B41" s="90">
        <v>50003009</v>
      </c>
      <c r="C41" s="90">
        <v>50003043</v>
      </c>
      <c r="D41" s="42" t="str">
        <f ca="1">VLOOKUP($C41,OFFSET(enemy_skills!$A$1,0,0,COUNTA(enemy_skills!$A:$A),MATCH(D$1,enemy_skills!$1:$1,0)-MATCH("enemy_skill_id",enemy_skills!$1:$1,0)+1),MATCH(D$1,enemy_skills!$1:$1,0)-MATCH("enemy_skill_id",enemy_skills!$1:$1,0)+1,FALSE)</f>
        <v>鉄砲三段撃ち！</v>
      </c>
      <c r="E41" s="42" t="str">
        <f ca="1">VLOOKUP($C41,OFFSET(enemy_skills!$A$1,0,0,COUNTA(enemy_skills!$A:$A),MATCH(E$1,enemy_skills!$1:$1,0)-MATCH("enemy_skill_id",enemy_skills!$1:$1,0)+1),MATCH(E$1,enemy_skills!$1:$1,0)-MATCH("enemy_skill_id",enemy_skills!$1:$1,0)+1,FALSE)</f>
        <v>3連続全体攻撃</v>
      </c>
      <c r="F41" s="96">
        <v>50003039</v>
      </c>
      <c r="G41" s="44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4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1" s="44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1" s="44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4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4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4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4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4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1" s="43"/>
      <c r="Q41" s="43"/>
      <c r="R41" s="43"/>
    </row>
    <row r="42" spans="1:18" s="162" customFormat="1" ht="21" customHeight="1" x14ac:dyDescent="0.15">
      <c r="A42" s="161" t="str">
        <f t="shared" si="6"/>
        <v>50003009_50003044</v>
      </c>
      <c r="B42" s="90">
        <v>50003009</v>
      </c>
      <c r="C42" s="90">
        <v>50003044</v>
      </c>
      <c r="D42" s="42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どうだ、効くだろう！</v>
      </c>
      <c r="E42" s="42" t="str">
        <f ca="1">VLOOKUP($C42,OFFSET(enemy_skills!$A$1,0,0,COUNTA(enemy_skills!$A:$A),MATCH(E$1,enemy_skills!$1:$1,0)-MATCH("enemy_skill_id",enemy_skills!$1:$1,0)+1),MATCH(E$1,enemy_skills!$1:$1,0)-MATCH("enemy_skill_id",enemy_skills!$1:$1,0)+1,FALSE)</f>
        <v>3ターンの間ウィルス状態</v>
      </c>
      <c r="F42" s="96">
        <v>50003040</v>
      </c>
      <c r="G42" s="44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4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2" s="44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42" s="44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4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4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4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2" s="44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4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42" s="43"/>
      <c r="Q42" s="43"/>
      <c r="R42" s="43"/>
    </row>
    <row r="43" spans="1:18" s="162" customFormat="1" ht="21" customHeight="1" x14ac:dyDescent="0.15">
      <c r="A43" s="161" t="str">
        <f t="shared" si="6"/>
        <v>50003009_50003045</v>
      </c>
      <c r="B43" s="90">
        <v>50003009</v>
      </c>
      <c r="C43" s="90">
        <v>50003045</v>
      </c>
      <c r="D43" s="42" t="str">
        <f ca="1">VLOOKUP($C43,OFFSET(enemy_skills!$A$1,0,0,COUNTA(enemy_skills!$A:$A),MATCH(D$1,enemy_skills!$1:$1,0)-MATCH("enemy_skill_id",enemy_skills!$1:$1,0)+1),MATCH(D$1,enemy_skills!$1:$1,0)-MATCH("enemy_skill_id",enemy_skills!$1:$1,0)+1,FALSE)</f>
        <v>神を超えてみせる！</v>
      </c>
      <c r="E43" s="42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種族ゴッドに大ダメージ！</v>
      </c>
      <c r="F43" s="96">
        <v>50003041</v>
      </c>
      <c r="G43" s="44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4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3" s="44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43" s="44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4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4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4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4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4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43" s="43"/>
      <c r="Q43" s="43"/>
      <c r="R43" s="43"/>
    </row>
    <row r="44" spans="1:18" s="162" customFormat="1" ht="21" customHeight="1" x14ac:dyDescent="0.15">
      <c r="A44" s="161" t="str">
        <f t="shared" si="6"/>
        <v>50003009_50003046</v>
      </c>
      <c r="B44" s="90">
        <v>50003009</v>
      </c>
      <c r="C44" s="90">
        <v>50003046</v>
      </c>
      <c r="D44" s="42" t="str">
        <f ca="1">VLOOKUP($C44,OFFSET(enemy_skills!$A$1,0,0,COUNTA(enemy_skills!$A:$A),MATCH(D$1,enemy_skills!$1:$1,0)-MATCH("enemy_skill_id",enemy_skills!$1:$1,0)+1),MATCH(D$1,enemy_skills!$1:$1,0)-MATCH("enemy_skill_id",enemy_skills!$1:$1,0)+1,FALSE)</f>
        <v>鉄砲隊、用意！</v>
      </c>
      <c r="E44" s="42" t="str">
        <f ca="1">VLOOKUP($C44,OFFSET(enemy_skills!$A$1,0,0,COUNTA(enemy_skills!$A:$A),MATCH(E$1,enemy_skills!$1:$1,0)-MATCH("enemy_skill_id",enemy_skills!$1:$1,0)+1),MATCH(E$1,enemy_skills!$1:$1,0)-MATCH("enemy_skill_id",enemy_skills!$1:$1,0)+1,FALSE)</f>
        <v>次のターンに超連続攻撃！</v>
      </c>
      <c r="F44" s="96">
        <v>50003042</v>
      </c>
      <c r="G44" s="44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4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4" s="44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4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4" s="44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4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4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4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4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3"/>
      <c r="Q44" s="43"/>
      <c r="R44" s="43"/>
    </row>
    <row r="45" spans="1:18" s="162" customFormat="1" ht="21" customHeight="1" thickBot="1" x14ac:dyDescent="0.2">
      <c r="A45" s="166" t="str">
        <f t="shared" si="6"/>
        <v>50003009_50003047</v>
      </c>
      <c r="B45" s="96">
        <v>50003009</v>
      </c>
      <c r="C45" s="96">
        <v>50003047</v>
      </c>
      <c r="D45" s="153" t="str">
        <f ca="1">VLOOKUP($C45,OFFSET(enemy_skills!$A$1,0,0,COUNTA(enemy_skills!$A:$A),MATCH(D$1,enemy_skills!$1:$1,0)-MATCH("enemy_skill_id",enemy_skills!$1:$1,0)+1),MATCH(D$1,enemy_skills!$1:$1,0)-MATCH("enemy_skill_id",enemy_skills!$1:$1,0)+1,FALSE)</f>
        <v>全員撃ちまくれ！！</v>
      </c>
      <c r="E45" s="153" t="str">
        <f ca="1">VLOOKUP($C45,OFFSET(enemy_skills!$A$1,0,0,COUNTA(enemy_skills!$A:$A),MATCH(E$1,enemy_skills!$1:$1,0)-MATCH("enemy_skill_id",enemy_skills!$1:$1,0)+1),MATCH(E$1,enemy_skills!$1:$1,0)-MATCH("enemy_skill_id",enemy_skills!$1:$1,0)+1,FALSE)</f>
        <v>20連続攻撃＋1ターン防御力UP</v>
      </c>
      <c r="F45" s="96">
        <v>50003043</v>
      </c>
      <c r="G45" s="104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104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5" s="104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104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5" s="104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104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104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104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104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154"/>
      <c r="Q45" s="154"/>
      <c r="R45" s="154"/>
    </row>
    <row r="46" spans="1:18" s="160" customFormat="1" ht="21" customHeight="1" x14ac:dyDescent="0.15">
      <c r="A46" s="157" t="str">
        <f t="shared" si="6"/>
        <v>50003010_50003049</v>
      </c>
      <c r="B46" s="158">
        <v>50003010</v>
      </c>
      <c r="C46" s="158">
        <v>50003049</v>
      </c>
      <c r="D46" s="159" t="str">
        <f ca="1">VLOOKUP($C46,OFFSET(enemy_skills!$A$1,0,0,COUNTA(enemy_skills!$A:$A),MATCH(D$1,enemy_skills!$1:$1,0)-MATCH("enemy_skill_id",enemy_skills!$1:$1,0)+1),MATCH(D$1,enemy_skills!$1:$1,0)-MATCH("enemy_skill_id",enemy_skills!$1:$1,0)+1,FALSE)</f>
        <v>俺の計略に沈め！</v>
      </c>
      <c r="E46" s="159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状態異常無効_x000D_＋緑パネルが時限パネルとしてドロップ</v>
      </c>
      <c r="F46" s="94">
        <v>50003044</v>
      </c>
      <c r="G46" s="126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126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126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126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126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126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126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126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126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122"/>
      <c r="Q46" s="122"/>
      <c r="R46" s="122"/>
    </row>
    <row r="47" spans="1:18" s="162" customFormat="1" ht="21" customHeight="1" x14ac:dyDescent="0.15">
      <c r="A47" s="161" t="str">
        <f t="shared" si="6"/>
        <v>50003010_50003050</v>
      </c>
      <c r="B47" s="90">
        <v>50003010</v>
      </c>
      <c r="C47" s="90">
        <v>50003050</v>
      </c>
      <c r="D47" s="172" t="str">
        <f ca="1">VLOOKUP($C47,OFFSET(enemy_skills!$A$1,0,0,COUNTA(enemy_skills!$A:$A),MATCH(D$1,enemy_skills!$1:$1,0)-MATCH("enemy_skill_id",enemy_skills!$1:$1,0)+1),MATCH(D$1,enemy_skills!$1:$1,0)-MATCH("enemy_skill_id",enemy_skills!$1:$1,0)+1,FALSE)</f>
        <v>流石だな…だがこれはどうだ？</v>
      </c>
      <c r="E47" s="172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状態異常無効_x000D_＋緑パネルが時限パネルとしてドロップ</v>
      </c>
      <c r="F47" s="173">
        <v>50003045</v>
      </c>
      <c r="G47" s="174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174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7" s="174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174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174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174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174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174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573</v>
      </c>
      <c r="O47" s="44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3"/>
      <c r="Q47" s="43"/>
      <c r="R47" s="43"/>
    </row>
    <row r="48" spans="1:18" s="162" customFormat="1" ht="21" customHeight="1" x14ac:dyDescent="0.15">
      <c r="A48" s="161" t="str">
        <f t="shared" si="6"/>
        <v>50003010_50003051</v>
      </c>
      <c r="B48" s="90">
        <v>50003010</v>
      </c>
      <c r="C48" s="90">
        <v>50003051</v>
      </c>
      <c r="D48" s="42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カウンターなど効かぬ！</v>
      </c>
      <c r="E48" s="42" t="str">
        <f ca="1">VLOOKUP($C48,OFFSET(enemy_skills!$A$1,0,0,COUNTA(enemy_skills!$A:$A),MATCH(E$1,enemy_skills!$1:$1,0)-MATCH("enemy_skill_id",enemy_skills!$1:$1,0)+1),MATCH(E$1,enemy_skills!$1:$1,0)-MATCH("enemy_skill_id",enemy_skills!$1:$1,0)+1,FALSE)</f>
        <v>連続攻撃＋1ターン防御力UP</v>
      </c>
      <c r="F48" s="143">
        <v>50003046</v>
      </c>
      <c r="G48" s="44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4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8" s="44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4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4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4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4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8" s="44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4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3"/>
      <c r="Q48" s="43"/>
      <c r="R48" s="43"/>
    </row>
    <row r="49" spans="1:18" s="162" customFormat="1" ht="21" customHeight="1" x14ac:dyDescent="0.15">
      <c r="A49" s="161" t="str">
        <f t="shared" si="6"/>
        <v>50003010_50003052</v>
      </c>
      <c r="B49" s="90">
        <v>50003010</v>
      </c>
      <c r="C49" s="90">
        <v>50003052</v>
      </c>
      <c r="D49" s="42" t="str">
        <f ca="1">VLOOKUP($C49,OFFSET(enemy_skills!$A$1,0,0,COUNTA(enemy_skills!$A:$A),MATCH(D$1,enemy_skills!$1:$1,0)-MATCH("enemy_skill_id",enemy_skills!$1:$1,0)+1),MATCH(D$1,enemy_skills!$1:$1,0)-MATCH("enemy_skill_id",enemy_skills!$1:$1,0)+1,FALSE)</f>
        <v>天下を取るのは俺だ！</v>
      </c>
      <c r="E49" s="42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種族ゴッドに大ダメージ！</v>
      </c>
      <c r="F49" s="143">
        <v>50003048</v>
      </c>
      <c r="G49" s="44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4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9" s="44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9" s="44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4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4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4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4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4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9" s="43"/>
      <c r="Q49" s="43"/>
      <c r="R49" s="43"/>
    </row>
    <row r="50" spans="1:18" s="162" customFormat="1" ht="21" customHeight="1" x14ac:dyDescent="0.15">
      <c r="A50" s="161" t="str">
        <f t="shared" si="6"/>
        <v>50003010_50003053</v>
      </c>
      <c r="B50" s="90">
        <v>50003010</v>
      </c>
      <c r="C50" s="90">
        <v>50003053</v>
      </c>
      <c r="D50" s="42" t="str">
        <f ca="1">VLOOKUP($C50,OFFSET(enemy_skills!$A$1,0,0,COUNTA(enemy_skills!$A:$A),MATCH(D$1,enemy_skills!$1:$1,0)-MATCH("enemy_skill_id",enemy_skills!$1:$1,0)+1),MATCH(D$1,enemy_skills!$1:$1,0)-MATCH("enemy_skill_id",enemy_skills!$1:$1,0)+1,FALSE)</f>
        <v>神すら俺を恐れる！</v>
      </c>
      <c r="E50" s="42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種族ゴッドに超大ダメージ！</v>
      </c>
      <c r="F50" s="143">
        <v>50003047</v>
      </c>
      <c r="G50" s="44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4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0" s="44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50" s="44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4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4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4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4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4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50" s="43"/>
      <c r="Q50" s="43"/>
      <c r="R50" s="43"/>
    </row>
    <row r="51" spans="1:18" s="162" customFormat="1" ht="21" customHeight="1" x14ac:dyDescent="0.15">
      <c r="A51" s="161" t="str">
        <f t="shared" ref="A51" si="7">B51&amp;"_"&amp;C51</f>
        <v>50003010_50003068</v>
      </c>
      <c r="B51" s="90">
        <v>50003010</v>
      </c>
      <c r="C51" s="90">
        <v>50003068</v>
      </c>
      <c r="D51" s="42" t="str">
        <f ca="1">VLOOKUP($C51,OFFSET(enemy_skills!$A$1,0,0,COUNTA(enemy_skills!$A:$A),MATCH(D$1,enemy_skills!$1:$1,0)-MATCH("enemy_skill_id",enemy_skills!$1:$1,0)+1),MATCH(D$1,enemy_skills!$1:$1,0)-MATCH("enemy_skill_id",enemy_skills!$1:$1,0)+1,FALSE)</f>
        <v>俺に続け！</v>
      </c>
      <c r="E51" s="42" t="str">
        <f ca="1">VLOOKUP($C51,OFFSET(enemy_skills!$A$1,0,0,COUNTA(enemy_skills!$A:$A),MATCH(E$1,enemy_skills!$1:$1,0)-MATCH("enemy_skill_id",enemy_skills!$1:$1,0)+1),MATCH(E$1,enemy_skills!$1:$1,0)-MATCH("enemy_skill_id",enemy_skills!$1:$1,0)+1,FALSE)</f>
        <v>単体攻撃</v>
      </c>
      <c r="F51" s="143">
        <v>50003062</v>
      </c>
      <c r="G51" s="44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4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1" s="44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4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4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4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4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4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4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3"/>
      <c r="Q51" s="43"/>
      <c r="R51" s="43"/>
    </row>
    <row r="52" spans="1:18" s="162" customFormat="1" ht="21" customHeight="1" x14ac:dyDescent="0.15">
      <c r="A52" s="161" t="str">
        <f t="shared" si="6"/>
        <v>50003010_50003054</v>
      </c>
      <c r="B52" s="90">
        <v>50003010</v>
      </c>
      <c r="C52" s="90">
        <v>50003054</v>
      </c>
      <c r="D52" s="42" t="str">
        <f ca="1">VLOOKUP($C52,OFFSET(enemy_skills!$A$1,0,0,COUNTA(enemy_skills!$A:$A),MATCH(D$1,enemy_skills!$1:$1,0)-MATCH("enemy_skill_id",enemy_skills!$1:$1,0)+1),MATCH(D$1,enemy_skills!$1:$1,0)-MATCH("enemy_skill_id",enemy_skills!$1:$1,0)+1,FALSE)</f>
        <v>誰も俺を止められない！</v>
      </c>
      <c r="E52" s="42" t="str">
        <f ca="1">VLOOKUP($C52,OFFSET(enemy_skills!$A$1,0,0,COUNTA(enemy_skills!$A:$A),MATCH(E$1,enemy_skills!$1:$1,0)-MATCH("enemy_skill_id",enemy_skills!$1:$1,0)+1),MATCH(E$1,enemy_skills!$1:$1,0)-MATCH("enemy_skill_id",enemy_skills!$1:$1,0)+1,FALSE)</f>
        <v>全体に1ターンスキルバインド_x000D_＋次のターンに緑パネルを吸収して攻撃力UP</v>
      </c>
      <c r="F52" s="96">
        <v>50003049</v>
      </c>
      <c r="G52" s="44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4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2" s="44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4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2" s="44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4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4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44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4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3"/>
      <c r="Q52" s="43"/>
      <c r="R52" s="43"/>
    </row>
    <row r="53" spans="1:18" s="165" customFormat="1" ht="21" customHeight="1" thickBot="1" x14ac:dyDescent="0.2">
      <c r="A53" s="163" t="str">
        <f t="shared" si="6"/>
        <v>50003010_50003055</v>
      </c>
      <c r="B53" s="140">
        <v>50003010</v>
      </c>
      <c r="C53" s="140">
        <v>50003055</v>
      </c>
      <c r="D53" s="164" t="str">
        <f ca="1">VLOOKUP($C53,OFFSET(enemy_skills!$A$1,0,0,COUNTA(enemy_skills!$A:$A),MATCH(D$1,enemy_skills!$1:$1,0)-MATCH("enemy_skill_id",enemy_skills!$1:$1,0)+1),MATCH(D$1,enemy_skills!$1:$1,0)-MATCH("enemy_skill_id",enemy_skills!$1:$1,0)+1,FALSE)</f>
        <v>頂点に立つのは俺だ！</v>
      </c>
      <c r="E53" s="164" t="str">
        <f ca="1">VLOOKUP($C53,OFFSET(enemy_skills!$A$1,0,0,COUNTA(enemy_skills!$A:$A),MATCH(E$1,enemy_skills!$1:$1,0)-MATCH("enemy_skill_id",enemy_skills!$1:$1,0)+1),MATCH(E$1,enemy_skills!$1:$1,0)-MATCH("enemy_skill_id",enemy_skills!$1:$1,0)+1,FALSE)</f>
        <v>緑パネルを全て吸収して攻撃力UP</v>
      </c>
      <c r="F53" s="140">
        <v>50003050</v>
      </c>
      <c r="G53" s="13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13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3" s="13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137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3" s="13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137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137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3" s="13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13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132"/>
      <c r="Q53" s="132"/>
      <c r="R53" s="132"/>
    </row>
    <row r="54" spans="1:18" s="162" customFormat="1" ht="21" customHeight="1" x14ac:dyDescent="0.15">
      <c r="A54" s="167" t="str">
        <f t="shared" si="6"/>
        <v>50003011_50003057</v>
      </c>
      <c r="B54" s="115">
        <v>50003011</v>
      </c>
      <c r="C54" s="115">
        <v>50003057</v>
      </c>
      <c r="D54" s="15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これが刻印[天下布武]の力だ！</v>
      </c>
      <c r="E54" s="15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状態異常無効＋Cパネルを縮小(効果最大)</v>
      </c>
      <c r="F54" s="156">
        <v>50003051</v>
      </c>
      <c r="G54" s="105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105" t="str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4" s="105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105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105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105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105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105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105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116"/>
      <c r="Q54" s="116"/>
      <c r="R54" s="116"/>
    </row>
    <row r="55" spans="1:18" s="162" customFormat="1" ht="21" customHeight="1" x14ac:dyDescent="0.15">
      <c r="A55" s="161" t="str">
        <f t="shared" ref="A55:A64" si="8">B55&amp;"_"&amp;C55</f>
        <v>50003011_50003058</v>
      </c>
      <c r="B55" s="90">
        <v>50003011</v>
      </c>
      <c r="C55" s="90">
        <v>50003058</v>
      </c>
      <c r="D55" s="172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さて、ここからだ！</v>
      </c>
      <c r="E55" s="172" t="str">
        <f ca="1">VLOOKUP($C55,OFFSET(enemy_skills!$A$1,0,0,COUNTA(enemy_skills!$A:$A),MATCH(E$1,enemy_skills!$1:$1,0)-MATCH("enemy_skill_id",enemy_skills!$1:$1,0)+1),MATCH(E$1,enemy_skills!$1:$1,0)-MATCH("enemy_skill_id",enemy_skills!$1:$1,0)+1,FALSE)</f>
        <v>状態異常無効＋Cパネルを縮小(効果最大)</v>
      </c>
      <c r="F55" s="173">
        <v>50003052</v>
      </c>
      <c r="G55" s="174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174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5" s="174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174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174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174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174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174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573</v>
      </c>
      <c r="O55" s="44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3"/>
      <c r="Q55" s="43"/>
      <c r="R55" s="43"/>
    </row>
    <row r="56" spans="1:18" s="162" customFormat="1" ht="21" customHeight="1" x14ac:dyDescent="0.15">
      <c r="A56" s="161" t="str">
        <f t="shared" si="8"/>
        <v>50003011_50003059</v>
      </c>
      <c r="B56" s="90">
        <v>50003011</v>
      </c>
      <c r="C56" s="90">
        <v>50003059</v>
      </c>
      <c r="D56" s="42" t="str">
        <f ca="1">VLOOKUP($C56,OFFSET(enemy_skills!$A$1,0,0,COUNTA(enemy_skills!$A:$A),MATCH(D$1,enemy_skills!$1:$1,0)-MATCH("enemy_skill_id",enemy_skills!$1:$1,0)+1),MATCH(D$1,enemy_skills!$1:$1,0)-MATCH("enemy_skill_id",enemy_skills!$1:$1,0)+1,FALSE)</f>
        <v>立て直す隙など与えぬ！</v>
      </c>
      <c r="E56" s="42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ハートパネル12個吸収攻撃</v>
      </c>
      <c r="F56" s="143">
        <v>50003053</v>
      </c>
      <c r="G56" s="44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4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6" s="44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4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4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4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4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6" s="44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4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3"/>
      <c r="Q56" s="43"/>
      <c r="R56" s="43"/>
    </row>
    <row r="57" spans="1:18" s="162" customFormat="1" ht="21" customHeight="1" x14ac:dyDescent="0.15">
      <c r="A57" s="161" t="str">
        <f t="shared" si="8"/>
        <v>50003011_50003060</v>
      </c>
      <c r="B57" s="90">
        <v>50003011</v>
      </c>
      <c r="C57" s="90">
        <v>50003060</v>
      </c>
      <c r="D57" s="42" t="str">
        <f ca="1">VLOOKUP($C57,OFFSET(enemy_skills!$A$1,0,0,COUNTA(enemy_skills!$A:$A),MATCH(D$1,enemy_skills!$1:$1,0)-MATCH("enemy_skill_id",enemy_skills!$1:$1,0)+1),MATCH(D$1,enemy_skills!$1:$1,0)-MATCH("enemy_skill_id",enemy_skills!$1:$1,0)+1,FALSE)</f>
        <v>誰にも邪魔はさせぬ！</v>
      </c>
      <c r="E57" s="42" t="str">
        <f ca="1">VLOOKUP($C57,OFFSET(enemy_skills!$A$1,0,0,COUNTA(enemy_skills!$A:$A),MATCH(E$1,enemy_skills!$1:$1,0)-MATCH("enemy_skill_id",enemy_skills!$1:$1,0)+1),MATCH(E$1,enemy_skills!$1:$1,0)-MATCH("enemy_skill_id",enemy_skills!$1:$1,0)+1,FALSE)</f>
        <v>種族ゴッドに大ダメージ！</v>
      </c>
      <c r="F57" s="143">
        <v>50003054</v>
      </c>
      <c r="G57" s="44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4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7" s="44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57" s="44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4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4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4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4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4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57" s="43"/>
      <c r="Q57" s="43"/>
      <c r="R57" s="43"/>
    </row>
    <row r="58" spans="1:18" s="162" customFormat="1" ht="21" customHeight="1" x14ac:dyDescent="0.15">
      <c r="A58" s="161" t="str">
        <f t="shared" ref="A58" si="9">B58&amp;"_"&amp;C58</f>
        <v>50003011_50003069</v>
      </c>
      <c r="B58" s="90">
        <v>50003011</v>
      </c>
      <c r="C58" s="90">
        <v>50003069</v>
      </c>
      <c r="D58" s="42" t="str">
        <f ca="1">VLOOKUP($C58,OFFSET(enemy_skills!$A$1,0,0,COUNTA(enemy_skills!$A:$A),MATCH(D$1,enemy_skills!$1:$1,0)-MATCH("enemy_skill_id",enemy_skills!$1:$1,0)+1),MATCH(D$1,enemy_skills!$1:$1,0)-MATCH("enemy_skill_id",enemy_skills!$1:$1,0)+1,FALSE)</f>
        <v>負けるわけには…！</v>
      </c>
      <c r="E58" s="42" t="str">
        <f ca="1">VLOOKUP($C58,OFFSET(enemy_skills!$A$1,0,0,COUNTA(enemy_skills!$A:$A),MATCH(E$1,enemy_skills!$1:$1,0)-MATCH("enemy_skill_id",enemy_skills!$1:$1,0)+1),MATCH(E$1,enemy_skills!$1:$1,0)-MATCH("enemy_skill_id",enemy_skills!$1:$1,0)+1,FALSE)</f>
        <v>単体攻撃</v>
      </c>
      <c r="F58" s="143">
        <v>50003062</v>
      </c>
      <c r="G58" s="44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4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8" s="44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4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4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4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4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4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4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3"/>
      <c r="Q58" s="43"/>
      <c r="R58" s="43"/>
    </row>
    <row r="59" spans="1:18" s="162" customFormat="1" ht="21" customHeight="1" x14ac:dyDescent="0.15">
      <c r="A59" s="161" t="str">
        <f t="shared" si="8"/>
        <v>50003011_50003061</v>
      </c>
      <c r="B59" s="90">
        <v>50003011</v>
      </c>
      <c r="C59" s="90">
        <v>50003061</v>
      </c>
      <c r="D59" s="42" t="str">
        <f ca="1">VLOOKUP($C59,OFFSET(enemy_skills!$A$1,0,0,COUNTA(enemy_skills!$A:$A),MATCH(D$1,enemy_skills!$1:$1,0)-MATCH("enemy_skill_id",enemy_skills!$1:$1,0)+1),MATCH(D$1,enemy_skills!$1:$1,0)-MATCH("enemy_skill_id",enemy_skills!$1:$1,0)+1,FALSE)</f>
        <v>天下統一まで…あと一歩…！</v>
      </c>
      <c r="E59" s="42" t="str">
        <f ca="1">VLOOKUP($C59,OFFSET(enemy_skills!$A$1,0,0,COUNTA(enemy_skills!$A:$A),MATCH(E$1,enemy_skills!$1:$1,0)-MATCH("enemy_skill_id",enemy_skills!$1:$1,0)+1),MATCH(E$1,enemy_skills!$1:$1,0)-MATCH("enemy_skill_id",enemy_skills!$1:$1,0)+1,FALSE)</f>
        <v>次のターンに有利ステータスを全て解除！_x000D_＋次のターンに超強力な一撃！</v>
      </c>
      <c r="F59" s="96">
        <v>50003055</v>
      </c>
      <c r="G59" s="44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4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9" s="44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4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4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4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4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59" s="44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4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3"/>
      <c r="Q59" s="43"/>
      <c r="R59" s="43"/>
    </row>
    <row r="60" spans="1:18" s="162" customFormat="1" ht="21" customHeight="1" x14ac:dyDescent="0.15">
      <c r="A60" s="161" t="str">
        <f t="shared" si="8"/>
        <v>50003011_50003062</v>
      </c>
      <c r="B60" s="90">
        <v>50003011</v>
      </c>
      <c r="C60" s="90">
        <v>50003062</v>
      </c>
      <c r="D60" s="42" t="str">
        <f ca="1">VLOOKUP($C60,OFFSET(enemy_skills!$A$1,0,0,COUNTA(enemy_skills!$A:$A),MATCH(D$1,enemy_skills!$1:$1,0)-MATCH("enemy_skill_id",enemy_skills!$1:$1,0)+1),MATCH(D$1,enemy_skills!$1:$1,0)-MATCH("enemy_skill_id",enemy_skills!$1:$1,0)+1,FALSE)</f>
        <v>俺が…俺が頂点だ！！！</v>
      </c>
      <c r="E60" s="42" t="str">
        <f ca="1">VLOOKUP($C60,OFFSET(enemy_skills!$A$1,0,0,COUNTA(enemy_skills!$A:$A),MATCH(E$1,enemy_skills!$1:$1,0)-MATCH("enemy_skill_id",enemy_skills!$1:$1,0)+1),MATCH(E$1,enemy_skills!$1:$1,0)-MATCH("enemy_skill_id",enemy_skills!$1:$1,0)+1,FALSE)</f>
        <v>有利ステータスを全て解除！_x000D_＋超強力な一撃！</v>
      </c>
      <c r="F60" s="96">
        <v>50003056</v>
      </c>
      <c r="G60" s="44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4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0" s="44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4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4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4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4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60" s="44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4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3"/>
      <c r="Q60" s="43"/>
      <c r="R60" s="43"/>
    </row>
    <row r="61" spans="1:18" s="162" customFormat="1" ht="21" customHeight="1" x14ac:dyDescent="0.15">
      <c r="A61" s="161" t="str">
        <f t="shared" si="8"/>
        <v>50003011_50003063</v>
      </c>
      <c r="B61" s="90">
        <v>50003011</v>
      </c>
      <c r="C61" s="90">
        <v>50003063</v>
      </c>
      <c r="D61" s="42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まだ…足りないの…か…</v>
      </c>
      <c r="E61" s="42">
        <f ca="1">VLOOKUP($C61,OFFSET(enemy_skills!$A$1,0,0,COUNTA(enemy_skills!$A:$A),MATCH(E$1,enemy_skills!$1:$1,0)-MATCH("enemy_skill_id",enemy_skills!$1:$1,0)+1),MATCH(E$1,enemy_skills!$1:$1,0)-MATCH("enemy_skill_id",enemy_skills!$1:$1,0)+1,FALSE)</f>
        <v>0</v>
      </c>
      <c r="F61" s="96">
        <v>50003057</v>
      </c>
      <c r="G61" s="44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4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61" s="44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4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4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4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" s="44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4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1" s="44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3"/>
      <c r="Q61" s="43"/>
      <c r="R61" s="43"/>
    </row>
    <row r="62" spans="1:18" s="162" customFormat="1" ht="21" customHeight="1" x14ac:dyDescent="0.15">
      <c r="A62" s="161" t="str">
        <f t="shared" ref="A62:A63" si="10">B62&amp;"_"&amp;C62</f>
        <v>50003011_50003064</v>
      </c>
      <c r="B62" s="90">
        <v>50003011</v>
      </c>
      <c r="C62" s="90">
        <v>50003064</v>
      </c>
      <c r="D62" s="172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くっ…まさに最強のセキュリティだな…</v>
      </c>
      <c r="E62" s="172">
        <f ca="1">VLOOKUP($C62,OFFSET(enemy_skills!$A$1,0,0,COUNTA(enemy_skills!$A:$A),MATCH(E$1,enemy_skills!$1:$1,0)-MATCH("enemy_skill_id",enemy_skills!$1:$1,0)+1),MATCH(E$1,enemy_skills!$1:$1,0)-MATCH("enemy_skill_id",enemy_skills!$1:$1,0)+1,FALSE)</f>
        <v>0</v>
      </c>
      <c r="F62" s="173">
        <v>50003058</v>
      </c>
      <c r="G62" s="174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174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62" s="174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174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174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174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" s="174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174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573</v>
      </c>
      <c r="O62" s="44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3"/>
      <c r="Q62" s="43"/>
      <c r="R62" s="43"/>
    </row>
    <row r="63" spans="1:18" s="162" customFormat="1" ht="21" customHeight="1" x14ac:dyDescent="0.15">
      <c r="A63" s="161" t="str">
        <f t="shared" si="10"/>
        <v>50003011_50003064</v>
      </c>
      <c r="B63" s="90">
        <v>50003011</v>
      </c>
      <c r="C63" s="90">
        <v>50003064</v>
      </c>
      <c r="D63" s="172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くっ…まさに最強のセキュリティだな…</v>
      </c>
      <c r="E63" s="172">
        <f ca="1">VLOOKUP($C63,OFFSET(enemy_skills!$A$1,0,0,COUNTA(enemy_skills!$A:$A),MATCH(E$1,enemy_skills!$1:$1,0)-MATCH("enemy_skill_id",enemy_skills!$1:$1,0)+1),MATCH(E$1,enemy_skills!$1:$1,0)-MATCH("enemy_skill_id",enemy_skills!$1:$1,0)+1,FALSE)</f>
        <v>0</v>
      </c>
      <c r="F63" s="173">
        <v>50003158</v>
      </c>
      <c r="G63" s="174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174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63" s="174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174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174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174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3" s="174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174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574</v>
      </c>
      <c r="O63" s="44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3"/>
      <c r="Q63" s="43"/>
      <c r="R63" s="43"/>
    </row>
    <row r="64" spans="1:18" s="162" customFormat="1" ht="21" customHeight="1" x14ac:dyDescent="0.15">
      <c r="A64" s="161" t="str">
        <f t="shared" si="8"/>
        <v>50003011_50003064</v>
      </c>
      <c r="B64" s="90">
        <v>50003011</v>
      </c>
      <c r="C64" s="90">
        <v>50003064</v>
      </c>
      <c r="D64" s="172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くっ…まさに最強のセキュリティだな…</v>
      </c>
      <c r="E64" s="172">
        <f ca="1">VLOOKUP($C64,OFFSET(enemy_skills!$A$1,0,0,COUNTA(enemy_skills!$A:$A),MATCH(E$1,enemy_skills!$1:$1,0)-MATCH("enemy_skill_id",enemy_skills!$1:$1,0)+1),MATCH(E$1,enemy_skills!$1:$1,0)-MATCH("enemy_skill_id",enemy_skills!$1:$1,0)+1,FALSE)</f>
        <v>0</v>
      </c>
      <c r="F64" s="173">
        <v>50003258</v>
      </c>
      <c r="G64" s="174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174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64" s="174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174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174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174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4" s="174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174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801</v>
      </c>
      <c r="O64" s="44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3"/>
      <c r="Q64" s="43"/>
      <c r="R64" s="43"/>
    </row>
    <row r="65" spans="1:18" s="162" customFormat="1" ht="21" customHeight="1" x14ac:dyDescent="0.15">
      <c r="A65" s="161" t="str">
        <f t="shared" ref="A65" si="11">B65&amp;"_"&amp;C65</f>
        <v>50003011_50003064</v>
      </c>
      <c r="B65" s="90">
        <v>50003011</v>
      </c>
      <c r="C65" s="90">
        <v>50003064</v>
      </c>
      <c r="D65" s="172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くっ…まさに最強のセキュリティだな…</v>
      </c>
      <c r="E65" s="172">
        <f ca="1">VLOOKUP($C65,OFFSET(enemy_skills!$A$1,0,0,COUNTA(enemy_skills!$A:$A),MATCH(E$1,enemy_skills!$1:$1,0)-MATCH("enemy_skill_id",enemy_skills!$1:$1,0)+1),MATCH(E$1,enemy_skills!$1:$1,0)-MATCH("enemy_skill_id",enemy_skills!$1:$1,0)+1,FALSE)</f>
        <v>0</v>
      </c>
      <c r="F65" s="173">
        <v>50003358</v>
      </c>
      <c r="G65" s="174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174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65" s="174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174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174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174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5" s="174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174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1180</v>
      </c>
      <c r="O65" s="44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3"/>
      <c r="Q65" s="43"/>
      <c r="R65" s="43"/>
    </row>
    <row r="66" spans="1:18" s="162" customFormat="1" ht="21" customHeight="1" x14ac:dyDescent="0.15">
      <c r="A66" s="161" t="str">
        <f t="shared" ref="A66:A67" si="12">B66&amp;"_"&amp;C66</f>
        <v>50003011_50003065</v>
      </c>
      <c r="B66" s="90">
        <v>50003011</v>
      </c>
      <c r="C66" s="90">
        <v>50003065</v>
      </c>
      <c r="D66" s="42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お前、なぜ倒れない…！</v>
      </c>
      <c r="E66" s="42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66" s="96">
        <v>50003059</v>
      </c>
      <c r="G66" s="44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4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6" s="44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4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4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4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4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66" s="44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4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3"/>
      <c r="Q66" s="43"/>
      <c r="R66" s="43"/>
    </row>
    <row r="67" spans="1:18" s="165" customFormat="1" ht="21" customHeight="1" thickBot="1" x14ac:dyDescent="0.2">
      <c r="A67" s="163" t="str">
        <f t="shared" si="12"/>
        <v>50003011_50003067</v>
      </c>
      <c r="B67" s="140">
        <v>50003011</v>
      </c>
      <c r="C67" s="140">
        <v>50003067</v>
      </c>
      <c r="D67" s="164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ここで俺が倒さねば…！</v>
      </c>
      <c r="E67" s="164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クリティカル＋攻撃力UP</v>
      </c>
      <c r="F67" s="140">
        <v>50003060</v>
      </c>
      <c r="G67" s="137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137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7" s="137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137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137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137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137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67" s="137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137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132"/>
      <c r="Q67" s="132"/>
      <c r="R67" s="132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63"/>
  <sheetViews>
    <sheetView showGridLines="0" zoomScale="125" zoomScaleNormal="125" zoomScalePageLayoutView="125" workbookViewId="0">
      <pane ySplit="1" topLeftCell="A38" activePane="bottomLeft" state="frozenSplit"/>
      <selection pane="bottomLeft" activeCell="F37" sqref="F37"/>
    </sheetView>
  </sheetViews>
  <sheetFormatPr baseColWidth="12" defaultColWidth="12.83203125" defaultRowHeight="21" customHeight="1" outlineLevelCol="1" x14ac:dyDescent="0.15"/>
  <cols>
    <col min="1" max="1" width="12.83203125" style="45"/>
    <col min="2" max="2" width="67.1640625" style="45" customWidth="1"/>
    <col min="3" max="4" width="12.83203125" style="45"/>
    <col min="5" max="5" width="23.6640625" style="45" bestFit="1" customWidth="1"/>
    <col min="6" max="6" width="44.1640625" style="45" bestFit="1" customWidth="1"/>
    <col min="7" max="7" width="52" style="45" hidden="1" customWidth="1" outlineLevel="1"/>
    <col min="8" max="8" width="18.33203125" style="45" hidden="1" customWidth="1" outlineLevel="1"/>
    <col min="9" max="11" width="18.6640625" style="45" hidden="1" customWidth="1" outlineLevel="1"/>
    <col min="12" max="12" width="23.6640625" style="45" customWidth="1" collapsed="1"/>
    <col min="13" max="18" width="23.6640625" style="45" hidden="1" customWidth="1" outlineLevel="1"/>
    <col min="19" max="19" width="23.6640625" style="45" customWidth="1" collapsed="1"/>
    <col min="20" max="24" width="23.6640625" style="45" hidden="1" customWidth="1" outlineLevel="1"/>
    <col min="25" max="25" width="23.6640625" style="45" customWidth="1" collapsed="1"/>
    <col min="26" max="27" width="12.83203125" style="45"/>
    <col min="28" max="28" width="44.5" style="45" customWidth="1"/>
    <col min="29" max="16384" width="12.83203125" style="45"/>
  </cols>
  <sheetData>
    <row r="1" spans="1:28" ht="21" customHeight="1" thickBot="1" x14ac:dyDescent="0.2">
      <c r="A1" s="92" t="s">
        <v>79</v>
      </c>
      <c r="B1" s="92" t="s">
        <v>80</v>
      </c>
      <c r="C1" s="92" t="s">
        <v>81</v>
      </c>
      <c r="D1" s="92" t="s">
        <v>125</v>
      </c>
      <c r="E1" s="92" t="s">
        <v>82</v>
      </c>
      <c r="F1" s="92" t="s">
        <v>83</v>
      </c>
      <c r="G1" s="93" t="s">
        <v>131</v>
      </c>
      <c r="H1" s="93" t="s">
        <v>137</v>
      </c>
      <c r="I1" s="93" t="s">
        <v>139</v>
      </c>
      <c r="J1" s="93" t="s">
        <v>138</v>
      </c>
      <c r="K1" s="93" t="s">
        <v>140</v>
      </c>
      <c r="L1" s="93" t="s">
        <v>132</v>
      </c>
      <c r="M1" s="93" t="s">
        <v>130</v>
      </c>
      <c r="N1" s="93" t="s">
        <v>133</v>
      </c>
      <c r="O1" s="93" t="s">
        <v>141</v>
      </c>
      <c r="P1" s="93" t="s">
        <v>142</v>
      </c>
      <c r="Q1" s="93" t="s">
        <v>143</v>
      </c>
      <c r="R1" s="93" t="s">
        <v>144</v>
      </c>
      <c r="S1" s="93" t="s">
        <v>134</v>
      </c>
      <c r="T1" s="93" t="s">
        <v>135</v>
      </c>
      <c r="U1" s="93" t="s">
        <v>145</v>
      </c>
      <c r="V1" s="93" t="s">
        <v>146</v>
      </c>
      <c r="W1" s="93" t="s">
        <v>147</v>
      </c>
      <c r="X1" s="93" t="s">
        <v>148</v>
      </c>
      <c r="Y1" s="93" t="s">
        <v>136</v>
      </c>
      <c r="Z1" s="93" t="s">
        <v>76</v>
      </c>
      <c r="AA1" s="93" t="s">
        <v>77</v>
      </c>
      <c r="AB1" s="93" t="s">
        <v>78</v>
      </c>
    </row>
    <row r="2" spans="1:28" s="128" customFormat="1" ht="21" customHeight="1" x14ac:dyDescent="0.15">
      <c r="A2" s="121">
        <v>50003000</v>
      </c>
      <c r="B2" s="122" t="s">
        <v>243</v>
      </c>
      <c r="C2" s="123">
        <v>3</v>
      </c>
      <c r="D2" s="123" t="s">
        <v>126</v>
      </c>
      <c r="E2" s="124" t="s">
        <v>295</v>
      </c>
      <c r="F2" s="124" t="s">
        <v>294</v>
      </c>
      <c r="G2" s="125" t="str">
        <f>IFERROR(LEFT(B2,FIND("],",B2)),B2)</f>
        <v>[effect:fix_speed, target:enemy_blue, turn:1]</v>
      </c>
      <c r="H2" s="125">
        <f>FIND("effect:",G2)+7</f>
        <v>9</v>
      </c>
      <c r="I2" s="125">
        <f>IFERROR(FIND(",",G2),LEN(G2))</f>
        <v>18</v>
      </c>
      <c r="J2" s="125">
        <f>FIND("target:",G2)+7</f>
        <v>27</v>
      </c>
      <c r="K2" s="125">
        <f>FIND(",",G2,I2+1)</f>
        <v>37</v>
      </c>
      <c r="L2" s="125" t="str">
        <f>IFERROR(VLOOKUP(MID(G2,J2,K2-J2),[6]skilldef!$C:$D,2,FALSE),"-") &amp; " / " &amp; IFERROR(VLOOKUP(MID(G2,H2,I2-H2),[6]skilldef!$A:$B,2,FALSE),"-")</f>
        <v>青の敵に / 行動値設定</v>
      </c>
      <c r="M2" s="125" t="str">
        <f>IFERROR(RIGHT(B2,LEN(B2)-FIND("],",B2)-1),"none")</f>
        <v>[effect:fix_speed, target:enemy_green, turn:2]</v>
      </c>
      <c r="N2" s="126" t="str">
        <f>IFERROR(LEFT(M2,FIND("],",M2)+S13),M2)</f>
        <v>[effect:fix_speed, target:enemy_green, turn:2]</v>
      </c>
      <c r="O2" s="125">
        <f>FIND("effect:",N2)+7</f>
        <v>9</v>
      </c>
      <c r="P2" s="125">
        <f>IFERROR(FIND(",",N2),LEN(N2))</f>
        <v>18</v>
      </c>
      <c r="Q2" s="125">
        <f>FIND("target:",N2)+7</f>
        <v>27</v>
      </c>
      <c r="R2" s="125">
        <f>FIND(",",N2,P2+1)</f>
        <v>38</v>
      </c>
      <c r="S2" s="125" t="str">
        <f>IFERROR(VLOOKUP(MID(N2,Q2,R2-Q2),[6]skilldef!$C:$D,2,FALSE),"-") &amp; " / " &amp; IFERROR(VLOOKUP(MID(N2,O2,P2-O2),[6]skilldef!$A:$B,2,FALSE),"-")</f>
        <v>緑の敵に / 行動値設定</v>
      </c>
      <c r="T2" s="126" t="str">
        <f>IFERROR(RIGHT(M2,LEN(M2)-FIND("],",M2)-1),"none")</f>
        <v>none</v>
      </c>
      <c r="U2" s="125" t="e">
        <f>FIND("effect:",T2)+7</f>
        <v>#VALUE!</v>
      </c>
      <c r="V2" s="125">
        <f>IFERROR(FIND(",",T2),LEN(T2))</f>
        <v>4</v>
      </c>
      <c r="W2" s="125" t="e">
        <f>FIND("target:",T2)+7</f>
        <v>#VALUE!</v>
      </c>
      <c r="X2" s="125" t="e">
        <f>FIND(",",T2,V2+1)</f>
        <v>#VALUE!</v>
      </c>
      <c r="Y2" s="125" t="str">
        <f>IFERROR(VLOOKUP(MID(T2,W2,X2-W2),[6]skilldef!$C:$D,2,FALSE),"-") &amp; " / " &amp; IFERROR(VLOOKUP(MID(T2,U2,V2-U2),[6]skilldef!$A:$B,2,FALSE),"-")</f>
        <v>- / -</v>
      </c>
      <c r="Z2" s="123"/>
      <c r="AA2" s="127"/>
      <c r="AB2" s="123"/>
    </row>
    <row r="3" spans="1:28" s="130" customFormat="1" ht="21" customHeight="1" x14ac:dyDescent="0.15">
      <c r="A3" s="129">
        <v>50003001</v>
      </c>
      <c r="B3" s="43" t="s">
        <v>241</v>
      </c>
      <c r="C3" s="46">
        <v>3</v>
      </c>
      <c r="D3" s="46" t="s">
        <v>126</v>
      </c>
      <c r="E3" s="47" t="s">
        <v>214</v>
      </c>
      <c r="F3" s="47" t="s">
        <v>278</v>
      </c>
      <c r="G3" s="58" t="str">
        <f>IFERROR(LEFT(B3,FIND("],",B3)),B3)</f>
        <v>[effect:damage_anti_color, target:unit_all, color:red, val1:0.5, val2:0.25]</v>
      </c>
      <c r="H3" s="58">
        <f>FIND("effect:",G3)+7</f>
        <v>9</v>
      </c>
      <c r="I3" s="58">
        <f>IFERROR(FIND(",",G3),LEN(G3))</f>
        <v>26</v>
      </c>
      <c r="J3" s="58">
        <f>FIND("target:",G3)+7</f>
        <v>35</v>
      </c>
      <c r="K3" s="58">
        <f>FIND(",",G3,I3+1)</f>
        <v>43</v>
      </c>
      <c r="L3" s="58" t="str">
        <f>IFERROR(VLOOKUP(MID(G3,J3,K3-J3),[6]skilldef!$C:$D,2,FALSE),"-") &amp; " / " &amp; IFERROR(VLOOKUP(MID(G3,H3,I3-H3),[6]skilldef!$A:$B,2,FALSE),"-")</f>
        <v>味方全体に / 属性キラー</v>
      </c>
      <c r="M3" s="58" t="str">
        <f>IFERROR(RIGHT(B3,LEN(B3)-FIND("],",B3)-1),"none")</f>
        <v>none</v>
      </c>
      <c r="N3" s="44" t="str">
        <f>IFERROR(LEFT(M3,FIND("],",M3)+S14),M3)</f>
        <v>none</v>
      </c>
      <c r="O3" s="58" t="e">
        <f>FIND("effect:",N3)+7</f>
        <v>#VALUE!</v>
      </c>
      <c r="P3" s="58">
        <f>IFERROR(FIND(",",N3),LEN(N3))</f>
        <v>4</v>
      </c>
      <c r="Q3" s="58" t="e">
        <f>FIND("target:",N3)+7</f>
        <v>#VALUE!</v>
      </c>
      <c r="R3" s="58" t="e">
        <f>FIND(",",N3,P3+1)</f>
        <v>#VALUE!</v>
      </c>
      <c r="S3" s="58" t="str">
        <f>IFERROR(VLOOKUP(MID(N3,Q3,R3-Q3),[6]skilldef!$C:$D,2,FALSE),"-") &amp; " / " &amp; IFERROR(VLOOKUP(MID(N3,O3,P3-O3),[6]skilldef!$A:$B,2,FALSE),"-")</f>
        <v>- / -</v>
      </c>
      <c r="T3" s="44" t="str">
        <f>IFERROR(RIGHT(M3,LEN(M3)-FIND("],",M3)-1),"none")</f>
        <v>none</v>
      </c>
      <c r="U3" s="58" t="e">
        <f>FIND("effect:",T3)+7</f>
        <v>#VALUE!</v>
      </c>
      <c r="V3" s="58">
        <f>IFERROR(FIND(",",T3),LEN(T3))</f>
        <v>4</v>
      </c>
      <c r="W3" s="58" t="e">
        <f>FIND("target:",T3)+7</f>
        <v>#VALUE!</v>
      </c>
      <c r="X3" s="58" t="e">
        <f>FIND(",",T3,V3+1)</f>
        <v>#VALUE!</v>
      </c>
      <c r="Y3" s="58" t="str">
        <f>IFERROR(VLOOKUP(MID(T3,W3,X3-W3),[6]skilldef!$C:$D,2,FALSE),"-") &amp; " / " &amp; IFERROR(VLOOKUP(MID(T3,U3,V3-U3),[6]skilldef!$A:$B,2,FALSE),"-")</f>
        <v>- / -</v>
      </c>
      <c r="Z3" s="46"/>
      <c r="AA3" s="48"/>
      <c r="AB3" s="46"/>
    </row>
    <row r="4" spans="1:28" s="130" customFormat="1" ht="21" customHeight="1" x14ac:dyDescent="0.15">
      <c r="A4" s="129">
        <v>50003002</v>
      </c>
      <c r="B4" s="43" t="s">
        <v>240</v>
      </c>
      <c r="C4" s="46">
        <v>3</v>
      </c>
      <c r="D4" s="46" t="s">
        <v>126</v>
      </c>
      <c r="E4" s="47" t="s">
        <v>219</v>
      </c>
      <c r="F4" s="47" t="s">
        <v>354</v>
      </c>
      <c r="G4" s="58" t="str">
        <f t="shared" ref="G4:G33" si="0">IFERROR(LEFT(B4,FIND("],",B4)),B4)</f>
        <v>[effect:break_attack_fix, val:250, lowest_val:500, count:6, block:block_yellow, target:unit_all]</v>
      </c>
      <c r="H4" s="58">
        <f t="shared" ref="H4:H44" si="1">FIND("effect:",G4)+7</f>
        <v>9</v>
      </c>
      <c r="I4" s="58">
        <f t="shared" ref="I4:I33" si="2">IFERROR(FIND(",",G4),LEN(G4))</f>
        <v>25</v>
      </c>
      <c r="J4" s="58">
        <f t="shared" ref="J4:J33" si="3">FIND("target:",G4)+7</f>
        <v>88</v>
      </c>
      <c r="K4" s="58">
        <f t="shared" ref="K4:K33" si="4">FIND(",",G4,I4+1)</f>
        <v>34</v>
      </c>
      <c r="L4" s="58" t="str">
        <f>IFERROR(VLOOKUP(MID(G4,J4,K4-J4),[6]skilldef!$C:$D,2,FALSE),"-") &amp; " / " &amp; IFERROR(VLOOKUP(MID(G4,H4,I4-H4),[6]skilldef!$A:$B,2,FALSE),"-")</f>
        <v>- / -</v>
      </c>
      <c r="M4" s="58" t="str">
        <f t="shared" ref="M4:M5" si="5">IFERROR(RIGHT(B4,LEN(B4)-FIND("],",B4)-1),"none")</f>
        <v>none</v>
      </c>
      <c r="N4" s="44" t="str">
        <f t="shared" ref="N4:N16" si="6">IFERROR(LEFT(M4,FIND("],",M4)+S19),M4)</f>
        <v>none</v>
      </c>
      <c r="O4" s="58" t="e">
        <f t="shared" ref="O4:O44" si="7">FIND("effect:",N4)+7</f>
        <v>#VALUE!</v>
      </c>
      <c r="P4" s="58">
        <f t="shared" ref="P4:P5" si="8">IFERROR(FIND(",",N4),LEN(N4))</f>
        <v>4</v>
      </c>
      <c r="Q4" s="58" t="e">
        <f t="shared" ref="Q4:Q5" si="9">FIND("target:",N4)+7</f>
        <v>#VALUE!</v>
      </c>
      <c r="R4" s="58" t="e">
        <f t="shared" ref="R4:R5" si="10">FIND(",",N4,P4+1)</f>
        <v>#VALUE!</v>
      </c>
      <c r="S4" s="58" t="str">
        <f>IFERROR(VLOOKUP(MID(N4,Q4,R4-Q4),[6]skilldef!$C:$D,2,FALSE),"-") &amp; " / " &amp; IFERROR(VLOOKUP(MID(N4,O4,P4-O4),[6]skilldef!$A:$B,2,FALSE),"-")</f>
        <v>- / -</v>
      </c>
      <c r="T4" s="44" t="str">
        <f t="shared" ref="T4:T5" si="11">IFERROR(RIGHT(M4,LEN(M4)-FIND("],",M4)-1),"none")</f>
        <v>none</v>
      </c>
      <c r="U4" s="58" t="e">
        <f t="shared" ref="U4:U44" si="12">FIND("effect:",T4)+7</f>
        <v>#VALUE!</v>
      </c>
      <c r="V4" s="58">
        <f t="shared" ref="V4:V5" si="13">IFERROR(FIND(",",T4),LEN(T4))</f>
        <v>4</v>
      </c>
      <c r="W4" s="58" t="e">
        <f t="shared" ref="W4:W5" si="14">FIND("target:",T4)+7</f>
        <v>#VALUE!</v>
      </c>
      <c r="X4" s="58" t="e">
        <f t="shared" ref="X4:X5" si="15">FIND(",",T4,V4+1)</f>
        <v>#VALUE!</v>
      </c>
      <c r="Y4" s="58" t="str">
        <f>IFERROR(VLOOKUP(MID(T4,W4,X4-W4),[6]skilldef!$C:$D,2,FALSE),"-") &amp; " / " &amp; IFERROR(VLOOKUP(MID(T4,U4,V4-U4),[6]skilldef!$A:$B,2,FALSE),"-")</f>
        <v>- / -</v>
      </c>
      <c r="Z4" s="46"/>
      <c r="AA4" s="48"/>
      <c r="AB4" s="46"/>
    </row>
    <row r="5" spans="1:28" s="130" customFormat="1" ht="21" customHeight="1" x14ac:dyDescent="0.15">
      <c r="A5" s="129">
        <v>50003003</v>
      </c>
      <c r="B5" s="43" t="s">
        <v>246</v>
      </c>
      <c r="C5" s="46">
        <v>3</v>
      </c>
      <c r="D5" s="46" t="s">
        <v>126</v>
      </c>
      <c r="E5" s="47" t="s">
        <v>217</v>
      </c>
      <c r="F5" s="47" t="s">
        <v>215</v>
      </c>
      <c r="G5" s="58" t="str">
        <f t="shared" si="0"/>
        <v>[effect:critical, val:2.5]</v>
      </c>
      <c r="H5" s="58">
        <f t="shared" si="1"/>
        <v>9</v>
      </c>
      <c r="I5" s="58">
        <f t="shared" si="2"/>
        <v>17</v>
      </c>
      <c r="J5" s="58" t="e">
        <f t="shared" si="3"/>
        <v>#VALUE!</v>
      </c>
      <c r="K5" s="58" t="e">
        <f t="shared" si="4"/>
        <v>#VALUE!</v>
      </c>
      <c r="L5" s="58" t="str">
        <f>IFERROR(VLOOKUP(MID(G5,J5,K5-J5),[6]skilldef!$C:$D,2,FALSE),"-") &amp; " / " &amp; IFERROR(VLOOKUP(MID(G5,H5,I5-H5),[6]skilldef!$A:$B,2,FALSE),"-")</f>
        <v>- / 大攻撃</v>
      </c>
      <c r="M5" s="58" t="str">
        <f t="shared" si="5"/>
        <v>none</v>
      </c>
      <c r="N5" s="44" t="str">
        <f t="shared" si="6"/>
        <v>none</v>
      </c>
      <c r="O5" s="58" t="e">
        <f t="shared" si="7"/>
        <v>#VALUE!</v>
      </c>
      <c r="P5" s="58">
        <f t="shared" si="8"/>
        <v>4</v>
      </c>
      <c r="Q5" s="58" t="e">
        <f t="shared" si="9"/>
        <v>#VALUE!</v>
      </c>
      <c r="R5" s="58" t="e">
        <f t="shared" si="10"/>
        <v>#VALUE!</v>
      </c>
      <c r="S5" s="58" t="str">
        <f>IFERROR(VLOOKUP(MID(N5,Q5,R5-Q5),[6]skilldef!$C:$D,2,FALSE),"-") &amp; " / " &amp; IFERROR(VLOOKUP(MID(N5,O5,P5-O5),[6]skilldef!$A:$B,2,FALSE),"-")</f>
        <v>- / -</v>
      </c>
      <c r="T5" s="44" t="str">
        <f t="shared" si="11"/>
        <v>none</v>
      </c>
      <c r="U5" s="58" t="e">
        <f t="shared" si="12"/>
        <v>#VALUE!</v>
      </c>
      <c r="V5" s="58">
        <f t="shared" si="13"/>
        <v>4</v>
      </c>
      <c r="W5" s="58" t="e">
        <f t="shared" si="14"/>
        <v>#VALUE!</v>
      </c>
      <c r="X5" s="58" t="e">
        <f t="shared" si="15"/>
        <v>#VALUE!</v>
      </c>
      <c r="Y5" s="58" t="str">
        <f>IFERROR(VLOOKUP(MID(T5,W5,X5-W5),[6]skilldef!$C:$D,2,FALSE),"-") &amp; " / " &amp; IFERROR(VLOOKUP(MID(T5,U5,V5-U5),[6]skilldef!$A:$B,2,FALSE),"-")</f>
        <v>- / -</v>
      </c>
      <c r="Z5" s="46"/>
      <c r="AA5" s="48"/>
      <c r="AB5" s="46"/>
    </row>
    <row r="6" spans="1:28" s="130" customFormat="1" ht="21" customHeight="1" x14ac:dyDescent="0.15">
      <c r="A6" s="129">
        <v>50003004</v>
      </c>
      <c r="B6" s="43" t="s">
        <v>234</v>
      </c>
      <c r="C6" s="46">
        <v>3</v>
      </c>
      <c r="D6" s="46" t="s">
        <v>126</v>
      </c>
      <c r="E6" s="47" t="s">
        <v>231</v>
      </c>
      <c r="F6" s="114" t="s">
        <v>232</v>
      </c>
      <c r="G6" s="58" t="str">
        <f t="shared" si="0"/>
        <v>[effect:enemy_message, val1:1.2, val2:0, dead_type:suicide]</v>
      </c>
      <c r="H6" s="58">
        <f t="shared" si="1"/>
        <v>9</v>
      </c>
      <c r="I6" s="58">
        <f t="shared" si="2"/>
        <v>22</v>
      </c>
      <c r="J6" s="58" t="e">
        <f t="shared" si="3"/>
        <v>#VALUE!</v>
      </c>
      <c r="K6" s="58">
        <f t="shared" si="4"/>
        <v>32</v>
      </c>
      <c r="L6" s="58" t="str">
        <f>IFERROR(VLOOKUP(MID(G6,J6,K6-J6),[6]skilldef!$C:$D,2,FALSE),"-") &amp; " / " &amp; IFERROR(VLOOKUP(MID(G6,H6,I6-H6),[6]skilldef!$A:$B,2,FALSE),"-")</f>
        <v>- / -</v>
      </c>
      <c r="M6" s="58" t="str">
        <f t="shared" ref="M6:M38" si="16">IFERROR(RIGHT(B6,LEN(B6)-FIND("],",B6)-1),"none")</f>
        <v>none</v>
      </c>
      <c r="N6" s="44" t="str">
        <f t="shared" si="6"/>
        <v>none</v>
      </c>
      <c r="O6" s="58" t="e">
        <f t="shared" ref="O6:O38" si="17">FIND("effect:",N6)+7</f>
        <v>#VALUE!</v>
      </c>
      <c r="P6" s="58">
        <f t="shared" ref="P6:P38" si="18">IFERROR(FIND(",",N6),LEN(N6))</f>
        <v>4</v>
      </c>
      <c r="Q6" s="58" t="e">
        <f t="shared" ref="Q6:Q38" si="19">FIND("target:",N6)+7</f>
        <v>#VALUE!</v>
      </c>
      <c r="R6" s="58" t="e">
        <f t="shared" ref="R6:R38" si="20">FIND(",",N6,P6+1)</f>
        <v>#VALUE!</v>
      </c>
      <c r="S6" s="58" t="str">
        <f>IFERROR(VLOOKUP(MID(N6,Q6,R6-Q6),[6]skilldef!$C:$D,2,FALSE),"-") &amp; " / " &amp; IFERROR(VLOOKUP(MID(N6,O6,P6-O6),[6]skilldef!$A:$B,2,FALSE),"-")</f>
        <v>- / -</v>
      </c>
      <c r="T6" s="44" t="str">
        <f t="shared" ref="T6:T38" si="21">IFERROR(RIGHT(M6,LEN(M6)-FIND("],",M6)-1),"none")</f>
        <v>none</v>
      </c>
      <c r="U6" s="58" t="e">
        <f t="shared" ref="U6:U38" si="22">FIND("effect:",T6)+7</f>
        <v>#VALUE!</v>
      </c>
      <c r="V6" s="58">
        <f t="shared" ref="V6:V38" si="23">IFERROR(FIND(",",T6),LEN(T6))</f>
        <v>4</v>
      </c>
      <c r="W6" s="58" t="e">
        <f t="shared" ref="W6:W38" si="24">FIND("target:",T6)+7</f>
        <v>#VALUE!</v>
      </c>
      <c r="X6" s="58" t="e">
        <f t="shared" ref="X6:X38" si="25">FIND(",",T6,V6+1)</f>
        <v>#VALUE!</v>
      </c>
      <c r="Y6" s="58" t="str">
        <f>IFERROR(VLOOKUP(MID(T6,W6,X6-W6),[6]skilldef!$C:$D,2,FALSE),"-") &amp; " / " &amp; IFERROR(VLOOKUP(MID(T6,U6,V6-U6),[6]skilldef!$A:$B,2,FALSE),"-")</f>
        <v>- / -</v>
      </c>
      <c r="Z6" s="46"/>
      <c r="AA6" s="48"/>
      <c r="AB6" s="46"/>
    </row>
    <row r="7" spans="1:28" s="139" customFormat="1" ht="21" customHeight="1" thickBot="1" x14ac:dyDescent="0.2">
      <c r="A7" s="131">
        <v>50003005</v>
      </c>
      <c r="B7" s="132" t="s">
        <v>221</v>
      </c>
      <c r="C7" s="133">
        <v>3</v>
      </c>
      <c r="D7" s="133" t="s">
        <v>126</v>
      </c>
      <c r="E7" s="134" t="s">
        <v>218</v>
      </c>
      <c r="F7" s="134" t="s">
        <v>216</v>
      </c>
      <c r="G7" s="136" t="str">
        <f t="shared" ref="G7" si="26">IFERROR(LEFT(B7,FIND("],",B7)),B7)</f>
        <v xml:space="preserve">[effect:heal, target:enemy_all, val:0.1, animation:enemy_heal]    </v>
      </c>
      <c r="H7" s="136">
        <f t="shared" ref="H7" si="27">FIND("effect:",G7)+7</f>
        <v>9</v>
      </c>
      <c r="I7" s="136">
        <f t="shared" ref="I7" si="28">IFERROR(FIND(",",G7),LEN(G7))</f>
        <v>13</v>
      </c>
      <c r="J7" s="136">
        <f t="shared" ref="J7" si="29">FIND("target:",G7)+7</f>
        <v>22</v>
      </c>
      <c r="K7" s="136">
        <f t="shared" ref="K7" si="30">FIND(",",G7,I7+1)</f>
        <v>31</v>
      </c>
      <c r="L7" s="136" t="str">
        <f>IFERROR(VLOOKUP(MID(G7,J7,K7-J7),[6]skilldef!$C:$D,2,FALSE),"-") &amp; " / " &amp; IFERROR(VLOOKUP(MID(G7,H7,I7-H7),[6]skilldef!$A:$B,2,FALSE),"-")</f>
        <v>敵全体に / 回復</v>
      </c>
      <c r="M7" s="136" t="str">
        <f t="shared" si="16"/>
        <v>none</v>
      </c>
      <c r="N7" s="137" t="str">
        <f t="shared" si="6"/>
        <v>none</v>
      </c>
      <c r="O7" s="136" t="e">
        <f t="shared" si="17"/>
        <v>#VALUE!</v>
      </c>
      <c r="P7" s="136">
        <f t="shared" si="18"/>
        <v>4</v>
      </c>
      <c r="Q7" s="136" t="e">
        <f t="shared" si="19"/>
        <v>#VALUE!</v>
      </c>
      <c r="R7" s="136" t="e">
        <f t="shared" si="20"/>
        <v>#VALUE!</v>
      </c>
      <c r="S7" s="136" t="str">
        <f>IFERROR(VLOOKUP(MID(N7,Q7,R7-Q7),[6]skilldef!$C:$D,2,FALSE),"-") &amp; " / " &amp; IFERROR(VLOOKUP(MID(N7,O7,P7-O7),[6]skilldef!$A:$B,2,FALSE),"-")</f>
        <v>- / -</v>
      </c>
      <c r="T7" s="137" t="str">
        <f t="shared" si="21"/>
        <v>none</v>
      </c>
      <c r="U7" s="136" t="e">
        <f t="shared" si="22"/>
        <v>#VALUE!</v>
      </c>
      <c r="V7" s="136">
        <f t="shared" si="23"/>
        <v>4</v>
      </c>
      <c r="W7" s="136" t="e">
        <f t="shared" si="24"/>
        <v>#VALUE!</v>
      </c>
      <c r="X7" s="136" t="e">
        <f t="shared" si="25"/>
        <v>#VALUE!</v>
      </c>
      <c r="Y7" s="136" t="str">
        <f>IFERROR(VLOOKUP(MID(T7,W7,X7-W7),[6]skilldef!$C:$D,2,FALSE),"-") &amp; " / " &amp; IFERROR(VLOOKUP(MID(T7,U7,V7-U7),[6]skilldef!$A:$B,2,FALSE),"-")</f>
        <v>- / -</v>
      </c>
      <c r="Z7" s="133"/>
      <c r="AA7" s="138"/>
      <c r="AB7" s="133"/>
    </row>
    <row r="8" spans="1:28" s="128" customFormat="1" ht="21" customHeight="1" x14ac:dyDescent="0.15">
      <c r="A8" s="121">
        <v>50003006</v>
      </c>
      <c r="B8" s="122" t="s">
        <v>255</v>
      </c>
      <c r="C8" s="123">
        <v>3</v>
      </c>
      <c r="D8" s="123" t="s">
        <v>126</v>
      </c>
      <c r="E8" s="124" t="s">
        <v>321</v>
      </c>
      <c r="F8" s="124" t="s">
        <v>280</v>
      </c>
      <c r="G8" s="125" t="str">
        <f t="shared" si="0"/>
        <v>[effect:damage_anti_tribe, target:unit_all, tribe:animal, val1:0.5, val2:0.37]</v>
      </c>
      <c r="H8" s="125">
        <f t="shared" si="1"/>
        <v>9</v>
      </c>
      <c r="I8" s="125">
        <f t="shared" si="2"/>
        <v>26</v>
      </c>
      <c r="J8" s="125">
        <f t="shared" si="3"/>
        <v>35</v>
      </c>
      <c r="K8" s="125">
        <f t="shared" si="4"/>
        <v>43</v>
      </c>
      <c r="L8" s="125" t="str">
        <f>IFERROR(VLOOKUP(MID(G8,J8,K8-J8),[6]skilldef!$C:$D,2,FALSE),"-") &amp; " / " &amp; IFERROR(VLOOKUP(MID(G8,H8,I8-H8),[6]skilldef!$A:$B,2,FALSE),"-")</f>
        <v>味方全体に / 種族キラー</v>
      </c>
      <c r="M8" s="125" t="str">
        <f t="shared" si="16"/>
        <v>none</v>
      </c>
      <c r="N8" s="126" t="str">
        <f t="shared" si="6"/>
        <v>none</v>
      </c>
      <c r="O8" s="125" t="e">
        <f t="shared" si="17"/>
        <v>#VALUE!</v>
      </c>
      <c r="P8" s="125">
        <f t="shared" si="18"/>
        <v>4</v>
      </c>
      <c r="Q8" s="125" t="e">
        <f t="shared" si="19"/>
        <v>#VALUE!</v>
      </c>
      <c r="R8" s="125" t="e">
        <f t="shared" si="20"/>
        <v>#VALUE!</v>
      </c>
      <c r="S8" s="125" t="str">
        <f>IFERROR(VLOOKUP(MID(N8,Q8,R8-Q8),[6]skilldef!$C:$D,2,FALSE),"-") &amp; " / " &amp; IFERROR(VLOOKUP(MID(N8,O8,P8-O8),[6]skilldef!$A:$B,2,FALSE),"-")</f>
        <v>- / -</v>
      </c>
      <c r="T8" s="126" t="str">
        <f t="shared" si="21"/>
        <v>none</v>
      </c>
      <c r="U8" s="125" t="e">
        <f t="shared" si="22"/>
        <v>#VALUE!</v>
      </c>
      <c r="V8" s="125">
        <f t="shared" si="23"/>
        <v>4</v>
      </c>
      <c r="W8" s="125" t="e">
        <f t="shared" si="24"/>
        <v>#VALUE!</v>
      </c>
      <c r="X8" s="125" t="e">
        <f t="shared" si="25"/>
        <v>#VALUE!</v>
      </c>
      <c r="Y8" s="125" t="str">
        <f>IFERROR(VLOOKUP(MID(T8,W8,X8-W8),[6]skilldef!$C:$D,2,FALSE),"-") &amp; " / " &amp; IFERROR(VLOOKUP(MID(T8,U8,V8-U8),[6]skilldef!$A:$B,2,FALSE),"-")</f>
        <v>- / -</v>
      </c>
      <c r="Z8" s="123"/>
      <c r="AA8" s="127"/>
      <c r="AB8" s="123"/>
    </row>
    <row r="9" spans="1:28" s="130" customFormat="1" ht="21" customHeight="1" x14ac:dyDescent="0.15">
      <c r="A9" s="129">
        <v>50003007</v>
      </c>
      <c r="B9" s="43" t="s">
        <v>249</v>
      </c>
      <c r="C9" s="46">
        <v>3</v>
      </c>
      <c r="D9" s="46" t="s">
        <v>126</v>
      </c>
      <c r="E9" s="47" t="s">
        <v>352</v>
      </c>
      <c r="F9" s="47" t="s">
        <v>284</v>
      </c>
      <c r="G9" s="58" t="str">
        <f t="shared" si="0"/>
        <v>[effect:rush, count:12, val:0.12]</v>
      </c>
      <c r="H9" s="58">
        <f t="shared" si="1"/>
        <v>9</v>
      </c>
      <c r="I9" s="58">
        <f t="shared" si="2"/>
        <v>13</v>
      </c>
      <c r="J9" s="58" t="e">
        <f t="shared" si="3"/>
        <v>#VALUE!</v>
      </c>
      <c r="K9" s="58">
        <f t="shared" si="4"/>
        <v>23</v>
      </c>
      <c r="L9" s="58" t="str">
        <f>IFERROR(VLOOKUP(MID(G9,J9,K9-J9),[6]skilldef!$C:$D,2,FALSE),"-") &amp; " / " &amp; IFERROR(VLOOKUP(MID(G9,H9,I9-H9),[6]skilldef!$A:$B,2,FALSE),"-")</f>
        <v>- / 連続攻撃</v>
      </c>
      <c r="M9" s="58" t="str">
        <f t="shared" si="16"/>
        <v>none</v>
      </c>
      <c r="N9" s="44" t="str">
        <f t="shared" si="6"/>
        <v>none</v>
      </c>
      <c r="O9" s="58" t="e">
        <f t="shared" si="17"/>
        <v>#VALUE!</v>
      </c>
      <c r="P9" s="58">
        <f t="shared" si="18"/>
        <v>4</v>
      </c>
      <c r="Q9" s="58" t="e">
        <f t="shared" si="19"/>
        <v>#VALUE!</v>
      </c>
      <c r="R9" s="58" t="e">
        <f t="shared" si="20"/>
        <v>#VALUE!</v>
      </c>
      <c r="S9" s="58" t="str">
        <f>IFERROR(VLOOKUP(MID(N9,Q9,R9-Q9),[6]skilldef!$C:$D,2,FALSE),"-") &amp; " / " &amp; IFERROR(VLOOKUP(MID(N9,O9,P9-O9),[6]skilldef!$A:$B,2,FALSE),"-")</f>
        <v>- / -</v>
      </c>
      <c r="T9" s="44" t="str">
        <f t="shared" si="21"/>
        <v>none</v>
      </c>
      <c r="U9" s="58" t="e">
        <f t="shared" si="22"/>
        <v>#VALUE!</v>
      </c>
      <c r="V9" s="58">
        <f t="shared" si="23"/>
        <v>4</v>
      </c>
      <c r="W9" s="58" t="e">
        <f t="shared" si="24"/>
        <v>#VALUE!</v>
      </c>
      <c r="X9" s="58" t="e">
        <f t="shared" si="25"/>
        <v>#VALUE!</v>
      </c>
      <c r="Y9" s="58" t="str">
        <f>IFERROR(VLOOKUP(MID(T9,W9,X9-W9),[6]skilldef!$C:$D,2,FALSE),"-") &amp; " / " &amp; IFERROR(VLOOKUP(MID(T9,U9,V9-U9),[6]skilldef!$A:$B,2,FALSE),"-")</f>
        <v>- / -</v>
      </c>
      <c r="Z9" s="46"/>
      <c r="AA9" s="48"/>
      <c r="AB9" s="46"/>
    </row>
    <row r="10" spans="1:28" s="130" customFormat="1" ht="21" customHeight="1" x14ac:dyDescent="0.15">
      <c r="A10" s="129">
        <v>50003008</v>
      </c>
      <c r="B10" s="43" t="s">
        <v>212</v>
      </c>
      <c r="C10" s="46">
        <v>3</v>
      </c>
      <c r="D10" s="46" t="s">
        <v>126</v>
      </c>
      <c r="E10" s="47" t="s">
        <v>238</v>
      </c>
      <c r="F10" s="47" t="s">
        <v>285</v>
      </c>
      <c r="G10" s="58" t="str">
        <f t="shared" si="0"/>
        <v>[effect:fix_speed, target:myself, turn:1]</v>
      </c>
      <c r="H10" s="58">
        <f t="shared" si="1"/>
        <v>9</v>
      </c>
      <c r="I10" s="58">
        <f t="shared" si="2"/>
        <v>18</v>
      </c>
      <c r="J10" s="58">
        <f t="shared" si="3"/>
        <v>27</v>
      </c>
      <c r="K10" s="58">
        <f t="shared" si="4"/>
        <v>33</v>
      </c>
      <c r="L10" s="58" t="str">
        <f>IFERROR(VLOOKUP(MID(G10,J10,K10-J10),[6]skilldef!$C:$D,2,FALSE),"-") &amp; " / " &amp; IFERROR(VLOOKUP(MID(G10,H10,I10-H10),[6]skilldef!$A:$B,2,FALSE),"-")</f>
        <v>自分自身に / 行動値設定</v>
      </c>
      <c r="M10" s="58" t="str">
        <f t="shared" si="16"/>
        <v>[effect:change_attribute, target:myself, color:green, turn:-1, animation:change_attribute_green]</v>
      </c>
      <c r="N10" s="44" t="str">
        <f t="shared" si="6"/>
        <v>[effect:change_attribute, target:myself, color:green, turn:-1, animation:change_attribute_green]</v>
      </c>
      <c r="O10" s="58">
        <f t="shared" si="17"/>
        <v>9</v>
      </c>
      <c r="P10" s="58">
        <f t="shared" si="18"/>
        <v>25</v>
      </c>
      <c r="Q10" s="58">
        <f t="shared" si="19"/>
        <v>34</v>
      </c>
      <c r="R10" s="58">
        <f t="shared" si="20"/>
        <v>40</v>
      </c>
      <c r="S10" s="58" t="str">
        <f>IFERROR(VLOOKUP(MID(N10,Q10,R10-Q10),[6]skilldef!$C:$D,2,FALSE),"-") &amp; " / " &amp; IFERROR(VLOOKUP(MID(N10,O10,P10-O10),[6]skilldef!$A:$B,2,FALSE),"-")</f>
        <v>自分自身に / -</v>
      </c>
      <c r="T10" s="44" t="str">
        <f t="shared" si="21"/>
        <v>none</v>
      </c>
      <c r="U10" s="58" t="e">
        <f t="shared" si="22"/>
        <v>#VALUE!</v>
      </c>
      <c r="V10" s="58">
        <f t="shared" si="23"/>
        <v>4</v>
      </c>
      <c r="W10" s="58" t="e">
        <f t="shared" si="24"/>
        <v>#VALUE!</v>
      </c>
      <c r="X10" s="58" t="e">
        <f t="shared" si="25"/>
        <v>#VALUE!</v>
      </c>
      <c r="Y10" s="58" t="str">
        <f>IFERROR(VLOOKUP(MID(T10,W10,X10-W10),[6]skilldef!$C:$D,2,FALSE),"-") &amp; " / " &amp; IFERROR(VLOOKUP(MID(T10,U10,V10-U10),[6]skilldef!$A:$B,2,FALSE),"-")</f>
        <v>- / -</v>
      </c>
      <c r="Z10" s="46"/>
      <c r="AA10" s="48"/>
      <c r="AB10" s="46"/>
    </row>
    <row r="11" spans="1:28" s="130" customFormat="1" ht="21" customHeight="1" x14ac:dyDescent="0.15">
      <c r="A11" s="129">
        <v>50003009</v>
      </c>
      <c r="B11" s="43" t="s">
        <v>223</v>
      </c>
      <c r="C11" s="46">
        <v>3</v>
      </c>
      <c r="D11" s="46" t="s">
        <v>126</v>
      </c>
      <c r="E11" s="47" t="s">
        <v>322</v>
      </c>
      <c r="F11" s="47" t="s">
        <v>286</v>
      </c>
      <c r="G11" s="58" t="str">
        <f t="shared" si="0"/>
        <v>[effect:change_panel_ratio, turn:8, block_type:blue, val:0.04, animation:block_incidence04]</v>
      </c>
      <c r="H11" s="58">
        <f t="shared" si="1"/>
        <v>9</v>
      </c>
      <c r="I11" s="58">
        <f t="shared" si="2"/>
        <v>27</v>
      </c>
      <c r="J11" s="58" t="e">
        <f t="shared" si="3"/>
        <v>#VALUE!</v>
      </c>
      <c r="K11" s="58">
        <f t="shared" si="4"/>
        <v>35</v>
      </c>
      <c r="L11" s="58" t="str">
        <f>IFERROR(VLOOKUP(MID(G11,J11,K11-J11),[6]skilldef!$C:$D,2,FALSE),"-") &amp; " / " &amp; IFERROR(VLOOKUP(MID(G11,H11,I11-H11),[6]skilldef!$A:$B,2,FALSE),"-")</f>
        <v>- / -</v>
      </c>
      <c r="M11" s="58" t="str">
        <f t="shared" si="16"/>
        <v>none</v>
      </c>
      <c r="N11" s="44" t="str">
        <f t="shared" si="6"/>
        <v>none</v>
      </c>
      <c r="O11" s="58" t="e">
        <f t="shared" si="17"/>
        <v>#VALUE!</v>
      </c>
      <c r="P11" s="58">
        <f t="shared" si="18"/>
        <v>4</v>
      </c>
      <c r="Q11" s="58" t="e">
        <f t="shared" si="19"/>
        <v>#VALUE!</v>
      </c>
      <c r="R11" s="58" t="e">
        <f t="shared" si="20"/>
        <v>#VALUE!</v>
      </c>
      <c r="S11" s="58" t="str">
        <f>IFERROR(VLOOKUP(MID(N11,Q11,R11-Q11),[6]skilldef!$C:$D,2,FALSE),"-") &amp; " / " &amp; IFERROR(VLOOKUP(MID(N11,O11,P11-O11),[6]skilldef!$A:$B,2,FALSE),"-")</f>
        <v>- / -</v>
      </c>
      <c r="T11" s="44" t="str">
        <f t="shared" si="21"/>
        <v>none</v>
      </c>
      <c r="U11" s="58" t="e">
        <f t="shared" si="22"/>
        <v>#VALUE!</v>
      </c>
      <c r="V11" s="58">
        <f t="shared" si="23"/>
        <v>4</v>
      </c>
      <c r="W11" s="58" t="e">
        <f t="shared" si="24"/>
        <v>#VALUE!</v>
      </c>
      <c r="X11" s="58" t="e">
        <f t="shared" si="25"/>
        <v>#VALUE!</v>
      </c>
      <c r="Y11" s="58" t="str">
        <f>IFERROR(VLOOKUP(MID(T11,W11,X11-W11),[6]skilldef!$C:$D,2,FALSE),"-") &amp; " / " &amp; IFERROR(VLOOKUP(MID(T11,U11,V11-U11),[6]skilldef!$A:$B,2,FALSE),"-")</f>
        <v>- / -</v>
      </c>
      <c r="Z11" s="46"/>
      <c r="AA11" s="48"/>
      <c r="AB11" s="46"/>
    </row>
    <row r="12" spans="1:28" s="130" customFormat="1" ht="21" customHeight="1" x14ac:dyDescent="0.15">
      <c r="A12" s="129">
        <v>50003010</v>
      </c>
      <c r="B12" s="43" t="s">
        <v>256</v>
      </c>
      <c r="C12" s="46">
        <v>3</v>
      </c>
      <c r="D12" s="46" t="s">
        <v>126</v>
      </c>
      <c r="E12" s="47" t="s">
        <v>353</v>
      </c>
      <c r="F12" s="47" t="s">
        <v>279</v>
      </c>
      <c r="G12" s="58" t="str">
        <f t="shared" si="0"/>
        <v>[effect:damage_anti_tribe, target:unit_all, tribe:animal, val1:0.5, val2:0.4]</v>
      </c>
      <c r="H12" s="58">
        <f t="shared" si="1"/>
        <v>9</v>
      </c>
      <c r="I12" s="58">
        <f t="shared" si="2"/>
        <v>26</v>
      </c>
      <c r="J12" s="58">
        <f t="shared" si="3"/>
        <v>35</v>
      </c>
      <c r="K12" s="58">
        <f t="shared" si="4"/>
        <v>43</v>
      </c>
      <c r="L12" s="58" t="str">
        <f>IFERROR(VLOOKUP(MID(G12,J12,K12-J12),[6]skilldef!$C:$D,2,FALSE),"-") &amp; " / " &amp; IFERROR(VLOOKUP(MID(G12,H12,I12-H12),[6]skilldef!$A:$B,2,FALSE),"-")</f>
        <v>味方全体に / 種族キラー</v>
      </c>
      <c r="M12" s="58" t="str">
        <f t="shared" si="16"/>
        <v>none</v>
      </c>
      <c r="N12" s="44" t="str">
        <f t="shared" si="6"/>
        <v>none</v>
      </c>
      <c r="O12" s="58" t="e">
        <f t="shared" si="17"/>
        <v>#VALUE!</v>
      </c>
      <c r="P12" s="58">
        <f t="shared" si="18"/>
        <v>4</v>
      </c>
      <c r="Q12" s="58" t="e">
        <f t="shared" si="19"/>
        <v>#VALUE!</v>
      </c>
      <c r="R12" s="58" t="e">
        <f t="shared" si="20"/>
        <v>#VALUE!</v>
      </c>
      <c r="S12" s="58" t="str">
        <f>IFERROR(VLOOKUP(MID(N12,Q12,R12-Q12),[6]skilldef!$C:$D,2,FALSE),"-") &amp; " / " &amp; IFERROR(VLOOKUP(MID(N12,O12,P12-O12),[6]skilldef!$A:$B,2,FALSE),"-")</f>
        <v>- / -</v>
      </c>
      <c r="T12" s="44" t="str">
        <f t="shared" si="21"/>
        <v>none</v>
      </c>
      <c r="U12" s="58" t="e">
        <f t="shared" si="22"/>
        <v>#VALUE!</v>
      </c>
      <c r="V12" s="58">
        <f t="shared" si="23"/>
        <v>4</v>
      </c>
      <c r="W12" s="58" t="e">
        <f t="shared" si="24"/>
        <v>#VALUE!</v>
      </c>
      <c r="X12" s="58" t="e">
        <f t="shared" si="25"/>
        <v>#VALUE!</v>
      </c>
      <c r="Y12" s="58" t="str">
        <f>IFERROR(VLOOKUP(MID(T12,W12,X12-W12),[6]skilldef!$C:$D,2,FALSE),"-") &amp; " / " &amp; IFERROR(VLOOKUP(MID(T12,U12,V12-U12),[6]skilldef!$A:$B,2,FALSE),"-")</f>
        <v>- / -</v>
      </c>
      <c r="Z12" s="46"/>
      <c r="AA12" s="48"/>
      <c r="AB12" s="46"/>
    </row>
    <row r="13" spans="1:28" s="130" customFormat="1" ht="21" customHeight="1" x14ac:dyDescent="0.15">
      <c r="A13" s="129">
        <v>50003011</v>
      </c>
      <c r="B13" s="43" t="s">
        <v>248</v>
      </c>
      <c r="C13" s="46">
        <v>3</v>
      </c>
      <c r="D13" s="46" t="s">
        <v>126</v>
      </c>
      <c r="E13" s="47" t="s">
        <v>323</v>
      </c>
      <c r="F13" s="47" t="s">
        <v>222</v>
      </c>
      <c r="G13" s="58" t="str">
        <f t="shared" si="0"/>
        <v>[effect:critical, val:1.5]</v>
      </c>
      <c r="H13" s="58">
        <f t="shared" si="1"/>
        <v>9</v>
      </c>
      <c r="I13" s="58">
        <f t="shared" si="2"/>
        <v>17</v>
      </c>
      <c r="J13" s="58" t="e">
        <f t="shared" si="3"/>
        <v>#VALUE!</v>
      </c>
      <c r="K13" s="58" t="e">
        <f t="shared" si="4"/>
        <v>#VALUE!</v>
      </c>
      <c r="L13" s="58" t="str">
        <f>IFERROR(VLOOKUP(MID(G13,J13,K13-J13),[6]skilldef!$C:$D,2,FALSE),"-") &amp; " / " &amp; IFERROR(VLOOKUP(MID(G13,H13,I13-H13),[6]skilldef!$A:$B,2,FALSE),"-")</f>
        <v>- / 大攻撃</v>
      </c>
      <c r="M13" s="58" t="str">
        <f t="shared" si="16"/>
        <v>none</v>
      </c>
      <c r="N13" s="44" t="str">
        <f t="shared" si="6"/>
        <v>none</v>
      </c>
      <c r="O13" s="58" t="e">
        <f t="shared" si="17"/>
        <v>#VALUE!</v>
      </c>
      <c r="P13" s="58">
        <f t="shared" si="18"/>
        <v>4</v>
      </c>
      <c r="Q13" s="58" t="e">
        <f t="shared" si="19"/>
        <v>#VALUE!</v>
      </c>
      <c r="R13" s="58" t="e">
        <f t="shared" si="20"/>
        <v>#VALUE!</v>
      </c>
      <c r="S13" s="58" t="str">
        <f>IFERROR(VLOOKUP(MID(N13,Q13,R13-Q13),[6]skilldef!$C:$D,2,FALSE),"-") &amp; " / " &amp; IFERROR(VLOOKUP(MID(N13,O13,P13-O13),[6]skilldef!$A:$B,2,FALSE),"-")</f>
        <v>- / -</v>
      </c>
      <c r="T13" s="44" t="str">
        <f t="shared" si="21"/>
        <v>none</v>
      </c>
      <c r="U13" s="58" t="e">
        <f t="shared" si="22"/>
        <v>#VALUE!</v>
      </c>
      <c r="V13" s="58">
        <f t="shared" si="23"/>
        <v>4</v>
      </c>
      <c r="W13" s="58" t="e">
        <f t="shared" si="24"/>
        <v>#VALUE!</v>
      </c>
      <c r="X13" s="58" t="e">
        <f t="shared" si="25"/>
        <v>#VALUE!</v>
      </c>
      <c r="Y13" s="58" t="str">
        <f>IFERROR(VLOOKUP(MID(T13,W13,X13-W13),[6]skilldef!$C:$D,2,FALSE),"-") &amp; " / " &amp; IFERROR(VLOOKUP(MID(T13,U13,V13-U13),[6]skilldef!$A:$B,2,FALSE),"-")</f>
        <v>- / -</v>
      </c>
      <c r="Z13" s="46"/>
      <c r="AA13" s="48"/>
      <c r="AB13" s="46"/>
    </row>
    <row r="14" spans="1:28" s="130" customFormat="1" ht="21" customHeight="1" x14ac:dyDescent="0.15">
      <c r="A14" s="129">
        <v>50003012</v>
      </c>
      <c r="B14" s="43" t="s">
        <v>224</v>
      </c>
      <c r="C14" s="46">
        <v>3</v>
      </c>
      <c r="D14" s="46" t="s">
        <v>126</v>
      </c>
      <c r="E14" s="47" t="s">
        <v>324</v>
      </c>
      <c r="F14" s="47" t="s">
        <v>281</v>
      </c>
      <c r="G14" s="58" t="str">
        <f t="shared" si="0"/>
        <v>[effect:fix_speed, target:myself, turn:3]</v>
      </c>
      <c r="H14" s="58">
        <f t="shared" si="1"/>
        <v>9</v>
      </c>
      <c r="I14" s="58">
        <f t="shared" si="2"/>
        <v>18</v>
      </c>
      <c r="J14" s="58">
        <f t="shared" si="3"/>
        <v>27</v>
      </c>
      <c r="K14" s="58">
        <f t="shared" si="4"/>
        <v>33</v>
      </c>
      <c r="L14" s="58" t="str">
        <f>IFERROR(VLOOKUP(MID(G14,J14,K14-J14),[6]skilldef!$C:$D,2,FALSE),"-") &amp; " / " &amp; IFERROR(VLOOKUP(MID(G14,H14,I14-H14),[6]skilldef!$A:$B,2,FALSE),"-")</f>
        <v>自分自身に / 行動値設定</v>
      </c>
      <c r="M14" s="58" t="str">
        <f t="shared" si="16"/>
        <v>[effect:enhance_enemy, target:myself, turn:3, status:defense, val:5000, calc:add, animation:enemy_enhance_defense]</v>
      </c>
      <c r="N14" s="44" t="str">
        <f t="shared" si="6"/>
        <v>[effect:enhance_enemy, target:myself, turn:3, status:defense, val:5000, calc:add, animation:enemy_enhance_defense]</v>
      </c>
      <c r="O14" s="58">
        <f t="shared" si="17"/>
        <v>9</v>
      </c>
      <c r="P14" s="58">
        <f t="shared" si="18"/>
        <v>22</v>
      </c>
      <c r="Q14" s="58">
        <f t="shared" si="19"/>
        <v>31</v>
      </c>
      <c r="R14" s="58">
        <f t="shared" si="20"/>
        <v>37</v>
      </c>
      <c r="S14" s="58" t="str">
        <f>IFERROR(VLOOKUP(MID(N14,Q14,R14-Q14),[6]skilldef!$C:$D,2,FALSE),"-") &amp; " / " &amp; IFERROR(VLOOKUP(MID(N14,O14,P14-O14),[6]skilldef!$A:$B,2,FALSE),"-")</f>
        <v>自分自身に / ステータス強化</v>
      </c>
      <c r="T14" s="44" t="str">
        <f t="shared" si="21"/>
        <v>none</v>
      </c>
      <c r="U14" s="58" t="e">
        <f t="shared" si="22"/>
        <v>#VALUE!</v>
      </c>
      <c r="V14" s="58">
        <f t="shared" si="23"/>
        <v>4</v>
      </c>
      <c r="W14" s="58" t="e">
        <f t="shared" si="24"/>
        <v>#VALUE!</v>
      </c>
      <c r="X14" s="58" t="e">
        <f t="shared" si="25"/>
        <v>#VALUE!</v>
      </c>
      <c r="Y14" s="58" t="str">
        <f>IFERROR(VLOOKUP(MID(T14,W14,X14-W14),[6]skilldef!$C:$D,2,FALSE),"-") &amp; " / " &amp; IFERROR(VLOOKUP(MID(T14,U14,V14-U14),[6]skilldef!$A:$B,2,FALSE),"-")</f>
        <v>- / -</v>
      </c>
      <c r="Z14" s="46"/>
      <c r="AA14" s="48"/>
      <c r="AB14" s="46"/>
    </row>
    <row r="15" spans="1:28" s="130" customFormat="1" ht="21" customHeight="1" x14ac:dyDescent="0.15">
      <c r="A15" s="129">
        <v>50003013</v>
      </c>
      <c r="B15" s="43" t="s">
        <v>225</v>
      </c>
      <c r="C15" s="46">
        <v>3</v>
      </c>
      <c r="D15" s="46" t="s">
        <v>126</v>
      </c>
      <c r="E15" s="47" t="s">
        <v>325</v>
      </c>
      <c r="F15" s="47" t="s">
        <v>283</v>
      </c>
      <c r="G15" s="58"/>
      <c r="H15" s="58"/>
      <c r="I15" s="58"/>
      <c r="J15" s="58"/>
      <c r="K15" s="58"/>
      <c r="L15" s="58" t="str">
        <f>IFERROR(VLOOKUP(MID(G15,J15,K15-J15),[6]skilldef!$C:$D,2,FALSE),"-") &amp; " / " &amp; IFERROR(VLOOKUP(MID(G15,H15,I15-H15),[6]skilldef!$A:$B,2,FALSE),"-")</f>
        <v>- / -</v>
      </c>
      <c r="M15" s="58" t="str">
        <f t="shared" si="16"/>
        <v>[effect:change_attribute, target:myself, color:yellow, turn:-1, animation:change_attribute_yellow],[effect:rush, count:10, val:0.2]</v>
      </c>
      <c r="N15" s="44" t="str">
        <f t="shared" si="6"/>
        <v>[effect:change_attribute, target:myself, color:yellow, turn:-1, animation:change_attribute_yellow],[effect:rush, count:10, val:0.2]</v>
      </c>
      <c r="O15" s="58">
        <f t="shared" si="17"/>
        <v>9</v>
      </c>
      <c r="P15" s="58">
        <f t="shared" si="18"/>
        <v>25</v>
      </c>
      <c r="Q15" s="58">
        <f t="shared" si="19"/>
        <v>34</v>
      </c>
      <c r="R15" s="58">
        <f t="shared" si="20"/>
        <v>40</v>
      </c>
      <c r="S15" s="58" t="str">
        <f>IFERROR(VLOOKUP(MID(N15,Q15,R15-Q15),[6]skilldef!$C:$D,2,FALSE),"-") &amp; " / " &amp; IFERROR(VLOOKUP(MID(N15,O15,P15-O15),[6]skilldef!$A:$B,2,FALSE),"-")</f>
        <v>自分自身に / -</v>
      </c>
      <c r="T15" s="44" t="str">
        <f t="shared" si="21"/>
        <v>[effect:rush, count:10, val:0.2]</v>
      </c>
      <c r="U15" s="58">
        <f t="shared" si="22"/>
        <v>9</v>
      </c>
      <c r="V15" s="58">
        <f t="shared" si="23"/>
        <v>13</v>
      </c>
      <c r="W15" s="58" t="e">
        <f t="shared" si="24"/>
        <v>#VALUE!</v>
      </c>
      <c r="X15" s="58">
        <f t="shared" si="25"/>
        <v>23</v>
      </c>
      <c r="Y15" s="58" t="str">
        <f>IFERROR(VLOOKUP(MID(T15,W15,X15-W15),[6]skilldef!$C:$D,2,FALSE),"-") &amp; " / " &amp; IFERROR(VLOOKUP(MID(T15,U15,V15-U15),[6]skilldef!$A:$B,2,FALSE),"-")</f>
        <v>- / 連続攻撃</v>
      </c>
      <c r="Z15" s="46"/>
      <c r="AA15" s="48"/>
      <c r="AB15" s="46"/>
    </row>
    <row r="16" spans="1:28" s="130" customFormat="1" ht="21" customHeight="1" x14ac:dyDescent="0.15">
      <c r="A16" s="129">
        <v>50003014</v>
      </c>
      <c r="B16" s="43" t="s">
        <v>226</v>
      </c>
      <c r="C16" s="46">
        <v>3</v>
      </c>
      <c r="D16" s="46" t="s">
        <v>126</v>
      </c>
      <c r="E16" s="47" t="s">
        <v>326</v>
      </c>
      <c r="F16" s="47" t="s">
        <v>282</v>
      </c>
      <c r="G16" s="58"/>
      <c r="H16" s="58"/>
      <c r="I16" s="58"/>
      <c r="J16" s="58"/>
      <c r="K16" s="58"/>
      <c r="L16" s="58" t="str">
        <f>IFERROR(VLOOKUP(MID(G16,J16,K16-J16),[6]skilldef!$C:$D,2,FALSE),"-") &amp; " / " &amp; IFERROR(VLOOKUP(MID(G16,H16,I16-H16),[6]skilldef!$A:$B,2,FALSE),"-")</f>
        <v>- / -</v>
      </c>
      <c r="M16" s="58" t="str">
        <f t="shared" si="16"/>
        <v>none</v>
      </c>
      <c r="N16" s="44" t="str">
        <f t="shared" si="6"/>
        <v>none</v>
      </c>
      <c r="O16" s="58" t="e">
        <f t="shared" si="17"/>
        <v>#VALUE!</v>
      </c>
      <c r="P16" s="58">
        <f t="shared" si="18"/>
        <v>4</v>
      </c>
      <c r="Q16" s="58" t="e">
        <f t="shared" si="19"/>
        <v>#VALUE!</v>
      </c>
      <c r="R16" s="58" t="e">
        <f t="shared" si="20"/>
        <v>#VALUE!</v>
      </c>
      <c r="S16" s="58" t="str">
        <f>IFERROR(VLOOKUP(MID(N16,Q16,R16-Q16),[6]skilldef!$C:$D,2,FALSE),"-") &amp; " / " &amp; IFERROR(VLOOKUP(MID(N16,O16,P16-O16),[6]skilldef!$A:$B,2,FALSE),"-")</f>
        <v>- / -</v>
      </c>
      <c r="T16" s="44" t="str">
        <f t="shared" si="21"/>
        <v>none</v>
      </c>
      <c r="U16" s="58" t="e">
        <f t="shared" si="22"/>
        <v>#VALUE!</v>
      </c>
      <c r="V16" s="58">
        <f t="shared" si="23"/>
        <v>4</v>
      </c>
      <c r="W16" s="58" t="e">
        <f t="shared" si="24"/>
        <v>#VALUE!</v>
      </c>
      <c r="X16" s="58" t="e">
        <f t="shared" si="25"/>
        <v>#VALUE!</v>
      </c>
      <c r="Y16" s="58" t="str">
        <f>IFERROR(VLOOKUP(MID(T16,W16,X16-W16),[6]skilldef!$C:$D,2,FALSE),"-") &amp; " / " &amp; IFERROR(VLOOKUP(MID(T16,U16,V16-U16),[6]skilldef!$A:$B,2,FALSE),"-")</f>
        <v>- / -</v>
      </c>
      <c r="Z16" s="46"/>
      <c r="AA16" s="48"/>
      <c r="AB16" s="46"/>
    </row>
    <row r="17" spans="1:28" s="139" customFormat="1" ht="21" customHeight="1" thickBot="1" x14ac:dyDescent="0.2">
      <c r="A17" s="131">
        <v>50003017</v>
      </c>
      <c r="B17" s="140" t="s">
        <v>220</v>
      </c>
      <c r="C17" s="133">
        <v>3</v>
      </c>
      <c r="D17" s="133" t="s">
        <v>126</v>
      </c>
      <c r="E17" s="134" t="s">
        <v>236</v>
      </c>
      <c r="F17" s="135" t="s">
        <v>233</v>
      </c>
      <c r="G17" s="136" t="str">
        <f t="shared" ref="G17" si="31">IFERROR(LEFT(B17,FIND("],",B17)),B17)</f>
        <v>[effect:enemy_message, val1:1.2, val2:0, dead_type:suicide]</v>
      </c>
      <c r="H17" s="136">
        <f t="shared" si="1"/>
        <v>9</v>
      </c>
      <c r="I17" s="136">
        <f t="shared" ref="I17" si="32">IFERROR(FIND(",",G17),LEN(G17))</f>
        <v>22</v>
      </c>
      <c r="J17" s="136" t="e">
        <f t="shared" ref="J17" si="33">FIND("target:",G17)+7</f>
        <v>#VALUE!</v>
      </c>
      <c r="K17" s="136">
        <f t="shared" ref="K17" si="34">FIND(",",G17,I17+1)</f>
        <v>32</v>
      </c>
      <c r="L17" s="136" t="str">
        <f>IFERROR(VLOOKUP(MID(G17,J17,K17-J17),[6]skilldef!$C:$D,2,FALSE),"-") &amp; " / " &amp; IFERROR(VLOOKUP(MID(G17,H17,I17-H17),[6]skilldef!$A:$B,2,FALSE),"-")</f>
        <v>- / -</v>
      </c>
      <c r="M17" s="136" t="str">
        <f t="shared" si="16"/>
        <v>none</v>
      </c>
      <c r="N17" s="137" t="str">
        <f t="shared" ref="N17:N19" si="35">IFERROR(LEFT(M17,FIND("],",M17)+S34),M17)</f>
        <v>none</v>
      </c>
      <c r="O17" s="136" t="e">
        <f t="shared" si="17"/>
        <v>#VALUE!</v>
      </c>
      <c r="P17" s="136">
        <f t="shared" si="18"/>
        <v>4</v>
      </c>
      <c r="Q17" s="136" t="e">
        <f t="shared" si="19"/>
        <v>#VALUE!</v>
      </c>
      <c r="R17" s="136" t="e">
        <f t="shared" si="20"/>
        <v>#VALUE!</v>
      </c>
      <c r="S17" s="136" t="str">
        <f>IFERROR(VLOOKUP(MID(N17,Q17,R17-Q17),[6]skilldef!$C:$D,2,FALSE),"-") &amp; " / " &amp; IFERROR(VLOOKUP(MID(N17,O17,P17-O17),[6]skilldef!$A:$B,2,FALSE),"-")</f>
        <v>- / -</v>
      </c>
      <c r="T17" s="137" t="str">
        <f t="shared" si="21"/>
        <v>none</v>
      </c>
      <c r="U17" s="136" t="e">
        <f t="shared" si="22"/>
        <v>#VALUE!</v>
      </c>
      <c r="V17" s="136">
        <f t="shared" si="23"/>
        <v>4</v>
      </c>
      <c r="W17" s="136" t="e">
        <f t="shared" si="24"/>
        <v>#VALUE!</v>
      </c>
      <c r="X17" s="136" t="e">
        <f t="shared" si="25"/>
        <v>#VALUE!</v>
      </c>
      <c r="Y17" s="136" t="str">
        <f>IFERROR(VLOOKUP(MID(T17,W17,X17-W17),[6]skilldef!$C:$D,2,FALSE),"-") &amp; " / " &amp; IFERROR(VLOOKUP(MID(T17,U17,V17-U17),[6]skilldef!$A:$B,2,FALSE),"-")</f>
        <v>- / -</v>
      </c>
      <c r="Z17" s="133"/>
      <c r="AA17" s="138"/>
      <c r="AB17" s="133"/>
    </row>
    <row r="18" spans="1:28" s="128" customFormat="1" ht="21" customHeight="1" x14ac:dyDescent="0.15">
      <c r="A18" s="121">
        <v>50003018</v>
      </c>
      <c r="B18" s="122" t="s">
        <v>327</v>
      </c>
      <c r="C18" s="123">
        <v>3</v>
      </c>
      <c r="D18" s="123" t="s">
        <v>126</v>
      </c>
      <c r="E18" s="124" t="s">
        <v>302</v>
      </c>
      <c r="F18" s="124" t="s">
        <v>288</v>
      </c>
      <c r="G18" s="125" t="str">
        <f t="shared" ref="G18" si="36">IFERROR(LEFT(B18,FIND("],",B18)),B18)</f>
        <v>[effect:fix_speed, target:enemy_blue, turn:1]</v>
      </c>
      <c r="H18" s="125">
        <f t="shared" si="1"/>
        <v>9</v>
      </c>
      <c r="I18" s="125">
        <f t="shared" ref="I18" si="37">IFERROR(FIND(",",G18),LEN(G18))</f>
        <v>18</v>
      </c>
      <c r="J18" s="125">
        <f t="shared" ref="J18" si="38">FIND("target:",G18)+7</f>
        <v>27</v>
      </c>
      <c r="K18" s="125">
        <f t="shared" ref="K18" si="39">FIND(",",G18,I18+1)</f>
        <v>37</v>
      </c>
      <c r="L18" s="125" t="str">
        <f>IFERROR(VLOOKUP(MID(G18,J18,K18-J18),[6]skilldef!$C:$D,2,FALSE),"-") &amp; " / " &amp; IFERROR(VLOOKUP(MID(G18,H18,I18-H18),[6]skilldef!$A:$B,2,FALSE),"-")</f>
        <v>青の敵に / 行動値設定</v>
      </c>
      <c r="M18" s="125" t="str">
        <f t="shared" si="16"/>
        <v>[effect:fix_speed, target:enemy_yellow, turn:2]</v>
      </c>
      <c r="N18" s="126" t="str">
        <f t="shared" si="35"/>
        <v>[effect:fix_speed, target:enemy_yellow, turn:2]</v>
      </c>
      <c r="O18" s="125">
        <f t="shared" si="17"/>
        <v>9</v>
      </c>
      <c r="P18" s="125">
        <f t="shared" si="18"/>
        <v>18</v>
      </c>
      <c r="Q18" s="125">
        <f t="shared" si="19"/>
        <v>27</v>
      </c>
      <c r="R18" s="125">
        <f t="shared" si="20"/>
        <v>39</v>
      </c>
      <c r="S18" s="125" t="str">
        <f>IFERROR(VLOOKUP(MID(N18,Q18,R18-Q18),[6]skilldef!$C:$D,2,FALSE),"-") &amp; " / " &amp; IFERROR(VLOOKUP(MID(N18,O18,P18-O18),[6]skilldef!$A:$B,2,FALSE),"-")</f>
        <v>黄の敵に / 行動値設定</v>
      </c>
      <c r="T18" s="126" t="str">
        <f t="shared" si="21"/>
        <v>none</v>
      </c>
      <c r="U18" s="125" t="e">
        <f t="shared" si="22"/>
        <v>#VALUE!</v>
      </c>
      <c r="V18" s="125">
        <f t="shared" si="23"/>
        <v>4</v>
      </c>
      <c r="W18" s="125" t="e">
        <f t="shared" si="24"/>
        <v>#VALUE!</v>
      </c>
      <c r="X18" s="125" t="e">
        <f t="shared" si="25"/>
        <v>#VALUE!</v>
      </c>
      <c r="Y18" s="125" t="str">
        <f>IFERROR(VLOOKUP(MID(T18,W18,X18-W18),[6]skilldef!$C:$D,2,FALSE),"-") &amp; " / " &amp; IFERROR(VLOOKUP(MID(T18,U18,V18-U18),[6]skilldef!$A:$B,2,FALSE),"-")</f>
        <v>- / -</v>
      </c>
      <c r="Z18" s="123"/>
      <c r="AA18" s="127"/>
      <c r="AB18" s="123"/>
    </row>
    <row r="19" spans="1:28" s="130" customFormat="1" ht="21" customHeight="1" x14ac:dyDescent="0.15">
      <c r="A19" s="129">
        <v>50003019</v>
      </c>
      <c r="B19" s="43" t="s">
        <v>250</v>
      </c>
      <c r="C19" s="46">
        <v>3</v>
      </c>
      <c r="D19" s="46" t="s">
        <v>126</v>
      </c>
      <c r="E19" s="47" t="s">
        <v>304</v>
      </c>
      <c r="F19" s="47" t="s">
        <v>287</v>
      </c>
      <c r="G19" s="58" t="str">
        <f t="shared" si="0"/>
        <v>[effect:degrade_unit, target:unit_all, turn:1, status:action, val:2, calc:add, animation:enemy_tap_down]</v>
      </c>
      <c r="H19" s="58">
        <f t="shared" si="1"/>
        <v>9</v>
      </c>
      <c r="I19" s="58">
        <f t="shared" si="2"/>
        <v>21</v>
      </c>
      <c r="J19" s="58">
        <f t="shared" si="3"/>
        <v>30</v>
      </c>
      <c r="K19" s="58">
        <f t="shared" si="4"/>
        <v>38</v>
      </c>
      <c r="L19" s="58" t="str">
        <f>IFERROR(VLOOKUP(MID(G19,J19,K19-J19),[6]skilldef!$C:$D,2,FALSE),"-") &amp; " / " &amp; IFERROR(VLOOKUP(MID(G19,H19,I19-H19),[6]skilldef!$A:$B,2,FALSE),"-")</f>
        <v>味方全体に / ステータスDOWN</v>
      </c>
      <c r="M19" s="58" t="str">
        <f t="shared" si="16"/>
        <v xml:space="preserve">[effect:damage_fix_absolute, target:unit_one, val:6000]    </v>
      </c>
      <c r="N19" s="44" t="str">
        <f t="shared" si="35"/>
        <v xml:space="preserve">[effect:damage_fix_absolute, target:unit_one, val:6000]    </v>
      </c>
      <c r="O19" s="58">
        <f t="shared" si="17"/>
        <v>9</v>
      </c>
      <c r="P19" s="58">
        <f t="shared" si="18"/>
        <v>28</v>
      </c>
      <c r="Q19" s="58">
        <f t="shared" si="19"/>
        <v>37</v>
      </c>
      <c r="R19" s="58">
        <f t="shared" si="20"/>
        <v>45</v>
      </c>
      <c r="S19" s="58" t="str">
        <f>IFERROR(VLOOKUP(MID(N19,Q19,R19-Q19),[6]skilldef!$C:$D,2,FALSE),"-") &amp; " / " &amp; IFERROR(VLOOKUP(MID(N19,O19,P19-O19),[6]skilldef!$A:$B,2,FALSE),"-")</f>
        <v>味方単体に / -</v>
      </c>
      <c r="T19" s="44" t="str">
        <f t="shared" si="21"/>
        <v>none</v>
      </c>
      <c r="U19" s="58" t="e">
        <f t="shared" si="22"/>
        <v>#VALUE!</v>
      </c>
      <c r="V19" s="58">
        <f t="shared" si="23"/>
        <v>4</v>
      </c>
      <c r="W19" s="58" t="e">
        <f t="shared" si="24"/>
        <v>#VALUE!</v>
      </c>
      <c r="X19" s="58" t="e">
        <f t="shared" si="25"/>
        <v>#VALUE!</v>
      </c>
      <c r="Y19" s="58" t="str">
        <f>IFERROR(VLOOKUP(MID(T19,W19,X19-W19),[6]skilldef!$C:$D,2,FALSE),"-") &amp; " / " &amp; IFERROR(VLOOKUP(MID(T19,U19,V19-U19),[6]skilldef!$A:$B,2,FALSE),"-")</f>
        <v>- / -</v>
      </c>
      <c r="Z19" s="46"/>
      <c r="AA19" s="48"/>
      <c r="AB19" s="46"/>
    </row>
    <row r="20" spans="1:28" s="130" customFormat="1" ht="21" customHeight="1" x14ac:dyDescent="0.15">
      <c r="A20" s="129">
        <v>50003020</v>
      </c>
      <c r="B20" s="43" t="s">
        <v>251</v>
      </c>
      <c r="C20" s="46">
        <v>3</v>
      </c>
      <c r="D20" s="46" t="s">
        <v>126</v>
      </c>
      <c r="E20" s="47" t="s">
        <v>309</v>
      </c>
      <c r="F20" s="47" t="s">
        <v>355</v>
      </c>
      <c r="G20" s="58" t="str">
        <f t="shared" si="0"/>
        <v>[effect:force_change_block, new_block:block_green, target:block_heart, ignore:crash, ignore02:crack_bomb, count:8, val:0, animation:change_block]</v>
      </c>
      <c r="H20" s="58">
        <f t="shared" si="1"/>
        <v>9</v>
      </c>
      <c r="I20" s="58">
        <f t="shared" si="2"/>
        <v>27</v>
      </c>
      <c r="J20" s="58">
        <f t="shared" si="3"/>
        <v>59</v>
      </c>
      <c r="K20" s="58">
        <f t="shared" si="4"/>
        <v>50</v>
      </c>
      <c r="L20" s="58" t="str">
        <f>IFERROR(VLOOKUP(MID(G20,J20,K20-J20),[6]skilldef!$C:$D,2,FALSE),"-") &amp; " / " &amp; IFERROR(VLOOKUP(MID(G20,H20,I20-H20),[6]skilldef!$A:$B,2,FALSE),"-")</f>
        <v>- / -</v>
      </c>
      <c r="M20" s="58" t="str">
        <f t="shared" si="16"/>
        <v>[effect:damage_fix_absolute, target:unit_one, val:6500]</v>
      </c>
      <c r="N20" s="44" t="str">
        <f>IFERROR(LEFT(M20,FIND("],",M20)+#REF!),M20)</f>
        <v>[effect:damage_fix_absolute, target:unit_one, val:6500]</v>
      </c>
      <c r="O20" s="58">
        <f t="shared" si="17"/>
        <v>9</v>
      </c>
      <c r="P20" s="58">
        <f t="shared" si="18"/>
        <v>28</v>
      </c>
      <c r="Q20" s="58">
        <f t="shared" si="19"/>
        <v>37</v>
      </c>
      <c r="R20" s="58">
        <f t="shared" si="20"/>
        <v>45</v>
      </c>
      <c r="S20" s="58" t="str">
        <f>IFERROR(VLOOKUP(MID(N20,Q20,R20-Q20),[6]skilldef!$C:$D,2,FALSE),"-") &amp; " / " &amp; IFERROR(VLOOKUP(MID(N20,O20,P20-O20),[6]skilldef!$A:$B,2,FALSE),"-")</f>
        <v>味方単体に / -</v>
      </c>
      <c r="T20" s="44" t="str">
        <f t="shared" si="21"/>
        <v>none</v>
      </c>
      <c r="U20" s="58" t="e">
        <f t="shared" si="22"/>
        <v>#VALUE!</v>
      </c>
      <c r="V20" s="58">
        <f t="shared" si="23"/>
        <v>4</v>
      </c>
      <c r="W20" s="58" t="e">
        <f t="shared" si="24"/>
        <v>#VALUE!</v>
      </c>
      <c r="X20" s="58" t="e">
        <f t="shared" si="25"/>
        <v>#VALUE!</v>
      </c>
      <c r="Y20" s="58" t="str">
        <f>IFERROR(VLOOKUP(MID(T20,W20,X20-W20),[6]skilldef!$C:$D,2,FALSE),"-") &amp; " / " &amp; IFERROR(VLOOKUP(MID(T20,U20,V20-U20),[6]skilldef!$A:$B,2,FALSE),"-")</f>
        <v>- / -</v>
      </c>
      <c r="Z20" s="46"/>
      <c r="AA20" s="48"/>
      <c r="AB20" s="46"/>
    </row>
    <row r="21" spans="1:28" s="130" customFormat="1" ht="21" customHeight="1" x14ac:dyDescent="0.15">
      <c r="A21" s="129">
        <v>50003021</v>
      </c>
      <c r="B21" s="43" t="s">
        <v>252</v>
      </c>
      <c r="C21" s="46">
        <v>3</v>
      </c>
      <c r="D21" s="46" t="s">
        <v>126</v>
      </c>
      <c r="E21" s="47" t="s">
        <v>305</v>
      </c>
      <c r="F21" s="47" t="s">
        <v>289</v>
      </c>
      <c r="G21" s="58" t="str">
        <f t="shared" si="0"/>
        <v>[effect:freq_turn, target:myself, turn:-1, val:1, animation:enemy_freq_turn]</v>
      </c>
      <c r="H21" s="58">
        <f t="shared" si="1"/>
        <v>9</v>
      </c>
      <c r="I21" s="58">
        <f t="shared" si="2"/>
        <v>18</v>
      </c>
      <c r="J21" s="58">
        <f t="shared" si="3"/>
        <v>27</v>
      </c>
      <c r="K21" s="58">
        <f t="shared" si="4"/>
        <v>33</v>
      </c>
      <c r="L21" s="58" t="str">
        <f>IFERROR(VLOOKUP(MID(G21,J21,K21-J21),[6]skilldef!$C:$D,2,FALSE),"-") &amp; " / " &amp; IFERROR(VLOOKUP(MID(G21,H21,I21-H21),[6]skilldef!$A:$B,2,FALSE),"-")</f>
        <v>自分自身に / 攻撃頻度がUP</v>
      </c>
      <c r="M21" s="58" t="str">
        <f t="shared" si="16"/>
        <v xml:space="preserve">[effect:damage_fix_absolute, target:unit_one, val:7000]    </v>
      </c>
      <c r="N21" s="44" t="str">
        <f>IFERROR(LEFT(M21,FIND("],",M21)+#REF!),M21)</f>
        <v xml:space="preserve">[effect:damage_fix_absolute, target:unit_one, val:7000]    </v>
      </c>
      <c r="O21" s="58">
        <f t="shared" si="17"/>
        <v>9</v>
      </c>
      <c r="P21" s="58">
        <f t="shared" si="18"/>
        <v>28</v>
      </c>
      <c r="Q21" s="58">
        <f t="shared" si="19"/>
        <v>37</v>
      </c>
      <c r="R21" s="58">
        <f t="shared" si="20"/>
        <v>45</v>
      </c>
      <c r="S21" s="58" t="str">
        <f>IFERROR(VLOOKUP(MID(N21,Q21,R21-Q21),[6]skilldef!$C:$D,2,FALSE),"-") &amp; " / " &amp; IFERROR(VLOOKUP(MID(N21,O21,P21-O21),[6]skilldef!$A:$B,2,FALSE),"-")</f>
        <v>味方単体に / -</v>
      </c>
      <c r="T21" s="44" t="str">
        <f t="shared" si="21"/>
        <v>none</v>
      </c>
      <c r="U21" s="58" t="e">
        <f t="shared" si="22"/>
        <v>#VALUE!</v>
      </c>
      <c r="V21" s="58">
        <f t="shared" si="23"/>
        <v>4</v>
      </c>
      <c r="W21" s="58" t="e">
        <f t="shared" si="24"/>
        <v>#VALUE!</v>
      </c>
      <c r="X21" s="58" t="e">
        <f t="shared" si="25"/>
        <v>#VALUE!</v>
      </c>
      <c r="Y21" s="58" t="str">
        <f>IFERROR(VLOOKUP(MID(T21,W21,X21-W21),[6]skilldef!$C:$D,2,FALSE),"-") &amp; " / " &amp; IFERROR(VLOOKUP(MID(T21,U21,V21-U21),[6]skilldef!$A:$B,2,FALSE),"-")</f>
        <v>- / -</v>
      </c>
      <c r="Z21" s="46"/>
      <c r="AA21" s="48"/>
      <c r="AB21" s="46"/>
    </row>
    <row r="22" spans="1:28" s="130" customFormat="1" ht="21" customHeight="1" x14ac:dyDescent="0.15">
      <c r="A22" s="129">
        <v>50003022</v>
      </c>
      <c r="B22" s="43" t="s">
        <v>253</v>
      </c>
      <c r="C22" s="46">
        <v>3</v>
      </c>
      <c r="D22" s="46" t="s">
        <v>126</v>
      </c>
      <c r="E22" s="47" t="s">
        <v>306</v>
      </c>
      <c r="F22" s="47" t="s">
        <v>290</v>
      </c>
      <c r="G22" s="58" t="str">
        <f t="shared" si="0"/>
        <v>[effect:dis_panel, target:block_red, turn:1, animation:enemy_dis_red]</v>
      </c>
      <c r="H22" s="58">
        <f t="shared" si="1"/>
        <v>9</v>
      </c>
      <c r="I22" s="58">
        <f t="shared" si="2"/>
        <v>18</v>
      </c>
      <c r="J22" s="58">
        <f t="shared" si="3"/>
        <v>27</v>
      </c>
      <c r="K22" s="58">
        <f t="shared" si="4"/>
        <v>36</v>
      </c>
      <c r="L22" s="58" t="str">
        <f>IFERROR(VLOOKUP(MID(G22,J22,K22-J22),[6]skilldef!$C:$D,2,FALSE),"-") &amp; " / " &amp; IFERROR(VLOOKUP(MID(G22,H22,I22-H22),[6]skilldef!$A:$B,2,FALSE),"-")</f>
        <v>赤パネルを / ディスパネル</v>
      </c>
      <c r="M22" s="58" t="str">
        <f t="shared" si="16"/>
        <v xml:space="preserve">[effect:damage_fix_absolute, target:unit_one, val:8000]    </v>
      </c>
      <c r="N22" s="44" t="str">
        <f>IFERROR(LEFT(M22,FIND("],",M22)+S37),M22)</f>
        <v xml:space="preserve">[effect:damage_fix_absolute, target:unit_one, val:8000]    </v>
      </c>
      <c r="O22" s="58">
        <f t="shared" si="17"/>
        <v>9</v>
      </c>
      <c r="P22" s="58">
        <f t="shared" si="18"/>
        <v>28</v>
      </c>
      <c r="Q22" s="58">
        <f t="shared" si="19"/>
        <v>37</v>
      </c>
      <c r="R22" s="58">
        <f t="shared" si="20"/>
        <v>45</v>
      </c>
      <c r="S22" s="58" t="str">
        <f>IFERROR(VLOOKUP(MID(N22,Q22,R22-Q22),[6]skilldef!$C:$D,2,FALSE),"-") &amp; " / " &amp; IFERROR(VLOOKUP(MID(N22,O22,P22-O22),[6]skilldef!$A:$B,2,FALSE),"-")</f>
        <v>味方単体に / -</v>
      </c>
      <c r="T22" s="44" t="str">
        <f t="shared" si="21"/>
        <v>none</v>
      </c>
      <c r="U22" s="58" t="e">
        <f t="shared" si="22"/>
        <v>#VALUE!</v>
      </c>
      <c r="V22" s="58">
        <f t="shared" si="23"/>
        <v>4</v>
      </c>
      <c r="W22" s="58" t="e">
        <f t="shared" si="24"/>
        <v>#VALUE!</v>
      </c>
      <c r="X22" s="58" t="e">
        <f t="shared" si="25"/>
        <v>#VALUE!</v>
      </c>
      <c r="Y22" s="58" t="str">
        <f>IFERROR(VLOOKUP(MID(T22,W22,X22-W22),[6]skilldef!$C:$D,2,FALSE),"-") &amp; " / " &amp; IFERROR(VLOOKUP(MID(T22,U22,V22-U22),[6]skilldef!$A:$B,2,FALSE),"-")</f>
        <v>- / -</v>
      </c>
      <c r="Z22" s="46"/>
      <c r="AA22" s="48"/>
      <c r="AB22" s="46"/>
    </row>
    <row r="23" spans="1:28" s="130" customFormat="1" ht="21" customHeight="1" x14ac:dyDescent="0.15">
      <c r="A23" s="129">
        <v>50003023</v>
      </c>
      <c r="B23" s="43" t="s">
        <v>254</v>
      </c>
      <c r="C23" s="46">
        <v>3</v>
      </c>
      <c r="D23" s="46" t="s">
        <v>126</v>
      </c>
      <c r="E23" s="47" t="s">
        <v>308</v>
      </c>
      <c r="F23" s="47" t="s">
        <v>291</v>
      </c>
      <c r="G23" s="58" t="str">
        <f t="shared" si="0"/>
        <v>[effect:hungup, target:unit_all, turn:1, rate:1, animation:hungup01]</v>
      </c>
      <c r="H23" s="58">
        <f t="shared" si="1"/>
        <v>9</v>
      </c>
      <c r="I23" s="58">
        <f t="shared" si="2"/>
        <v>15</v>
      </c>
      <c r="J23" s="58">
        <f t="shared" si="3"/>
        <v>24</v>
      </c>
      <c r="K23" s="58">
        <f t="shared" si="4"/>
        <v>32</v>
      </c>
      <c r="L23" s="58" t="str">
        <f>IFERROR(VLOOKUP(MID(G23,J23,K23-J23),[6]skilldef!$C:$D,2,FALSE),"-") &amp; " / " &amp; IFERROR(VLOOKUP(MID(G23,H23,I23-H23),[6]skilldef!$A:$B,2,FALSE),"-")</f>
        <v>味方全体に / ハングアップ</v>
      </c>
      <c r="M23" s="58" t="str">
        <f t="shared" si="16"/>
        <v>[effect:damage_fix_absolute, target:unit_one, val:8500]</v>
      </c>
      <c r="N23" s="44" t="str">
        <f>IFERROR(LEFT(M23,FIND("],",M23)+#REF!),M23)</f>
        <v>[effect:damage_fix_absolute, target:unit_one, val:8500]</v>
      </c>
      <c r="O23" s="58">
        <f t="shared" si="17"/>
        <v>9</v>
      </c>
      <c r="P23" s="58">
        <f t="shared" si="18"/>
        <v>28</v>
      </c>
      <c r="Q23" s="58">
        <f t="shared" si="19"/>
        <v>37</v>
      </c>
      <c r="R23" s="58">
        <f t="shared" si="20"/>
        <v>45</v>
      </c>
      <c r="S23" s="58" t="str">
        <f>IFERROR(VLOOKUP(MID(N23,Q23,R23-Q23),[6]skilldef!$C:$D,2,FALSE),"-") &amp; " / " &amp; IFERROR(VLOOKUP(MID(N23,O23,P23-O23),[6]skilldef!$A:$B,2,FALSE),"-")</f>
        <v>味方単体に / -</v>
      </c>
      <c r="T23" s="44" t="str">
        <f t="shared" si="21"/>
        <v>none</v>
      </c>
      <c r="U23" s="58" t="e">
        <f t="shared" si="22"/>
        <v>#VALUE!</v>
      </c>
      <c r="V23" s="58">
        <f t="shared" si="23"/>
        <v>4</v>
      </c>
      <c r="W23" s="58" t="e">
        <f t="shared" si="24"/>
        <v>#VALUE!</v>
      </c>
      <c r="X23" s="58" t="e">
        <f t="shared" si="25"/>
        <v>#VALUE!</v>
      </c>
      <c r="Y23" s="58" t="str">
        <f>IFERROR(VLOOKUP(MID(T23,W23,X23-W23),[6]skilldef!$C:$D,2,FALSE),"-") &amp; " / " &amp; IFERROR(VLOOKUP(MID(T23,U23,V23-U23),[6]skilldef!$A:$B,2,FALSE),"-")</f>
        <v>- / -</v>
      </c>
      <c r="Z23" s="46"/>
      <c r="AA23" s="48"/>
      <c r="AB23" s="46"/>
    </row>
    <row r="24" spans="1:28" s="130" customFormat="1" ht="21" customHeight="1" x14ac:dyDescent="0.15">
      <c r="A24" s="129">
        <v>50003024</v>
      </c>
      <c r="B24" s="43" t="s">
        <v>257</v>
      </c>
      <c r="C24" s="46">
        <v>3</v>
      </c>
      <c r="D24" s="46" t="s">
        <v>126</v>
      </c>
      <c r="E24" s="47" t="s">
        <v>307</v>
      </c>
      <c r="F24" s="47" t="s">
        <v>267</v>
      </c>
      <c r="G24" s="58" t="str">
        <f t="shared" si="0"/>
        <v>[effect:rush, count:10, val:0.08]</v>
      </c>
      <c r="H24" s="58">
        <f t="shared" si="1"/>
        <v>9</v>
      </c>
      <c r="I24" s="58">
        <f t="shared" si="2"/>
        <v>13</v>
      </c>
      <c r="J24" s="58" t="e">
        <f t="shared" si="3"/>
        <v>#VALUE!</v>
      </c>
      <c r="K24" s="58">
        <f t="shared" si="4"/>
        <v>23</v>
      </c>
      <c r="L24" s="58" t="str">
        <f>IFERROR(VLOOKUP(MID(G24,J24,K24-J24),[6]skilldef!$C:$D,2,FALSE),"-") &amp; " / " &amp; IFERROR(VLOOKUP(MID(G24,H24,I24-H24),[6]skilldef!$A:$B,2,FALSE),"-")</f>
        <v>- / 連続攻撃</v>
      </c>
      <c r="M24" s="58" t="str">
        <f t="shared" si="16"/>
        <v>none</v>
      </c>
      <c r="N24" s="44" t="str">
        <f t="shared" ref="N24:N30" si="40">IFERROR(LEFT(M24,FIND("],",M24)+S38),M24)</f>
        <v>none</v>
      </c>
      <c r="O24" s="58" t="e">
        <f t="shared" si="17"/>
        <v>#VALUE!</v>
      </c>
      <c r="P24" s="58">
        <f t="shared" si="18"/>
        <v>4</v>
      </c>
      <c r="Q24" s="58" t="e">
        <f t="shared" si="19"/>
        <v>#VALUE!</v>
      </c>
      <c r="R24" s="58" t="e">
        <f t="shared" si="20"/>
        <v>#VALUE!</v>
      </c>
      <c r="S24" s="58" t="str">
        <f>IFERROR(VLOOKUP(MID(N24,Q24,R24-Q24),[6]skilldef!$C:$D,2,FALSE),"-") &amp; " / " &amp; IFERROR(VLOOKUP(MID(N24,O24,P24-O24),[6]skilldef!$A:$B,2,FALSE),"-")</f>
        <v>- / -</v>
      </c>
      <c r="T24" s="44" t="str">
        <f t="shared" si="21"/>
        <v>none</v>
      </c>
      <c r="U24" s="58" t="e">
        <f t="shared" si="22"/>
        <v>#VALUE!</v>
      </c>
      <c r="V24" s="58">
        <f t="shared" si="23"/>
        <v>4</v>
      </c>
      <c r="W24" s="58" t="e">
        <f t="shared" si="24"/>
        <v>#VALUE!</v>
      </c>
      <c r="X24" s="58" t="e">
        <f t="shared" si="25"/>
        <v>#VALUE!</v>
      </c>
      <c r="Y24" s="58" t="str">
        <f>IFERROR(VLOOKUP(MID(T24,W24,X24-W24),[6]skilldef!$C:$D,2,FALSE),"-") &amp; " / " &amp; IFERROR(VLOOKUP(MID(T24,U24,V24-U24),[6]skilldef!$A:$B,2,FALSE),"-")</f>
        <v>- / -</v>
      </c>
      <c r="Z24" s="46"/>
      <c r="AA24" s="48"/>
      <c r="AB24" s="46"/>
    </row>
    <row r="25" spans="1:28" s="130" customFormat="1" ht="21" customHeight="1" x14ac:dyDescent="0.15">
      <c r="A25" s="129">
        <v>50003025</v>
      </c>
      <c r="B25" s="43" t="s">
        <v>361</v>
      </c>
      <c r="C25" s="46">
        <v>3</v>
      </c>
      <c r="D25" s="46" t="s">
        <v>126</v>
      </c>
      <c r="E25" s="47" t="s">
        <v>310</v>
      </c>
      <c r="F25" s="47" t="s">
        <v>292</v>
      </c>
      <c r="G25" s="58" t="str">
        <f t="shared" si="0"/>
        <v>[effect:degrade_unit, target:unit_all, turn:1, status:attack, val:0.5, calc:mul]</v>
      </c>
      <c r="H25" s="58">
        <f t="shared" si="1"/>
        <v>9</v>
      </c>
      <c r="I25" s="58">
        <f t="shared" si="2"/>
        <v>21</v>
      </c>
      <c r="J25" s="58">
        <f t="shared" si="3"/>
        <v>30</v>
      </c>
      <c r="K25" s="58">
        <f t="shared" si="4"/>
        <v>38</v>
      </c>
      <c r="L25" s="58" t="str">
        <f>IFERROR(VLOOKUP(MID(G25,J25,K25-J25),[6]skilldef!$C:$D,2,FALSE),"-") &amp; " / " &amp; IFERROR(VLOOKUP(MID(G25,H25,I25-H25),[6]skilldef!$A:$B,2,FALSE),"-")</f>
        <v>味方全体に / ステータスDOWN</v>
      </c>
      <c r="M25" s="58" t="str">
        <f t="shared" si="16"/>
        <v>[effect:damage_fix_absolute, target:unit_one, val:9000]</v>
      </c>
      <c r="N25" s="44" t="str">
        <f t="shared" si="40"/>
        <v>[effect:damage_fix_absolute, target:unit_one, val:9000]</v>
      </c>
      <c r="O25" s="58">
        <f t="shared" si="17"/>
        <v>9</v>
      </c>
      <c r="P25" s="58">
        <f t="shared" si="18"/>
        <v>28</v>
      </c>
      <c r="Q25" s="58">
        <f t="shared" si="19"/>
        <v>37</v>
      </c>
      <c r="R25" s="58">
        <f t="shared" si="20"/>
        <v>45</v>
      </c>
      <c r="S25" s="58" t="str">
        <f>IFERROR(VLOOKUP(MID(N25,Q25,R25-Q25),[6]skilldef!$C:$D,2,FALSE),"-") &amp; " / " &amp; IFERROR(VLOOKUP(MID(N25,O25,P25-O25),[6]skilldef!$A:$B,2,FALSE),"-")</f>
        <v>味方単体に / -</v>
      </c>
      <c r="T25" s="44" t="str">
        <f t="shared" si="21"/>
        <v>none</v>
      </c>
      <c r="U25" s="58" t="e">
        <f t="shared" si="22"/>
        <v>#VALUE!</v>
      </c>
      <c r="V25" s="58">
        <f t="shared" si="23"/>
        <v>4</v>
      </c>
      <c r="W25" s="58" t="e">
        <f t="shared" si="24"/>
        <v>#VALUE!</v>
      </c>
      <c r="X25" s="58" t="e">
        <f t="shared" si="25"/>
        <v>#VALUE!</v>
      </c>
      <c r="Y25" s="58" t="str">
        <f>IFERROR(VLOOKUP(MID(T25,W25,X25-W25),[6]skilldef!$C:$D,2,FALSE),"-") &amp; " / " &amp; IFERROR(VLOOKUP(MID(T25,U25,V25-U25),[6]skilldef!$A:$B,2,FALSE),"-")</f>
        <v>- / -</v>
      </c>
      <c r="Z25" s="46"/>
      <c r="AA25" s="48"/>
      <c r="AB25" s="46"/>
    </row>
    <row r="26" spans="1:28" s="130" customFormat="1" ht="21" customHeight="1" x14ac:dyDescent="0.15">
      <c r="A26" s="129">
        <v>50003026</v>
      </c>
      <c r="B26" s="43" t="s">
        <v>375</v>
      </c>
      <c r="C26" s="46">
        <v>3</v>
      </c>
      <c r="D26" s="46" t="s">
        <v>126</v>
      </c>
      <c r="E26" s="47" t="s">
        <v>311</v>
      </c>
      <c r="F26" s="47" t="s">
        <v>293</v>
      </c>
      <c r="G26" s="58" t="str">
        <f t="shared" si="0"/>
        <v>[effect:damage_fix_absolute, target:unit_one, val:9500]</v>
      </c>
      <c r="H26" s="58">
        <f t="shared" si="1"/>
        <v>9</v>
      </c>
      <c r="I26" s="58">
        <f t="shared" si="2"/>
        <v>28</v>
      </c>
      <c r="J26" s="58">
        <f t="shared" si="3"/>
        <v>37</v>
      </c>
      <c r="K26" s="58">
        <f t="shared" si="4"/>
        <v>45</v>
      </c>
      <c r="L26" s="58" t="str">
        <f>IFERROR(VLOOKUP(MID(G26,J26,K26-J26),[6]skilldef!$C:$D,2,FALSE),"-") &amp; " / " &amp; IFERROR(VLOOKUP(MID(G26,H26,I26-H26),[6]skilldef!$A:$B,2,FALSE),"-")</f>
        <v>味方単体に / -</v>
      </c>
      <c r="M26" s="58" t="str">
        <f t="shared" si="16"/>
        <v>[effect:enhance_enemy, target:myself, turn:-1, status:attack, val:0.1, calc:mul, animation:enemy_enhance_attack]</v>
      </c>
      <c r="N26" s="44" t="str">
        <f t="shared" si="40"/>
        <v>[effect:enhance_enemy, target:myself, turn:-1, status:attack, val:0.1, calc:mul, animation:enemy_enhance_attack]</v>
      </c>
      <c r="O26" s="58">
        <f t="shared" si="17"/>
        <v>9</v>
      </c>
      <c r="P26" s="58">
        <f t="shared" si="18"/>
        <v>22</v>
      </c>
      <c r="Q26" s="58">
        <f t="shared" si="19"/>
        <v>31</v>
      </c>
      <c r="R26" s="58">
        <f t="shared" si="20"/>
        <v>37</v>
      </c>
      <c r="S26" s="58" t="str">
        <f>IFERROR(VLOOKUP(MID(N26,Q26,R26-Q26),[6]skilldef!$C:$D,2,FALSE),"-") &amp; " / " &amp; IFERROR(VLOOKUP(MID(N26,O26,P26-O26),[6]skilldef!$A:$B,2,FALSE),"-")</f>
        <v>自分自身に / ステータス強化</v>
      </c>
      <c r="T26" s="44" t="str">
        <f t="shared" si="21"/>
        <v>none</v>
      </c>
      <c r="U26" s="58" t="e">
        <f t="shared" si="22"/>
        <v>#VALUE!</v>
      </c>
      <c r="V26" s="58">
        <f t="shared" si="23"/>
        <v>4</v>
      </c>
      <c r="W26" s="58" t="e">
        <f t="shared" si="24"/>
        <v>#VALUE!</v>
      </c>
      <c r="X26" s="58" t="e">
        <f t="shared" si="25"/>
        <v>#VALUE!</v>
      </c>
      <c r="Y26" s="58" t="str">
        <f>IFERROR(VLOOKUP(MID(T26,W26,X26-W26),[6]skilldef!$C:$D,2,FALSE),"-") &amp; " / " &amp; IFERROR(VLOOKUP(MID(T26,U26,V26-U26),[6]skilldef!$A:$B,2,FALSE),"-")</f>
        <v>- / -</v>
      </c>
      <c r="Z26" s="46"/>
      <c r="AA26" s="48"/>
      <c r="AB26" s="46"/>
    </row>
    <row r="27" spans="1:28" s="130" customFormat="1" ht="21" customHeight="1" x14ac:dyDescent="0.15">
      <c r="A27" s="129">
        <v>50003027</v>
      </c>
      <c r="B27" s="43" t="s">
        <v>262</v>
      </c>
      <c r="C27" s="46">
        <v>3</v>
      </c>
      <c r="D27" s="46" t="s">
        <v>126</v>
      </c>
      <c r="E27" s="47" t="s">
        <v>315</v>
      </c>
      <c r="F27" s="47" t="s">
        <v>316</v>
      </c>
      <c r="G27" s="58" t="str">
        <f t="shared" si="0"/>
        <v xml:space="preserve">[effect:heal, target:myself, val:0.4, animation:enemy_heal]    </v>
      </c>
      <c r="H27" s="58">
        <f t="shared" si="1"/>
        <v>9</v>
      </c>
      <c r="I27" s="58">
        <f t="shared" si="2"/>
        <v>13</v>
      </c>
      <c r="J27" s="58">
        <f t="shared" si="3"/>
        <v>22</v>
      </c>
      <c r="K27" s="58">
        <f t="shared" si="4"/>
        <v>28</v>
      </c>
      <c r="L27" s="58" t="str">
        <f>IFERROR(VLOOKUP(MID(G27,J27,K27-J27),[6]skilldef!$C:$D,2,FALSE),"-") &amp; " / " &amp; IFERROR(VLOOKUP(MID(G27,H27,I27-H27),[6]skilldef!$A:$B,2,FALSE),"-")</f>
        <v>自分自身に / 回復</v>
      </c>
      <c r="M27" s="58" t="str">
        <f t="shared" si="16"/>
        <v>none</v>
      </c>
      <c r="N27" s="44" t="str">
        <f t="shared" si="40"/>
        <v>none</v>
      </c>
      <c r="O27" s="58" t="e">
        <f t="shared" si="17"/>
        <v>#VALUE!</v>
      </c>
      <c r="P27" s="58">
        <f t="shared" si="18"/>
        <v>4</v>
      </c>
      <c r="Q27" s="58" t="e">
        <f t="shared" si="19"/>
        <v>#VALUE!</v>
      </c>
      <c r="R27" s="58" t="e">
        <f t="shared" si="20"/>
        <v>#VALUE!</v>
      </c>
      <c r="S27" s="58" t="str">
        <f>IFERROR(VLOOKUP(MID(N27,Q27,R27-Q27),[6]skilldef!$C:$D,2,FALSE),"-") &amp; " / " &amp; IFERROR(VLOOKUP(MID(N27,O27,P27-O27),[6]skilldef!$A:$B,2,FALSE),"-")</f>
        <v>- / -</v>
      </c>
      <c r="T27" s="44" t="str">
        <f t="shared" si="21"/>
        <v>none</v>
      </c>
      <c r="U27" s="58" t="e">
        <f t="shared" si="22"/>
        <v>#VALUE!</v>
      </c>
      <c r="V27" s="58">
        <f t="shared" si="23"/>
        <v>4</v>
      </c>
      <c r="W27" s="58" t="e">
        <f t="shared" si="24"/>
        <v>#VALUE!</v>
      </c>
      <c r="X27" s="58" t="e">
        <f t="shared" si="25"/>
        <v>#VALUE!</v>
      </c>
      <c r="Y27" s="58" t="str">
        <f>IFERROR(VLOOKUP(MID(T27,W27,X27-W27),[6]skilldef!$C:$D,2,FALSE),"-") &amp; " / " &amp; IFERROR(VLOOKUP(MID(T27,U27,V27-U27),[6]skilldef!$A:$B,2,FALSE),"-")</f>
        <v>- / -</v>
      </c>
      <c r="Z27" s="46"/>
      <c r="AA27" s="48"/>
      <c r="AB27" s="46"/>
    </row>
    <row r="28" spans="1:28" s="130" customFormat="1" ht="21" customHeight="1" x14ac:dyDescent="0.15">
      <c r="A28" s="129">
        <v>50003028</v>
      </c>
      <c r="B28" s="43" t="s">
        <v>244</v>
      </c>
      <c r="C28" s="46">
        <v>3</v>
      </c>
      <c r="D28" s="46" t="s">
        <v>126</v>
      </c>
      <c r="E28" s="47" t="s">
        <v>303</v>
      </c>
      <c r="F28" s="47" t="s">
        <v>263</v>
      </c>
      <c r="G28" s="58" t="str">
        <f t="shared" si="0"/>
        <v>[effect:enhance_enemy, target:myself, turn:1, status:defense, val:5000, calc:add, animation:enemy_enhance_defense]</v>
      </c>
      <c r="H28" s="58">
        <f t="shared" si="1"/>
        <v>9</v>
      </c>
      <c r="I28" s="58">
        <f t="shared" si="2"/>
        <v>22</v>
      </c>
      <c r="J28" s="58">
        <f t="shared" si="3"/>
        <v>31</v>
      </c>
      <c r="K28" s="58">
        <f t="shared" si="4"/>
        <v>37</v>
      </c>
      <c r="L28" s="58" t="str">
        <f>IFERROR(VLOOKUP(MID(G28,J28,K28-J28),[6]skilldef!$C:$D,2,FALSE),"-") &amp; " / " &amp; IFERROR(VLOOKUP(MID(G28,H28,I28-H28),[6]skilldef!$A:$B,2,FALSE),"-")</f>
        <v>自分自身に / ステータス強化</v>
      </c>
      <c r="M28" s="58" t="str">
        <f t="shared" si="16"/>
        <v>[effect:fix_speed, target:enemy_blue, turn:1],[effect:fix_speed, target:enemy_yellow, turn:1]</v>
      </c>
      <c r="N28" s="44" t="str">
        <f t="shared" si="40"/>
        <v>[effect:fix_speed, target:enemy_blue, turn:1],[effect:fix_speed, target:enemy_yellow, turn:1]</v>
      </c>
      <c r="O28" s="58">
        <f t="shared" si="17"/>
        <v>9</v>
      </c>
      <c r="P28" s="58">
        <f t="shared" si="18"/>
        <v>18</v>
      </c>
      <c r="Q28" s="58">
        <f t="shared" si="19"/>
        <v>27</v>
      </c>
      <c r="R28" s="58">
        <f t="shared" si="20"/>
        <v>37</v>
      </c>
      <c r="S28" s="58" t="str">
        <f>IFERROR(VLOOKUP(MID(N28,Q28,R28-Q28),[6]skilldef!$C:$D,2,FALSE),"-") &amp; " / " &amp; IFERROR(VLOOKUP(MID(N28,O28,P28-O28),[6]skilldef!$A:$B,2,FALSE),"-")</f>
        <v>青の敵に / 行動値設定</v>
      </c>
      <c r="T28" s="44" t="str">
        <f t="shared" si="21"/>
        <v>[effect:fix_speed, target:enemy_yellow, turn:1]</v>
      </c>
      <c r="U28" s="58">
        <f t="shared" si="22"/>
        <v>9</v>
      </c>
      <c r="V28" s="58">
        <f t="shared" si="23"/>
        <v>18</v>
      </c>
      <c r="W28" s="58">
        <f t="shared" si="24"/>
        <v>27</v>
      </c>
      <c r="X28" s="58">
        <f t="shared" si="25"/>
        <v>39</v>
      </c>
      <c r="Y28" s="58" t="str">
        <f>IFERROR(VLOOKUP(MID(T28,W28,X28-W28),[6]skilldef!$C:$D,2,FALSE),"-") &amp; " / " &amp; IFERROR(VLOOKUP(MID(T28,U28,V28-U28),[6]skilldef!$A:$B,2,FALSE),"-")</f>
        <v>黄の敵に / 行動値設定</v>
      </c>
      <c r="Z28" s="46"/>
      <c r="AA28" s="48"/>
      <c r="AB28" s="46"/>
    </row>
    <row r="29" spans="1:28" s="130" customFormat="1" ht="21" customHeight="1" x14ac:dyDescent="0.15">
      <c r="A29" s="129">
        <v>50003029</v>
      </c>
      <c r="B29" s="43" t="s">
        <v>260</v>
      </c>
      <c r="C29" s="46">
        <v>3</v>
      </c>
      <c r="D29" s="46" t="s">
        <v>126</v>
      </c>
      <c r="E29" s="47" t="s">
        <v>314</v>
      </c>
      <c r="F29" s="47" t="s">
        <v>264</v>
      </c>
      <c r="G29" s="58" t="str">
        <f t="shared" si="0"/>
        <v>[effect:spread, val:0.3]</v>
      </c>
      <c r="H29" s="58">
        <f t="shared" si="1"/>
        <v>9</v>
      </c>
      <c r="I29" s="58">
        <f t="shared" si="2"/>
        <v>15</v>
      </c>
      <c r="J29" s="58" t="e">
        <f t="shared" si="3"/>
        <v>#VALUE!</v>
      </c>
      <c r="K29" s="58" t="e">
        <f t="shared" si="4"/>
        <v>#VALUE!</v>
      </c>
      <c r="L29" s="58" t="str">
        <f>IFERROR(VLOOKUP(MID(G29,J29,K29-J29),[6]skilldef!$C:$D,2,FALSE),"-") &amp; " / " &amp; IFERROR(VLOOKUP(MID(G29,H29,I29-H29),[6]skilldef!$A:$B,2,FALSE),"-")</f>
        <v>- / 全体攻撃</v>
      </c>
      <c r="M29" s="58" t="str">
        <f t="shared" si="16"/>
        <v>none</v>
      </c>
      <c r="N29" s="44" t="str">
        <f t="shared" si="40"/>
        <v>none</v>
      </c>
      <c r="O29" s="58" t="e">
        <f t="shared" si="17"/>
        <v>#VALUE!</v>
      </c>
      <c r="P29" s="58">
        <f t="shared" si="18"/>
        <v>4</v>
      </c>
      <c r="Q29" s="58" t="e">
        <f t="shared" si="19"/>
        <v>#VALUE!</v>
      </c>
      <c r="R29" s="58" t="e">
        <f t="shared" si="20"/>
        <v>#VALUE!</v>
      </c>
      <c r="S29" s="58" t="str">
        <f>IFERROR(VLOOKUP(MID(N29,Q29,R29-Q29),[6]skilldef!$C:$D,2,FALSE),"-") &amp; " / " &amp; IFERROR(VLOOKUP(MID(N29,O29,P29-O29),[6]skilldef!$A:$B,2,FALSE),"-")</f>
        <v>- / -</v>
      </c>
      <c r="T29" s="44" t="str">
        <f t="shared" si="21"/>
        <v>none</v>
      </c>
      <c r="U29" s="58" t="e">
        <f t="shared" si="22"/>
        <v>#VALUE!</v>
      </c>
      <c r="V29" s="58">
        <f t="shared" si="23"/>
        <v>4</v>
      </c>
      <c r="W29" s="58" t="e">
        <f t="shared" si="24"/>
        <v>#VALUE!</v>
      </c>
      <c r="X29" s="58" t="e">
        <f t="shared" si="25"/>
        <v>#VALUE!</v>
      </c>
      <c r="Y29" s="58" t="str">
        <f>IFERROR(VLOOKUP(MID(T29,W29,X29-W29),[6]skilldef!$C:$D,2,FALSE),"-") &amp; " / " &amp; IFERROR(VLOOKUP(MID(T29,U29,V29-U29),[6]skilldef!$A:$B,2,FALSE),"-")</f>
        <v>- / -</v>
      </c>
      <c r="Z29" s="46"/>
      <c r="AA29" s="48"/>
      <c r="AB29" s="46"/>
    </row>
    <row r="30" spans="1:28" s="130" customFormat="1" ht="21" customHeight="1" x14ac:dyDescent="0.15">
      <c r="A30" s="129">
        <v>50003030</v>
      </c>
      <c r="B30" s="90" t="s">
        <v>258</v>
      </c>
      <c r="C30" s="46">
        <v>3</v>
      </c>
      <c r="D30" s="46" t="s">
        <v>126</v>
      </c>
      <c r="E30" s="47" t="s">
        <v>312</v>
      </c>
      <c r="F30" s="47" t="s">
        <v>265</v>
      </c>
      <c r="G30" s="58" t="str">
        <f t="shared" si="0"/>
        <v>[effect:enhance_enemy, target:myself, turn:1, status:defense, val:5000, calc:add, animation:enemy_enhance_defense]</v>
      </c>
      <c r="H30" s="58">
        <f t="shared" si="1"/>
        <v>9</v>
      </c>
      <c r="I30" s="58">
        <f t="shared" si="2"/>
        <v>22</v>
      </c>
      <c r="J30" s="58">
        <f t="shared" si="3"/>
        <v>31</v>
      </c>
      <c r="K30" s="58">
        <f t="shared" si="4"/>
        <v>37</v>
      </c>
      <c r="L30" s="58" t="str">
        <f>IFERROR(VLOOKUP(MID(G30,J30,K30-J30),[6]skilldef!$C:$D,2,FALSE),"-") &amp; " / " &amp; IFERROR(VLOOKUP(MID(G30,H30,I30-H30),[6]skilldef!$A:$B,2,FALSE),"-")</f>
        <v>自分自身に / ステータス強化</v>
      </c>
      <c r="M30" s="58" t="str">
        <f t="shared" si="16"/>
        <v>none</v>
      </c>
      <c r="N30" s="44" t="str">
        <f t="shared" si="40"/>
        <v>none</v>
      </c>
      <c r="O30" s="58" t="e">
        <f t="shared" si="17"/>
        <v>#VALUE!</v>
      </c>
      <c r="P30" s="58">
        <f t="shared" si="18"/>
        <v>4</v>
      </c>
      <c r="Q30" s="58" t="e">
        <f t="shared" si="19"/>
        <v>#VALUE!</v>
      </c>
      <c r="R30" s="58" t="e">
        <f t="shared" si="20"/>
        <v>#VALUE!</v>
      </c>
      <c r="S30" s="58" t="str">
        <f>IFERROR(VLOOKUP(MID(N30,Q30,R30-Q30),[6]skilldef!$C:$D,2,FALSE),"-") &amp; " / " &amp; IFERROR(VLOOKUP(MID(N30,O30,P30-O30),[6]skilldef!$A:$B,2,FALSE),"-")</f>
        <v>- / -</v>
      </c>
      <c r="T30" s="44" t="str">
        <f t="shared" si="21"/>
        <v>none</v>
      </c>
      <c r="U30" s="58" t="e">
        <f t="shared" si="22"/>
        <v>#VALUE!</v>
      </c>
      <c r="V30" s="58">
        <f t="shared" si="23"/>
        <v>4</v>
      </c>
      <c r="W30" s="58" t="e">
        <f t="shared" si="24"/>
        <v>#VALUE!</v>
      </c>
      <c r="X30" s="58" t="e">
        <f t="shared" si="25"/>
        <v>#VALUE!</v>
      </c>
      <c r="Y30" s="58" t="str">
        <f>IFERROR(VLOOKUP(MID(T30,W30,X30-W30),[6]skilldef!$C:$D,2,FALSE),"-") &amp; " / " &amp; IFERROR(VLOOKUP(MID(T30,U30,V30-U30),[6]skilldef!$A:$B,2,FALSE),"-")</f>
        <v>- / -</v>
      </c>
      <c r="Z30" s="46"/>
      <c r="AA30" s="48"/>
      <c r="AB30" s="46"/>
    </row>
    <row r="31" spans="1:28" s="130" customFormat="1" ht="21" customHeight="1" x14ac:dyDescent="0.15">
      <c r="A31" s="129">
        <v>50003031</v>
      </c>
      <c r="B31" s="43" t="s">
        <v>259</v>
      </c>
      <c r="C31" s="46">
        <v>3</v>
      </c>
      <c r="D31" s="46" t="s">
        <v>126</v>
      </c>
      <c r="E31" s="47" t="s">
        <v>317</v>
      </c>
      <c r="F31" s="47" t="s">
        <v>264</v>
      </c>
      <c r="G31" s="58" t="str">
        <f t="shared" si="0"/>
        <v>[effect:spread, val:0.3]</v>
      </c>
      <c r="H31" s="58">
        <f t="shared" si="1"/>
        <v>9</v>
      </c>
      <c r="I31" s="58">
        <f t="shared" si="2"/>
        <v>15</v>
      </c>
      <c r="J31" s="58" t="e">
        <f t="shared" si="3"/>
        <v>#VALUE!</v>
      </c>
      <c r="K31" s="58" t="e">
        <f t="shared" si="4"/>
        <v>#VALUE!</v>
      </c>
      <c r="L31" s="58" t="str">
        <f>IFERROR(VLOOKUP(MID(G31,J31,K31-J31),[6]skilldef!$C:$D,2,FALSE),"-") &amp; " / " &amp; IFERROR(VLOOKUP(MID(G31,H31,I31-H31),[6]skilldef!$A:$B,2,FALSE),"-")</f>
        <v>- / 全体攻撃</v>
      </c>
      <c r="M31" s="58" t="str">
        <f t="shared" si="16"/>
        <v>none</v>
      </c>
      <c r="N31" s="44" t="str">
        <f>IFERROR(LEFT(M31,FIND("],",M31)+#REF!),M31)</f>
        <v>none</v>
      </c>
      <c r="O31" s="58" t="e">
        <f t="shared" si="17"/>
        <v>#VALUE!</v>
      </c>
      <c r="P31" s="58">
        <f t="shared" si="18"/>
        <v>4</v>
      </c>
      <c r="Q31" s="58" t="e">
        <f t="shared" si="19"/>
        <v>#VALUE!</v>
      </c>
      <c r="R31" s="58" t="e">
        <f t="shared" si="20"/>
        <v>#VALUE!</v>
      </c>
      <c r="S31" s="58" t="str">
        <f>IFERROR(VLOOKUP(MID(N31,Q31,R31-Q31),[6]skilldef!$C:$D,2,FALSE),"-") &amp; " / " &amp; IFERROR(VLOOKUP(MID(N31,O31,P31-O31),[6]skilldef!$A:$B,2,FALSE),"-")</f>
        <v>- / -</v>
      </c>
      <c r="T31" s="44" t="str">
        <f t="shared" si="21"/>
        <v>none</v>
      </c>
      <c r="U31" s="58" t="e">
        <f t="shared" si="22"/>
        <v>#VALUE!</v>
      </c>
      <c r="V31" s="58">
        <f t="shared" si="23"/>
        <v>4</v>
      </c>
      <c r="W31" s="58" t="e">
        <f t="shared" si="24"/>
        <v>#VALUE!</v>
      </c>
      <c r="X31" s="58" t="e">
        <f t="shared" si="25"/>
        <v>#VALUE!</v>
      </c>
      <c r="Y31" s="58" t="str">
        <f>IFERROR(VLOOKUP(MID(T31,W31,X31-W31),[6]skilldef!$C:$D,2,FALSE),"-") &amp; " / " &amp; IFERROR(VLOOKUP(MID(T31,U31,V31-U31),[6]skilldef!$A:$B,2,FALSE),"-")</f>
        <v>- / -</v>
      </c>
      <c r="Z31" s="46"/>
      <c r="AA31" s="48"/>
      <c r="AB31" s="46"/>
    </row>
    <row r="32" spans="1:28" s="130" customFormat="1" ht="21" customHeight="1" x14ac:dyDescent="0.15">
      <c r="A32" s="129">
        <v>50003032</v>
      </c>
      <c r="B32" s="43" t="s">
        <v>261</v>
      </c>
      <c r="C32" s="46">
        <v>3</v>
      </c>
      <c r="D32" s="46" t="s">
        <v>126</v>
      </c>
      <c r="E32" s="47" t="s">
        <v>318</v>
      </c>
      <c r="F32" s="47" t="s">
        <v>266</v>
      </c>
      <c r="G32" s="58" t="str">
        <f t="shared" si="0"/>
        <v>[effect:critical, val:1.3]</v>
      </c>
      <c r="H32" s="58">
        <f t="shared" si="1"/>
        <v>9</v>
      </c>
      <c r="I32" s="58">
        <f t="shared" si="2"/>
        <v>17</v>
      </c>
      <c r="J32" s="58" t="e">
        <f t="shared" si="3"/>
        <v>#VALUE!</v>
      </c>
      <c r="K32" s="58" t="e">
        <f t="shared" si="4"/>
        <v>#VALUE!</v>
      </c>
      <c r="L32" s="58" t="str">
        <f>IFERROR(VLOOKUP(MID(G32,J32,K32-J32),[6]skilldef!$C:$D,2,FALSE),"-") &amp; " / " &amp; IFERROR(VLOOKUP(MID(G32,H32,I32-H32),[6]skilldef!$A:$B,2,FALSE),"-")</f>
        <v>- / 大攻撃</v>
      </c>
      <c r="M32" s="58" t="str">
        <f t="shared" si="16"/>
        <v>none</v>
      </c>
      <c r="N32" s="44" t="str">
        <f>IFERROR(LEFT(M32,FIND("],",M32)+S45),M32)</f>
        <v>none</v>
      </c>
      <c r="O32" s="58" t="e">
        <f t="shared" si="17"/>
        <v>#VALUE!</v>
      </c>
      <c r="P32" s="58">
        <f t="shared" si="18"/>
        <v>4</v>
      </c>
      <c r="Q32" s="58" t="e">
        <f t="shared" si="19"/>
        <v>#VALUE!</v>
      </c>
      <c r="R32" s="58" t="e">
        <f t="shared" si="20"/>
        <v>#VALUE!</v>
      </c>
      <c r="S32" s="58" t="str">
        <f>IFERROR(VLOOKUP(MID(N32,Q32,R32-Q32),[6]skilldef!$C:$D,2,FALSE),"-") &amp; " / " &amp; IFERROR(VLOOKUP(MID(N32,O32,P32-O32),[6]skilldef!$A:$B,2,FALSE),"-")</f>
        <v>- / -</v>
      </c>
      <c r="T32" s="44" t="str">
        <f t="shared" si="21"/>
        <v>none</v>
      </c>
      <c r="U32" s="58" t="e">
        <f t="shared" si="22"/>
        <v>#VALUE!</v>
      </c>
      <c r="V32" s="58">
        <f t="shared" si="23"/>
        <v>4</v>
      </c>
      <c r="W32" s="58" t="e">
        <f t="shared" si="24"/>
        <v>#VALUE!</v>
      </c>
      <c r="X32" s="58" t="e">
        <f t="shared" si="25"/>
        <v>#VALUE!</v>
      </c>
      <c r="Y32" s="58" t="str">
        <f>IFERROR(VLOOKUP(MID(T32,W32,X32-W32),[6]skilldef!$C:$D,2,FALSE),"-") &amp; " / " &amp; IFERROR(VLOOKUP(MID(T32,U32,V32-U32),[6]skilldef!$A:$B,2,FALSE),"-")</f>
        <v>- / -</v>
      </c>
      <c r="Z32" s="46"/>
      <c r="AA32" s="48"/>
      <c r="AB32" s="46"/>
    </row>
    <row r="33" spans="1:28" s="130" customFormat="1" ht="21" customHeight="1" x14ac:dyDescent="0.15">
      <c r="A33" s="129">
        <v>50003033</v>
      </c>
      <c r="B33" s="43" t="s">
        <v>228</v>
      </c>
      <c r="C33" s="46">
        <v>3</v>
      </c>
      <c r="D33" s="46" t="s">
        <v>126</v>
      </c>
      <c r="E33" s="47" t="s">
        <v>319</v>
      </c>
      <c r="F33" s="47" t="s">
        <v>267</v>
      </c>
      <c r="G33" s="58" t="str">
        <f t="shared" si="0"/>
        <v>[effect:spread, val:0.25]</v>
      </c>
      <c r="H33" s="58">
        <f t="shared" si="1"/>
        <v>9</v>
      </c>
      <c r="I33" s="58">
        <f t="shared" si="2"/>
        <v>15</v>
      </c>
      <c r="J33" s="58" t="e">
        <f t="shared" si="3"/>
        <v>#VALUE!</v>
      </c>
      <c r="K33" s="58" t="e">
        <f t="shared" si="4"/>
        <v>#VALUE!</v>
      </c>
      <c r="L33" s="58" t="str">
        <f>IFERROR(VLOOKUP(MID(G33,J33,K33-J33),[6]skilldef!$C:$D,2,FALSE),"-") &amp; " / " &amp; IFERROR(VLOOKUP(MID(G33,H33,I33-H33),[6]skilldef!$A:$B,2,FALSE),"-")</f>
        <v>- / 全体攻撃</v>
      </c>
      <c r="M33" s="58" t="str">
        <f t="shared" si="16"/>
        <v>[effect:rush, count:4, val:0.08]</v>
      </c>
      <c r="N33" s="44" t="str">
        <f>IFERROR(LEFT(M33,FIND("],",M33)+S46),M33)</f>
        <v>[effect:rush, count:4, val:0.08]</v>
      </c>
      <c r="O33" s="58">
        <f t="shared" si="17"/>
        <v>9</v>
      </c>
      <c r="P33" s="58">
        <f t="shared" si="18"/>
        <v>13</v>
      </c>
      <c r="Q33" s="58" t="e">
        <f t="shared" si="19"/>
        <v>#VALUE!</v>
      </c>
      <c r="R33" s="58">
        <f t="shared" si="20"/>
        <v>22</v>
      </c>
      <c r="S33" s="58" t="str">
        <f>IFERROR(VLOOKUP(MID(N33,Q33,R33-Q33),[6]skilldef!$C:$D,2,FALSE),"-") &amp; " / " &amp; IFERROR(VLOOKUP(MID(N33,O33,P33-O33),[6]skilldef!$A:$B,2,FALSE),"-")</f>
        <v>- / 連続攻撃</v>
      </c>
      <c r="T33" s="44" t="str">
        <f t="shared" si="21"/>
        <v>none</v>
      </c>
      <c r="U33" s="58" t="e">
        <f t="shared" si="22"/>
        <v>#VALUE!</v>
      </c>
      <c r="V33" s="58">
        <f t="shared" si="23"/>
        <v>4</v>
      </c>
      <c r="W33" s="58" t="e">
        <f t="shared" si="24"/>
        <v>#VALUE!</v>
      </c>
      <c r="X33" s="58" t="e">
        <f t="shared" si="25"/>
        <v>#VALUE!</v>
      </c>
      <c r="Y33" s="58" t="str">
        <f>IFERROR(VLOOKUP(MID(T33,W33,X33-W33),[6]skilldef!$C:$D,2,FALSE),"-") &amp; " / " &amp; IFERROR(VLOOKUP(MID(T33,U33,V33-U33),[6]skilldef!$A:$B,2,FALSE),"-")</f>
        <v>- / -</v>
      </c>
      <c r="Z33" s="46"/>
      <c r="AA33" s="48"/>
      <c r="AB33" s="46"/>
    </row>
    <row r="34" spans="1:28" s="130" customFormat="1" ht="21" customHeight="1" x14ac:dyDescent="0.15">
      <c r="A34" s="129">
        <v>50003034</v>
      </c>
      <c r="B34" s="43" t="s">
        <v>247</v>
      </c>
      <c r="C34" s="46">
        <v>3</v>
      </c>
      <c r="D34" s="46" t="s">
        <v>126</v>
      </c>
      <c r="E34" s="47" t="s">
        <v>320</v>
      </c>
      <c r="F34" s="47" t="s">
        <v>267</v>
      </c>
      <c r="G34" s="58" t="str">
        <f t="shared" ref="G34:G44" si="41">IFERROR(LEFT(B34,FIND("],",B34)),B34)</f>
        <v>[effect:rush, count:12, val:0.12]</v>
      </c>
      <c r="H34" s="58">
        <f t="shared" si="1"/>
        <v>9</v>
      </c>
      <c r="I34" s="58">
        <f t="shared" ref="I34:I44" si="42">IFERROR(FIND(",",G34),LEN(G34))</f>
        <v>13</v>
      </c>
      <c r="J34" s="58" t="e">
        <f t="shared" ref="J34:J44" si="43">FIND("target:",G34)+7</f>
        <v>#VALUE!</v>
      </c>
      <c r="K34" s="58">
        <f t="shared" ref="K34:K44" si="44">FIND(",",G34,I34+1)</f>
        <v>23</v>
      </c>
      <c r="L34" s="58" t="str">
        <f>IFERROR(VLOOKUP(MID(G34,J34,K34-J34),[6]skilldef!$C:$D,2,FALSE),"-") &amp; " / " &amp; IFERROR(VLOOKUP(MID(G34,H34,I34-H34),[6]skilldef!$A:$B,2,FALSE),"-")</f>
        <v>- / 連続攻撃</v>
      </c>
      <c r="M34" s="58" t="str">
        <f t="shared" si="16"/>
        <v>none</v>
      </c>
      <c r="N34" s="44" t="str">
        <f>IFERROR(LEFT(M34,FIND("],",M34)+S47),M34)</f>
        <v>none</v>
      </c>
      <c r="O34" s="58" t="e">
        <f t="shared" si="17"/>
        <v>#VALUE!</v>
      </c>
      <c r="P34" s="58">
        <f t="shared" si="18"/>
        <v>4</v>
      </c>
      <c r="Q34" s="58" t="e">
        <f t="shared" si="19"/>
        <v>#VALUE!</v>
      </c>
      <c r="R34" s="58" t="e">
        <f t="shared" si="20"/>
        <v>#VALUE!</v>
      </c>
      <c r="S34" s="58" t="str">
        <f>IFERROR(VLOOKUP(MID(N34,Q34,R34-Q34),[6]skilldef!$C:$D,2,FALSE),"-") &amp; " / " &amp; IFERROR(VLOOKUP(MID(N34,O34,P34-O34),[6]skilldef!$A:$B,2,FALSE),"-")</f>
        <v>- / -</v>
      </c>
      <c r="T34" s="44" t="str">
        <f t="shared" si="21"/>
        <v>none</v>
      </c>
      <c r="U34" s="58" t="e">
        <f t="shared" si="22"/>
        <v>#VALUE!</v>
      </c>
      <c r="V34" s="58">
        <f t="shared" si="23"/>
        <v>4</v>
      </c>
      <c r="W34" s="58" t="e">
        <f t="shared" si="24"/>
        <v>#VALUE!</v>
      </c>
      <c r="X34" s="58" t="e">
        <f t="shared" si="25"/>
        <v>#VALUE!</v>
      </c>
      <c r="Y34" s="58" t="str">
        <f>IFERROR(VLOOKUP(MID(T34,W34,X34-W34),[6]skilldef!$C:$D,2,FALSE),"-") &amp; " / " &amp; IFERROR(VLOOKUP(MID(T34,U34,V34-U34),[6]skilldef!$A:$B,2,FALSE),"-")</f>
        <v>- / -</v>
      </c>
      <c r="Z34" s="46"/>
      <c r="AA34" s="48"/>
      <c r="AB34" s="46"/>
    </row>
    <row r="35" spans="1:28" s="130" customFormat="1" ht="21" customHeight="1" x14ac:dyDescent="0.15">
      <c r="A35" s="129">
        <v>50003035</v>
      </c>
      <c r="B35" s="90" t="s">
        <v>227</v>
      </c>
      <c r="C35" s="46">
        <v>3</v>
      </c>
      <c r="D35" s="46" t="s">
        <v>126</v>
      </c>
      <c r="E35" s="47" t="s">
        <v>313</v>
      </c>
      <c r="F35" s="47" t="s">
        <v>265</v>
      </c>
      <c r="G35" s="58" t="str">
        <f t="shared" si="41"/>
        <v>[effect:enhance_enemy, target:myself, turn:1, status:defense, val:5000, calc:add, animation:enemy_enhance_defense]</v>
      </c>
      <c r="H35" s="58">
        <f t="shared" si="1"/>
        <v>9</v>
      </c>
      <c r="I35" s="58">
        <f t="shared" si="42"/>
        <v>22</v>
      </c>
      <c r="J35" s="58">
        <f t="shared" si="43"/>
        <v>31</v>
      </c>
      <c r="K35" s="58">
        <f t="shared" si="44"/>
        <v>37</v>
      </c>
      <c r="L35" s="58" t="str">
        <f>IFERROR(VLOOKUP(MID(G35,J35,K35-J35),[6]skilldef!$C:$D,2,FALSE),"-") &amp; " / " &amp; IFERROR(VLOOKUP(MID(G35,H35,I35-H35),[6]skilldef!$A:$B,2,FALSE),"-")</f>
        <v>自分自身に / ステータス強化</v>
      </c>
      <c r="M35" s="58" t="str">
        <f t="shared" si="16"/>
        <v>none</v>
      </c>
      <c r="N35" s="44" t="str">
        <f>IFERROR(LEFT(M35,FIND("],",M35)+S48),M35)</f>
        <v>none</v>
      </c>
      <c r="O35" s="58" t="e">
        <f t="shared" si="17"/>
        <v>#VALUE!</v>
      </c>
      <c r="P35" s="58">
        <f t="shared" si="18"/>
        <v>4</v>
      </c>
      <c r="Q35" s="58" t="e">
        <f t="shared" si="19"/>
        <v>#VALUE!</v>
      </c>
      <c r="R35" s="58" t="e">
        <f t="shared" si="20"/>
        <v>#VALUE!</v>
      </c>
      <c r="S35" s="58" t="str">
        <f>IFERROR(VLOOKUP(MID(N35,Q35,R35-Q35),[6]skilldef!$C:$D,2,FALSE),"-") &amp; " / " &amp; IFERROR(VLOOKUP(MID(N35,O35,P35-O35),[6]skilldef!$A:$B,2,FALSE),"-")</f>
        <v>- / -</v>
      </c>
      <c r="T35" s="44" t="str">
        <f t="shared" si="21"/>
        <v>none</v>
      </c>
      <c r="U35" s="58" t="e">
        <f t="shared" si="22"/>
        <v>#VALUE!</v>
      </c>
      <c r="V35" s="58">
        <f t="shared" si="23"/>
        <v>4</v>
      </c>
      <c r="W35" s="58" t="e">
        <f t="shared" si="24"/>
        <v>#VALUE!</v>
      </c>
      <c r="X35" s="58" t="e">
        <f t="shared" si="25"/>
        <v>#VALUE!</v>
      </c>
      <c r="Y35" s="58" t="str">
        <f>IFERROR(VLOOKUP(MID(T35,W35,X35-W35),[6]skilldef!$C:$D,2,FALSE),"-") &amp; " / " &amp; IFERROR(VLOOKUP(MID(T35,U35,V35-U35),[6]skilldef!$A:$B,2,FALSE),"-")</f>
        <v>- / -</v>
      </c>
      <c r="Z35" s="46"/>
      <c r="AA35" s="48"/>
      <c r="AB35" s="46"/>
    </row>
    <row r="36" spans="1:28" s="130" customFormat="1" ht="21" customHeight="1" x14ac:dyDescent="0.15">
      <c r="A36" s="129">
        <v>50003036</v>
      </c>
      <c r="B36" s="90" t="s">
        <v>220</v>
      </c>
      <c r="C36" s="46">
        <v>3</v>
      </c>
      <c r="D36" s="46" t="s">
        <v>126</v>
      </c>
      <c r="E36" s="47" t="s">
        <v>237</v>
      </c>
      <c r="F36" s="114" t="s">
        <v>235</v>
      </c>
      <c r="G36" s="58" t="str">
        <f t="shared" si="41"/>
        <v>[effect:enemy_message, val1:1.2, val2:0, dead_type:suicide]</v>
      </c>
      <c r="H36" s="58">
        <f t="shared" si="1"/>
        <v>9</v>
      </c>
      <c r="I36" s="58">
        <f t="shared" si="42"/>
        <v>22</v>
      </c>
      <c r="J36" s="58" t="e">
        <f t="shared" si="43"/>
        <v>#VALUE!</v>
      </c>
      <c r="K36" s="58">
        <f t="shared" si="44"/>
        <v>32</v>
      </c>
      <c r="L36" s="58" t="str">
        <f>IFERROR(VLOOKUP(MID(G36,J36,K36-J36),[6]skilldef!$C:$D,2,FALSE),"-") &amp; " / " &amp; IFERROR(VLOOKUP(MID(G36,H36,I36-H36),[6]skilldef!$A:$B,2,FALSE),"-")</f>
        <v>- / -</v>
      </c>
      <c r="M36" s="58" t="str">
        <f t="shared" si="16"/>
        <v>none</v>
      </c>
      <c r="N36" s="44" t="str">
        <f>IFERROR(LEFT(M36,FIND("],",M36)+S49),M36)</f>
        <v>none</v>
      </c>
      <c r="O36" s="58" t="e">
        <f t="shared" si="17"/>
        <v>#VALUE!</v>
      </c>
      <c r="P36" s="58">
        <f t="shared" si="18"/>
        <v>4</v>
      </c>
      <c r="Q36" s="58" t="e">
        <f t="shared" si="19"/>
        <v>#VALUE!</v>
      </c>
      <c r="R36" s="58" t="e">
        <f t="shared" si="20"/>
        <v>#VALUE!</v>
      </c>
      <c r="S36" s="58" t="str">
        <f>IFERROR(VLOOKUP(MID(N36,Q36,R36-Q36),[6]skilldef!$C:$D,2,FALSE),"-") &amp; " / " &amp; IFERROR(VLOOKUP(MID(N36,O36,P36-O36),[6]skilldef!$A:$B,2,FALSE),"-")</f>
        <v>- / -</v>
      </c>
      <c r="T36" s="44" t="str">
        <f t="shared" si="21"/>
        <v>none</v>
      </c>
      <c r="U36" s="58" t="e">
        <f t="shared" si="22"/>
        <v>#VALUE!</v>
      </c>
      <c r="V36" s="58">
        <f t="shared" si="23"/>
        <v>4</v>
      </c>
      <c r="W36" s="58" t="e">
        <f t="shared" si="24"/>
        <v>#VALUE!</v>
      </c>
      <c r="X36" s="58" t="e">
        <f t="shared" si="25"/>
        <v>#VALUE!</v>
      </c>
      <c r="Y36" s="58" t="str">
        <f>IFERROR(VLOOKUP(MID(T36,W36,X36-W36),[6]skilldef!$C:$D,2,FALSE),"-") &amp; " / " &amp; IFERROR(VLOOKUP(MID(T36,U36,V36-U36),[6]skilldef!$A:$B,2,FALSE),"-")</f>
        <v>- / -</v>
      </c>
      <c r="Z36" s="46"/>
      <c r="AA36" s="48"/>
      <c r="AB36" s="46"/>
    </row>
    <row r="37" spans="1:28" s="139" customFormat="1" ht="21" customHeight="1" thickBot="1" x14ac:dyDescent="0.2">
      <c r="A37" s="131">
        <v>50003039</v>
      </c>
      <c r="B37" s="132" t="s">
        <v>401</v>
      </c>
      <c r="C37" s="133">
        <v>3</v>
      </c>
      <c r="D37" s="133" t="s">
        <v>126</v>
      </c>
      <c r="E37" s="134" t="s">
        <v>329</v>
      </c>
      <c r="F37" s="134" t="s">
        <v>268</v>
      </c>
      <c r="G37" s="136" t="str">
        <f t="shared" si="41"/>
        <v>[effect:force_change_block, new_block:jammer, target:block_all, ignore01:jammer, ignore02:crash, ignore03:color_break, ignore04:magnet, count:1, val:0, animation:change_block]</v>
      </c>
      <c r="H37" s="136">
        <f t="shared" si="1"/>
        <v>9</v>
      </c>
      <c r="I37" s="136">
        <f t="shared" si="42"/>
        <v>27</v>
      </c>
      <c r="J37" s="136">
        <f t="shared" si="43"/>
        <v>54</v>
      </c>
      <c r="K37" s="136">
        <f t="shared" si="44"/>
        <v>45</v>
      </c>
      <c r="L37" s="136" t="str">
        <f>IFERROR(VLOOKUP(MID(G37,J37,K37-J37),[6]skilldef!$C:$D,2,FALSE),"-") &amp; " / " &amp; IFERROR(VLOOKUP(MID(G37,H37,I37-H37),[6]skilldef!$A:$B,2,FALSE),"-")</f>
        <v>- / -</v>
      </c>
      <c r="M37" s="136" t="str">
        <f t="shared" si="16"/>
        <v>none</v>
      </c>
      <c r="N37" s="137" t="str">
        <f>IFERROR(LEFT(M37,FIND("],",M37)+#REF!),M37)</f>
        <v>none</v>
      </c>
      <c r="O37" s="136" t="e">
        <f t="shared" si="17"/>
        <v>#VALUE!</v>
      </c>
      <c r="P37" s="136">
        <f t="shared" si="18"/>
        <v>4</v>
      </c>
      <c r="Q37" s="136" t="e">
        <f t="shared" si="19"/>
        <v>#VALUE!</v>
      </c>
      <c r="R37" s="136" t="e">
        <f t="shared" si="20"/>
        <v>#VALUE!</v>
      </c>
      <c r="S37" s="136" t="str">
        <f>IFERROR(VLOOKUP(MID(N37,Q37,R37-Q37),[6]skilldef!$C:$D,2,FALSE),"-") &amp; " / " &amp; IFERROR(VLOOKUP(MID(N37,O37,P37-O37),[6]skilldef!$A:$B,2,FALSE),"-")</f>
        <v>- / -</v>
      </c>
      <c r="T37" s="137" t="str">
        <f t="shared" si="21"/>
        <v>none</v>
      </c>
      <c r="U37" s="136" t="e">
        <f t="shared" si="22"/>
        <v>#VALUE!</v>
      </c>
      <c r="V37" s="136">
        <f t="shared" si="23"/>
        <v>4</v>
      </c>
      <c r="W37" s="136" t="e">
        <f t="shared" si="24"/>
        <v>#VALUE!</v>
      </c>
      <c r="X37" s="136" t="e">
        <f t="shared" si="25"/>
        <v>#VALUE!</v>
      </c>
      <c r="Y37" s="136" t="str">
        <f>IFERROR(VLOOKUP(MID(T37,W37,X37-W37),[6]skilldef!$C:$D,2,FALSE),"-") &amp; " / " &amp; IFERROR(VLOOKUP(MID(T37,U37,V37-U37),[6]skilldef!$A:$B,2,FALSE),"-")</f>
        <v>- / -</v>
      </c>
      <c r="Z37" s="133"/>
      <c r="AA37" s="138"/>
      <c r="AB37" s="133"/>
    </row>
    <row r="38" spans="1:28" ht="21" customHeight="1" x14ac:dyDescent="0.15">
      <c r="A38" s="115">
        <v>50003041</v>
      </c>
      <c r="B38" s="116" t="s">
        <v>402</v>
      </c>
      <c r="C38" s="117">
        <v>3</v>
      </c>
      <c r="D38" s="117" t="s">
        <v>126</v>
      </c>
      <c r="E38" s="141" t="s">
        <v>328</v>
      </c>
      <c r="F38" s="118" t="s">
        <v>272</v>
      </c>
      <c r="G38" s="119" t="str">
        <f t="shared" si="41"/>
        <v>[effect:force_change_block, new_block:jammer, target:block_all, ignore01:jammer, ignore02:crash, ignore03:color_break, ignore04:magnet, count:3, val:0, animation:change_block]</v>
      </c>
      <c r="H38" s="119">
        <f t="shared" si="1"/>
        <v>9</v>
      </c>
      <c r="I38" s="119">
        <f t="shared" si="42"/>
        <v>27</v>
      </c>
      <c r="J38" s="119">
        <f t="shared" si="43"/>
        <v>54</v>
      </c>
      <c r="K38" s="119">
        <f t="shared" si="44"/>
        <v>45</v>
      </c>
      <c r="L38" s="119" t="str">
        <f>IFERROR(VLOOKUP(MID(G38,J38,K38-J38),[6]skilldef!$C:$D,2,FALSE),"-") &amp; " / " &amp; IFERROR(VLOOKUP(MID(G38,H38,I38-H38),[6]skilldef!$A:$B,2,FALSE),"-")</f>
        <v>- / -</v>
      </c>
      <c r="M38" s="119" t="str">
        <f t="shared" si="16"/>
        <v xml:space="preserve">[effect:tolerance, target:myself, turn:-1, tolerance_effect:hungup, count:-1],[effect:tolerance, target:myself, turn:-1, tolerance_effect:virus, count:-1],[effect:tolerance, target:myself, turn:-1, tolerance_effect:sleep, count:-1, animation:enemy_tolerance] </v>
      </c>
      <c r="N38" s="105" t="str">
        <f>IFERROR(LEFT(M38,FIND("],",M38)+S53),M38)</f>
        <v xml:space="preserve">[effect:tolerance, target:myself, turn:-1, tolerance_effect:hungup, count:-1],[effect:tolerance, target:myself, turn:-1, tolerance_effect:virus, count:-1],[effect:tolerance, target:myself, turn:-1, tolerance_effect:sleep, count:-1, animation:enemy_tolerance] </v>
      </c>
      <c r="O38" s="119">
        <f t="shared" si="17"/>
        <v>9</v>
      </c>
      <c r="P38" s="119">
        <f t="shared" si="18"/>
        <v>18</v>
      </c>
      <c r="Q38" s="119">
        <f t="shared" si="19"/>
        <v>27</v>
      </c>
      <c r="R38" s="119">
        <f t="shared" si="20"/>
        <v>33</v>
      </c>
      <c r="S38" s="119" t="str">
        <f>IFERROR(VLOOKUP(MID(N38,Q38,R38-Q38),[6]skilldef!$C:$D,2,FALSE),"-") &amp; " / " &amp; IFERROR(VLOOKUP(MID(N38,O38,P38-O38),[6]skilldef!$A:$B,2,FALSE),"-")</f>
        <v>自分自身に / 状態異常耐性</v>
      </c>
      <c r="T38" s="105" t="str">
        <f t="shared" si="21"/>
        <v xml:space="preserve">[effect:tolerance, target:myself, turn:-1, tolerance_effect:virus, count:-1],[effect:tolerance, target:myself, turn:-1, tolerance_effect:sleep, count:-1, animation:enemy_tolerance] </v>
      </c>
      <c r="U38" s="119">
        <f t="shared" si="22"/>
        <v>9</v>
      </c>
      <c r="V38" s="119">
        <f t="shared" si="23"/>
        <v>18</v>
      </c>
      <c r="W38" s="119">
        <f t="shared" si="24"/>
        <v>27</v>
      </c>
      <c r="X38" s="119">
        <f t="shared" si="25"/>
        <v>33</v>
      </c>
      <c r="Y38" s="119" t="str">
        <f>IFERROR(VLOOKUP(MID(T38,W38,X38-W38),[6]skilldef!$C:$D,2,FALSE),"-") &amp; " / " &amp; IFERROR(VLOOKUP(MID(T38,U38,V38-U38),[6]skilldef!$A:$B,2,FALSE),"-")</f>
        <v>自分自身に / 状態異常耐性</v>
      </c>
      <c r="Z38" s="117"/>
      <c r="AA38" s="120"/>
      <c r="AB38" s="117"/>
    </row>
    <row r="39" spans="1:28" ht="21" customHeight="1" x14ac:dyDescent="0.15">
      <c r="A39" s="90">
        <v>50003042</v>
      </c>
      <c r="B39" s="43" t="s">
        <v>403</v>
      </c>
      <c r="C39" s="46">
        <v>3</v>
      </c>
      <c r="D39" s="46" t="s">
        <v>126</v>
      </c>
      <c r="E39" s="118" t="s">
        <v>296</v>
      </c>
      <c r="F39" s="47" t="s">
        <v>272</v>
      </c>
      <c r="G39" s="58" t="str">
        <f t="shared" si="41"/>
        <v>[effect:force_change_block, new_block:jammer, target:block_all, ignore01:jammer, ignore02:crash, ignore03:color_break, ignore04:magnet, count:3, val:0, animation:change_block]</v>
      </c>
      <c r="H39" s="58">
        <f t="shared" si="1"/>
        <v>9</v>
      </c>
      <c r="I39" s="58">
        <f t="shared" si="42"/>
        <v>27</v>
      </c>
      <c r="J39" s="58">
        <f t="shared" si="43"/>
        <v>54</v>
      </c>
      <c r="K39" s="58">
        <f t="shared" si="44"/>
        <v>45</v>
      </c>
      <c r="L39" s="58" t="str">
        <f>IFERROR(VLOOKUP(MID(G39,J39,K39-J39),[6]skilldef!$C:$D,2,FALSE),"-") &amp; " / " &amp; IFERROR(VLOOKUP(MID(G39,H39,I39-H39),[6]skilldef!$A:$B,2,FALSE),"-")</f>
        <v>- / -</v>
      </c>
      <c r="M39" s="58" t="str">
        <f t="shared" ref="M39:M44" si="45">IFERROR(RIGHT(B39,LEN(B39)-FIND("],",B39)-1),"none")</f>
        <v xml:space="preserve">[effect:tolerance, target:myself, turn:-1, tolerance_effect:hungup, count:-1],[effect:tolerance, target:myself, turn:-1, tolerance_effect:virus, count:-1],[effect:tolerance, target:myself, turn:-1, tolerance_effect:sleep, count:-1, animation:enemy_tolerance] </v>
      </c>
      <c r="N39" s="44" t="str">
        <f t="shared" ref="N39:N42" si="46">IFERROR(LEFT(M39,FIND("],",M39)+S48),M39)</f>
        <v xml:space="preserve">[effect:tolerance, target:myself, turn:-1, tolerance_effect:hungup, count:-1],[effect:tolerance, target:myself, turn:-1, tolerance_effect:virus, count:-1],[effect:tolerance, target:myself, turn:-1, tolerance_effect:sleep, count:-1, animation:enemy_tolerance] </v>
      </c>
      <c r="O39" s="58">
        <f t="shared" si="7"/>
        <v>9</v>
      </c>
      <c r="P39" s="58">
        <f t="shared" ref="P39:P44" si="47">IFERROR(FIND(",",N39),LEN(N39))</f>
        <v>18</v>
      </c>
      <c r="Q39" s="58">
        <f t="shared" ref="Q39:Q44" si="48">FIND("target:",N39)+7</f>
        <v>27</v>
      </c>
      <c r="R39" s="58">
        <f t="shared" ref="R39:R44" si="49">FIND(",",N39,P39+1)</f>
        <v>33</v>
      </c>
      <c r="S39" s="58" t="str">
        <f>IFERROR(VLOOKUP(MID(N39,Q39,R39-Q39),[6]skilldef!$C:$D,2,FALSE),"-") &amp; " / " &amp; IFERROR(VLOOKUP(MID(N39,O39,P39-O39),[6]skilldef!$A:$B,2,FALSE),"-")</f>
        <v>自分自身に / 状態異常耐性</v>
      </c>
      <c r="T39" s="44" t="str">
        <f t="shared" ref="T39:T44" si="50">IFERROR(RIGHT(M39,LEN(M39)-FIND("],",M39)-1),"none")</f>
        <v xml:space="preserve">[effect:tolerance, target:myself, turn:-1, tolerance_effect:virus, count:-1],[effect:tolerance, target:myself, turn:-1, tolerance_effect:sleep, count:-1, animation:enemy_tolerance] </v>
      </c>
      <c r="U39" s="58">
        <f t="shared" si="12"/>
        <v>9</v>
      </c>
      <c r="V39" s="58">
        <f t="shared" ref="V39:V44" si="51">IFERROR(FIND(",",T39),LEN(T39))</f>
        <v>18</v>
      </c>
      <c r="W39" s="58">
        <f t="shared" ref="W39:W44" si="52">FIND("target:",T39)+7</f>
        <v>27</v>
      </c>
      <c r="X39" s="58">
        <f t="shared" ref="X39:X44" si="53">FIND(",",T39,V39+1)</f>
        <v>33</v>
      </c>
      <c r="Y39" s="58" t="str">
        <f>IFERROR(VLOOKUP(MID(T39,W39,X39-W39),[6]skilldef!$C:$D,2,FALSE),"-") &amp; " / " &amp; IFERROR(VLOOKUP(MID(T39,U39,V39-U39),[6]skilldef!$A:$B,2,FALSE),"-")</f>
        <v>自分自身に / 状態異常耐性</v>
      </c>
      <c r="Z39" s="46"/>
      <c r="AA39" s="48"/>
      <c r="AB39" s="46"/>
    </row>
    <row r="40" spans="1:28" ht="21" customHeight="1" x14ac:dyDescent="0.15">
      <c r="A40" s="90">
        <v>50003043</v>
      </c>
      <c r="B40" s="151" t="s">
        <v>378</v>
      </c>
      <c r="C40" s="46">
        <v>3</v>
      </c>
      <c r="D40" s="46" t="s">
        <v>126</v>
      </c>
      <c r="E40" s="47" t="s">
        <v>300</v>
      </c>
      <c r="F40" s="47" t="s">
        <v>299</v>
      </c>
      <c r="G40" s="58" t="str">
        <f t="shared" si="41"/>
        <v>[effect:spread, val:0.06]</v>
      </c>
      <c r="H40" s="58">
        <f t="shared" si="1"/>
        <v>9</v>
      </c>
      <c r="I40" s="58">
        <f t="shared" si="42"/>
        <v>15</v>
      </c>
      <c r="J40" s="58" t="e">
        <f t="shared" si="43"/>
        <v>#VALUE!</v>
      </c>
      <c r="K40" s="58" t="e">
        <f t="shared" si="44"/>
        <v>#VALUE!</v>
      </c>
      <c r="L40" s="58" t="str">
        <f>IFERROR(VLOOKUP(MID(G40,J40,K40-J40),[6]skilldef!$C:$D,2,FALSE),"-") &amp; " / " &amp; IFERROR(VLOOKUP(MID(G40,H40,I40-H40),[6]skilldef!$A:$B,2,FALSE),"-")</f>
        <v>- / 全体攻撃</v>
      </c>
      <c r="M40" s="58" t="str">
        <f t="shared" si="45"/>
        <v>[effect:spread, val:0.07],[effect:spread, val:0.09]</v>
      </c>
      <c r="N40" s="44" t="str">
        <f t="shared" si="46"/>
        <v>[effect:spread, val:0.07],[effect:spread, val:0.09]</v>
      </c>
      <c r="O40" s="58">
        <f t="shared" si="7"/>
        <v>9</v>
      </c>
      <c r="P40" s="58">
        <f t="shared" si="47"/>
        <v>15</v>
      </c>
      <c r="Q40" s="58" t="e">
        <f t="shared" si="48"/>
        <v>#VALUE!</v>
      </c>
      <c r="R40" s="58">
        <f t="shared" si="49"/>
        <v>26</v>
      </c>
      <c r="S40" s="58" t="str">
        <f>IFERROR(VLOOKUP(MID(N40,Q40,R40-Q40),[6]skilldef!$C:$D,2,FALSE),"-") &amp; " / " &amp; IFERROR(VLOOKUP(MID(N40,O40,P40-O40),[6]skilldef!$A:$B,2,FALSE),"-")</f>
        <v>- / 全体攻撃</v>
      </c>
      <c r="T40" s="44" t="str">
        <f t="shared" si="50"/>
        <v>[effect:spread, val:0.09]</v>
      </c>
      <c r="U40" s="58">
        <f t="shared" si="12"/>
        <v>9</v>
      </c>
      <c r="V40" s="58">
        <f t="shared" si="51"/>
        <v>15</v>
      </c>
      <c r="W40" s="58" t="e">
        <f t="shared" si="52"/>
        <v>#VALUE!</v>
      </c>
      <c r="X40" s="58" t="e">
        <f t="shared" si="53"/>
        <v>#VALUE!</v>
      </c>
      <c r="Y40" s="58" t="str">
        <f>IFERROR(VLOOKUP(MID(T40,W40,X40-W40),[6]skilldef!$C:$D,2,FALSE),"-") &amp; " / " &amp; IFERROR(VLOOKUP(MID(T40,U40,V40-U40),[6]skilldef!$A:$B,2,FALSE),"-")</f>
        <v>- / 全体攻撃</v>
      </c>
      <c r="Z40" s="46"/>
      <c r="AA40" s="48"/>
      <c r="AB40" s="46"/>
    </row>
    <row r="41" spans="1:28" ht="21" customHeight="1" x14ac:dyDescent="0.15">
      <c r="A41" s="90">
        <v>50003044</v>
      </c>
      <c r="B41" s="43" t="s">
        <v>370</v>
      </c>
      <c r="C41" s="46">
        <v>3</v>
      </c>
      <c r="D41" s="46" t="s">
        <v>126</v>
      </c>
      <c r="E41" s="47" t="s">
        <v>297</v>
      </c>
      <c r="F41" s="47" t="s">
        <v>269</v>
      </c>
      <c r="G41" s="58" t="str">
        <f t="shared" si="41"/>
        <v>[effect:virus, turn:3, target:unit_all, rate:1, val:0.1, animation:enemy_virus]</v>
      </c>
      <c r="H41" s="58">
        <f t="shared" si="1"/>
        <v>9</v>
      </c>
      <c r="I41" s="58">
        <f t="shared" si="42"/>
        <v>14</v>
      </c>
      <c r="J41" s="58">
        <f t="shared" si="43"/>
        <v>31</v>
      </c>
      <c r="K41" s="58">
        <f t="shared" si="44"/>
        <v>22</v>
      </c>
      <c r="L41" s="58" t="str">
        <f>IFERROR(VLOOKUP(MID(G41,J41,K41-J41),[6]skilldef!$C:$D,2,FALSE),"-") &amp; " / " &amp; IFERROR(VLOOKUP(MID(G41,H41,I41-H41),[6]skilldef!$A:$B,2,FALSE),"-")</f>
        <v>- / ウィルス</v>
      </c>
      <c r="M41" s="58" t="str">
        <f t="shared" si="45"/>
        <v>[effect:rush, count:1, val:0.6]</v>
      </c>
      <c r="N41" s="44" t="str">
        <f t="shared" si="46"/>
        <v>[effect:rush, count:1, val:0.6]</v>
      </c>
      <c r="O41" s="58">
        <f t="shared" si="7"/>
        <v>9</v>
      </c>
      <c r="P41" s="58">
        <f t="shared" si="47"/>
        <v>13</v>
      </c>
      <c r="Q41" s="58" t="e">
        <f t="shared" si="48"/>
        <v>#VALUE!</v>
      </c>
      <c r="R41" s="58">
        <f t="shared" si="49"/>
        <v>22</v>
      </c>
      <c r="S41" s="58" t="str">
        <f>IFERROR(VLOOKUP(MID(N41,Q41,R41-Q41),[6]skilldef!$C:$D,2,FALSE),"-") &amp; " / " &amp; IFERROR(VLOOKUP(MID(N41,O41,P41-O41),[6]skilldef!$A:$B,2,FALSE),"-")</f>
        <v>- / 連続攻撃</v>
      </c>
      <c r="T41" s="44" t="str">
        <f t="shared" si="50"/>
        <v>none</v>
      </c>
      <c r="U41" s="58" t="e">
        <f t="shared" si="12"/>
        <v>#VALUE!</v>
      </c>
      <c r="V41" s="58">
        <f t="shared" si="51"/>
        <v>4</v>
      </c>
      <c r="W41" s="58" t="e">
        <f t="shared" si="52"/>
        <v>#VALUE!</v>
      </c>
      <c r="X41" s="58" t="e">
        <f t="shared" si="53"/>
        <v>#VALUE!</v>
      </c>
      <c r="Y41" s="58" t="str">
        <f>IFERROR(VLOOKUP(MID(T41,W41,X41-W41),[6]skilldef!$C:$D,2,FALSE),"-") &amp; " / " &amp; IFERROR(VLOOKUP(MID(T41,U41,V41-U41),[6]skilldef!$A:$B,2,FALSE),"-")</f>
        <v>- / -</v>
      </c>
      <c r="Z41" s="46"/>
      <c r="AA41" s="48"/>
      <c r="AB41" s="46"/>
    </row>
    <row r="42" spans="1:28" ht="21" customHeight="1" x14ac:dyDescent="0.15">
      <c r="A42" s="90">
        <v>50003045</v>
      </c>
      <c r="B42" s="43" t="s">
        <v>330</v>
      </c>
      <c r="C42" s="46">
        <v>3</v>
      </c>
      <c r="D42" s="46" t="s">
        <v>126</v>
      </c>
      <c r="E42" s="47" t="s">
        <v>348</v>
      </c>
      <c r="F42" s="47" t="s">
        <v>270</v>
      </c>
      <c r="G42" s="58" t="str">
        <f t="shared" si="41"/>
        <v>[effect:damage_anti_tribe, target:unit_all, tribe:god, val1:0.8, val2:0.28]</v>
      </c>
      <c r="H42" s="58">
        <f t="shared" si="1"/>
        <v>9</v>
      </c>
      <c r="I42" s="58">
        <f t="shared" si="42"/>
        <v>26</v>
      </c>
      <c r="J42" s="58">
        <f t="shared" si="43"/>
        <v>35</v>
      </c>
      <c r="K42" s="58">
        <f t="shared" si="44"/>
        <v>43</v>
      </c>
      <c r="L42" s="58" t="str">
        <f>IFERROR(VLOOKUP(MID(G42,J42,K42-J42),[6]skilldef!$C:$D,2,FALSE),"-") &amp; " / " &amp; IFERROR(VLOOKUP(MID(G42,H42,I42-H42),[6]skilldef!$A:$B,2,FALSE),"-")</f>
        <v>味方全体に / 種族キラー</v>
      </c>
      <c r="M42" s="58" t="str">
        <f t="shared" si="45"/>
        <v>none</v>
      </c>
      <c r="N42" s="44" t="str">
        <f t="shared" si="46"/>
        <v>none</v>
      </c>
      <c r="O42" s="58" t="e">
        <f t="shared" si="7"/>
        <v>#VALUE!</v>
      </c>
      <c r="P42" s="58">
        <f t="shared" si="47"/>
        <v>4</v>
      </c>
      <c r="Q42" s="58" t="e">
        <f t="shared" si="48"/>
        <v>#VALUE!</v>
      </c>
      <c r="R42" s="58" t="e">
        <f t="shared" si="49"/>
        <v>#VALUE!</v>
      </c>
      <c r="S42" s="58" t="str">
        <f>IFERROR(VLOOKUP(MID(N42,Q42,R42-Q42),[6]skilldef!$C:$D,2,FALSE),"-") &amp; " / " &amp; IFERROR(VLOOKUP(MID(N42,O42,P42-O42),[6]skilldef!$A:$B,2,FALSE),"-")</f>
        <v>- / -</v>
      </c>
      <c r="T42" s="44" t="str">
        <f t="shared" si="50"/>
        <v>none</v>
      </c>
      <c r="U42" s="58" t="e">
        <f t="shared" si="12"/>
        <v>#VALUE!</v>
      </c>
      <c r="V42" s="58">
        <f t="shared" si="51"/>
        <v>4</v>
      </c>
      <c r="W42" s="58" t="e">
        <f t="shared" si="52"/>
        <v>#VALUE!</v>
      </c>
      <c r="X42" s="58" t="e">
        <f t="shared" si="53"/>
        <v>#VALUE!</v>
      </c>
      <c r="Y42" s="58" t="str">
        <f>IFERROR(VLOOKUP(MID(T42,W42,X42-W42),[6]skilldef!$C:$D,2,FALSE),"-") &amp; " / " &amp; IFERROR(VLOOKUP(MID(T42,U42,V42-U42),[6]skilldef!$A:$B,2,FALSE),"-")</f>
        <v>- / -</v>
      </c>
      <c r="Z42" s="46"/>
      <c r="AA42" s="48"/>
      <c r="AB42" s="46"/>
    </row>
    <row r="43" spans="1:28" ht="21" customHeight="1" x14ac:dyDescent="0.15">
      <c r="A43" s="90">
        <v>50003046</v>
      </c>
      <c r="B43" s="43" t="s">
        <v>229</v>
      </c>
      <c r="C43" s="46">
        <v>3</v>
      </c>
      <c r="D43" s="46" t="s">
        <v>126</v>
      </c>
      <c r="E43" s="47" t="s">
        <v>298</v>
      </c>
      <c r="F43" s="47" t="s">
        <v>271</v>
      </c>
      <c r="G43" s="58" t="str">
        <f t="shared" si="41"/>
        <v>[effect:nothing]</v>
      </c>
      <c r="H43" s="58">
        <f t="shared" si="1"/>
        <v>9</v>
      </c>
      <c r="I43" s="58">
        <f t="shared" si="42"/>
        <v>16</v>
      </c>
      <c r="J43" s="58" t="e">
        <f t="shared" si="43"/>
        <v>#VALUE!</v>
      </c>
      <c r="K43" s="58" t="e">
        <f t="shared" si="44"/>
        <v>#VALUE!</v>
      </c>
      <c r="L43" s="58" t="str">
        <f>IFERROR(VLOOKUP(MID(G43,J43,K43-J43),[6]skilldef!$C:$D,2,FALSE),"-") &amp; " / " &amp; IFERROR(VLOOKUP(MID(G43,H43,I43-H43),[6]skilldef!$A:$B,2,FALSE),"-")</f>
        <v>- / 何もしない</v>
      </c>
      <c r="M43" s="58" t="str">
        <f t="shared" si="45"/>
        <v>none</v>
      </c>
      <c r="N43" s="44" t="str">
        <f>IFERROR(LEFT(M43,FIND("],",M43)+#REF!),M43)</f>
        <v>none</v>
      </c>
      <c r="O43" s="58" t="e">
        <f t="shared" si="7"/>
        <v>#VALUE!</v>
      </c>
      <c r="P43" s="58">
        <f t="shared" si="47"/>
        <v>4</v>
      </c>
      <c r="Q43" s="58" t="e">
        <f t="shared" si="48"/>
        <v>#VALUE!</v>
      </c>
      <c r="R43" s="58" t="e">
        <f t="shared" si="49"/>
        <v>#VALUE!</v>
      </c>
      <c r="S43" s="58" t="str">
        <f>IFERROR(VLOOKUP(MID(N43,Q43,R43-Q43),[6]skilldef!$C:$D,2,FALSE),"-") &amp; " / " &amp; IFERROR(VLOOKUP(MID(N43,O43,P43-O43),[6]skilldef!$A:$B,2,FALSE),"-")</f>
        <v>- / -</v>
      </c>
      <c r="T43" s="44" t="str">
        <f t="shared" si="50"/>
        <v>none</v>
      </c>
      <c r="U43" s="58" t="e">
        <f t="shared" si="12"/>
        <v>#VALUE!</v>
      </c>
      <c r="V43" s="58">
        <f t="shared" si="51"/>
        <v>4</v>
      </c>
      <c r="W43" s="58" t="e">
        <f t="shared" si="52"/>
        <v>#VALUE!</v>
      </c>
      <c r="X43" s="58" t="e">
        <f t="shared" si="53"/>
        <v>#VALUE!</v>
      </c>
      <c r="Y43" s="58" t="str">
        <f>IFERROR(VLOOKUP(MID(T43,W43,X43-W43),[6]skilldef!$C:$D,2,FALSE),"-") &amp; " / " &amp; IFERROR(VLOOKUP(MID(T43,U43,V43-U43),[6]skilldef!$A:$B,2,FALSE),"-")</f>
        <v>- / -</v>
      </c>
      <c r="Z43" s="46"/>
      <c r="AA43" s="48"/>
      <c r="AB43" s="46"/>
    </row>
    <row r="44" spans="1:28" ht="21" customHeight="1" x14ac:dyDescent="0.15">
      <c r="A44" s="90">
        <v>50003047</v>
      </c>
      <c r="B44" s="151" t="s">
        <v>377</v>
      </c>
      <c r="C44" s="46">
        <v>3</v>
      </c>
      <c r="D44" s="46" t="s">
        <v>126</v>
      </c>
      <c r="E44" s="47" t="s">
        <v>301</v>
      </c>
      <c r="F44" s="47" t="s">
        <v>342</v>
      </c>
      <c r="G44" s="58" t="str">
        <f t="shared" si="41"/>
        <v>[effect:enhance_enemy, target:myself, turn:1, status:defense, val:10000, calc:add, animation:enemy_enhance_defense]</v>
      </c>
      <c r="H44" s="58">
        <f t="shared" si="1"/>
        <v>9</v>
      </c>
      <c r="I44" s="58">
        <f t="shared" si="42"/>
        <v>22</v>
      </c>
      <c r="J44" s="58">
        <f t="shared" si="43"/>
        <v>31</v>
      </c>
      <c r="K44" s="58">
        <f t="shared" si="44"/>
        <v>37</v>
      </c>
      <c r="L44" s="58" t="str">
        <f>IFERROR(VLOOKUP(MID(G44,J44,K44-J44),[6]skilldef!$C:$D,2,FALSE),"-") &amp; " / " &amp; IFERROR(VLOOKUP(MID(G44,H44,I44-H44),[6]skilldef!$A:$B,2,FALSE),"-")</f>
        <v>自分自身に / ステータス強化</v>
      </c>
      <c r="M44" s="58" t="str">
        <f t="shared" si="45"/>
        <v>[effect:rush, count:20, val:0.1]</v>
      </c>
      <c r="N44" s="44" t="str">
        <f>IFERROR(LEFT(M44,FIND("],",M44)+S52),M44)</f>
        <v>[effect:rush, count:20, val:0.1]</v>
      </c>
      <c r="O44" s="58">
        <f t="shared" si="7"/>
        <v>9</v>
      </c>
      <c r="P44" s="58">
        <f t="shared" si="47"/>
        <v>13</v>
      </c>
      <c r="Q44" s="58" t="e">
        <f t="shared" si="48"/>
        <v>#VALUE!</v>
      </c>
      <c r="R44" s="58">
        <f t="shared" si="49"/>
        <v>23</v>
      </c>
      <c r="S44" s="58" t="str">
        <f>IFERROR(VLOOKUP(MID(N44,Q44,R44-Q44),[6]skilldef!$C:$D,2,FALSE),"-") &amp; " / " &amp; IFERROR(VLOOKUP(MID(N44,O44,P44-O44),[6]skilldef!$A:$B,2,FALSE),"-")</f>
        <v>- / 連続攻撃</v>
      </c>
      <c r="T44" s="44" t="str">
        <f t="shared" si="50"/>
        <v>none</v>
      </c>
      <c r="U44" s="58" t="e">
        <f t="shared" si="12"/>
        <v>#VALUE!</v>
      </c>
      <c r="V44" s="58">
        <f t="shared" si="51"/>
        <v>4</v>
      </c>
      <c r="W44" s="58" t="e">
        <f t="shared" si="52"/>
        <v>#VALUE!</v>
      </c>
      <c r="X44" s="58" t="e">
        <f t="shared" si="53"/>
        <v>#VALUE!</v>
      </c>
      <c r="Y44" s="58" t="str">
        <f>IFERROR(VLOOKUP(MID(T44,W44,X44-W44),[6]skilldef!$C:$D,2,FALSE),"-") &amp; " / " &amp; IFERROR(VLOOKUP(MID(T44,U44,V44-U44),[6]skilldef!$A:$B,2,FALSE),"-")</f>
        <v>- / -</v>
      </c>
      <c r="Z44" s="46"/>
      <c r="AA44" s="48"/>
      <c r="AB44" s="46"/>
    </row>
    <row r="45" spans="1:28" ht="21" customHeight="1" x14ac:dyDescent="0.15">
      <c r="A45" s="90">
        <v>50003049</v>
      </c>
      <c r="B45" s="43" t="s">
        <v>368</v>
      </c>
      <c r="C45" s="46">
        <v>3</v>
      </c>
      <c r="D45" s="46" t="s">
        <v>126</v>
      </c>
      <c r="E45" s="47" t="s">
        <v>340</v>
      </c>
      <c r="F45" s="47" t="s">
        <v>273</v>
      </c>
      <c r="G45" s="58" t="str">
        <f t="shared" ref="G45:G52" si="54">IFERROR(LEFT(B45,FIND("],",B45)),B45)</f>
        <v>[effect:enemy_message, val1:1.2, val2:2.1]</v>
      </c>
      <c r="H45" s="58">
        <f t="shared" ref="H45:H52" si="55">FIND("effect:",G45)+7</f>
        <v>9</v>
      </c>
      <c r="I45" s="58">
        <f t="shared" ref="I45:I52" si="56">IFERROR(FIND(",",G45),LEN(G45))</f>
        <v>22</v>
      </c>
      <c r="J45" s="58" t="e">
        <f t="shared" ref="J45:J52" si="57">FIND("target:",G45)+7</f>
        <v>#VALUE!</v>
      </c>
      <c r="K45" s="58">
        <f t="shared" ref="K45:K52" si="58">FIND(",",G45,I45+1)</f>
        <v>32</v>
      </c>
      <c r="L45" s="58" t="str">
        <f>IFERROR(VLOOKUP(MID(G45,J45,K45-J45),[6]skilldef!$C:$D,2,FALSE),"-") &amp; " / " &amp; IFERROR(VLOOKUP(MID(G45,H45,I45-H45),[6]skilldef!$A:$B,2,FALSE),"-")</f>
        <v>- / -</v>
      </c>
      <c r="M45" s="58" t="str">
        <f t="shared" ref="M45:M52" si="59">IFERROR(RIGHT(B45,LEN(B45)-FIND("],",B45)-1),"none")</f>
        <v xml:space="preserve">[effect:drop_block, block_type:time_bomb, block_color:block_green, color:block_green, val:0.12, rate:0.5, turn:-1, min_time_count:2, max_time_count:4, animation:time_bomb_influence04],[effect:tolerance, target:myself, turn:-1, tolerance_effect:hungup, count:-1],[effect:tolerance, target:myself, turn:-1, tolerance_effect:virus, count:-1],[effect:tolerance, target:myself, turn:-1, tolerance_effect:sleep, count:-1, animation:enemy_tolerance] </v>
      </c>
      <c r="N45" s="44" t="str">
        <f t="shared" ref="N45:N51" si="60">IFERROR(LEFT(M45,FIND("],",M45)+S54),M45)</f>
        <v xml:space="preserve">[effect:drop_block, block_type:time_bomb, block_color:block_green, color:block_green, val:0.12, rate:0.5, turn:-1, min_time_count:2, max_time_count:4, animation:time_bomb_influence04],[effect:tolerance, target:myself, turn:-1, tolerance_effect:hungup, count:-1],[effect:tolerance, target:myself, turn:-1, tolerance_effect:virus, count:-1],[effect:tolerance, target:myself, turn:-1, tolerance_effect:sleep, count:-1, animation:enemy_tolerance] </v>
      </c>
      <c r="O45" s="58">
        <f t="shared" ref="O45:O52" si="61">FIND("effect:",N45)+7</f>
        <v>9</v>
      </c>
      <c r="P45" s="58">
        <f t="shared" ref="P45:P52" si="62">IFERROR(FIND(",",N45),LEN(N45))</f>
        <v>19</v>
      </c>
      <c r="Q45" s="58">
        <f t="shared" ref="Q45:Q52" si="63">FIND("target:",N45)+7</f>
        <v>211</v>
      </c>
      <c r="R45" s="58">
        <f t="shared" ref="R45:R52" si="64">FIND(",",N45,P45+1)</f>
        <v>41</v>
      </c>
      <c r="S45" s="58" t="str">
        <f>IFERROR(VLOOKUP(MID(N45,Q45,R45-Q45),[6]skilldef!$C:$D,2,FALSE),"-") &amp; " / " &amp; IFERROR(VLOOKUP(MID(N45,O45,P45-O45),[6]skilldef!$A:$B,2,FALSE),"-")</f>
        <v>- / 特定ブロックの割合ドロップ</v>
      </c>
      <c r="T45" s="44" t="str">
        <f t="shared" ref="T45:T52" si="65">IFERROR(RIGHT(M45,LEN(M45)-FIND("],",M45)-1),"none")</f>
        <v xml:space="preserve">[effect:tolerance, target:myself, turn:-1, tolerance_effect:hungup, count:-1],[effect:tolerance, target:myself, turn:-1, tolerance_effect:virus, count:-1],[effect:tolerance, target:myself, turn:-1, tolerance_effect:sleep, count:-1, animation:enemy_tolerance] </v>
      </c>
      <c r="U45" s="58">
        <f t="shared" ref="U45:U52" si="66">FIND("effect:",T45)+7</f>
        <v>9</v>
      </c>
      <c r="V45" s="58">
        <f t="shared" ref="V45:V52" si="67">IFERROR(FIND(",",T45),LEN(T45))</f>
        <v>18</v>
      </c>
      <c r="W45" s="58">
        <f t="shared" ref="W45:W52" si="68">FIND("target:",T45)+7</f>
        <v>27</v>
      </c>
      <c r="X45" s="58">
        <f t="shared" ref="X45:X52" si="69">FIND(",",T45,V45+1)</f>
        <v>33</v>
      </c>
      <c r="Y45" s="58" t="str">
        <f>IFERROR(VLOOKUP(MID(T45,W45,X45-W45),[6]skilldef!$C:$D,2,FALSE),"-") &amp; " / " &amp; IFERROR(VLOOKUP(MID(T45,U45,V45-U45),[6]skilldef!$A:$B,2,FALSE),"-")</f>
        <v>自分自身に / 状態異常耐性</v>
      </c>
      <c r="Z45" s="46"/>
      <c r="AA45" s="48"/>
      <c r="AB45" s="46"/>
    </row>
    <row r="46" spans="1:28" ht="21" customHeight="1" x14ac:dyDescent="0.15">
      <c r="A46" s="90">
        <v>50003050</v>
      </c>
      <c r="B46" s="43" t="s">
        <v>383</v>
      </c>
      <c r="C46" s="46">
        <v>3</v>
      </c>
      <c r="D46" s="46" t="s">
        <v>126</v>
      </c>
      <c r="E46" s="47" t="s">
        <v>349</v>
      </c>
      <c r="F46" s="47" t="s">
        <v>273</v>
      </c>
      <c r="G46" s="58" t="str">
        <f t="shared" si="54"/>
        <v>[effect:enemy_message, val1:1.5, val2:2.1]</v>
      </c>
      <c r="H46" s="58">
        <f t="shared" si="55"/>
        <v>9</v>
      </c>
      <c r="I46" s="58">
        <f t="shared" si="56"/>
        <v>22</v>
      </c>
      <c r="J46" s="58" t="e">
        <f t="shared" si="57"/>
        <v>#VALUE!</v>
      </c>
      <c r="K46" s="58">
        <f t="shared" si="58"/>
        <v>32</v>
      </c>
      <c r="L46" s="58" t="str">
        <f>IFERROR(VLOOKUP(MID(G46,J46,K46-J46),[6]skilldef!$C:$D,2,FALSE),"-") &amp; " / " &amp; IFERROR(VLOOKUP(MID(G46,H46,I46-H46),[6]skilldef!$A:$B,2,FALSE),"-")</f>
        <v>- / -</v>
      </c>
      <c r="M46" s="58" t="str">
        <f t="shared" si="59"/>
        <v xml:space="preserve">[effect:drop_block, block_type:time_bomb, block_color:block_green, color:block_green, val:0.12, rate:0.5, turn:-1, min_time_count:2, max_time_count:4, animation:time_bomb_influence04],[effect:tolerance, target:myself, turn:-1, tolerance_effect:hungup, count:-1],[effect:tolerance, target:myself, turn:-1, tolerance_effect:virus, count:-1],[effect:tolerance, target:myself, turn:-1, tolerance_effect:sleep, count:-1, animation:enemy_tolerance] </v>
      </c>
      <c r="N46" s="44" t="str">
        <f t="shared" si="60"/>
        <v xml:space="preserve">[effect:drop_block, block_type:time_bomb, block_color:block_green, color:block_green, val:0.12, rate:0.5, turn:-1, min_time_count:2, max_time_count:4, animation:time_bomb_influence04],[effect:tolerance, target:myself, turn:-1, tolerance_effect:hungup, count:-1],[effect:tolerance, target:myself, turn:-1, tolerance_effect:virus, count:-1],[effect:tolerance, target:myself, turn:-1, tolerance_effect:sleep, count:-1, animation:enemy_tolerance] </v>
      </c>
      <c r="O46" s="58">
        <f t="shared" si="61"/>
        <v>9</v>
      </c>
      <c r="P46" s="58">
        <f t="shared" si="62"/>
        <v>19</v>
      </c>
      <c r="Q46" s="58">
        <f t="shared" si="63"/>
        <v>211</v>
      </c>
      <c r="R46" s="58">
        <f t="shared" si="64"/>
        <v>41</v>
      </c>
      <c r="S46" s="58" t="str">
        <f>IFERROR(VLOOKUP(MID(N46,Q46,R46-Q46),[6]skilldef!$C:$D,2,FALSE),"-") &amp; " / " &amp; IFERROR(VLOOKUP(MID(N46,O46,P46-O46),[6]skilldef!$A:$B,2,FALSE),"-")</f>
        <v>- / 特定ブロックの割合ドロップ</v>
      </c>
      <c r="T46" s="44" t="str">
        <f t="shared" si="65"/>
        <v xml:space="preserve">[effect:tolerance, target:myself, turn:-1, tolerance_effect:hungup, count:-1],[effect:tolerance, target:myself, turn:-1, tolerance_effect:virus, count:-1],[effect:tolerance, target:myself, turn:-1, tolerance_effect:sleep, count:-1, animation:enemy_tolerance] </v>
      </c>
      <c r="U46" s="58">
        <f t="shared" si="66"/>
        <v>9</v>
      </c>
      <c r="V46" s="58">
        <f t="shared" si="67"/>
        <v>18</v>
      </c>
      <c r="W46" s="58">
        <f t="shared" si="68"/>
        <v>27</v>
      </c>
      <c r="X46" s="58">
        <f t="shared" si="69"/>
        <v>33</v>
      </c>
      <c r="Y46" s="58" t="str">
        <f>IFERROR(VLOOKUP(MID(T46,W46,X46-W46),[6]skilldef!$C:$D,2,FALSE),"-") &amp; " / " &amp; IFERROR(VLOOKUP(MID(T46,U46,V46-U46),[6]skilldef!$A:$B,2,FALSE),"-")</f>
        <v>自分自身に / 状態異常耐性</v>
      </c>
      <c r="Z46" s="46"/>
      <c r="AA46" s="48"/>
      <c r="AB46" s="46"/>
    </row>
    <row r="47" spans="1:28" ht="21" customHeight="1" x14ac:dyDescent="0.15">
      <c r="A47" s="90">
        <v>50003051</v>
      </c>
      <c r="B47" s="43" t="s">
        <v>341</v>
      </c>
      <c r="C47" s="46">
        <v>3</v>
      </c>
      <c r="D47" s="46" t="s">
        <v>126</v>
      </c>
      <c r="E47" s="47" t="s">
        <v>384</v>
      </c>
      <c r="F47" s="47" t="s">
        <v>274</v>
      </c>
      <c r="G47" s="58" t="str">
        <f t="shared" si="54"/>
        <v>[effect:enhance_enemy, target:myself, turn:1, status:defense, val:5000, calc:add, animation:enemy_enhance_defense]</v>
      </c>
      <c r="H47" s="58">
        <f t="shared" si="55"/>
        <v>9</v>
      </c>
      <c r="I47" s="58">
        <f t="shared" si="56"/>
        <v>22</v>
      </c>
      <c r="J47" s="58">
        <f t="shared" si="57"/>
        <v>31</v>
      </c>
      <c r="K47" s="58">
        <f t="shared" si="58"/>
        <v>37</v>
      </c>
      <c r="L47" s="58" t="str">
        <f>IFERROR(VLOOKUP(MID(G47,J47,K47-J47),[6]skilldef!$C:$D,2,FALSE),"-") &amp; " / " &amp; IFERROR(VLOOKUP(MID(G47,H47,I47-H47),[6]skilldef!$A:$B,2,FALSE),"-")</f>
        <v>自分自身に / ステータス強化</v>
      </c>
      <c r="M47" s="58" t="str">
        <f t="shared" si="59"/>
        <v>[effect:rush, count:12, val:0.1]</v>
      </c>
      <c r="N47" s="44" t="str">
        <f t="shared" si="60"/>
        <v>[effect:rush, count:12, val:0.1]</v>
      </c>
      <c r="O47" s="58">
        <f t="shared" si="61"/>
        <v>9</v>
      </c>
      <c r="P47" s="58">
        <f t="shared" si="62"/>
        <v>13</v>
      </c>
      <c r="Q47" s="58" t="e">
        <f t="shared" si="63"/>
        <v>#VALUE!</v>
      </c>
      <c r="R47" s="58">
        <f t="shared" si="64"/>
        <v>23</v>
      </c>
      <c r="S47" s="58" t="str">
        <f>IFERROR(VLOOKUP(MID(N47,Q47,R47-Q47),[6]skilldef!$C:$D,2,FALSE),"-") &amp; " / " &amp; IFERROR(VLOOKUP(MID(N47,O47,P47-O47),[6]skilldef!$A:$B,2,FALSE),"-")</f>
        <v>- / 連続攻撃</v>
      </c>
      <c r="T47" s="44" t="str">
        <f t="shared" si="65"/>
        <v>none</v>
      </c>
      <c r="U47" s="58" t="e">
        <f t="shared" si="66"/>
        <v>#VALUE!</v>
      </c>
      <c r="V47" s="58">
        <f t="shared" si="67"/>
        <v>4</v>
      </c>
      <c r="W47" s="58" t="e">
        <f t="shared" si="68"/>
        <v>#VALUE!</v>
      </c>
      <c r="X47" s="58" t="e">
        <f t="shared" si="69"/>
        <v>#VALUE!</v>
      </c>
      <c r="Y47" s="58" t="str">
        <f>IFERROR(VLOOKUP(MID(T47,W47,X47-W47),[6]skilldef!$C:$D,2,FALSE),"-") &amp; " / " &amp; IFERROR(VLOOKUP(MID(T47,U47,V47-U47),[6]skilldef!$A:$B,2,FALSE),"-")</f>
        <v>- / -</v>
      </c>
      <c r="Z47" s="46"/>
      <c r="AA47" s="48"/>
      <c r="AB47" s="46"/>
    </row>
    <row r="48" spans="1:28" ht="21" customHeight="1" x14ac:dyDescent="0.15">
      <c r="A48" s="90">
        <v>50003052</v>
      </c>
      <c r="B48" s="151" t="s">
        <v>389</v>
      </c>
      <c r="C48" s="46">
        <v>3</v>
      </c>
      <c r="D48" s="46" t="s">
        <v>126</v>
      </c>
      <c r="E48" s="47" t="s">
        <v>332</v>
      </c>
      <c r="F48" s="47" t="s">
        <v>270</v>
      </c>
      <c r="G48" s="58" t="str">
        <f t="shared" si="54"/>
        <v>[effect:damage_anti_tribe, target:unit_all, tribe:god, val1:0.75, val2:0.35]</v>
      </c>
      <c r="H48" s="58">
        <f t="shared" si="55"/>
        <v>9</v>
      </c>
      <c r="I48" s="58">
        <f t="shared" si="56"/>
        <v>26</v>
      </c>
      <c r="J48" s="58">
        <f t="shared" si="57"/>
        <v>35</v>
      </c>
      <c r="K48" s="58">
        <f t="shared" si="58"/>
        <v>43</v>
      </c>
      <c r="L48" s="58" t="str">
        <f>IFERROR(VLOOKUP(MID(G48,J48,K48-J48),[6]skilldef!$C:$D,2,FALSE),"-") &amp; " / " &amp; IFERROR(VLOOKUP(MID(G48,H48,I48-H48),[6]skilldef!$A:$B,2,FALSE),"-")</f>
        <v>味方全体に / 種族キラー</v>
      </c>
      <c r="M48" s="58" t="str">
        <f t="shared" si="59"/>
        <v>none</v>
      </c>
      <c r="N48" s="44" t="str">
        <f t="shared" si="60"/>
        <v>none</v>
      </c>
      <c r="O48" s="58" t="e">
        <f t="shared" si="61"/>
        <v>#VALUE!</v>
      </c>
      <c r="P48" s="58">
        <f t="shared" si="62"/>
        <v>4</v>
      </c>
      <c r="Q48" s="58" t="e">
        <f t="shared" si="63"/>
        <v>#VALUE!</v>
      </c>
      <c r="R48" s="58" t="e">
        <f t="shared" si="64"/>
        <v>#VALUE!</v>
      </c>
      <c r="S48" s="58" t="str">
        <f>IFERROR(VLOOKUP(MID(N48,Q48,R48-Q48),[6]skilldef!$C:$D,2,FALSE),"-") &amp; " / " &amp; IFERROR(VLOOKUP(MID(N48,O48,P48-O48),[6]skilldef!$A:$B,2,FALSE),"-")</f>
        <v>- / -</v>
      </c>
      <c r="T48" s="44" t="str">
        <f t="shared" si="65"/>
        <v>none</v>
      </c>
      <c r="U48" s="58" t="e">
        <f t="shared" si="66"/>
        <v>#VALUE!</v>
      </c>
      <c r="V48" s="58">
        <f t="shared" si="67"/>
        <v>4</v>
      </c>
      <c r="W48" s="58" t="e">
        <f t="shared" si="68"/>
        <v>#VALUE!</v>
      </c>
      <c r="X48" s="58" t="e">
        <f t="shared" si="69"/>
        <v>#VALUE!</v>
      </c>
      <c r="Y48" s="58" t="str">
        <f>IFERROR(VLOOKUP(MID(T48,W48,X48-W48),[6]skilldef!$C:$D,2,FALSE),"-") &amp; " / " &amp; IFERROR(VLOOKUP(MID(T48,U48,V48-U48),[6]skilldef!$A:$B,2,FALSE),"-")</f>
        <v>- / -</v>
      </c>
      <c r="Z48" s="46"/>
      <c r="AA48" s="48"/>
      <c r="AB48" s="46"/>
    </row>
    <row r="49" spans="1:28" ht="21" customHeight="1" x14ac:dyDescent="0.15">
      <c r="A49" s="90">
        <v>50003053</v>
      </c>
      <c r="B49" s="151" t="s">
        <v>369</v>
      </c>
      <c r="C49" s="46">
        <v>3</v>
      </c>
      <c r="D49" s="46" t="s">
        <v>126</v>
      </c>
      <c r="E49" s="47" t="s">
        <v>333</v>
      </c>
      <c r="F49" s="47" t="s">
        <v>275</v>
      </c>
      <c r="G49" s="58" t="str">
        <f t="shared" si="54"/>
        <v>[effect:damage_anti_tribe, target:unit_all, tribe:god, val1:0.8, val2:0.37]</v>
      </c>
      <c r="H49" s="58">
        <f t="shared" si="55"/>
        <v>9</v>
      </c>
      <c r="I49" s="58">
        <f t="shared" si="56"/>
        <v>26</v>
      </c>
      <c r="J49" s="58">
        <f t="shared" si="57"/>
        <v>35</v>
      </c>
      <c r="K49" s="58">
        <f t="shared" si="58"/>
        <v>43</v>
      </c>
      <c r="L49" s="58" t="str">
        <f>IFERROR(VLOOKUP(MID(G49,J49,K49-J49),[6]skilldef!$C:$D,2,FALSE),"-") &amp; " / " &amp; IFERROR(VLOOKUP(MID(G49,H49,I49-H49),[6]skilldef!$A:$B,2,FALSE),"-")</f>
        <v>味方全体に / 種族キラー</v>
      </c>
      <c r="M49" s="58" t="str">
        <f t="shared" si="59"/>
        <v>none</v>
      </c>
      <c r="N49" s="44" t="str">
        <f t="shared" si="60"/>
        <v>none</v>
      </c>
      <c r="O49" s="58" t="e">
        <f t="shared" si="61"/>
        <v>#VALUE!</v>
      </c>
      <c r="P49" s="58">
        <f t="shared" si="62"/>
        <v>4</v>
      </c>
      <c r="Q49" s="58" t="e">
        <f t="shared" si="63"/>
        <v>#VALUE!</v>
      </c>
      <c r="R49" s="58" t="e">
        <f t="shared" si="64"/>
        <v>#VALUE!</v>
      </c>
      <c r="S49" s="58" t="str">
        <f>IFERROR(VLOOKUP(MID(N49,Q49,R49-Q49),[6]skilldef!$C:$D,2,FALSE),"-") &amp; " / " &amp; IFERROR(VLOOKUP(MID(N49,O49,P49-O49),[6]skilldef!$A:$B,2,FALSE),"-")</f>
        <v>- / -</v>
      </c>
      <c r="T49" s="44" t="str">
        <f t="shared" si="65"/>
        <v>none</v>
      </c>
      <c r="U49" s="58" t="e">
        <f t="shared" si="66"/>
        <v>#VALUE!</v>
      </c>
      <c r="V49" s="58">
        <f t="shared" si="67"/>
        <v>4</v>
      </c>
      <c r="W49" s="58" t="e">
        <f t="shared" si="68"/>
        <v>#VALUE!</v>
      </c>
      <c r="X49" s="58" t="e">
        <f t="shared" si="69"/>
        <v>#VALUE!</v>
      </c>
      <c r="Y49" s="58" t="str">
        <f>IFERROR(VLOOKUP(MID(T49,W49,X49-W49),[6]skilldef!$C:$D,2,FALSE),"-") &amp; " / " &amp; IFERROR(VLOOKUP(MID(T49,U49,V49-U49),[6]skilldef!$A:$B,2,FALSE),"-")</f>
        <v>- / -</v>
      </c>
      <c r="Z49" s="46"/>
      <c r="AA49" s="48"/>
      <c r="AB49" s="46"/>
    </row>
    <row r="50" spans="1:28" ht="21" customHeight="1" x14ac:dyDescent="0.15">
      <c r="A50" s="90">
        <v>50003054</v>
      </c>
      <c r="B50" s="43" t="s">
        <v>367</v>
      </c>
      <c r="C50" s="46">
        <v>3</v>
      </c>
      <c r="D50" s="46" t="s">
        <v>126</v>
      </c>
      <c r="E50" s="47" t="s">
        <v>334</v>
      </c>
      <c r="F50" s="47" t="s">
        <v>276</v>
      </c>
      <c r="G50" s="58" t="str">
        <f t="shared" si="54"/>
        <v>[effect:enemy_message, val1:1.2, val2:2.1]</v>
      </c>
      <c r="H50" s="58">
        <f t="shared" si="55"/>
        <v>9</v>
      </c>
      <c r="I50" s="58">
        <f t="shared" si="56"/>
        <v>22</v>
      </c>
      <c r="J50" s="58" t="e">
        <f t="shared" si="57"/>
        <v>#VALUE!</v>
      </c>
      <c r="K50" s="58">
        <f t="shared" si="58"/>
        <v>32</v>
      </c>
      <c r="L50" s="58" t="str">
        <f>IFERROR(VLOOKUP(MID(G50,J50,K50-J50),[6]skilldef!$C:$D,2,FALSE),"-") &amp; " / " &amp; IFERROR(VLOOKUP(MID(G50,H50,I50-H50),[6]skilldef!$A:$B,2,FALSE),"-")</f>
        <v>- / -</v>
      </c>
      <c r="M50" s="58" t="str">
        <f t="shared" si="59"/>
        <v>[effect:hungup, target:unit_all, turn:1, rate:1, animation:hungup01]</v>
      </c>
      <c r="N50" s="44" t="str">
        <f t="shared" si="60"/>
        <v>[effect:hungup, target:unit_all, turn:1, rate:1, animation:hungup01]</v>
      </c>
      <c r="O50" s="58">
        <f t="shared" si="61"/>
        <v>9</v>
      </c>
      <c r="P50" s="58">
        <f t="shared" si="62"/>
        <v>15</v>
      </c>
      <c r="Q50" s="58">
        <f t="shared" si="63"/>
        <v>24</v>
      </c>
      <c r="R50" s="58">
        <f t="shared" si="64"/>
        <v>32</v>
      </c>
      <c r="S50" s="58" t="str">
        <f>IFERROR(VLOOKUP(MID(N50,Q50,R50-Q50),[6]skilldef!$C:$D,2,FALSE),"-") &amp; " / " &amp; IFERROR(VLOOKUP(MID(N50,O50,P50-O50),[6]skilldef!$A:$B,2,FALSE),"-")</f>
        <v>味方全体に / ハングアップ</v>
      </c>
      <c r="T50" s="44" t="str">
        <f t="shared" si="65"/>
        <v>none</v>
      </c>
      <c r="U50" s="58" t="e">
        <f t="shared" si="66"/>
        <v>#VALUE!</v>
      </c>
      <c r="V50" s="58">
        <f t="shared" si="67"/>
        <v>4</v>
      </c>
      <c r="W50" s="58" t="e">
        <f t="shared" si="68"/>
        <v>#VALUE!</v>
      </c>
      <c r="X50" s="58" t="e">
        <f t="shared" si="69"/>
        <v>#VALUE!</v>
      </c>
      <c r="Y50" s="58" t="str">
        <f>IFERROR(VLOOKUP(MID(T50,W50,X50-W50),[6]skilldef!$C:$D,2,FALSE),"-") &amp; " / " &amp; IFERROR(VLOOKUP(MID(T50,U50,V50-U50),[6]skilldef!$A:$B,2,FALSE),"-")</f>
        <v>- / -</v>
      </c>
      <c r="Z50" s="46"/>
      <c r="AA50" s="48"/>
      <c r="AB50" s="46"/>
    </row>
    <row r="51" spans="1:28" ht="21" customHeight="1" x14ac:dyDescent="0.15">
      <c r="A51" s="90">
        <v>50003055</v>
      </c>
      <c r="B51" s="43" t="s">
        <v>245</v>
      </c>
      <c r="C51" s="46">
        <v>3</v>
      </c>
      <c r="D51" s="46" t="s">
        <v>126</v>
      </c>
      <c r="E51" s="47" t="s">
        <v>335</v>
      </c>
      <c r="F51" s="47" t="s">
        <v>356</v>
      </c>
      <c r="G51" s="58" t="str">
        <f t="shared" si="54"/>
        <v xml:space="preserve">[effect:break_enchance_enemy, val:0.01, lowest_val:0.2, count :-1, status:attack, turn:1, block:block_green, target:myself, calc:mul, animation:enemy_enhance_attack]    </v>
      </c>
      <c r="H51" s="58">
        <f t="shared" si="55"/>
        <v>9</v>
      </c>
      <c r="I51" s="58">
        <f t="shared" si="56"/>
        <v>29</v>
      </c>
      <c r="J51" s="58">
        <f t="shared" si="57"/>
        <v>117</v>
      </c>
      <c r="K51" s="58">
        <f t="shared" si="58"/>
        <v>39</v>
      </c>
      <c r="L51" s="58" t="str">
        <f>IFERROR(VLOOKUP(MID(G51,J51,K51-J51),[6]skilldef!$C:$D,2,FALSE),"-") &amp; " / " &amp; IFERROR(VLOOKUP(MID(G51,H51,I51-H51),[6]skilldef!$A:$B,2,FALSE),"-")</f>
        <v>- / -</v>
      </c>
      <c r="M51" s="58" t="str">
        <f t="shared" si="59"/>
        <v>none</v>
      </c>
      <c r="N51" s="44" t="str">
        <f t="shared" si="60"/>
        <v>none</v>
      </c>
      <c r="O51" s="58" t="e">
        <f t="shared" si="61"/>
        <v>#VALUE!</v>
      </c>
      <c r="P51" s="58">
        <f t="shared" si="62"/>
        <v>4</v>
      </c>
      <c r="Q51" s="58" t="e">
        <f t="shared" si="63"/>
        <v>#VALUE!</v>
      </c>
      <c r="R51" s="58" t="e">
        <f t="shared" si="64"/>
        <v>#VALUE!</v>
      </c>
      <c r="S51" s="58" t="str">
        <f>IFERROR(VLOOKUP(MID(N51,Q51,R51-Q51),[6]skilldef!$C:$D,2,FALSE),"-") &amp; " / " &amp; IFERROR(VLOOKUP(MID(N51,O51,P51-O51),[6]skilldef!$A:$B,2,FALSE),"-")</f>
        <v>- / -</v>
      </c>
      <c r="T51" s="44" t="str">
        <f t="shared" si="65"/>
        <v>none</v>
      </c>
      <c r="U51" s="58" t="e">
        <f t="shared" si="66"/>
        <v>#VALUE!</v>
      </c>
      <c r="V51" s="58">
        <f t="shared" si="67"/>
        <v>4</v>
      </c>
      <c r="W51" s="58" t="e">
        <f t="shared" si="68"/>
        <v>#VALUE!</v>
      </c>
      <c r="X51" s="58" t="e">
        <f t="shared" si="69"/>
        <v>#VALUE!</v>
      </c>
      <c r="Y51" s="58" t="str">
        <f>IFERROR(VLOOKUP(MID(T51,W51,X51-W51),[6]skilldef!$C:$D,2,FALSE),"-") &amp; " / " &amp; IFERROR(VLOOKUP(MID(T51,U51,V51-U51),[6]skilldef!$A:$B,2,FALSE),"-")</f>
        <v>- / -</v>
      </c>
      <c r="Z51" s="46"/>
      <c r="AA51" s="48"/>
      <c r="AB51" s="46"/>
    </row>
    <row r="52" spans="1:28" ht="21" customHeight="1" x14ac:dyDescent="0.15">
      <c r="A52" s="90">
        <v>50003057</v>
      </c>
      <c r="B52" s="43" t="s">
        <v>230</v>
      </c>
      <c r="C52" s="46">
        <v>3</v>
      </c>
      <c r="D52" s="46" t="s">
        <v>126</v>
      </c>
      <c r="E52" s="47" t="s">
        <v>331</v>
      </c>
      <c r="F52" s="47" t="s">
        <v>277</v>
      </c>
      <c r="G52" s="58" t="str">
        <f t="shared" si="54"/>
        <v>[effect:crash_growth, count:-1, val:-100, animation:change_block]</v>
      </c>
      <c r="H52" s="58">
        <f t="shared" si="55"/>
        <v>9</v>
      </c>
      <c r="I52" s="58">
        <f t="shared" si="56"/>
        <v>21</v>
      </c>
      <c r="J52" s="58" t="e">
        <f t="shared" si="57"/>
        <v>#VALUE!</v>
      </c>
      <c r="K52" s="58">
        <f t="shared" si="58"/>
        <v>31</v>
      </c>
      <c r="L52" s="58" t="str">
        <f>IFERROR(VLOOKUP(MID(G52,J52,K52-J52),[6]skilldef!$C:$D,2,FALSE),"-") &amp; " / " &amp; IFERROR(VLOOKUP(MID(G52,H52,I52-H52),[6]skilldef!$A:$B,2,FALSE),"-")</f>
        <v>- / -</v>
      </c>
      <c r="M52" s="58" t="str">
        <f t="shared" si="59"/>
        <v xml:space="preserve">[effect:tolerance, target:myself, turn:-1, tolerance_effect:hungup, count:-1],[effect:tolerance, target:myself, turn:-1, tolerance_effect:virus, count:-1],[effect:tolerance, target:myself, turn:-1, tolerance_effect:sleep, count:-1, animation:enemy_tolerance] </v>
      </c>
      <c r="N52" s="44" t="str">
        <f>IFERROR(LEFT(M52,FIND("],",M52)+S61),M52)</f>
        <v xml:space="preserve">[effect:tolerance, target:myself, turn:-1, tolerance_effect:hungup, count:-1],[effect:tolerance, target:myself, turn:-1, tolerance_effect:virus, count:-1],[effect:tolerance, target:myself, turn:-1, tolerance_effect:sleep, count:-1, animation:enemy_tolerance] </v>
      </c>
      <c r="O52" s="58">
        <f t="shared" si="61"/>
        <v>9</v>
      </c>
      <c r="P52" s="58">
        <f t="shared" si="62"/>
        <v>18</v>
      </c>
      <c r="Q52" s="58">
        <f t="shared" si="63"/>
        <v>27</v>
      </c>
      <c r="R52" s="58">
        <f t="shared" si="64"/>
        <v>33</v>
      </c>
      <c r="S52" s="58" t="str">
        <f>IFERROR(VLOOKUP(MID(N52,Q52,R52-Q52),[6]skilldef!$C:$D,2,FALSE),"-") &amp; " / " &amp; IFERROR(VLOOKUP(MID(N52,O52,P52-O52),[6]skilldef!$A:$B,2,FALSE),"-")</f>
        <v>自分自身に / 状態異常耐性</v>
      </c>
      <c r="T52" s="44" t="str">
        <f t="shared" si="65"/>
        <v xml:space="preserve">[effect:tolerance, target:myself, turn:-1, tolerance_effect:virus, count:-1],[effect:tolerance, target:myself, turn:-1, tolerance_effect:sleep, count:-1, animation:enemy_tolerance] </v>
      </c>
      <c r="U52" s="58">
        <f t="shared" si="66"/>
        <v>9</v>
      </c>
      <c r="V52" s="58">
        <f t="shared" si="67"/>
        <v>18</v>
      </c>
      <c r="W52" s="58">
        <f t="shared" si="68"/>
        <v>27</v>
      </c>
      <c r="X52" s="58">
        <f t="shared" si="69"/>
        <v>33</v>
      </c>
      <c r="Y52" s="58" t="str">
        <f>IFERROR(VLOOKUP(MID(T52,W52,X52-W52),[6]skilldef!$C:$D,2,FALSE),"-") &amp; " / " &amp; IFERROR(VLOOKUP(MID(T52,U52,V52-U52),[6]skilldef!$A:$B,2,FALSE),"-")</f>
        <v>自分自身に / 状態異常耐性</v>
      </c>
      <c r="Z52" s="46"/>
      <c r="AA52" s="48"/>
      <c r="AB52" s="46"/>
    </row>
    <row r="53" spans="1:28" ht="21" customHeight="1" x14ac:dyDescent="0.15">
      <c r="A53" s="90">
        <v>50003058</v>
      </c>
      <c r="B53" s="43" t="s">
        <v>230</v>
      </c>
      <c r="C53" s="46">
        <v>3</v>
      </c>
      <c r="D53" s="46" t="s">
        <v>126</v>
      </c>
      <c r="E53" s="47" t="s">
        <v>350</v>
      </c>
      <c r="F53" s="47" t="s">
        <v>277</v>
      </c>
      <c r="G53" s="58" t="str">
        <f t="shared" ref="G53:G58" si="70">IFERROR(LEFT(B53,FIND("],",B53)),B53)</f>
        <v>[effect:crash_growth, count:-1, val:-100, animation:change_block]</v>
      </c>
      <c r="H53" s="58">
        <f t="shared" ref="H53:H58" si="71">FIND("effect:",G53)+7</f>
        <v>9</v>
      </c>
      <c r="I53" s="58">
        <f t="shared" ref="I53:I58" si="72">IFERROR(FIND(",",G53),LEN(G53))</f>
        <v>21</v>
      </c>
      <c r="J53" s="58" t="e">
        <f t="shared" ref="J53:J58" si="73">FIND("target:",G53)+7</f>
        <v>#VALUE!</v>
      </c>
      <c r="K53" s="58">
        <f t="shared" ref="K53:K58" si="74">FIND(",",G53,I53+1)</f>
        <v>31</v>
      </c>
      <c r="L53" s="58" t="str">
        <f>IFERROR(VLOOKUP(MID(G53,J53,K53-J53),[6]skilldef!$C:$D,2,FALSE),"-") &amp; " / " &amp; IFERROR(VLOOKUP(MID(G53,H53,I53-H53),[6]skilldef!$A:$B,2,FALSE),"-")</f>
        <v>- / -</v>
      </c>
      <c r="M53" s="58" t="str">
        <f t="shared" ref="M53:M58" si="75">IFERROR(RIGHT(B53,LEN(B53)-FIND("],",B53)-1),"none")</f>
        <v xml:space="preserve">[effect:tolerance, target:myself, turn:-1, tolerance_effect:hungup, count:-1],[effect:tolerance, target:myself, turn:-1, tolerance_effect:virus, count:-1],[effect:tolerance, target:myself, turn:-1, tolerance_effect:sleep, count:-1, animation:enemy_tolerance] </v>
      </c>
      <c r="N53" s="44" t="str">
        <f>IFERROR(LEFT(M53,FIND("],",M53)+S62),M53)</f>
        <v xml:space="preserve">[effect:tolerance, target:myself, turn:-1, tolerance_effect:hungup, count:-1],[effect:tolerance, target:myself, turn:-1, tolerance_effect:virus, count:-1],[effect:tolerance, target:myself, turn:-1, tolerance_effect:sleep, count:-1, animation:enemy_tolerance] </v>
      </c>
      <c r="O53" s="58">
        <f t="shared" ref="O53:O58" si="76">FIND("effect:",N53)+7</f>
        <v>9</v>
      </c>
      <c r="P53" s="58">
        <f t="shared" ref="P53:P58" si="77">IFERROR(FIND(",",N53),LEN(N53))</f>
        <v>18</v>
      </c>
      <c r="Q53" s="58">
        <f t="shared" ref="Q53:Q58" si="78">FIND("target:",N53)+7</f>
        <v>27</v>
      </c>
      <c r="R53" s="58">
        <f t="shared" ref="R53:R58" si="79">FIND(",",N53,P53+1)</f>
        <v>33</v>
      </c>
      <c r="S53" s="58" t="str">
        <f>IFERROR(VLOOKUP(MID(N53,Q53,R53-Q53),[6]skilldef!$C:$D,2,FALSE),"-") &amp; " / " &amp; IFERROR(VLOOKUP(MID(N53,O53,P53-O53),[6]skilldef!$A:$B,2,FALSE),"-")</f>
        <v>自分自身に / 状態異常耐性</v>
      </c>
      <c r="T53" s="44" t="str">
        <f t="shared" ref="T53:T58" si="80">IFERROR(RIGHT(M53,LEN(M53)-FIND("],",M53)-1),"none")</f>
        <v xml:space="preserve">[effect:tolerance, target:myself, turn:-1, tolerance_effect:virus, count:-1],[effect:tolerance, target:myself, turn:-1, tolerance_effect:sleep, count:-1, animation:enemy_tolerance] </v>
      </c>
      <c r="U53" s="58">
        <f t="shared" ref="U53:U58" si="81">FIND("effect:",T53)+7</f>
        <v>9</v>
      </c>
      <c r="V53" s="58">
        <f t="shared" ref="V53:V58" si="82">IFERROR(FIND(",",T53),LEN(T53))</f>
        <v>18</v>
      </c>
      <c r="W53" s="58">
        <f t="shared" ref="W53:W58" si="83">FIND("target:",T53)+7</f>
        <v>27</v>
      </c>
      <c r="X53" s="58">
        <f t="shared" ref="X53:X58" si="84">FIND(",",T53,V53+1)</f>
        <v>33</v>
      </c>
      <c r="Y53" s="58" t="str">
        <f>IFERROR(VLOOKUP(MID(T53,W53,X53-W53),[6]skilldef!$C:$D,2,FALSE),"-") &amp; " / " &amp; IFERROR(VLOOKUP(MID(T53,U53,V53-U53),[6]skilldef!$A:$B,2,FALSE),"-")</f>
        <v>自分自身に / 状態異常耐性</v>
      </c>
      <c r="Z53" s="46"/>
      <c r="AA53" s="48"/>
      <c r="AB53" s="46"/>
    </row>
    <row r="54" spans="1:28" ht="21" customHeight="1" x14ac:dyDescent="0.15">
      <c r="A54" s="90">
        <v>50003059</v>
      </c>
      <c r="B54" s="43" t="s">
        <v>358</v>
      </c>
      <c r="C54" s="46">
        <v>3</v>
      </c>
      <c r="D54" s="46" t="s">
        <v>126</v>
      </c>
      <c r="E54" s="47" t="s">
        <v>382</v>
      </c>
      <c r="F54" s="47" t="s">
        <v>357</v>
      </c>
      <c r="G54" s="58" t="str">
        <f t="shared" si="70"/>
        <v>[effect:break_attack_fix, val:250, lowest_val:2000, count:12, block:block_heart, target:unit_all]</v>
      </c>
      <c r="H54" s="58">
        <f t="shared" si="71"/>
        <v>9</v>
      </c>
      <c r="I54" s="58">
        <f t="shared" si="72"/>
        <v>25</v>
      </c>
      <c r="J54" s="58">
        <f t="shared" si="73"/>
        <v>89</v>
      </c>
      <c r="K54" s="58">
        <f t="shared" si="74"/>
        <v>34</v>
      </c>
      <c r="L54" s="58" t="str">
        <f>IFERROR(VLOOKUP(MID(G54,J54,K54-J54),[6]skilldef!$C:$D,2,FALSE),"-") &amp; " / " &amp; IFERROR(VLOOKUP(MID(G54,H54,I54-H54),[6]skilldef!$A:$B,2,FALSE),"-")</f>
        <v>- / -</v>
      </c>
      <c r="M54" s="58" t="str">
        <f t="shared" si="75"/>
        <v>none</v>
      </c>
      <c r="N54" s="44" t="str">
        <f>IFERROR(LEFT(M54,FIND("],",M54)+S63),M54)</f>
        <v>none</v>
      </c>
      <c r="O54" s="58" t="e">
        <f t="shared" si="76"/>
        <v>#VALUE!</v>
      </c>
      <c r="P54" s="58">
        <f t="shared" si="77"/>
        <v>4</v>
      </c>
      <c r="Q54" s="58" t="e">
        <f t="shared" si="78"/>
        <v>#VALUE!</v>
      </c>
      <c r="R54" s="58" t="e">
        <f t="shared" si="79"/>
        <v>#VALUE!</v>
      </c>
      <c r="S54" s="58" t="str">
        <f>IFERROR(VLOOKUP(MID(N54,Q54,R54-Q54),[6]skilldef!$C:$D,2,FALSE),"-") &amp; " / " &amp; IFERROR(VLOOKUP(MID(N54,O54,P54-O54),[6]skilldef!$A:$B,2,FALSE),"-")</f>
        <v>- / -</v>
      </c>
      <c r="T54" s="44" t="str">
        <f t="shared" si="80"/>
        <v>none</v>
      </c>
      <c r="U54" s="58" t="e">
        <f t="shared" si="81"/>
        <v>#VALUE!</v>
      </c>
      <c r="V54" s="58">
        <f t="shared" si="82"/>
        <v>4</v>
      </c>
      <c r="W54" s="58" t="e">
        <f t="shared" si="83"/>
        <v>#VALUE!</v>
      </c>
      <c r="X54" s="58" t="e">
        <f t="shared" si="84"/>
        <v>#VALUE!</v>
      </c>
      <c r="Y54" s="58" t="str">
        <f>IFERROR(VLOOKUP(MID(T54,W54,X54-W54),[6]skilldef!$C:$D,2,FALSE),"-") &amp; " / " &amp; IFERROR(VLOOKUP(MID(T54,U54,V54-U54),[6]skilldef!$A:$B,2,FALSE),"-")</f>
        <v>- / -</v>
      </c>
      <c r="Z54" s="46"/>
      <c r="AA54" s="48"/>
      <c r="AB54" s="46"/>
    </row>
    <row r="55" spans="1:28" ht="21" customHeight="1" x14ac:dyDescent="0.15">
      <c r="A55" s="90">
        <v>50003060</v>
      </c>
      <c r="B55" s="151" t="s">
        <v>369</v>
      </c>
      <c r="C55" s="46">
        <v>3</v>
      </c>
      <c r="D55" s="46" t="s">
        <v>126</v>
      </c>
      <c r="E55" s="47" t="s">
        <v>381</v>
      </c>
      <c r="F55" s="47" t="s">
        <v>270</v>
      </c>
      <c r="G55" s="58" t="str">
        <f t="shared" si="70"/>
        <v>[effect:damage_anti_tribe, target:unit_all, tribe:god, val1:0.8, val2:0.37]</v>
      </c>
      <c r="H55" s="58">
        <f t="shared" si="71"/>
        <v>9</v>
      </c>
      <c r="I55" s="58">
        <f t="shared" si="72"/>
        <v>26</v>
      </c>
      <c r="J55" s="58">
        <f t="shared" si="73"/>
        <v>35</v>
      </c>
      <c r="K55" s="58">
        <f t="shared" si="74"/>
        <v>43</v>
      </c>
      <c r="L55" s="58" t="str">
        <f>IFERROR(VLOOKUP(MID(G55,J55,K55-J55),[6]skilldef!$C:$D,2,FALSE),"-") &amp; " / " &amp; IFERROR(VLOOKUP(MID(G55,H55,I55-H55),[6]skilldef!$A:$B,2,FALSE),"-")</f>
        <v>味方全体に / 種族キラー</v>
      </c>
      <c r="M55" s="58" t="str">
        <f t="shared" si="75"/>
        <v>none</v>
      </c>
      <c r="N55" s="44" t="str">
        <f>IFERROR(LEFT(M55,FIND("],",M55)+#REF!),M55)</f>
        <v>none</v>
      </c>
      <c r="O55" s="58" t="e">
        <f t="shared" si="76"/>
        <v>#VALUE!</v>
      </c>
      <c r="P55" s="58">
        <f t="shared" si="77"/>
        <v>4</v>
      </c>
      <c r="Q55" s="58" t="e">
        <f t="shared" si="78"/>
        <v>#VALUE!</v>
      </c>
      <c r="R55" s="58" t="e">
        <f t="shared" si="79"/>
        <v>#VALUE!</v>
      </c>
      <c r="S55" s="58" t="str">
        <f>IFERROR(VLOOKUP(MID(N55,Q55,R55-Q55),[6]skilldef!$C:$D,2,FALSE),"-") &amp; " / " &amp; IFERROR(VLOOKUP(MID(N55,O55,P55-O55),[6]skilldef!$A:$B,2,FALSE),"-")</f>
        <v>- / -</v>
      </c>
      <c r="T55" s="44" t="str">
        <f t="shared" si="80"/>
        <v>none</v>
      </c>
      <c r="U55" s="58" t="e">
        <f t="shared" si="81"/>
        <v>#VALUE!</v>
      </c>
      <c r="V55" s="58">
        <f t="shared" si="82"/>
        <v>4</v>
      </c>
      <c r="W55" s="58" t="e">
        <f t="shared" si="83"/>
        <v>#VALUE!</v>
      </c>
      <c r="X55" s="58" t="e">
        <f t="shared" si="84"/>
        <v>#VALUE!</v>
      </c>
      <c r="Y55" s="58" t="str">
        <f>IFERROR(VLOOKUP(MID(T55,W55,X55-W55),[6]skilldef!$C:$D,2,FALSE),"-") &amp; " / " &amp; IFERROR(VLOOKUP(MID(T55,U55,V55-U55),[6]skilldef!$A:$B,2,FALSE),"-")</f>
        <v>- / -</v>
      </c>
      <c r="Z55" s="46"/>
      <c r="AA55" s="48"/>
      <c r="AB55" s="46"/>
    </row>
    <row r="56" spans="1:28" ht="21" customHeight="1" x14ac:dyDescent="0.15">
      <c r="A56" s="90">
        <v>50003061</v>
      </c>
      <c r="B56" s="43" t="s">
        <v>365</v>
      </c>
      <c r="C56" s="46">
        <v>3</v>
      </c>
      <c r="D56" s="46" t="s">
        <v>126</v>
      </c>
      <c r="E56" s="47" t="s">
        <v>338</v>
      </c>
      <c r="F56" s="47" t="s">
        <v>359</v>
      </c>
      <c r="G56" s="58" t="str">
        <f t="shared" si="70"/>
        <v>[effect:enemy_message, val1:1.3, val2:2.1]</v>
      </c>
      <c r="H56" s="58">
        <f t="shared" si="71"/>
        <v>9</v>
      </c>
      <c r="I56" s="58">
        <f t="shared" si="72"/>
        <v>22</v>
      </c>
      <c r="J56" s="58" t="e">
        <f t="shared" si="73"/>
        <v>#VALUE!</v>
      </c>
      <c r="K56" s="58">
        <f t="shared" si="74"/>
        <v>32</v>
      </c>
      <c r="L56" s="58" t="str">
        <f>IFERROR(VLOOKUP(MID(G56,J56,K56-J56),[6]skilldef!$C:$D,2,FALSE),"-") &amp; " / " &amp; IFERROR(VLOOKUP(MID(G56,H56,I56-H56),[6]skilldef!$A:$B,2,FALSE),"-")</f>
        <v>- / -</v>
      </c>
      <c r="M56" s="58" t="str">
        <f t="shared" si="75"/>
        <v>[effect:nothing]</v>
      </c>
      <c r="N56" s="44" t="str">
        <f>IFERROR(LEFT(M56,FIND("],",M56)+S64),M56)</f>
        <v>[effect:nothing]</v>
      </c>
      <c r="O56" s="58">
        <f t="shared" si="76"/>
        <v>9</v>
      </c>
      <c r="P56" s="58">
        <f t="shared" si="77"/>
        <v>16</v>
      </c>
      <c r="Q56" s="58" t="e">
        <f t="shared" si="78"/>
        <v>#VALUE!</v>
      </c>
      <c r="R56" s="58" t="e">
        <f t="shared" si="79"/>
        <v>#VALUE!</v>
      </c>
      <c r="S56" s="58" t="str">
        <f>IFERROR(VLOOKUP(MID(N56,Q56,R56-Q56),[6]skilldef!$C:$D,2,FALSE),"-") &amp; " / " &amp; IFERROR(VLOOKUP(MID(N56,O56,P56-O56),[6]skilldef!$A:$B,2,FALSE),"-")</f>
        <v>- / 何もしない</v>
      </c>
      <c r="T56" s="44" t="str">
        <f t="shared" si="80"/>
        <v>none</v>
      </c>
      <c r="U56" s="58" t="e">
        <f t="shared" si="81"/>
        <v>#VALUE!</v>
      </c>
      <c r="V56" s="58">
        <f t="shared" si="82"/>
        <v>4</v>
      </c>
      <c r="W56" s="58" t="e">
        <f t="shared" si="83"/>
        <v>#VALUE!</v>
      </c>
      <c r="X56" s="58" t="e">
        <f t="shared" si="84"/>
        <v>#VALUE!</v>
      </c>
      <c r="Y56" s="58" t="str">
        <f>IFERROR(VLOOKUP(MID(T56,W56,X56-W56),[6]skilldef!$C:$D,2,FALSE),"-") &amp; " / " &amp; IFERROR(VLOOKUP(MID(T56,U56,V56-U56),[6]skilldef!$A:$B,2,FALSE),"-")</f>
        <v>- / -</v>
      </c>
      <c r="Z56" s="46"/>
      <c r="AA56" s="48"/>
      <c r="AB56" s="46"/>
    </row>
    <row r="57" spans="1:28" ht="21" customHeight="1" x14ac:dyDescent="0.15">
      <c r="A57" s="90">
        <v>50003062</v>
      </c>
      <c r="B57" s="43" t="s">
        <v>380</v>
      </c>
      <c r="C57" s="46">
        <v>3</v>
      </c>
      <c r="D57" s="46" t="s">
        <v>126</v>
      </c>
      <c r="E57" s="47" t="s">
        <v>339</v>
      </c>
      <c r="F57" s="47" t="s">
        <v>360</v>
      </c>
      <c r="G57" s="58" t="str">
        <f t="shared" si="70"/>
        <v>[effect:enemy_message, val1:1.3, val2:2.1]</v>
      </c>
      <c r="H57" s="58">
        <f t="shared" si="71"/>
        <v>9</v>
      </c>
      <c r="I57" s="58">
        <f t="shared" si="72"/>
        <v>22</v>
      </c>
      <c r="J57" s="58" t="e">
        <f t="shared" si="73"/>
        <v>#VALUE!</v>
      </c>
      <c r="K57" s="58">
        <f t="shared" si="74"/>
        <v>32</v>
      </c>
      <c r="L57" s="58" t="str">
        <f>IFERROR(VLOOKUP(MID(G57,J57,K57-J57),[6]skilldef!$C:$D,2,FALSE),"-") &amp; " / " &amp; IFERROR(VLOOKUP(MID(G57,H57,I57-H57),[6]skilldef!$A:$B,2,FALSE),"-")</f>
        <v>- / -</v>
      </c>
      <c r="M57" s="58" t="str">
        <f t="shared" si="75"/>
        <v>[effect:remove_enhancement, target:unit_all, target_effect:all, target_type:buff, count:-1, animation:frozen_wave],[effect:critical, val:10]</v>
      </c>
      <c r="N57" s="44" t="str">
        <f>IFERROR(LEFT(M57,FIND("],",M57)+S65),M57)</f>
        <v>[effect:remove_enhancement, target:unit_all, target_effect:all, target_type:buff, count:-1, animation:frozen_wave]</v>
      </c>
      <c r="O57" s="58">
        <f t="shared" si="76"/>
        <v>9</v>
      </c>
      <c r="P57" s="58">
        <f t="shared" si="77"/>
        <v>27</v>
      </c>
      <c r="Q57" s="58">
        <f t="shared" si="78"/>
        <v>36</v>
      </c>
      <c r="R57" s="58">
        <f t="shared" si="79"/>
        <v>44</v>
      </c>
      <c r="S57" s="58" t="str">
        <f>IFERROR(VLOOKUP(MID(N57,Q57,R57-Q57),[6]skilldef!$C:$D,2,FALSE),"-") &amp; " / " &amp; IFERROR(VLOOKUP(MID(N57,O57,P57-O57),[6]skilldef!$A:$B,2,FALSE),"-")</f>
        <v>味方全体に / -</v>
      </c>
      <c r="T57" s="44" t="str">
        <f t="shared" si="80"/>
        <v>[effect:critical, val:10]</v>
      </c>
      <c r="U57" s="58">
        <f t="shared" si="81"/>
        <v>9</v>
      </c>
      <c r="V57" s="58">
        <f t="shared" si="82"/>
        <v>17</v>
      </c>
      <c r="W57" s="58" t="e">
        <f t="shared" si="83"/>
        <v>#VALUE!</v>
      </c>
      <c r="X57" s="58" t="e">
        <f t="shared" si="84"/>
        <v>#VALUE!</v>
      </c>
      <c r="Y57" s="58" t="str">
        <f>IFERROR(VLOOKUP(MID(T57,W57,X57-W57),[6]skilldef!$C:$D,2,FALSE),"-") &amp; " / " &amp; IFERROR(VLOOKUP(MID(T57,U57,V57-U57),[6]skilldef!$A:$B,2,FALSE),"-")</f>
        <v>- / 大攻撃</v>
      </c>
      <c r="Z57" s="46"/>
      <c r="AA57" s="48"/>
      <c r="AB57" s="46"/>
    </row>
    <row r="58" spans="1:28" ht="21" customHeight="1" x14ac:dyDescent="0.15">
      <c r="A58" s="90">
        <v>50003063</v>
      </c>
      <c r="B58" s="90" t="s">
        <v>366</v>
      </c>
      <c r="C58" s="46">
        <v>3</v>
      </c>
      <c r="D58" s="46" t="s">
        <v>126</v>
      </c>
      <c r="E58" s="47" t="s">
        <v>337</v>
      </c>
      <c r="F58" s="47"/>
      <c r="G58" s="58" t="str">
        <f t="shared" si="70"/>
        <v>[effect:enemy_message, val1:1.2, val2:0, dead_type:suicide]</v>
      </c>
      <c r="H58" s="58">
        <f t="shared" si="71"/>
        <v>9</v>
      </c>
      <c r="I58" s="58">
        <f t="shared" si="72"/>
        <v>22</v>
      </c>
      <c r="J58" s="58" t="e">
        <f t="shared" si="73"/>
        <v>#VALUE!</v>
      </c>
      <c r="K58" s="58">
        <f t="shared" si="74"/>
        <v>32</v>
      </c>
      <c r="L58" s="58" t="str">
        <f>IFERROR(VLOOKUP(MID(G58,J58,K58-J58),[6]skilldef!$C:$D,2,FALSE),"-") &amp; " / " &amp; IFERROR(VLOOKUP(MID(G58,H58,I58-H58),[6]skilldef!$A:$B,2,FALSE),"-")</f>
        <v>- / -</v>
      </c>
      <c r="M58" s="58" t="str">
        <f t="shared" si="75"/>
        <v>none</v>
      </c>
      <c r="N58" s="44" t="str">
        <f>IFERROR(LEFT(M58,FIND("],",M58)+S66),M58)</f>
        <v>none</v>
      </c>
      <c r="O58" s="58" t="e">
        <f t="shared" si="76"/>
        <v>#VALUE!</v>
      </c>
      <c r="P58" s="58">
        <f t="shared" si="77"/>
        <v>4</v>
      </c>
      <c r="Q58" s="58" t="e">
        <f t="shared" si="78"/>
        <v>#VALUE!</v>
      </c>
      <c r="R58" s="58" t="e">
        <f t="shared" si="79"/>
        <v>#VALUE!</v>
      </c>
      <c r="S58" s="58" t="str">
        <f>IFERROR(VLOOKUP(MID(N58,Q58,R58-Q58),[6]skilldef!$C:$D,2,FALSE),"-") &amp; " / " &amp; IFERROR(VLOOKUP(MID(N58,O58,P58-O58),[6]skilldef!$A:$B,2,FALSE),"-")</f>
        <v>- / -</v>
      </c>
      <c r="T58" s="44" t="str">
        <f t="shared" si="80"/>
        <v>none</v>
      </c>
      <c r="U58" s="58" t="e">
        <f t="shared" si="81"/>
        <v>#VALUE!</v>
      </c>
      <c r="V58" s="58">
        <f t="shared" si="82"/>
        <v>4</v>
      </c>
      <c r="W58" s="58" t="e">
        <f t="shared" si="83"/>
        <v>#VALUE!</v>
      </c>
      <c r="X58" s="58" t="e">
        <f t="shared" si="84"/>
        <v>#VALUE!</v>
      </c>
      <c r="Y58" s="58" t="str">
        <f>IFERROR(VLOOKUP(MID(T58,W58,X58-W58),[6]skilldef!$C:$D,2,FALSE),"-") &amp; " / " &amp; IFERROR(VLOOKUP(MID(T58,U58,V58-U58),[6]skilldef!$A:$B,2,FALSE),"-")</f>
        <v>- / -</v>
      </c>
      <c r="Z58" s="46"/>
      <c r="AA58" s="48"/>
      <c r="AB58" s="46"/>
    </row>
    <row r="59" spans="1:28" ht="21" customHeight="1" x14ac:dyDescent="0.15">
      <c r="A59" s="90">
        <v>50003064</v>
      </c>
      <c r="B59" s="90" t="s">
        <v>351</v>
      </c>
      <c r="C59" s="46">
        <v>3</v>
      </c>
      <c r="D59" s="46" t="s">
        <v>126</v>
      </c>
      <c r="E59" s="47" t="s">
        <v>336</v>
      </c>
      <c r="F59" s="47"/>
      <c r="G59" s="58" t="str">
        <f t="shared" ref="G59:G60" si="85">IFERROR(LEFT(B59,FIND("],",B59)),B59)</f>
        <v>[effect:enemy_message, val1:2, val2:0, dead_type:suicide]</v>
      </c>
      <c r="H59" s="58">
        <f t="shared" ref="H59:H60" si="86">FIND("effect:",G59)+7</f>
        <v>9</v>
      </c>
      <c r="I59" s="58">
        <f t="shared" ref="I59:I60" si="87">IFERROR(FIND(",",G59),LEN(G59))</f>
        <v>22</v>
      </c>
      <c r="J59" s="58" t="e">
        <f t="shared" ref="J59:J60" si="88">FIND("target:",G59)+7</f>
        <v>#VALUE!</v>
      </c>
      <c r="K59" s="58">
        <f t="shared" ref="K59:K60" si="89">FIND(",",G59,I59+1)</f>
        <v>30</v>
      </c>
      <c r="L59" s="58" t="str">
        <f>IFERROR(VLOOKUP(MID(G59,J59,K59-J59),[6]skilldef!$C:$D,2,FALSE),"-") &amp; " / " &amp; IFERROR(VLOOKUP(MID(G59,H59,I59-H59),[6]skilldef!$A:$B,2,FALSE),"-")</f>
        <v>- / -</v>
      </c>
      <c r="M59" s="58" t="str">
        <f t="shared" ref="M59:M60" si="90">IFERROR(RIGHT(B59,LEN(B59)-FIND("],",B59)-1),"none")</f>
        <v>none</v>
      </c>
      <c r="N59" s="44" t="str">
        <f>IFERROR(LEFT(M59,FIND("],",M59)+S67),M59)</f>
        <v>none</v>
      </c>
      <c r="O59" s="58" t="e">
        <f t="shared" ref="O59:O60" si="91">FIND("effect:",N59)+7</f>
        <v>#VALUE!</v>
      </c>
      <c r="P59" s="58">
        <f t="shared" ref="P59:P60" si="92">IFERROR(FIND(",",N59),LEN(N59))</f>
        <v>4</v>
      </c>
      <c r="Q59" s="58" t="e">
        <f t="shared" ref="Q59:Q60" si="93">FIND("target:",N59)+7</f>
        <v>#VALUE!</v>
      </c>
      <c r="R59" s="58" t="e">
        <f t="shared" ref="R59:R60" si="94">FIND(",",N59,P59+1)</f>
        <v>#VALUE!</v>
      </c>
      <c r="S59" s="58" t="str">
        <f>IFERROR(VLOOKUP(MID(N59,Q59,R59-Q59),[6]skilldef!$C:$D,2,FALSE),"-") &amp; " / " &amp; IFERROR(VLOOKUP(MID(N59,O59,P59-O59),[6]skilldef!$A:$B,2,FALSE),"-")</f>
        <v>- / -</v>
      </c>
      <c r="T59" s="44" t="str">
        <f t="shared" ref="T59:T60" si="95">IFERROR(RIGHT(M59,LEN(M59)-FIND("],",M59)-1),"none")</f>
        <v>none</v>
      </c>
      <c r="U59" s="58" t="e">
        <f t="shared" ref="U59:U60" si="96">FIND("effect:",T59)+7</f>
        <v>#VALUE!</v>
      </c>
      <c r="V59" s="58">
        <f t="shared" ref="V59:V60" si="97">IFERROR(FIND(",",T59),LEN(T59))</f>
        <v>4</v>
      </c>
      <c r="W59" s="58" t="e">
        <f t="shared" ref="W59:W60" si="98">FIND("target:",T59)+7</f>
        <v>#VALUE!</v>
      </c>
      <c r="X59" s="58" t="e">
        <f t="shared" ref="X59:X60" si="99">FIND(",",T59,V59+1)</f>
        <v>#VALUE!</v>
      </c>
      <c r="Y59" s="58" t="str">
        <f>IFERROR(VLOOKUP(MID(T59,W59,X59-W59),[6]skilldef!$C:$D,2,FALSE),"-") &amp; " / " &amp; IFERROR(VLOOKUP(MID(T59,U59,V59-U59),[6]skilldef!$A:$B,2,FALSE),"-")</f>
        <v>- / -</v>
      </c>
      <c r="Z59" s="46"/>
      <c r="AA59" s="48"/>
      <c r="AB59" s="46"/>
    </row>
    <row r="60" spans="1:28" ht="21" customHeight="1" x14ac:dyDescent="0.15">
      <c r="A60" s="90">
        <v>50003065</v>
      </c>
      <c r="B60" s="43" t="s">
        <v>374</v>
      </c>
      <c r="C60" s="46">
        <v>3</v>
      </c>
      <c r="D60" s="46" t="s">
        <v>126</v>
      </c>
      <c r="E60" s="47" t="s">
        <v>390</v>
      </c>
      <c r="F60" s="47" t="s">
        <v>362</v>
      </c>
      <c r="G60" s="58" t="str">
        <f t="shared" si="85"/>
        <v>[effect:critical, val:3.5]</v>
      </c>
      <c r="H60" s="58">
        <f t="shared" si="86"/>
        <v>9</v>
      </c>
      <c r="I60" s="58">
        <f t="shared" si="87"/>
        <v>17</v>
      </c>
      <c r="J60" s="58" t="e">
        <f t="shared" si="88"/>
        <v>#VALUE!</v>
      </c>
      <c r="K60" s="58" t="e">
        <f t="shared" si="89"/>
        <v>#VALUE!</v>
      </c>
      <c r="L60" s="58" t="str">
        <f>IFERROR(VLOOKUP(MID(G60,J60,K60-J60),[6]skilldef!$C:$D,2,FALSE),"-") &amp; " / " &amp; IFERROR(VLOOKUP(MID(G60,H60,I60-H60),[6]skilldef!$A:$B,2,FALSE),"-")</f>
        <v>- / 大攻撃</v>
      </c>
      <c r="M60" s="58" t="str">
        <f t="shared" si="90"/>
        <v>none</v>
      </c>
      <c r="N60" s="44" t="str">
        <f>IFERROR(LEFT(M60,FIND("],",M60)+S68),M60)</f>
        <v>none</v>
      </c>
      <c r="O60" s="58" t="e">
        <f t="shared" si="91"/>
        <v>#VALUE!</v>
      </c>
      <c r="P60" s="58">
        <f t="shared" si="92"/>
        <v>4</v>
      </c>
      <c r="Q60" s="58" t="e">
        <f t="shared" si="93"/>
        <v>#VALUE!</v>
      </c>
      <c r="R60" s="58" t="e">
        <f t="shared" si="94"/>
        <v>#VALUE!</v>
      </c>
      <c r="S60" s="58" t="str">
        <f>IFERROR(VLOOKUP(MID(N60,Q60,R60-Q60),[6]skilldef!$C:$D,2,FALSE),"-") &amp; " / " &amp; IFERROR(VLOOKUP(MID(N60,O60,P60-O60),[6]skilldef!$A:$B,2,FALSE),"-")</f>
        <v>- / -</v>
      </c>
      <c r="T60" s="44" t="str">
        <f t="shared" si="95"/>
        <v>none</v>
      </c>
      <c r="U60" s="58" t="e">
        <f t="shared" si="96"/>
        <v>#VALUE!</v>
      </c>
      <c r="V60" s="58">
        <f t="shared" si="97"/>
        <v>4</v>
      </c>
      <c r="W60" s="58" t="e">
        <f t="shared" si="98"/>
        <v>#VALUE!</v>
      </c>
      <c r="X60" s="58" t="e">
        <f t="shared" si="99"/>
        <v>#VALUE!</v>
      </c>
      <c r="Y60" s="58" t="str">
        <f>IFERROR(VLOOKUP(MID(T60,W60,X60-W60),[6]skilldef!$C:$D,2,FALSE),"-") &amp; " / " &amp; IFERROR(VLOOKUP(MID(T60,U60,V60-U60),[6]skilldef!$A:$B,2,FALSE),"-")</f>
        <v>- / -</v>
      </c>
      <c r="Z60" s="46"/>
      <c r="AA60" s="48"/>
      <c r="AB60" s="46"/>
    </row>
    <row r="61" spans="1:28" ht="21" customHeight="1" x14ac:dyDescent="0.15">
      <c r="A61" s="90">
        <v>50003067</v>
      </c>
      <c r="B61" s="43" t="s">
        <v>379</v>
      </c>
      <c r="C61" s="46">
        <v>3</v>
      </c>
      <c r="D61" s="46" t="s">
        <v>126</v>
      </c>
      <c r="E61" s="47" t="s">
        <v>364</v>
      </c>
      <c r="F61" s="47" t="s">
        <v>376</v>
      </c>
      <c r="G61" s="58" t="str">
        <f>IFERROR(LEFT(B61,FIND("],",B61)),B61)</f>
        <v>[effect:critical, val:4.5]</v>
      </c>
      <c r="H61" s="58">
        <f>FIND("effect:",G61)+7</f>
        <v>9</v>
      </c>
      <c r="I61" s="58">
        <f>IFERROR(FIND(",",G61),LEN(G61))</f>
        <v>17</v>
      </c>
      <c r="J61" s="58" t="e">
        <f>FIND("target:",G61)+7</f>
        <v>#VALUE!</v>
      </c>
      <c r="K61" s="58" t="e">
        <f>FIND(",",G61,I61+1)</f>
        <v>#VALUE!</v>
      </c>
      <c r="L61" s="58" t="str">
        <f>IFERROR(VLOOKUP(MID(G61,J61,K61-J61),[6]skilldef!$C:$D,2,FALSE),"-") &amp; " / " &amp; IFERROR(VLOOKUP(MID(G61,H61,I61-H61),[6]skilldef!$A:$B,2,FALSE),"-")</f>
        <v>- / 大攻撃</v>
      </c>
      <c r="M61" s="58" t="str">
        <f>IFERROR(RIGHT(B61,LEN(B61)-FIND("],",B61)-1),"none")</f>
        <v>[effect:enhance_enemy, target:myself, turn:-1, status:attack, val:1, calc:mul, animation:enemy_enhance_attack]</v>
      </c>
      <c r="N61" s="44" t="str">
        <f>IFERROR(LEFT(M61,FIND("],",M61)+S70),M61)</f>
        <v>[effect:enhance_enemy, target:myself, turn:-1, status:attack, val:1, calc:mul, animation:enemy_enhance_attack]</v>
      </c>
      <c r="O61" s="58">
        <f t="shared" ref="O61:O62" si="100">FIND("effect:",N61)+7</f>
        <v>9</v>
      </c>
      <c r="P61" s="58">
        <f t="shared" ref="P61:P62" si="101">IFERROR(FIND(",",N61),LEN(N61))</f>
        <v>22</v>
      </c>
      <c r="Q61" s="58">
        <f t="shared" ref="Q61:Q62" si="102">FIND("target:",N61)+7</f>
        <v>31</v>
      </c>
      <c r="R61" s="58">
        <f t="shared" ref="R61:R62" si="103">FIND(",",N61,P61+1)</f>
        <v>37</v>
      </c>
      <c r="S61" s="58" t="str">
        <f>IFERROR(VLOOKUP(MID(N61,Q61,R61-Q61),[6]skilldef!$C:$D,2,FALSE),"-") &amp; " / " &amp; IFERROR(VLOOKUP(MID(N61,O61,P61-O61),[6]skilldef!$A:$B,2,FALSE),"-")</f>
        <v>自分自身に / ステータス強化</v>
      </c>
      <c r="T61" s="44" t="str">
        <f t="shared" ref="T61:T62" si="104">IFERROR(RIGHT(M61,LEN(M61)-FIND("],",M61)-1),"none")</f>
        <v>none</v>
      </c>
      <c r="U61" s="58" t="e">
        <f t="shared" ref="U61:U62" si="105">FIND("effect:",T61)+7</f>
        <v>#VALUE!</v>
      </c>
      <c r="V61" s="58">
        <f t="shared" ref="V61:V62" si="106">IFERROR(FIND(",",T61),LEN(T61))</f>
        <v>4</v>
      </c>
      <c r="W61" s="58" t="e">
        <f t="shared" ref="W61:W62" si="107">FIND("target:",T61)+7</f>
        <v>#VALUE!</v>
      </c>
      <c r="X61" s="58" t="e">
        <f t="shared" ref="X61:X62" si="108">FIND(",",T61,V61+1)</f>
        <v>#VALUE!</v>
      </c>
      <c r="Y61" s="58" t="str">
        <f>IFERROR(VLOOKUP(MID(T61,W61,X61-W61),[6]skilldef!$C:$D,2,FALSE),"-") &amp; " / " &amp; IFERROR(VLOOKUP(MID(T61,U61,V61-U61),[6]skilldef!$A:$B,2,FALSE),"-")</f>
        <v>- / -</v>
      </c>
      <c r="Z61" s="46"/>
      <c r="AA61" s="48"/>
      <c r="AB61" s="46"/>
    </row>
    <row r="62" spans="1:28" ht="21" customHeight="1" x14ac:dyDescent="0.15">
      <c r="A62" s="90">
        <v>50003068</v>
      </c>
      <c r="B62" s="43" t="s">
        <v>388</v>
      </c>
      <c r="C62" s="46">
        <v>3</v>
      </c>
      <c r="D62" s="46" t="s">
        <v>126</v>
      </c>
      <c r="E62" s="47" t="s">
        <v>385</v>
      </c>
      <c r="F62" s="47" t="s">
        <v>386</v>
      </c>
      <c r="G62" s="58" t="str">
        <f t="shared" ref="G62" si="109">IFERROR(LEFT(B62,FIND("],",B62)),B62)</f>
        <v>[effect:critical, val:1.25]</v>
      </c>
      <c r="H62" s="58">
        <f t="shared" ref="H62" si="110">FIND("effect:",G62)+7</f>
        <v>9</v>
      </c>
      <c r="I62" s="58">
        <f t="shared" ref="I62" si="111">IFERROR(FIND(",",G62),LEN(G62))</f>
        <v>17</v>
      </c>
      <c r="J62" s="58" t="e">
        <f t="shared" ref="J62" si="112">FIND("target:",G62)+7</f>
        <v>#VALUE!</v>
      </c>
      <c r="K62" s="58" t="e">
        <f t="shared" ref="K62" si="113">FIND(",",G62,I62+1)</f>
        <v>#VALUE!</v>
      </c>
      <c r="L62" s="58" t="str">
        <f>IFERROR(VLOOKUP(MID(G62,J62,K62-J62),[6]skilldef!$C:$D,2,FALSE),"-") &amp; " / " &amp; IFERROR(VLOOKUP(MID(G62,H62,I62-H62),[6]skilldef!$A:$B,2,FALSE),"-")</f>
        <v>- / 大攻撃</v>
      </c>
      <c r="M62" s="58" t="str">
        <f t="shared" ref="M62" si="114">IFERROR(RIGHT(B62,LEN(B62)-FIND("],",B62)-1),"none")</f>
        <v>none</v>
      </c>
      <c r="N62" s="44" t="str">
        <f>IFERROR(LEFT(M62,FIND("],",M62)+S70),M62)</f>
        <v>none</v>
      </c>
      <c r="O62" s="58" t="e">
        <f t="shared" si="100"/>
        <v>#VALUE!</v>
      </c>
      <c r="P62" s="58">
        <f t="shared" si="101"/>
        <v>4</v>
      </c>
      <c r="Q62" s="58" t="e">
        <f t="shared" si="102"/>
        <v>#VALUE!</v>
      </c>
      <c r="R62" s="58" t="e">
        <f t="shared" si="103"/>
        <v>#VALUE!</v>
      </c>
      <c r="S62" s="58" t="str">
        <f>IFERROR(VLOOKUP(MID(N62,Q62,R62-Q62),[6]skilldef!$C:$D,2,FALSE),"-") &amp; " / " &amp; IFERROR(VLOOKUP(MID(N62,O62,P62-O62),[6]skilldef!$A:$B,2,FALSE),"-")</f>
        <v>- / -</v>
      </c>
      <c r="T62" s="44" t="str">
        <f t="shared" si="104"/>
        <v>none</v>
      </c>
      <c r="U62" s="58" t="e">
        <f t="shared" si="105"/>
        <v>#VALUE!</v>
      </c>
      <c r="V62" s="58">
        <f t="shared" si="106"/>
        <v>4</v>
      </c>
      <c r="W62" s="58" t="e">
        <f t="shared" si="107"/>
        <v>#VALUE!</v>
      </c>
      <c r="X62" s="58" t="e">
        <f t="shared" si="108"/>
        <v>#VALUE!</v>
      </c>
      <c r="Y62" s="58" t="str">
        <f>IFERROR(VLOOKUP(MID(T62,W62,X62-W62),[6]skilldef!$C:$D,2,FALSE),"-") &amp; " / " &amp; IFERROR(VLOOKUP(MID(T62,U62,V62-U62),[6]skilldef!$A:$B,2,FALSE),"-")</f>
        <v>- / -</v>
      </c>
      <c r="Z62" s="46"/>
      <c r="AA62" s="48"/>
      <c r="AB62" s="46"/>
    </row>
    <row r="63" spans="1:28" ht="21" customHeight="1" x14ac:dyDescent="0.15">
      <c r="A63" s="90">
        <v>50003069</v>
      </c>
      <c r="B63" s="43" t="s">
        <v>388</v>
      </c>
      <c r="C63" s="46">
        <v>3</v>
      </c>
      <c r="D63" s="46" t="s">
        <v>126</v>
      </c>
      <c r="E63" s="47" t="s">
        <v>363</v>
      </c>
      <c r="F63" s="47" t="s">
        <v>386</v>
      </c>
      <c r="G63" s="58" t="str">
        <f t="shared" ref="G63" si="115">IFERROR(LEFT(B63,FIND("],",B63)),B63)</f>
        <v>[effect:critical, val:1.25]</v>
      </c>
      <c r="H63" s="58">
        <f t="shared" ref="H63" si="116">FIND("effect:",G63)+7</f>
        <v>9</v>
      </c>
      <c r="I63" s="58">
        <f t="shared" ref="I63" si="117">IFERROR(FIND(",",G63),LEN(G63))</f>
        <v>17</v>
      </c>
      <c r="J63" s="58" t="e">
        <f t="shared" ref="J63" si="118">FIND("target:",G63)+7</f>
        <v>#VALUE!</v>
      </c>
      <c r="K63" s="58" t="e">
        <f t="shared" ref="K63" si="119">FIND(",",G63,I63+1)</f>
        <v>#VALUE!</v>
      </c>
      <c r="L63" s="58" t="str">
        <f>IFERROR(VLOOKUP(MID(G63,J63,K63-J63),[6]skilldef!$C:$D,2,FALSE),"-") &amp; " / " &amp; IFERROR(VLOOKUP(MID(G63,H63,I63-H63),[6]skilldef!$A:$B,2,FALSE),"-")</f>
        <v>- / 大攻撃</v>
      </c>
      <c r="M63" s="58" t="str">
        <f t="shared" ref="M63" si="120">IFERROR(RIGHT(B63,LEN(B63)-FIND("],",B63)-1),"none")</f>
        <v>none</v>
      </c>
      <c r="N63" s="44" t="str">
        <f>IFERROR(LEFT(M63,FIND("],",M63)+S71),M63)</f>
        <v>none</v>
      </c>
      <c r="O63" s="58" t="e">
        <f t="shared" ref="O63" si="121">FIND("effect:",N63)+7</f>
        <v>#VALUE!</v>
      </c>
      <c r="P63" s="58">
        <f t="shared" ref="P63" si="122">IFERROR(FIND(",",N63),LEN(N63))</f>
        <v>4</v>
      </c>
      <c r="Q63" s="58" t="e">
        <f t="shared" ref="Q63" si="123">FIND("target:",N63)+7</f>
        <v>#VALUE!</v>
      </c>
      <c r="R63" s="58" t="e">
        <f t="shared" ref="R63" si="124">FIND(",",N63,P63+1)</f>
        <v>#VALUE!</v>
      </c>
      <c r="S63" s="58" t="str">
        <f>IFERROR(VLOOKUP(MID(N63,Q63,R63-Q63),[6]skilldef!$C:$D,2,FALSE),"-") &amp; " / " &amp; IFERROR(VLOOKUP(MID(N63,O63,P63-O63),[6]skilldef!$A:$B,2,FALSE),"-")</f>
        <v>- / -</v>
      </c>
      <c r="T63" s="44" t="str">
        <f t="shared" ref="T63" si="125">IFERROR(RIGHT(M63,LEN(M63)-FIND("],",M63)-1),"none")</f>
        <v>none</v>
      </c>
      <c r="U63" s="58" t="e">
        <f t="shared" ref="U63" si="126">FIND("effect:",T63)+7</f>
        <v>#VALUE!</v>
      </c>
      <c r="V63" s="58">
        <f t="shared" ref="V63" si="127">IFERROR(FIND(",",T63),LEN(T63))</f>
        <v>4</v>
      </c>
      <c r="W63" s="58" t="e">
        <f t="shared" ref="W63" si="128">FIND("target:",T63)+7</f>
        <v>#VALUE!</v>
      </c>
      <c r="X63" s="58" t="e">
        <f t="shared" ref="X63" si="129">FIND(",",T63,V63+1)</f>
        <v>#VALUE!</v>
      </c>
      <c r="Y63" s="58" t="str">
        <f>IFERROR(VLOOKUP(MID(T63,W63,X63-W63),[6]skilldef!$C:$D,2,FALSE),"-") &amp; " / " &amp; IFERROR(VLOOKUP(MID(T63,U63,V63-U63),[6]skilldef!$A:$B,2,FALSE),"-")</f>
        <v>- / -</v>
      </c>
      <c r="Z63" s="46"/>
      <c r="AA63" s="48"/>
      <c r="AB63" s="46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66"/>
  <sheetViews>
    <sheetView showGridLines="0" zoomScale="125" zoomScaleNormal="125" zoomScalePageLayoutView="125" workbookViewId="0">
      <pane ySplit="1" topLeftCell="A16" activePane="bottomLeft" state="frozenSplit"/>
      <selection pane="bottomLeft" activeCell="C46" sqref="C46"/>
    </sheetView>
  </sheetViews>
  <sheetFormatPr baseColWidth="12" defaultColWidth="12.83203125" defaultRowHeight="21" customHeight="1" x14ac:dyDescent="0.15"/>
  <cols>
    <col min="1" max="1" width="16.1640625" style="45" bestFit="1" customWidth="1"/>
    <col min="2" max="2" width="13.33203125" style="45" bestFit="1" customWidth="1"/>
    <col min="3" max="3" width="11.83203125" style="45" bestFit="1" customWidth="1"/>
    <col min="4" max="4" width="14.6640625" style="45" bestFit="1" customWidth="1"/>
    <col min="5" max="5" width="15.6640625" style="45" bestFit="1" customWidth="1"/>
    <col min="6" max="6" width="17" style="45" bestFit="1" customWidth="1"/>
    <col min="7" max="7" width="15.6640625" style="45" bestFit="1" customWidth="1"/>
    <col min="8" max="9" width="14.6640625" style="45" customWidth="1"/>
    <col min="10" max="10" width="14.6640625" style="45" bestFit="1" customWidth="1"/>
    <col min="11" max="11" width="22.83203125" style="38" bestFit="1" customWidth="1"/>
    <col min="12" max="16384" width="12.83203125" style="41"/>
  </cols>
  <sheetData>
    <row r="1" spans="1:11" ht="21" customHeight="1" x14ac:dyDescent="0.15">
      <c r="A1" s="39" t="s">
        <v>84</v>
      </c>
      <c r="B1" s="39" t="s">
        <v>85</v>
      </c>
      <c r="C1" s="39" t="s">
        <v>86</v>
      </c>
      <c r="D1" s="39" t="s">
        <v>87</v>
      </c>
      <c r="E1" s="39" t="s">
        <v>70</v>
      </c>
      <c r="F1" s="49" t="s">
        <v>71</v>
      </c>
      <c r="G1" s="49" t="s">
        <v>72</v>
      </c>
      <c r="H1" s="39" t="s">
        <v>73</v>
      </c>
      <c r="I1" s="39" t="s">
        <v>74</v>
      </c>
      <c r="J1" s="39" t="s">
        <v>75</v>
      </c>
      <c r="K1" s="50" t="s">
        <v>88</v>
      </c>
    </row>
    <row r="2" spans="1:11" ht="21" customHeight="1" x14ac:dyDescent="0.15">
      <c r="A2" s="90">
        <v>50003001</v>
      </c>
      <c r="B2" s="43">
        <v>0</v>
      </c>
      <c r="C2" s="43">
        <v>100</v>
      </c>
      <c r="D2" s="43">
        <v>100</v>
      </c>
      <c r="E2" s="43" t="s">
        <v>213</v>
      </c>
      <c r="F2" s="43" t="s">
        <v>213</v>
      </c>
      <c r="G2" s="43" t="s">
        <v>213</v>
      </c>
      <c r="H2" s="43">
        <v>2</v>
      </c>
      <c r="I2" s="43" t="s">
        <v>213</v>
      </c>
      <c r="J2" s="44">
        <f t="shared" ref="J2:J15" si="0">D2</f>
        <v>100</v>
      </c>
    </row>
    <row r="3" spans="1:11" ht="21" customHeight="1" x14ac:dyDescent="0.15">
      <c r="A3" s="90">
        <v>50003002</v>
      </c>
      <c r="B3" s="43">
        <v>0</v>
      </c>
      <c r="C3" s="43">
        <v>50</v>
      </c>
      <c r="D3" s="43">
        <v>100</v>
      </c>
      <c r="E3" s="43" t="s">
        <v>213</v>
      </c>
      <c r="F3" s="43" t="s">
        <v>213</v>
      </c>
      <c r="G3" s="43" t="s">
        <v>213</v>
      </c>
      <c r="H3" s="43">
        <v>2</v>
      </c>
      <c r="I3" s="43" t="s">
        <v>213</v>
      </c>
      <c r="J3" s="44">
        <f t="shared" si="0"/>
        <v>100</v>
      </c>
    </row>
    <row r="4" spans="1:11" ht="21" customHeight="1" x14ac:dyDescent="0.15">
      <c r="A4" s="90">
        <v>50003003</v>
      </c>
      <c r="B4" s="43">
        <v>0</v>
      </c>
      <c r="C4" s="43">
        <v>100</v>
      </c>
      <c r="D4" s="43">
        <v>100</v>
      </c>
      <c r="E4" s="43">
        <v>50</v>
      </c>
      <c r="F4" s="43" t="s">
        <v>213</v>
      </c>
      <c r="G4" s="43">
        <v>1</v>
      </c>
      <c r="H4" s="43">
        <v>1</v>
      </c>
      <c r="I4" s="43" t="s">
        <v>213</v>
      </c>
      <c r="J4" s="44">
        <f t="shared" si="0"/>
        <v>100</v>
      </c>
    </row>
    <row r="5" spans="1:11" ht="21" customHeight="1" x14ac:dyDescent="0.15">
      <c r="A5" s="90">
        <v>50003004</v>
      </c>
      <c r="B5" s="43">
        <v>0</v>
      </c>
      <c r="C5" s="43">
        <v>120</v>
      </c>
      <c r="D5" s="43">
        <v>100</v>
      </c>
      <c r="E5" s="43" t="s">
        <v>213</v>
      </c>
      <c r="F5" s="43" t="s">
        <v>213</v>
      </c>
      <c r="G5" s="43">
        <v>0</v>
      </c>
      <c r="H5" s="43" t="s">
        <v>213</v>
      </c>
      <c r="I5" s="43">
        <v>0</v>
      </c>
      <c r="J5" s="44">
        <f t="shared" si="0"/>
        <v>100</v>
      </c>
    </row>
    <row r="6" spans="1:11" ht="21" customHeight="1" x14ac:dyDescent="0.15">
      <c r="A6" s="90">
        <v>50003005</v>
      </c>
      <c r="B6" s="43">
        <v>0</v>
      </c>
      <c r="C6" s="43">
        <v>100</v>
      </c>
      <c r="D6" s="43">
        <v>100</v>
      </c>
      <c r="E6" s="43" t="s">
        <v>213</v>
      </c>
      <c r="F6" s="43" t="s">
        <v>213</v>
      </c>
      <c r="G6" s="43" t="s">
        <v>213</v>
      </c>
      <c r="H6" s="43">
        <v>3</v>
      </c>
      <c r="I6" s="43" t="s">
        <v>213</v>
      </c>
      <c r="J6" s="44">
        <f t="shared" si="0"/>
        <v>100</v>
      </c>
    </row>
    <row r="7" spans="1:11" ht="21" customHeight="1" x14ac:dyDescent="0.15">
      <c r="A7" s="90">
        <v>50003006</v>
      </c>
      <c r="B7" s="43">
        <v>0</v>
      </c>
      <c r="C7" s="43" t="s">
        <v>213</v>
      </c>
      <c r="D7" s="43">
        <v>40</v>
      </c>
      <c r="E7" s="43" t="s">
        <v>213</v>
      </c>
      <c r="F7" s="43" t="s">
        <v>213</v>
      </c>
      <c r="G7" s="43" t="s">
        <v>213</v>
      </c>
      <c r="H7" s="43" t="s">
        <v>213</v>
      </c>
      <c r="I7" s="43" t="s">
        <v>213</v>
      </c>
      <c r="J7" s="44">
        <f t="shared" si="0"/>
        <v>40</v>
      </c>
    </row>
    <row r="8" spans="1:11" ht="21" customHeight="1" x14ac:dyDescent="0.15">
      <c r="A8" s="90">
        <v>50003007</v>
      </c>
      <c r="B8" s="43">
        <v>0</v>
      </c>
      <c r="C8" s="43" t="s">
        <v>213</v>
      </c>
      <c r="D8" s="43">
        <v>40</v>
      </c>
      <c r="E8" s="43" t="s">
        <v>213</v>
      </c>
      <c r="F8" s="43" t="s">
        <v>213</v>
      </c>
      <c r="G8" s="43" t="s">
        <v>239</v>
      </c>
      <c r="H8" s="43" t="s">
        <v>213</v>
      </c>
      <c r="I8" s="43" t="s">
        <v>213</v>
      </c>
      <c r="J8" s="44">
        <f t="shared" si="0"/>
        <v>40</v>
      </c>
    </row>
    <row r="9" spans="1:11" ht="21" customHeight="1" x14ac:dyDescent="0.15">
      <c r="A9" s="90">
        <v>50003008</v>
      </c>
      <c r="B9" s="43">
        <v>1</v>
      </c>
      <c r="C9" s="43" t="s">
        <v>213</v>
      </c>
      <c r="D9" s="43">
        <v>100</v>
      </c>
      <c r="E9" s="43" t="s">
        <v>213</v>
      </c>
      <c r="F9" s="43" t="s">
        <v>213</v>
      </c>
      <c r="G9" s="43">
        <v>1</v>
      </c>
      <c r="H9" s="43" t="s">
        <v>213</v>
      </c>
      <c r="I9" s="43" t="s">
        <v>213</v>
      </c>
      <c r="J9" s="44">
        <f t="shared" si="0"/>
        <v>100</v>
      </c>
    </row>
    <row r="10" spans="1:11" ht="21" customHeight="1" x14ac:dyDescent="0.15">
      <c r="A10" s="90">
        <v>50003009</v>
      </c>
      <c r="B10" s="43">
        <v>0</v>
      </c>
      <c r="C10" s="43">
        <v>1</v>
      </c>
      <c r="D10" s="43">
        <v>100</v>
      </c>
      <c r="E10" s="43">
        <v>50</v>
      </c>
      <c r="F10" s="43" t="s">
        <v>213</v>
      </c>
      <c r="G10" s="43">
        <v>1</v>
      </c>
      <c r="H10" s="43" t="s">
        <v>213</v>
      </c>
      <c r="I10" s="43" t="s">
        <v>213</v>
      </c>
      <c r="J10" s="44">
        <f t="shared" si="0"/>
        <v>100</v>
      </c>
    </row>
    <row r="11" spans="1:11" ht="21" customHeight="1" x14ac:dyDescent="0.15">
      <c r="A11" s="90">
        <v>50003010</v>
      </c>
      <c r="B11" s="43">
        <v>0</v>
      </c>
      <c r="C11" s="43" t="s">
        <v>213</v>
      </c>
      <c r="D11" s="43">
        <v>40</v>
      </c>
      <c r="E11" s="43" t="s">
        <v>213</v>
      </c>
      <c r="F11" s="43" t="s">
        <v>213</v>
      </c>
      <c r="G11" s="43" t="s">
        <v>213</v>
      </c>
      <c r="H11" s="43" t="s">
        <v>213</v>
      </c>
      <c r="I11" s="43" t="s">
        <v>213</v>
      </c>
      <c r="J11" s="44">
        <f t="shared" si="0"/>
        <v>40</v>
      </c>
    </row>
    <row r="12" spans="1:11" ht="21" customHeight="1" x14ac:dyDescent="0.15">
      <c r="A12" s="90">
        <v>50003011</v>
      </c>
      <c r="B12" s="43">
        <v>0</v>
      </c>
      <c r="C12" s="43" t="s">
        <v>213</v>
      </c>
      <c r="D12" s="43">
        <v>40</v>
      </c>
      <c r="E12" s="43" t="s">
        <v>213</v>
      </c>
      <c r="F12" s="43" t="s">
        <v>213</v>
      </c>
      <c r="G12" s="43" t="s">
        <v>213</v>
      </c>
      <c r="H12" s="43" t="s">
        <v>213</v>
      </c>
      <c r="I12" s="43" t="s">
        <v>213</v>
      </c>
      <c r="J12" s="44">
        <f t="shared" si="0"/>
        <v>40</v>
      </c>
    </row>
    <row r="13" spans="1:11" ht="21" customHeight="1" x14ac:dyDescent="0.15">
      <c r="A13" s="90">
        <v>50003012</v>
      </c>
      <c r="B13" s="43">
        <v>1</v>
      </c>
      <c r="C13" s="43" t="s">
        <v>213</v>
      </c>
      <c r="D13" s="43">
        <v>100</v>
      </c>
      <c r="E13" s="43" t="s">
        <v>213</v>
      </c>
      <c r="F13" s="43" t="s">
        <v>213</v>
      </c>
      <c r="G13" s="43">
        <v>1</v>
      </c>
      <c r="H13" s="43" t="s">
        <v>213</v>
      </c>
      <c r="I13" s="43" t="s">
        <v>213</v>
      </c>
      <c r="J13" s="44">
        <f t="shared" si="0"/>
        <v>100</v>
      </c>
    </row>
    <row r="14" spans="1:11" ht="21" customHeight="1" x14ac:dyDescent="0.15">
      <c r="A14" s="90">
        <v>50003013</v>
      </c>
      <c r="B14" s="43">
        <v>0</v>
      </c>
      <c r="C14" s="43">
        <v>100</v>
      </c>
      <c r="D14" s="43">
        <v>100</v>
      </c>
      <c r="E14" s="43">
        <v>50</v>
      </c>
      <c r="F14" s="43" t="s">
        <v>213</v>
      </c>
      <c r="G14" s="43">
        <v>1</v>
      </c>
      <c r="H14" s="43" t="s">
        <v>213</v>
      </c>
      <c r="I14" s="43" t="s">
        <v>213</v>
      </c>
      <c r="J14" s="44">
        <f t="shared" si="0"/>
        <v>100</v>
      </c>
    </row>
    <row r="15" spans="1:11" ht="21" customHeight="1" x14ac:dyDescent="0.15">
      <c r="A15" s="90">
        <v>50003014</v>
      </c>
      <c r="B15" s="44">
        <v>0</v>
      </c>
      <c r="C15" s="44">
        <v>100</v>
      </c>
      <c r="D15" s="44">
        <v>100</v>
      </c>
      <c r="E15" s="44">
        <v>50</v>
      </c>
      <c r="F15" s="44" t="s">
        <v>213</v>
      </c>
      <c r="G15" s="44">
        <v>1</v>
      </c>
      <c r="H15" s="44" t="s">
        <v>213</v>
      </c>
      <c r="I15" s="44" t="s">
        <v>213</v>
      </c>
      <c r="J15" s="44">
        <f t="shared" si="0"/>
        <v>100</v>
      </c>
    </row>
    <row r="16" spans="1:11" ht="21" customHeight="1" x14ac:dyDescent="0.15">
      <c r="A16" s="90">
        <v>50003015</v>
      </c>
      <c r="B16" s="43">
        <v>0</v>
      </c>
      <c r="C16" s="43">
        <v>120</v>
      </c>
      <c r="D16" s="43">
        <v>100</v>
      </c>
      <c r="E16" s="43" t="s">
        <v>213</v>
      </c>
      <c r="F16" s="43" t="s">
        <v>213</v>
      </c>
      <c r="G16" s="43">
        <v>0</v>
      </c>
      <c r="H16" s="43" t="s">
        <v>213</v>
      </c>
      <c r="I16" s="43">
        <v>0</v>
      </c>
      <c r="J16" s="44">
        <f t="shared" ref="J16:J65" si="1">D16</f>
        <v>100</v>
      </c>
    </row>
    <row r="17" spans="1:10" ht="21" customHeight="1" x14ac:dyDescent="0.15">
      <c r="A17" s="90">
        <v>50003016</v>
      </c>
      <c r="B17" s="44">
        <v>1</v>
      </c>
      <c r="C17" s="44" t="s">
        <v>213</v>
      </c>
      <c r="D17" s="44">
        <v>100</v>
      </c>
      <c r="E17" s="44" t="s">
        <v>213</v>
      </c>
      <c r="F17" s="44" t="s">
        <v>213</v>
      </c>
      <c r="G17" s="44">
        <v>1</v>
      </c>
      <c r="H17" s="44" t="s">
        <v>213</v>
      </c>
      <c r="I17" s="44" t="s">
        <v>213</v>
      </c>
      <c r="J17" s="44">
        <f t="shared" si="1"/>
        <v>100</v>
      </c>
    </row>
    <row r="18" spans="1:10" ht="21" customHeight="1" x14ac:dyDescent="0.15">
      <c r="A18" s="90">
        <v>50003017</v>
      </c>
      <c r="B18" s="44">
        <v>0</v>
      </c>
      <c r="C18" s="44">
        <v>100</v>
      </c>
      <c r="D18" s="44">
        <v>100</v>
      </c>
      <c r="E18" s="44" t="s">
        <v>213</v>
      </c>
      <c r="F18" s="44" t="s">
        <v>213</v>
      </c>
      <c r="G18" s="44">
        <v>1</v>
      </c>
      <c r="H18" s="44">
        <v>1</v>
      </c>
      <c r="I18" s="44" t="s">
        <v>213</v>
      </c>
      <c r="J18" s="44">
        <f t="shared" si="1"/>
        <v>100</v>
      </c>
    </row>
    <row r="19" spans="1:10" ht="21" customHeight="1" x14ac:dyDescent="0.15">
      <c r="A19" s="90">
        <v>50003018</v>
      </c>
      <c r="B19" s="44">
        <v>0</v>
      </c>
      <c r="C19" s="44">
        <v>99</v>
      </c>
      <c r="D19" s="44">
        <v>100</v>
      </c>
      <c r="E19" s="44" t="s">
        <v>213</v>
      </c>
      <c r="F19" s="44" t="s">
        <v>213</v>
      </c>
      <c r="G19" s="44">
        <v>1</v>
      </c>
      <c r="H19" s="44">
        <v>2</v>
      </c>
      <c r="I19" s="44" t="s">
        <v>213</v>
      </c>
      <c r="J19" s="44">
        <f t="shared" si="1"/>
        <v>100</v>
      </c>
    </row>
    <row r="20" spans="1:10" ht="21" customHeight="1" x14ac:dyDescent="0.15">
      <c r="A20" s="90">
        <v>50003019</v>
      </c>
      <c r="B20" s="44">
        <v>0</v>
      </c>
      <c r="C20" s="44">
        <v>98</v>
      </c>
      <c r="D20" s="44">
        <v>100</v>
      </c>
      <c r="E20" s="44" t="s">
        <v>213</v>
      </c>
      <c r="F20" s="44" t="s">
        <v>213</v>
      </c>
      <c r="G20" s="44">
        <v>1</v>
      </c>
      <c r="H20" s="44">
        <v>3</v>
      </c>
      <c r="I20" s="44" t="s">
        <v>213</v>
      </c>
      <c r="J20" s="44">
        <f t="shared" si="1"/>
        <v>100</v>
      </c>
    </row>
    <row r="21" spans="1:10" ht="21" customHeight="1" x14ac:dyDescent="0.15">
      <c r="A21" s="90">
        <v>50003020</v>
      </c>
      <c r="B21" s="44">
        <v>0</v>
      </c>
      <c r="C21" s="44">
        <v>97</v>
      </c>
      <c r="D21" s="44">
        <v>100</v>
      </c>
      <c r="E21" s="44" t="s">
        <v>213</v>
      </c>
      <c r="F21" s="44" t="s">
        <v>213</v>
      </c>
      <c r="G21" s="44">
        <v>1</v>
      </c>
      <c r="H21" s="44">
        <v>4</v>
      </c>
      <c r="I21" s="44" t="s">
        <v>213</v>
      </c>
      <c r="J21" s="44">
        <f t="shared" si="1"/>
        <v>100</v>
      </c>
    </row>
    <row r="22" spans="1:10" ht="21" customHeight="1" x14ac:dyDescent="0.15">
      <c r="A22" s="90">
        <v>50003021</v>
      </c>
      <c r="B22" s="44">
        <v>0</v>
      </c>
      <c r="C22" s="44">
        <v>96</v>
      </c>
      <c r="D22" s="44">
        <v>100</v>
      </c>
      <c r="E22" s="44" t="s">
        <v>213</v>
      </c>
      <c r="F22" s="44" t="s">
        <v>213</v>
      </c>
      <c r="G22" s="44">
        <v>1</v>
      </c>
      <c r="H22" s="44">
        <v>5</v>
      </c>
      <c r="I22" s="44" t="s">
        <v>213</v>
      </c>
      <c r="J22" s="44">
        <f t="shared" si="1"/>
        <v>100</v>
      </c>
    </row>
    <row r="23" spans="1:10" ht="21" customHeight="1" x14ac:dyDescent="0.15">
      <c r="A23" s="90">
        <v>50003022</v>
      </c>
      <c r="B23" s="44">
        <v>0</v>
      </c>
      <c r="C23" s="44">
        <v>95</v>
      </c>
      <c r="D23" s="44">
        <v>100</v>
      </c>
      <c r="E23" s="44" t="s">
        <v>213</v>
      </c>
      <c r="F23" s="44" t="s">
        <v>213</v>
      </c>
      <c r="G23" s="44">
        <v>1</v>
      </c>
      <c r="H23" s="44">
        <v>6</v>
      </c>
      <c r="I23" s="44" t="s">
        <v>213</v>
      </c>
      <c r="J23" s="44">
        <f t="shared" si="1"/>
        <v>100</v>
      </c>
    </row>
    <row r="24" spans="1:10" ht="21" customHeight="1" x14ac:dyDescent="0.15">
      <c r="A24" s="90">
        <v>50003023</v>
      </c>
      <c r="B24" s="44">
        <v>0</v>
      </c>
      <c r="C24" s="44">
        <v>94</v>
      </c>
      <c r="D24" s="44">
        <v>100</v>
      </c>
      <c r="E24" s="44" t="s">
        <v>213</v>
      </c>
      <c r="F24" s="44" t="s">
        <v>213</v>
      </c>
      <c r="G24" s="44">
        <v>1</v>
      </c>
      <c r="H24" s="44">
        <v>7</v>
      </c>
      <c r="I24" s="44" t="s">
        <v>213</v>
      </c>
      <c r="J24" s="44">
        <f t="shared" si="1"/>
        <v>100</v>
      </c>
    </row>
    <row r="25" spans="1:10" ht="21" customHeight="1" x14ac:dyDescent="0.15">
      <c r="A25" s="90">
        <v>50003024</v>
      </c>
      <c r="B25" s="44">
        <v>0</v>
      </c>
      <c r="C25" s="44">
        <v>93</v>
      </c>
      <c r="D25" s="44">
        <v>100</v>
      </c>
      <c r="E25" s="44" t="s">
        <v>213</v>
      </c>
      <c r="F25" s="44" t="s">
        <v>213</v>
      </c>
      <c r="G25" s="44">
        <v>1</v>
      </c>
      <c r="H25" s="44">
        <v>8</v>
      </c>
      <c r="I25" s="44" t="s">
        <v>213</v>
      </c>
      <c r="J25" s="44">
        <f t="shared" si="1"/>
        <v>100</v>
      </c>
    </row>
    <row r="26" spans="1:10" ht="21" customHeight="1" x14ac:dyDescent="0.15">
      <c r="A26" s="90">
        <v>50003025</v>
      </c>
      <c r="B26" s="44">
        <v>0</v>
      </c>
      <c r="C26" s="44">
        <v>120</v>
      </c>
      <c r="D26" s="44">
        <v>100</v>
      </c>
      <c r="E26" s="44" t="s">
        <v>213</v>
      </c>
      <c r="F26" s="44" t="s">
        <v>213</v>
      </c>
      <c r="G26" s="44">
        <v>1</v>
      </c>
      <c r="H26" s="44">
        <v>1</v>
      </c>
      <c r="I26" s="44">
        <v>374</v>
      </c>
      <c r="J26" s="44">
        <f t="shared" si="1"/>
        <v>100</v>
      </c>
    </row>
    <row r="27" spans="1:10" ht="21" customHeight="1" x14ac:dyDescent="0.15">
      <c r="A27" s="90">
        <v>50003026</v>
      </c>
      <c r="B27" s="44">
        <v>1</v>
      </c>
      <c r="C27" s="44" t="s">
        <v>213</v>
      </c>
      <c r="D27" s="44">
        <v>100</v>
      </c>
      <c r="E27" s="44" t="s">
        <v>213</v>
      </c>
      <c r="F27" s="44" t="s">
        <v>213</v>
      </c>
      <c r="G27" s="44">
        <v>1</v>
      </c>
      <c r="H27" s="44" t="s">
        <v>213</v>
      </c>
      <c r="I27" s="44" t="s">
        <v>213</v>
      </c>
      <c r="J27" s="44">
        <f t="shared" si="1"/>
        <v>100</v>
      </c>
    </row>
    <row r="28" spans="1:10" ht="21" customHeight="1" x14ac:dyDescent="0.15">
      <c r="A28" s="90">
        <v>50003027</v>
      </c>
      <c r="B28" s="44">
        <v>0</v>
      </c>
      <c r="C28" s="44">
        <v>100</v>
      </c>
      <c r="D28" s="44">
        <v>100</v>
      </c>
      <c r="E28" s="44" t="s">
        <v>213</v>
      </c>
      <c r="F28" s="44" t="s">
        <v>213</v>
      </c>
      <c r="G28" s="44">
        <v>1</v>
      </c>
      <c r="H28" s="44">
        <v>1</v>
      </c>
      <c r="I28" s="44" t="s">
        <v>213</v>
      </c>
      <c r="J28" s="44">
        <f t="shared" si="1"/>
        <v>100</v>
      </c>
    </row>
    <row r="29" spans="1:10" ht="21" customHeight="1" x14ac:dyDescent="0.15">
      <c r="A29" s="90">
        <v>50003028</v>
      </c>
      <c r="B29" s="44">
        <v>0</v>
      </c>
      <c r="C29" s="44">
        <v>100</v>
      </c>
      <c r="D29" s="44">
        <v>100</v>
      </c>
      <c r="E29" s="44" t="s">
        <v>213</v>
      </c>
      <c r="F29" s="44" t="s">
        <v>213</v>
      </c>
      <c r="G29" s="44">
        <v>1</v>
      </c>
      <c r="H29" s="44">
        <v>2</v>
      </c>
      <c r="I29" s="44" t="s">
        <v>213</v>
      </c>
      <c r="J29" s="44">
        <f t="shared" si="1"/>
        <v>100</v>
      </c>
    </row>
    <row r="30" spans="1:10" ht="21" customHeight="1" thickBot="1" x14ac:dyDescent="0.2">
      <c r="A30" s="90">
        <v>50003029</v>
      </c>
      <c r="B30" s="44">
        <v>0</v>
      </c>
      <c r="C30" s="104">
        <v>80</v>
      </c>
      <c r="D30" s="104">
        <v>25</v>
      </c>
      <c r="E30" s="44" t="s">
        <v>213</v>
      </c>
      <c r="F30" s="44" t="s">
        <v>213</v>
      </c>
      <c r="G30" s="44" t="s">
        <v>213</v>
      </c>
      <c r="H30" s="44">
        <v>1</v>
      </c>
      <c r="I30" s="44" t="s">
        <v>213</v>
      </c>
      <c r="J30" s="44">
        <f t="shared" si="1"/>
        <v>25</v>
      </c>
    </row>
    <row r="31" spans="1:10" ht="21" customHeight="1" x14ac:dyDescent="0.15">
      <c r="A31" s="90">
        <v>50003030</v>
      </c>
      <c r="B31" s="102">
        <v>0</v>
      </c>
      <c r="C31" s="106">
        <v>79</v>
      </c>
      <c r="D31" s="107">
        <v>33</v>
      </c>
      <c r="E31" s="100" t="s">
        <v>213</v>
      </c>
      <c r="F31" s="100" t="s">
        <v>213</v>
      </c>
      <c r="G31" s="100" t="s">
        <v>213</v>
      </c>
      <c r="H31" s="100">
        <v>1</v>
      </c>
      <c r="I31" s="44" t="s">
        <v>213</v>
      </c>
      <c r="J31" s="44">
        <f t="shared" si="1"/>
        <v>33</v>
      </c>
    </row>
    <row r="32" spans="1:10" ht="21" customHeight="1" x14ac:dyDescent="0.15">
      <c r="A32" s="90">
        <v>50003031</v>
      </c>
      <c r="B32" s="103">
        <v>0</v>
      </c>
      <c r="C32" s="108">
        <v>78</v>
      </c>
      <c r="D32" s="109">
        <v>50</v>
      </c>
      <c r="E32" s="101" t="s">
        <v>213</v>
      </c>
      <c r="F32" s="101" t="s">
        <v>213</v>
      </c>
      <c r="G32" s="101" t="s">
        <v>213</v>
      </c>
      <c r="H32" s="101">
        <v>1</v>
      </c>
      <c r="I32" s="44" t="s">
        <v>213</v>
      </c>
      <c r="J32" s="44">
        <f t="shared" si="1"/>
        <v>50</v>
      </c>
    </row>
    <row r="33" spans="1:10" ht="21" customHeight="1" x14ac:dyDescent="0.15">
      <c r="A33" s="90">
        <v>50003032</v>
      </c>
      <c r="B33" s="102">
        <v>0</v>
      </c>
      <c r="C33" s="110">
        <v>77</v>
      </c>
      <c r="D33" s="111">
        <v>100</v>
      </c>
      <c r="E33" s="100" t="s">
        <v>213</v>
      </c>
      <c r="F33" s="100" t="s">
        <v>213</v>
      </c>
      <c r="G33" s="100" t="s">
        <v>213</v>
      </c>
      <c r="H33" s="100">
        <v>1</v>
      </c>
      <c r="I33" s="44" t="s">
        <v>213</v>
      </c>
      <c r="J33" s="44">
        <f t="shared" si="1"/>
        <v>100</v>
      </c>
    </row>
    <row r="34" spans="1:10" ht="21" customHeight="1" thickBot="1" x14ac:dyDescent="0.2">
      <c r="A34" s="90">
        <v>50003033</v>
      </c>
      <c r="B34" s="103">
        <v>0</v>
      </c>
      <c r="C34" s="112">
        <v>90</v>
      </c>
      <c r="D34" s="113">
        <v>100</v>
      </c>
      <c r="E34" s="101" t="s">
        <v>213</v>
      </c>
      <c r="F34" s="101" t="s">
        <v>213</v>
      </c>
      <c r="G34" s="101" t="s">
        <v>213</v>
      </c>
      <c r="H34" s="101">
        <v>2</v>
      </c>
      <c r="I34" s="44" t="s">
        <v>213</v>
      </c>
      <c r="J34" s="44">
        <f t="shared" si="1"/>
        <v>100</v>
      </c>
    </row>
    <row r="35" spans="1:10" ht="21" customHeight="1" x14ac:dyDescent="0.15">
      <c r="A35" s="90">
        <v>50003034</v>
      </c>
      <c r="B35" s="44">
        <v>0</v>
      </c>
      <c r="C35" s="105">
        <v>120</v>
      </c>
      <c r="D35" s="105">
        <v>100</v>
      </c>
      <c r="E35" s="44" t="s">
        <v>213</v>
      </c>
      <c r="F35" s="44" t="s">
        <v>213</v>
      </c>
      <c r="G35" s="44">
        <v>1</v>
      </c>
      <c r="H35" s="44">
        <v>1</v>
      </c>
      <c r="I35" s="44">
        <v>374</v>
      </c>
      <c r="J35" s="44">
        <f t="shared" si="1"/>
        <v>100</v>
      </c>
    </row>
    <row r="36" spans="1:10" ht="21" customHeight="1" x14ac:dyDescent="0.15">
      <c r="A36" s="96">
        <v>50003035</v>
      </c>
      <c r="B36" s="44">
        <v>0</v>
      </c>
      <c r="C36" s="44">
        <v>120</v>
      </c>
      <c r="D36" s="44">
        <v>100</v>
      </c>
      <c r="E36" s="44" t="s">
        <v>213</v>
      </c>
      <c r="F36" s="44" t="s">
        <v>213</v>
      </c>
      <c r="G36" s="44">
        <v>0</v>
      </c>
      <c r="H36" s="44" t="s">
        <v>213</v>
      </c>
      <c r="I36" s="44">
        <v>0</v>
      </c>
      <c r="J36" s="44">
        <f t="shared" si="1"/>
        <v>100</v>
      </c>
    </row>
    <row r="37" spans="1:10" ht="21" customHeight="1" x14ac:dyDescent="0.15">
      <c r="A37" s="96">
        <v>50003036</v>
      </c>
      <c r="B37" s="44">
        <v>0</v>
      </c>
      <c r="C37" s="44">
        <v>98</v>
      </c>
      <c r="D37" s="44">
        <v>100</v>
      </c>
      <c r="E37" s="44" t="s">
        <v>213</v>
      </c>
      <c r="F37" s="44" t="s">
        <v>213</v>
      </c>
      <c r="G37" s="44" t="s">
        <v>213</v>
      </c>
      <c r="H37" s="44">
        <v>2</v>
      </c>
      <c r="I37" s="44" t="s">
        <v>213</v>
      </c>
      <c r="J37" s="44">
        <f t="shared" si="1"/>
        <v>100</v>
      </c>
    </row>
    <row r="38" spans="1:10" ht="21" customHeight="1" x14ac:dyDescent="0.15">
      <c r="A38" s="173">
        <v>50003037</v>
      </c>
      <c r="B38" s="174">
        <v>1</v>
      </c>
      <c r="C38" s="174">
        <v>2</v>
      </c>
      <c r="D38" s="174">
        <v>100</v>
      </c>
      <c r="E38" s="174" t="s">
        <v>213</v>
      </c>
      <c r="F38" s="174" t="s">
        <v>213</v>
      </c>
      <c r="G38" s="174">
        <v>1</v>
      </c>
      <c r="H38" s="174" t="s">
        <v>213</v>
      </c>
      <c r="I38" s="174">
        <v>573</v>
      </c>
      <c r="J38" s="174">
        <f t="shared" si="1"/>
        <v>100</v>
      </c>
    </row>
    <row r="39" spans="1:10" ht="21" customHeight="1" x14ac:dyDescent="0.15">
      <c r="A39" s="96">
        <v>50003038</v>
      </c>
      <c r="B39" s="44">
        <v>1</v>
      </c>
      <c r="C39" s="44">
        <v>1</v>
      </c>
      <c r="D39" s="44">
        <v>100</v>
      </c>
      <c r="E39" s="44" t="s">
        <v>213</v>
      </c>
      <c r="F39" s="44" t="s">
        <v>213</v>
      </c>
      <c r="G39" s="44">
        <v>1</v>
      </c>
      <c r="H39" s="44" t="s">
        <v>213</v>
      </c>
      <c r="I39" s="44" t="s">
        <v>213</v>
      </c>
      <c r="J39" s="44">
        <f t="shared" si="1"/>
        <v>100</v>
      </c>
    </row>
    <row r="40" spans="1:10" ht="21" customHeight="1" x14ac:dyDescent="0.15">
      <c r="A40" s="96">
        <v>50003039</v>
      </c>
      <c r="B40" s="44">
        <v>0</v>
      </c>
      <c r="C40" s="44">
        <v>60</v>
      </c>
      <c r="D40" s="44">
        <v>30</v>
      </c>
      <c r="E40" s="44" t="s">
        <v>213</v>
      </c>
      <c r="F40" s="44" t="s">
        <v>213</v>
      </c>
      <c r="G40" s="44" t="s">
        <v>213</v>
      </c>
      <c r="H40" s="44" t="s">
        <v>213</v>
      </c>
      <c r="I40" s="44" t="s">
        <v>213</v>
      </c>
      <c r="J40" s="44">
        <f t="shared" si="1"/>
        <v>30</v>
      </c>
    </row>
    <row r="41" spans="1:10" ht="21" customHeight="1" x14ac:dyDescent="0.15">
      <c r="A41" s="96">
        <v>50003040</v>
      </c>
      <c r="B41" s="44">
        <v>0</v>
      </c>
      <c r="C41" s="44">
        <v>100</v>
      </c>
      <c r="D41" s="44">
        <v>75</v>
      </c>
      <c r="E41" s="44" t="s">
        <v>213</v>
      </c>
      <c r="F41" s="44" t="s">
        <v>213</v>
      </c>
      <c r="G41" s="44" t="s">
        <v>213</v>
      </c>
      <c r="H41" s="44">
        <v>3</v>
      </c>
      <c r="I41" s="44" t="s">
        <v>213</v>
      </c>
      <c r="J41" s="44">
        <f t="shared" si="1"/>
        <v>75</v>
      </c>
    </row>
    <row r="42" spans="1:10" ht="21" customHeight="1" x14ac:dyDescent="0.15">
      <c r="A42" s="96">
        <v>50003041</v>
      </c>
      <c r="B42" s="44">
        <v>0</v>
      </c>
      <c r="C42" s="44">
        <v>50</v>
      </c>
      <c r="D42" s="44">
        <v>70</v>
      </c>
      <c r="E42" s="44" t="s">
        <v>213</v>
      </c>
      <c r="F42" s="44" t="s">
        <v>213</v>
      </c>
      <c r="G42" s="44" t="s">
        <v>213</v>
      </c>
      <c r="H42" s="44" t="s">
        <v>213</v>
      </c>
      <c r="I42" s="44" t="s">
        <v>213</v>
      </c>
      <c r="J42" s="44">
        <f t="shared" si="1"/>
        <v>70</v>
      </c>
    </row>
    <row r="43" spans="1:10" ht="21" customHeight="1" x14ac:dyDescent="0.15">
      <c r="A43" s="96">
        <v>50003042</v>
      </c>
      <c r="B43" s="44">
        <v>0</v>
      </c>
      <c r="C43" s="44">
        <v>120</v>
      </c>
      <c r="D43" s="44">
        <v>100</v>
      </c>
      <c r="E43" s="44">
        <v>50</v>
      </c>
      <c r="F43" s="44" t="s">
        <v>213</v>
      </c>
      <c r="G43" s="44">
        <v>1</v>
      </c>
      <c r="H43" s="44">
        <v>1</v>
      </c>
      <c r="I43" s="44" t="s">
        <v>213</v>
      </c>
      <c r="J43" s="44">
        <f t="shared" si="1"/>
        <v>100</v>
      </c>
    </row>
    <row r="44" spans="1:10" ht="21" customHeight="1" x14ac:dyDescent="0.15">
      <c r="A44" s="96">
        <v>50003043</v>
      </c>
      <c r="B44" s="44">
        <v>0</v>
      </c>
      <c r="C44" s="44">
        <v>110</v>
      </c>
      <c r="D44" s="44">
        <v>100</v>
      </c>
      <c r="E44" s="44">
        <v>50</v>
      </c>
      <c r="F44" s="44" t="s">
        <v>213</v>
      </c>
      <c r="G44" s="44">
        <v>1</v>
      </c>
      <c r="H44" s="44">
        <v>1</v>
      </c>
      <c r="I44" s="44" t="s">
        <v>213</v>
      </c>
      <c r="J44" s="44">
        <f t="shared" si="1"/>
        <v>100</v>
      </c>
    </row>
    <row r="45" spans="1:10" ht="21" customHeight="1" x14ac:dyDescent="0.15">
      <c r="A45" s="96">
        <v>50003044</v>
      </c>
      <c r="B45" s="44">
        <v>1</v>
      </c>
      <c r="C45" s="44" t="s">
        <v>213</v>
      </c>
      <c r="D45" s="44">
        <v>100</v>
      </c>
      <c r="E45" s="44" t="s">
        <v>213</v>
      </c>
      <c r="F45" s="44" t="s">
        <v>213</v>
      </c>
      <c r="G45" s="44">
        <v>1</v>
      </c>
      <c r="H45" s="44" t="s">
        <v>213</v>
      </c>
      <c r="I45" s="44" t="s">
        <v>213</v>
      </c>
      <c r="J45" s="44">
        <f t="shared" si="1"/>
        <v>100</v>
      </c>
    </row>
    <row r="46" spans="1:10" ht="21" customHeight="1" thickBot="1" x14ac:dyDescent="0.2">
      <c r="A46" s="173">
        <v>50003045</v>
      </c>
      <c r="B46" s="175">
        <v>1</v>
      </c>
      <c r="C46" s="175">
        <v>1</v>
      </c>
      <c r="D46" s="175">
        <v>100</v>
      </c>
      <c r="E46" s="174" t="s">
        <v>213</v>
      </c>
      <c r="F46" s="174" t="s">
        <v>213</v>
      </c>
      <c r="G46" s="174">
        <v>1</v>
      </c>
      <c r="H46" s="174" t="s">
        <v>213</v>
      </c>
      <c r="I46" s="174">
        <v>573</v>
      </c>
      <c r="J46" s="174">
        <f t="shared" si="1"/>
        <v>100</v>
      </c>
    </row>
    <row r="47" spans="1:10" ht="21" customHeight="1" x14ac:dyDescent="0.15">
      <c r="A47" s="143">
        <v>50003046</v>
      </c>
      <c r="B47" s="145">
        <v>0</v>
      </c>
      <c r="C47" s="126">
        <v>80</v>
      </c>
      <c r="D47" s="146">
        <v>100</v>
      </c>
      <c r="E47" s="44" t="s">
        <v>213</v>
      </c>
      <c r="F47" s="44" t="s">
        <v>213</v>
      </c>
      <c r="G47" s="44" t="s">
        <v>213</v>
      </c>
      <c r="H47" s="44">
        <v>3</v>
      </c>
      <c r="I47" s="44" t="s">
        <v>213</v>
      </c>
      <c r="J47" s="44">
        <f t="shared" si="1"/>
        <v>100</v>
      </c>
    </row>
    <row r="48" spans="1:10" ht="21" customHeight="1" x14ac:dyDescent="0.15">
      <c r="A48" s="143">
        <v>50003047</v>
      </c>
      <c r="B48" s="147">
        <v>0</v>
      </c>
      <c r="C48" s="44">
        <v>90</v>
      </c>
      <c r="D48" s="148">
        <v>60</v>
      </c>
      <c r="E48" s="44" t="s">
        <v>213</v>
      </c>
      <c r="F48" s="44" t="s">
        <v>213</v>
      </c>
      <c r="G48" s="44" t="s">
        <v>213</v>
      </c>
      <c r="H48" s="44" t="s">
        <v>213</v>
      </c>
      <c r="I48" s="44" t="s">
        <v>213</v>
      </c>
      <c r="J48" s="44">
        <f t="shared" si="1"/>
        <v>60</v>
      </c>
    </row>
    <row r="49" spans="1:10" ht="21" customHeight="1" thickBot="1" x14ac:dyDescent="0.2">
      <c r="A49" s="143">
        <v>50003048</v>
      </c>
      <c r="B49" s="149">
        <v>0</v>
      </c>
      <c r="C49" s="137">
        <v>100</v>
      </c>
      <c r="D49" s="150">
        <v>60</v>
      </c>
      <c r="E49" s="44" t="s">
        <v>213</v>
      </c>
      <c r="F49" s="44" t="s">
        <v>213</v>
      </c>
      <c r="G49" s="44" t="s">
        <v>213</v>
      </c>
      <c r="H49" s="44" t="s">
        <v>213</v>
      </c>
      <c r="I49" s="44" t="s">
        <v>213</v>
      </c>
      <c r="J49" s="44">
        <f t="shared" si="1"/>
        <v>60</v>
      </c>
    </row>
    <row r="50" spans="1:10" ht="21" customHeight="1" x14ac:dyDescent="0.15">
      <c r="A50" s="96">
        <v>50003049</v>
      </c>
      <c r="B50" s="105">
        <v>0</v>
      </c>
      <c r="C50" s="105">
        <v>120</v>
      </c>
      <c r="D50" s="105">
        <v>100</v>
      </c>
      <c r="E50" s="44">
        <v>50</v>
      </c>
      <c r="F50" s="44" t="s">
        <v>213</v>
      </c>
      <c r="G50" s="44">
        <v>1</v>
      </c>
      <c r="H50" s="44">
        <v>1</v>
      </c>
      <c r="I50" s="44" t="s">
        <v>213</v>
      </c>
      <c r="J50" s="44">
        <f t="shared" si="1"/>
        <v>100</v>
      </c>
    </row>
    <row r="51" spans="1:10" ht="21" customHeight="1" x14ac:dyDescent="0.15">
      <c r="A51" s="96">
        <v>50003050</v>
      </c>
      <c r="B51" s="44">
        <v>0</v>
      </c>
      <c r="C51" s="44">
        <v>110</v>
      </c>
      <c r="D51" s="44">
        <v>100</v>
      </c>
      <c r="E51" s="44">
        <v>50</v>
      </c>
      <c r="F51" s="44" t="s">
        <v>213</v>
      </c>
      <c r="G51" s="44">
        <v>1</v>
      </c>
      <c r="H51" s="44">
        <v>1</v>
      </c>
      <c r="I51" s="44" t="s">
        <v>213</v>
      </c>
      <c r="J51" s="44">
        <f t="shared" si="1"/>
        <v>100</v>
      </c>
    </row>
    <row r="52" spans="1:10" ht="21" customHeight="1" x14ac:dyDescent="0.15">
      <c r="A52" s="96">
        <v>50003051</v>
      </c>
      <c r="B52" s="44">
        <v>1</v>
      </c>
      <c r="C52" s="44" t="s">
        <v>213</v>
      </c>
      <c r="D52" s="44">
        <v>100</v>
      </c>
      <c r="E52" s="44" t="s">
        <v>213</v>
      </c>
      <c r="F52" s="44" t="s">
        <v>213</v>
      </c>
      <c r="G52" s="44">
        <v>1</v>
      </c>
      <c r="H52" s="44" t="s">
        <v>213</v>
      </c>
      <c r="I52" s="44" t="s">
        <v>213</v>
      </c>
      <c r="J52" s="44">
        <f t="shared" si="1"/>
        <v>100</v>
      </c>
    </row>
    <row r="53" spans="1:10" ht="21" customHeight="1" thickBot="1" x14ac:dyDescent="0.2">
      <c r="A53" s="173">
        <v>50003052</v>
      </c>
      <c r="B53" s="175">
        <v>1</v>
      </c>
      <c r="C53" s="175">
        <v>1</v>
      </c>
      <c r="D53" s="175">
        <v>100</v>
      </c>
      <c r="E53" s="174" t="s">
        <v>213</v>
      </c>
      <c r="F53" s="174" t="s">
        <v>213</v>
      </c>
      <c r="G53" s="174">
        <v>1</v>
      </c>
      <c r="H53" s="174" t="s">
        <v>213</v>
      </c>
      <c r="I53" s="174">
        <v>573</v>
      </c>
      <c r="J53" s="174">
        <f t="shared" si="1"/>
        <v>100</v>
      </c>
    </row>
    <row r="54" spans="1:10" ht="21" customHeight="1" x14ac:dyDescent="0.15">
      <c r="A54" s="143">
        <v>50003053</v>
      </c>
      <c r="B54" s="145">
        <v>0</v>
      </c>
      <c r="C54" s="126">
        <v>100</v>
      </c>
      <c r="D54" s="146">
        <v>100</v>
      </c>
      <c r="E54" s="44" t="s">
        <v>213</v>
      </c>
      <c r="F54" s="44" t="s">
        <v>213</v>
      </c>
      <c r="G54" s="44" t="s">
        <v>213</v>
      </c>
      <c r="H54" s="44">
        <v>2</v>
      </c>
      <c r="I54" s="44" t="s">
        <v>213</v>
      </c>
      <c r="J54" s="44">
        <f t="shared" si="1"/>
        <v>100</v>
      </c>
    </row>
    <row r="55" spans="1:10" ht="21" customHeight="1" thickBot="1" x14ac:dyDescent="0.2">
      <c r="A55" s="143">
        <v>50003054</v>
      </c>
      <c r="B55" s="149">
        <v>0</v>
      </c>
      <c r="C55" s="137">
        <v>90</v>
      </c>
      <c r="D55" s="150">
        <v>80</v>
      </c>
      <c r="E55" s="44" t="s">
        <v>213</v>
      </c>
      <c r="F55" s="44" t="s">
        <v>213</v>
      </c>
      <c r="G55" s="44" t="s">
        <v>213</v>
      </c>
      <c r="H55" s="44" t="s">
        <v>213</v>
      </c>
      <c r="I55" s="44" t="s">
        <v>213</v>
      </c>
      <c r="J55" s="44">
        <f t="shared" si="1"/>
        <v>80</v>
      </c>
    </row>
    <row r="56" spans="1:10" ht="21" customHeight="1" x14ac:dyDescent="0.15">
      <c r="A56" s="96">
        <v>50003055</v>
      </c>
      <c r="B56" s="105">
        <v>0</v>
      </c>
      <c r="C56" s="105">
        <v>120</v>
      </c>
      <c r="D56" s="105">
        <v>100</v>
      </c>
      <c r="E56" s="44" t="s">
        <v>213</v>
      </c>
      <c r="F56" s="44" t="s">
        <v>213</v>
      </c>
      <c r="G56" s="44">
        <v>1</v>
      </c>
      <c r="H56" s="44">
        <v>5</v>
      </c>
      <c r="I56" s="44" t="s">
        <v>213</v>
      </c>
      <c r="J56" s="44">
        <f t="shared" si="1"/>
        <v>100</v>
      </c>
    </row>
    <row r="57" spans="1:10" ht="21" customHeight="1" x14ac:dyDescent="0.15">
      <c r="A57" s="96">
        <v>50003056</v>
      </c>
      <c r="B57" s="44">
        <v>0</v>
      </c>
      <c r="C57" s="44">
        <v>110</v>
      </c>
      <c r="D57" s="44">
        <v>100</v>
      </c>
      <c r="E57" s="44" t="s">
        <v>213</v>
      </c>
      <c r="F57" s="44" t="s">
        <v>213</v>
      </c>
      <c r="G57" s="44">
        <v>1</v>
      </c>
      <c r="H57" s="44">
        <v>6</v>
      </c>
      <c r="I57" s="44" t="s">
        <v>213</v>
      </c>
      <c r="J57" s="44">
        <f t="shared" si="1"/>
        <v>100</v>
      </c>
    </row>
    <row r="58" spans="1:10" ht="21" customHeight="1" x14ac:dyDescent="0.15">
      <c r="A58" s="96">
        <v>50003057</v>
      </c>
      <c r="B58" s="44">
        <v>0</v>
      </c>
      <c r="C58" s="44">
        <v>130</v>
      </c>
      <c r="D58" s="44">
        <v>100</v>
      </c>
      <c r="E58" s="44" t="s">
        <v>213</v>
      </c>
      <c r="F58" s="44" t="s">
        <v>213</v>
      </c>
      <c r="G58" s="44">
        <v>0</v>
      </c>
      <c r="H58" s="44" t="s">
        <v>213</v>
      </c>
      <c r="I58" s="44">
        <v>0</v>
      </c>
      <c r="J58" s="44">
        <f t="shared" si="1"/>
        <v>100</v>
      </c>
    </row>
    <row r="59" spans="1:10" ht="21" customHeight="1" x14ac:dyDescent="0.15">
      <c r="A59" s="173">
        <v>50003058</v>
      </c>
      <c r="B59" s="174">
        <v>0</v>
      </c>
      <c r="C59" s="174">
        <v>140</v>
      </c>
      <c r="D59" s="174">
        <v>100</v>
      </c>
      <c r="E59" s="174" t="s">
        <v>213</v>
      </c>
      <c r="F59" s="174" t="s">
        <v>213</v>
      </c>
      <c r="G59" s="174">
        <v>0</v>
      </c>
      <c r="H59" s="174" t="s">
        <v>213</v>
      </c>
      <c r="I59" s="174">
        <v>573</v>
      </c>
      <c r="J59" s="174">
        <f t="shared" ref="J59:J60" si="2">D59</f>
        <v>100</v>
      </c>
    </row>
    <row r="60" spans="1:10" ht="21" customHeight="1" x14ac:dyDescent="0.15">
      <c r="A60" s="173">
        <v>50003158</v>
      </c>
      <c r="B60" s="174">
        <v>0</v>
      </c>
      <c r="C60" s="174">
        <v>150</v>
      </c>
      <c r="D60" s="174">
        <v>100</v>
      </c>
      <c r="E60" s="174" t="s">
        <v>213</v>
      </c>
      <c r="F60" s="174" t="s">
        <v>213</v>
      </c>
      <c r="G60" s="174">
        <v>0</v>
      </c>
      <c r="H60" s="174" t="s">
        <v>213</v>
      </c>
      <c r="I60" s="174">
        <v>574</v>
      </c>
      <c r="J60" s="174">
        <f t="shared" si="2"/>
        <v>100</v>
      </c>
    </row>
    <row r="61" spans="1:10" ht="21" customHeight="1" x14ac:dyDescent="0.15">
      <c r="A61" s="173">
        <v>50003258</v>
      </c>
      <c r="B61" s="174">
        <v>0</v>
      </c>
      <c r="C61" s="174">
        <v>160</v>
      </c>
      <c r="D61" s="174">
        <v>100</v>
      </c>
      <c r="E61" s="174" t="s">
        <v>213</v>
      </c>
      <c r="F61" s="174" t="s">
        <v>213</v>
      </c>
      <c r="G61" s="174">
        <v>0</v>
      </c>
      <c r="H61" s="174" t="s">
        <v>213</v>
      </c>
      <c r="I61" s="174">
        <v>801</v>
      </c>
      <c r="J61" s="174">
        <f t="shared" si="1"/>
        <v>100</v>
      </c>
    </row>
    <row r="62" spans="1:10" ht="21" customHeight="1" x14ac:dyDescent="0.15">
      <c r="A62" s="173">
        <v>50003358</v>
      </c>
      <c r="B62" s="174">
        <v>0</v>
      </c>
      <c r="C62" s="174">
        <v>170</v>
      </c>
      <c r="D62" s="174">
        <v>100</v>
      </c>
      <c r="E62" s="174" t="s">
        <v>213</v>
      </c>
      <c r="F62" s="174" t="s">
        <v>213</v>
      </c>
      <c r="G62" s="174">
        <v>0</v>
      </c>
      <c r="H62" s="174" t="s">
        <v>213</v>
      </c>
      <c r="I62" s="174">
        <v>1180</v>
      </c>
      <c r="J62" s="174">
        <f t="shared" ref="J62" si="3">D62</f>
        <v>100</v>
      </c>
    </row>
    <row r="63" spans="1:10" ht="21" customHeight="1" x14ac:dyDescent="0.15">
      <c r="A63" s="96">
        <v>50003059</v>
      </c>
      <c r="B63" s="44">
        <v>0</v>
      </c>
      <c r="C63" s="44">
        <v>100</v>
      </c>
      <c r="D63" s="44">
        <v>100</v>
      </c>
      <c r="E63" s="44" t="s">
        <v>371</v>
      </c>
      <c r="F63" s="44" t="s">
        <v>372</v>
      </c>
      <c r="G63" s="44">
        <v>1</v>
      </c>
      <c r="H63" s="44">
        <v>7</v>
      </c>
      <c r="I63" s="44" t="s">
        <v>371</v>
      </c>
      <c r="J63" s="44">
        <f t="shared" si="1"/>
        <v>100</v>
      </c>
    </row>
    <row r="64" spans="1:10" ht="21" customHeight="1" x14ac:dyDescent="0.15">
      <c r="A64" s="96">
        <v>50003060</v>
      </c>
      <c r="B64" s="44">
        <v>0</v>
      </c>
      <c r="C64" s="44">
        <v>100</v>
      </c>
      <c r="D64" s="44">
        <v>100</v>
      </c>
      <c r="E64" s="44" t="s">
        <v>373</v>
      </c>
      <c r="F64" s="44" t="s">
        <v>371</v>
      </c>
      <c r="G64" s="44">
        <v>1</v>
      </c>
      <c r="H64" s="44">
        <v>8</v>
      </c>
      <c r="I64" s="44" t="s">
        <v>371</v>
      </c>
      <c r="J64" s="44">
        <f t="shared" si="1"/>
        <v>100</v>
      </c>
    </row>
    <row r="65" spans="1:10" ht="21" customHeight="1" x14ac:dyDescent="0.15">
      <c r="A65" s="96">
        <v>50003061</v>
      </c>
      <c r="B65" s="44">
        <v>0</v>
      </c>
      <c r="C65" s="44">
        <v>100</v>
      </c>
      <c r="D65" s="44">
        <v>100</v>
      </c>
      <c r="E65" s="44" t="s">
        <v>371</v>
      </c>
      <c r="F65" s="44" t="s">
        <v>371</v>
      </c>
      <c r="G65" s="44">
        <v>1</v>
      </c>
      <c r="H65" s="44">
        <v>9</v>
      </c>
      <c r="I65" s="44" t="s">
        <v>371</v>
      </c>
      <c r="J65" s="44">
        <f t="shared" si="1"/>
        <v>100</v>
      </c>
    </row>
    <row r="66" spans="1:10" ht="21" customHeight="1" x14ac:dyDescent="0.15">
      <c r="A66" s="96">
        <v>50003062</v>
      </c>
      <c r="B66" s="44">
        <v>0</v>
      </c>
      <c r="C66" s="44">
        <v>40</v>
      </c>
      <c r="D66" s="44">
        <v>100</v>
      </c>
      <c r="E66" s="44" t="s">
        <v>371</v>
      </c>
      <c r="F66" s="44" t="s">
        <v>371</v>
      </c>
      <c r="G66" s="44" t="s">
        <v>371</v>
      </c>
      <c r="H66" s="44" t="s">
        <v>387</v>
      </c>
      <c r="I66" s="44" t="s">
        <v>371</v>
      </c>
      <c r="J66" s="44">
        <f t="shared" ref="J66" si="4">D66</f>
        <v>100</v>
      </c>
    </row>
  </sheetData>
  <autoFilter ref="A1:G1"/>
  <phoneticPr fontId="5"/>
  <conditionalFormatting sqref="K63:K1048576 K1:K58 K61">
    <cfRule type="duplicateValues" dxfId="3" priority="4"/>
  </conditionalFormatting>
  <conditionalFormatting sqref="K62">
    <cfRule type="duplicateValues" dxfId="2" priority="3"/>
  </conditionalFormatting>
  <conditionalFormatting sqref="K59">
    <cfRule type="duplicateValues" dxfId="1" priority="2"/>
  </conditionalFormatting>
  <conditionalFormatting sqref="K60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5"/>
  <sheetViews>
    <sheetView workbookViewId="0">
      <selection activeCell="I20" sqref="I20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59" t="s">
        <v>149</v>
      </c>
      <c r="B1" s="59" t="s">
        <v>150</v>
      </c>
      <c r="C1" s="60" t="s">
        <v>151</v>
      </c>
      <c r="D1" s="66" t="s">
        <v>152</v>
      </c>
      <c r="E1" s="61" t="s">
        <v>153</v>
      </c>
      <c r="F1" s="59" t="s">
        <v>154</v>
      </c>
      <c r="G1" s="59" t="s">
        <v>155</v>
      </c>
      <c r="H1" s="59" t="s">
        <v>156</v>
      </c>
      <c r="I1" s="59" t="s">
        <v>157</v>
      </c>
      <c r="J1" s="59" t="s">
        <v>158</v>
      </c>
      <c r="K1" s="59" t="s">
        <v>159</v>
      </c>
      <c r="L1" s="59" t="s">
        <v>160</v>
      </c>
      <c r="M1" s="59" t="s">
        <v>161</v>
      </c>
      <c r="N1" s="59" t="s">
        <v>162</v>
      </c>
      <c r="O1" s="59" t="s">
        <v>163</v>
      </c>
      <c r="P1" s="59" t="s">
        <v>164</v>
      </c>
      <c r="Q1" s="59" t="s">
        <v>165</v>
      </c>
      <c r="R1" s="59" t="s">
        <v>166</v>
      </c>
    </row>
    <row r="2" spans="1:18" s="168" customFormat="1" x14ac:dyDescent="0.15">
      <c r="A2" s="76">
        <v>50003</v>
      </c>
      <c r="B2" s="76">
        <v>1</v>
      </c>
      <c r="C2" s="76" t="str">
        <f t="shared" ref="C2:C10" si="0">A2&amp; "_"&amp;B2</f>
        <v>50003_1</v>
      </c>
      <c r="D2" s="76" t="str">
        <f>VLOOKUP(C2,[2]stages!$A:$AE,31,FALSE)</f>
        <v>everyone</v>
      </c>
      <c r="E2" s="76">
        <v>1</v>
      </c>
      <c r="F2" s="76" t="s">
        <v>167</v>
      </c>
      <c r="G2" s="76">
        <v>65000</v>
      </c>
      <c r="H2" s="76" t="s">
        <v>213</v>
      </c>
      <c r="I2" s="76">
        <v>1</v>
      </c>
      <c r="J2" s="76">
        <v>1</v>
      </c>
      <c r="K2" s="76">
        <v>0</v>
      </c>
      <c r="L2" s="76">
        <v>0</v>
      </c>
      <c r="M2" s="76">
        <v>0</v>
      </c>
      <c r="N2" s="76">
        <v>0</v>
      </c>
      <c r="O2" s="76">
        <v>1</v>
      </c>
      <c r="P2" s="76">
        <v>50</v>
      </c>
      <c r="Q2" s="76" t="s">
        <v>168</v>
      </c>
      <c r="R2" s="76" t="s">
        <v>169</v>
      </c>
    </row>
    <row r="3" spans="1:18" s="168" customFormat="1" x14ac:dyDescent="0.15">
      <c r="A3" s="76">
        <v>50003</v>
      </c>
      <c r="B3" s="76">
        <v>1</v>
      </c>
      <c r="C3" s="76" t="str">
        <f t="shared" si="0"/>
        <v>50003_1</v>
      </c>
      <c r="D3" s="76" t="str">
        <f>VLOOKUP(C3,[2]stages!$A:$AE,31,FALSE)</f>
        <v>everyone</v>
      </c>
      <c r="E3" s="76">
        <v>2</v>
      </c>
      <c r="F3" s="76" t="s">
        <v>392</v>
      </c>
      <c r="G3" s="76">
        <v>335</v>
      </c>
      <c r="H3" s="76">
        <v>1</v>
      </c>
      <c r="I3" s="76">
        <v>1</v>
      </c>
      <c r="J3" s="76">
        <v>1</v>
      </c>
      <c r="K3" s="76">
        <v>0</v>
      </c>
      <c r="L3" s="76">
        <v>0</v>
      </c>
      <c r="M3" s="76">
        <v>0</v>
      </c>
      <c r="N3" s="76">
        <v>0</v>
      </c>
      <c r="O3" s="76">
        <v>1</v>
      </c>
      <c r="P3" s="76">
        <v>250</v>
      </c>
      <c r="Q3" s="76" t="s">
        <v>168</v>
      </c>
      <c r="R3" s="76" t="s">
        <v>169</v>
      </c>
    </row>
    <row r="4" spans="1:18" s="168" customFormat="1" x14ac:dyDescent="0.15">
      <c r="A4" s="76">
        <v>50003</v>
      </c>
      <c r="B4" s="76">
        <v>1</v>
      </c>
      <c r="C4" s="76" t="str">
        <f t="shared" si="0"/>
        <v>50003_1</v>
      </c>
      <c r="D4" s="76" t="str">
        <f>VLOOKUP(C4,[2]stages!$A:$AE,31,FALSE)</f>
        <v>everyone</v>
      </c>
      <c r="E4" s="76">
        <v>3</v>
      </c>
      <c r="F4" s="76" t="s">
        <v>392</v>
      </c>
      <c r="G4" s="76">
        <v>349</v>
      </c>
      <c r="H4" s="76">
        <v>1</v>
      </c>
      <c r="I4" s="76">
        <v>1</v>
      </c>
      <c r="J4" s="76">
        <v>1</v>
      </c>
      <c r="K4" s="76">
        <v>0</v>
      </c>
      <c r="L4" s="76">
        <v>0</v>
      </c>
      <c r="M4" s="76">
        <v>0</v>
      </c>
      <c r="N4" s="76">
        <v>0</v>
      </c>
      <c r="O4" s="76">
        <v>1</v>
      </c>
      <c r="P4" s="76">
        <v>50</v>
      </c>
      <c r="Q4" s="76" t="s">
        <v>168</v>
      </c>
      <c r="R4" s="76" t="s">
        <v>169</v>
      </c>
    </row>
    <row r="5" spans="1:18" s="168" customFormat="1" x14ac:dyDescent="0.15">
      <c r="A5" s="76">
        <v>50003</v>
      </c>
      <c r="B5" s="76">
        <v>1</v>
      </c>
      <c r="C5" s="76" t="str">
        <f t="shared" si="0"/>
        <v>50003_1</v>
      </c>
      <c r="D5" s="76" t="str">
        <f>VLOOKUP(C5,[2]stages!$A:$AE,31,FALSE)</f>
        <v>everyone</v>
      </c>
      <c r="E5" s="76">
        <v>4</v>
      </c>
      <c r="F5" s="76" t="s">
        <v>392</v>
      </c>
      <c r="G5" s="76">
        <v>125</v>
      </c>
      <c r="H5" s="76">
        <v>1</v>
      </c>
      <c r="I5" s="76">
        <v>1</v>
      </c>
      <c r="J5" s="76">
        <v>1</v>
      </c>
      <c r="K5" s="76">
        <v>0</v>
      </c>
      <c r="L5" s="76">
        <v>0</v>
      </c>
      <c r="M5" s="76">
        <v>0</v>
      </c>
      <c r="N5" s="76">
        <v>0</v>
      </c>
      <c r="O5" s="76">
        <v>1</v>
      </c>
      <c r="P5" s="76">
        <v>30</v>
      </c>
      <c r="Q5" s="76" t="s">
        <v>168</v>
      </c>
      <c r="R5" s="76" t="s">
        <v>169</v>
      </c>
    </row>
    <row r="6" spans="1:18" s="168" customFormat="1" x14ac:dyDescent="0.15">
      <c r="A6" s="76">
        <v>50003</v>
      </c>
      <c r="B6" s="76">
        <v>1</v>
      </c>
      <c r="C6" s="76" t="str">
        <f t="shared" si="0"/>
        <v>50003_1</v>
      </c>
      <c r="D6" s="76" t="str">
        <f>VLOOKUP(C6,[2]stages!$A:$AE,31,FALSE)</f>
        <v>everyone</v>
      </c>
      <c r="E6" s="76">
        <v>5</v>
      </c>
      <c r="F6" s="76" t="s">
        <v>392</v>
      </c>
      <c r="G6" s="76">
        <v>607</v>
      </c>
      <c r="H6" s="76">
        <v>1</v>
      </c>
      <c r="I6" s="76">
        <v>1</v>
      </c>
      <c r="J6" s="76">
        <v>1</v>
      </c>
      <c r="K6" s="76">
        <v>0</v>
      </c>
      <c r="L6" s="76">
        <v>0</v>
      </c>
      <c r="M6" s="76">
        <v>0</v>
      </c>
      <c r="N6" s="76">
        <v>0</v>
      </c>
      <c r="O6" s="76">
        <v>1</v>
      </c>
      <c r="P6" s="76">
        <v>80</v>
      </c>
      <c r="Q6" s="76" t="s">
        <v>168</v>
      </c>
      <c r="R6" s="76" t="s">
        <v>169</v>
      </c>
    </row>
    <row r="7" spans="1:18" s="168" customFormat="1" x14ac:dyDescent="0.15">
      <c r="A7" s="76">
        <v>50003</v>
      </c>
      <c r="B7" s="76">
        <v>1</v>
      </c>
      <c r="C7" s="76" t="str">
        <f t="shared" si="0"/>
        <v>50003_1</v>
      </c>
      <c r="D7" s="76" t="str">
        <f>VLOOKUP(C7,[2]stages!$A:$AE,31,FALSE)</f>
        <v>everyone</v>
      </c>
      <c r="E7" s="76">
        <v>6</v>
      </c>
      <c r="F7" s="76" t="s">
        <v>392</v>
      </c>
      <c r="G7" s="76">
        <v>608</v>
      </c>
      <c r="H7" s="76">
        <v>1</v>
      </c>
      <c r="I7" s="76">
        <v>1</v>
      </c>
      <c r="J7" s="76">
        <v>1</v>
      </c>
      <c r="K7" s="76">
        <v>0</v>
      </c>
      <c r="L7" s="76">
        <v>0</v>
      </c>
      <c r="M7" s="76">
        <v>0</v>
      </c>
      <c r="N7" s="76">
        <v>0</v>
      </c>
      <c r="O7" s="76">
        <v>1</v>
      </c>
      <c r="P7" s="76">
        <v>80</v>
      </c>
      <c r="Q7" s="76" t="s">
        <v>168</v>
      </c>
      <c r="R7" s="76" t="s">
        <v>169</v>
      </c>
    </row>
    <row r="8" spans="1:18" s="168" customFormat="1" x14ac:dyDescent="0.15">
      <c r="A8" s="76">
        <v>50003</v>
      </c>
      <c r="B8" s="76">
        <v>1</v>
      </c>
      <c r="C8" s="76" t="str">
        <f t="shared" si="0"/>
        <v>50003_1</v>
      </c>
      <c r="D8" s="76" t="str">
        <f>VLOOKUP(C8,[2]stages!$A:$AE,31,FALSE)</f>
        <v>everyone</v>
      </c>
      <c r="E8" s="76">
        <v>7</v>
      </c>
      <c r="F8" s="76" t="s">
        <v>392</v>
      </c>
      <c r="G8" s="76">
        <v>609</v>
      </c>
      <c r="H8" s="76">
        <v>1</v>
      </c>
      <c r="I8" s="76">
        <v>1</v>
      </c>
      <c r="J8" s="76">
        <v>1</v>
      </c>
      <c r="K8" s="76">
        <v>0</v>
      </c>
      <c r="L8" s="76">
        <v>0</v>
      </c>
      <c r="M8" s="76">
        <v>0</v>
      </c>
      <c r="N8" s="76">
        <v>0</v>
      </c>
      <c r="O8" s="76">
        <v>1</v>
      </c>
      <c r="P8" s="76">
        <v>80</v>
      </c>
      <c r="Q8" s="76" t="s">
        <v>168</v>
      </c>
      <c r="R8" s="76" t="s">
        <v>169</v>
      </c>
    </row>
    <row r="9" spans="1:18" s="168" customFormat="1" x14ac:dyDescent="0.15">
      <c r="A9" s="76">
        <v>50003</v>
      </c>
      <c r="B9" s="76">
        <v>1</v>
      </c>
      <c r="C9" s="76" t="str">
        <f t="shared" si="0"/>
        <v>50003_1</v>
      </c>
      <c r="D9" s="76" t="str">
        <f>VLOOKUP(C9,[2]stages!$A:$AE,31,FALSE)</f>
        <v>everyone</v>
      </c>
      <c r="E9" s="76">
        <v>8</v>
      </c>
      <c r="F9" s="76" t="s">
        <v>392</v>
      </c>
      <c r="G9" s="76">
        <v>610</v>
      </c>
      <c r="H9" s="76">
        <v>1</v>
      </c>
      <c r="I9" s="76">
        <v>1</v>
      </c>
      <c r="J9" s="76">
        <v>1</v>
      </c>
      <c r="K9" s="76">
        <v>0</v>
      </c>
      <c r="L9" s="76">
        <v>0</v>
      </c>
      <c r="M9" s="76">
        <v>0</v>
      </c>
      <c r="N9" s="76">
        <v>0</v>
      </c>
      <c r="O9" s="76">
        <v>1</v>
      </c>
      <c r="P9" s="76">
        <v>20</v>
      </c>
      <c r="Q9" s="76" t="s">
        <v>168</v>
      </c>
      <c r="R9" s="76" t="s">
        <v>169</v>
      </c>
    </row>
    <row r="10" spans="1:18" s="168" customFormat="1" x14ac:dyDescent="0.15">
      <c r="A10" s="76">
        <v>50003</v>
      </c>
      <c r="B10" s="76">
        <v>1</v>
      </c>
      <c r="C10" s="76" t="str">
        <f t="shared" si="0"/>
        <v>50003_1</v>
      </c>
      <c r="D10" s="76" t="str">
        <f>VLOOKUP(C10,[2]stages!$A:$AE,31,FALSE)</f>
        <v>everyone</v>
      </c>
      <c r="E10" s="76">
        <v>9</v>
      </c>
      <c r="F10" s="76" t="s">
        <v>392</v>
      </c>
      <c r="G10" s="76">
        <v>611</v>
      </c>
      <c r="H10" s="76">
        <v>1</v>
      </c>
      <c r="I10" s="76">
        <v>1</v>
      </c>
      <c r="J10" s="76">
        <v>1</v>
      </c>
      <c r="K10" s="76">
        <v>0</v>
      </c>
      <c r="L10" s="76">
        <v>0</v>
      </c>
      <c r="M10" s="76">
        <v>0</v>
      </c>
      <c r="N10" s="76">
        <v>0</v>
      </c>
      <c r="O10" s="76">
        <v>1</v>
      </c>
      <c r="P10" s="76">
        <v>30</v>
      </c>
      <c r="Q10" s="76" t="s">
        <v>168</v>
      </c>
      <c r="R10" s="76" t="s">
        <v>169</v>
      </c>
    </row>
    <row r="11" spans="1:18" x14ac:dyDescent="0.15">
      <c r="A11" s="76">
        <v>50003</v>
      </c>
      <c r="B11" s="76">
        <v>1</v>
      </c>
      <c r="C11" s="76" t="str">
        <f t="shared" ref="C11:C12" si="1">A11&amp; "_"&amp;B11</f>
        <v>50003_1</v>
      </c>
      <c r="D11" s="76" t="str">
        <f>VLOOKUP(C11,[2]stages!$A:$AE,31,FALSE)</f>
        <v>everyone</v>
      </c>
      <c r="E11" s="76">
        <v>10</v>
      </c>
      <c r="F11" s="76" t="s">
        <v>392</v>
      </c>
      <c r="G11" s="76">
        <v>612</v>
      </c>
      <c r="H11" s="76">
        <v>1</v>
      </c>
      <c r="I11" s="76">
        <v>1</v>
      </c>
      <c r="J11" s="76">
        <v>1</v>
      </c>
      <c r="K11" s="76">
        <v>0</v>
      </c>
      <c r="L11" s="76">
        <v>0</v>
      </c>
      <c r="M11" s="76">
        <v>0</v>
      </c>
      <c r="N11" s="76">
        <v>0</v>
      </c>
      <c r="O11" s="76">
        <v>1</v>
      </c>
      <c r="P11" s="76">
        <v>30</v>
      </c>
      <c r="Q11" s="76" t="s">
        <v>168</v>
      </c>
      <c r="R11" s="76" t="s">
        <v>169</v>
      </c>
    </row>
    <row r="12" spans="1:18" x14ac:dyDescent="0.15">
      <c r="A12" s="76">
        <v>50003</v>
      </c>
      <c r="B12" s="76">
        <v>1</v>
      </c>
      <c r="C12" s="76" t="str">
        <f t="shared" si="1"/>
        <v>50003_1</v>
      </c>
      <c r="D12" s="76" t="str">
        <f>VLOOKUP(C12,[2]stages!$A:$AE,31,FALSE)</f>
        <v>everyone</v>
      </c>
      <c r="E12" s="76">
        <v>11</v>
      </c>
      <c r="F12" s="76" t="s">
        <v>392</v>
      </c>
      <c r="G12" s="76">
        <v>613</v>
      </c>
      <c r="H12" s="76">
        <v>1</v>
      </c>
      <c r="I12" s="76">
        <v>1</v>
      </c>
      <c r="J12" s="76">
        <v>1</v>
      </c>
      <c r="K12" s="76">
        <v>0</v>
      </c>
      <c r="L12" s="76">
        <v>0</v>
      </c>
      <c r="M12" s="76">
        <v>0</v>
      </c>
      <c r="N12" s="76">
        <v>0</v>
      </c>
      <c r="O12" s="76">
        <v>1</v>
      </c>
      <c r="P12" s="76">
        <v>30</v>
      </c>
      <c r="Q12" s="76" t="s">
        <v>168</v>
      </c>
      <c r="R12" s="76" t="s">
        <v>169</v>
      </c>
    </row>
    <row r="13" spans="1:18" x14ac:dyDescent="0.15">
      <c r="A13" s="76">
        <v>50003</v>
      </c>
      <c r="B13" s="76">
        <v>1</v>
      </c>
      <c r="C13" s="76" t="str">
        <f t="shared" ref="C13:C15" si="2">A13&amp; "_"&amp;B13</f>
        <v>50003_1</v>
      </c>
      <c r="D13" s="76" t="str">
        <f>VLOOKUP(C13,[2]stages!$A:$AE,31,FALSE)</f>
        <v>everyone</v>
      </c>
      <c r="E13" s="76">
        <v>12</v>
      </c>
      <c r="F13" s="76" t="s">
        <v>392</v>
      </c>
      <c r="G13" s="76">
        <v>614</v>
      </c>
      <c r="H13" s="76">
        <v>1</v>
      </c>
      <c r="I13" s="76">
        <v>1</v>
      </c>
      <c r="J13" s="76">
        <v>1</v>
      </c>
      <c r="K13" s="76">
        <v>0</v>
      </c>
      <c r="L13" s="76">
        <v>0</v>
      </c>
      <c r="M13" s="76">
        <v>0</v>
      </c>
      <c r="N13" s="76">
        <v>0</v>
      </c>
      <c r="O13" s="76">
        <v>1</v>
      </c>
      <c r="P13" s="76">
        <v>10</v>
      </c>
      <c r="Q13" s="76" t="s">
        <v>168</v>
      </c>
      <c r="R13" s="76" t="s">
        <v>169</v>
      </c>
    </row>
    <row r="14" spans="1:18" x14ac:dyDescent="0.15">
      <c r="A14" s="76">
        <v>50003</v>
      </c>
      <c r="B14" s="76">
        <v>1</v>
      </c>
      <c r="C14" s="76" t="str">
        <f t="shared" si="2"/>
        <v>50003_1</v>
      </c>
      <c r="D14" s="76" t="str">
        <f>VLOOKUP(C14,[2]stages!$A:$AE,31,FALSE)</f>
        <v>everyone</v>
      </c>
      <c r="E14" s="76">
        <v>13</v>
      </c>
      <c r="F14" s="76" t="s">
        <v>392</v>
      </c>
      <c r="G14" s="76">
        <v>837</v>
      </c>
      <c r="H14" s="76">
        <v>1</v>
      </c>
      <c r="I14" s="76">
        <v>1</v>
      </c>
      <c r="J14" s="76">
        <v>1</v>
      </c>
      <c r="K14" s="76">
        <v>0</v>
      </c>
      <c r="L14" s="76">
        <v>0</v>
      </c>
      <c r="M14" s="76">
        <v>0</v>
      </c>
      <c r="N14" s="76">
        <v>0</v>
      </c>
      <c r="O14" s="76">
        <v>1</v>
      </c>
      <c r="P14" s="76">
        <v>10</v>
      </c>
      <c r="Q14" s="76" t="s">
        <v>168</v>
      </c>
      <c r="R14" s="76" t="s">
        <v>169</v>
      </c>
    </row>
    <row r="15" spans="1:18" x14ac:dyDescent="0.15">
      <c r="A15" s="76">
        <v>50003</v>
      </c>
      <c r="B15" s="76">
        <v>1</v>
      </c>
      <c r="C15" s="76" t="str">
        <f t="shared" si="2"/>
        <v>50003_1</v>
      </c>
      <c r="D15" s="76" t="str">
        <f>VLOOKUP(C15,[2]stages!$A:$AE,31,FALSE)</f>
        <v>everyone</v>
      </c>
      <c r="E15" s="76">
        <v>14</v>
      </c>
      <c r="F15" s="76" t="s">
        <v>392</v>
      </c>
      <c r="G15" s="76">
        <v>726</v>
      </c>
      <c r="H15" s="76">
        <v>1</v>
      </c>
      <c r="I15" s="76">
        <v>1</v>
      </c>
      <c r="J15" s="76">
        <v>1</v>
      </c>
      <c r="K15" s="76">
        <v>0</v>
      </c>
      <c r="L15" s="76">
        <v>0</v>
      </c>
      <c r="M15" s="76">
        <v>0</v>
      </c>
      <c r="N15" s="76">
        <v>0</v>
      </c>
      <c r="O15" s="76">
        <v>1</v>
      </c>
      <c r="P15" s="76">
        <v>250</v>
      </c>
      <c r="Q15" s="76" t="s">
        <v>168</v>
      </c>
      <c r="R15" s="76" t="s">
        <v>169</v>
      </c>
    </row>
  </sheetData>
  <phoneticPr fontId="5"/>
  <dataValidations count="1">
    <dataValidation type="list" allowBlank="1" showInputMessage="1" showErrorMessage="1" sqref="F2:F15">
      <formula1>"bit,link,polygon,unit"</formula1>
    </dataValidation>
  </dataValidations>
  <pageMargins left="0.7" right="0.7" top="0.75" bottom="0.75" header="0.3" footer="0.3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4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1" t="s">
        <v>186</v>
      </c>
      <c r="B1" s="67" t="s">
        <v>187</v>
      </c>
      <c r="C1" s="72" t="s">
        <v>188</v>
      </c>
      <c r="D1" s="72" t="s">
        <v>33</v>
      </c>
      <c r="E1" s="67" t="s">
        <v>189</v>
      </c>
      <c r="F1" s="72" t="s">
        <v>190</v>
      </c>
      <c r="G1" s="72" t="s">
        <v>33</v>
      </c>
      <c r="H1" s="67" t="s">
        <v>191</v>
      </c>
      <c r="I1" s="86" t="s">
        <v>193</v>
      </c>
      <c r="J1" s="74" t="s">
        <v>125</v>
      </c>
      <c r="K1" s="73" t="s">
        <v>185</v>
      </c>
      <c r="L1" s="87" t="s">
        <v>184</v>
      </c>
      <c r="M1" s="75" t="s">
        <v>194</v>
      </c>
    </row>
    <row r="2" spans="1:13" x14ac:dyDescent="0.15">
      <c r="A2"/>
    </row>
    <row r="3" spans="1:13" x14ac:dyDescent="0.15">
      <c r="A3"/>
    </row>
    <row r="4" spans="1:13" x14ac:dyDescent="0.15">
      <c r="A4"/>
    </row>
    <row r="5" spans="1:13" x14ac:dyDescent="0.15">
      <c r="A5"/>
    </row>
    <row r="6" spans="1:13" x14ac:dyDescent="0.15">
      <c r="A6"/>
    </row>
    <row r="7" spans="1:13" x14ac:dyDescent="0.15">
      <c r="A7"/>
    </row>
    <row r="8" spans="1:13" x14ac:dyDescent="0.15">
      <c r="A8"/>
    </row>
    <row r="9" spans="1:13" x14ac:dyDescent="0.15">
      <c r="A9"/>
    </row>
    <row r="10" spans="1:13" x14ac:dyDescent="0.15">
      <c r="A10"/>
    </row>
    <row r="11" spans="1:13" x14ac:dyDescent="0.15">
      <c r="A11"/>
    </row>
    <row r="12" spans="1:13" x14ac:dyDescent="0.15">
      <c r="A12"/>
    </row>
    <row r="13" spans="1:13" x14ac:dyDescent="0.15">
      <c r="A13"/>
    </row>
    <row r="14" spans="1:13" x14ac:dyDescent="0.15">
      <c r="A14"/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1"/>
  <sheetViews>
    <sheetView showGridLines="0" workbookViewId="0">
      <pane ySplit="1" topLeftCell="A2" activePane="bottomLeft" state="frozen"/>
      <selection pane="bottomLeft" activeCell="L14" sqref="L14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1" t="s">
        <v>186</v>
      </c>
      <c r="B1" s="67" t="s">
        <v>149</v>
      </c>
      <c r="C1" s="72" t="s">
        <v>188</v>
      </c>
      <c r="D1" s="72" t="s">
        <v>33</v>
      </c>
      <c r="E1" s="67" t="s">
        <v>189</v>
      </c>
      <c r="F1" s="72" t="s">
        <v>18</v>
      </c>
      <c r="G1" s="72" t="s">
        <v>33</v>
      </c>
      <c r="H1" s="67" t="s">
        <v>191</v>
      </c>
      <c r="I1" s="84" t="s">
        <v>192</v>
      </c>
      <c r="J1" s="86" t="s">
        <v>193</v>
      </c>
      <c r="K1" s="74" t="s">
        <v>125</v>
      </c>
      <c r="L1" s="73" t="s">
        <v>185</v>
      </c>
      <c r="M1" s="87" t="s">
        <v>184</v>
      </c>
      <c r="N1" s="75" t="s">
        <v>194</v>
      </c>
    </row>
    <row r="2" spans="1:14" ht="28" x14ac:dyDescent="0.15">
      <c r="A2" s="76" t="s">
        <v>195</v>
      </c>
      <c r="B2" s="77">
        <f>floors!$C$2</f>
        <v>50003</v>
      </c>
      <c r="C2" s="78" t="str">
        <f ca="1">VLOOKUP($B2,OFFSET([2]quests!$A$1,0,0,COUNTA([2]quests!$A:$A),MATCH(C$1,[2]quests!$1:$1,0)-MATCH($B$1,[2]quests!$1:$1,0)+1),MATCH(C$1,[2]quests!$1:$1,0)-MATCH($B$1,[2]quests!$1:$1,0)+1,FALSE)</f>
        <v>織田信長襲来！</v>
      </c>
      <c r="D2" s="78" t="str">
        <f ca="1">VLOOKUP($B2,OFFSET([2]quests!$A$1,0,0,COUNTA([2]quests!$A:$A),MATCH(D$1,[2]quests!$1:$1,0)-MATCH($B$1,[2]quests!$1:$1,0)+1),MATCH(D$1,[2]quests!$1:$1,0)-MATCH($B$1,[2]quests!$1:$1,0)+1,FALSE)</f>
        <v>超降臨3</v>
      </c>
      <c r="E2" s="79">
        <v>1</v>
      </c>
      <c r="F2" s="78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【超ウィザード級】織田信長襲来 </v>
      </c>
      <c r="G2" s="78" t="str">
        <f ca="1">VLOOKUP($B2&amp;"_"&amp;$E2,OFFSET([2]stages!$A$1,0,0,COUNTA([2]stages!$A:$A),MATCH(G$1,[2]stages!$2:$2,0)-MATCH("temp_stage",[2]stages!$2:$2,0)+1),MATCH(G$1,[2]stages!$2:$2,0)-MATCH("temp_stage",[2]stages!$2:$2,0)+1,FALSE)</f>
        <v>超降臨3</v>
      </c>
      <c r="H2" s="80">
        <v>1</v>
      </c>
      <c r="I2" s="85">
        <f>ROW()-1</f>
        <v>1</v>
      </c>
      <c r="J2" s="81" t="str">
        <f>B2&amp;TEXT(I2,"00")</f>
        <v>5000301</v>
      </c>
      <c r="K2" s="79" t="s">
        <v>126</v>
      </c>
      <c r="L2" s="82" t="s">
        <v>197</v>
      </c>
      <c r="M2" s="142" t="s">
        <v>343</v>
      </c>
      <c r="N2" s="53" t="s">
        <v>198</v>
      </c>
    </row>
    <row r="3" spans="1:14" ht="28" x14ac:dyDescent="0.15">
      <c r="A3" s="76" t="s">
        <v>195</v>
      </c>
      <c r="B3" s="77">
        <f>floors!$C$2</f>
        <v>50003</v>
      </c>
      <c r="C3" s="78" t="str">
        <f ca="1">VLOOKUP($B3,OFFSET([2]quests!$A$1,0,0,COUNTA([2]quests!$A:$A),MATCH(C$1,[2]quests!$1:$1,0)-MATCH($B$1,[2]quests!$1:$1,0)+1),MATCH(C$1,[2]quests!$1:$1,0)-MATCH($B$1,[2]quests!$1:$1,0)+1,FALSE)</f>
        <v>織田信長襲来！</v>
      </c>
      <c r="D3" s="78" t="str">
        <f ca="1">VLOOKUP($B3,OFFSET([2]quests!$A$1,0,0,COUNTA([2]quests!$A:$A),MATCH(D$1,[2]quests!$1:$1,0)-MATCH($B$1,[2]quests!$1:$1,0)+1),MATCH(D$1,[2]quests!$1:$1,0)-MATCH($B$1,[2]quests!$1:$1,0)+1,FALSE)</f>
        <v>超降臨3</v>
      </c>
      <c r="E3" s="79">
        <v>1</v>
      </c>
      <c r="F3" s="78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【超ウィザード級】織田信長襲来 </v>
      </c>
      <c r="G3" s="78" t="str">
        <f ca="1">VLOOKUP($B3&amp;"_"&amp;$E3,OFFSET([2]stages!$A$1,0,0,COUNTA([2]stages!$A:$A),MATCH(G$1,[2]stages!$2:$2,0)-MATCH("temp_stage",[2]stages!$2:$2,0)+1),MATCH(G$1,[2]stages!$2:$2,0)-MATCH("temp_stage",[2]stages!$2:$2,0)+1,FALSE)</f>
        <v>超降臨3</v>
      </c>
      <c r="H3" s="80">
        <v>1</v>
      </c>
      <c r="I3" s="85">
        <f>ROW()-1</f>
        <v>2</v>
      </c>
      <c r="J3" s="81" t="str">
        <f>B3&amp;TEXT(I3,"00")</f>
        <v>5000302</v>
      </c>
      <c r="K3" s="79" t="s">
        <v>196</v>
      </c>
      <c r="L3" s="82" t="s">
        <v>197</v>
      </c>
      <c r="M3" s="142" t="s">
        <v>344</v>
      </c>
      <c r="N3" s="53" t="s">
        <v>198</v>
      </c>
    </row>
    <row r="4" spans="1:14" ht="42" x14ac:dyDescent="0.15">
      <c r="A4" s="76" t="s">
        <v>195</v>
      </c>
      <c r="B4" s="77">
        <f>floors!$C$2</f>
        <v>50003</v>
      </c>
      <c r="C4" s="78" t="str">
        <f ca="1">VLOOKUP($B4,OFFSET([2]quests!$A$1,0,0,COUNTA([2]quests!$A:$A),MATCH(C$1,[2]quests!$1:$1,0)-MATCH($B$1,[2]quests!$1:$1,0)+1),MATCH(C$1,[2]quests!$1:$1,0)-MATCH($B$1,[2]quests!$1:$1,0)+1,FALSE)</f>
        <v>織田信長襲来！</v>
      </c>
      <c r="D4" s="78" t="str">
        <f ca="1">VLOOKUP($B4,OFFSET([2]quests!$A$1,0,0,COUNTA([2]quests!$A:$A),MATCH(D$1,[2]quests!$1:$1,0)-MATCH($B$1,[2]quests!$1:$1,0)+1),MATCH(D$1,[2]quests!$1:$1,0)-MATCH($B$1,[2]quests!$1:$1,0)+1,FALSE)</f>
        <v>超降臨3</v>
      </c>
      <c r="E4" s="79">
        <v>1</v>
      </c>
      <c r="F4" s="78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【超ウィザード級】織田信長襲来 </v>
      </c>
      <c r="G4" s="78" t="str">
        <f ca="1">VLOOKUP($B4&amp;"_"&amp;$E4,OFFSET([2]stages!$A$1,0,0,COUNTA([2]stages!$A:$A),MATCH(G$1,[2]stages!$2:$2,0)-MATCH("temp_stage",[2]stages!$2:$2,0)+1),MATCH(G$1,[2]stages!$2:$2,0)-MATCH("temp_stage",[2]stages!$2:$2,0)+1,FALSE)</f>
        <v>超降臨3</v>
      </c>
      <c r="H4" s="80">
        <v>2</v>
      </c>
      <c r="I4" s="85">
        <f t="shared" ref="I4:I11" si="0">ROW()-1</f>
        <v>3</v>
      </c>
      <c r="J4" s="81" t="str">
        <f t="shared" ref="J4:J6" si="1">B4&amp;TEXT(I4,"00")</f>
        <v>5000303</v>
      </c>
      <c r="K4" s="79" t="s">
        <v>126</v>
      </c>
      <c r="L4" s="82" t="s">
        <v>197</v>
      </c>
      <c r="M4" s="142" t="s">
        <v>345</v>
      </c>
      <c r="N4" s="53" t="s">
        <v>198</v>
      </c>
    </row>
    <row r="5" spans="1:14" ht="42" x14ac:dyDescent="0.15">
      <c r="A5" s="76" t="s">
        <v>195</v>
      </c>
      <c r="B5" s="77">
        <f>floors!$C$2</f>
        <v>50003</v>
      </c>
      <c r="C5" s="78" t="str">
        <f ca="1">VLOOKUP($B5,OFFSET([2]quests!$A$1,0,0,COUNTA([2]quests!$A:$A),MATCH(C$1,[2]quests!$1:$1,0)-MATCH($B$1,[2]quests!$1:$1,0)+1),MATCH(C$1,[2]quests!$1:$1,0)-MATCH($B$1,[2]quests!$1:$1,0)+1,FALSE)</f>
        <v>織田信長襲来！</v>
      </c>
      <c r="D5" s="78" t="str">
        <f ca="1">VLOOKUP($B5,OFFSET([2]quests!$A$1,0,0,COUNTA([2]quests!$A:$A),MATCH(D$1,[2]quests!$1:$1,0)-MATCH($B$1,[2]quests!$1:$1,0)+1),MATCH(D$1,[2]quests!$1:$1,0)-MATCH($B$1,[2]quests!$1:$1,0)+1,FALSE)</f>
        <v>超降臨3</v>
      </c>
      <c r="E5" s="79">
        <v>1</v>
      </c>
      <c r="F5" s="78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【超ウィザード級】織田信長襲来 </v>
      </c>
      <c r="G5" s="78" t="str">
        <f ca="1">VLOOKUP($B5&amp;"_"&amp;$E5,OFFSET([2]stages!$A$1,0,0,COUNTA([2]stages!$A:$A),MATCH(G$1,[2]stages!$2:$2,0)-MATCH("temp_stage",[2]stages!$2:$2,0)+1),MATCH(G$1,[2]stages!$2:$2,0)-MATCH("temp_stage",[2]stages!$2:$2,0)+1,FALSE)</f>
        <v>超降臨3</v>
      </c>
      <c r="H5" s="80">
        <v>3</v>
      </c>
      <c r="I5" s="85">
        <f t="shared" si="0"/>
        <v>4</v>
      </c>
      <c r="J5" s="81" t="str">
        <f t="shared" si="1"/>
        <v>5000304</v>
      </c>
      <c r="K5" s="79" t="s">
        <v>126</v>
      </c>
      <c r="L5" s="82" t="s">
        <v>197</v>
      </c>
      <c r="M5" s="142" t="s">
        <v>346</v>
      </c>
      <c r="N5" s="53" t="s">
        <v>198</v>
      </c>
    </row>
    <row r="6" spans="1:14" ht="28" x14ac:dyDescent="0.15">
      <c r="A6" s="76" t="s">
        <v>195</v>
      </c>
      <c r="B6" s="77">
        <f>floors!$C$2</f>
        <v>50003</v>
      </c>
      <c r="C6" s="78" t="str">
        <f ca="1">VLOOKUP($B6,OFFSET([2]quests!$A$1,0,0,COUNTA([2]quests!$A:$A),MATCH(C$1,[2]quests!$1:$1,0)-MATCH($B$1,[2]quests!$1:$1,0)+1),MATCH(C$1,[2]quests!$1:$1,0)-MATCH($B$1,[2]quests!$1:$1,0)+1,FALSE)</f>
        <v>織田信長襲来！</v>
      </c>
      <c r="D6" s="78" t="str">
        <f ca="1">VLOOKUP($B6,OFFSET([2]quests!$A$1,0,0,COUNTA([2]quests!$A:$A),MATCH(D$1,[2]quests!$1:$1,0)-MATCH($B$1,[2]quests!$1:$1,0)+1),MATCH(D$1,[2]quests!$1:$1,0)-MATCH($B$1,[2]quests!$1:$1,0)+1,FALSE)</f>
        <v>超降臨3</v>
      </c>
      <c r="E6" s="79">
        <v>1</v>
      </c>
      <c r="F6" s="78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【超ウィザード級】織田信長襲来 </v>
      </c>
      <c r="G6" s="78" t="str">
        <f ca="1">VLOOKUP($B6&amp;"_"&amp;$E6,OFFSET([2]stages!$A$1,0,0,COUNTA([2]stages!$A:$A),MATCH(G$1,[2]stages!$2:$2,0)-MATCH("temp_stage",[2]stages!$2:$2,0)+1),MATCH(G$1,[2]stages!$2:$2,0)-MATCH("temp_stage",[2]stages!$2:$2,0)+1,FALSE)</f>
        <v>超降臨3</v>
      </c>
      <c r="H6" s="80">
        <v>4</v>
      </c>
      <c r="I6" s="85">
        <f t="shared" si="0"/>
        <v>5</v>
      </c>
      <c r="J6" s="81" t="str">
        <f t="shared" si="1"/>
        <v>5000305</v>
      </c>
      <c r="K6" s="79" t="s">
        <v>126</v>
      </c>
      <c r="L6" s="82" t="s">
        <v>197</v>
      </c>
      <c r="M6" s="142" t="s">
        <v>391</v>
      </c>
      <c r="N6" s="53" t="s">
        <v>198</v>
      </c>
    </row>
    <row r="7" spans="1:14" ht="42" x14ac:dyDescent="0.15">
      <c r="A7" s="76" t="s">
        <v>195</v>
      </c>
      <c r="B7" s="77">
        <f>floors!$C$2</f>
        <v>50003</v>
      </c>
      <c r="C7" s="78" t="str">
        <f ca="1">VLOOKUP($B7,OFFSET([2]quests!$A$1,0,0,COUNTA([2]quests!$A:$A),MATCH(C$1,[2]quests!$1:$1,0)-MATCH($B$1,[2]quests!$1:$1,0)+1),MATCH(C$1,[2]quests!$1:$1,0)-MATCH($B$1,[2]quests!$1:$1,0)+1,FALSE)</f>
        <v>織田信長襲来！</v>
      </c>
      <c r="D7" s="78" t="str">
        <f ca="1">VLOOKUP($B7,OFFSET([2]quests!$A$1,0,0,COUNTA([2]quests!$A:$A),MATCH(D$1,[2]quests!$1:$1,0)-MATCH($B$1,[2]quests!$1:$1,0)+1),MATCH(D$1,[2]quests!$1:$1,0)-MATCH($B$1,[2]quests!$1:$1,0)+1,FALSE)</f>
        <v>超降臨3</v>
      </c>
      <c r="E7" s="79">
        <v>1</v>
      </c>
      <c r="F7" s="78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【超ウィザード級】織田信長襲来 </v>
      </c>
      <c r="G7" s="78" t="str">
        <f ca="1">VLOOKUP($B7&amp;"_"&amp;$E7,OFFSET([2]stages!$A$1,0,0,COUNTA([2]stages!$A:$A),MATCH(G$1,[2]stages!$2:$2,0)-MATCH("temp_stage",[2]stages!$2:$2,0)+1),MATCH(G$1,[2]stages!$2:$2,0)-MATCH("temp_stage",[2]stages!$2:$2,0)+1,FALSE)</f>
        <v>超降臨3</v>
      </c>
      <c r="H7" s="80">
        <v>4</v>
      </c>
      <c r="I7" s="85">
        <f t="shared" si="0"/>
        <v>6</v>
      </c>
      <c r="J7" s="81" t="str">
        <f t="shared" ref="J7:J10" si="2">B7&amp;TEXT(I7,"00")</f>
        <v>5000306</v>
      </c>
      <c r="K7" s="79" t="s">
        <v>126</v>
      </c>
      <c r="L7" s="82" t="s">
        <v>197</v>
      </c>
      <c r="M7" s="142" t="s">
        <v>347</v>
      </c>
      <c r="N7" s="53" t="s">
        <v>198</v>
      </c>
    </row>
    <row r="8" spans="1:14" ht="42" x14ac:dyDescent="0.15">
      <c r="A8" s="76" t="s">
        <v>199</v>
      </c>
      <c r="B8" s="77">
        <f>floors!$C$2</f>
        <v>50003</v>
      </c>
      <c r="C8" s="78" t="str">
        <f ca="1">VLOOKUP($B8,OFFSET([2]quests!$A$1,0,0,COUNTA([2]quests!$A:$A),MATCH(C$1,[2]quests!$1:$1,0)-MATCH($B$1,[2]quests!$1:$1,0)+1),MATCH(C$1,[2]quests!$1:$1,0)-MATCH($B$1,[2]quests!$1:$1,0)+1,FALSE)</f>
        <v>織田信長襲来！</v>
      </c>
      <c r="D8" s="78" t="str">
        <f ca="1">VLOOKUP($B8,OFFSET([2]quests!$A$1,0,0,COUNTA([2]quests!$A:$A),MATCH(D$1,[2]quests!$1:$1,0)-MATCH($B$1,[2]quests!$1:$1,0)+1),MATCH(D$1,[2]quests!$1:$1,0)-MATCH($B$1,[2]quests!$1:$1,0)+1,FALSE)</f>
        <v>超降臨3</v>
      </c>
      <c r="E8" s="79">
        <v>1</v>
      </c>
      <c r="F8" s="78" t="str">
        <f ca="1">VLOOKUP($B8&amp;"_"&amp;$E8,OFFSET([2]stages!$A$1,0,0,COUNTA([2]stages!$A:$A),MATCH(F$1,[2]stages!$2:$2,0)-MATCH("temp_stage",[2]stages!$2:$2,0)+1),MATCH(F$1,[2]stages!$2:$2,0)-MATCH("temp_stage",[2]stages!$2:$2,0)+1,FALSE)</f>
        <v xml:space="preserve">【超ウィザード級】織田信長襲来 </v>
      </c>
      <c r="G8" s="78" t="str">
        <f ca="1">VLOOKUP($B8&amp;"_"&amp;$E8,OFFSET([2]stages!$A$1,0,0,COUNTA([2]stages!$A:$A),MATCH(G$1,[2]stages!$2:$2,0)-MATCH("temp_stage",[2]stages!$2:$2,0)+1),MATCH(G$1,[2]stages!$2:$2,0)-MATCH("temp_stage",[2]stages!$2:$2,0)+1,FALSE)</f>
        <v>超降臨3</v>
      </c>
      <c r="H8" s="80">
        <v>0</v>
      </c>
      <c r="I8" s="85">
        <f t="shared" si="0"/>
        <v>7</v>
      </c>
      <c r="J8" s="81" t="str">
        <f t="shared" si="2"/>
        <v>5000307</v>
      </c>
      <c r="K8" s="79" t="s">
        <v>126</v>
      </c>
      <c r="L8" s="82" t="s">
        <v>396</v>
      </c>
      <c r="M8" s="142" t="s">
        <v>393</v>
      </c>
      <c r="N8" s="53" t="s">
        <v>198</v>
      </c>
    </row>
    <row r="9" spans="1:14" ht="56" x14ac:dyDescent="0.15">
      <c r="A9" s="76" t="s">
        <v>199</v>
      </c>
      <c r="B9" s="77">
        <f>floors!$C$2</f>
        <v>50003</v>
      </c>
      <c r="C9" s="78" t="str">
        <f ca="1">VLOOKUP($B9,OFFSET([2]quests!$A$1,0,0,COUNTA([2]quests!$A:$A),MATCH(C$1,[2]quests!$1:$1,0)-MATCH($B$1,[2]quests!$1:$1,0)+1),MATCH(C$1,[2]quests!$1:$1,0)-MATCH($B$1,[2]quests!$1:$1,0)+1,FALSE)</f>
        <v>織田信長襲来！</v>
      </c>
      <c r="D9" s="78" t="str">
        <f ca="1">VLOOKUP($B9,OFFSET([2]quests!$A$1,0,0,COUNTA([2]quests!$A:$A),MATCH(D$1,[2]quests!$1:$1,0)-MATCH($B$1,[2]quests!$1:$1,0)+1),MATCH(D$1,[2]quests!$1:$1,0)-MATCH($B$1,[2]quests!$1:$1,0)+1,FALSE)</f>
        <v>超降臨3</v>
      </c>
      <c r="E9" s="79">
        <v>1</v>
      </c>
      <c r="F9" s="78" t="str">
        <f ca="1">VLOOKUP($B9&amp;"_"&amp;$E9,OFFSET([2]stages!$A$1,0,0,COUNTA([2]stages!$A:$A),MATCH(F$1,[2]stages!$2:$2,0)-MATCH("temp_stage",[2]stages!$2:$2,0)+1),MATCH(F$1,[2]stages!$2:$2,0)-MATCH("temp_stage",[2]stages!$2:$2,0)+1,FALSE)</f>
        <v xml:space="preserve">【超ウィザード級】織田信長襲来 </v>
      </c>
      <c r="G9" s="78" t="str">
        <f ca="1">VLOOKUP($B9&amp;"_"&amp;$E9,OFFSET([2]stages!$A$1,0,0,COUNTA([2]stages!$A:$A),MATCH(G$1,[2]stages!$2:$2,0)-MATCH("temp_stage",[2]stages!$2:$2,0)+1),MATCH(G$1,[2]stages!$2:$2,0)-MATCH("temp_stage",[2]stages!$2:$2,0)+1,FALSE)</f>
        <v>超降臨3</v>
      </c>
      <c r="H9" s="80">
        <v>0</v>
      </c>
      <c r="I9" s="85">
        <f t="shared" si="0"/>
        <v>8</v>
      </c>
      <c r="J9" s="81" t="str">
        <f t="shared" si="2"/>
        <v>5000308</v>
      </c>
      <c r="K9" s="79" t="s">
        <v>126</v>
      </c>
      <c r="L9" s="82" t="s">
        <v>397</v>
      </c>
      <c r="M9" s="142" t="s">
        <v>394</v>
      </c>
      <c r="N9" s="53" t="s">
        <v>198</v>
      </c>
    </row>
    <row r="10" spans="1:14" ht="56" x14ac:dyDescent="0.15">
      <c r="A10" s="76" t="s">
        <v>199</v>
      </c>
      <c r="B10" s="77">
        <f>floors!$C$2</f>
        <v>50003</v>
      </c>
      <c r="C10" s="78" t="str">
        <f ca="1">VLOOKUP($B10,OFFSET([2]quests!$A$1,0,0,COUNTA([2]quests!$A:$A),MATCH(C$1,[2]quests!$1:$1,0)-MATCH($B$1,[2]quests!$1:$1,0)+1),MATCH(C$1,[2]quests!$1:$1,0)-MATCH($B$1,[2]quests!$1:$1,0)+1,FALSE)</f>
        <v>織田信長襲来！</v>
      </c>
      <c r="D10" s="78" t="str">
        <f ca="1">VLOOKUP($B10,OFFSET([2]quests!$A$1,0,0,COUNTA([2]quests!$A:$A),MATCH(D$1,[2]quests!$1:$1,0)-MATCH($B$1,[2]quests!$1:$1,0)+1),MATCH(D$1,[2]quests!$1:$1,0)-MATCH($B$1,[2]quests!$1:$1,0)+1,FALSE)</f>
        <v>超降臨3</v>
      </c>
      <c r="E10" s="79">
        <v>1</v>
      </c>
      <c r="F10" s="78" t="str">
        <f ca="1">VLOOKUP($B10&amp;"_"&amp;$E10,OFFSET([2]stages!$A$1,0,0,COUNTA([2]stages!$A:$A),MATCH(F$1,[2]stages!$2:$2,0)-MATCH("temp_stage",[2]stages!$2:$2,0)+1),MATCH(F$1,[2]stages!$2:$2,0)-MATCH("temp_stage",[2]stages!$2:$2,0)+1,FALSE)</f>
        <v xml:space="preserve">【超ウィザード級】織田信長襲来 </v>
      </c>
      <c r="G10" s="78" t="str">
        <f ca="1">VLOOKUP($B10&amp;"_"&amp;$E10,OFFSET([2]stages!$A$1,0,0,COUNTA([2]stages!$A:$A),MATCH(G$1,[2]stages!$2:$2,0)-MATCH("temp_stage",[2]stages!$2:$2,0)+1),MATCH(G$1,[2]stages!$2:$2,0)-MATCH("temp_stage",[2]stages!$2:$2,0)+1,FALSE)</f>
        <v>超降臨3</v>
      </c>
      <c r="H10" s="80">
        <v>0</v>
      </c>
      <c r="I10" s="85">
        <f t="shared" si="0"/>
        <v>9</v>
      </c>
      <c r="J10" s="81" t="str">
        <f t="shared" si="2"/>
        <v>5000309</v>
      </c>
      <c r="K10" s="79" t="s">
        <v>126</v>
      </c>
      <c r="L10" s="82" t="s">
        <v>398</v>
      </c>
      <c r="M10" s="142" t="s">
        <v>395</v>
      </c>
      <c r="N10" s="53" t="s">
        <v>198</v>
      </c>
    </row>
    <row r="11" spans="1:14" ht="56" x14ac:dyDescent="0.15">
      <c r="A11" s="76" t="s">
        <v>199</v>
      </c>
      <c r="B11" s="77">
        <f>floors!$C$2</f>
        <v>50003</v>
      </c>
      <c r="C11" s="78" t="str">
        <f ca="1">VLOOKUP($B11,OFFSET([2]quests!$A$1,0,0,COUNTA([2]quests!$A:$A),MATCH(C$1,[2]quests!$1:$1,0)-MATCH($B$1,[2]quests!$1:$1,0)+1),MATCH(C$1,[2]quests!$1:$1,0)-MATCH($B$1,[2]quests!$1:$1,0)+1,FALSE)</f>
        <v>織田信長襲来！</v>
      </c>
      <c r="D11" s="78" t="str">
        <f ca="1">VLOOKUP($B11,OFFSET([2]quests!$A$1,0,0,COUNTA([2]quests!$A:$A),MATCH(D$1,[2]quests!$1:$1,0)-MATCH($B$1,[2]quests!$1:$1,0)+1),MATCH(D$1,[2]quests!$1:$1,0)-MATCH($B$1,[2]quests!$1:$1,0)+1,FALSE)</f>
        <v>超降臨3</v>
      </c>
      <c r="E11" s="79">
        <v>1</v>
      </c>
      <c r="F11" s="78" t="str">
        <f ca="1">VLOOKUP($B11&amp;"_"&amp;$E11,OFFSET([2]stages!$A$1,0,0,COUNTA([2]stages!$A:$A),MATCH(F$1,[2]stages!$2:$2,0)-MATCH("temp_stage",[2]stages!$2:$2,0)+1),MATCH(F$1,[2]stages!$2:$2,0)-MATCH("temp_stage",[2]stages!$2:$2,0)+1,FALSE)</f>
        <v xml:space="preserve">【超ウィザード級】織田信長襲来 </v>
      </c>
      <c r="G11" s="78" t="str">
        <f ca="1">VLOOKUP($B11&amp;"_"&amp;$E11,OFFSET([2]stages!$A$1,0,0,COUNTA([2]stages!$A:$A),MATCH(G$1,[2]stages!$2:$2,0)-MATCH("temp_stage",[2]stages!$2:$2,0)+1),MATCH(G$1,[2]stages!$2:$2,0)-MATCH("temp_stage",[2]stages!$2:$2,0)+1,FALSE)</f>
        <v>超降臨3</v>
      </c>
      <c r="H11" s="80">
        <v>0</v>
      </c>
      <c r="I11" s="85">
        <f t="shared" si="0"/>
        <v>10</v>
      </c>
      <c r="J11" s="81" t="str">
        <f t="shared" ref="J11" si="3">B11&amp;TEXT(I11,"00")</f>
        <v>5000310</v>
      </c>
      <c r="K11" s="79" t="s">
        <v>126</v>
      </c>
      <c r="L11" s="82" t="s">
        <v>399</v>
      </c>
      <c r="M11" s="142" t="s">
        <v>400</v>
      </c>
      <c r="N11" s="53" t="s">
        <v>198</v>
      </c>
    </row>
  </sheetData>
  <phoneticPr fontId="5"/>
  <dataValidations count="1">
    <dataValidation type="list" allowBlank="1" showInputMessage="1" showErrorMessage="1" sqref="A2:A1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modified xsi:type="dcterms:W3CDTF">2017-05-08T07:20:02Z</dcterms:modified>
</cp:coreProperties>
</file>