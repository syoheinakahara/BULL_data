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4"/>
  </bookViews>
  <sheets>
    <sheet name="確率の考え方" sheetId="110" r:id="rId1"/>
    <sheet name="Sheet1" sheetId="107" r:id="rId2"/>
    <sheet name="output" sheetId="103" r:id="rId3"/>
    <sheet name="input_532010" sheetId="157" r:id="rId4"/>
    <sheet name="tables_532010" sheetId="158" r:id="rId5"/>
    <sheet name="input_532100" sheetId="153" r:id="rId6"/>
    <sheet name="tables_532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tables_532010!$A$1:$V$355</definedName>
    <definedName name="_xlnm._FilterDatabase" localSheetId="6" hidden="1">tables_532100!$A$1:$V$294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8" l="1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2" i="157"/>
  <c r="E23" i="157"/>
  <c r="B23" i="157"/>
  <c r="B22" i="157"/>
  <c r="E25" i="157"/>
  <c r="B25" i="157"/>
  <c r="F5" i="157"/>
  <c r="E5" i="157"/>
  <c r="E27" i="157"/>
  <c r="B27" i="157"/>
  <c r="B18" i="157"/>
  <c r="E19" i="157"/>
  <c r="B19" i="157"/>
  <c r="E24" i="157"/>
  <c r="B24" i="157"/>
  <c r="B17" i="157"/>
  <c r="B10" i="157"/>
  <c r="B30" i="157"/>
  <c r="A2" i="153"/>
  <c r="A355" i="154"/>
  <c r="A354" i="154"/>
  <c r="A353" i="154"/>
  <c r="A352" i="154"/>
  <c r="A351" i="154"/>
  <c r="I355" i="154"/>
  <c r="D355" i="154"/>
  <c r="J355" i="154"/>
  <c r="E355" i="154"/>
  <c r="F355" i="154"/>
  <c r="C355" i="154"/>
  <c r="H355" i="154"/>
  <c r="K355" i="154"/>
  <c r="L355" i="154"/>
  <c r="M355" i="154"/>
  <c r="N355" i="154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F5" i="153"/>
  <c r="F6" i="153"/>
  <c r="A3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B10" i="153"/>
  <c r="E6" i="153"/>
  <c r="B23" i="153"/>
  <c r="G23" i="153"/>
  <c r="H23" i="153"/>
  <c r="O355" i="154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B22" i="153"/>
  <c r="E25" i="153"/>
  <c r="B25" i="153"/>
  <c r="E5" i="153"/>
  <c r="E27" i="153"/>
  <c r="B27" i="153"/>
  <c r="B30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P355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8"/>
  <c r="K355" i="158"/>
  <c r="L355" i="158"/>
  <c r="M355" i="158"/>
  <c r="N355" i="158"/>
  <c r="A2" i="157"/>
  <c r="A36" i="157"/>
  <c r="G23" i="157"/>
  <c r="H23" i="157"/>
  <c r="O355" i="158"/>
  <c r="G17" i="157"/>
  <c r="E17" i="157"/>
  <c r="H17" i="157"/>
  <c r="O2" i="158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P355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A355" i="158"/>
  <c r="A354" i="158"/>
  <c r="A353" i="158"/>
  <c r="A352" i="158"/>
  <c r="A351" i="158"/>
  <c r="A350" i="154"/>
  <c r="A346" i="154"/>
  <c r="A347" i="154"/>
  <c r="A348" i="154"/>
  <c r="A349" i="154"/>
  <c r="H346" i="154"/>
  <c r="K346" i="154"/>
  <c r="L346" i="154"/>
  <c r="M346" i="154"/>
  <c r="N346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350" i="158"/>
  <c r="H350" i="158"/>
  <c r="K350" i="158"/>
  <c r="L350" i="158"/>
  <c r="M350" i="158"/>
  <c r="N350" i="158"/>
  <c r="P350" i="158"/>
  <c r="A346" i="158"/>
  <c r="H346" i="158"/>
  <c r="K346" i="158"/>
  <c r="L346" i="158"/>
  <c r="M346" i="158"/>
  <c r="N346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R6" i="153"/>
  <c r="F41" i="153"/>
  <c r="G41" i="153"/>
  <c r="R3" i="153"/>
  <c r="R4" i="153"/>
  <c r="R5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<sst xmlns="http://schemas.openxmlformats.org/spreadsheetml/2006/main" count="513" uniqueCount="256">
  <si>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</si>
  <si>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3"/>
  </si>
  <si>
    <t>weight</t>
    <phoneticPr fontId="23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</si>
  <si>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</si>
  <si>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</si>
  <si>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</si>
  <si>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</si>
  <si>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</si>
  <si>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</si>
  <si>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</si>
  <si>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3"/>
  </si>
  <si>
    <t>bonus_table_no</t>
    <phoneticPr fontId="23"/>
  </si>
  <si>
    <t>weight</t>
    <phoneticPr fontId="23"/>
  </si>
  <si>
    <t>gift_id</t>
    <phoneticPr fontId="23"/>
  </si>
  <si>
    <t>gift_id</t>
    <phoneticPr fontId="23"/>
  </si>
  <si>
    <t>gift_type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</si>
  <si>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</si>
  <si>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</si>
  <si>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</si>
  <si>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</si>
  <si>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</si>
  <si>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</si>
  <si>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gift_id</t>
    <phoneticPr fontId="23"/>
  </si>
  <si>
    <t>gift_value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</si>
  <si>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</si>
  <si>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</si>
  <si>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</si>
  <si>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</si>
  <si>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</si>
  <si>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</si>
  <si>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gift_type</t>
    <phoneticPr fontId="23"/>
  </si>
  <si>
    <t>備考</t>
    <rPh sb="0" eb="2">
      <t>ビコウ</t>
    </rPh>
    <phoneticPr fontId="23"/>
  </si>
  <si>
    <t>character_id</t>
    <phoneticPr fontId="23"/>
  </si>
  <si>
    <t>name</t>
    <phoneticPr fontId="23"/>
  </si>
  <si>
    <t>drop_label</t>
    <phoneticPr fontId="23"/>
  </si>
  <si>
    <t>rare</t>
    <phoneticPr fontId="23"/>
  </si>
  <si>
    <t>character_type_id</t>
    <phoneticPr fontId="23"/>
  </si>
  <si>
    <t>character_tribe_id</t>
    <phoneticPr fontId="23"/>
  </si>
  <si>
    <t>unit_level</t>
    <phoneticPr fontId="23"/>
  </si>
  <si>
    <t>接頭語</t>
    <rPh sb="0" eb="3">
      <t>セットウゴ</t>
    </rPh>
    <phoneticPr fontId="56"/>
  </si>
  <si>
    <t>識別子</t>
    <rPh sb="0" eb="3">
      <t>シキベツシ</t>
    </rPh>
    <phoneticPr fontId="56"/>
  </si>
  <si>
    <t>形式</t>
    <rPh sb="0" eb="2">
      <t>ケイシキ</t>
    </rPh>
    <phoneticPr fontId="56"/>
  </si>
  <si>
    <t>出力ファイル名</t>
    <rPh sb="0" eb="2">
      <t>シュツリョク</t>
    </rPh>
    <rPh sb="6" eb="7">
      <t>メイ</t>
    </rPh>
    <phoneticPr fontId="56"/>
  </si>
  <si>
    <t>入力シート名</t>
    <rPh sb="0" eb="2">
      <t>ニュウリョク</t>
    </rPh>
    <rPh sb="5" eb="6">
      <t>メイ</t>
    </rPh>
    <phoneticPr fontId="56"/>
  </si>
  <si>
    <t>出力データ</t>
    <rPh sb="0" eb="2">
      <t>シュツリョク</t>
    </rPh>
    <phoneticPr fontId="56"/>
  </si>
  <si>
    <t>.tmp</t>
    <phoneticPr fontId="56"/>
  </si>
  <si>
    <t>.tmp</t>
    <phoneticPr fontId="56"/>
  </si>
  <si>
    <t>gacha_bonus_tables</t>
    <phoneticPr fontId="56"/>
  </si>
  <si>
    <t>gifts_tmp_</t>
    <phoneticPr fontId="23"/>
  </si>
  <si>
    <t>gifts_i18n_</t>
    <phoneticPr fontId="2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</si>
  <si>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3"/>
  </si>
  <si>
    <t>出力flg</t>
    <rPh sb="0" eb="2">
      <t>シュツリョク</t>
    </rPh>
    <phoneticPr fontId="56"/>
  </si>
  <si>
    <t>color</t>
    <phoneticPr fontId="23"/>
  </si>
  <si>
    <t>レアリティ別確率</t>
    <rPh sb="5" eb="6">
      <t>ベツ</t>
    </rPh>
    <rPh sb="6" eb="8">
      <t>カクリツ</t>
    </rPh>
    <phoneticPr fontId="23"/>
  </si>
  <si>
    <t>ラベル別確率</t>
    <rPh sb="3" eb="4">
      <t>ベツ</t>
    </rPh>
    <rPh sb="4" eb="6">
      <t>カクリツ</t>
    </rPh>
    <phoneticPr fontId="23"/>
  </si>
  <si>
    <t>SSS</t>
    <phoneticPr fontId="23"/>
  </si>
  <si>
    <t>SS</t>
    <phoneticPr fontId="23"/>
  </si>
  <si>
    <t>ラベル*レアリティ標準確率</t>
    <rPh sb="9" eb="11">
      <t>ヒョウジュン</t>
    </rPh>
    <rPh sb="11" eb="13">
      <t>カクリツ</t>
    </rPh>
    <phoneticPr fontId="23"/>
  </si>
  <si>
    <t>性別</t>
    <rPh sb="0" eb="2">
      <t>セイベツ</t>
    </rPh>
    <phoneticPr fontId="23"/>
  </si>
  <si>
    <t>合計</t>
    <rPh sb="0" eb="2">
      <t>ゴウケイ</t>
    </rPh>
    <phoneticPr fontId="23"/>
  </si>
  <si>
    <t>グループ</t>
    <phoneticPr fontId="23"/>
  </si>
  <si>
    <t>ピックアップ確率</t>
    <rPh sb="6" eb="8">
      <t>カクリツ</t>
    </rPh>
    <phoneticPr fontId="23"/>
  </si>
  <si>
    <t>残り確率</t>
    <rPh sb="0" eb="1">
      <t>ノコ</t>
    </rPh>
    <rPh sb="2" eb="4">
      <t>カクリツ</t>
    </rPh>
    <phoneticPr fontId="23"/>
  </si>
  <si>
    <t>確率</t>
    <rPh sb="0" eb="2">
      <t>カクリツ</t>
    </rPh>
    <phoneticPr fontId="23"/>
  </si>
  <si>
    <t>所属グループ</t>
    <rPh sb="0" eb="2">
      <t>ショゾク</t>
    </rPh>
    <phoneticPr fontId="23"/>
  </si>
  <si>
    <t>名前</t>
    <rPh sb="0" eb="2">
      <t>ナマエ</t>
    </rPh>
    <phoneticPr fontId="23"/>
  </si>
  <si>
    <t>レアリティ</t>
    <phoneticPr fontId="23"/>
  </si>
  <si>
    <t>ラベル</t>
    <phoneticPr fontId="23"/>
  </si>
  <si>
    <t>R3</t>
    <phoneticPr fontId="23"/>
  </si>
  <si>
    <t>R4</t>
    <phoneticPr fontId="23"/>
  </si>
  <si>
    <t>R5</t>
    <phoneticPr fontId="23"/>
  </si>
  <si>
    <t>個別確率</t>
    <rPh sb="0" eb="4">
      <t>コベツカクリツ</t>
    </rPh>
    <phoneticPr fontId="23"/>
  </si>
  <si>
    <t>該当数(ピックアップ除く)</t>
    <rPh sb="0" eb="2">
      <t>ガイトウ</t>
    </rPh>
    <rPh sb="2" eb="3">
      <t>スウ</t>
    </rPh>
    <rPh sb="10" eb="11">
      <t>ノゾ</t>
    </rPh>
    <phoneticPr fontId="23"/>
  </si>
  <si>
    <t>個別weight</t>
    <rPh sb="0" eb="2">
      <t>コベツ</t>
    </rPh>
    <phoneticPr fontId="23"/>
  </si>
  <si>
    <t>グループweight</t>
    <phoneticPr fontId="23"/>
  </si>
  <si>
    <t>端数</t>
    <rPh sb="0" eb="2">
      <t>ハスウ</t>
    </rPh>
    <phoneticPr fontId="23"/>
  </si>
  <si>
    <t>--検算用--</t>
    <rPh sb="3" eb="6">
      <t>ケンザンヨウ</t>
    </rPh>
    <phoneticPr fontId="23"/>
  </si>
  <si>
    <t>端数逆数</t>
    <rPh sb="0" eb="2">
      <t>ハスウ</t>
    </rPh>
    <rPh sb="2" eb="4">
      <t>ギャクスウ</t>
    </rPh>
    <phoneticPr fontId="23"/>
  </si>
  <si>
    <t>テーブルを増やしたい場合</t>
    <rPh sb="5" eb="6">
      <t>フ</t>
    </rPh>
    <rPh sb="10" eb="12">
      <t>バアイ</t>
    </rPh>
    <phoneticPr fontId="23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</si>
  <si>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3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</si>
  <si>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3"/>
  </si>
  <si>
    <t>３．outputシートで２で作ったtablesを指定する</t>
    <rPh sb="14" eb="15">
      <t>ツク</t>
    </rPh>
    <rPh sb="24" eb="26">
      <t>シテイ</t>
    </rPh>
    <phoneticPr fontId="23"/>
  </si>
  <si>
    <t>テーブルid</t>
    <phoneticPr fontId="23"/>
  </si>
  <si>
    <t>→ピックアップの確率は右のほうにいます</t>
    <rPh sb="8" eb="10">
      <t>カクリツ</t>
    </rPh>
    <rPh sb="11" eb="12">
      <t>ミギ</t>
    </rPh>
    <phoneticPr fontId="23"/>
  </si>
  <si>
    <t>table_no</t>
    <phoneticPr fontId="23"/>
  </si>
  <si>
    <t>table_no</t>
    <phoneticPr fontId="23"/>
  </si>
  <si>
    <t>skill_level</t>
  </si>
  <si>
    <t>level</t>
  </si>
  <si>
    <t>hp_plus</t>
    <phoneticPr fontId="56"/>
  </si>
  <si>
    <t>attack_plus</t>
    <phoneticPr fontId="56"/>
  </si>
  <si>
    <t>heal_plus</t>
    <phoneticPr fontId="56"/>
  </si>
  <si>
    <t>defense_plus</t>
    <phoneticPr fontId="56"/>
  </si>
  <si>
    <t>level</t>
    <phoneticPr fontId="56"/>
  </si>
  <si>
    <t>skill_level</t>
    <phoneticPr fontId="56"/>
  </si>
  <si>
    <t>bug</t>
    <phoneticPr fontId="56"/>
  </si>
  <si>
    <t>drop_label2</t>
    <phoneticPr fontId="23"/>
  </si>
  <si>
    <t>Premium</t>
    <phoneticPr fontId="23"/>
  </si>
  <si>
    <t>Premium3</t>
    <phoneticPr fontId="23"/>
  </si>
  <si>
    <t>Premium4</t>
    <phoneticPr fontId="23"/>
  </si>
  <si>
    <t>Premium5</t>
    <phoneticPr fontId="23"/>
  </si>
  <si>
    <t>グループ確率</t>
    <rPh sb="4" eb="6">
      <t>カクリツ</t>
    </rPh>
    <phoneticPr fontId="23"/>
  </si>
  <si>
    <t>レア度別確率</t>
    <rPh sb="2" eb="4">
      <t>ドベツ</t>
    </rPh>
    <rPh sb="4" eb="6">
      <t>カクリツ</t>
    </rPh>
    <phoneticPr fontId="23"/>
  </si>
  <si>
    <t>color2</t>
    <phoneticPr fontId="23"/>
  </si>
  <si>
    <t>Premium3</t>
  </si>
  <si>
    <t>Premium4</t>
  </si>
  <si>
    <t>Premium5</t>
  </si>
  <si>
    <t>PremiumSS4</t>
    <phoneticPr fontId="23"/>
  </si>
  <si>
    <t>PremiumSS5</t>
    <phoneticPr fontId="23"/>
  </si>
  <si>
    <t>PremiumSSS5</t>
    <phoneticPr fontId="23"/>
  </si>
  <si>
    <t>PremiumSSS4</t>
    <phoneticPr fontId="23"/>
  </si>
  <si>
    <t>gacha_select_tables_</t>
    <phoneticPr fontId="23"/>
  </si>
  <si>
    <t>ラベル確率で考えましょう</t>
    <rPh sb="6" eb="7">
      <t>カンガエマショウ</t>
    </rPh>
    <phoneticPr fontId="56"/>
  </si>
  <si>
    <t>ラベル</t>
    <phoneticPr fontId="56"/>
  </si>
  <si>
    <t>レアリティ</t>
    <phoneticPr fontId="56"/>
  </si>
  <si>
    <t>{W}</t>
    <phoneticPr fontId="56"/>
  </si>
  <si>
    <t>{N,S}</t>
    <phoneticPr fontId="56"/>
  </si>
  <si>
    <t>{N,S}R3less</t>
    <phoneticPr fontId="56"/>
  </si>
  <si>
    <t>{N,S}R6release</t>
    <phoneticPr fontId="56"/>
  </si>
  <si>
    <t>{SS}</t>
    <phoneticPr fontId="56"/>
  </si>
  <si>
    <t>{SS}R6only</t>
    <phoneticPr fontId="56"/>
  </si>
  <si>
    <t>小計</t>
    <rPh sb="0" eb="2">
      <t>ショウケイ</t>
    </rPh>
    <phoneticPr fontId="56"/>
  </si>
  <si>
    <t>A</t>
    <phoneticPr fontId="56"/>
  </si>
  <si>
    <t>C</t>
    <phoneticPr fontId="56"/>
  </si>
  <si>
    <t>H</t>
    <phoneticPr fontId="56"/>
  </si>
  <si>
    <t>B</t>
    <phoneticPr fontId="56"/>
  </si>
  <si>
    <t>D</t>
    <phoneticPr fontId="56"/>
  </si>
  <si>
    <t>F</t>
    <phoneticPr fontId="56"/>
  </si>
  <si>
    <t>I</t>
    <phoneticPr fontId="56"/>
  </si>
  <si>
    <t>K</t>
    <phoneticPr fontId="56"/>
  </si>
  <si>
    <t>E</t>
    <phoneticPr fontId="56"/>
  </si>
  <si>
    <t>G</t>
    <phoneticPr fontId="56"/>
  </si>
  <si>
    <t>J</t>
    <phoneticPr fontId="56"/>
  </si>
  <si>
    <t>L</t>
    <phoneticPr fontId="56"/>
  </si>
  <si>
    <t>M</t>
    <phoneticPr fontId="56"/>
  </si>
  <si>
    <t>→</t>
    <phoneticPr fontId="56"/>
  </si>
  <si>
    <t>1-SS率</t>
    <rPh sb="4" eb="5">
      <t>リツ</t>
    </rPh>
    <phoneticPr fontId="56"/>
  </si>
  <si>
    <t>SS率</t>
    <rPh sb="2" eb="3">
      <t>リツ</t>
    </rPh>
    <phoneticPr fontId="56"/>
  </si>
  <si>
    <t>考え方を変える</t>
    <rPh sb="0" eb="1">
      <t>カンガエカタ</t>
    </rPh>
    <rPh sb="4" eb="5">
      <t>カエル</t>
    </rPh>
    <phoneticPr fontId="56"/>
  </si>
  <si>
    <t>SS4%は確定事項</t>
    <rPh sb="5" eb="7">
      <t>カクテイ</t>
    </rPh>
    <rPh sb="7" eb="9">
      <t>ジコウ</t>
    </rPh>
    <phoneticPr fontId="56"/>
  </si>
  <si>
    <t>当たりは分配</t>
    <rPh sb="0" eb="1">
      <t>アタリ</t>
    </rPh>
    <rPh sb="4" eb="6">
      <t>ブンパイ</t>
    </rPh>
    <phoneticPr fontId="56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</si>
  <si>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6"/>
  </si>
  <si>
    <t>=</t>
    <phoneticPr fontId="56"/>
  </si>
  <si>
    <t>X*{SS R5only}</t>
    <phoneticPr fontId="56"/>
  </si>
  <si>
    <t>K</t>
    <phoneticPr fontId="56"/>
  </si>
  <si>
    <t>=</t>
    <phoneticPr fontId="56"/>
  </si>
  <si>
    <t>X*{SS}*(R3率+R4率)</t>
    <rPh sb="10" eb="11">
      <t>リツ</t>
    </rPh>
    <rPh sb="14" eb="15">
      <t>リツ</t>
    </rPh>
    <phoneticPr fontId="56"/>
  </si>
  <si>
    <t>L</t>
    <phoneticPr fontId="56"/>
  </si>
  <si>
    <t>X*{SS}*R5率</t>
    <rPh sb="9" eb="10">
      <t>リツ</t>
    </rPh>
    <phoneticPr fontId="56"/>
  </si>
  <si>
    <t>X*{R6release}*R3率</t>
    <rPh sb="16" eb="17">
      <t>リツ</t>
    </rPh>
    <phoneticPr fontId="56"/>
  </si>
  <si>
    <t>X*{R6release}*R4率</t>
    <rPh sb="16" eb="17">
      <t>リツ</t>
    </rPh>
    <phoneticPr fontId="56"/>
  </si>
  <si>
    <t>J</t>
    <phoneticPr fontId="56"/>
  </si>
  <si>
    <t>X*{R6release}*R5率</t>
    <rPh sb="16" eb="17">
      <t>リツ</t>
    </rPh>
    <phoneticPr fontId="56"/>
  </si>
  <si>
    <t>ハズレで確率を整える</t>
    <rPh sb="4" eb="6">
      <t>カクリツ</t>
    </rPh>
    <rPh sb="7" eb="8">
      <t>トトノエル</t>
    </rPh>
    <phoneticPr fontId="56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</si>
  <si>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6"/>
  </si>
  <si>
    <t>A + C</t>
    <phoneticPr fontId="56"/>
  </si>
  <si>
    <t>=</t>
    <phoneticPr fontId="56"/>
  </si>
  <si>
    <t>50%-H</t>
    <phoneticPr fontId="56"/>
  </si>
  <si>
    <t>①</t>
    <phoneticPr fontId="56"/>
  </si>
  <si>
    <t>B + D + F</t>
    <phoneticPr fontId="56"/>
  </si>
  <si>
    <t>45%-I-K</t>
    <phoneticPr fontId="56"/>
  </si>
  <si>
    <t>②</t>
    <phoneticPr fontId="56"/>
  </si>
  <si>
    <t>E+G</t>
    <phoneticPr fontId="56"/>
  </si>
  <si>
    <t>5%-J-L-M</t>
    <phoneticPr fontId="56"/>
  </si>
  <si>
    <t>③</t>
    <phoneticPr fontId="56"/>
  </si>
  <si>
    <t>A+B</t>
    <phoneticPr fontId="56"/>
  </si>
  <si>
    <t>Y*{W}</t>
    <phoneticPr fontId="56"/>
  </si>
  <si>
    <t>④</t>
    <phoneticPr fontId="56"/>
  </si>
  <si>
    <t>C+D+E</t>
    <phoneticPr fontId="56"/>
  </si>
  <si>
    <t>Y*{N,S}</t>
    <phoneticPr fontId="56"/>
  </si>
  <si>
    <t>⑤</t>
    <phoneticPr fontId="56"/>
  </si>
  <si>
    <t>F+G</t>
    <phoneticPr fontId="56"/>
  </si>
  <si>
    <t>Y*{N,S R3less}</t>
    <phoneticPr fontId="56"/>
  </si>
  <si>
    <t>⑥</t>
    <phoneticPr fontId="56"/>
  </si>
  <si>
    <t>A+B+C+D+E+F+G</t>
    <phoneticPr fontId="56"/>
  </si>
  <si>
    <t>⑦</t>
    <phoneticPr fontId="56"/>
  </si>
  <si>
    <t>←これは4,5,6で作れるのでダメだわ</t>
    <rPh sb="10" eb="11">
      <t>ツクレル</t>
    </rPh>
    <phoneticPr fontId="56"/>
  </si>
  <si>
    <t>E*R3率/R5率</t>
    <rPh sb="4" eb="5">
      <t>リツ</t>
    </rPh>
    <rPh sb="8" eb="9">
      <t>リツ</t>
    </rPh>
    <phoneticPr fontId="56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</si>
  <si>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6"/>
  </si>
  <si>
    <t>E*R4率/R5率</t>
    <rPh sb="4" eb="5">
      <t>リツ</t>
    </rPh>
    <rPh sb="8" eb="9">
      <t>リツ</t>
    </rPh>
    <phoneticPr fontId="56"/>
  </si>
  <si>
    <t>∴</t>
    <phoneticPr fontId="56"/>
  </si>
  <si>
    <t>E</t>
    <phoneticPr fontId="56"/>
  </si>
  <si>
    <t>Y*{N,S}*R5率</t>
    <rPh sb="10" eb="11">
      <t>リツ</t>
    </rPh>
    <phoneticPr fontId="56"/>
  </si>
  <si>
    <t>Y*{N,S}*R4率</t>
    <rPh sb="10" eb="11">
      <t>リツ</t>
    </rPh>
    <phoneticPr fontId="56"/>
  </si>
  <si>
    <t>Y*{N,S}*R3率</t>
    <rPh sb="10" eb="11">
      <t>リツ</t>
    </rPh>
    <phoneticPr fontId="56"/>
  </si>
  <si>
    <t>50%-H-C</t>
    <phoneticPr fontId="56"/>
  </si>
  <si>
    <t>Y*{W}-A</t>
    <phoneticPr fontId="56"/>
  </si>
  <si>
    <t>5%-J-L-M-E</t>
    <phoneticPr fontId="56"/>
  </si>
  <si>
    <t>Y*{N,S R3less} - G</t>
    <phoneticPr fontId="56"/>
  </si>
  <si>
    <t>R6境界前後</t>
    <rPh sb="2" eb="4">
      <t>キョウカイ</t>
    </rPh>
    <rPh sb="4" eb="6">
      <t>ゼンゴ</t>
    </rPh>
    <phoneticPr fontId="23"/>
  </si>
  <si>
    <t>R6事後開放N,S</t>
    <rPh sb="2" eb="6">
      <t>ジゴカイホウ</t>
    </rPh>
    <phoneticPr fontId="23"/>
  </si>
  <si>
    <t>PremiumW3</t>
    <phoneticPr fontId="23"/>
  </si>
  <si>
    <t>PremiumW4</t>
    <phoneticPr fontId="23"/>
  </si>
  <si>
    <t>ラベル確率</t>
    <rPh sb="3" eb="5">
      <t>カクリツ</t>
    </rPh>
    <phoneticPr fontId="23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</si>
  <si>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</si>
  <si>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</si>
  <si>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</si>
  <si>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</si>
  <si>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</si>
  <si>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3"/>
  </si>
  <si>
    <t>PremiumSS5R5only</t>
  </si>
  <si>
    <t>計算用中間データ</t>
    <rPh sb="0" eb="3">
      <t>ケイサンヨウ</t>
    </rPh>
    <rPh sb="3" eb="5">
      <t>チュウカン</t>
    </rPh>
    <phoneticPr fontId="23"/>
  </si>
  <si>
    <t>X</t>
    <phoneticPr fontId="23"/>
  </si>
  <si>
    <t>Y</t>
    <phoneticPr fontId="23"/>
  </si>
  <si>
    <t>対象数</t>
    <rPh sb="0" eb="3">
      <t>タイショウスウ</t>
    </rPh>
    <phoneticPr fontId="23"/>
  </si>
  <si>
    <t>PremiumW</t>
    <phoneticPr fontId="23"/>
  </si>
  <si>
    <t>PremiumN</t>
    <phoneticPr fontId="23"/>
  </si>
  <si>
    <t>PremiumS</t>
    <phoneticPr fontId="23"/>
  </si>
  <si>
    <t>PremiumSS</t>
    <phoneticPr fontId="23"/>
  </si>
  <si>
    <t>←R6分はここから差し引く</t>
    <rPh sb="3" eb="4">
      <t>ブン</t>
    </rPh>
    <rPh sb="9" eb="10">
      <t>サシヒク</t>
    </rPh>
    <phoneticPr fontId="23"/>
  </si>
  <si>
    <t>除外確率</t>
    <rPh sb="0" eb="2">
      <t>ジョガイ</t>
    </rPh>
    <rPh sb="2" eb="4">
      <t>カクリツ</t>
    </rPh>
    <phoneticPr fontId="23"/>
  </si>
  <si>
    <t>除外数</t>
    <rPh sb="0" eb="3">
      <t>ジョガイスウ</t>
    </rPh>
    <phoneticPr fontId="23"/>
  </si>
  <si>
    <t>もうここは手で入れよう…</t>
    <rPh sb="5" eb="6">
      <t>テ</t>
    </rPh>
    <rPh sb="7" eb="8">
      <t>イレヨウ</t>
    </rPh>
    <phoneticPr fontId="23"/>
  </si>
  <si>
    <t>通常weight</t>
    <rPh sb="0" eb="2">
      <t>ツウジョウ</t>
    </rPh>
    <phoneticPr fontId="23"/>
  </si>
  <si>
    <t>A</t>
    <phoneticPr fontId="23"/>
  </si>
  <si>
    <t>B</t>
    <phoneticPr fontId="23"/>
  </si>
  <si>
    <t>PremiumW4</t>
    <phoneticPr fontId="23"/>
  </si>
  <si>
    <t>C</t>
    <phoneticPr fontId="23"/>
  </si>
  <si>
    <t>Premium3</t>
    <phoneticPr fontId="23"/>
  </si>
  <si>
    <t>D</t>
    <phoneticPr fontId="23"/>
  </si>
  <si>
    <t>Premium4</t>
    <phoneticPr fontId="23"/>
  </si>
  <si>
    <t>E</t>
    <phoneticPr fontId="23"/>
  </si>
  <si>
    <t>Premium5</t>
    <phoneticPr fontId="23"/>
  </si>
  <si>
    <t>F</t>
    <phoneticPr fontId="23"/>
  </si>
  <si>
    <t>Premium4R3less</t>
    <phoneticPr fontId="23"/>
  </si>
  <si>
    <t>G</t>
    <phoneticPr fontId="23"/>
  </si>
  <si>
    <t>Premium5R3less</t>
    <phoneticPr fontId="23"/>
  </si>
  <si>
    <t>H</t>
    <phoneticPr fontId="23"/>
  </si>
  <si>
    <t>I</t>
    <phoneticPr fontId="23"/>
  </si>
  <si>
    <t>J</t>
    <phoneticPr fontId="23"/>
  </si>
  <si>
    <t>K</t>
    <phoneticPr fontId="23"/>
  </si>
  <si>
    <t>Premium3R6release</t>
    <phoneticPr fontId="23"/>
  </si>
  <si>
    <t>Premium4R6release</t>
    <phoneticPr fontId="23"/>
  </si>
  <si>
    <t>Premium5R6release</t>
    <phoneticPr fontId="23"/>
  </si>
  <si>
    <t>PremiumSS4</t>
    <phoneticPr fontId="23"/>
  </si>
  <si>
    <t>PremiumSS5</t>
    <phoneticPr fontId="23"/>
  </si>
  <si>
    <t>L</t>
    <phoneticPr fontId="23"/>
  </si>
  <si>
    <t>M</t>
    <phoneticPr fontId="23"/>
  </si>
  <si>
    <t>PremiumSS5R5only</t>
    <phoneticPr fontId="23"/>
  </si>
  <si>
    <t>50% - H - C</t>
    <phoneticPr fontId="23"/>
  </si>
  <si>
    <t>PremiumSSS4R3less</t>
    <phoneticPr fontId="23"/>
  </si>
  <si>
    <t>PremiumSSS5R3less</t>
    <phoneticPr fontId="23"/>
  </si>
  <si>
    <t>skip</t>
    <phoneticPr fontId="23"/>
  </si>
  <si>
    <t>通常確率</t>
    <phoneticPr fontId="23"/>
  </si>
  <si>
    <t>通常確率</t>
    <phoneticPr fontId="23"/>
  </si>
  <si>
    <t>tables_363104</t>
    <phoneticPr fontId="23"/>
  </si>
  <si>
    <t>tables_363105</t>
    <phoneticPr fontId="23"/>
  </si>
  <si>
    <t>tables_363100</t>
    <phoneticPr fontId="23"/>
  </si>
  <si>
    <t>old</t>
    <phoneticPr fontId="23"/>
  </si>
  <si>
    <t>gacha_settle_tables_</t>
    <phoneticPr fontId="23"/>
  </si>
  <si>
    <t>.tmp</t>
    <phoneticPr fontId="56"/>
  </si>
  <si>
    <t>tables_settle_443100</t>
    <phoneticPr fontId="23"/>
  </si>
  <si>
    <t>PremiumSSw</t>
    <phoneticPr fontId="23"/>
  </si>
  <si>
    <t>PremiumSSw</t>
    <phoneticPr fontId="23"/>
  </si>
  <si>
    <t>skip</t>
    <phoneticPr fontId="23"/>
  </si>
  <si>
    <t>tables_532100</t>
    <phoneticPr fontId="23"/>
  </si>
  <si>
    <t>tables_532010</t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</si>
</sst>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2" fillId="0" borderId="0"/>
    <xf numFmtId="0" fontId="26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1" fillId="0" borderId="0"/>
    <xf numFmtId="0" fontId="33" fillId="5" borderId="2" applyNumberFormat="0" applyAlignment="0" applyProtection="0"/>
    <xf numFmtId="0" fontId="34" fillId="6" borderId="0" applyNumberFormat="0" applyBorder="0" applyAlignment="0" applyProtection="0"/>
    <xf numFmtId="0" fontId="35" fillId="7" borderId="3" applyNumberFormat="0" applyAlignment="0" applyProtection="0"/>
    <xf numFmtId="0" fontId="36" fillId="0" borderId="0" applyNumberFormat="0" applyFill="0" applyBorder="0" applyAlignment="0" applyProtection="0"/>
    <xf numFmtId="0" fontId="37" fillId="8" borderId="0" applyNumberFormat="0" applyBorder="0" applyAlignment="0" applyProtection="0"/>
    <xf numFmtId="0" fontId="38" fillId="9" borderId="4" applyNumberFormat="0" applyAlignment="0" applyProtection="0"/>
    <xf numFmtId="0" fontId="39" fillId="0" borderId="0" applyNumberFormat="0" applyFill="0" applyBorder="0" applyAlignment="0" applyProtection="0"/>
    <xf numFmtId="0" fontId="40" fillId="0" borderId="5" applyNumberFormat="0" applyFill="0" applyAlignment="0" applyProtection="0"/>
    <xf numFmtId="0" fontId="41" fillId="0" borderId="6" applyNumberFormat="0" applyFill="0" applyAlignment="0" applyProtection="0"/>
    <xf numFmtId="0" fontId="42" fillId="0" borderId="7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0" applyNumberFormat="0" applyBorder="0" applyAlignment="0" applyProtection="0"/>
    <xf numFmtId="0" fontId="43" fillId="6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1" borderId="0" applyNumberFormat="0" applyBorder="0" applyAlignment="0" applyProtection="0"/>
    <xf numFmtId="0" fontId="4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3" borderId="0" applyNumberFormat="0" applyBorder="0" applyAlignment="0" applyProtection="0"/>
    <xf numFmtId="0" fontId="43" fillId="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4" borderId="0" applyNumberFormat="0" applyBorder="0" applyAlignment="0" applyProtection="0"/>
    <xf numFmtId="0" fontId="44" fillId="6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5" fillId="17" borderId="0" applyNumberFormat="0" applyBorder="0" applyAlignment="0" applyProtection="0"/>
    <xf numFmtId="0" fontId="34" fillId="6" borderId="0" applyNumberFormat="0" applyBorder="0" applyAlignment="0" applyProtection="0"/>
    <xf numFmtId="0" fontId="46" fillId="0" borderId="8" applyNumberFormat="0" applyFill="0" applyAlignment="0" applyProtection="0"/>
    <xf numFmtId="0" fontId="47" fillId="7" borderId="9" applyNumberFormat="0" applyAlignment="0" applyProtection="0"/>
    <xf numFmtId="0" fontId="47" fillId="18" borderId="9" applyNumberFormat="0" applyAlignment="0" applyProtection="0"/>
    <xf numFmtId="0" fontId="35" fillId="6" borderId="3" applyNumberFormat="0" applyAlignment="0" applyProtection="0"/>
    <xf numFmtId="0" fontId="48" fillId="0" borderId="10" applyNumberFormat="0" applyFill="0" applyAlignment="0" applyProtection="0"/>
    <xf numFmtId="0" fontId="49" fillId="18" borderId="3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11" applyNumberFormat="0" applyFill="0" applyAlignment="0" applyProtection="0"/>
    <xf numFmtId="38" fontId="21" fillId="0" borderId="0" applyFont="0" applyFill="0" applyBorder="0" applyAlignment="0" applyProtection="0">
      <alignment vertical="center"/>
    </xf>
    <xf numFmtId="0" fontId="52" fillId="19" borderId="0" applyNumberFormat="0" applyBorder="0" applyAlignment="0" applyProtection="0"/>
    <xf numFmtId="0" fontId="53" fillId="20" borderId="0" applyNumberFormat="0" applyBorder="0" applyAlignment="0" applyProtection="0"/>
    <xf numFmtId="0" fontId="21" fillId="0" borderId="0"/>
    <xf numFmtId="0" fontId="54" fillId="20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/>
    <xf numFmtId="0" fontId="57" fillId="0" borderId="0">
      <alignment vertical="center"/>
    </xf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9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38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</cellStyleXfs>
  <cellXfs count="102">
    <xf numFmtId="0" fontId="0" fillId="0" borderId="0" xfId="0"/>
    <xf numFmtId="0" fontId="28" fillId="0" borderId="0" xfId="2" applyFont="1" applyAlignment="1">
      <alignment vertical="center"/>
    </xf>
    <xf numFmtId="0" fontId="28" fillId="0" borderId="1" xfId="2" applyFont="1" applyBorder="1" applyAlignment="1">
      <alignment vertical="center"/>
    </xf>
    <xf numFmtId="0" fontId="28" fillId="3" borderId="1" xfId="2" applyFont="1" applyFill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4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horizontal="right" vertical="center"/>
    </xf>
    <xf numFmtId="0" fontId="28" fillId="3" borderId="1" xfId="2" applyFont="1" applyFill="1" applyBorder="1" applyAlignment="1">
      <alignment vertical="center"/>
    </xf>
    <xf numFmtId="0" fontId="29" fillId="4" borderId="1" xfId="0" applyFont="1" applyFill="1" applyBorder="1" applyAlignment="1">
      <alignment vertical="center"/>
    </xf>
    <xf numFmtId="0" fontId="28" fillId="0" borderId="13" xfId="2" applyFont="1" applyBorder="1" applyAlignment="1">
      <alignment vertical="center"/>
    </xf>
    <xf numFmtId="0" fontId="27" fillId="4" borderId="12" xfId="0" applyFont="1" applyFill="1" applyBorder="1" applyAlignment="1">
      <alignment horizontal="right" vertical="center"/>
    </xf>
    <xf numFmtId="0" fontId="27" fillId="4" borderId="14" xfId="0" applyFont="1" applyFill="1" applyBorder="1" applyAlignment="1">
      <alignment horizontal="right" vertical="center"/>
    </xf>
    <xf numFmtId="0" fontId="28" fillId="0" borderId="15" xfId="2" applyFont="1" applyBorder="1" applyAlignment="1">
      <alignment vertical="center"/>
    </xf>
    <xf numFmtId="0" fontId="28" fillId="2" borderId="1" xfId="2" applyFont="1" applyFill="1" applyBorder="1" applyAlignment="1">
      <alignment horizontal="left" vertical="center"/>
    </xf>
    <xf numFmtId="0" fontId="55" fillId="21" borderId="1" xfId="0" applyFont="1" applyFill="1" applyBorder="1" applyAlignment="1">
      <alignment horizontal="left" vertical="center"/>
    </xf>
    <xf numFmtId="0" fontId="28" fillId="2" borderId="1" xfId="2" applyFont="1" applyFill="1" applyBorder="1" applyAlignment="1">
      <alignment horizontal="center" vertical="center"/>
    </xf>
    <xf numFmtId="0" fontId="30" fillId="22" borderId="1" xfId="2978" applyFont="1" applyFill="1" applyBorder="1"/>
    <xf numFmtId="0" fontId="16" fillId="22" borderId="1" xfId="2978" applyFill="1" applyBorder="1"/>
    <xf numFmtId="0" fontId="16" fillId="0" borderId="0" xfId="2978"/>
    <xf numFmtId="0" fontId="16" fillId="0" borderId="1" xfId="2978" applyBorder="1"/>
    <xf numFmtId="0" fontId="16" fillId="2" borderId="1" xfId="2978" applyFill="1" applyBorder="1"/>
    <xf numFmtId="0" fontId="20" fillId="2" borderId="1" xfId="19" applyFont="1" applyFill="1" applyBorder="1"/>
    <xf numFmtId="0" fontId="21" fillId="2" borderId="1" xfId="19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5" fillId="0" borderId="1" xfId="2978" applyFont="1" applyBorder="1"/>
    <xf numFmtId="0" fontId="30" fillId="22" borderId="1" xfId="0" applyFont="1" applyFill="1" applyBorder="1"/>
    <xf numFmtId="0" fontId="55" fillId="23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vertical="center"/>
    </xf>
    <xf numFmtId="0" fontId="0" fillId="4" borderId="0" xfId="0" applyFill="1"/>
    <xf numFmtId="0" fontId="13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2" fillId="2" borderId="1" xfId="19" applyFont="1" applyFill="1" applyBorder="1"/>
    <xf numFmtId="0" fontId="12" fillId="4" borderId="1" xfId="2978" applyFont="1" applyFill="1" applyBorder="1"/>
    <xf numFmtId="0" fontId="0" fillId="2" borderId="0" xfId="0" applyFill="1"/>
    <xf numFmtId="0" fontId="55" fillId="30" borderId="1" xfId="0" applyFont="1" applyFill="1" applyBorder="1" applyAlignment="1">
      <alignment horizontal="left" vertical="center"/>
    </xf>
    <xf numFmtId="0" fontId="28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7" fillId="25" borderId="1" xfId="0" applyFont="1" applyFill="1" applyBorder="1" applyAlignment="1">
      <alignment horizontal="right" vertical="center"/>
    </xf>
    <xf numFmtId="0" fontId="11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0" fillId="0" borderId="0" xfId="3662"/>
    <xf numFmtId="0" fontId="10" fillId="4" borderId="0" xfId="3662" applyFill="1"/>
    <xf numFmtId="9" fontId="10" fillId="0" borderId="0" xfId="3662" applyNumberFormat="1"/>
    <xf numFmtId="0" fontId="10" fillId="0" borderId="0" xfId="3662" applyFill="1"/>
    <xf numFmtId="9" fontId="10" fillId="0" borderId="0" xfId="3662" applyNumberFormat="1" applyAlignment="1"/>
    <xf numFmtId="0" fontId="10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9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0" fillId="32" borderId="1" xfId="0" applyNumberFormat="1" applyFont="1" applyFill="1" applyBorder="1"/>
    <xf numFmtId="38" fontId="28" fillId="4" borderId="1" xfId="3663" quotePrefix="1" applyFont="1" applyFill="1" applyBorder="1" applyAlignment="1">
      <alignment vertical="center"/>
    </xf>
    <xf numFmtId="0" fontId="55" fillId="0" borderId="1" xfId="0" applyFont="1" applyBorder="1" applyAlignment="1">
      <alignment vertical="center"/>
    </xf>
    <xf numFmtId="0" fontId="55" fillId="0" borderId="1" xfId="0" applyFont="1" applyBorder="1" applyAlignment="1">
      <alignment vertical="center" wrapText="1"/>
    </xf>
    <xf numFmtId="0" fontId="28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9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8" fillId="0" borderId="0" xfId="2" applyFont="1" applyFill="1" applyBorder="1" applyAlignment="1">
      <alignment vertical="center"/>
    </xf>
    <xf numFmtId="0" fontId="8" fillId="0" borderId="1" xfId="3036" applyFont="1" applyBorder="1"/>
    <xf numFmtId="0" fontId="27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7" fillId="4" borderId="1" xfId="2978" applyFont="1" applyFill="1" applyBorder="1"/>
    <xf numFmtId="0" fontId="7" fillId="0" borderId="1" xfId="3036" applyFont="1" applyBorder="1"/>
    <xf numFmtId="0" fontId="6" fillId="0" borderId="1" xfId="3036" applyFont="1" applyBorder="1"/>
    <xf numFmtId="0" fontId="29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5" fillId="4" borderId="1" xfId="2978" applyFont="1" applyFill="1" applyBorder="1"/>
    <xf numFmtId="0" fontId="28" fillId="3" borderId="14" xfId="2" applyFont="1" applyFill="1" applyBorder="1" applyAlignment="1">
      <alignment vertical="center"/>
    </xf>
    <xf numFmtId="0" fontId="4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0" fontId="28" fillId="4" borderId="0" xfId="2" applyFont="1" applyFill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3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3" sqref="D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532100</v>
      </c>
      <c r="D2" s="19" t="s">
        <v>45</v>
      </c>
      <c r="E2" s="17" t="str">
        <f t="shared" ref="E2" si="1">B2&amp;C2&amp;D2</f>
        <v>gacha_select_tables_532100.tmp</v>
      </c>
      <c r="F2" s="100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532010</v>
      </c>
      <c r="D3" s="19" t="s">
        <v>45</v>
      </c>
      <c r="E3" s="17" t="str">
        <f t="shared" ref="E3:E10" si="3">B3&amp;C3&amp;D3</f>
        <v>gacha_select_tables_532010.tmp</v>
      </c>
      <c r="F3" s="100" t="s">
        <v>255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253</v>
      </c>
      <c r="B4" s="95" t="s">
        <v>248</v>
      </c>
      <c r="C4" s="96" t="str">
        <f t="shared" si="2"/>
        <v>443100</v>
      </c>
      <c r="D4" s="19" t="s">
        <v>249</v>
      </c>
      <c r="E4" s="17" t="str">
        <f t="shared" si="3"/>
        <v>gacha_settle_tables_443100.tmp</v>
      </c>
      <c r="F4" s="98" t="s">
        <v>250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20" sqref="B2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VLOOKUP(L3,tables_532010!B:C,2,FALSE)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VLOOKUP(L4,tables_532010!B:C,2,FALSE)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6.9444444444444447E-4</v>
      </c>
      <c r="F5">
        <f>(COUNTIF(tables_532010!C:C,input_532010!A28)+COUNTIF(tables_532010!C:C,input_532010!A29))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VLOOKUP(L5,tables_532010!B:C,2,FALSE)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9.8958333333333329E-3</v>
      </c>
      <c r="F6">
        <f>(COUNTIF(tables_532010!C:C,input_532010!A25)+COUNTIF(tables_532010!C:C,input_532010!A18)+COUNTIF(tables_532010!C:C,input_532010!A20)+COUNTIF(tables_532010!C:C,input_532010!A22))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VLOOKUP(L6,tables_532010!B:C,2,FALSE)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VLOOKUP(L7,tables_532010!B:C,2,FALSE)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VLOOKUP(L8,tables_532010!B:C,2,FALSE)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VLOOKUP(L9,tables_532010!B:C,2,FALSE)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VLOOKUP(L10,tables_532010!B:C,2,FALSE)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VLOOKUP(L11,tables_532010!B:C,2,FALSE)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0.22291666666666671</v>
      </c>
      <c r="C17" s="85">
        <f t="shared" ref="C17:C31" si="2">SUMIF(Q:Q,A17,N:N)</f>
        <v>0</v>
      </c>
      <c r="D17" s="74">
        <f t="shared" ref="D17:D32" si="3">B17-C17</f>
        <v>0.22291666666666671</v>
      </c>
      <c r="E17">
        <f>COUNTIF(tables_532010!C:C,input_532010!A17)-COUNTIF(Q:Q,A17)</f>
        <v>20</v>
      </c>
      <c r="F17" s="43">
        <f>IFERROR(B17/E17,0)</f>
        <v>1.1145833333333336E-2</v>
      </c>
      <c r="G17">
        <f t="shared" ref="G17:G31" si="4">A$36*B17</f>
        <v>1284000.0000000002</v>
      </c>
      <c r="H17">
        <f t="shared" ref="H17:H31" si="5">IFERROR(ROUND(G17/E17,5),0)</f>
        <v>64200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7.1006944444444442E-3</v>
      </c>
      <c r="C18" s="85">
        <f t="shared" si="2"/>
        <v>0</v>
      </c>
      <c r="D18" s="74">
        <f t="shared" si="3"/>
        <v>7.1006944444444442E-3</v>
      </c>
      <c r="E18">
        <f>COUNTIF(tables_532010!C:C,input_532010!A18)-COUNTIF(Q:Q,A18)</f>
        <v>20</v>
      </c>
      <c r="F18" s="43">
        <f>IFERROR(B18/E18,0)</f>
        <v>3.5503472222222219E-4</v>
      </c>
      <c r="G18">
        <f t="shared" si="4"/>
        <v>40900</v>
      </c>
      <c r="H18">
        <f t="shared" si="5"/>
        <v>2045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0.25729166666666664</v>
      </c>
      <c r="C19" s="85">
        <f t="shared" si="2"/>
        <v>0</v>
      </c>
      <c r="D19" s="74">
        <f t="shared" si="3"/>
        <v>0.25729166666666664</v>
      </c>
      <c r="E19">
        <f>COUNTIF(tables_532010!C:C,input_532010!A19)-COUNTIF(Q:Q,A19)</f>
        <v>52</v>
      </c>
      <c r="F19" s="43">
        <f t="shared" ref="F19:F31" si="8">IFERROR(B19/E19,0)</f>
        <v>4.9479166666666664E-3</v>
      </c>
      <c r="G19">
        <f t="shared" si="4"/>
        <v>1481999.9999999998</v>
      </c>
      <c r="H19">
        <f t="shared" si="5"/>
        <v>28500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E$6*E20*B$6-0.01</f>
        <v>0.22156249999999997</v>
      </c>
      <c r="C20" s="85">
        <f t="shared" si="2"/>
        <v>0</v>
      </c>
      <c r="D20" s="74">
        <f t="shared" si="3"/>
        <v>0.22156249999999997</v>
      </c>
      <c r="E20">
        <f>COUNTIF(tables_532010!C:C,input_532010!A20)-COUNTIF(Q:Q,A20)</f>
        <v>52</v>
      </c>
      <c r="F20" s="43">
        <f t="shared" si="8"/>
        <v>4.2608173076923075E-3</v>
      </c>
      <c r="G20">
        <f t="shared" si="4"/>
        <v>1276199.9999999998</v>
      </c>
      <c r="H20">
        <f t="shared" si="5"/>
        <v>24542.307690000001</v>
      </c>
      <c r="I20">
        <f t="shared" si="6"/>
        <v>0.30769000000145752</v>
      </c>
      <c r="J20">
        <f t="shared" si="7"/>
        <v>3.2500243751674187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3.6284722222222274E-3</v>
      </c>
      <c r="C21" s="85">
        <f t="shared" si="2"/>
        <v>0</v>
      </c>
      <c r="D21" s="74">
        <f t="shared" si="3"/>
        <v>3.6284722222222274E-3</v>
      </c>
      <c r="E21">
        <f>COUNTIF(tables_532010!C:C,input_532010!A21)-COUNTIF(Q:Q,A21)</f>
        <v>52</v>
      </c>
      <c r="F21" s="43">
        <f t="shared" si="8"/>
        <v>6.9778311965812065E-5</v>
      </c>
      <c r="G21">
        <f t="shared" si="4"/>
        <v>20900.000000000029</v>
      </c>
      <c r="H21">
        <f t="shared" si="5"/>
        <v>401.92308000000003</v>
      </c>
      <c r="I21">
        <f t="shared" si="6"/>
        <v>0.92308000000002721</v>
      </c>
      <c r="J21">
        <f t="shared" si="7"/>
        <v>1.0833297222342273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0.18505208333333334</v>
      </c>
      <c r="C22" s="85">
        <f t="shared" si="2"/>
        <v>0</v>
      </c>
      <c r="D22" s="74">
        <f t="shared" si="3"/>
        <v>0.18505208333333334</v>
      </c>
      <c r="E22">
        <f>COUNTIF(tables_532010!C:C,input_532010!A22)-COUNTIF(Q:Q,A22)</f>
        <v>20</v>
      </c>
      <c r="F22" s="43">
        <f t="shared" si="8"/>
        <v>9.2526041666666677E-3</v>
      </c>
      <c r="G22">
        <f t="shared" si="4"/>
        <v>1065900</v>
      </c>
      <c r="H22">
        <f t="shared" si="5"/>
        <v>53295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1.2864583333333332E-2</v>
      </c>
      <c r="C23" s="85">
        <f t="shared" si="2"/>
        <v>0</v>
      </c>
      <c r="D23" s="74">
        <f t="shared" si="3"/>
        <v>1.2864583333333332E-2</v>
      </c>
      <c r="E23">
        <f>COUNTIF(tables_532010!C:C,input_532010!A23)-COUNTIF(Q:Q,A23)</f>
        <v>26</v>
      </c>
      <c r="F23" s="43">
        <f t="shared" si="8"/>
        <v>4.947916666666666E-4</v>
      </c>
      <c r="G23">
        <f t="shared" si="4"/>
        <v>74099.999999999985</v>
      </c>
      <c r="H23">
        <f t="shared" si="5"/>
        <v>2850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1.9791666666666666E-2</v>
      </c>
      <c r="C24" s="85">
        <f t="shared" si="2"/>
        <v>0</v>
      </c>
      <c r="D24" s="74">
        <f t="shared" si="3"/>
        <v>1.9791666666666666E-2</v>
      </c>
      <c r="E24">
        <f>COUNTIF(tables_532010!C:C,input_532010!A24)-COUNTIF(Q:Q,A24)</f>
        <v>4</v>
      </c>
      <c r="F24" s="43">
        <f t="shared" si="8"/>
        <v>4.9479166666666664E-3</v>
      </c>
      <c r="G24">
        <f t="shared" si="4"/>
        <v>114000</v>
      </c>
      <c r="H24">
        <f t="shared" si="5"/>
        <v>28500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1.7812499999999998E-2</v>
      </c>
      <c r="C25" s="85">
        <f t="shared" si="2"/>
        <v>0</v>
      </c>
      <c r="D25" s="74">
        <f t="shared" si="3"/>
        <v>1.7812499999999998E-2</v>
      </c>
      <c r="E25">
        <f>COUNTIF(tables_532010!C:C,input_532010!A25)-COUNTIF(Q:Q,A25)</f>
        <v>4</v>
      </c>
      <c r="F25" s="43">
        <f t="shared" si="8"/>
        <v>4.4531249999999996E-3</v>
      </c>
      <c r="G25">
        <f t="shared" si="4"/>
        <v>102599.99999999999</v>
      </c>
      <c r="H25">
        <f t="shared" si="5"/>
        <v>25650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1.9791666666666668E-3</v>
      </c>
      <c r="C26" s="85">
        <f t="shared" si="2"/>
        <v>0</v>
      </c>
      <c r="D26" s="74">
        <f t="shared" si="3"/>
        <v>1.9791666666666668E-3</v>
      </c>
      <c r="E26">
        <f>COUNTIF(tables_532010!C:C,input_532010!A26)-COUNTIF(Q:Q,A26)</f>
        <v>4</v>
      </c>
      <c r="F26" s="43">
        <f t="shared" si="8"/>
        <v>4.9479166666666671E-4</v>
      </c>
      <c r="G26">
        <f t="shared" si="4"/>
        <v>11400.000000000002</v>
      </c>
      <c r="H26">
        <f t="shared" si="5"/>
        <v>2850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1.8472222222222223E-2</v>
      </c>
      <c r="C27" s="85">
        <f t="shared" si="2"/>
        <v>0</v>
      </c>
      <c r="D27" s="74">
        <f t="shared" si="3"/>
        <v>1.8472222222222223E-2</v>
      </c>
      <c r="E27">
        <f>COUNTIF(tables_532010!C:C,input_532010!A27)-COUNTIF(Q:Q,A27)</f>
        <v>28</v>
      </c>
      <c r="F27" s="43">
        <f>IFERROR(B27/E27,0)</f>
        <v>6.5972222222222224E-4</v>
      </c>
      <c r="G27">
        <f t="shared" si="4"/>
        <v>106400</v>
      </c>
      <c r="H27">
        <f t="shared" si="5"/>
        <v>3800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9.722222222222223E-4</v>
      </c>
      <c r="C28" s="85">
        <f t="shared" si="2"/>
        <v>0</v>
      </c>
      <c r="D28" s="74">
        <f t="shared" si="3"/>
        <v>9.722222222222223E-4</v>
      </c>
      <c r="E28">
        <f>COUNTIF(tables_532010!C:C,input_532010!A28)-COUNTIF(Q:Q,A28)</f>
        <v>28</v>
      </c>
      <c r="F28" s="43">
        <f t="shared" si="8"/>
        <v>3.4722222222222222E-5</v>
      </c>
      <c r="G28">
        <f t="shared" si="4"/>
        <v>5600.0000000000009</v>
      </c>
      <c r="H28">
        <f t="shared" si="5"/>
        <v>200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COUNTIF(tables_532010!C:C,input_532010!A29)-COUNTIF(Q:Q,A29)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COUNTIF(tables_532010!C:C,input_532010!A30)-COUNTIF(Q:Q,A30)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COUNTIF(tables_532010!C:C,input_532010!A31)-COUNTIF(Q:Q,A31)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SUMIF(tables_532010!C:C,input_532010!A40,tables_532010!O:O)</f>
        <v>1482000</v>
      </c>
      <c r="C40" s="54">
        <f t="shared" ref="C40:C46" ca="1" si="9">B40/B$47</f>
        <v>0.51260765797775787</v>
      </c>
      <c r="E40">
        <v>3</v>
      </c>
      <c r="F40">
        <f ca="1">SUMIF(tables_532010!J:J,input_532010!E40,tables_532010!O:O)</f>
        <v>2880000</v>
      </c>
      <c r="G40">
        <f ca="1">F40/A36</f>
        <v>0.5</v>
      </c>
    </row>
    <row r="41" spans="1:7" x14ac:dyDescent="0.15">
      <c r="A41" s="33" t="s">
        <v>104</v>
      </c>
      <c r="B41">
        <f ca="1">SUMIF(tables_532010!C:C,input_532010!A41,tables_532010!O:O)</f>
        <v>1276199.99988</v>
      </c>
      <c r="C41" s="54">
        <f t="shared" ca="1" si="9"/>
        <v>0.44142367952071637</v>
      </c>
      <c r="E41">
        <v>4</v>
      </c>
      <c r="F41">
        <f ca="1">SUMIF(tables_532010!J:J,input_532010!E41,tables_532010!O:O)</f>
        <v>2591999.9998799996</v>
      </c>
      <c r="G41">
        <f ca="1">F41/A36</f>
        <v>0.44999999997916657</v>
      </c>
    </row>
    <row r="42" spans="1:7" x14ac:dyDescent="0.15">
      <c r="A42" s="33" t="s">
        <v>106</v>
      </c>
      <c r="B42">
        <f ca="1">SUMIF(tables_532010!C:C,input_532010!A42,tables_532010!O:O)</f>
        <v>106400</v>
      </c>
      <c r="C42" s="54">
        <f t="shared" ca="1" si="9"/>
        <v>3.6802601085582615E-2</v>
      </c>
      <c r="E42">
        <v>5</v>
      </c>
      <c r="F42">
        <f ca="1">SUMIF(tables_532010!J:J,input_532010!E42,tables_532010!O:O)</f>
        <v>288000.00016</v>
      </c>
      <c r="G42">
        <f ca="1">F42/A36</f>
        <v>5.0000000027777776E-2</v>
      </c>
    </row>
    <row r="43" spans="1:7" x14ac:dyDescent="0.15">
      <c r="A43" s="33" t="s">
        <v>109</v>
      </c>
      <c r="B43">
        <f>SUMIF(tables_532010!C:C,input_532010!A43,tables_532010!O:O)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SUMIF(tables_532010!C:C,input_532010!A44,tables_532010!O:O)</f>
        <v>20900.000160000018</v>
      </c>
      <c r="C44" s="54">
        <f t="shared" ca="1" si="9"/>
        <v>7.2290824114388487E-3</v>
      </c>
      <c r="E44" t="s">
        <v>54</v>
      </c>
      <c r="F44" s="55"/>
    </row>
    <row r="45" spans="1:7" x14ac:dyDescent="0.15">
      <c r="A45" s="33" t="s">
        <v>107</v>
      </c>
      <c r="B45">
        <f ca="1">SUMIF(tables_532010!C:C,input_532010!A45,tables_532010!O:O)</f>
        <v>5600</v>
      </c>
      <c r="C45" s="54">
        <f t="shared" ca="1" si="9"/>
        <v>1.9369790045043482E-3</v>
      </c>
      <c r="E45" t="s">
        <v>204</v>
      </c>
      <c r="F45" s="55">
        <f ca="1">SUMIF(tables_532010!I:I,input_532010!E45,tables_532010!P:P)</f>
        <v>0.2329861111094928</v>
      </c>
    </row>
    <row r="46" spans="1:7" x14ac:dyDescent="0.15">
      <c r="A46" s="33" t="s">
        <v>108</v>
      </c>
      <c r="B46">
        <f>SUMIF(tables_532010!C:C,input_532010!A46,tables_532010!O:O)</f>
        <v>0</v>
      </c>
      <c r="C46" s="54">
        <f t="shared" ca="1" si="9"/>
        <v>0</v>
      </c>
      <c r="E46" t="s">
        <v>205</v>
      </c>
      <c r="F46" s="55">
        <f ca="1">SUMIF(tables_532010!I:I,input_532010!E46,tables_532010!P:P)</f>
        <v>0.18742220886848995</v>
      </c>
    </row>
    <row r="47" spans="1:7" x14ac:dyDescent="0.15">
      <c r="A47" s="39" t="s">
        <v>59</v>
      </c>
      <c r="B47">
        <f ca="1">SUM(B40:B46)</f>
        <v>2891100.0000399998</v>
      </c>
      <c r="C47" s="55">
        <f ca="1">SUM(C40:C46)</f>
        <v>1</v>
      </c>
      <c r="E47" t="s">
        <v>206</v>
      </c>
      <c r="F47" s="55">
        <f ca="1">SUMIF(tables_532010!I:I,input_532010!E47,tables_532010!P:P)</f>
        <v>0.52959168002236312</v>
      </c>
    </row>
    <row r="48" spans="1:7" x14ac:dyDescent="0.15">
      <c r="E48" t="s">
        <v>207</v>
      </c>
      <c r="F48" s="55">
        <f ca="1">SUMIF(tables_532010!I:I,input_532010!E48,tables_532010!P:P)</f>
        <v>4.374999999969606E-2</v>
      </c>
      <c r="G48" s="55"/>
    </row>
    <row r="49" spans="5:6" x14ac:dyDescent="0.15">
      <c r="E49" t="s">
        <v>251</v>
      </c>
      <c r="F49" s="55">
        <f ca="1">SUMIF(tables_532010!I:I,input_532010!E49,tables_532010!P:P)</f>
        <v>6.2499999999565846E-3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filterMode="1" enableFormatConditionsCalculation="0">
    <tabColor rgb="FF0000FF"/>
    <outlinePr summaryBelow="0" summaryRight="0"/>
  </sheetPr>
  <dimension ref="A1:V355"/>
  <sheetViews>
    <sheetView showGridLines="0" tabSelected="1" zoomScale="75" zoomScaleNormal="75" zoomScalePageLayoutView="75" workbookViewId="0">
      <pane ySplit="1" topLeftCell="A2" activePane="bottomLeft" state="frozen"/>
      <selection activeCell="H276" sqref="H27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input_532010!A$2</f>
        <v>532010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IFERROR(VLOOKUP(B2,input_532010!L:R,7,FALSE),VLOOKUP(tables_532010!C2,input_532010!A:H,8,FALSE))</f>
        <v>64200</v>
      </c>
      <c r="P2" s="46">
        <f t="shared" ref="P2:P65" ca="1" si="1">O2/SUM(O:O)</f>
        <v>1.1145833333255912E-2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input_532010!A$2</f>
        <v>532010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IFERROR(VLOOKUP(B3,input_532010!L:R,7,FALSE),VLOOKUP(tables_532010!C3,input_532010!A:H,8,FALSE))</f>
        <v>2045</v>
      </c>
      <c r="P3" s="46">
        <f t="shared" ca="1" si="1"/>
        <v>3.5503472221975606E-4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input_532010!A$2</f>
        <v>532010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IFERROR(VLOOKUP(B4,input_532010!L:R,7,FALSE),VLOOKUP(tables_532010!C4,input_532010!A:H,8,FALSE))</f>
        <v>64200</v>
      </c>
      <c r="P4" s="46">
        <f t="shared" ca="1" si="1"/>
        <v>1.1145833333255912E-2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input_532010!A$2</f>
        <v>532010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IFERROR(VLOOKUP(B5,input_532010!L:R,7,FALSE),VLOOKUP(tables_532010!C5,input_532010!A:H,8,FALSE))</f>
        <v>2045</v>
      </c>
      <c r="P5" s="46">
        <f t="shared" ca="1" si="1"/>
        <v>3.5503472221975606E-4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input_532010!A$2</f>
        <v>532010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IFERROR(VLOOKUP(B6,input_532010!L:R,7,FALSE),VLOOKUP(tables_532010!C6,input_532010!A:H,8,FALSE))</f>
        <v>64200</v>
      </c>
      <c r="P6" s="46">
        <f t="shared" ca="1" si="1"/>
        <v>1.1145833333255912E-2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input_532010!A$2</f>
        <v>532010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IFERROR(VLOOKUP(B7,input_532010!L:R,7,FALSE),VLOOKUP(tables_532010!C7,input_532010!A:H,8,FALSE))</f>
        <v>2045</v>
      </c>
      <c r="P7" s="46">
        <f t="shared" ca="1" si="1"/>
        <v>3.5503472221975606E-4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input_532010!A$2</f>
        <v>532010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IFERROR(VLOOKUP(B8,input_532010!L:R,7,FALSE),VLOOKUP(tables_532010!C8,input_532010!A:H,8,FALSE))</f>
        <v>64200</v>
      </c>
      <c r="P8" s="46">
        <f t="shared" ca="1" si="1"/>
        <v>1.1145833333255912E-2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input_532010!A$2</f>
        <v>532010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IFERROR(VLOOKUP(B9,input_532010!L:R,7,FALSE),VLOOKUP(tables_532010!C9,input_532010!A:H,8,FALSE))</f>
        <v>2045</v>
      </c>
      <c r="P9" s="46">
        <f t="shared" ca="1" si="1"/>
        <v>3.5503472221975606E-4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input_532010!A$2</f>
        <v>532010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IFERROR(VLOOKUP(B10,input_532010!L:R,7,FALSE),VLOOKUP(tables_532010!C10,input_532010!A:H,8,FALSE))</f>
        <v>64200</v>
      </c>
      <c r="P10" s="46">
        <f t="shared" ca="1" si="1"/>
        <v>1.1145833333255912E-2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input_532010!A$2</f>
        <v>532010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IFERROR(VLOOKUP(B11,input_532010!L:R,7,FALSE),VLOOKUP(tables_532010!C11,input_532010!A:H,8,FALSE))</f>
        <v>2045</v>
      </c>
      <c r="P11" s="46">
        <f t="shared" ca="1" si="1"/>
        <v>3.5503472221975606E-4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input_532010!A$2</f>
        <v>532010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IFERROR(VLOOKUP(B12,input_532010!L:R,7,FALSE),VLOOKUP(tables_532010!C12,input_532010!A:H,8,FALSE))</f>
        <v>64200</v>
      </c>
      <c r="P12" s="46">
        <f t="shared" ca="1" si="1"/>
        <v>1.1145833333255912E-2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input_532010!A$2</f>
        <v>532010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IFERROR(VLOOKUP(B13,input_532010!L:R,7,FALSE),VLOOKUP(tables_532010!C13,input_532010!A:H,8,FALSE))</f>
        <v>2045</v>
      </c>
      <c r="P13" s="46">
        <f t="shared" ca="1" si="1"/>
        <v>3.5503472221975606E-4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input_532010!A$2</f>
        <v>532010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IFERROR(VLOOKUP(B14,input_532010!L:R,7,FALSE),VLOOKUP(tables_532010!C14,input_532010!A:H,8,FALSE))</f>
        <v>64200</v>
      </c>
      <c r="P14" s="46">
        <f t="shared" ca="1" si="1"/>
        <v>1.1145833333255912E-2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input_532010!A$2</f>
        <v>532010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IFERROR(VLOOKUP(B15,input_532010!L:R,7,FALSE),VLOOKUP(tables_532010!C15,input_532010!A:H,8,FALSE))</f>
        <v>2045</v>
      </c>
      <c r="P15" s="46">
        <f t="shared" ca="1" si="1"/>
        <v>3.5503472221975606E-4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input_532010!A$2</f>
        <v>532010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IFERROR(VLOOKUP(B16,input_532010!L:R,7,FALSE),VLOOKUP(tables_532010!C16,input_532010!A:H,8,FALSE))</f>
        <v>64200</v>
      </c>
      <c r="P16" s="46">
        <f t="shared" ca="1" si="1"/>
        <v>1.1145833333255912E-2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input_532010!A$2</f>
        <v>532010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IFERROR(VLOOKUP(B17,input_532010!L:R,7,FALSE),VLOOKUP(tables_532010!C17,input_532010!A:H,8,FALSE))</f>
        <v>2045</v>
      </c>
      <c r="P17" s="46">
        <f t="shared" ca="1" si="1"/>
        <v>3.5503472221975606E-4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input_532010!A$2</f>
        <v>532010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IFERROR(VLOOKUP(B18,input_532010!L:R,7,FALSE),VLOOKUP(tables_532010!C18,input_532010!A:H,8,FALSE))</f>
        <v>64200</v>
      </c>
      <c r="P18" s="46">
        <f t="shared" ca="1" si="1"/>
        <v>1.1145833333255912E-2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input_532010!A$2</f>
        <v>532010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IFERROR(VLOOKUP(B19,input_532010!L:R,7,FALSE),VLOOKUP(tables_532010!C19,input_532010!A:H,8,FALSE))</f>
        <v>2045</v>
      </c>
      <c r="P19" s="46">
        <f t="shared" ca="1" si="1"/>
        <v>3.5503472221975606E-4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input_532010!A$2</f>
        <v>532010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IFERROR(VLOOKUP(B20,input_532010!L:R,7,FALSE),VLOOKUP(tables_532010!C20,input_532010!A:H,8,FALSE))</f>
        <v>64200</v>
      </c>
      <c r="P20" s="46">
        <f t="shared" ca="1" si="1"/>
        <v>1.1145833333255912E-2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input_532010!A$2</f>
        <v>532010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IFERROR(VLOOKUP(B21,input_532010!L:R,7,FALSE),VLOOKUP(tables_532010!C21,input_532010!A:H,8,FALSE))</f>
        <v>2045</v>
      </c>
      <c r="P21" s="46">
        <f t="shared" ca="1" si="1"/>
        <v>3.5503472221975606E-4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input_532010!A$2</f>
        <v>532010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IFERROR(VLOOKUP(B22,input_532010!L:R,7,FALSE),VLOOKUP(tables_532010!C22,input_532010!A:H,8,FALSE))</f>
        <v>64200</v>
      </c>
      <c r="P22" s="46">
        <f t="shared" ca="1" si="1"/>
        <v>1.1145833333255912E-2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input_532010!A$2</f>
        <v>532010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IFERROR(VLOOKUP(B23,input_532010!L:R,7,FALSE),VLOOKUP(tables_532010!C23,input_532010!A:H,8,FALSE))</f>
        <v>2045</v>
      </c>
      <c r="P23" s="46">
        <f t="shared" ca="1" si="1"/>
        <v>3.5503472221975606E-4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input_532010!A$2</f>
        <v>532010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IFERROR(VLOOKUP(B24,input_532010!L:R,7,FALSE),VLOOKUP(tables_532010!C24,input_532010!A:H,8,FALSE))</f>
        <v>64200</v>
      </c>
      <c r="P24" s="46">
        <f t="shared" ca="1" si="1"/>
        <v>1.1145833333255912E-2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input_532010!A$2</f>
        <v>532010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IFERROR(VLOOKUP(B25,input_532010!L:R,7,FALSE),VLOOKUP(tables_532010!C25,input_532010!A:H,8,FALSE))</f>
        <v>2045</v>
      </c>
      <c r="P25" s="46">
        <f t="shared" ca="1" si="1"/>
        <v>3.5503472221975606E-4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input_532010!A$2</f>
        <v>532010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IFERROR(VLOOKUP(B26,input_532010!L:R,7,FALSE),VLOOKUP(tables_532010!C26,input_532010!A:H,8,FALSE))</f>
        <v>64200</v>
      </c>
      <c r="P26" s="46">
        <f t="shared" ca="1" si="1"/>
        <v>1.1145833333255912E-2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input_532010!A$2</f>
        <v>532010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IFERROR(VLOOKUP(B27,input_532010!L:R,7,FALSE),VLOOKUP(tables_532010!C27,input_532010!A:H,8,FALSE))</f>
        <v>2045</v>
      </c>
      <c r="P27" s="46">
        <f t="shared" ca="1" si="1"/>
        <v>3.5503472221975606E-4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input_532010!A$2</f>
        <v>532010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IFERROR(VLOOKUP(B28,input_532010!L:R,7,FALSE),VLOOKUP(tables_532010!C28,input_532010!A:H,8,FALSE))</f>
        <v>64200</v>
      </c>
      <c r="P28" s="46">
        <f t="shared" ca="1" si="1"/>
        <v>1.1145833333255912E-2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input_532010!A$2</f>
        <v>532010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IFERROR(VLOOKUP(B29,input_532010!L:R,7,FALSE),VLOOKUP(tables_532010!C29,input_532010!A:H,8,FALSE))</f>
        <v>2045</v>
      </c>
      <c r="P29" s="46">
        <f t="shared" ca="1" si="1"/>
        <v>3.5503472221975606E-4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input_532010!A$2</f>
        <v>532010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IFERROR(VLOOKUP(B30,input_532010!L:R,7,FALSE),VLOOKUP(tables_532010!C30,input_532010!A:H,8,FALSE))</f>
        <v>64200</v>
      </c>
      <c r="P30" s="46">
        <f t="shared" ca="1" si="1"/>
        <v>1.1145833333255912E-2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input_532010!A$2</f>
        <v>532010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IFERROR(VLOOKUP(B31,input_532010!L:R,7,FALSE),VLOOKUP(tables_532010!C31,input_532010!A:H,8,FALSE))</f>
        <v>2045</v>
      </c>
      <c r="P31" s="46">
        <f t="shared" ca="1" si="1"/>
        <v>3.5503472221975606E-4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input_532010!A$2</f>
        <v>532010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IFERROR(VLOOKUP(B32,input_532010!L:R,7,FALSE),VLOOKUP(tables_532010!C32,input_532010!A:H,8,FALSE))</f>
        <v>64200</v>
      </c>
      <c r="P32" s="46">
        <f t="shared" ca="1" si="1"/>
        <v>1.1145833333255912E-2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input_532010!A$2</f>
        <v>532010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IFERROR(VLOOKUP(B33,input_532010!L:R,7,FALSE),VLOOKUP(tables_532010!C33,input_532010!A:H,8,FALSE))</f>
        <v>2045</v>
      </c>
      <c r="P33" s="46">
        <f t="shared" ca="1" si="1"/>
        <v>3.5503472221975606E-4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input_532010!A$2</f>
        <v>532010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IFERROR(VLOOKUP(B34,input_532010!L:R,7,FALSE),VLOOKUP(tables_532010!C34,input_532010!A:H,8,FALSE))</f>
        <v>64200</v>
      </c>
      <c r="P34" s="46">
        <f t="shared" ca="1" si="1"/>
        <v>1.1145833333255912E-2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input_532010!A$2</f>
        <v>532010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IFERROR(VLOOKUP(B35,input_532010!L:R,7,FALSE),VLOOKUP(tables_532010!C35,input_532010!A:H,8,FALSE))</f>
        <v>2045</v>
      </c>
      <c r="P35" s="46">
        <f t="shared" ca="1" si="1"/>
        <v>3.5503472221975606E-4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input_532010!A$2</f>
        <v>532010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IFERROR(VLOOKUP(B36,input_532010!L:R,7,FALSE),VLOOKUP(tables_532010!C36,input_532010!A:H,8,FALSE))</f>
        <v>64200</v>
      </c>
      <c r="P36" s="46">
        <f t="shared" ca="1" si="1"/>
        <v>1.1145833333255912E-2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input_532010!A$2</f>
        <v>532010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IFERROR(VLOOKUP(B37,input_532010!L:R,7,FALSE),VLOOKUP(tables_532010!C37,input_532010!A:H,8,FALSE))</f>
        <v>2045</v>
      </c>
      <c r="P37" s="46">
        <f t="shared" ca="1" si="1"/>
        <v>3.5503472221975606E-4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input_532010!A$2</f>
        <v>532010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IFERROR(VLOOKUP(B38,input_532010!L:R,7,FALSE),VLOOKUP(tables_532010!C38,input_532010!A:H,8,FALSE))</f>
        <v>64200</v>
      </c>
      <c r="P38" s="46">
        <f t="shared" ca="1" si="1"/>
        <v>1.1145833333255912E-2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input_532010!A$2</f>
        <v>532010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IFERROR(VLOOKUP(B39,input_532010!L:R,7,FALSE),VLOOKUP(tables_532010!C39,input_532010!A:H,8,FALSE))</f>
        <v>2045</v>
      </c>
      <c r="P39" s="46">
        <f t="shared" ca="1" si="1"/>
        <v>3.5503472221975606E-4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input_532010!A$2</f>
        <v>532010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IFERROR(VLOOKUP(B40,input_532010!L:R,7,FALSE),VLOOKUP(tables_532010!C40,input_532010!A:H,8,FALSE))</f>
        <v>64200</v>
      </c>
      <c r="P40" s="46">
        <f t="shared" ca="1" si="1"/>
        <v>1.1145833333255912E-2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input_532010!A$2</f>
        <v>532010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IFERROR(VLOOKUP(B41,input_532010!L:R,7,FALSE),VLOOKUP(tables_532010!C41,input_532010!A:H,8,FALSE))</f>
        <v>2045</v>
      </c>
      <c r="P41" s="46">
        <f t="shared" ca="1" si="1"/>
        <v>3.5503472221975606E-4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input_532010!A$2</f>
        <v>532010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IFERROR(VLOOKUP(B42,input_532010!L:R,7,FALSE),VLOOKUP(tables_532010!C42,input_532010!A:H,8,FALSE))</f>
        <v>28500</v>
      </c>
      <c r="P42" s="46">
        <f t="shared" ca="1" si="1"/>
        <v>4.9479166666322972E-3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input_532010!A$2</f>
        <v>532010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IFERROR(VLOOKUP(B43,input_532010!L:R,7,FALSE),VLOOKUP(tables_532010!C43,input_532010!A:H,8,FALSE))</f>
        <v>25650</v>
      </c>
      <c r="P43" s="46">
        <f t="shared" ca="1" si="1"/>
        <v>4.4531249999690678E-3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hidden="1" customHeight="1" x14ac:dyDescent="0.15">
      <c r="A44" s="2" t="str">
        <f ca="1">input_532010!A$2</f>
        <v>532010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IFERROR(VLOOKUP(B44,input_532010!L:R,7,FALSE),VLOOKUP(tables_532010!C44,input_532010!A:H,8,FALSE))</f>
        <v>2850</v>
      </c>
      <c r="P44" s="46">
        <f t="shared" ca="1" si="1"/>
        <v>4.9479166666322968E-4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input_532010!A$2</f>
        <v>532010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IFERROR(VLOOKUP(B45,input_532010!L:R,7,FALSE),VLOOKUP(tables_532010!C45,input_532010!A:H,8,FALSE))</f>
        <v>28500</v>
      </c>
      <c r="P45" s="46">
        <f t="shared" ca="1" si="1"/>
        <v>4.9479166666322972E-3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input_532010!A$2</f>
        <v>532010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IFERROR(VLOOKUP(B46,input_532010!L:R,7,FALSE),VLOOKUP(tables_532010!C46,input_532010!A:H,8,FALSE))</f>
        <v>25650</v>
      </c>
      <c r="P46" s="46">
        <f t="shared" ca="1" si="1"/>
        <v>4.4531249999690678E-3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hidden="1" customHeight="1" x14ac:dyDescent="0.15">
      <c r="A47" s="2" t="str">
        <f ca="1">input_532010!A$2</f>
        <v>532010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IFERROR(VLOOKUP(B47,input_532010!L:R,7,FALSE),VLOOKUP(tables_532010!C47,input_532010!A:H,8,FALSE))</f>
        <v>2850</v>
      </c>
      <c r="P47" s="46">
        <f t="shared" ca="1" si="1"/>
        <v>4.9479166666322968E-4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input_532010!A$2</f>
        <v>532010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IFERROR(VLOOKUP(B48,input_532010!L:R,7,FALSE),VLOOKUP(tables_532010!C48,input_532010!A:H,8,FALSE))</f>
        <v>28500</v>
      </c>
      <c r="P48" s="46">
        <f t="shared" ca="1" si="1"/>
        <v>4.9479166666322972E-3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input_532010!A$2</f>
        <v>532010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IFERROR(VLOOKUP(B49,input_532010!L:R,7,FALSE),VLOOKUP(tables_532010!C49,input_532010!A:H,8,FALSE))</f>
        <v>25650</v>
      </c>
      <c r="P49" s="46">
        <f t="shared" ca="1" si="1"/>
        <v>4.4531249999690678E-3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hidden="1" customHeight="1" x14ac:dyDescent="0.15">
      <c r="A50" s="2" t="str">
        <f ca="1">input_532010!A$2</f>
        <v>532010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IFERROR(VLOOKUP(B50,input_532010!L:R,7,FALSE),VLOOKUP(tables_532010!C50,input_532010!A:H,8,FALSE))</f>
        <v>2850</v>
      </c>
      <c r="P50" s="46">
        <f t="shared" ca="1" si="1"/>
        <v>4.9479166666322968E-4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input_532010!A$2</f>
        <v>532010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IFERROR(VLOOKUP(B51,input_532010!L:R,7,FALSE),VLOOKUP(tables_532010!C51,input_532010!A:H,8,FALSE))</f>
        <v>28500</v>
      </c>
      <c r="P51" s="46">
        <f t="shared" ca="1" si="1"/>
        <v>4.9479166666322972E-3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input_532010!A$2</f>
        <v>532010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IFERROR(VLOOKUP(B52,input_532010!L:R,7,FALSE),VLOOKUP(tables_532010!C52,input_532010!A:H,8,FALSE))</f>
        <v>24542.307690000001</v>
      </c>
      <c r="P52" s="46">
        <f t="shared" ca="1" si="1"/>
        <v>4.26081730726207E-3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hidden="1" customHeight="1" x14ac:dyDescent="0.15">
      <c r="A53" s="2" t="str">
        <f ca="1">input_532010!A$2</f>
        <v>532010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IFERROR(VLOOKUP(B53,input_532010!L:R,7,FALSE),VLOOKUP(tables_532010!C53,input_532010!A:H,8,FALSE))</f>
        <v>401.92308000000003</v>
      </c>
      <c r="P53" s="46">
        <f t="shared" ca="1" si="1"/>
        <v>6.9778312499515301E-5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input_532010!A$2</f>
        <v>532010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IFERROR(VLOOKUP(B54,input_532010!L:R,7,FALSE),VLOOKUP(tables_532010!C54,input_532010!A:H,8,FALSE))</f>
        <v>28500</v>
      </c>
      <c r="P54" s="46">
        <f t="shared" ca="1" si="1"/>
        <v>4.9479166666322972E-3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input_532010!A$2</f>
        <v>532010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IFERROR(VLOOKUP(B55,input_532010!L:R,7,FALSE),VLOOKUP(tables_532010!C55,input_532010!A:H,8,FALSE))</f>
        <v>24542.307690000001</v>
      </c>
      <c r="P55" s="46">
        <f t="shared" ca="1" si="1"/>
        <v>4.26081730726207E-3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hidden="1" customHeight="1" x14ac:dyDescent="0.15">
      <c r="A56" s="2" t="str">
        <f ca="1">input_532010!A$2</f>
        <v>532010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IFERROR(VLOOKUP(B56,input_532010!L:R,7,FALSE),VLOOKUP(tables_532010!C56,input_532010!A:H,8,FALSE))</f>
        <v>401.92308000000003</v>
      </c>
      <c r="P56" s="46">
        <f t="shared" ca="1" si="1"/>
        <v>6.9778312499515301E-5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input_532010!A$2</f>
        <v>532010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IFERROR(VLOOKUP(B57,input_532010!L:R,7,FALSE),VLOOKUP(tables_532010!C57,input_532010!A:H,8,FALSE))</f>
        <v>28500</v>
      </c>
      <c r="P57" s="46">
        <f t="shared" ca="1" si="1"/>
        <v>4.9479166666322972E-3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input_532010!A$2</f>
        <v>532010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IFERROR(VLOOKUP(B58,input_532010!L:R,7,FALSE),VLOOKUP(tables_532010!C58,input_532010!A:H,8,FALSE))</f>
        <v>24542.307690000001</v>
      </c>
      <c r="P58" s="46">
        <f t="shared" ca="1" si="1"/>
        <v>4.26081730726207E-3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hidden="1" customHeight="1" x14ac:dyDescent="0.15">
      <c r="A59" s="2" t="str">
        <f ca="1">input_532010!A$2</f>
        <v>532010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IFERROR(VLOOKUP(B59,input_532010!L:R,7,FALSE),VLOOKUP(tables_532010!C59,input_532010!A:H,8,FALSE))</f>
        <v>401.92308000000003</v>
      </c>
      <c r="P59" s="46">
        <f t="shared" ca="1" si="1"/>
        <v>6.9778312499515301E-5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input_532010!A$2</f>
        <v>532010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IFERROR(VLOOKUP(B60,input_532010!L:R,7,FALSE),VLOOKUP(tables_532010!C60,input_532010!A:H,8,FALSE))</f>
        <v>28500</v>
      </c>
      <c r="P60" s="46">
        <f t="shared" ca="1" si="1"/>
        <v>4.9479166666322972E-3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input_532010!A$2</f>
        <v>532010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IFERROR(VLOOKUP(B61,input_532010!L:R,7,FALSE),VLOOKUP(tables_532010!C61,input_532010!A:H,8,FALSE))</f>
        <v>24542.307690000001</v>
      </c>
      <c r="P61" s="46">
        <f t="shared" ca="1" si="1"/>
        <v>4.26081730726207E-3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hidden="1" customHeight="1" x14ac:dyDescent="0.15">
      <c r="A62" s="2" t="str">
        <f ca="1">input_532010!A$2</f>
        <v>532010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IFERROR(VLOOKUP(B62,input_532010!L:R,7,FALSE),VLOOKUP(tables_532010!C62,input_532010!A:H,8,FALSE))</f>
        <v>401.92308000000003</v>
      </c>
      <c r="P62" s="46">
        <f t="shared" ca="1" si="1"/>
        <v>6.9778312499515301E-5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input_532010!A$2</f>
        <v>532010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IFERROR(VLOOKUP(B63,input_532010!L:R,7,FALSE),VLOOKUP(tables_532010!C63,input_532010!A:H,8,FALSE))</f>
        <v>28500</v>
      </c>
      <c r="P63" s="46">
        <f t="shared" ca="1" si="1"/>
        <v>4.9479166666322972E-3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input_532010!A$2</f>
        <v>532010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IFERROR(VLOOKUP(B64,input_532010!L:R,7,FALSE),VLOOKUP(tables_532010!C64,input_532010!A:H,8,FALSE))</f>
        <v>24542.307690000001</v>
      </c>
      <c r="P64" s="46">
        <f t="shared" ca="1" si="1"/>
        <v>4.26081730726207E-3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hidden="1" customHeight="1" x14ac:dyDescent="0.15">
      <c r="A65" s="2" t="str">
        <f ca="1">input_532010!A$2</f>
        <v>532010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IFERROR(VLOOKUP(B65,input_532010!L:R,7,FALSE),VLOOKUP(tables_532010!C65,input_532010!A:H,8,FALSE))</f>
        <v>401.92308000000003</v>
      </c>
      <c r="P65" s="46">
        <f t="shared" ca="1" si="1"/>
        <v>6.9778312499515301E-5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input_532010!A$2</f>
        <v>532010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IFERROR(VLOOKUP(B66,input_532010!L:R,7,FALSE),VLOOKUP(tables_532010!C66,input_532010!A:H,8,FALSE))</f>
        <v>28500</v>
      </c>
      <c r="P66" s="46">
        <f t="shared" ref="P66:P129" ca="1" si="4">O66/SUM(O:O)</f>
        <v>4.9479166666322972E-3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input_532010!A$2</f>
        <v>532010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IFERROR(VLOOKUP(B67,input_532010!L:R,7,FALSE),VLOOKUP(tables_532010!C67,input_532010!A:H,8,FALSE))</f>
        <v>24542.307690000001</v>
      </c>
      <c r="P67" s="46">
        <f t="shared" ca="1" si="4"/>
        <v>4.26081730726207E-3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hidden="1" customHeight="1" x14ac:dyDescent="0.15">
      <c r="A68" s="2" t="str">
        <f ca="1">input_532010!A$2</f>
        <v>532010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IFERROR(VLOOKUP(B68,input_532010!L:R,7,FALSE),VLOOKUP(tables_532010!C68,input_532010!A:H,8,FALSE))</f>
        <v>401.92308000000003</v>
      </c>
      <c r="P68" s="46">
        <f t="shared" ca="1" si="4"/>
        <v>6.9778312499515301E-5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input_532010!A$2</f>
        <v>532010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IFERROR(VLOOKUP(B69,input_532010!L:R,7,FALSE),VLOOKUP(tables_532010!C69,input_532010!A:H,8,FALSE))</f>
        <v>28500</v>
      </c>
      <c r="P69" s="46">
        <f t="shared" ca="1" si="4"/>
        <v>4.9479166666322972E-3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input_532010!A$2</f>
        <v>532010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IFERROR(VLOOKUP(B70,input_532010!L:R,7,FALSE),VLOOKUP(tables_532010!C70,input_532010!A:H,8,FALSE))</f>
        <v>24542.307690000001</v>
      </c>
      <c r="P70" s="46">
        <f t="shared" ca="1" si="4"/>
        <v>4.26081730726207E-3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hidden="1" customHeight="1" x14ac:dyDescent="0.15">
      <c r="A71" s="2" t="str">
        <f ca="1">input_532010!A$2</f>
        <v>532010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IFERROR(VLOOKUP(B71,input_532010!L:R,7,FALSE),VLOOKUP(tables_532010!C71,input_532010!A:H,8,FALSE))</f>
        <v>401.92308000000003</v>
      </c>
      <c r="P71" s="46">
        <f t="shared" ca="1" si="4"/>
        <v>6.9778312499515301E-5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input_532010!A$2</f>
        <v>532010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IFERROR(VLOOKUP(B72,input_532010!L:R,7,FALSE),VLOOKUP(tables_532010!C72,input_532010!A:H,8,FALSE))</f>
        <v>28500</v>
      </c>
      <c r="P72" s="46">
        <f t="shared" ca="1" si="4"/>
        <v>4.9479166666322972E-3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input_532010!A$2</f>
        <v>532010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IFERROR(VLOOKUP(B73,input_532010!L:R,7,FALSE),VLOOKUP(tables_532010!C73,input_532010!A:H,8,FALSE))</f>
        <v>24542.307690000001</v>
      </c>
      <c r="P73" s="46">
        <f t="shared" ca="1" si="4"/>
        <v>4.26081730726207E-3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hidden="1" customHeight="1" x14ac:dyDescent="0.15">
      <c r="A74" s="2" t="str">
        <f ca="1">input_532010!A$2</f>
        <v>532010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IFERROR(VLOOKUP(B74,input_532010!L:R,7,FALSE),VLOOKUP(tables_532010!C74,input_532010!A:H,8,FALSE))</f>
        <v>401.92308000000003</v>
      </c>
      <c r="P74" s="46">
        <f t="shared" ca="1" si="4"/>
        <v>6.9778312499515301E-5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input_532010!A$2</f>
        <v>532010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IFERROR(VLOOKUP(B75,input_532010!L:R,7,FALSE),VLOOKUP(tables_532010!C75,input_532010!A:H,8,FALSE))</f>
        <v>28500</v>
      </c>
      <c r="P75" s="46">
        <f t="shared" ca="1" si="4"/>
        <v>4.9479166666322972E-3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input_532010!A$2</f>
        <v>532010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IFERROR(VLOOKUP(B76,input_532010!L:R,7,FALSE),VLOOKUP(tables_532010!C76,input_532010!A:H,8,FALSE))</f>
        <v>24542.307690000001</v>
      </c>
      <c r="P76" s="46">
        <f t="shared" ca="1" si="4"/>
        <v>4.26081730726207E-3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hidden="1" customHeight="1" x14ac:dyDescent="0.15">
      <c r="A77" s="2" t="str">
        <f ca="1">input_532010!A$2</f>
        <v>532010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IFERROR(VLOOKUP(B77,input_532010!L:R,7,FALSE),VLOOKUP(tables_532010!C77,input_532010!A:H,8,FALSE))</f>
        <v>401.92308000000003</v>
      </c>
      <c r="P77" s="46">
        <f t="shared" ca="1" si="4"/>
        <v>6.9778312499515301E-5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input_532010!A$2</f>
        <v>532010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IFERROR(VLOOKUP(B78,input_532010!L:R,7,FALSE),VLOOKUP(tables_532010!C78,input_532010!A:H,8,FALSE))</f>
        <v>28500</v>
      </c>
      <c r="P78" s="46">
        <f t="shared" ca="1" si="4"/>
        <v>4.9479166666322972E-3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input_532010!A$2</f>
        <v>532010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IFERROR(VLOOKUP(B79,input_532010!L:R,7,FALSE),VLOOKUP(tables_532010!C79,input_532010!A:H,8,FALSE))</f>
        <v>24542.307690000001</v>
      </c>
      <c r="P79" s="46">
        <f t="shared" ca="1" si="4"/>
        <v>4.26081730726207E-3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hidden="1" customHeight="1" x14ac:dyDescent="0.15">
      <c r="A80" s="2" t="str">
        <f ca="1">input_532010!A$2</f>
        <v>532010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IFERROR(VLOOKUP(B80,input_532010!L:R,7,FALSE),VLOOKUP(tables_532010!C80,input_532010!A:H,8,FALSE))</f>
        <v>401.92308000000003</v>
      </c>
      <c r="P80" s="46">
        <f t="shared" ca="1" si="4"/>
        <v>6.9778312499515301E-5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input_532010!A$2</f>
        <v>532010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IFERROR(VLOOKUP(B81,input_532010!L:R,7,FALSE),VLOOKUP(tables_532010!C81,input_532010!A:H,8,FALSE))</f>
        <v>28500</v>
      </c>
      <c r="P81" s="46">
        <f t="shared" ca="1" si="4"/>
        <v>4.9479166666322972E-3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input_532010!A$2</f>
        <v>532010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IFERROR(VLOOKUP(B82,input_532010!L:R,7,FALSE),VLOOKUP(tables_532010!C82,input_532010!A:H,8,FALSE))</f>
        <v>24542.307690000001</v>
      </c>
      <c r="P82" s="46">
        <f t="shared" ca="1" si="4"/>
        <v>4.26081730726207E-3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hidden="1" customHeight="1" x14ac:dyDescent="0.15">
      <c r="A83" s="2" t="str">
        <f ca="1">input_532010!A$2</f>
        <v>532010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IFERROR(VLOOKUP(B83,input_532010!L:R,7,FALSE),VLOOKUP(tables_532010!C83,input_532010!A:H,8,FALSE))</f>
        <v>401.92308000000003</v>
      </c>
      <c r="P83" s="46">
        <f t="shared" ca="1" si="4"/>
        <v>6.9778312499515301E-5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input_532010!A$2</f>
        <v>532010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IFERROR(VLOOKUP(B84,input_532010!L:R,7,FALSE),VLOOKUP(tables_532010!C84,input_532010!A:H,8,FALSE))</f>
        <v>28500</v>
      </c>
      <c r="P84" s="46">
        <f t="shared" ca="1" si="4"/>
        <v>4.9479166666322972E-3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input_532010!A$2</f>
        <v>532010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IFERROR(VLOOKUP(B85,input_532010!L:R,7,FALSE),VLOOKUP(tables_532010!C85,input_532010!A:H,8,FALSE))</f>
        <v>24542.307690000001</v>
      </c>
      <c r="P85" s="46">
        <f t="shared" ca="1" si="4"/>
        <v>4.26081730726207E-3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hidden="1" customHeight="1" x14ac:dyDescent="0.15">
      <c r="A86" s="2" t="str">
        <f ca="1">input_532010!A$2</f>
        <v>532010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IFERROR(VLOOKUP(B86,input_532010!L:R,7,FALSE),VLOOKUP(tables_532010!C86,input_532010!A:H,8,FALSE))</f>
        <v>401.92308000000003</v>
      </c>
      <c r="P86" s="46">
        <f t="shared" ca="1" si="4"/>
        <v>6.9778312499515301E-5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input_532010!A$2</f>
        <v>532010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IFERROR(VLOOKUP(B87,input_532010!L:R,7,FALSE),VLOOKUP(tables_532010!C87,input_532010!A:H,8,FALSE))</f>
        <v>28500</v>
      </c>
      <c r="P87" s="46">
        <f t="shared" ca="1" si="4"/>
        <v>4.9479166666322972E-3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input_532010!A$2</f>
        <v>532010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IFERROR(VLOOKUP(B88,input_532010!L:R,7,FALSE),VLOOKUP(tables_532010!C88,input_532010!A:H,8,FALSE))</f>
        <v>24542.307690000001</v>
      </c>
      <c r="P88" s="46">
        <f t="shared" ca="1" si="4"/>
        <v>4.26081730726207E-3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hidden="1" customHeight="1" x14ac:dyDescent="0.15">
      <c r="A89" s="2" t="str">
        <f ca="1">input_532010!A$2</f>
        <v>532010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IFERROR(VLOOKUP(B89,input_532010!L:R,7,FALSE),VLOOKUP(tables_532010!C89,input_532010!A:H,8,FALSE))</f>
        <v>401.92308000000003</v>
      </c>
      <c r="P89" s="46">
        <f t="shared" ca="1" si="4"/>
        <v>6.9778312499515301E-5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input_532010!A$2</f>
        <v>532010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IFERROR(VLOOKUP(B90,input_532010!L:R,7,FALSE),VLOOKUP(tables_532010!C90,input_532010!A:H,8,FALSE))</f>
        <v>28500</v>
      </c>
      <c r="P90" s="46">
        <f t="shared" ca="1" si="4"/>
        <v>4.9479166666322972E-3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input_532010!A$2</f>
        <v>532010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IFERROR(VLOOKUP(B91,input_532010!L:R,7,FALSE),VLOOKUP(tables_532010!C91,input_532010!A:H,8,FALSE))</f>
        <v>24542.307690000001</v>
      </c>
      <c r="P91" s="46">
        <f t="shared" ca="1" si="4"/>
        <v>4.26081730726207E-3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hidden="1" customHeight="1" x14ac:dyDescent="0.15">
      <c r="A92" s="2" t="str">
        <f ca="1">input_532010!A$2</f>
        <v>532010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IFERROR(VLOOKUP(B92,input_532010!L:R,7,FALSE),VLOOKUP(tables_532010!C92,input_532010!A:H,8,FALSE))</f>
        <v>401.92308000000003</v>
      </c>
      <c r="P92" s="46">
        <f t="shared" ca="1" si="4"/>
        <v>6.9778312499515301E-5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input_532010!A$2</f>
        <v>532010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IFERROR(VLOOKUP(B93,input_532010!L:R,7,FALSE),VLOOKUP(tables_532010!C93,input_532010!A:H,8,FALSE))</f>
        <v>28500</v>
      </c>
      <c r="P93" s="46">
        <f t="shared" ca="1" si="4"/>
        <v>4.9479166666322972E-3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input_532010!A$2</f>
        <v>532010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IFERROR(VLOOKUP(B94,input_532010!L:R,7,FALSE),VLOOKUP(tables_532010!C94,input_532010!A:H,8,FALSE))</f>
        <v>24542.307690000001</v>
      </c>
      <c r="P94" s="46">
        <f t="shared" ca="1" si="4"/>
        <v>4.26081730726207E-3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hidden="1" customHeight="1" x14ac:dyDescent="0.15">
      <c r="A95" s="2" t="str">
        <f ca="1">input_532010!A$2</f>
        <v>532010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IFERROR(VLOOKUP(B95,input_532010!L:R,7,FALSE),VLOOKUP(tables_532010!C95,input_532010!A:H,8,FALSE))</f>
        <v>401.92308000000003</v>
      </c>
      <c r="P95" s="46">
        <f t="shared" ca="1" si="4"/>
        <v>6.9778312499515301E-5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input_532010!A$2</f>
        <v>532010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IFERROR(VLOOKUP(B96,input_532010!L:R,7,FALSE),VLOOKUP(tables_532010!C96,input_532010!A:H,8,FALSE))</f>
        <v>28500</v>
      </c>
      <c r="P96" s="46">
        <f t="shared" ca="1" si="4"/>
        <v>4.9479166666322972E-3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input_532010!A$2</f>
        <v>532010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IFERROR(VLOOKUP(B97,input_532010!L:R,7,FALSE),VLOOKUP(tables_532010!C97,input_532010!A:H,8,FALSE))</f>
        <v>24542.307690000001</v>
      </c>
      <c r="P97" s="46">
        <f t="shared" ca="1" si="4"/>
        <v>4.26081730726207E-3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hidden="1" customHeight="1" x14ac:dyDescent="0.15">
      <c r="A98" s="2" t="str">
        <f ca="1">input_532010!A$2</f>
        <v>532010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IFERROR(VLOOKUP(B98,input_532010!L:R,7,FALSE),VLOOKUP(tables_532010!C98,input_532010!A:H,8,FALSE))</f>
        <v>401.92308000000003</v>
      </c>
      <c r="P98" s="46">
        <f t="shared" ca="1" si="4"/>
        <v>6.9778312499515301E-5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input_532010!A$2</f>
        <v>532010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IFERROR(VLOOKUP(B99,input_532010!L:R,7,FALSE),VLOOKUP(tables_532010!C99,input_532010!A:H,8,FALSE))</f>
        <v>28500</v>
      </c>
      <c r="P99" s="46">
        <f t="shared" ca="1" si="4"/>
        <v>4.9479166666322972E-3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input_532010!A$2</f>
        <v>532010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IFERROR(VLOOKUP(B100,input_532010!L:R,7,FALSE),VLOOKUP(tables_532010!C100,input_532010!A:H,8,FALSE))</f>
        <v>24542.307690000001</v>
      </c>
      <c r="P100" s="46">
        <f t="shared" ca="1" si="4"/>
        <v>4.26081730726207E-3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hidden="1" customHeight="1" x14ac:dyDescent="0.15">
      <c r="A101" s="2" t="str">
        <f ca="1">input_532010!A$2</f>
        <v>532010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IFERROR(VLOOKUP(B101,input_532010!L:R,7,FALSE),VLOOKUP(tables_532010!C101,input_532010!A:H,8,FALSE))</f>
        <v>401.92308000000003</v>
      </c>
      <c r="P101" s="46">
        <f t="shared" ca="1" si="4"/>
        <v>6.9778312499515301E-5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input_532010!A$2</f>
        <v>532010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IFERROR(VLOOKUP(B102,input_532010!L:R,7,FALSE),VLOOKUP(tables_532010!C102,input_532010!A:H,8,FALSE))</f>
        <v>28500</v>
      </c>
      <c r="P102" s="46">
        <f t="shared" ca="1" si="4"/>
        <v>4.9479166666322972E-3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input_532010!A$2</f>
        <v>532010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IFERROR(VLOOKUP(B103,input_532010!L:R,7,FALSE),VLOOKUP(tables_532010!C103,input_532010!A:H,8,FALSE))</f>
        <v>24542.307690000001</v>
      </c>
      <c r="P103" s="46">
        <f t="shared" ca="1" si="4"/>
        <v>4.26081730726207E-3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hidden="1" customHeight="1" x14ac:dyDescent="0.15">
      <c r="A104" s="2" t="str">
        <f ca="1">input_532010!A$2</f>
        <v>532010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IFERROR(VLOOKUP(B104,input_532010!L:R,7,FALSE),VLOOKUP(tables_532010!C104,input_532010!A:H,8,FALSE))</f>
        <v>401.92308000000003</v>
      </c>
      <c r="P104" s="46">
        <f t="shared" ca="1" si="4"/>
        <v>6.9778312499515301E-5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input_532010!A$2</f>
        <v>532010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IFERROR(VLOOKUP(B105,input_532010!L:R,7,FALSE),VLOOKUP(tables_532010!C105,input_532010!A:H,8,FALSE))</f>
        <v>28500</v>
      </c>
      <c r="P105" s="46">
        <f t="shared" ca="1" si="4"/>
        <v>4.9479166666322972E-3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input_532010!A$2</f>
        <v>532010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IFERROR(VLOOKUP(B106,input_532010!L:R,7,FALSE),VLOOKUP(tables_532010!C106,input_532010!A:H,8,FALSE))</f>
        <v>24542.307690000001</v>
      </c>
      <c r="P106" s="46">
        <f t="shared" ca="1" si="4"/>
        <v>4.26081730726207E-3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hidden="1" customHeight="1" x14ac:dyDescent="0.15">
      <c r="A107" s="2" t="str">
        <f ca="1">input_532010!A$2</f>
        <v>532010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IFERROR(VLOOKUP(B107,input_532010!L:R,7,FALSE),VLOOKUP(tables_532010!C107,input_532010!A:H,8,FALSE))</f>
        <v>401.92308000000003</v>
      </c>
      <c r="P107" s="46">
        <f t="shared" ca="1" si="4"/>
        <v>6.9778312499515301E-5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input_532010!A$2</f>
        <v>532010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IFERROR(VLOOKUP(B108,input_532010!L:R,7,FALSE),VLOOKUP(tables_532010!C108,input_532010!A:H,8,FALSE))</f>
        <v>28500</v>
      </c>
      <c r="P108" s="46">
        <f t="shared" ca="1" si="4"/>
        <v>4.9479166666322972E-3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input_532010!A$2</f>
        <v>532010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IFERROR(VLOOKUP(B109,input_532010!L:R,7,FALSE),VLOOKUP(tables_532010!C109,input_532010!A:H,8,FALSE))</f>
        <v>24542.307690000001</v>
      </c>
      <c r="P109" s="46">
        <f t="shared" ca="1" si="4"/>
        <v>4.26081730726207E-3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hidden="1" customHeight="1" x14ac:dyDescent="0.15">
      <c r="A110" s="2" t="str">
        <f ca="1">input_532010!A$2</f>
        <v>532010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IFERROR(VLOOKUP(B110,input_532010!L:R,7,FALSE),VLOOKUP(tables_532010!C110,input_532010!A:H,8,FALSE))</f>
        <v>401.92308000000003</v>
      </c>
      <c r="P110" s="46">
        <f t="shared" ca="1" si="4"/>
        <v>6.9778312499515301E-5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input_532010!A$2</f>
        <v>532010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IFERROR(VLOOKUP(B111,input_532010!L:R,7,FALSE),VLOOKUP(tables_532010!C111,input_532010!A:H,8,FALSE))</f>
        <v>28500</v>
      </c>
      <c r="P111" s="46">
        <f t="shared" ca="1" si="4"/>
        <v>4.9479166666322972E-3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input_532010!A$2</f>
        <v>532010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IFERROR(VLOOKUP(B112,input_532010!L:R,7,FALSE),VLOOKUP(tables_532010!C112,input_532010!A:H,8,FALSE))</f>
        <v>25650</v>
      </c>
      <c r="P112" s="46">
        <f t="shared" ca="1" si="4"/>
        <v>4.4531249999690678E-3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hidden="1" customHeight="1" x14ac:dyDescent="0.15">
      <c r="A113" s="2" t="str">
        <f ca="1">input_532010!A$2</f>
        <v>532010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IFERROR(VLOOKUP(B113,input_532010!L:R,7,FALSE),VLOOKUP(tables_532010!C113,input_532010!A:H,8,FALSE))</f>
        <v>2850</v>
      </c>
      <c r="P113" s="46">
        <f t="shared" ca="1" si="4"/>
        <v>4.9479166666322968E-4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input_532010!A$2</f>
        <v>532010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IFERROR(VLOOKUP(B114,input_532010!L:R,7,FALSE),VLOOKUP(tables_532010!C114,input_532010!A:H,8,FALSE))</f>
        <v>28500</v>
      </c>
      <c r="P114" s="46">
        <f t="shared" ca="1" si="4"/>
        <v>4.9479166666322972E-3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input_532010!A$2</f>
        <v>532010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IFERROR(VLOOKUP(B115,input_532010!L:R,7,FALSE),VLOOKUP(tables_532010!C115,input_532010!A:H,8,FALSE))</f>
        <v>24542.307690000001</v>
      </c>
      <c r="P115" s="46">
        <f t="shared" ca="1" si="4"/>
        <v>4.26081730726207E-3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hidden="1" customHeight="1" x14ac:dyDescent="0.15">
      <c r="A116" s="2" t="str">
        <f ca="1">input_532010!A$2</f>
        <v>532010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IFERROR(VLOOKUP(B116,input_532010!L:R,7,FALSE),VLOOKUP(tables_532010!C116,input_532010!A:H,8,FALSE))</f>
        <v>401.92308000000003</v>
      </c>
      <c r="P116" s="46">
        <f t="shared" ca="1" si="4"/>
        <v>6.9778312499515301E-5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input_532010!A$2</f>
        <v>532010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IFERROR(VLOOKUP(B117,input_532010!L:R,7,FALSE),VLOOKUP(tables_532010!C117,input_532010!A:H,8,FALSE))</f>
        <v>28500</v>
      </c>
      <c r="P117" s="46">
        <f t="shared" ca="1" si="4"/>
        <v>4.9479166666322972E-3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input_532010!A$2</f>
        <v>532010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IFERROR(VLOOKUP(B118,input_532010!L:R,7,FALSE),VLOOKUP(tables_532010!C118,input_532010!A:H,8,FALSE))</f>
        <v>24542.307690000001</v>
      </c>
      <c r="P118" s="46">
        <f t="shared" ca="1" si="4"/>
        <v>4.26081730726207E-3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hidden="1" customHeight="1" x14ac:dyDescent="0.15">
      <c r="A119" s="2" t="str">
        <f ca="1">input_532010!A$2</f>
        <v>532010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IFERROR(VLOOKUP(B119,input_532010!L:R,7,FALSE),VLOOKUP(tables_532010!C119,input_532010!A:H,8,FALSE))</f>
        <v>401.92308000000003</v>
      </c>
      <c r="P119" s="46">
        <f t="shared" ca="1" si="4"/>
        <v>6.9778312499515301E-5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input_532010!A$2</f>
        <v>532010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IFERROR(VLOOKUP(B120,input_532010!L:R,7,FALSE),VLOOKUP(tables_532010!C120,input_532010!A:H,8,FALSE))</f>
        <v>28500</v>
      </c>
      <c r="P120" s="46">
        <f t="shared" ca="1" si="4"/>
        <v>4.9479166666322972E-3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input_532010!A$2</f>
        <v>532010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IFERROR(VLOOKUP(B121,input_532010!L:R,7,FALSE),VLOOKUP(tables_532010!C121,input_532010!A:H,8,FALSE))</f>
        <v>24542.307690000001</v>
      </c>
      <c r="P121" s="46">
        <f t="shared" ca="1" si="4"/>
        <v>4.26081730726207E-3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hidden="1" customHeight="1" x14ac:dyDescent="0.15">
      <c r="A122" s="2" t="str">
        <f ca="1">input_532010!A$2</f>
        <v>532010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IFERROR(VLOOKUP(B122,input_532010!L:R,7,FALSE),VLOOKUP(tables_532010!C122,input_532010!A:H,8,FALSE))</f>
        <v>401.92308000000003</v>
      </c>
      <c r="P122" s="46">
        <f t="shared" ca="1" si="4"/>
        <v>6.9778312499515301E-5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input_532010!A$2</f>
        <v>532010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IFERROR(VLOOKUP(B123,input_532010!L:R,7,FALSE),VLOOKUP(tables_532010!C123,input_532010!A:H,8,FALSE))</f>
        <v>28500</v>
      </c>
      <c r="P123" s="46">
        <f t="shared" ca="1" si="4"/>
        <v>4.9479166666322972E-3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input_532010!A$2</f>
        <v>532010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IFERROR(VLOOKUP(B124,input_532010!L:R,7,FALSE),VLOOKUP(tables_532010!C124,input_532010!A:H,8,FALSE))</f>
        <v>24542.307690000001</v>
      </c>
      <c r="P124" s="46">
        <f t="shared" ca="1" si="4"/>
        <v>4.26081730726207E-3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hidden="1" customHeight="1" x14ac:dyDescent="0.15">
      <c r="A125" s="2" t="str">
        <f ca="1">input_532010!A$2</f>
        <v>532010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IFERROR(VLOOKUP(B125,input_532010!L:R,7,FALSE),VLOOKUP(tables_532010!C125,input_532010!A:H,8,FALSE))</f>
        <v>401.92308000000003</v>
      </c>
      <c r="P125" s="46">
        <f t="shared" ca="1" si="4"/>
        <v>6.9778312499515301E-5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input_532010!A$2</f>
        <v>532010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IFERROR(VLOOKUP(B126,input_532010!L:R,7,FALSE),VLOOKUP(tables_532010!C126,input_532010!A:H,8,FALSE))</f>
        <v>28500</v>
      </c>
      <c r="P126" s="46">
        <f t="shared" ca="1" si="4"/>
        <v>4.9479166666322972E-3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input_532010!A$2</f>
        <v>532010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IFERROR(VLOOKUP(B127,input_532010!L:R,7,FALSE),VLOOKUP(tables_532010!C127,input_532010!A:H,8,FALSE))</f>
        <v>24542.307690000001</v>
      </c>
      <c r="P127" s="46">
        <f t="shared" ca="1" si="4"/>
        <v>4.26081730726207E-3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hidden="1" customHeight="1" x14ac:dyDescent="0.15">
      <c r="A128" s="2" t="str">
        <f ca="1">input_532010!A$2</f>
        <v>532010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IFERROR(VLOOKUP(B128,input_532010!L:R,7,FALSE),VLOOKUP(tables_532010!C128,input_532010!A:H,8,FALSE))</f>
        <v>401.92308000000003</v>
      </c>
      <c r="P128" s="46">
        <f t="shared" ca="1" si="4"/>
        <v>6.9778312499515301E-5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input_532010!A$2</f>
        <v>532010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IFERROR(VLOOKUP(B129,input_532010!L:R,7,FALSE),VLOOKUP(tables_532010!C129,input_532010!A:H,8,FALSE))</f>
        <v>28500</v>
      </c>
      <c r="P129" s="46">
        <f t="shared" ca="1" si="4"/>
        <v>4.9479166666322972E-3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input_532010!A$2</f>
        <v>532010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IFERROR(VLOOKUP(B130,input_532010!L:R,7,FALSE),VLOOKUP(tables_532010!C130,input_532010!A:H,8,FALSE))</f>
        <v>24542.307690000001</v>
      </c>
      <c r="P130" s="46">
        <f t="shared" ref="P130:P193" ca="1" si="7">O130/SUM(O:O)</f>
        <v>4.26081730726207E-3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hidden="1" customHeight="1" x14ac:dyDescent="0.15">
      <c r="A131" s="2" t="str">
        <f ca="1">input_532010!A$2</f>
        <v>532010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IFERROR(VLOOKUP(B131,input_532010!L:R,7,FALSE),VLOOKUP(tables_532010!C131,input_532010!A:H,8,FALSE))</f>
        <v>401.92308000000003</v>
      </c>
      <c r="P131" s="46">
        <f t="shared" ca="1" si="7"/>
        <v>6.9778312499515301E-5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input_532010!A$2</f>
        <v>532010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IFERROR(VLOOKUP(B132,input_532010!L:R,7,FALSE),VLOOKUP(tables_532010!C132,input_532010!A:H,8,FALSE))</f>
        <v>28500</v>
      </c>
      <c r="P132" s="46">
        <f t="shared" ca="1" si="7"/>
        <v>4.9479166666322972E-3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input_532010!A$2</f>
        <v>532010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IFERROR(VLOOKUP(B133,input_532010!L:R,7,FALSE),VLOOKUP(tables_532010!C133,input_532010!A:H,8,FALSE))</f>
        <v>24542.307690000001</v>
      </c>
      <c r="P133" s="46">
        <f t="shared" ca="1" si="7"/>
        <v>4.26081730726207E-3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hidden="1" customHeight="1" x14ac:dyDescent="0.15">
      <c r="A134" s="2" t="str">
        <f ca="1">input_532010!A$2</f>
        <v>532010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IFERROR(VLOOKUP(B134,input_532010!L:R,7,FALSE),VLOOKUP(tables_532010!C134,input_532010!A:H,8,FALSE))</f>
        <v>401.92308000000003</v>
      </c>
      <c r="P134" s="46">
        <f t="shared" ca="1" si="7"/>
        <v>6.9778312499515301E-5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input_532010!A$2</f>
        <v>532010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IFERROR(VLOOKUP(B135,input_532010!L:R,7,FALSE),VLOOKUP(tables_532010!C135,input_532010!A:H,8,FALSE))</f>
        <v>28500</v>
      </c>
      <c r="P135" s="46">
        <f t="shared" ca="1" si="7"/>
        <v>4.9479166666322972E-3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input_532010!A$2</f>
        <v>532010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IFERROR(VLOOKUP(B136,input_532010!L:R,7,FALSE),VLOOKUP(tables_532010!C136,input_532010!A:H,8,FALSE))</f>
        <v>24542.307690000001</v>
      </c>
      <c r="P136" s="46">
        <f t="shared" ca="1" si="7"/>
        <v>4.26081730726207E-3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hidden="1" customHeight="1" x14ac:dyDescent="0.15">
      <c r="A137" s="2" t="str">
        <f ca="1">input_532010!A$2</f>
        <v>532010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IFERROR(VLOOKUP(B137,input_532010!L:R,7,FALSE),VLOOKUP(tables_532010!C137,input_532010!A:H,8,FALSE))</f>
        <v>401.92308000000003</v>
      </c>
      <c r="P137" s="46">
        <f t="shared" ca="1" si="7"/>
        <v>6.9778312499515301E-5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input_532010!A$2</f>
        <v>532010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IFERROR(VLOOKUP(B138,input_532010!L:R,7,FALSE),VLOOKUP(tables_532010!C138,input_532010!A:H,8,FALSE))</f>
        <v>3800</v>
      </c>
      <c r="P138" s="46">
        <f t="shared" ca="1" si="7"/>
        <v>6.5972222221763964E-4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hidden="1" customHeight="1" x14ac:dyDescent="0.15">
      <c r="A139" s="2" t="str">
        <f ca="1">input_532010!A$2</f>
        <v>532010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IFERROR(VLOOKUP(B139,input_532010!L:R,7,FALSE),VLOOKUP(tables_532010!C139,input_532010!A:H,8,FALSE))</f>
        <v>200</v>
      </c>
      <c r="P139" s="46">
        <f t="shared" ca="1" si="7"/>
        <v>3.4722222221981035E-5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input_532010!A$2</f>
        <v>532010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IFERROR(VLOOKUP(B140,input_532010!L:R,7,FALSE),VLOOKUP(tables_532010!C140,input_532010!A:H,8,FALSE))</f>
        <v>3800</v>
      </c>
      <c r="P140" s="46">
        <f t="shared" ca="1" si="7"/>
        <v>6.5972222221763964E-4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hidden="1" customHeight="1" x14ac:dyDescent="0.15">
      <c r="A141" s="2" t="str">
        <f ca="1">input_532010!A$2</f>
        <v>532010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IFERROR(VLOOKUP(B141,input_532010!L:R,7,FALSE),VLOOKUP(tables_532010!C141,input_532010!A:H,8,FALSE))</f>
        <v>200</v>
      </c>
      <c r="P141" s="46">
        <f t="shared" ca="1" si="7"/>
        <v>3.4722222221981035E-5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input_532010!A$2</f>
        <v>532010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IFERROR(VLOOKUP(B142,input_532010!L:R,7,FALSE),VLOOKUP(tables_532010!C142,input_532010!A:H,8,FALSE))</f>
        <v>3800</v>
      </c>
      <c r="P142" s="46">
        <f t="shared" ca="1" si="7"/>
        <v>6.5972222221763964E-4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hidden="1" customHeight="1" thickBot="1" x14ac:dyDescent="0.2">
      <c r="A143" s="2" t="str">
        <f ca="1">input_532010!A$2</f>
        <v>532010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IFERROR(VLOOKUP(B143,input_532010!L:R,7,FALSE),VLOOKUP(tables_532010!C143,input_532010!A:H,8,FALSE))</f>
        <v>200</v>
      </c>
      <c r="P143" s="46">
        <f t="shared" ca="1" si="7"/>
        <v>3.4722222221981035E-5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input_532010!A$2</f>
        <v>532010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IFERROR(VLOOKUP(B144,input_532010!L:R,7,FALSE),VLOOKUP(tables_532010!C144,input_532010!A:H,8,FALSE))</f>
        <v>3800</v>
      </c>
      <c r="P144" s="46">
        <f t="shared" ca="1" si="7"/>
        <v>6.5972222221763964E-4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hidden="1" customHeight="1" x14ac:dyDescent="0.15">
      <c r="A145" s="2" t="str">
        <f ca="1">input_532010!A$2</f>
        <v>532010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IFERROR(VLOOKUP(B145,input_532010!L:R,7,FALSE),VLOOKUP(tables_532010!C145,input_532010!A:H,8,FALSE))</f>
        <v>200</v>
      </c>
      <c r="P145" s="46">
        <f t="shared" ca="1" si="7"/>
        <v>3.4722222221981035E-5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input_532010!A$2</f>
        <v>532010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IFERROR(VLOOKUP(B146,input_532010!L:R,7,FALSE),VLOOKUP(tables_532010!C146,input_532010!A:H,8,FALSE))</f>
        <v>28500</v>
      </c>
      <c r="P146" s="46">
        <f t="shared" ca="1" si="7"/>
        <v>4.9479166666322972E-3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input_532010!A$2</f>
        <v>532010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IFERROR(VLOOKUP(B147,input_532010!L:R,7,FALSE),VLOOKUP(tables_532010!C147,input_532010!A:H,8,FALSE))</f>
        <v>24542.307690000001</v>
      </c>
      <c r="P147" s="46">
        <f t="shared" ca="1" si="7"/>
        <v>4.26081730726207E-3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hidden="1" customHeight="1" x14ac:dyDescent="0.15">
      <c r="A148" s="2" t="str">
        <f ca="1">input_532010!A$2</f>
        <v>532010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IFERROR(VLOOKUP(B148,input_532010!L:R,7,FALSE),VLOOKUP(tables_532010!C148,input_532010!A:H,8,FALSE))</f>
        <v>401.92308000000003</v>
      </c>
      <c r="P148" s="46">
        <f t="shared" ca="1" si="7"/>
        <v>6.9778312499515301E-5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input_532010!A$2</f>
        <v>532010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IFERROR(VLOOKUP(B149,input_532010!L:R,7,FALSE),VLOOKUP(tables_532010!C149,input_532010!A:H,8,FALSE))</f>
        <v>3800</v>
      </c>
      <c r="P149" s="46">
        <f t="shared" ca="1" si="7"/>
        <v>6.5972222221763964E-4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hidden="1" customHeight="1" x14ac:dyDescent="0.15">
      <c r="A150" s="2" t="str">
        <f ca="1">input_532010!A$2</f>
        <v>532010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IFERROR(VLOOKUP(B150,input_532010!L:R,7,FALSE),VLOOKUP(tables_532010!C150,input_532010!A:H,8,FALSE))</f>
        <v>200</v>
      </c>
      <c r="P150" s="46">
        <f t="shared" ca="1" si="7"/>
        <v>3.4722222221981035E-5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input_532010!A$2</f>
        <v>532010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IFERROR(VLOOKUP(B151,input_532010!L:R,7,FALSE),VLOOKUP(tables_532010!C151,input_532010!A:H,8,FALSE))</f>
        <v>3800</v>
      </c>
      <c r="P151" s="46">
        <f t="shared" ca="1" si="7"/>
        <v>6.5972222221763964E-4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hidden="1" customHeight="1" x14ac:dyDescent="0.15">
      <c r="A152" s="2" t="str">
        <f ca="1">input_532010!A$2</f>
        <v>532010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IFERROR(VLOOKUP(B152,input_532010!L:R,7,FALSE),VLOOKUP(tables_532010!C152,input_532010!A:H,8,FALSE))</f>
        <v>200</v>
      </c>
      <c r="P152" s="46">
        <f t="shared" ca="1" si="7"/>
        <v>3.4722222221981035E-5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input_532010!A$2</f>
        <v>532010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IFERROR(VLOOKUP(B153,input_532010!L:R,7,FALSE),VLOOKUP(tables_532010!C153,input_532010!A:H,8,FALSE))</f>
        <v>28500</v>
      </c>
      <c r="P153" s="46">
        <f t="shared" ca="1" si="7"/>
        <v>4.9479166666322972E-3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input_532010!A$2</f>
        <v>532010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IFERROR(VLOOKUP(B154,input_532010!L:R,7,FALSE),VLOOKUP(tables_532010!C154,input_532010!A:H,8,FALSE))</f>
        <v>24542.307690000001</v>
      </c>
      <c r="P154" s="46">
        <f t="shared" ca="1" si="7"/>
        <v>4.26081730726207E-3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hidden="1" customHeight="1" x14ac:dyDescent="0.15">
      <c r="A155" s="2" t="str">
        <f ca="1">input_532010!A$2</f>
        <v>532010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IFERROR(VLOOKUP(B155,input_532010!L:R,7,FALSE),VLOOKUP(tables_532010!C155,input_532010!A:H,8,FALSE))</f>
        <v>401.92308000000003</v>
      </c>
      <c r="P155" s="46">
        <f t="shared" ca="1" si="7"/>
        <v>6.9778312499515301E-5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input_532010!A$2</f>
        <v>532010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IFERROR(VLOOKUP(B156,input_532010!L:R,7,FALSE),VLOOKUP(tables_532010!C156,input_532010!A:H,8,FALSE))</f>
        <v>3800</v>
      </c>
      <c r="P156" s="46">
        <f t="shared" ca="1" si="7"/>
        <v>6.5972222221763964E-4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hidden="1" customHeight="1" x14ac:dyDescent="0.15">
      <c r="A157" s="2" t="str">
        <f ca="1">input_532010!A$2</f>
        <v>532010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IFERROR(VLOOKUP(B157,input_532010!L:R,7,FALSE),VLOOKUP(tables_532010!C157,input_532010!A:H,8,FALSE))</f>
        <v>200</v>
      </c>
      <c r="P157" s="46">
        <f t="shared" ca="1" si="7"/>
        <v>3.4722222221981035E-5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input_532010!A$2</f>
        <v>532010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IFERROR(VLOOKUP(B158,input_532010!L:R,7,FALSE),VLOOKUP(tables_532010!C158,input_532010!A:H,8,FALSE))</f>
        <v>28500</v>
      </c>
      <c r="P158" s="46">
        <f t="shared" ca="1" si="7"/>
        <v>4.9479166666322972E-3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input_532010!A$2</f>
        <v>532010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IFERROR(VLOOKUP(B159,input_532010!L:R,7,FALSE),VLOOKUP(tables_532010!C159,input_532010!A:H,8,FALSE))</f>
        <v>24542.307690000001</v>
      </c>
      <c r="P159" s="46">
        <f t="shared" ca="1" si="7"/>
        <v>4.26081730726207E-3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hidden="1" customHeight="1" x14ac:dyDescent="0.15">
      <c r="A160" s="2" t="str">
        <f ca="1">input_532010!A$2</f>
        <v>532010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IFERROR(VLOOKUP(B160,input_532010!L:R,7,FALSE),VLOOKUP(tables_532010!C160,input_532010!A:H,8,FALSE))</f>
        <v>401.92308000000003</v>
      </c>
      <c r="P160" s="46">
        <f t="shared" ca="1" si="7"/>
        <v>6.9778312499515301E-5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input_532010!A$2</f>
        <v>532010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IFERROR(VLOOKUP(B161,input_532010!L:R,7,FALSE),VLOOKUP(tables_532010!C161,input_532010!A:H,8,FALSE))</f>
        <v>28500</v>
      </c>
      <c r="P161" s="46">
        <f t="shared" ca="1" si="7"/>
        <v>4.9479166666322972E-3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input_532010!A$2</f>
        <v>532010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IFERROR(VLOOKUP(B162,input_532010!L:R,7,FALSE),VLOOKUP(tables_532010!C162,input_532010!A:H,8,FALSE))</f>
        <v>24542.307690000001</v>
      </c>
      <c r="P162" s="46">
        <f t="shared" ca="1" si="7"/>
        <v>4.26081730726207E-3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hidden="1" customHeight="1" x14ac:dyDescent="0.15">
      <c r="A163" s="2" t="str">
        <f ca="1">input_532010!A$2</f>
        <v>532010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IFERROR(VLOOKUP(B163,input_532010!L:R,7,FALSE),VLOOKUP(tables_532010!C163,input_532010!A:H,8,FALSE))</f>
        <v>401.92308000000003</v>
      </c>
      <c r="P163" s="46">
        <f t="shared" ca="1" si="7"/>
        <v>6.9778312499515301E-5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input_532010!A$2</f>
        <v>532010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IFERROR(VLOOKUP(B164,input_532010!L:R,7,FALSE),VLOOKUP(tables_532010!C164,input_532010!A:H,8,FALSE))</f>
        <v>3800</v>
      </c>
      <c r="P164" s="46">
        <f t="shared" ca="1" si="7"/>
        <v>6.5972222221763964E-4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hidden="1" customHeight="1" x14ac:dyDescent="0.15">
      <c r="A165" s="2" t="str">
        <f ca="1">input_532010!A$2</f>
        <v>532010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IFERROR(VLOOKUP(B165,input_532010!L:R,7,FALSE),VLOOKUP(tables_532010!C165,input_532010!A:H,8,FALSE))</f>
        <v>200</v>
      </c>
      <c r="P165" s="46">
        <f t="shared" ca="1" si="7"/>
        <v>3.4722222221981035E-5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input_532010!A$2</f>
        <v>532010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IFERROR(VLOOKUP(B166,input_532010!L:R,7,FALSE),VLOOKUP(tables_532010!C166,input_532010!A:H,8,FALSE))</f>
        <v>28500</v>
      </c>
      <c r="P166" s="46">
        <f t="shared" ca="1" si="7"/>
        <v>4.9479166666322972E-3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input_532010!A$2</f>
        <v>532010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IFERROR(VLOOKUP(B167,input_532010!L:R,7,FALSE),VLOOKUP(tables_532010!C167,input_532010!A:H,8,FALSE))</f>
        <v>24542.307690000001</v>
      </c>
      <c r="P167" s="46">
        <f t="shared" ca="1" si="7"/>
        <v>4.26081730726207E-3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hidden="1" customHeight="1" x14ac:dyDescent="0.15">
      <c r="A168" s="2" t="str">
        <f ca="1">input_532010!A$2</f>
        <v>532010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IFERROR(VLOOKUP(B168,input_532010!L:R,7,FALSE),VLOOKUP(tables_532010!C168,input_532010!A:H,8,FALSE))</f>
        <v>401.92308000000003</v>
      </c>
      <c r="P168" s="46">
        <f t="shared" ca="1" si="7"/>
        <v>6.9778312499515301E-5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input_532010!A$2</f>
        <v>532010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IFERROR(VLOOKUP(B169,input_532010!L:R,7,FALSE),VLOOKUP(tables_532010!C169,input_532010!A:H,8,FALSE))</f>
        <v>3800</v>
      </c>
      <c r="P169" s="46">
        <f t="shared" ca="1" si="7"/>
        <v>6.5972222221763964E-4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hidden="1" customHeight="1" x14ac:dyDescent="0.15">
      <c r="A170" s="2" t="str">
        <f ca="1">input_532010!A$2</f>
        <v>532010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IFERROR(VLOOKUP(B170,input_532010!L:R,7,FALSE),VLOOKUP(tables_532010!C170,input_532010!A:H,8,FALSE))</f>
        <v>200</v>
      </c>
      <c r="P170" s="46">
        <f t="shared" ca="1" si="7"/>
        <v>3.4722222221981035E-5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input_532010!A$2</f>
        <v>532010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IFERROR(VLOOKUP(B171,input_532010!L:R,7,FALSE),VLOOKUP(tables_532010!C171,input_532010!A:H,8,FALSE))</f>
        <v>28500</v>
      </c>
      <c r="P171" s="46">
        <f t="shared" ca="1" si="7"/>
        <v>4.9479166666322972E-3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input_532010!A$2</f>
        <v>532010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IFERROR(VLOOKUP(B172,input_532010!L:R,7,FALSE),VLOOKUP(tables_532010!C172,input_532010!A:H,8,FALSE))</f>
        <v>24542.307690000001</v>
      </c>
      <c r="P172" s="46">
        <f t="shared" ca="1" si="7"/>
        <v>4.26081730726207E-3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hidden="1" customHeight="1" x14ac:dyDescent="0.15">
      <c r="A173" s="2" t="str">
        <f ca="1">input_532010!A$2</f>
        <v>532010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IFERROR(VLOOKUP(B173,input_532010!L:R,7,FALSE),VLOOKUP(tables_532010!C173,input_532010!A:H,8,FALSE))</f>
        <v>401.92308000000003</v>
      </c>
      <c r="P173" s="46">
        <f t="shared" ca="1" si="7"/>
        <v>6.9778312499515301E-5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input_532010!A$2</f>
        <v>532010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IFERROR(VLOOKUP(B174,input_532010!L:R,7,FALSE),VLOOKUP(tables_532010!C174,input_532010!A:H,8,FALSE))</f>
        <v>3800</v>
      </c>
      <c r="P174" s="46">
        <f t="shared" ca="1" si="7"/>
        <v>6.5972222221763964E-4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hidden="1" customHeight="1" x14ac:dyDescent="0.15">
      <c r="A175" s="2" t="str">
        <f ca="1">input_532010!A$2</f>
        <v>532010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IFERROR(VLOOKUP(B175,input_532010!L:R,7,FALSE),VLOOKUP(tables_532010!C175,input_532010!A:H,8,FALSE))</f>
        <v>200</v>
      </c>
      <c r="P175" s="46">
        <f t="shared" ca="1" si="7"/>
        <v>3.4722222221981035E-5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input_532010!A$2</f>
        <v>532010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IFERROR(VLOOKUP(B176,input_532010!L:R,7,FALSE),VLOOKUP(tables_532010!C176,input_532010!A:H,8,FALSE))</f>
        <v>3800</v>
      </c>
      <c r="P176" s="46">
        <f t="shared" ca="1" si="7"/>
        <v>6.5972222221763964E-4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hidden="1" customHeight="1" x14ac:dyDescent="0.15">
      <c r="A177" s="2" t="str">
        <f ca="1">input_532010!A$2</f>
        <v>532010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IFERROR(VLOOKUP(B177,input_532010!L:R,7,FALSE),VLOOKUP(tables_532010!C177,input_532010!A:H,8,FALSE))</f>
        <v>200</v>
      </c>
      <c r="P177" s="46">
        <f t="shared" ca="1" si="7"/>
        <v>3.4722222221981035E-5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input_532010!A$2</f>
        <v>532010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IFERROR(VLOOKUP(B178,input_532010!L:R,7,FALSE),VLOOKUP(tables_532010!C178,input_532010!A:H,8,FALSE))</f>
        <v>28500</v>
      </c>
      <c r="P178" s="46">
        <f t="shared" ca="1" si="7"/>
        <v>4.9479166666322972E-3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input_532010!A$2</f>
        <v>532010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IFERROR(VLOOKUP(B179,input_532010!L:R,7,FALSE),VLOOKUP(tables_532010!C179,input_532010!A:H,8,FALSE))</f>
        <v>24542.307690000001</v>
      </c>
      <c r="P179" s="46">
        <f t="shared" ca="1" si="7"/>
        <v>4.26081730726207E-3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hidden="1" customHeight="1" x14ac:dyDescent="0.15">
      <c r="A180" s="2" t="str">
        <f ca="1">input_532010!A$2</f>
        <v>532010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IFERROR(VLOOKUP(B180,input_532010!L:R,7,FALSE),VLOOKUP(tables_532010!C180,input_532010!A:H,8,FALSE))</f>
        <v>401.92308000000003</v>
      </c>
      <c r="P180" s="46">
        <f t="shared" ca="1" si="7"/>
        <v>6.9778312499515301E-5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input_532010!A$2</f>
        <v>532010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IFERROR(VLOOKUP(B181,input_532010!L:R,7,FALSE),VLOOKUP(tables_532010!C181,input_532010!A:H,8,FALSE))</f>
        <v>28500</v>
      </c>
      <c r="P181" s="46">
        <f t="shared" ca="1" si="7"/>
        <v>4.9479166666322972E-3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input_532010!A$2</f>
        <v>532010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IFERROR(VLOOKUP(B182,input_532010!L:R,7,FALSE),VLOOKUP(tables_532010!C182,input_532010!A:H,8,FALSE))</f>
        <v>24542.307690000001</v>
      </c>
      <c r="P182" s="46">
        <f t="shared" ca="1" si="7"/>
        <v>4.26081730726207E-3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hidden="1" customHeight="1" x14ac:dyDescent="0.15">
      <c r="A183" s="2" t="str">
        <f ca="1">input_532010!A$2</f>
        <v>532010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IFERROR(VLOOKUP(B183,input_532010!L:R,7,FALSE),VLOOKUP(tables_532010!C183,input_532010!A:H,8,FALSE))</f>
        <v>401.92308000000003</v>
      </c>
      <c r="P183" s="46">
        <f t="shared" ca="1" si="7"/>
        <v>6.9778312499515301E-5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input_532010!A$2</f>
        <v>532010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IFERROR(VLOOKUP(B184,input_532010!L:R,7,FALSE),VLOOKUP(tables_532010!C184,input_532010!A:H,8,FALSE))</f>
        <v>3800</v>
      </c>
      <c r="P184" s="46">
        <f t="shared" ca="1" si="7"/>
        <v>6.5972222221763964E-4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hidden="1" customHeight="1" x14ac:dyDescent="0.15">
      <c r="A185" s="2" t="str">
        <f ca="1">input_532010!A$2</f>
        <v>532010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IFERROR(VLOOKUP(B185,input_532010!L:R,7,FALSE),VLOOKUP(tables_532010!C185,input_532010!A:H,8,FALSE))</f>
        <v>200</v>
      </c>
      <c r="P185" s="46">
        <f t="shared" ca="1" si="7"/>
        <v>3.4722222221981035E-5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input_532010!A$2</f>
        <v>532010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IFERROR(VLOOKUP(B186,input_532010!L:R,7,FALSE),VLOOKUP(tables_532010!C186,input_532010!A:H,8,FALSE))</f>
        <v>28500</v>
      </c>
      <c r="P186" s="46">
        <f t="shared" ca="1" si="7"/>
        <v>4.9479166666322972E-3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input_532010!A$2</f>
        <v>532010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IFERROR(VLOOKUP(B187,input_532010!L:R,7,FALSE),VLOOKUP(tables_532010!C187,input_532010!A:H,8,FALSE))</f>
        <v>24542.307690000001</v>
      </c>
      <c r="P187" s="46">
        <f t="shared" ca="1" si="7"/>
        <v>4.26081730726207E-3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hidden="1" customHeight="1" x14ac:dyDescent="0.15">
      <c r="A188" s="2" t="str">
        <f ca="1">input_532010!A$2</f>
        <v>532010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IFERROR(VLOOKUP(B188,input_532010!L:R,7,FALSE),VLOOKUP(tables_532010!C188,input_532010!A:H,8,FALSE))</f>
        <v>401.92308000000003</v>
      </c>
      <c r="P188" s="46">
        <f t="shared" ca="1" si="7"/>
        <v>6.9778312499515301E-5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input_532010!A$2</f>
        <v>532010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IFERROR(VLOOKUP(B189,input_532010!L:R,7,FALSE),VLOOKUP(tables_532010!C189,input_532010!A:H,8,FALSE))</f>
        <v>3800</v>
      </c>
      <c r="P189" s="46">
        <f t="shared" ca="1" si="7"/>
        <v>6.5972222221763964E-4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hidden="1" customHeight="1" thickBot="1" x14ac:dyDescent="0.2">
      <c r="A190" s="2" t="str">
        <f ca="1">input_532010!A$2</f>
        <v>532010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IFERROR(VLOOKUP(B190,input_532010!L:R,7,FALSE),VLOOKUP(tables_532010!C190,input_532010!A:H,8,FALSE))</f>
        <v>200</v>
      </c>
      <c r="P190" s="46">
        <f t="shared" ca="1" si="7"/>
        <v>3.4722222221981035E-5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input_532010!A$2</f>
        <v>532010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IFERROR(VLOOKUP(B191,input_532010!L:R,7,FALSE),VLOOKUP(tables_532010!C191,input_532010!A:H,8,FALSE))</f>
        <v>3800</v>
      </c>
      <c r="P191" s="46">
        <f t="shared" ca="1" si="7"/>
        <v>6.5972222221763964E-4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hidden="1" customHeight="1" x14ac:dyDescent="0.15">
      <c r="A192" s="2" t="str">
        <f ca="1">input_532010!A$2</f>
        <v>532010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IFERROR(VLOOKUP(B192,input_532010!L:R,7,FALSE),VLOOKUP(tables_532010!C192,input_532010!A:H,8,FALSE))</f>
        <v>200</v>
      </c>
      <c r="P192" s="46">
        <f t="shared" ca="1" si="7"/>
        <v>3.4722222221981035E-5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input_532010!A$2</f>
        <v>532010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IFERROR(VLOOKUP(B193,input_532010!L:R,7,FALSE),VLOOKUP(tables_532010!C193,input_532010!A:H,8,FALSE))</f>
        <v>28500</v>
      </c>
      <c r="P193" s="46">
        <f t="shared" ca="1" si="7"/>
        <v>4.9479166666322972E-3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input_532010!A$2</f>
        <v>532010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IFERROR(VLOOKUP(B194,input_532010!L:R,7,FALSE),VLOOKUP(tables_532010!C194,input_532010!A:H,8,FALSE))</f>
        <v>24542.307690000001</v>
      </c>
      <c r="P194" s="46">
        <f t="shared" ref="P194:P257" ca="1" si="10">O194/SUM(O:O)</f>
        <v>4.26081730726207E-3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hidden="1" customHeight="1" x14ac:dyDescent="0.15">
      <c r="A195" s="2" t="str">
        <f ca="1">input_532010!A$2</f>
        <v>532010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IFERROR(VLOOKUP(B195,input_532010!L:R,7,FALSE),VLOOKUP(tables_532010!C195,input_532010!A:H,8,FALSE))</f>
        <v>401.92308000000003</v>
      </c>
      <c r="P195" s="46">
        <f t="shared" ca="1" si="10"/>
        <v>6.9778312499515301E-5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input_532010!A$2</f>
        <v>532010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IFERROR(VLOOKUP(B196,input_532010!L:R,7,FALSE),VLOOKUP(tables_532010!C196,input_532010!A:H,8,FALSE))</f>
        <v>3800</v>
      </c>
      <c r="P196" s="46">
        <f t="shared" ca="1" si="10"/>
        <v>6.5972222221763964E-4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hidden="1" customHeight="1" x14ac:dyDescent="0.15">
      <c r="A197" s="2" t="str">
        <f ca="1">input_532010!A$2</f>
        <v>532010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IFERROR(VLOOKUP(B197,input_532010!L:R,7,FALSE),VLOOKUP(tables_532010!C197,input_532010!A:H,8,FALSE))</f>
        <v>200</v>
      </c>
      <c r="P197" s="46">
        <f t="shared" ca="1" si="10"/>
        <v>3.4722222221981035E-5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input_532010!A$2</f>
        <v>532010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IFERROR(VLOOKUP(B198,input_532010!L:R,7,FALSE),VLOOKUP(tables_532010!C198,input_532010!A:H,8,FALSE))</f>
        <v>28500</v>
      </c>
      <c r="P198" s="46">
        <f t="shared" ca="1" si="10"/>
        <v>4.9479166666322972E-3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input_532010!A$2</f>
        <v>532010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IFERROR(VLOOKUP(B199,input_532010!L:R,7,FALSE),VLOOKUP(tables_532010!C199,input_532010!A:H,8,FALSE))</f>
        <v>24542.307690000001</v>
      </c>
      <c r="P199" s="46">
        <f t="shared" ca="1" si="10"/>
        <v>4.26081730726207E-3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hidden="1" customHeight="1" x14ac:dyDescent="0.15">
      <c r="A200" s="2" t="str">
        <f ca="1">input_532010!A$2</f>
        <v>532010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IFERROR(VLOOKUP(B200,input_532010!L:R,7,FALSE),VLOOKUP(tables_532010!C200,input_532010!A:H,8,FALSE))</f>
        <v>401.92308000000003</v>
      </c>
      <c r="P200" s="46">
        <f t="shared" ca="1" si="10"/>
        <v>6.9778312499515301E-5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input_532010!A$2</f>
        <v>532010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IFERROR(VLOOKUP(B201,input_532010!L:R,7,FALSE),VLOOKUP(tables_532010!C201,input_532010!A:H,8,FALSE))</f>
        <v>3800</v>
      </c>
      <c r="P201" s="46">
        <f t="shared" ca="1" si="10"/>
        <v>6.5972222221763964E-4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hidden="1" customHeight="1" x14ac:dyDescent="0.15">
      <c r="A202" s="2" t="str">
        <f ca="1">input_532010!A$2</f>
        <v>532010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IFERROR(VLOOKUP(B202,input_532010!L:R,7,FALSE),VLOOKUP(tables_532010!C202,input_532010!A:H,8,FALSE))</f>
        <v>200</v>
      </c>
      <c r="P202" s="46">
        <f t="shared" ca="1" si="10"/>
        <v>3.4722222221981035E-5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input_532010!A$2</f>
        <v>532010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IFERROR(VLOOKUP(B203,input_532010!L:R,7,FALSE),VLOOKUP(tables_532010!C203,input_532010!A:H,8,FALSE))</f>
        <v>28500</v>
      </c>
      <c r="P203" s="46">
        <f t="shared" ca="1" si="10"/>
        <v>4.9479166666322972E-3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input_532010!A$2</f>
        <v>532010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IFERROR(VLOOKUP(B204,input_532010!L:R,7,FALSE),VLOOKUP(tables_532010!C204,input_532010!A:H,8,FALSE))</f>
        <v>24542.307690000001</v>
      </c>
      <c r="P204" s="46">
        <f t="shared" ca="1" si="10"/>
        <v>4.26081730726207E-3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hidden="1" customHeight="1" x14ac:dyDescent="0.15">
      <c r="A205" s="2" t="str">
        <f ca="1">input_532010!A$2</f>
        <v>532010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IFERROR(VLOOKUP(B205,input_532010!L:R,7,FALSE),VLOOKUP(tables_532010!C205,input_532010!A:H,8,FALSE))</f>
        <v>401.92308000000003</v>
      </c>
      <c r="P205" s="46">
        <f t="shared" ca="1" si="10"/>
        <v>6.9778312499515301E-5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input_532010!A$2</f>
        <v>532010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IFERROR(VLOOKUP(B206,input_532010!L:R,7,FALSE),VLOOKUP(tables_532010!C206,input_532010!A:H,8,FALSE))</f>
        <v>3800</v>
      </c>
      <c r="P206" s="46">
        <f t="shared" ca="1" si="10"/>
        <v>6.5972222221763964E-4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hidden="1" customHeight="1" x14ac:dyDescent="0.15">
      <c r="A207" s="2" t="str">
        <f ca="1">input_532010!A$2</f>
        <v>532010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IFERROR(VLOOKUP(B207,input_532010!L:R,7,FALSE),VLOOKUP(tables_532010!C207,input_532010!A:H,8,FALSE))</f>
        <v>200</v>
      </c>
      <c r="P207" s="46">
        <f t="shared" ca="1" si="10"/>
        <v>3.4722222221981035E-5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input_532010!A$2</f>
        <v>532010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IFERROR(VLOOKUP(B208,input_532010!L:R,7,FALSE),VLOOKUP(tables_532010!C208,input_532010!A:H,8,FALSE))</f>
        <v>3800</v>
      </c>
      <c r="P208" s="46">
        <f t="shared" ca="1" si="10"/>
        <v>6.5972222221763964E-4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hidden="1" customHeight="1" x14ac:dyDescent="0.15">
      <c r="A209" s="2" t="str">
        <f ca="1">input_532010!A$2</f>
        <v>532010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IFERROR(VLOOKUP(B209,input_532010!L:R,7,FALSE),VLOOKUP(tables_532010!C209,input_532010!A:H,8,FALSE))</f>
        <v>200</v>
      </c>
      <c r="P209" s="46">
        <f t="shared" ca="1" si="10"/>
        <v>3.4722222221981035E-5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input_532010!A$2</f>
        <v>532010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IFERROR(VLOOKUP(B210,input_532010!L:R,7,FALSE),VLOOKUP(tables_532010!C210,input_532010!A:H,8,FALSE))</f>
        <v>28500</v>
      </c>
      <c r="P210" s="46">
        <f t="shared" ca="1" si="10"/>
        <v>4.9479166666322972E-3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input_532010!A$2</f>
        <v>532010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IFERROR(VLOOKUP(B211,input_532010!L:R,7,FALSE),VLOOKUP(tables_532010!C211,input_532010!A:H,8,FALSE))</f>
        <v>24542.307690000001</v>
      </c>
      <c r="P211" s="46">
        <f t="shared" ca="1" si="10"/>
        <v>4.26081730726207E-3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hidden="1" customHeight="1" x14ac:dyDescent="0.15">
      <c r="A212" s="2" t="str">
        <f ca="1">input_532010!A$2</f>
        <v>532010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IFERROR(VLOOKUP(B212,input_532010!L:R,7,FALSE),VLOOKUP(tables_532010!C212,input_532010!A:H,8,FALSE))</f>
        <v>401.92308000000003</v>
      </c>
      <c r="P212" s="46">
        <f t="shared" ca="1" si="10"/>
        <v>6.9778312499515301E-5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input_532010!A$2</f>
        <v>532010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IFERROR(VLOOKUP(B213,input_532010!L:R,7,FALSE),VLOOKUP(tables_532010!C213,input_532010!A:H,8,FALSE))</f>
        <v>3800</v>
      </c>
      <c r="P213" s="46">
        <f t="shared" ca="1" si="10"/>
        <v>6.5972222221763964E-4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hidden="1" customHeight="1" x14ac:dyDescent="0.15">
      <c r="A214" s="2" t="str">
        <f ca="1">input_532010!A$2</f>
        <v>532010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IFERROR(VLOOKUP(B214,input_532010!L:R,7,FALSE),VLOOKUP(tables_532010!C214,input_532010!A:H,8,FALSE))</f>
        <v>200</v>
      </c>
      <c r="P214" s="46">
        <f t="shared" ca="1" si="10"/>
        <v>3.4722222221981035E-5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hidden="1" customHeight="1" x14ac:dyDescent="0.15">
      <c r="A215" s="2" t="str">
        <f ca="1">input_532010!A$2</f>
        <v>532010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IFERROR(VLOOKUP(B215,input_532010!L:R,7,FALSE),VLOOKUP(tables_532010!C215,input_532010!A:H,8,FALSE))</f>
        <v>2850</v>
      </c>
      <c r="P215" s="46">
        <f t="shared" ca="1" si="10"/>
        <v>4.9479166666322968E-4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hidden="1" customHeight="1" x14ac:dyDescent="0.15">
      <c r="A216" s="2" t="str">
        <f ca="1">input_532010!A$2</f>
        <v>532010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IFERROR(VLOOKUP(B216,input_532010!L:R,7,FALSE),VLOOKUP(tables_532010!C216,input_532010!A:H,8,FALSE))</f>
        <v>2850</v>
      </c>
      <c r="P216" s="46">
        <f t="shared" ca="1" si="10"/>
        <v>4.9479166666322968E-4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hidden="1" customHeight="1" x14ac:dyDescent="0.15">
      <c r="A217" s="2" t="str">
        <f ca="1">input_532010!A$2</f>
        <v>532010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IFERROR(VLOOKUP(B217,input_532010!L:R,7,FALSE),VLOOKUP(tables_532010!C217,input_532010!A:H,8,FALSE))</f>
        <v>2850</v>
      </c>
      <c r="P217" s="46">
        <f t="shared" ca="1" si="10"/>
        <v>4.9479166666322968E-4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hidden="1" customHeight="1" x14ac:dyDescent="0.15">
      <c r="A218" s="2" t="str">
        <f ca="1">input_532010!A$2</f>
        <v>532010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IFERROR(VLOOKUP(B218,input_532010!L:R,7,FALSE),VLOOKUP(tables_532010!C218,input_532010!A:H,8,FALSE))</f>
        <v>2850</v>
      </c>
      <c r="P218" s="46">
        <f t="shared" ca="1" si="10"/>
        <v>4.9479166666322968E-4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hidden="1" customHeight="1" x14ac:dyDescent="0.15">
      <c r="A219" s="2" t="str">
        <f ca="1">input_532010!A$2</f>
        <v>532010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IFERROR(VLOOKUP(B219,input_532010!L:R,7,FALSE),VLOOKUP(tables_532010!C219,input_532010!A:H,8,FALSE))</f>
        <v>2850</v>
      </c>
      <c r="P219" s="46">
        <f t="shared" ca="1" si="10"/>
        <v>4.9479166666322968E-4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hidden="1" customHeight="1" x14ac:dyDescent="0.15">
      <c r="A220" s="2" t="str">
        <f ca="1">input_532010!A$2</f>
        <v>532010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IFERROR(VLOOKUP(B220,input_532010!L:R,7,FALSE),VLOOKUP(tables_532010!C220,input_532010!A:H,8,FALSE))</f>
        <v>2850</v>
      </c>
      <c r="P220" s="46">
        <f t="shared" ca="1" si="10"/>
        <v>4.9479166666322968E-4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input_532010!A$2</f>
        <v>532010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IFERROR(VLOOKUP(B221,input_532010!L:R,7,FALSE),VLOOKUP(tables_532010!C221,input_532010!A:H,8,FALSE))</f>
        <v>3800</v>
      </c>
      <c r="P221" s="46">
        <f t="shared" ca="1" si="10"/>
        <v>6.5972222221763964E-4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hidden="1" customHeight="1" x14ac:dyDescent="0.15">
      <c r="A222" s="2" t="str">
        <f ca="1">input_532010!A$2</f>
        <v>532010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IFERROR(VLOOKUP(B222,input_532010!L:R,7,FALSE),VLOOKUP(tables_532010!C222,input_532010!A:H,8,FALSE))</f>
        <v>200</v>
      </c>
      <c r="P222" s="46">
        <f t="shared" ca="1" si="10"/>
        <v>3.4722222221981035E-5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input_532010!A$2</f>
        <v>532010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IFERROR(VLOOKUP(B223,input_532010!L:R,7,FALSE),VLOOKUP(tables_532010!C223,input_532010!A:H,8,FALSE))</f>
        <v>28500</v>
      </c>
      <c r="P223" s="46">
        <f t="shared" ca="1" si="10"/>
        <v>4.9479166666322972E-3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hidden="1" customHeight="1" x14ac:dyDescent="0.15">
      <c r="A224" s="2" t="str">
        <f ca="1">input_532010!A$2</f>
        <v>532010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IFERROR(VLOOKUP(B224,input_532010!L:R,7,FALSE),VLOOKUP(tables_532010!C224,input_532010!A:H,8,FALSE))</f>
        <v>24542.307690000001</v>
      </c>
      <c r="P224" s="46">
        <f t="shared" ca="1" si="10"/>
        <v>4.26081730726207E-3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hidden="1" customHeight="1" x14ac:dyDescent="0.15">
      <c r="A225" s="2" t="str">
        <f ca="1">input_532010!A$2</f>
        <v>532010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IFERROR(VLOOKUP(B225,input_532010!L:R,7,FALSE),VLOOKUP(tables_532010!C225,input_532010!A:H,8,FALSE))</f>
        <v>401.92308000000003</v>
      </c>
      <c r="P225" s="46">
        <f t="shared" ca="1" si="10"/>
        <v>6.9778312499515301E-5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input_532010!A$2</f>
        <v>532010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IFERROR(VLOOKUP(B226,input_532010!L:R,7,FALSE),VLOOKUP(tables_532010!C226,input_532010!A:H,8,FALSE))</f>
        <v>28500</v>
      </c>
      <c r="P226" s="46">
        <f t="shared" ca="1" si="10"/>
        <v>4.9479166666322972E-3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input_532010!A$2</f>
        <v>532010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IFERROR(VLOOKUP(B227,input_532010!L:R,7,FALSE),VLOOKUP(tables_532010!C227,input_532010!A:H,8,FALSE))</f>
        <v>24542.307690000001</v>
      </c>
      <c r="P227" s="46">
        <f t="shared" ca="1" si="10"/>
        <v>4.26081730726207E-3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hidden="1" customHeight="1" x14ac:dyDescent="0.15">
      <c r="A228" s="2" t="str">
        <f ca="1">input_532010!A$2</f>
        <v>532010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IFERROR(VLOOKUP(B228,input_532010!L:R,7,FALSE),VLOOKUP(tables_532010!C228,input_532010!A:H,8,FALSE))</f>
        <v>401.92308000000003</v>
      </c>
      <c r="P228" s="46">
        <f t="shared" ca="1" si="10"/>
        <v>6.9778312499515301E-5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input_532010!A$2</f>
        <v>532010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IFERROR(VLOOKUP(B229,input_532010!L:R,7,FALSE),VLOOKUP(tables_532010!C229,input_532010!A:H,8,FALSE))</f>
        <v>3800</v>
      </c>
      <c r="P229" s="46">
        <f t="shared" ca="1" si="10"/>
        <v>6.5972222221763964E-4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hidden="1" customHeight="1" x14ac:dyDescent="0.15">
      <c r="A230" s="2" t="str">
        <f ca="1">input_532010!A$2</f>
        <v>532010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IFERROR(VLOOKUP(B230,input_532010!L:R,7,FALSE),VLOOKUP(tables_532010!C230,input_532010!A:H,8,FALSE))</f>
        <v>200</v>
      </c>
      <c r="P230" s="46">
        <f t="shared" ca="1" si="10"/>
        <v>3.4722222221981035E-5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input_532010!A$2</f>
        <v>532010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IFERROR(VLOOKUP(B231,input_532010!L:R,7,FALSE),VLOOKUP(tables_532010!C231,input_532010!A:H,8,FALSE))</f>
        <v>28500</v>
      </c>
      <c r="P231" s="46">
        <f t="shared" ca="1" si="10"/>
        <v>4.9479166666322972E-3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hidden="1" customHeight="1" x14ac:dyDescent="0.15">
      <c r="A232" s="2" t="str">
        <f ca="1">input_532010!A$2</f>
        <v>532010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IFERROR(VLOOKUP(B232,input_532010!L:R,7,FALSE),VLOOKUP(tables_532010!C232,input_532010!A:H,8,FALSE))</f>
        <v>24542.307690000001</v>
      </c>
      <c r="P232" s="46">
        <f t="shared" ca="1" si="10"/>
        <v>4.26081730726207E-3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hidden="1" customHeight="1" x14ac:dyDescent="0.15">
      <c r="A233" s="2" t="str">
        <f ca="1">input_532010!A$2</f>
        <v>532010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IFERROR(VLOOKUP(B233,input_532010!L:R,7,FALSE),VLOOKUP(tables_532010!C233,input_532010!A:H,8,FALSE))</f>
        <v>401.92308000000003</v>
      </c>
      <c r="P233" s="46">
        <f t="shared" ca="1" si="10"/>
        <v>6.9778312499515301E-5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input_532010!A$2</f>
        <v>532010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IFERROR(VLOOKUP(B234,input_532010!L:R,7,FALSE),VLOOKUP(tables_532010!C234,input_532010!A:H,8,FALSE))</f>
        <v>28500</v>
      </c>
      <c r="P234" s="46">
        <f t="shared" ca="1" si="10"/>
        <v>4.9479166666322972E-3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input_532010!A$2</f>
        <v>532010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IFERROR(VLOOKUP(B235,input_532010!L:R,7,FALSE),VLOOKUP(tables_532010!C235,input_532010!A:H,8,FALSE))</f>
        <v>24542.307690000001</v>
      </c>
      <c r="P235" s="46">
        <f t="shared" ca="1" si="10"/>
        <v>4.26081730726207E-3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hidden="1" customHeight="1" x14ac:dyDescent="0.15">
      <c r="A236" s="2" t="str">
        <f ca="1">input_532010!A$2</f>
        <v>532010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IFERROR(VLOOKUP(B236,input_532010!L:R,7,FALSE),VLOOKUP(tables_532010!C236,input_532010!A:H,8,FALSE))</f>
        <v>401.92308000000003</v>
      </c>
      <c r="P236" s="46">
        <f t="shared" ca="1" si="10"/>
        <v>6.9778312499515301E-5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hidden="1" customHeight="1" x14ac:dyDescent="0.15">
      <c r="A237" s="2" t="str">
        <f ca="1">input_532010!A$2</f>
        <v>532010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IFERROR(VLOOKUP(B237,input_532010!L:R,7,FALSE),VLOOKUP(tables_532010!C237,input_532010!A:H,8,FALSE))</f>
        <v>3800</v>
      </c>
      <c r="P237" s="46">
        <f t="shared" ca="1" si="10"/>
        <v>6.5972222221763964E-4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hidden="1" customHeight="1" x14ac:dyDescent="0.15">
      <c r="A238" s="2" t="str">
        <f ca="1">input_532010!A$2</f>
        <v>532010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IFERROR(VLOOKUP(B238,input_532010!L:R,7,FALSE),VLOOKUP(tables_532010!C238,input_532010!A:H,8,FALSE))</f>
        <v>200</v>
      </c>
      <c r="P238" s="46">
        <f t="shared" ca="1" si="10"/>
        <v>3.4722222221981035E-5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input_532010!A$2</f>
        <v>532010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IFERROR(VLOOKUP(B239,input_532010!L:R,7,FALSE),VLOOKUP(tables_532010!C239,input_532010!A:H,8,FALSE))</f>
        <v>28500</v>
      </c>
      <c r="P239" s="46">
        <f t="shared" ca="1" si="10"/>
        <v>4.9479166666322972E-3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input_532010!A$2</f>
        <v>532010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IFERROR(VLOOKUP(B240,input_532010!L:R,7,FALSE),VLOOKUP(tables_532010!C240,input_532010!A:H,8,FALSE))</f>
        <v>24542.307690000001</v>
      </c>
      <c r="P240" s="46">
        <f t="shared" ca="1" si="10"/>
        <v>4.26081730726207E-3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hidden="1" customHeight="1" x14ac:dyDescent="0.15">
      <c r="A241" s="2" t="str">
        <f ca="1">input_532010!A$2</f>
        <v>532010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IFERROR(VLOOKUP(B241,input_532010!L:R,7,FALSE),VLOOKUP(tables_532010!C241,input_532010!A:H,8,FALSE))</f>
        <v>401.92308000000003</v>
      </c>
      <c r="P241" s="46">
        <f t="shared" ca="1" si="10"/>
        <v>6.9778312499515301E-5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input_532010!A$2</f>
        <v>532010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IFERROR(VLOOKUP(B242,input_532010!L:R,7,FALSE),VLOOKUP(tables_532010!C242,input_532010!A:H,8,FALSE))</f>
        <v>3800</v>
      </c>
      <c r="P242" s="46">
        <f t="shared" ca="1" si="10"/>
        <v>6.5972222221763964E-4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hidden="1" customHeight="1" x14ac:dyDescent="0.15">
      <c r="A243" s="2" t="str">
        <f ca="1">input_532010!A$2</f>
        <v>532010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IFERROR(VLOOKUP(B243,input_532010!L:R,7,FALSE),VLOOKUP(tables_532010!C243,input_532010!A:H,8,FALSE))</f>
        <v>200</v>
      </c>
      <c r="P243" s="46">
        <f t="shared" ca="1" si="10"/>
        <v>3.4722222221981035E-5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input_532010!A$2</f>
        <v>532010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IFERROR(VLOOKUP(B244,input_532010!L:R,7,FALSE),VLOOKUP(tables_532010!C244,input_532010!A:H,8,FALSE))</f>
        <v>3800</v>
      </c>
      <c r="P244" s="46">
        <f t="shared" ca="1" si="10"/>
        <v>6.5972222221763964E-4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hidden="1" customHeight="1" x14ac:dyDescent="0.15">
      <c r="A245" s="2" t="str">
        <f ca="1">input_532010!A$2</f>
        <v>532010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IFERROR(VLOOKUP(B245,input_532010!L:R,7,FALSE),VLOOKUP(tables_532010!C245,input_532010!A:H,8,FALSE))</f>
        <v>200</v>
      </c>
      <c r="P245" s="46">
        <f t="shared" ca="1" si="10"/>
        <v>3.4722222221981035E-5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input_532010!A$2</f>
        <v>532010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IFERROR(VLOOKUP(B246,input_532010!L:R,7,FALSE),VLOOKUP(tables_532010!C246,input_532010!A:H,8,FALSE))</f>
        <v>28500</v>
      </c>
      <c r="P246" s="46">
        <f t="shared" ca="1" si="10"/>
        <v>4.9479166666322972E-3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input_532010!A$2</f>
        <v>532010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IFERROR(VLOOKUP(B247,input_532010!L:R,7,FALSE),VLOOKUP(tables_532010!C247,input_532010!A:H,8,FALSE))</f>
        <v>24542.307690000001</v>
      </c>
      <c r="P247" s="46">
        <f t="shared" ca="1" si="10"/>
        <v>4.26081730726207E-3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hidden="1" customHeight="1" x14ac:dyDescent="0.15">
      <c r="A248" s="2" t="str">
        <f ca="1">input_532010!A$2</f>
        <v>532010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IFERROR(VLOOKUP(B248,input_532010!L:R,7,FALSE),VLOOKUP(tables_532010!C248,input_532010!A:H,8,FALSE))</f>
        <v>401.92308000000003</v>
      </c>
      <c r="P248" s="46">
        <f t="shared" ca="1" si="10"/>
        <v>6.9778312499515301E-5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input_532010!A$2</f>
        <v>532010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IFERROR(VLOOKUP(B249,input_532010!L:R,7,FALSE),VLOOKUP(tables_532010!C249,input_532010!A:H,8,FALSE))</f>
        <v>28500</v>
      </c>
      <c r="P249" s="46">
        <f t="shared" ca="1" si="10"/>
        <v>4.9479166666322972E-3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input_532010!A$2</f>
        <v>532010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IFERROR(VLOOKUP(B250,input_532010!L:R,7,FALSE),VLOOKUP(tables_532010!C250,input_532010!A:H,8,FALSE))</f>
        <v>24542.307690000001</v>
      </c>
      <c r="P250" s="46">
        <f t="shared" ca="1" si="10"/>
        <v>4.26081730726207E-3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hidden="1" customHeight="1" x14ac:dyDescent="0.15">
      <c r="A251" s="2" t="str">
        <f ca="1">input_532010!A$2</f>
        <v>532010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IFERROR(VLOOKUP(B251,input_532010!L:R,7,FALSE),VLOOKUP(tables_532010!C251,input_532010!A:H,8,FALSE))</f>
        <v>401.92308000000003</v>
      </c>
      <c r="P251" s="46">
        <f t="shared" ca="1" si="10"/>
        <v>6.9778312499515301E-5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input_532010!A$2</f>
        <v>532010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IFERROR(VLOOKUP(B252,input_532010!L:R,7,FALSE),VLOOKUP(tables_532010!C252,input_532010!A:H,8,FALSE))</f>
        <v>28500</v>
      </c>
      <c r="P252" s="46">
        <f t="shared" ca="1" si="10"/>
        <v>4.9479166666322972E-3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hidden="1" customHeight="1" x14ac:dyDescent="0.15">
      <c r="A253" s="2" t="str">
        <f ca="1">input_532010!A$2</f>
        <v>532010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IFERROR(VLOOKUP(B253,input_532010!L:R,7,FALSE),VLOOKUP(tables_532010!C253,input_532010!A:H,8,FALSE))</f>
        <v>24542.307690000001</v>
      </c>
      <c r="P253" s="46">
        <f t="shared" ca="1" si="10"/>
        <v>4.26081730726207E-3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hidden="1" customHeight="1" x14ac:dyDescent="0.15">
      <c r="A254" s="2" t="str">
        <f ca="1">input_532010!A$2</f>
        <v>532010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IFERROR(VLOOKUP(B254,input_532010!L:R,7,FALSE),VLOOKUP(tables_532010!C254,input_532010!A:H,8,FALSE))</f>
        <v>401.92308000000003</v>
      </c>
      <c r="P254" s="46">
        <f t="shared" ca="1" si="10"/>
        <v>6.9778312499515301E-5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input_532010!A$2</f>
        <v>532010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IFERROR(VLOOKUP(B255,input_532010!L:R,7,FALSE),VLOOKUP(tables_532010!C255,input_532010!A:H,8,FALSE))</f>
        <v>28500</v>
      </c>
      <c r="P255" s="46">
        <f t="shared" ca="1" si="10"/>
        <v>4.9479166666322972E-3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input_532010!A$2</f>
        <v>532010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IFERROR(VLOOKUP(B256,input_532010!L:R,7,FALSE),VLOOKUP(tables_532010!C256,input_532010!A:H,8,FALSE))</f>
        <v>24542.307690000001</v>
      </c>
      <c r="P256" s="46">
        <f t="shared" ca="1" si="10"/>
        <v>4.26081730726207E-3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hidden="1" customHeight="1" x14ac:dyDescent="0.15">
      <c r="A257" s="2" t="str">
        <f ca="1">input_532010!A$2</f>
        <v>532010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IFERROR(VLOOKUP(B257,input_532010!L:R,7,FALSE),VLOOKUP(tables_532010!C257,input_532010!A:H,8,FALSE))</f>
        <v>401.92308000000003</v>
      </c>
      <c r="P257" s="46">
        <f t="shared" ca="1" si="10"/>
        <v>6.9778312499515301E-5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input_532010!A$2</f>
        <v>532010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IFERROR(VLOOKUP(B258,input_532010!L:R,7,FALSE),VLOOKUP(tables_532010!C258,input_532010!A:H,8,FALSE))</f>
        <v>3800</v>
      </c>
      <c r="P258" s="46">
        <f t="shared" ref="P258:P321" ca="1" si="13">O258/SUM(O:O)</f>
        <v>6.5972222221763964E-4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hidden="1" customHeight="1" x14ac:dyDescent="0.15">
      <c r="A259" s="2" t="str">
        <f ca="1">input_532010!A$2</f>
        <v>532010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IFERROR(VLOOKUP(B259,input_532010!L:R,7,FALSE),VLOOKUP(tables_532010!C259,input_532010!A:H,8,FALSE))</f>
        <v>200</v>
      </c>
      <c r="P259" s="46">
        <f t="shared" ca="1" si="13"/>
        <v>3.4722222221981035E-5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hidden="1" customHeight="1" x14ac:dyDescent="0.15">
      <c r="A260" s="2" t="str">
        <f ca="1">input_532010!A$2</f>
        <v>532010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IFERROR(VLOOKUP(B260,input_532010!L:R,7,FALSE),VLOOKUP(tables_532010!C260,input_532010!A:H,8,FALSE))</f>
        <v>3800</v>
      </c>
      <c r="P260" s="46">
        <f t="shared" ca="1" si="13"/>
        <v>6.5972222221763964E-4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hidden="1" customHeight="1" x14ac:dyDescent="0.15">
      <c r="A261" s="2" t="str">
        <f ca="1">input_532010!A$2</f>
        <v>532010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IFERROR(VLOOKUP(B261,input_532010!L:R,7,FALSE),VLOOKUP(tables_532010!C261,input_532010!A:H,8,FALSE))</f>
        <v>200</v>
      </c>
      <c r="P261" s="46">
        <f t="shared" ca="1" si="13"/>
        <v>3.4722222221981035E-5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input_532010!A$2</f>
        <v>532010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IFERROR(VLOOKUP(B262,input_532010!L:R,7,FALSE),VLOOKUP(tables_532010!C262,input_532010!A:H,8,FALSE))</f>
        <v>53295</v>
      </c>
      <c r="P262" s="46">
        <f t="shared" ca="1" si="13"/>
        <v>9.2526041666023962E-3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hidden="1" customHeight="1" x14ac:dyDescent="0.15">
      <c r="A263" s="2" t="str">
        <f ca="1">input_532010!A$2</f>
        <v>532010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IFERROR(VLOOKUP(B263,input_532010!L:R,7,FALSE),VLOOKUP(tables_532010!C263,input_532010!A:H,8,FALSE))</f>
        <v>2850</v>
      </c>
      <c r="P263" s="46">
        <f t="shared" ca="1" si="13"/>
        <v>4.9479166666322968E-4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input_532010!A$2</f>
        <v>532010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IFERROR(VLOOKUP(B264,input_532010!L:R,7,FALSE),VLOOKUP(tables_532010!C264,input_532010!A:H,8,FALSE))</f>
        <v>53295</v>
      </c>
      <c r="P264" s="46">
        <f t="shared" ca="1" si="13"/>
        <v>9.2526041666023962E-3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hidden="1" customHeight="1" x14ac:dyDescent="0.15">
      <c r="A265" s="2" t="str">
        <f ca="1">input_532010!A$2</f>
        <v>532010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IFERROR(VLOOKUP(B265,input_532010!L:R,7,FALSE),VLOOKUP(tables_532010!C265,input_532010!A:H,8,FALSE))</f>
        <v>2850</v>
      </c>
      <c r="P265" s="46">
        <f t="shared" ca="1" si="13"/>
        <v>4.9479166666322968E-4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hidden="1" customHeight="1" x14ac:dyDescent="0.15">
      <c r="A266" s="2" t="str">
        <f ca="1">input_532010!A$2</f>
        <v>532010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IFERROR(VLOOKUP(B266,input_532010!L:R,7,FALSE),VLOOKUP(tables_532010!C266,input_532010!A:H,8,FALSE))</f>
        <v>4000</v>
      </c>
      <c r="P266" s="46">
        <f t="shared" ca="1" si="13"/>
        <v>6.9444444443962064E-4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hidden="1" customHeight="1" x14ac:dyDescent="0.15">
      <c r="A267" s="2" t="str">
        <f ca="1">input_532010!A$2</f>
        <v>532010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IFERROR(VLOOKUP(B267,input_532010!L:R,7,FALSE),VLOOKUP(tables_532010!C267,input_532010!A:H,8,FALSE))</f>
        <v>4000</v>
      </c>
      <c r="P267" s="46">
        <f t="shared" ca="1" si="13"/>
        <v>6.9444444443962064E-4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hidden="1" customHeight="1" x14ac:dyDescent="0.15">
      <c r="A268" s="2" t="str">
        <f ca="1">input_532010!A$2</f>
        <v>532010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IFERROR(VLOOKUP(B268,input_532010!L:R,7,FALSE),VLOOKUP(tables_532010!C268,input_532010!A:H,8,FALSE))</f>
        <v>4000</v>
      </c>
      <c r="P268" s="46">
        <f t="shared" ca="1" si="13"/>
        <v>6.9444444443962064E-4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hidden="1" customHeight="1" x14ac:dyDescent="0.15">
      <c r="A269" s="2" t="str">
        <f ca="1">input_532010!A$2</f>
        <v>532010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IFERROR(VLOOKUP(B269,input_532010!L:R,7,FALSE),VLOOKUP(tables_532010!C269,input_532010!A:H,8,FALSE))</f>
        <v>4000</v>
      </c>
      <c r="P269" s="46">
        <f t="shared" ca="1" si="13"/>
        <v>6.9444444443962064E-4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input_532010!A$2</f>
        <v>532010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IFERROR(VLOOKUP(B270,input_532010!L:R,7,FALSE),VLOOKUP(tables_532010!C270,input_532010!A:H,8,FALSE))</f>
        <v>53295</v>
      </c>
      <c r="P270" s="46">
        <f t="shared" ca="1" si="13"/>
        <v>9.2526041666023962E-3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hidden="1" customHeight="1" x14ac:dyDescent="0.15">
      <c r="A271" s="2" t="str">
        <f ca="1">input_532010!A$2</f>
        <v>532010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IFERROR(VLOOKUP(B271,input_532010!L:R,7,FALSE),VLOOKUP(tables_532010!C271,input_532010!A:H,8,FALSE))</f>
        <v>2850</v>
      </c>
      <c r="P271" s="46">
        <f t="shared" ca="1" si="13"/>
        <v>4.9479166666322968E-4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hidden="1" customHeight="1" x14ac:dyDescent="0.15">
      <c r="A272" s="2" t="str">
        <f ca="1">input_532010!A$2</f>
        <v>532010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IFERROR(VLOOKUP(B272,input_532010!L:R,7,FALSE),VLOOKUP(tables_532010!C272,input_532010!A:H,8,FALSE))</f>
        <v>53295</v>
      </c>
      <c r="P272" s="46">
        <f t="shared" ca="1" si="13"/>
        <v>9.2526041666023962E-3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hidden="1" customHeight="1" x14ac:dyDescent="0.15">
      <c r="A273" s="2" t="str">
        <f ca="1">input_532010!A$2</f>
        <v>532010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IFERROR(VLOOKUP(B273,input_532010!L:R,7,FALSE),VLOOKUP(tables_532010!C273,input_532010!A:H,8,FALSE))</f>
        <v>2850</v>
      </c>
      <c r="P273" s="46">
        <f t="shared" ca="1" si="13"/>
        <v>4.9479166666322968E-4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input_532010!A$2</f>
        <v>532010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IFERROR(VLOOKUP(B274,input_532010!L:R,7,FALSE),VLOOKUP(tables_532010!C274,input_532010!A:H,8,FALSE))</f>
        <v>3800</v>
      </c>
      <c r="P274" s="46">
        <f t="shared" ca="1" si="13"/>
        <v>6.5972222221763964E-4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hidden="1" customHeight="1" x14ac:dyDescent="0.15">
      <c r="A275" s="2" t="str">
        <f ca="1">input_532010!A$2</f>
        <v>532010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IFERROR(VLOOKUP(B275,input_532010!L:R,7,FALSE),VLOOKUP(tables_532010!C275,input_532010!A:H,8,FALSE))</f>
        <v>200</v>
      </c>
      <c r="P275" s="46">
        <f t="shared" ca="1" si="13"/>
        <v>3.4722222221981035E-5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input_532010!A$2</f>
        <v>532010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IFERROR(VLOOKUP(B276,input_532010!L:R,7,FALSE),VLOOKUP(tables_532010!C276,input_532010!A:H,8,FALSE))</f>
        <v>3800</v>
      </c>
      <c r="P276" s="46">
        <f t="shared" ca="1" si="13"/>
        <v>6.5972222221763964E-4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hidden="1" customHeight="1" x14ac:dyDescent="0.15">
      <c r="A277" s="2" t="str">
        <f ca="1">input_532010!A$2</f>
        <v>532010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IFERROR(VLOOKUP(B277,input_532010!L:R,7,FALSE),VLOOKUP(tables_532010!C277,input_532010!A:H,8,FALSE))</f>
        <v>200</v>
      </c>
      <c r="P277" s="46">
        <f t="shared" ca="1" si="13"/>
        <v>3.4722222221981035E-5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input_532010!A$2</f>
        <v>532010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IFERROR(VLOOKUP(B278,input_532010!L:R,7,FALSE),VLOOKUP(tables_532010!C278,input_532010!A:H,8,FALSE))</f>
        <v>28500</v>
      </c>
      <c r="P278" s="46">
        <f t="shared" ca="1" si="13"/>
        <v>4.9479166666322972E-3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input_532010!A$2</f>
        <v>532010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IFERROR(VLOOKUP(B279,input_532010!L:R,7,FALSE),VLOOKUP(tables_532010!C279,input_532010!A:H,8,FALSE))</f>
        <v>24542.307690000001</v>
      </c>
      <c r="P279" s="46">
        <f t="shared" ca="1" si="13"/>
        <v>4.26081730726207E-3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hidden="1" customHeight="1" x14ac:dyDescent="0.15">
      <c r="A280" s="2" t="str">
        <f ca="1">input_532010!A$2</f>
        <v>532010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IFERROR(VLOOKUP(B280,input_532010!L:R,7,FALSE),VLOOKUP(tables_532010!C280,input_532010!A:H,8,FALSE))</f>
        <v>401.92308000000003</v>
      </c>
      <c r="P280" s="46">
        <f t="shared" ca="1" si="13"/>
        <v>6.9778312499515301E-5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input_532010!A$2</f>
        <v>532010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IFERROR(VLOOKUP(B281,input_532010!L:R,7,FALSE),VLOOKUP(tables_532010!C281,input_532010!A:H,8,FALSE))</f>
        <v>28500</v>
      </c>
      <c r="P281" s="46">
        <f t="shared" ca="1" si="13"/>
        <v>4.9479166666322972E-3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hidden="1" customHeight="1" x14ac:dyDescent="0.15">
      <c r="A282" s="2" t="str">
        <f ca="1">input_532010!A$2</f>
        <v>532010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IFERROR(VLOOKUP(B282,input_532010!L:R,7,FALSE),VLOOKUP(tables_532010!C282,input_532010!A:H,8,FALSE))</f>
        <v>24542.307690000001</v>
      </c>
      <c r="P282" s="46">
        <f t="shared" ca="1" si="13"/>
        <v>4.26081730726207E-3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hidden="1" customHeight="1" x14ac:dyDescent="0.15">
      <c r="A283" s="2" t="str">
        <f ca="1">input_532010!A$2</f>
        <v>532010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IFERROR(VLOOKUP(B283,input_532010!L:R,7,FALSE),VLOOKUP(tables_532010!C283,input_532010!A:H,8,FALSE))</f>
        <v>401.92308000000003</v>
      </c>
      <c r="P283" s="46">
        <f t="shared" ca="1" si="13"/>
        <v>6.9778312499515301E-5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hidden="1" customHeight="1" x14ac:dyDescent="0.15">
      <c r="A284" s="2" t="str">
        <f ca="1">input_532010!A$2</f>
        <v>532010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IFERROR(VLOOKUP(B284,input_532010!L:R,7,FALSE),VLOOKUP(tables_532010!C284,input_532010!A:H,8,FALSE))</f>
        <v>4000</v>
      </c>
      <c r="P284" s="46">
        <f t="shared" ca="1" si="13"/>
        <v>6.9444444443962064E-4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hidden="1" customHeight="1" x14ac:dyDescent="0.15">
      <c r="A285" s="2" t="str">
        <f ca="1">input_532010!A$2</f>
        <v>532010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IFERROR(VLOOKUP(B285,input_532010!L:R,7,FALSE),VLOOKUP(tables_532010!C285,input_532010!A:H,8,FALSE))</f>
        <v>4000</v>
      </c>
      <c r="P285" s="46">
        <f t="shared" ca="1" si="13"/>
        <v>6.9444444443962064E-4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input_532010!A$2</f>
        <v>532010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IFERROR(VLOOKUP(B286,input_532010!L:R,7,FALSE),VLOOKUP(tables_532010!C286,input_532010!A:H,8,FALSE))</f>
        <v>53295</v>
      </c>
      <c r="P286" s="46">
        <f t="shared" ca="1" si="13"/>
        <v>9.2526041666023962E-3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hidden="1" customHeight="1" x14ac:dyDescent="0.15">
      <c r="A287" s="2" t="str">
        <f ca="1">input_532010!A$2</f>
        <v>532010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IFERROR(VLOOKUP(B287,input_532010!L:R,7,FALSE),VLOOKUP(tables_532010!C287,input_532010!A:H,8,FALSE))</f>
        <v>2850</v>
      </c>
      <c r="P287" s="46">
        <f t="shared" ca="1" si="13"/>
        <v>4.9479166666322968E-4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input_532010!A$2</f>
        <v>532010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IFERROR(VLOOKUP(B288,input_532010!L:R,7,FALSE),VLOOKUP(tables_532010!C288,input_532010!A:H,8,FALSE))</f>
        <v>53295</v>
      </c>
      <c r="P288" s="46">
        <f t="shared" ca="1" si="13"/>
        <v>9.2526041666023962E-3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hidden="1" customHeight="1" x14ac:dyDescent="0.15">
      <c r="A289" s="2" t="str">
        <f ca="1">input_532010!A$2</f>
        <v>532010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IFERROR(VLOOKUP(B289,input_532010!L:R,7,FALSE),VLOOKUP(tables_532010!C289,input_532010!A:H,8,FALSE))</f>
        <v>2850</v>
      </c>
      <c r="P289" s="46">
        <f t="shared" ca="1" si="13"/>
        <v>4.9479166666322968E-4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 t="str">
        <f ca="1">input_532010!A$2</f>
        <v>532010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IFERROR(VLOOKUP(B290,input_532010!L:R,7,FALSE),VLOOKUP(tables_532010!C290,input_532010!A:H,8,FALSE))</f>
        <v>53295</v>
      </c>
      <c r="P290" s="46">
        <f t="shared" ca="1" si="13"/>
        <v>9.2526041666023962E-3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hidden="1" customHeight="1" x14ac:dyDescent="0.15">
      <c r="A291" s="2" t="str">
        <f ca="1">input_532010!A$2</f>
        <v>532010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IFERROR(VLOOKUP(B291,input_532010!L:R,7,FALSE),VLOOKUP(tables_532010!C291,input_532010!A:H,8,FALSE))</f>
        <v>2850</v>
      </c>
      <c r="P291" s="46">
        <f t="shared" ca="1" si="13"/>
        <v>4.9479166666322968E-4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input_532010!A$2</f>
        <v>532010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IFERROR(VLOOKUP(B292,input_532010!L:R,7,FALSE),VLOOKUP(tables_532010!C292,input_532010!A:H,8,FALSE))</f>
        <v>53295</v>
      </c>
      <c r="P292" s="46">
        <f t="shared" ca="1" si="13"/>
        <v>9.2526041666023962E-3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hidden="1" customHeight="1" x14ac:dyDescent="0.15">
      <c r="A293" s="2" t="str">
        <f ca="1">input_532010!A$2</f>
        <v>532010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IFERROR(VLOOKUP(B293,input_532010!L:R,7,FALSE),VLOOKUP(tables_532010!C293,input_532010!A:H,8,FALSE))</f>
        <v>2850</v>
      </c>
      <c r="P293" s="46">
        <f t="shared" ca="1" si="13"/>
        <v>4.9479166666322968E-4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hidden="1" customHeight="1" x14ac:dyDescent="0.15">
      <c r="A294" s="2" t="str">
        <f ca="1">input_532010!A$2</f>
        <v>532010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IFERROR(VLOOKUP(B294,input_532010!L:R,7,FALSE),VLOOKUP(tables_532010!C294,input_532010!A:H,8,FALSE))</f>
        <v>4000</v>
      </c>
      <c r="P294" s="46">
        <f t="shared" ca="1" si="13"/>
        <v>6.9444444443962064E-4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hidden="1" customHeight="1" x14ac:dyDescent="0.15">
      <c r="A295" s="2" t="str">
        <f ca="1">input_532010!A$2</f>
        <v>532010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IFERROR(VLOOKUP(B295,input_532010!L:R,7,FALSE),VLOOKUP(tables_532010!C295,input_532010!A:H,8,FALSE))</f>
        <v>4000</v>
      </c>
      <c r="P295" s="46">
        <f t="shared" ca="1" si="13"/>
        <v>6.9444444443962064E-4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hidden="1" customHeight="1" x14ac:dyDescent="0.15">
      <c r="A296" s="2" t="str">
        <f ca="1">input_532010!A$2</f>
        <v>532010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IFERROR(VLOOKUP(B296,input_532010!L:R,7,FALSE),VLOOKUP(tables_532010!C296,input_532010!A:H,8,FALSE))</f>
        <v>4000</v>
      </c>
      <c r="P296" s="46">
        <f t="shared" ca="1" si="13"/>
        <v>6.9444444443962064E-4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input_532010!A$2</f>
        <v>532010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IFERROR(VLOOKUP(B297,input_532010!L:R,7,FALSE),VLOOKUP(tables_532010!C297,input_532010!A:H,8,FALSE))</f>
        <v>53295</v>
      </c>
      <c r="P297" s="46">
        <f t="shared" ca="1" si="13"/>
        <v>9.2526041666023962E-3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hidden="1" customHeight="1" x14ac:dyDescent="0.15">
      <c r="A298" s="2" t="str">
        <f ca="1">input_532010!A$2</f>
        <v>532010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IFERROR(VLOOKUP(B298,input_532010!L:R,7,FALSE),VLOOKUP(tables_532010!C298,input_532010!A:H,8,FALSE))</f>
        <v>2850</v>
      </c>
      <c r="P298" s="46">
        <f t="shared" ca="1" si="13"/>
        <v>4.9479166666322968E-4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hidden="1" customHeight="1" x14ac:dyDescent="0.15">
      <c r="A299" s="2" t="str">
        <f ca="1">input_532010!A$2</f>
        <v>532010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IFERROR(VLOOKUP(B299,input_532010!L:R,7,FALSE),VLOOKUP(tables_532010!C299,input_532010!A:H,8,FALSE))</f>
        <v>4000</v>
      </c>
      <c r="P299" s="46">
        <f t="shared" ca="1" si="13"/>
        <v>6.9444444443962064E-4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hidden="1" customHeight="1" x14ac:dyDescent="0.15">
      <c r="A300" s="2" t="str">
        <f ca="1">input_532010!A$2</f>
        <v>532010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IFERROR(VLOOKUP(B300,input_532010!L:R,7,FALSE),VLOOKUP(tables_532010!C300,input_532010!A:H,8,FALSE))</f>
        <v>4000</v>
      </c>
      <c r="P300" s="46">
        <f t="shared" ca="1" si="13"/>
        <v>6.9444444443962064E-4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hidden="1" customHeight="1" x14ac:dyDescent="0.15">
      <c r="A301" s="2" t="str">
        <f ca="1">input_532010!A$2</f>
        <v>532010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IFERROR(VLOOKUP(B301,input_532010!L:R,7,FALSE),VLOOKUP(tables_532010!C301,input_532010!A:H,8,FALSE))</f>
        <v>4000</v>
      </c>
      <c r="P301" s="46">
        <f t="shared" ca="1" si="13"/>
        <v>6.9444444443962064E-4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hidden="1" customHeight="1" x14ac:dyDescent="0.15">
      <c r="A302" s="2" t="str">
        <f ca="1">input_532010!A$2</f>
        <v>532010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IFERROR(VLOOKUP(B302,input_532010!L:R,7,FALSE),VLOOKUP(tables_532010!C302,input_532010!A:H,8,FALSE))</f>
        <v>4000</v>
      </c>
      <c r="P302" s="46">
        <f t="shared" ca="1" si="13"/>
        <v>6.9444444443962064E-4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hidden="1" customHeight="1" x14ac:dyDescent="0.15">
      <c r="A303" s="2" t="str">
        <f ca="1">input_532010!A$2</f>
        <v>532010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IFERROR(VLOOKUP(B303,input_532010!L:R,7,FALSE),VLOOKUP(tables_532010!C303,input_532010!A:H,8,FALSE))</f>
        <v>53295</v>
      </c>
      <c r="P303" s="46">
        <f t="shared" ca="1" si="13"/>
        <v>9.2526041666023962E-3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hidden="1" customHeight="1" x14ac:dyDescent="0.15">
      <c r="A304" s="2" t="str">
        <f ca="1">input_532010!A$2</f>
        <v>532010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IFERROR(VLOOKUP(B304,input_532010!L:R,7,FALSE),VLOOKUP(tables_532010!C304,input_532010!A:H,8,FALSE))</f>
        <v>2850</v>
      </c>
      <c r="P304" s="46">
        <f t="shared" ca="1" si="13"/>
        <v>4.9479166666322968E-4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hidden="1" customHeight="1" x14ac:dyDescent="0.15">
      <c r="A305" s="2" t="str">
        <f ca="1">input_532010!A$2</f>
        <v>532010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IFERROR(VLOOKUP(B305,input_532010!L:R,7,FALSE),VLOOKUP(tables_532010!C305,input_532010!A:H,8,FALSE))</f>
        <v>4000</v>
      </c>
      <c r="P305" s="46">
        <f t="shared" ca="1" si="13"/>
        <v>6.9444444443962064E-4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hidden="1" customHeight="1" x14ac:dyDescent="0.15">
      <c r="A306" s="2" t="str">
        <f ca="1">input_532010!A$2</f>
        <v>532010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IFERROR(VLOOKUP(B306,input_532010!L:R,7,FALSE),VLOOKUP(tables_532010!C306,input_532010!A:H,8,FALSE))</f>
        <v>53295</v>
      </c>
      <c r="P306" s="46">
        <f t="shared" ca="1" si="13"/>
        <v>9.2526041666023962E-3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hidden="1" customHeight="1" x14ac:dyDescent="0.15">
      <c r="A307" s="2" t="str">
        <f ca="1">input_532010!A$2</f>
        <v>532010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IFERROR(VLOOKUP(B307,input_532010!L:R,7,FALSE),VLOOKUP(tables_532010!C307,input_532010!A:H,8,FALSE))</f>
        <v>2850</v>
      </c>
      <c r="P307" s="46">
        <f t="shared" ca="1" si="13"/>
        <v>4.9479166666322968E-4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hidden="1" customHeight="1" x14ac:dyDescent="0.15">
      <c r="A308" s="2" t="str">
        <f ca="1">input_532010!A$2</f>
        <v>532010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IFERROR(VLOOKUP(B308,input_532010!L:R,7,FALSE),VLOOKUP(tables_532010!C308,input_532010!A:H,8,FALSE))</f>
        <v>4000</v>
      </c>
      <c r="P308" s="46">
        <f t="shared" ca="1" si="13"/>
        <v>6.9444444443962064E-4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hidden="1" customHeight="1" x14ac:dyDescent="0.15">
      <c r="A309" s="2" t="str">
        <f ca="1">input_532010!A$2</f>
        <v>532010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IFERROR(VLOOKUP(B309,input_532010!L:R,7,FALSE),VLOOKUP(tables_532010!C309,input_532010!A:H,8,FALSE))</f>
        <v>4000</v>
      </c>
      <c r="P309" s="46">
        <f t="shared" ca="1" si="13"/>
        <v>6.9444444443962064E-4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hidden="1" customHeight="1" x14ac:dyDescent="0.15">
      <c r="A310" s="2" t="str">
        <f ca="1">input_532010!A$2</f>
        <v>532010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IFERROR(VLOOKUP(B310,input_532010!L:R,7,FALSE),VLOOKUP(tables_532010!C310,input_532010!A:H,8,FALSE))</f>
        <v>4000</v>
      </c>
      <c r="P310" s="46">
        <f t="shared" ca="1" si="13"/>
        <v>6.9444444443962064E-4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hidden="1" customHeight="1" x14ac:dyDescent="0.15">
      <c r="A311" s="2" t="str">
        <f ca="1">input_532010!A$2</f>
        <v>532010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IFERROR(VLOOKUP(B311,input_532010!L:R,7,FALSE),VLOOKUP(tables_532010!C311,input_532010!A:H,8,FALSE))</f>
        <v>53295</v>
      </c>
      <c r="P311" s="46">
        <f t="shared" ca="1" si="13"/>
        <v>9.2526041666023962E-3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hidden="1" customHeight="1" x14ac:dyDescent="0.15">
      <c r="A312" s="2" t="str">
        <f ca="1">input_532010!A$2</f>
        <v>532010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IFERROR(VLOOKUP(B312,input_532010!L:R,7,FALSE),VLOOKUP(tables_532010!C312,input_532010!A:H,8,FALSE))</f>
        <v>2850</v>
      </c>
      <c r="P312" s="46">
        <f t="shared" ca="1" si="13"/>
        <v>4.9479166666322968E-4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hidden="1" customHeight="1" x14ac:dyDescent="0.15">
      <c r="A313" s="2" t="str">
        <f ca="1">input_532010!A$2</f>
        <v>532010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IFERROR(VLOOKUP(B313,input_532010!L:R,7,FALSE),VLOOKUP(tables_532010!C313,input_532010!A:H,8,FALSE))</f>
        <v>4000</v>
      </c>
      <c r="P313" s="46">
        <f t="shared" ca="1" si="13"/>
        <v>6.9444444443962064E-4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hidden="1" customHeight="1" x14ac:dyDescent="0.15">
      <c r="A314" s="2" t="str">
        <f ca="1">input_532010!A$2</f>
        <v>532010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IFERROR(VLOOKUP(B314,input_532010!L:R,7,FALSE),VLOOKUP(tables_532010!C314,input_532010!A:H,8,FALSE))</f>
        <v>4000</v>
      </c>
      <c r="P314" s="46">
        <f t="shared" ca="1" si="13"/>
        <v>6.9444444443962064E-4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hidden="1" customHeight="1" x14ac:dyDescent="0.15">
      <c r="A315" s="2" t="str">
        <f ca="1">input_532010!A$2</f>
        <v>532010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IFERROR(VLOOKUP(B315,input_532010!L:R,7,FALSE),VLOOKUP(tables_532010!C315,input_532010!A:H,8,FALSE))</f>
        <v>4000</v>
      </c>
      <c r="P315" s="46">
        <f t="shared" ca="1" si="13"/>
        <v>6.9444444443962064E-4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hidden="1" customHeight="1" x14ac:dyDescent="0.15">
      <c r="A316" s="2" t="str">
        <f ca="1">input_532010!A$2</f>
        <v>532010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IFERROR(VLOOKUP(B316,input_532010!L:R,7,FALSE),VLOOKUP(tables_532010!C316,input_532010!A:H,8,FALSE))</f>
        <v>4000</v>
      </c>
      <c r="P316" s="46">
        <f t="shared" ca="1" si="13"/>
        <v>6.9444444443962064E-4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hidden="1" customHeight="1" x14ac:dyDescent="0.15">
      <c r="A317" s="2" t="str">
        <f ca="1">input_532010!A$2</f>
        <v>532010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IFERROR(VLOOKUP(B317,input_532010!L:R,7,FALSE),VLOOKUP(tables_532010!C317,input_532010!A:H,8,FALSE))</f>
        <v>4000</v>
      </c>
      <c r="P317" s="46">
        <f t="shared" ca="1" si="13"/>
        <v>6.9444444443962064E-4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hidden="1" customHeight="1" x14ac:dyDescent="0.15">
      <c r="A318" s="2" t="str">
        <f ca="1">input_532010!A$2</f>
        <v>532010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IFERROR(VLOOKUP(B318,input_532010!L:R,7,FALSE),VLOOKUP(tables_532010!C318,input_532010!A:H,8,FALSE))</f>
        <v>53295</v>
      </c>
      <c r="P318" s="46">
        <f t="shared" ca="1" si="13"/>
        <v>9.2526041666023962E-3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hidden="1" customHeight="1" x14ac:dyDescent="0.15">
      <c r="A319" s="2" t="str">
        <f ca="1">input_532010!A$2</f>
        <v>532010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IFERROR(VLOOKUP(B319,input_532010!L:R,7,FALSE),VLOOKUP(tables_532010!C319,input_532010!A:H,8,FALSE))</f>
        <v>2850</v>
      </c>
      <c r="P319" s="46">
        <f t="shared" ca="1" si="13"/>
        <v>4.9479166666322968E-4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hidden="1" customHeight="1" x14ac:dyDescent="0.15">
      <c r="A320" s="2" t="str">
        <f ca="1">input_532010!A$2</f>
        <v>532010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IFERROR(VLOOKUP(B320,input_532010!L:R,7,FALSE),VLOOKUP(tables_532010!C320,input_532010!A:H,8,FALSE))</f>
        <v>4000</v>
      </c>
      <c r="P320" s="46">
        <f t="shared" ca="1" si="13"/>
        <v>6.9444444443962064E-4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hidden="1" customHeight="1" x14ac:dyDescent="0.15">
      <c r="A321" s="2" t="str">
        <f ca="1">input_532010!A$2</f>
        <v>532010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IFERROR(VLOOKUP(B321,input_532010!L:R,7,FALSE),VLOOKUP(tables_532010!C321,input_532010!A:H,8,FALSE))</f>
        <v>4000</v>
      </c>
      <c r="P321" s="46">
        <f t="shared" ca="1" si="13"/>
        <v>6.9444444443962064E-4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hidden="1" customHeight="1" x14ac:dyDescent="0.15">
      <c r="A322" s="2" t="str">
        <f ca="1">input_532010!A$2</f>
        <v>532010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IFERROR(VLOOKUP(B322,input_532010!L:R,7,FALSE),VLOOKUP(tables_532010!C322,input_532010!A:H,8,FALSE))</f>
        <v>4000</v>
      </c>
      <c r="P322" s="46">
        <f t="shared" ref="P322:P330" ca="1" si="23">O322/SUM(O:O)</f>
        <v>6.9444444443962064E-4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hidden="1" customHeight="1" x14ac:dyDescent="0.15">
      <c r="A323" s="2" t="str">
        <f ca="1">input_532010!A$2</f>
        <v>532010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IFERROR(VLOOKUP(B323,input_532010!L:R,7,FALSE),VLOOKUP(tables_532010!C323,input_532010!A:H,8,FALSE))</f>
        <v>4000</v>
      </c>
      <c r="P323" s="46">
        <f t="shared" ca="1" si="23"/>
        <v>6.9444444443962064E-4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hidden="1" customHeight="1" x14ac:dyDescent="0.15">
      <c r="A324" s="2" t="str">
        <f ca="1">input_532010!A$2</f>
        <v>532010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IFERROR(VLOOKUP(B324,input_532010!L:R,7,FALSE),VLOOKUP(tables_532010!C324,input_532010!A:H,8,FALSE))</f>
        <v>53295</v>
      </c>
      <c r="P324" s="46">
        <f t="shared" ca="1" si="23"/>
        <v>9.2526041666023962E-3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hidden="1" customHeight="1" x14ac:dyDescent="0.15">
      <c r="A325" s="2" t="str">
        <f ca="1">input_532010!A$2</f>
        <v>532010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IFERROR(VLOOKUP(B325,input_532010!L:R,7,FALSE),VLOOKUP(tables_532010!C325,input_532010!A:H,8,FALSE))</f>
        <v>2850</v>
      </c>
      <c r="P325" s="46">
        <f t="shared" ca="1" si="23"/>
        <v>4.9479166666322968E-4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hidden="1" customHeight="1" x14ac:dyDescent="0.15">
      <c r="A326" s="2" t="str">
        <f ca="1">input_532010!A$2</f>
        <v>532010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IFERROR(VLOOKUP(B326,input_532010!L:R,7,FALSE),VLOOKUP(tables_532010!C326,input_532010!A:H,8,FALSE))</f>
        <v>53295</v>
      </c>
      <c r="P326" s="46">
        <f t="shared" ca="1" si="23"/>
        <v>9.2526041666023962E-3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hidden="1" customHeight="1" x14ac:dyDescent="0.15">
      <c r="A327" s="2" t="str">
        <f ca="1">input_532010!A$2</f>
        <v>532010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IFERROR(VLOOKUP(B327,input_532010!L:R,7,FALSE),VLOOKUP(tables_532010!C327,input_532010!A:H,8,FALSE))</f>
        <v>2850</v>
      </c>
      <c r="P327" s="46">
        <f t="shared" ca="1" si="23"/>
        <v>4.9479166666322968E-4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hidden="1" customHeight="1" x14ac:dyDescent="0.15">
      <c r="A328" s="2" t="str">
        <f ca="1">input_532010!A$2</f>
        <v>532010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IFERROR(VLOOKUP(B328,input_532010!L:R,7,FALSE),VLOOKUP(tables_532010!C328,input_532010!A:H,8,FALSE))</f>
        <v>4000</v>
      </c>
      <c r="P328" s="46">
        <f t="shared" ca="1" si="23"/>
        <v>6.9444444443962064E-4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hidden="1" customHeight="1" x14ac:dyDescent="0.15">
      <c r="A329" s="2" t="str">
        <f ca="1">input_532010!A$2</f>
        <v>532010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IFERROR(VLOOKUP(B329,input_532010!L:R,7,FALSE),VLOOKUP(tables_532010!C329,input_532010!A:H,8,FALSE))</f>
        <v>4000</v>
      </c>
      <c r="P329" s="46">
        <f t="shared" ca="1" si="23"/>
        <v>6.9444444443962064E-4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hidden="1" customHeight="1" x14ac:dyDescent="0.15">
      <c r="A330" s="2" t="str">
        <f ca="1">input_532010!A$2</f>
        <v>532010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IFERROR(VLOOKUP(B330,input_532010!L:R,7,FALSE),VLOOKUP(tables_532010!C330,input_532010!A:H,8,FALSE))</f>
        <v>4000</v>
      </c>
      <c r="P330" s="46">
        <f t="shared" ca="1" si="23"/>
        <v>6.9444444443962064E-4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hidden="1" customHeight="1" x14ac:dyDescent="0.15">
      <c r="A331" s="2" t="str">
        <f ca="1">input_532010!A$2</f>
        <v>532010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IFERROR(VLOOKUP(B331,input_532010!L:R,7,FALSE),VLOOKUP(tables_532010!C331,input_532010!A:H,8,FALSE))</f>
        <v>4000</v>
      </c>
      <c r="P331" s="46">
        <f t="shared" ref="P331:P335" ca="1" si="28">O331/SUM(O:O)</f>
        <v>6.9444444443962064E-4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hidden="1" customHeight="1" x14ac:dyDescent="0.15">
      <c r="A332" s="2" t="str">
        <f ca="1">input_532010!A$2</f>
        <v>532010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IFERROR(VLOOKUP(B332,input_532010!L:R,7,FALSE),VLOOKUP(tables_532010!C332,input_532010!A:H,8,FALSE))</f>
        <v>4000</v>
      </c>
      <c r="P332" s="46">
        <f t="shared" ca="1" si="28"/>
        <v>6.9444444443962064E-4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hidden="1" customHeight="1" x14ac:dyDescent="0.15">
      <c r="A333" s="2" t="str">
        <f ca="1">input_532010!A$2</f>
        <v>532010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IFERROR(VLOOKUP(B333,input_532010!L:R,7,FALSE),VLOOKUP(tables_532010!C333,input_532010!A:H,8,FALSE))</f>
        <v>4000</v>
      </c>
      <c r="P333" s="46">
        <f t="shared" ca="1" si="28"/>
        <v>6.9444444443962064E-4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hidden="1" customHeight="1" x14ac:dyDescent="0.15">
      <c r="A334" s="2" t="str">
        <f ca="1">input_532010!A$2</f>
        <v>532010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IFERROR(VLOOKUP(B334,input_532010!L:R,7,FALSE),VLOOKUP(tables_532010!C334,input_532010!A:H,8,FALSE))</f>
        <v>53295</v>
      </c>
      <c r="P334" s="46">
        <f t="shared" ca="1" si="28"/>
        <v>9.2526041666023962E-3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hidden="1" customHeight="1" x14ac:dyDescent="0.15">
      <c r="A335" s="2" t="str">
        <f ca="1">input_532010!A$2</f>
        <v>532010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IFERROR(VLOOKUP(B335,input_532010!L:R,7,FALSE),VLOOKUP(tables_532010!C335,input_532010!A:H,8,FALSE))</f>
        <v>2850</v>
      </c>
      <c r="P335" s="46">
        <f t="shared" ca="1" si="28"/>
        <v>4.9479166666322968E-4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hidden="1" customHeight="1" x14ac:dyDescent="0.15">
      <c r="A336" s="2" t="str">
        <f ca="1">input_532010!A$2</f>
        <v>532010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IFERROR(VLOOKUP(B336,input_532010!L:R,7,FALSE),VLOOKUP(tables_532010!C336,input_532010!A:H,8,FALSE))</f>
        <v>53295</v>
      </c>
      <c r="P336" s="46">
        <f t="shared" ref="P336:P340" ca="1" si="31">O336/SUM(O:O)</f>
        <v>9.2526041666023962E-3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hidden="1" customHeight="1" x14ac:dyDescent="0.15">
      <c r="A337" s="2" t="str">
        <f ca="1">input_532010!A$2</f>
        <v>532010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IFERROR(VLOOKUP(B337,input_532010!L:R,7,FALSE),VLOOKUP(tables_532010!C337,input_532010!A:H,8,FALSE))</f>
        <v>2850</v>
      </c>
      <c r="P337" s="46">
        <f t="shared" ca="1" si="31"/>
        <v>4.9479166666322968E-4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hidden="1" customHeight="1" x14ac:dyDescent="0.15">
      <c r="A338" s="2" t="str">
        <f ca="1">input_532010!A$2</f>
        <v>532010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IFERROR(VLOOKUP(B338,input_532010!L:R,7,FALSE),VLOOKUP(tables_532010!C338,input_532010!A:H,8,FALSE))</f>
        <v>4000</v>
      </c>
      <c r="P338" s="46">
        <f t="shared" ca="1" si="31"/>
        <v>6.9444444443962064E-4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hidden="1" customHeight="1" x14ac:dyDescent="0.15">
      <c r="A339" s="2" t="str">
        <f ca="1">input_532010!A$2</f>
        <v>532010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IFERROR(VLOOKUP(B339,input_532010!L:R,7,FALSE),VLOOKUP(tables_532010!C339,input_532010!A:H,8,FALSE))</f>
        <v>4000</v>
      </c>
      <c r="P339" s="46">
        <f t="shared" ca="1" si="31"/>
        <v>6.9444444443962064E-4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hidden="1" customHeight="1" x14ac:dyDescent="0.15">
      <c r="A340" s="2" t="str">
        <f ca="1">input_532010!A$2</f>
        <v>532010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IFERROR(VLOOKUP(B340,input_532010!L:R,7,FALSE),VLOOKUP(tables_532010!C340,input_532010!A:H,8,FALSE))</f>
        <v>4000</v>
      </c>
      <c r="P340" s="46">
        <f t="shared" ca="1" si="31"/>
        <v>6.9444444443962064E-4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hidden="1" customHeight="1" x14ac:dyDescent="0.15">
      <c r="A341" s="2" t="str">
        <f ca="1">input_532010!A$2</f>
        <v>532010</v>
      </c>
      <c r="B341" s="1">
        <v>1250</v>
      </c>
      <c r="C341" s="7" t="str">
        <f t="shared" ref="C341" si="32">D341&amp;J341&amp;E341&amp;F341&amp;G341</f>
        <v>PremiumSS5R5only</v>
      </c>
      <c r="D341" s="97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IFERROR(VLOOKUP(B341,input_532010!L:R,7,FALSE),VLOOKUP(tables_532010!C341,input_532010!A:H,8,FALSE))</f>
        <v>4000</v>
      </c>
      <c r="P341" s="46">
        <f t="shared" ref="P341" ca="1" si="34">O341/SUM(O:O)</f>
        <v>6.9444444443962064E-4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hidden="1" customHeight="1" x14ac:dyDescent="0.15">
      <c r="A342" s="2" t="str">
        <f ca="1">input_532010!A$2</f>
        <v>532010</v>
      </c>
      <c r="B342" s="1">
        <v>1248</v>
      </c>
      <c r="C342" s="7" t="str">
        <f t="shared" ref="C342:C345" si="35">D342&amp;J342&amp;E342&amp;F342&amp;G342</f>
        <v>Premium4R3less</v>
      </c>
      <c r="D342" s="97" t="str">
        <f t="shared" ref="D342:D345" si="3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IFERROR(VLOOKUP(B342,input_532010!L:R,7,FALSE),VLOOKUP(tables_532010!C342,input_532010!A:H,8,FALSE))</f>
        <v>53295</v>
      </c>
      <c r="P342" s="46">
        <f t="shared" ref="P342:P345" ca="1" si="37">O342/SUM(O:O)</f>
        <v>9.2526041666023962E-3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hidden="1" customHeight="1" x14ac:dyDescent="0.15">
      <c r="A343" s="2" t="str">
        <f ca="1">input_532010!A$2</f>
        <v>532010</v>
      </c>
      <c r="B343" s="1">
        <v>1249</v>
      </c>
      <c r="C343" s="7" t="str">
        <f t="shared" si="35"/>
        <v>Premium5R3less</v>
      </c>
      <c r="D343" s="97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IFERROR(VLOOKUP(B343,input_532010!L:R,7,FALSE),VLOOKUP(tables_532010!C343,input_532010!A:H,8,FALSE))</f>
        <v>2850</v>
      </c>
      <c r="P343" s="46">
        <f t="shared" ca="1" si="37"/>
        <v>4.9479166666322968E-4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hidden="1" customHeight="1" x14ac:dyDescent="0.15">
      <c r="A344" s="2" t="str">
        <f ca="1">input_532010!A$2</f>
        <v>532010</v>
      </c>
      <c r="B344" s="1">
        <v>1246</v>
      </c>
      <c r="C344" s="7" t="str">
        <f t="shared" si="35"/>
        <v>PremiumSS5R5only</v>
      </c>
      <c r="D344" s="97" t="str">
        <f t="shared" si="3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IFERROR(VLOOKUP(B344,input_532010!L:R,7,FALSE),VLOOKUP(tables_532010!C344,input_532010!A:H,8,FALSE))</f>
        <v>4000</v>
      </c>
      <c r="P344" s="46">
        <f t="shared" ca="1" si="37"/>
        <v>6.9444444443962064E-4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hidden="1" customHeight="1" x14ac:dyDescent="0.15">
      <c r="A345" s="2" t="str">
        <f ca="1">input_532010!A$2</f>
        <v>532010</v>
      </c>
      <c r="B345" s="1">
        <v>1244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IFERROR(VLOOKUP(B345,input_532010!L:R,7,FALSE),VLOOKUP(tables_532010!C345,input_532010!A:H,8,FALSE))</f>
        <v>4000</v>
      </c>
      <c r="P345" s="46">
        <f t="shared" ca="1" si="37"/>
        <v>6.9444444443962064E-4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hidden="1" customHeight="1" x14ac:dyDescent="0.15">
      <c r="A346" s="2" t="str">
        <f ca="1">input_532010!A$2</f>
        <v>532010</v>
      </c>
      <c r="B346" s="1">
        <v>1260</v>
      </c>
      <c r="C346" s="7" t="str">
        <f t="shared" ref="C346:C349" si="38">D346&amp;J346&amp;E346&amp;F346&amp;G346</f>
        <v>PremiumSS5R5only</v>
      </c>
      <c r="D346" s="97" t="str">
        <f t="shared" ref="D346:D349" si="3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IFERROR(VLOOKUP(B346,input_532010!L:R,7,FALSE),VLOOKUP(tables_532010!C346,input_532010!A:H,8,FALSE))</f>
        <v>4000</v>
      </c>
      <c r="P346" s="46">
        <f t="shared" ref="P346:P349" ca="1" si="40">O346/SUM(O:O)</f>
        <v>6.9444444443962064E-4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hidden="1" customHeight="1" x14ac:dyDescent="0.15">
      <c r="A347" s="2" t="str">
        <f ca="1">input_532010!A$2</f>
        <v>532010</v>
      </c>
      <c r="B347" s="1">
        <v>1262</v>
      </c>
      <c r="C347" s="7" t="str">
        <f t="shared" si="38"/>
        <v>PremiumSS5R5only</v>
      </c>
      <c r="D347" s="97" t="str">
        <f t="shared" si="3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IFERROR(VLOOKUP(B347,input_532010!L:R,7,FALSE),VLOOKUP(tables_532010!C347,input_532010!A:H,8,FALSE))</f>
        <v>4000</v>
      </c>
      <c r="P347" s="46">
        <f t="shared" ca="1" si="40"/>
        <v>6.9444444443962064E-4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hidden="1" customHeight="1" x14ac:dyDescent="0.15">
      <c r="A348" s="2" t="str">
        <f ca="1">input_532010!A$2</f>
        <v>532010</v>
      </c>
      <c r="B348" s="1">
        <v>1264</v>
      </c>
      <c r="C348" s="7" t="str">
        <f t="shared" si="38"/>
        <v>PremiumSS5R5only</v>
      </c>
      <c r="D348" s="97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IFERROR(VLOOKUP(B348,input_532010!L:R,7,FALSE),VLOOKUP(tables_532010!C348,input_532010!A:H,8,FALSE))</f>
        <v>4000</v>
      </c>
      <c r="P348" s="46">
        <f t="shared" ca="1" si="40"/>
        <v>6.9444444443962064E-4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hidden="1" customHeight="1" x14ac:dyDescent="0.15">
      <c r="A349" s="2" t="str">
        <f ca="1">input_532010!A$2</f>
        <v>532010</v>
      </c>
      <c r="B349" s="1">
        <v>1266</v>
      </c>
      <c r="C349" s="7" t="str">
        <f t="shared" si="38"/>
        <v>Premium4R3less</v>
      </c>
      <c r="D349" s="9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IFERROR(VLOOKUP(B349,input_532010!L:R,7,FALSE),VLOOKUP(tables_532010!C349,input_532010!A:H,8,FALSE))</f>
        <v>53295</v>
      </c>
      <c r="P349" s="46">
        <f t="shared" ca="1" si="40"/>
        <v>9.2526041666023962E-3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hidden="1" customHeight="1" x14ac:dyDescent="0.15">
      <c r="A350" s="2" t="str">
        <f ca="1">input_532010!A$2</f>
        <v>532010</v>
      </c>
      <c r="B350" s="1">
        <v>1267</v>
      </c>
      <c r="C350" s="7" t="str">
        <f t="shared" ref="C350" si="41">D350&amp;J350&amp;E350&amp;F350&amp;G350</f>
        <v>Premium5R3less</v>
      </c>
      <c r="D350" s="97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IFERROR(VLOOKUP(B350,input_532010!L:R,7,FALSE),VLOOKUP(tables_532010!C350,input_532010!A:H,8,FALSE))</f>
        <v>2850</v>
      </c>
      <c r="P350" s="46">
        <f t="shared" ref="P350" ca="1" si="43">O350/SUM(O:O)</f>
        <v>4.9479166666322968E-4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hidden="1" customHeight="1" x14ac:dyDescent="0.15">
      <c r="A351" s="2" t="str">
        <f ca="1">input_532010!A$2</f>
        <v>532010</v>
      </c>
      <c r="B351" s="101">
        <v>1332</v>
      </c>
      <c r="C351" s="7" t="str">
        <f t="shared" ref="C351:C355" si="44">D351&amp;J351&amp;E351&amp;F351&amp;G351</f>
        <v>PremiumSS5R5only</v>
      </c>
      <c r="D351" s="97" t="str">
        <f t="shared" ref="D351:D355" si="45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IFERROR(VLOOKUP(B351,input_532010!L:R,7,FALSE),VLOOKUP(tables_532010!C351,input_532010!A:H,8,FALSE))</f>
        <v>4000</v>
      </c>
      <c r="P351" s="46">
        <f t="shared" ref="P351:P355" ca="1" si="46">O351/SUM(O:O)</f>
        <v>6.9444444443962064E-4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hidden="1" customHeight="1" x14ac:dyDescent="0.15">
      <c r="A352" s="2" t="str">
        <f ca="1">input_532010!A$2</f>
        <v>532010</v>
      </c>
      <c r="B352" s="101">
        <v>1336</v>
      </c>
      <c r="C352" s="7" t="str">
        <f t="shared" si="44"/>
        <v>PremiumSS5R5only</v>
      </c>
      <c r="D352" s="97" t="str">
        <f t="shared" si="45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IFERROR(VLOOKUP(B352,input_532010!L:R,7,FALSE),VLOOKUP(tables_532010!C352,input_532010!A:H,8,FALSE))</f>
        <v>4000</v>
      </c>
      <c r="P352" s="46">
        <f t="shared" ca="1" si="46"/>
        <v>6.9444444443962064E-4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hidden="1" customHeight="1" x14ac:dyDescent="0.15">
      <c r="A353" s="2" t="str">
        <f ca="1">input_532010!A$2</f>
        <v>532010</v>
      </c>
      <c r="B353" s="101">
        <v>1338</v>
      </c>
      <c r="C353" s="7" t="str">
        <f t="shared" si="44"/>
        <v>PremiumSS5R5only</v>
      </c>
      <c r="D353" s="97" t="str">
        <f t="shared" si="45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IFERROR(VLOOKUP(B353,input_532010!L:R,7,FALSE),VLOOKUP(tables_532010!C353,input_532010!A:H,8,FALSE))</f>
        <v>4000</v>
      </c>
      <c r="P353" s="46">
        <f t="shared" ca="1" si="46"/>
        <v>6.9444444443962064E-4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hidden="1" customHeight="1" x14ac:dyDescent="0.15">
      <c r="A354" s="2" t="str">
        <f ca="1">input_532010!A$2</f>
        <v>532010</v>
      </c>
      <c r="B354" s="101">
        <v>1334</v>
      </c>
      <c r="C354" s="7" t="str">
        <f t="shared" si="44"/>
        <v>Premium4R3less</v>
      </c>
      <c r="D354" s="97" t="str">
        <f t="shared" si="45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IFERROR(VLOOKUP(B354,input_532010!L:R,7,FALSE),VLOOKUP(tables_532010!C354,input_532010!A:H,8,FALSE))</f>
        <v>53295</v>
      </c>
      <c r="P354" s="46">
        <f t="shared" ca="1" si="46"/>
        <v>9.2526041666023962E-3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hidden="1" customHeight="1" x14ac:dyDescent="0.15">
      <c r="A355" s="2" t="str">
        <f ca="1">input_532010!A$2</f>
        <v>532010</v>
      </c>
      <c r="B355" s="101">
        <v>1335</v>
      </c>
      <c r="C355" s="7" t="str">
        <f t="shared" si="44"/>
        <v>Premium5R3less</v>
      </c>
      <c r="D355" s="97" t="str">
        <f t="shared" si="45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IFERROR(VLOOKUP(B355,input_532010!L:R,7,FALSE),VLOOKUP(tables_532010!C355,input_532010!A:H,8,FALSE))</f>
        <v>2850</v>
      </c>
      <c r="P355" s="46">
        <f t="shared" ca="1" si="46"/>
        <v>4.9479166666322968E-4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</sheetData>
  <autoFilter ref="A1:V355">
    <filterColumn colId="9">
      <filters>
        <filter val="3"/>
      </filters>
    </filterColumn>
  </autoFilter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20" sqref="B2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VLOOKUP(L3,tables_532100!B:C,2,FALSE)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VLOOKUP(L4,tables_532100!B:C,2,FALSE)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(COUNTIF(tables_532100!C:C,input_532100!A28)+COUNTIF(tables_532100!C:C,input_532100!A29))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VLOOKUP(L5,tables_532100!B:C,2,FALSE)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9.8958333333333329E-3</v>
      </c>
      <c r="F6">
        <f>(COUNTIF(tables_532100!C:C,input_532100!A25)+COUNTIF(tables_532100!C:C,input_532100!A18)+COUNTIF(tables_532100!C:C,input_532100!A20)+COUNTIF(tables_532100!C:C,input_532100!A22))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VLOOKUP(L6,tables_532100!B:C,2,FALSE)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VLOOKUP(L7,tables_532100!B:C,2,FALSE)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VLOOKUP(L8,tables_532100!B:C,2,FALSE)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VLOOKUP(L9,tables_532100!B:C,2,FALSE)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VLOOKUP(L10,tables_532100!B:C,2,FALSE)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VLOOKUP(L11,tables_532100!B:C,2,FALSE)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COUNTIF(tables_532100!C:C,input_532100!A17)-COUNTIF(Q:Q,A17)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0.22001736111111114</v>
      </c>
      <c r="C18" s="85">
        <f t="shared" si="2"/>
        <v>0</v>
      </c>
      <c r="D18" s="74">
        <f t="shared" si="3"/>
        <v>0.22001736111111114</v>
      </c>
      <c r="E18">
        <f>COUNTIF(tables_532100!C:C,input_532100!A18)-COUNTIF(Q:Q,A18)</f>
        <v>20</v>
      </c>
      <c r="F18" s="43">
        <f>IFERROR(B18/E18,0)</f>
        <v>1.1000868055555557E-2</v>
      </c>
      <c r="G18">
        <f t="shared" si="4"/>
        <v>1267300.0000000002</v>
      </c>
      <c r="H18">
        <f t="shared" si="5"/>
        <v>63365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COUNTIF(tables_532100!C:C,input_532100!A19)-COUNTIF(Q:Q,A19)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0.48885416666666659</v>
      </c>
      <c r="C20" s="85">
        <f t="shared" si="2"/>
        <v>0</v>
      </c>
      <c r="D20" s="74">
        <f t="shared" si="3"/>
        <v>0.48885416666666659</v>
      </c>
      <c r="E20">
        <f>COUNTIF(tables_532100!C:C,input_532100!A20)-COUNTIF(Q:Q,A20)</f>
        <v>52</v>
      </c>
      <c r="F20" s="43">
        <f t="shared" si="8"/>
        <v>9.4010416666666652E-3</v>
      </c>
      <c r="G20">
        <f t="shared" si="4"/>
        <v>2815799.9999999995</v>
      </c>
      <c r="H20">
        <f t="shared" si="5"/>
        <v>54150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3.6284722222222274E-3</v>
      </c>
      <c r="C21" s="85">
        <f t="shared" si="2"/>
        <v>0</v>
      </c>
      <c r="D21" s="74">
        <f t="shared" si="3"/>
        <v>3.6284722222222274E-3</v>
      </c>
      <c r="E21">
        <f>COUNTIF(tables_532100!C:C,input_532100!A21)-COUNTIF(Q:Q,A21)</f>
        <v>52</v>
      </c>
      <c r="F21" s="43">
        <f t="shared" si="8"/>
        <v>6.9778311965812065E-5</v>
      </c>
      <c r="G21">
        <f t="shared" si="4"/>
        <v>20900.000000000029</v>
      </c>
      <c r="H21">
        <f t="shared" si="5"/>
        <v>401.92308000000003</v>
      </c>
      <c r="I21">
        <f t="shared" si="6"/>
        <v>0.92308000000002721</v>
      </c>
      <c r="J21">
        <f t="shared" si="7"/>
        <v>1.0833297222342273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0.18505208333333334</v>
      </c>
      <c r="C22" s="85">
        <f t="shared" si="2"/>
        <v>0</v>
      </c>
      <c r="D22" s="74">
        <f t="shared" si="3"/>
        <v>0.18505208333333334</v>
      </c>
      <c r="E22">
        <f>COUNTIF(tables_532100!C:C,input_532100!A22)-COUNTIF(Q:Q,A22)</f>
        <v>20</v>
      </c>
      <c r="F22" s="43">
        <f t="shared" si="8"/>
        <v>9.2526041666666677E-3</v>
      </c>
      <c r="G22">
        <f t="shared" si="4"/>
        <v>1065900</v>
      </c>
      <c r="H22">
        <f t="shared" si="5"/>
        <v>53295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1.2864583333333332E-2</v>
      </c>
      <c r="C23" s="85">
        <f t="shared" si="2"/>
        <v>0</v>
      </c>
      <c r="D23" s="74">
        <f t="shared" si="3"/>
        <v>1.2864583333333332E-2</v>
      </c>
      <c r="E23">
        <f>COUNTIF(tables_532100!C:C,input_532100!A23)-COUNTIF(Q:Q,A23)</f>
        <v>26</v>
      </c>
      <c r="F23" s="43">
        <f t="shared" si="8"/>
        <v>4.947916666666666E-4</v>
      </c>
      <c r="G23">
        <f t="shared" si="4"/>
        <v>74099.999999999985</v>
      </c>
      <c r="H23">
        <f t="shared" si="5"/>
        <v>2850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COUNTIF(tables_532100!C:C,input_532100!A24)-COUNTIF(Q:Q,A24)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3.7604166666666661E-2</v>
      </c>
      <c r="C25" s="85">
        <f t="shared" si="2"/>
        <v>0</v>
      </c>
      <c r="D25" s="74">
        <f t="shared" si="3"/>
        <v>3.7604166666666661E-2</v>
      </c>
      <c r="E25">
        <f>COUNTIF(tables_532100!C:C,input_532100!A25)-COUNTIF(Q:Q,A25)</f>
        <v>4</v>
      </c>
      <c r="F25" s="43">
        <f t="shared" si="8"/>
        <v>9.4010416666666652E-3</v>
      </c>
      <c r="G25">
        <f t="shared" si="4"/>
        <v>216599.99999999997</v>
      </c>
      <c r="H25">
        <f t="shared" si="5"/>
        <v>54150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1.9791666666666668E-3</v>
      </c>
      <c r="C26" s="85">
        <f t="shared" si="2"/>
        <v>0</v>
      </c>
      <c r="D26" s="74">
        <f t="shared" si="3"/>
        <v>1.9791666666666668E-3</v>
      </c>
      <c r="E26">
        <f>COUNTIF(tables_532100!C:C,input_532100!A26)-COUNTIF(Q:Q,A26)</f>
        <v>4</v>
      </c>
      <c r="F26" s="43">
        <f t="shared" si="8"/>
        <v>4.9479166666666671E-4</v>
      </c>
      <c r="G26">
        <f t="shared" si="4"/>
        <v>11400.000000000002</v>
      </c>
      <c r="H26">
        <f t="shared" si="5"/>
        <v>2850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1.8472222222222223E-2</v>
      </c>
      <c r="C27" s="85">
        <f t="shared" si="2"/>
        <v>0</v>
      </c>
      <c r="D27" s="74">
        <f t="shared" si="3"/>
        <v>1.8472222222222223E-2</v>
      </c>
      <c r="E27">
        <f>COUNTIF(tables_532100!C:C,input_532100!A27)-COUNTIF(Q:Q,A27)</f>
        <v>28</v>
      </c>
      <c r="F27" s="43">
        <f>IFERROR(B27/E27,0)</f>
        <v>6.5972222222222224E-4</v>
      </c>
      <c r="G27">
        <f t="shared" si="4"/>
        <v>106400</v>
      </c>
      <c r="H27">
        <f t="shared" si="5"/>
        <v>3800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9.722222222222223E-4</v>
      </c>
      <c r="C28" s="85">
        <f t="shared" si="2"/>
        <v>0</v>
      </c>
      <c r="D28" s="74">
        <f t="shared" si="3"/>
        <v>9.722222222222223E-4</v>
      </c>
      <c r="E28">
        <f>COUNTIF(tables_532100!C:C,input_532100!A28)-COUNTIF(Q:Q,A28)</f>
        <v>28</v>
      </c>
      <c r="F28" s="43">
        <f t="shared" si="8"/>
        <v>3.4722222222222222E-5</v>
      </c>
      <c r="G28">
        <f t="shared" si="4"/>
        <v>5600.0000000000009</v>
      </c>
      <c r="H28">
        <f t="shared" si="5"/>
        <v>200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COUNTIF(tables_532100!C:C,input_532100!A29)-COUNTIF(Q:Q,A29)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COUNTIF(tables_532100!C:C,input_532100!A30)-COUNTIF(Q:Q,A30)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COUNTIF(tables_532100!C:C,input_532100!A31)-COUNTIF(Q:Q,A31)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SUMIF(tables_532100!C:C,input_532100!A40,tables_532100!O:O)</f>
        <v>0</v>
      </c>
      <c r="C40" s="54">
        <f t="shared" ref="C40:C46" ca="1" si="9">B40/B$47</f>
        <v>0</v>
      </c>
      <c r="E40">
        <v>3</v>
      </c>
      <c r="F40">
        <f ca="1">SUMIF(tables_532100!J:J,input_532100!E40,tables_532100!O:O)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SUMIF(tables_532100!C:C,input_532100!A41,tables_532100!O:O)</f>
        <v>2815800</v>
      </c>
      <c r="C41" s="54">
        <f t="shared" ca="1" si="9"/>
        <v>0.95492929082212885</v>
      </c>
      <c r="E41">
        <v>4</v>
      </c>
      <c r="F41">
        <f ca="1">SUMIF(tables_532100!J:J,input_532100!E41,tables_532100!O:O)</f>
        <v>5472000</v>
      </c>
      <c r="G41">
        <f ca="1">F41/A36</f>
        <v>0.95</v>
      </c>
    </row>
    <row r="42" spans="1:7" x14ac:dyDescent="0.15">
      <c r="A42" s="33" t="s">
        <v>106</v>
      </c>
      <c r="B42">
        <f ca="1">SUMIF(tables_532100!C:C,input_532100!A42,tables_532100!O:O)</f>
        <v>106400</v>
      </c>
      <c r="C42" s="54">
        <f t="shared" ca="1" si="9"/>
        <v>3.6083697898811891E-2</v>
      </c>
      <c r="E42">
        <v>5</v>
      </c>
      <c r="F42">
        <f ca="1">SUMIF(tables_532100!J:J,input_532100!E42,tables_532100!O:O)</f>
        <v>288000.00016</v>
      </c>
      <c r="G42">
        <f ca="1">F42/A36</f>
        <v>5.0000000027777776E-2</v>
      </c>
    </row>
    <row r="43" spans="1:7" x14ac:dyDescent="0.15">
      <c r="A43" s="33" t="s">
        <v>109</v>
      </c>
      <c r="B43">
        <f>SUMIF(tables_532100!C:C,input_532100!A43,tables_532100!O:O)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SUMIF(tables_532100!C:C,input_532100!A44,tables_532100!O:O)</f>
        <v>20900.000160000018</v>
      </c>
      <c r="C44" s="54">
        <f t="shared" ca="1" si="9"/>
        <v>7.0878692843849697E-3</v>
      </c>
      <c r="E44" t="s">
        <v>54</v>
      </c>
      <c r="F44" s="55"/>
    </row>
    <row r="45" spans="1:7" x14ac:dyDescent="0.15">
      <c r="A45" s="33" t="s">
        <v>107</v>
      </c>
      <c r="B45">
        <f ca="1">SUMIF(tables_532100!C:C,input_532100!A45,tables_532100!O:O)</f>
        <v>5600</v>
      </c>
      <c r="C45" s="54">
        <f t="shared" ca="1" si="9"/>
        <v>1.89914199467431E-3</v>
      </c>
      <c r="E45" t="s">
        <v>204</v>
      </c>
      <c r="F45" s="55">
        <f ca="1">SUMIF(tables_532100!I:I,input_532100!E45,tables_532100!P:P)</f>
        <v>0.22298611110491687</v>
      </c>
    </row>
    <row r="46" spans="1:7" x14ac:dyDescent="0.15">
      <c r="A46" s="33" t="s">
        <v>108</v>
      </c>
      <c r="B46">
        <f>SUMIF(tables_532100!C:C,input_532100!A46,tables_532100!O:O)</f>
        <v>0</v>
      </c>
      <c r="C46" s="54">
        <f t="shared" ca="1" si="9"/>
        <v>0</v>
      </c>
      <c r="E46" t="s">
        <v>205</v>
      </c>
      <c r="F46" s="55">
        <f ca="1">SUMIF(tables_532100!I:I,input_532100!E46,tables_532100!P:P)</f>
        <v>0.1906914396405362</v>
      </c>
    </row>
    <row r="47" spans="1:7" x14ac:dyDescent="0.15">
      <c r="A47" s="39" t="s">
        <v>59</v>
      </c>
      <c r="B47">
        <f ca="1">SUM(B40:B46)</f>
        <v>2948700.0001599998</v>
      </c>
      <c r="C47" s="55">
        <f ca="1">SUM(C40:C46)</f>
        <v>1</v>
      </c>
      <c r="E47" t="s">
        <v>206</v>
      </c>
      <c r="F47" s="55">
        <f ca="1">SUMIF(tables_532100!I:I,input_532100!E47,tables_532100!P:P)</f>
        <v>0.53632244925593575</v>
      </c>
    </row>
    <row r="48" spans="1:7" x14ac:dyDescent="0.15">
      <c r="E48" t="s">
        <v>207</v>
      </c>
      <c r="F48" s="55">
        <f ca="1">SUMIF(tables_532100!I:I,input_532100!E48,tables_532100!P:P)</f>
        <v>4.3749999998784671E-2</v>
      </c>
    </row>
    <row r="49" spans="5:6" x14ac:dyDescent="0.15">
      <c r="E49" t="s">
        <v>252</v>
      </c>
      <c r="F49" s="55">
        <f ca="1">SUMIF(tables_532100!I:I,input_532100!E49,tables_532100!P:P)</f>
        <v>6.2499999998263831E-3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input_532100!A$2</f>
        <v>532100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IFERROR(VLOOKUP(B2,input_532100!L:R,7,FALSE),VLOOKUP(tables_532100!C2,input_532100!A:H,8,FALSE))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input_532100!A$2</f>
        <v>532100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IFERROR(VLOOKUP(B3,input_532100!L:R,7,FALSE),VLOOKUP(tables_532100!C3,input_532100!A:H,8,FALSE))</f>
        <v>63365</v>
      </c>
      <c r="P3" s="46">
        <f t="shared" ca="1" si="1"/>
        <v>1.1000868055249967E-2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input_532100!A$2</f>
        <v>532100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IFERROR(VLOOKUP(B4,input_532100!L:R,7,FALSE),VLOOKUP(tables_532100!C4,input_532100!A:H,8,FALSE))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input_532100!A$2</f>
        <v>532100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IFERROR(VLOOKUP(B5,input_532100!L:R,7,FALSE),VLOOKUP(tables_532100!C5,input_532100!A:H,8,FALSE))</f>
        <v>63365</v>
      </c>
      <c r="P5" s="46">
        <f t="shared" ca="1" si="1"/>
        <v>1.1000868055249967E-2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input_532100!A$2</f>
        <v>532100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IFERROR(VLOOKUP(B6,input_532100!L:R,7,FALSE),VLOOKUP(tables_532100!C6,input_532100!A:H,8,FALSE))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input_532100!A$2</f>
        <v>532100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IFERROR(VLOOKUP(B7,input_532100!L:R,7,FALSE),VLOOKUP(tables_532100!C7,input_532100!A:H,8,FALSE))</f>
        <v>63365</v>
      </c>
      <c r="P7" s="46">
        <f t="shared" ca="1" si="1"/>
        <v>1.1000868055249967E-2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input_532100!A$2</f>
        <v>532100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IFERROR(VLOOKUP(B8,input_532100!L:R,7,FALSE),VLOOKUP(tables_532100!C8,input_532100!A:H,8,FALSE))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input_532100!A$2</f>
        <v>532100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IFERROR(VLOOKUP(B9,input_532100!L:R,7,FALSE),VLOOKUP(tables_532100!C9,input_532100!A:H,8,FALSE))</f>
        <v>63365</v>
      </c>
      <c r="P9" s="46">
        <f t="shared" ca="1" si="1"/>
        <v>1.1000868055249967E-2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input_532100!A$2</f>
        <v>532100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IFERROR(VLOOKUP(B10,input_532100!L:R,7,FALSE),VLOOKUP(tables_532100!C10,input_532100!A:H,8,FALSE))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input_532100!A$2</f>
        <v>532100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IFERROR(VLOOKUP(B11,input_532100!L:R,7,FALSE),VLOOKUP(tables_532100!C11,input_532100!A:H,8,FALSE))</f>
        <v>63365</v>
      </c>
      <c r="P11" s="46">
        <f t="shared" ca="1" si="1"/>
        <v>1.1000868055249967E-2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input_532100!A$2</f>
        <v>532100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IFERROR(VLOOKUP(B12,input_532100!L:R,7,FALSE),VLOOKUP(tables_532100!C12,input_532100!A:H,8,FALSE))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input_532100!A$2</f>
        <v>532100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IFERROR(VLOOKUP(B13,input_532100!L:R,7,FALSE),VLOOKUP(tables_532100!C13,input_532100!A:H,8,FALSE))</f>
        <v>63365</v>
      </c>
      <c r="P13" s="46">
        <f t="shared" ca="1" si="1"/>
        <v>1.1000868055249967E-2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input_532100!A$2</f>
        <v>532100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IFERROR(VLOOKUP(B14,input_532100!L:R,7,FALSE),VLOOKUP(tables_532100!C14,input_532100!A:H,8,FALSE))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input_532100!A$2</f>
        <v>532100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IFERROR(VLOOKUP(B15,input_532100!L:R,7,FALSE),VLOOKUP(tables_532100!C15,input_532100!A:H,8,FALSE))</f>
        <v>63365</v>
      </c>
      <c r="P15" s="46">
        <f t="shared" ca="1" si="1"/>
        <v>1.1000868055249967E-2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input_532100!A$2</f>
        <v>532100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IFERROR(VLOOKUP(B16,input_532100!L:R,7,FALSE),VLOOKUP(tables_532100!C16,input_532100!A:H,8,FALSE))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input_532100!A$2</f>
        <v>532100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IFERROR(VLOOKUP(B17,input_532100!L:R,7,FALSE),VLOOKUP(tables_532100!C17,input_532100!A:H,8,FALSE))</f>
        <v>63365</v>
      </c>
      <c r="P17" s="46">
        <f t="shared" ca="1" si="1"/>
        <v>1.1000868055249967E-2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input_532100!A$2</f>
        <v>532100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IFERROR(VLOOKUP(B18,input_532100!L:R,7,FALSE),VLOOKUP(tables_532100!C18,input_532100!A:H,8,FALSE))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input_532100!A$2</f>
        <v>532100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IFERROR(VLOOKUP(B19,input_532100!L:R,7,FALSE),VLOOKUP(tables_532100!C19,input_532100!A:H,8,FALSE))</f>
        <v>63365</v>
      </c>
      <c r="P19" s="46">
        <f t="shared" ca="1" si="1"/>
        <v>1.1000868055249967E-2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input_532100!A$2</f>
        <v>532100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IFERROR(VLOOKUP(B20,input_532100!L:R,7,FALSE),VLOOKUP(tables_532100!C20,input_532100!A:H,8,FALSE))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input_532100!A$2</f>
        <v>532100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IFERROR(VLOOKUP(B21,input_532100!L:R,7,FALSE),VLOOKUP(tables_532100!C21,input_532100!A:H,8,FALSE))</f>
        <v>63365</v>
      </c>
      <c r="P21" s="46">
        <f t="shared" ca="1" si="1"/>
        <v>1.1000868055249967E-2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input_532100!A$2</f>
        <v>532100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IFERROR(VLOOKUP(B22,input_532100!L:R,7,FALSE),VLOOKUP(tables_532100!C22,input_532100!A:H,8,FALSE))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input_532100!A$2</f>
        <v>532100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IFERROR(VLOOKUP(B23,input_532100!L:R,7,FALSE),VLOOKUP(tables_532100!C23,input_532100!A:H,8,FALSE))</f>
        <v>63365</v>
      </c>
      <c r="P23" s="46">
        <f t="shared" ca="1" si="1"/>
        <v>1.1000868055249967E-2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input_532100!A$2</f>
        <v>532100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IFERROR(VLOOKUP(B24,input_532100!L:R,7,FALSE),VLOOKUP(tables_532100!C24,input_532100!A:H,8,FALSE))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input_532100!A$2</f>
        <v>532100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IFERROR(VLOOKUP(B25,input_532100!L:R,7,FALSE),VLOOKUP(tables_532100!C25,input_532100!A:H,8,FALSE))</f>
        <v>63365</v>
      </c>
      <c r="P25" s="46">
        <f t="shared" ca="1" si="1"/>
        <v>1.1000868055249967E-2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input_532100!A$2</f>
        <v>532100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IFERROR(VLOOKUP(B26,input_532100!L:R,7,FALSE),VLOOKUP(tables_532100!C26,input_532100!A:H,8,FALSE))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input_532100!A$2</f>
        <v>532100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IFERROR(VLOOKUP(B27,input_532100!L:R,7,FALSE),VLOOKUP(tables_532100!C27,input_532100!A:H,8,FALSE))</f>
        <v>63365</v>
      </c>
      <c r="P27" s="46">
        <f t="shared" ca="1" si="1"/>
        <v>1.1000868055249967E-2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input_532100!A$2</f>
        <v>532100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IFERROR(VLOOKUP(B28,input_532100!L:R,7,FALSE),VLOOKUP(tables_532100!C28,input_532100!A:H,8,FALSE))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input_532100!A$2</f>
        <v>532100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IFERROR(VLOOKUP(B29,input_532100!L:R,7,FALSE),VLOOKUP(tables_532100!C29,input_532100!A:H,8,FALSE))</f>
        <v>63365</v>
      </c>
      <c r="P29" s="46">
        <f t="shared" ca="1" si="1"/>
        <v>1.1000868055249967E-2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input_532100!A$2</f>
        <v>532100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IFERROR(VLOOKUP(B30,input_532100!L:R,7,FALSE),VLOOKUP(tables_532100!C30,input_532100!A:H,8,FALSE))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input_532100!A$2</f>
        <v>532100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IFERROR(VLOOKUP(B31,input_532100!L:R,7,FALSE),VLOOKUP(tables_532100!C31,input_532100!A:H,8,FALSE))</f>
        <v>63365</v>
      </c>
      <c r="P31" s="46">
        <f t="shared" ca="1" si="1"/>
        <v>1.1000868055249967E-2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input_532100!A$2</f>
        <v>532100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IFERROR(VLOOKUP(B32,input_532100!L:R,7,FALSE),VLOOKUP(tables_532100!C32,input_532100!A:H,8,FALSE))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input_532100!A$2</f>
        <v>532100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IFERROR(VLOOKUP(B33,input_532100!L:R,7,FALSE),VLOOKUP(tables_532100!C33,input_532100!A:H,8,FALSE))</f>
        <v>63365</v>
      </c>
      <c r="P33" s="46">
        <f t="shared" ca="1" si="1"/>
        <v>1.1000868055249967E-2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input_532100!A$2</f>
        <v>532100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IFERROR(VLOOKUP(B34,input_532100!L:R,7,FALSE),VLOOKUP(tables_532100!C34,input_532100!A:H,8,FALSE))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input_532100!A$2</f>
        <v>532100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IFERROR(VLOOKUP(B35,input_532100!L:R,7,FALSE),VLOOKUP(tables_532100!C35,input_532100!A:H,8,FALSE))</f>
        <v>63365</v>
      </c>
      <c r="P35" s="46">
        <f t="shared" ca="1" si="1"/>
        <v>1.1000868055249967E-2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input_532100!A$2</f>
        <v>532100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IFERROR(VLOOKUP(B36,input_532100!L:R,7,FALSE),VLOOKUP(tables_532100!C36,input_532100!A:H,8,FALSE))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input_532100!A$2</f>
        <v>532100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IFERROR(VLOOKUP(B37,input_532100!L:R,7,FALSE),VLOOKUP(tables_532100!C37,input_532100!A:H,8,FALSE))</f>
        <v>63365</v>
      </c>
      <c r="P37" s="46">
        <f t="shared" ca="1" si="1"/>
        <v>1.1000868055249967E-2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input_532100!A$2</f>
        <v>532100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IFERROR(VLOOKUP(B38,input_532100!L:R,7,FALSE),VLOOKUP(tables_532100!C38,input_532100!A:H,8,FALSE))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input_532100!A$2</f>
        <v>532100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IFERROR(VLOOKUP(B39,input_532100!L:R,7,FALSE),VLOOKUP(tables_532100!C39,input_532100!A:H,8,FALSE))</f>
        <v>63365</v>
      </c>
      <c r="P39" s="46">
        <f t="shared" ca="1" si="1"/>
        <v>1.1000868055249967E-2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input_532100!A$2</f>
        <v>532100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IFERROR(VLOOKUP(B40,input_532100!L:R,7,FALSE),VLOOKUP(tables_532100!C40,input_532100!A:H,8,FALSE))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input_532100!A$2</f>
        <v>532100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IFERROR(VLOOKUP(B41,input_532100!L:R,7,FALSE),VLOOKUP(tables_532100!C41,input_532100!A:H,8,FALSE))</f>
        <v>63365</v>
      </c>
      <c r="P41" s="46">
        <f t="shared" ca="1" si="1"/>
        <v>1.1000868055249967E-2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input_532100!A$2</f>
        <v>532100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IFERROR(VLOOKUP(B42,input_532100!L:R,7,FALSE),VLOOKUP(tables_532100!C42,input_532100!A:H,8,FALSE))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input_532100!A$2</f>
        <v>532100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IFERROR(VLOOKUP(B43,input_532100!L:R,7,FALSE),VLOOKUP(tables_532100!C43,input_532100!A:H,8,FALSE))</f>
        <v>54150</v>
      </c>
      <c r="P43" s="46">
        <f t="shared" ca="1" si="1"/>
        <v>9.4010416664055182E-3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input_532100!A$2</f>
        <v>532100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IFERROR(VLOOKUP(B44,input_532100!L:R,7,FALSE),VLOOKUP(tables_532100!C44,input_532100!A:H,8,FALSE))</f>
        <v>2850</v>
      </c>
      <c r="P44" s="46">
        <f t="shared" ca="1" si="1"/>
        <v>4.9479166665292206E-4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input_532100!A$2</f>
        <v>532100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IFERROR(VLOOKUP(B45,input_532100!L:R,7,FALSE),VLOOKUP(tables_532100!C45,input_532100!A:H,8,FALSE))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input_532100!A$2</f>
        <v>532100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IFERROR(VLOOKUP(B46,input_532100!L:R,7,FALSE),VLOOKUP(tables_532100!C46,input_532100!A:H,8,FALSE))</f>
        <v>54150</v>
      </c>
      <c r="P46" s="46">
        <f t="shared" ca="1" si="1"/>
        <v>9.4010416664055182E-3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input_532100!A$2</f>
        <v>532100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IFERROR(VLOOKUP(B47,input_532100!L:R,7,FALSE),VLOOKUP(tables_532100!C47,input_532100!A:H,8,FALSE))</f>
        <v>2850</v>
      </c>
      <c r="P47" s="46">
        <f t="shared" ca="1" si="1"/>
        <v>4.9479166665292206E-4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input_532100!A$2</f>
        <v>532100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IFERROR(VLOOKUP(B48,input_532100!L:R,7,FALSE),VLOOKUP(tables_532100!C48,input_532100!A:H,8,FALSE))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input_532100!A$2</f>
        <v>532100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IFERROR(VLOOKUP(B49,input_532100!L:R,7,FALSE),VLOOKUP(tables_532100!C49,input_532100!A:H,8,FALSE))</f>
        <v>54150</v>
      </c>
      <c r="P49" s="46">
        <f t="shared" ca="1" si="1"/>
        <v>9.4010416664055182E-3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input_532100!A$2</f>
        <v>532100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IFERROR(VLOOKUP(B50,input_532100!L:R,7,FALSE),VLOOKUP(tables_532100!C50,input_532100!A:H,8,FALSE))</f>
        <v>2850</v>
      </c>
      <c r="P50" s="46">
        <f t="shared" ca="1" si="1"/>
        <v>4.9479166665292206E-4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input_532100!A$2</f>
        <v>532100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IFERROR(VLOOKUP(B51,input_532100!L:R,7,FALSE),VLOOKUP(tables_532100!C51,input_532100!A:H,8,FALSE))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input_532100!A$2</f>
        <v>532100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IFERROR(VLOOKUP(B52,input_532100!L:R,7,FALSE),VLOOKUP(tables_532100!C52,input_532100!A:H,8,FALSE))</f>
        <v>54150</v>
      </c>
      <c r="P52" s="46">
        <f t="shared" ca="1" si="1"/>
        <v>9.4010416664055182E-3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input_532100!A$2</f>
        <v>532100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IFERROR(VLOOKUP(B53,input_532100!L:R,7,FALSE),VLOOKUP(tables_532100!C53,input_532100!A:H,8,FALSE))</f>
        <v>401.92308000000003</v>
      </c>
      <c r="P53" s="46">
        <f t="shared" ca="1" si="1"/>
        <v>6.9778312498061656E-5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input_532100!A$2</f>
        <v>532100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IFERROR(VLOOKUP(B54,input_532100!L:R,7,FALSE),VLOOKUP(tables_532100!C54,input_532100!A:H,8,FALSE))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input_532100!A$2</f>
        <v>532100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IFERROR(VLOOKUP(B55,input_532100!L:R,7,FALSE),VLOOKUP(tables_532100!C55,input_532100!A:H,8,FALSE))</f>
        <v>54150</v>
      </c>
      <c r="P55" s="46">
        <f t="shared" ca="1" si="1"/>
        <v>9.4010416664055182E-3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input_532100!A$2</f>
        <v>532100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IFERROR(VLOOKUP(B56,input_532100!L:R,7,FALSE),VLOOKUP(tables_532100!C56,input_532100!A:H,8,FALSE))</f>
        <v>401.92308000000003</v>
      </c>
      <c r="P56" s="46">
        <f t="shared" ca="1" si="1"/>
        <v>6.9778312498061656E-5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input_532100!A$2</f>
        <v>532100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IFERROR(VLOOKUP(B57,input_532100!L:R,7,FALSE),VLOOKUP(tables_532100!C57,input_532100!A:H,8,FALSE))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input_532100!A$2</f>
        <v>532100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IFERROR(VLOOKUP(B58,input_532100!L:R,7,FALSE),VLOOKUP(tables_532100!C58,input_532100!A:H,8,FALSE))</f>
        <v>54150</v>
      </c>
      <c r="P58" s="46">
        <f t="shared" ca="1" si="1"/>
        <v>9.4010416664055182E-3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input_532100!A$2</f>
        <v>532100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IFERROR(VLOOKUP(B59,input_532100!L:R,7,FALSE),VLOOKUP(tables_532100!C59,input_532100!A:H,8,FALSE))</f>
        <v>401.92308000000003</v>
      </c>
      <c r="P59" s="46">
        <f t="shared" ca="1" si="1"/>
        <v>6.9778312498061656E-5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input_532100!A$2</f>
        <v>532100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IFERROR(VLOOKUP(B60,input_532100!L:R,7,FALSE),VLOOKUP(tables_532100!C60,input_532100!A:H,8,FALSE))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input_532100!A$2</f>
        <v>532100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IFERROR(VLOOKUP(B61,input_532100!L:R,7,FALSE),VLOOKUP(tables_532100!C61,input_532100!A:H,8,FALSE))</f>
        <v>54150</v>
      </c>
      <c r="P61" s="46">
        <f t="shared" ca="1" si="1"/>
        <v>9.4010416664055182E-3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input_532100!A$2</f>
        <v>532100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IFERROR(VLOOKUP(B62,input_532100!L:R,7,FALSE),VLOOKUP(tables_532100!C62,input_532100!A:H,8,FALSE))</f>
        <v>401.92308000000003</v>
      </c>
      <c r="P62" s="46">
        <f t="shared" ca="1" si="1"/>
        <v>6.9778312498061656E-5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input_532100!A$2</f>
        <v>532100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IFERROR(VLOOKUP(B63,input_532100!L:R,7,FALSE),VLOOKUP(tables_532100!C63,input_532100!A:H,8,FALSE))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input_532100!A$2</f>
        <v>532100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IFERROR(VLOOKUP(B64,input_532100!L:R,7,FALSE),VLOOKUP(tables_532100!C64,input_532100!A:H,8,FALSE))</f>
        <v>54150</v>
      </c>
      <c r="P64" s="46">
        <f t="shared" ca="1" si="1"/>
        <v>9.4010416664055182E-3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input_532100!A$2</f>
        <v>532100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IFERROR(VLOOKUP(B65,input_532100!L:R,7,FALSE),VLOOKUP(tables_532100!C65,input_532100!A:H,8,FALSE))</f>
        <v>401.92308000000003</v>
      </c>
      <c r="P65" s="46">
        <f t="shared" ca="1" si="1"/>
        <v>6.9778312498061656E-5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input_532100!A$2</f>
        <v>532100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IFERROR(VLOOKUP(B66,input_532100!L:R,7,FALSE),VLOOKUP(tables_532100!C66,input_532100!A:H,8,FALSE))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input_532100!A$2</f>
        <v>532100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IFERROR(VLOOKUP(B67,input_532100!L:R,7,FALSE),VLOOKUP(tables_532100!C67,input_532100!A:H,8,FALSE))</f>
        <v>54150</v>
      </c>
      <c r="P67" s="46">
        <f t="shared" ca="1" si="4"/>
        <v>9.4010416664055182E-3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input_532100!A$2</f>
        <v>532100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IFERROR(VLOOKUP(B68,input_532100!L:R,7,FALSE),VLOOKUP(tables_532100!C68,input_532100!A:H,8,FALSE))</f>
        <v>401.92308000000003</v>
      </c>
      <c r="P68" s="46">
        <f t="shared" ca="1" si="4"/>
        <v>6.9778312498061656E-5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input_532100!A$2</f>
        <v>532100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IFERROR(VLOOKUP(B69,input_532100!L:R,7,FALSE),VLOOKUP(tables_532100!C69,input_532100!A:H,8,FALSE))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input_532100!A$2</f>
        <v>532100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IFERROR(VLOOKUP(B70,input_532100!L:R,7,FALSE),VLOOKUP(tables_532100!C70,input_532100!A:H,8,FALSE))</f>
        <v>54150</v>
      </c>
      <c r="P70" s="46">
        <f t="shared" ca="1" si="4"/>
        <v>9.4010416664055182E-3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input_532100!A$2</f>
        <v>532100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IFERROR(VLOOKUP(B71,input_532100!L:R,7,FALSE),VLOOKUP(tables_532100!C71,input_532100!A:H,8,FALSE))</f>
        <v>401.92308000000003</v>
      </c>
      <c r="P71" s="46">
        <f t="shared" ca="1" si="4"/>
        <v>6.9778312498061656E-5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input_532100!A$2</f>
        <v>532100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IFERROR(VLOOKUP(B72,input_532100!L:R,7,FALSE),VLOOKUP(tables_532100!C72,input_532100!A:H,8,FALSE))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input_532100!A$2</f>
        <v>532100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IFERROR(VLOOKUP(B73,input_532100!L:R,7,FALSE),VLOOKUP(tables_532100!C73,input_532100!A:H,8,FALSE))</f>
        <v>54150</v>
      </c>
      <c r="P73" s="46">
        <f t="shared" ca="1" si="4"/>
        <v>9.4010416664055182E-3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input_532100!A$2</f>
        <v>532100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IFERROR(VLOOKUP(B74,input_532100!L:R,7,FALSE),VLOOKUP(tables_532100!C74,input_532100!A:H,8,FALSE))</f>
        <v>401.92308000000003</v>
      </c>
      <c r="P74" s="46">
        <f t="shared" ca="1" si="4"/>
        <v>6.9778312498061656E-5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input_532100!A$2</f>
        <v>532100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IFERROR(VLOOKUP(B75,input_532100!L:R,7,FALSE),VLOOKUP(tables_532100!C75,input_532100!A:H,8,FALSE))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input_532100!A$2</f>
        <v>532100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IFERROR(VLOOKUP(B76,input_532100!L:R,7,FALSE),VLOOKUP(tables_532100!C76,input_532100!A:H,8,FALSE))</f>
        <v>54150</v>
      </c>
      <c r="P76" s="46">
        <f t="shared" ca="1" si="4"/>
        <v>9.4010416664055182E-3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input_532100!A$2</f>
        <v>532100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IFERROR(VLOOKUP(B77,input_532100!L:R,7,FALSE),VLOOKUP(tables_532100!C77,input_532100!A:H,8,FALSE))</f>
        <v>401.92308000000003</v>
      </c>
      <c r="P77" s="46">
        <f t="shared" ca="1" si="4"/>
        <v>6.9778312498061656E-5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input_532100!A$2</f>
        <v>532100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IFERROR(VLOOKUP(B78,input_532100!L:R,7,FALSE),VLOOKUP(tables_532100!C78,input_532100!A:H,8,FALSE))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input_532100!A$2</f>
        <v>532100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IFERROR(VLOOKUP(B79,input_532100!L:R,7,FALSE),VLOOKUP(tables_532100!C79,input_532100!A:H,8,FALSE))</f>
        <v>54150</v>
      </c>
      <c r="P79" s="46">
        <f t="shared" ca="1" si="4"/>
        <v>9.4010416664055182E-3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input_532100!A$2</f>
        <v>532100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IFERROR(VLOOKUP(B80,input_532100!L:R,7,FALSE),VLOOKUP(tables_532100!C80,input_532100!A:H,8,FALSE))</f>
        <v>401.92308000000003</v>
      </c>
      <c r="P80" s="46">
        <f t="shared" ca="1" si="4"/>
        <v>6.9778312498061656E-5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input_532100!A$2</f>
        <v>532100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IFERROR(VLOOKUP(B81,input_532100!L:R,7,FALSE),VLOOKUP(tables_532100!C81,input_532100!A:H,8,FALSE))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input_532100!A$2</f>
        <v>532100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IFERROR(VLOOKUP(B82,input_532100!L:R,7,FALSE),VLOOKUP(tables_532100!C82,input_532100!A:H,8,FALSE))</f>
        <v>54150</v>
      </c>
      <c r="P82" s="46">
        <f t="shared" ca="1" si="4"/>
        <v>9.4010416664055182E-3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input_532100!A$2</f>
        <v>532100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IFERROR(VLOOKUP(B83,input_532100!L:R,7,FALSE),VLOOKUP(tables_532100!C83,input_532100!A:H,8,FALSE))</f>
        <v>401.92308000000003</v>
      </c>
      <c r="P83" s="46">
        <f t="shared" ca="1" si="4"/>
        <v>6.9778312498061656E-5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input_532100!A$2</f>
        <v>532100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IFERROR(VLOOKUP(B84,input_532100!L:R,7,FALSE),VLOOKUP(tables_532100!C84,input_532100!A:H,8,FALSE))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input_532100!A$2</f>
        <v>532100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IFERROR(VLOOKUP(B85,input_532100!L:R,7,FALSE),VLOOKUP(tables_532100!C85,input_532100!A:H,8,FALSE))</f>
        <v>54150</v>
      </c>
      <c r="P85" s="46">
        <f t="shared" ca="1" si="4"/>
        <v>9.4010416664055182E-3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input_532100!A$2</f>
        <v>532100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IFERROR(VLOOKUP(B86,input_532100!L:R,7,FALSE),VLOOKUP(tables_532100!C86,input_532100!A:H,8,FALSE))</f>
        <v>401.92308000000003</v>
      </c>
      <c r="P86" s="46">
        <f t="shared" ca="1" si="4"/>
        <v>6.9778312498061656E-5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input_532100!A$2</f>
        <v>532100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IFERROR(VLOOKUP(B87,input_532100!L:R,7,FALSE),VLOOKUP(tables_532100!C87,input_532100!A:H,8,FALSE))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input_532100!A$2</f>
        <v>532100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IFERROR(VLOOKUP(B88,input_532100!L:R,7,FALSE),VLOOKUP(tables_532100!C88,input_532100!A:H,8,FALSE))</f>
        <v>54150</v>
      </c>
      <c r="P88" s="46">
        <f t="shared" ca="1" si="4"/>
        <v>9.4010416664055182E-3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input_532100!A$2</f>
        <v>532100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IFERROR(VLOOKUP(B89,input_532100!L:R,7,FALSE),VLOOKUP(tables_532100!C89,input_532100!A:H,8,FALSE))</f>
        <v>401.92308000000003</v>
      </c>
      <c r="P89" s="46">
        <f t="shared" ca="1" si="4"/>
        <v>6.9778312498061656E-5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input_532100!A$2</f>
        <v>532100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IFERROR(VLOOKUP(B90,input_532100!L:R,7,FALSE),VLOOKUP(tables_532100!C90,input_532100!A:H,8,FALSE))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input_532100!A$2</f>
        <v>532100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IFERROR(VLOOKUP(B91,input_532100!L:R,7,FALSE),VLOOKUP(tables_532100!C91,input_532100!A:H,8,FALSE))</f>
        <v>54150</v>
      </c>
      <c r="P91" s="46">
        <f t="shared" ca="1" si="4"/>
        <v>9.4010416664055182E-3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input_532100!A$2</f>
        <v>532100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IFERROR(VLOOKUP(B92,input_532100!L:R,7,FALSE),VLOOKUP(tables_532100!C92,input_532100!A:H,8,FALSE))</f>
        <v>401.92308000000003</v>
      </c>
      <c r="P92" s="46">
        <f t="shared" ca="1" si="4"/>
        <v>6.9778312498061656E-5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input_532100!A$2</f>
        <v>532100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IFERROR(VLOOKUP(B93,input_532100!L:R,7,FALSE),VLOOKUP(tables_532100!C93,input_532100!A:H,8,FALSE))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input_532100!A$2</f>
        <v>532100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IFERROR(VLOOKUP(B94,input_532100!L:R,7,FALSE),VLOOKUP(tables_532100!C94,input_532100!A:H,8,FALSE))</f>
        <v>54150</v>
      </c>
      <c r="P94" s="46">
        <f t="shared" ca="1" si="4"/>
        <v>9.4010416664055182E-3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input_532100!A$2</f>
        <v>532100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IFERROR(VLOOKUP(B95,input_532100!L:R,7,FALSE),VLOOKUP(tables_532100!C95,input_532100!A:H,8,FALSE))</f>
        <v>401.92308000000003</v>
      </c>
      <c r="P95" s="46">
        <f t="shared" ca="1" si="4"/>
        <v>6.9778312498061656E-5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input_532100!A$2</f>
        <v>532100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IFERROR(VLOOKUP(B96,input_532100!L:R,7,FALSE),VLOOKUP(tables_532100!C96,input_532100!A:H,8,FALSE))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input_532100!A$2</f>
        <v>532100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IFERROR(VLOOKUP(B97,input_532100!L:R,7,FALSE),VLOOKUP(tables_532100!C97,input_532100!A:H,8,FALSE))</f>
        <v>54150</v>
      </c>
      <c r="P97" s="46">
        <f t="shared" ca="1" si="4"/>
        <v>9.4010416664055182E-3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input_532100!A$2</f>
        <v>532100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IFERROR(VLOOKUP(B98,input_532100!L:R,7,FALSE),VLOOKUP(tables_532100!C98,input_532100!A:H,8,FALSE))</f>
        <v>401.92308000000003</v>
      </c>
      <c r="P98" s="46">
        <f t="shared" ca="1" si="4"/>
        <v>6.9778312498061656E-5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input_532100!A$2</f>
        <v>532100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IFERROR(VLOOKUP(B99,input_532100!L:R,7,FALSE),VLOOKUP(tables_532100!C99,input_532100!A:H,8,FALSE))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input_532100!A$2</f>
        <v>532100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IFERROR(VLOOKUP(B100,input_532100!L:R,7,FALSE),VLOOKUP(tables_532100!C100,input_532100!A:H,8,FALSE))</f>
        <v>54150</v>
      </c>
      <c r="P100" s="46">
        <f t="shared" ca="1" si="4"/>
        <v>9.4010416664055182E-3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input_532100!A$2</f>
        <v>532100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IFERROR(VLOOKUP(B101,input_532100!L:R,7,FALSE),VLOOKUP(tables_532100!C101,input_532100!A:H,8,FALSE))</f>
        <v>401.92308000000003</v>
      </c>
      <c r="P101" s="46">
        <f t="shared" ca="1" si="4"/>
        <v>6.9778312498061656E-5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input_532100!A$2</f>
        <v>532100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IFERROR(VLOOKUP(B102,input_532100!L:R,7,FALSE),VLOOKUP(tables_532100!C102,input_532100!A:H,8,FALSE))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input_532100!A$2</f>
        <v>532100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IFERROR(VLOOKUP(B103,input_532100!L:R,7,FALSE),VLOOKUP(tables_532100!C103,input_532100!A:H,8,FALSE))</f>
        <v>54150</v>
      </c>
      <c r="P103" s="46">
        <f t="shared" ca="1" si="4"/>
        <v>9.4010416664055182E-3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input_532100!A$2</f>
        <v>532100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IFERROR(VLOOKUP(B104,input_532100!L:R,7,FALSE),VLOOKUP(tables_532100!C104,input_532100!A:H,8,FALSE))</f>
        <v>401.92308000000003</v>
      </c>
      <c r="P104" s="46">
        <f t="shared" ca="1" si="4"/>
        <v>6.9778312498061656E-5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input_532100!A$2</f>
        <v>532100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IFERROR(VLOOKUP(B105,input_532100!L:R,7,FALSE),VLOOKUP(tables_532100!C105,input_532100!A:H,8,FALSE))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input_532100!A$2</f>
        <v>532100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IFERROR(VLOOKUP(B106,input_532100!L:R,7,FALSE),VLOOKUP(tables_532100!C106,input_532100!A:H,8,FALSE))</f>
        <v>54150</v>
      </c>
      <c r="P106" s="46">
        <f t="shared" ca="1" si="4"/>
        <v>9.4010416664055182E-3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input_532100!A$2</f>
        <v>532100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IFERROR(VLOOKUP(B107,input_532100!L:R,7,FALSE),VLOOKUP(tables_532100!C107,input_532100!A:H,8,FALSE))</f>
        <v>401.92308000000003</v>
      </c>
      <c r="P107" s="46">
        <f t="shared" ca="1" si="4"/>
        <v>6.9778312498061656E-5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input_532100!A$2</f>
        <v>532100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IFERROR(VLOOKUP(B108,input_532100!L:R,7,FALSE),VLOOKUP(tables_532100!C108,input_532100!A:H,8,FALSE))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input_532100!A$2</f>
        <v>532100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IFERROR(VLOOKUP(B109,input_532100!L:R,7,FALSE),VLOOKUP(tables_532100!C109,input_532100!A:H,8,FALSE))</f>
        <v>54150</v>
      </c>
      <c r="P109" s="46">
        <f t="shared" ca="1" si="4"/>
        <v>9.4010416664055182E-3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input_532100!A$2</f>
        <v>532100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IFERROR(VLOOKUP(B110,input_532100!L:R,7,FALSE),VLOOKUP(tables_532100!C110,input_532100!A:H,8,FALSE))</f>
        <v>401.92308000000003</v>
      </c>
      <c r="P110" s="46">
        <f t="shared" ca="1" si="4"/>
        <v>6.9778312498061656E-5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input_532100!A$2</f>
        <v>532100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IFERROR(VLOOKUP(B111,input_532100!L:R,7,FALSE),VLOOKUP(tables_532100!C111,input_532100!A:H,8,FALSE))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input_532100!A$2</f>
        <v>532100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IFERROR(VLOOKUP(B112,input_532100!L:R,7,FALSE),VLOOKUP(tables_532100!C112,input_532100!A:H,8,FALSE))</f>
        <v>54150</v>
      </c>
      <c r="P112" s="46">
        <f t="shared" ca="1" si="4"/>
        <v>9.4010416664055182E-3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input_532100!A$2</f>
        <v>532100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IFERROR(VLOOKUP(B113,input_532100!L:R,7,FALSE),VLOOKUP(tables_532100!C113,input_532100!A:H,8,FALSE))</f>
        <v>2850</v>
      </c>
      <c r="P113" s="46">
        <f t="shared" ca="1" si="4"/>
        <v>4.9479166665292206E-4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input_532100!A$2</f>
        <v>532100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IFERROR(VLOOKUP(B114,input_532100!L:R,7,FALSE),VLOOKUP(tables_532100!C114,input_532100!A:H,8,FALSE))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input_532100!A$2</f>
        <v>532100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IFERROR(VLOOKUP(B115,input_532100!L:R,7,FALSE),VLOOKUP(tables_532100!C115,input_532100!A:H,8,FALSE))</f>
        <v>54150</v>
      </c>
      <c r="P115" s="46">
        <f t="shared" ca="1" si="4"/>
        <v>9.4010416664055182E-3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input_532100!A$2</f>
        <v>532100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IFERROR(VLOOKUP(B116,input_532100!L:R,7,FALSE),VLOOKUP(tables_532100!C116,input_532100!A:H,8,FALSE))</f>
        <v>401.92308000000003</v>
      </c>
      <c r="P116" s="46">
        <f t="shared" ca="1" si="4"/>
        <v>6.9778312498061656E-5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input_532100!A$2</f>
        <v>532100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IFERROR(VLOOKUP(B117,input_532100!L:R,7,FALSE),VLOOKUP(tables_532100!C117,input_532100!A:H,8,FALSE))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input_532100!A$2</f>
        <v>532100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IFERROR(VLOOKUP(B118,input_532100!L:R,7,FALSE),VLOOKUP(tables_532100!C118,input_532100!A:H,8,FALSE))</f>
        <v>54150</v>
      </c>
      <c r="P118" s="46">
        <f t="shared" ca="1" si="4"/>
        <v>9.4010416664055182E-3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input_532100!A$2</f>
        <v>532100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IFERROR(VLOOKUP(B119,input_532100!L:R,7,FALSE),VLOOKUP(tables_532100!C119,input_532100!A:H,8,FALSE))</f>
        <v>401.92308000000003</v>
      </c>
      <c r="P119" s="46">
        <f t="shared" ca="1" si="4"/>
        <v>6.9778312498061656E-5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input_532100!A$2</f>
        <v>532100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IFERROR(VLOOKUP(B120,input_532100!L:R,7,FALSE),VLOOKUP(tables_532100!C120,input_532100!A:H,8,FALSE))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input_532100!A$2</f>
        <v>532100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IFERROR(VLOOKUP(B121,input_532100!L:R,7,FALSE),VLOOKUP(tables_532100!C121,input_532100!A:H,8,FALSE))</f>
        <v>54150</v>
      </c>
      <c r="P121" s="46">
        <f t="shared" ca="1" si="4"/>
        <v>9.4010416664055182E-3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input_532100!A$2</f>
        <v>532100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IFERROR(VLOOKUP(B122,input_532100!L:R,7,FALSE),VLOOKUP(tables_532100!C122,input_532100!A:H,8,FALSE))</f>
        <v>401.92308000000003</v>
      </c>
      <c r="P122" s="46">
        <f t="shared" ca="1" si="4"/>
        <v>6.9778312498061656E-5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input_532100!A$2</f>
        <v>532100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IFERROR(VLOOKUP(B123,input_532100!L:R,7,FALSE),VLOOKUP(tables_532100!C123,input_532100!A:H,8,FALSE))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input_532100!A$2</f>
        <v>532100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IFERROR(VLOOKUP(B124,input_532100!L:R,7,FALSE),VLOOKUP(tables_532100!C124,input_532100!A:H,8,FALSE))</f>
        <v>54150</v>
      </c>
      <c r="P124" s="46">
        <f t="shared" ca="1" si="4"/>
        <v>9.4010416664055182E-3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input_532100!A$2</f>
        <v>532100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IFERROR(VLOOKUP(B125,input_532100!L:R,7,FALSE),VLOOKUP(tables_532100!C125,input_532100!A:H,8,FALSE))</f>
        <v>401.92308000000003</v>
      </c>
      <c r="P125" s="46">
        <f t="shared" ca="1" si="4"/>
        <v>6.9778312498061656E-5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input_532100!A$2</f>
        <v>532100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IFERROR(VLOOKUP(B126,input_532100!L:R,7,FALSE),VLOOKUP(tables_532100!C126,input_532100!A:H,8,FALSE))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input_532100!A$2</f>
        <v>532100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IFERROR(VLOOKUP(B127,input_532100!L:R,7,FALSE),VLOOKUP(tables_532100!C127,input_532100!A:H,8,FALSE))</f>
        <v>54150</v>
      </c>
      <c r="P127" s="46">
        <f t="shared" ca="1" si="4"/>
        <v>9.4010416664055182E-3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input_532100!A$2</f>
        <v>532100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IFERROR(VLOOKUP(B128,input_532100!L:R,7,FALSE),VLOOKUP(tables_532100!C128,input_532100!A:H,8,FALSE))</f>
        <v>401.92308000000003</v>
      </c>
      <c r="P128" s="46">
        <f t="shared" ca="1" si="4"/>
        <v>6.9778312498061656E-5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input_532100!A$2</f>
        <v>532100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IFERROR(VLOOKUP(B129,input_532100!L:R,7,FALSE),VLOOKUP(tables_532100!C129,input_532100!A:H,8,FALSE))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input_532100!A$2</f>
        <v>532100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IFERROR(VLOOKUP(B130,input_532100!L:R,7,FALSE),VLOOKUP(tables_532100!C130,input_532100!A:H,8,FALSE))</f>
        <v>54150</v>
      </c>
      <c r="P130" s="46">
        <f t="shared" ref="P130:P193" ca="1" si="7">O130/SUM(O:O)</f>
        <v>9.4010416664055182E-3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input_532100!A$2</f>
        <v>532100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IFERROR(VLOOKUP(B131,input_532100!L:R,7,FALSE),VLOOKUP(tables_532100!C131,input_532100!A:H,8,FALSE))</f>
        <v>401.92308000000003</v>
      </c>
      <c r="P131" s="46">
        <f t="shared" ca="1" si="7"/>
        <v>6.9778312498061656E-5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input_532100!A$2</f>
        <v>532100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IFERROR(VLOOKUP(B132,input_532100!L:R,7,FALSE),VLOOKUP(tables_532100!C132,input_532100!A:H,8,FALSE))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input_532100!A$2</f>
        <v>532100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IFERROR(VLOOKUP(B133,input_532100!L:R,7,FALSE),VLOOKUP(tables_532100!C133,input_532100!A:H,8,FALSE))</f>
        <v>54150</v>
      </c>
      <c r="P133" s="46">
        <f t="shared" ca="1" si="7"/>
        <v>9.4010416664055182E-3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input_532100!A$2</f>
        <v>532100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IFERROR(VLOOKUP(B134,input_532100!L:R,7,FALSE),VLOOKUP(tables_532100!C134,input_532100!A:H,8,FALSE))</f>
        <v>401.92308000000003</v>
      </c>
      <c r="P134" s="46">
        <f t="shared" ca="1" si="7"/>
        <v>6.9778312498061656E-5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input_532100!A$2</f>
        <v>532100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IFERROR(VLOOKUP(B135,input_532100!L:R,7,FALSE),VLOOKUP(tables_532100!C135,input_532100!A:H,8,FALSE))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input_532100!A$2</f>
        <v>532100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IFERROR(VLOOKUP(B136,input_532100!L:R,7,FALSE),VLOOKUP(tables_532100!C136,input_532100!A:H,8,FALSE))</f>
        <v>54150</v>
      </c>
      <c r="P136" s="46">
        <f t="shared" ca="1" si="7"/>
        <v>9.4010416664055182E-3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input_532100!A$2</f>
        <v>532100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IFERROR(VLOOKUP(B137,input_532100!L:R,7,FALSE),VLOOKUP(tables_532100!C137,input_532100!A:H,8,FALSE))</f>
        <v>401.92308000000003</v>
      </c>
      <c r="P137" s="46">
        <f t="shared" ca="1" si="7"/>
        <v>6.9778312498061656E-5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input_532100!A$2</f>
        <v>532100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IFERROR(VLOOKUP(B138,input_532100!L:R,7,FALSE),VLOOKUP(tables_532100!C138,input_532100!A:H,8,FALSE))</f>
        <v>3800</v>
      </c>
      <c r="P138" s="46">
        <f t="shared" ca="1" si="7"/>
        <v>6.5972222220389608E-4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input_532100!A$2</f>
        <v>532100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IFERROR(VLOOKUP(B139,input_532100!L:R,7,FALSE),VLOOKUP(tables_532100!C139,input_532100!A:H,8,FALSE))</f>
        <v>200</v>
      </c>
      <c r="P139" s="46">
        <f t="shared" ca="1" si="7"/>
        <v>3.4722222221257689E-5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input_532100!A$2</f>
        <v>532100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IFERROR(VLOOKUP(B140,input_532100!L:R,7,FALSE),VLOOKUP(tables_532100!C140,input_532100!A:H,8,FALSE))</f>
        <v>3800</v>
      </c>
      <c r="P140" s="46">
        <f t="shared" ca="1" si="7"/>
        <v>6.5972222220389608E-4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input_532100!A$2</f>
        <v>532100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IFERROR(VLOOKUP(B141,input_532100!L:R,7,FALSE),VLOOKUP(tables_532100!C141,input_532100!A:H,8,FALSE))</f>
        <v>200</v>
      </c>
      <c r="P141" s="46">
        <f t="shared" ca="1" si="7"/>
        <v>3.4722222221257689E-5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input_532100!A$2</f>
        <v>532100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IFERROR(VLOOKUP(B142,input_532100!L:R,7,FALSE),VLOOKUP(tables_532100!C142,input_532100!A:H,8,FALSE))</f>
        <v>3800</v>
      </c>
      <c r="P142" s="46">
        <f t="shared" ca="1" si="7"/>
        <v>6.5972222220389608E-4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input_532100!A$2</f>
        <v>532100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IFERROR(VLOOKUP(B143,input_532100!L:R,7,FALSE),VLOOKUP(tables_532100!C143,input_532100!A:H,8,FALSE))</f>
        <v>200</v>
      </c>
      <c r="P143" s="46">
        <f t="shared" ca="1" si="7"/>
        <v>3.4722222221257689E-5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input_532100!A$2</f>
        <v>532100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IFERROR(VLOOKUP(B144,input_532100!L:R,7,FALSE),VLOOKUP(tables_532100!C144,input_532100!A:H,8,FALSE))</f>
        <v>3800</v>
      </c>
      <c r="P144" s="46">
        <f t="shared" ca="1" si="7"/>
        <v>6.5972222220389608E-4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input_532100!A$2</f>
        <v>532100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IFERROR(VLOOKUP(B145,input_532100!L:R,7,FALSE),VLOOKUP(tables_532100!C145,input_532100!A:H,8,FALSE))</f>
        <v>200</v>
      </c>
      <c r="P145" s="46">
        <f t="shared" ca="1" si="7"/>
        <v>3.4722222221257689E-5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input_532100!A$2</f>
        <v>532100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IFERROR(VLOOKUP(B146,input_532100!L:R,7,FALSE),VLOOKUP(tables_532100!C146,input_532100!A:H,8,FALSE))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input_532100!A$2</f>
        <v>532100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IFERROR(VLOOKUP(B147,input_532100!L:R,7,FALSE),VLOOKUP(tables_532100!C147,input_532100!A:H,8,FALSE))</f>
        <v>54150</v>
      </c>
      <c r="P147" s="46">
        <f t="shared" ca="1" si="7"/>
        <v>9.4010416664055182E-3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input_532100!A$2</f>
        <v>532100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IFERROR(VLOOKUP(B148,input_532100!L:R,7,FALSE),VLOOKUP(tables_532100!C148,input_532100!A:H,8,FALSE))</f>
        <v>401.92308000000003</v>
      </c>
      <c r="P148" s="46">
        <f t="shared" ca="1" si="7"/>
        <v>6.9778312498061656E-5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input_532100!A$2</f>
        <v>532100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IFERROR(VLOOKUP(B149,input_532100!L:R,7,FALSE),VLOOKUP(tables_532100!C149,input_532100!A:H,8,FALSE))</f>
        <v>3800</v>
      </c>
      <c r="P149" s="46">
        <f t="shared" ca="1" si="7"/>
        <v>6.5972222220389608E-4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input_532100!A$2</f>
        <v>532100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IFERROR(VLOOKUP(B150,input_532100!L:R,7,FALSE),VLOOKUP(tables_532100!C150,input_532100!A:H,8,FALSE))</f>
        <v>200</v>
      </c>
      <c r="P150" s="46">
        <f t="shared" ca="1" si="7"/>
        <v>3.4722222221257689E-5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input_532100!A$2</f>
        <v>532100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IFERROR(VLOOKUP(B151,input_532100!L:R,7,FALSE),VLOOKUP(tables_532100!C151,input_532100!A:H,8,FALSE))</f>
        <v>3800</v>
      </c>
      <c r="P151" s="46">
        <f t="shared" ca="1" si="7"/>
        <v>6.5972222220389608E-4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input_532100!A$2</f>
        <v>532100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IFERROR(VLOOKUP(B152,input_532100!L:R,7,FALSE),VLOOKUP(tables_532100!C152,input_532100!A:H,8,FALSE))</f>
        <v>200</v>
      </c>
      <c r="P152" s="46">
        <f t="shared" ca="1" si="7"/>
        <v>3.4722222221257689E-5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input_532100!A$2</f>
        <v>532100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IFERROR(VLOOKUP(B153,input_532100!L:R,7,FALSE),VLOOKUP(tables_532100!C153,input_532100!A:H,8,FALSE))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input_532100!A$2</f>
        <v>532100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IFERROR(VLOOKUP(B154,input_532100!L:R,7,FALSE),VLOOKUP(tables_532100!C154,input_532100!A:H,8,FALSE))</f>
        <v>54150</v>
      </c>
      <c r="P154" s="46">
        <f t="shared" ca="1" si="7"/>
        <v>9.4010416664055182E-3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input_532100!A$2</f>
        <v>532100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IFERROR(VLOOKUP(B155,input_532100!L:R,7,FALSE),VLOOKUP(tables_532100!C155,input_532100!A:H,8,FALSE))</f>
        <v>401.92308000000003</v>
      </c>
      <c r="P155" s="46">
        <f t="shared" ca="1" si="7"/>
        <v>6.9778312498061656E-5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input_532100!A$2</f>
        <v>532100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IFERROR(VLOOKUP(B156,input_532100!L:R,7,FALSE),VLOOKUP(tables_532100!C156,input_532100!A:H,8,FALSE))</f>
        <v>3800</v>
      </c>
      <c r="P156" s="46">
        <f t="shared" ca="1" si="7"/>
        <v>6.5972222220389608E-4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input_532100!A$2</f>
        <v>532100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IFERROR(VLOOKUP(B157,input_532100!L:R,7,FALSE),VLOOKUP(tables_532100!C157,input_532100!A:H,8,FALSE))</f>
        <v>200</v>
      </c>
      <c r="P157" s="46">
        <f t="shared" ca="1" si="7"/>
        <v>3.4722222221257689E-5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input_532100!A$2</f>
        <v>532100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IFERROR(VLOOKUP(B158,input_532100!L:R,7,FALSE),VLOOKUP(tables_532100!C158,input_532100!A:H,8,FALSE))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input_532100!A$2</f>
        <v>532100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IFERROR(VLOOKUP(B159,input_532100!L:R,7,FALSE),VLOOKUP(tables_532100!C159,input_532100!A:H,8,FALSE))</f>
        <v>54150</v>
      </c>
      <c r="P159" s="46">
        <f t="shared" ca="1" si="7"/>
        <v>9.4010416664055182E-3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input_532100!A$2</f>
        <v>532100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IFERROR(VLOOKUP(B160,input_532100!L:R,7,FALSE),VLOOKUP(tables_532100!C160,input_532100!A:H,8,FALSE))</f>
        <v>401.92308000000003</v>
      </c>
      <c r="P160" s="46">
        <f t="shared" ca="1" si="7"/>
        <v>6.9778312498061656E-5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input_532100!A$2</f>
        <v>532100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IFERROR(VLOOKUP(B161,input_532100!L:R,7,FALSE),VLOOKUP(tables_532100!C161,input_532100!A:H,8,FALSE))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input_532100!A$2</f>
        <v>532100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IFERROR(VLOOKUP(B162,input_532100!L:R,7,FALSE),VLOOKUP(tables_532100!C162,input_532100!A:H,8,FALSE))</f>
        <v>54150</v>
      </c>
      <c r="P162" s="46">
        <f t="shared" ca="1" si="7"/>
        <v>9.4010416664055182E-3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input_532100!A$2</f>
        <v>532100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IFERROR(VLOOKUP(B163,input_532100!L:R,7,FALSE),VLOOKUP(tables_532100!C163,input_532100!A:H,8,FALSE))</f>
        <v>401.92308000000003</v>
      </c>
      <c r="P163" s="46">
        <f t="shared" ca="1" si="7"/>
        <v>6.9778312498061656E-5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input_532100!A$2</f>
        <v>532100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IFERROR(VLOOKUP(B164,input_532100!L:R,7,FALSE),VLOOKUP(tables_532100!C164,input_532100!A:H,8,FALSE))</f>
        <v>3800</v>
      </c>
      <c r="P164" s="46">
        <f t="shared" ca="1" si="7"/>
        <v>6.5972222220389608E-4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input_532100!A$2</f>
        <v>532100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IFERROR(VLOOKUP(B165,input_532100!L:R,7,FALSE),VLOOKUP(tables_532100!C165,input_532100!A:H,8,FALSE))</f>
        <v>200</v>
      </c>
      <c r="P165" s="46">
        <f t="shared" ca="1" si="7"/>
        <v>3.4722222221257689E-5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input_532100!A$2</f>
        <v>532100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IFERROR(VLOOKUP(B166,input_532100!L:R,7,FALSE),VLOOKUP(tables_532100!C166,input_532100!A:H,8,FALSE))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input_532100!A$2</f>
        <v>532100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IFERROR(VLOOKUP(B167,input_532100!L:R,7,FALSE),VLOOKUP(tables_532100!C167,input_532100!A:H,8,FALSE))</f>
        <v>54150</v>
      </c>
      <c r="P167" s="46">
        <f t="shared" ca="1" si="7"/>
        <v>9.4010416664055182E-3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input_532100!A$2</f>
        <v>532100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IFERROR(VLOOKUP(B168,input_532100!L:R,7,FALSE),VLOOKUP(tables_532100!C168,input_532100!A:H,8,FALSE))</f>
        <v>401.92308000000003</v>
      </c>
      <c r="P168" s="46">
        <f t="shared" ca="1" si="7"/>
        <v>6.9778312498061656E-5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input_532100!A$2</f>
        <v>532100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IFERROR(VLOOKUP(B169,input_532100!L:R,7,FALSE),VLOOKUP(tables_532100!C169,input_532100!A:H,8,FALSE))</f>
        <v>3800</v>
      </c>
      <c r="P169" s="46">
        <f t="shared" ca="1" si="7"/>
        <v>6.5972222220389608E-4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input_532100!A$2</f>
        <v>532100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IFERROR(VLOOKUP(B170,input_532100!L:R,7,FALSE),VLOOKUP(tables_532100!C170,input_532100!A:H,8,FALSE))</f>
        <v>200</v>
      </c>
      <c r="P170" s="46">
        <f t="shared" ca="1" si="7"/>
        <v>3.4722222221257689E-5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input_532100!A$2</f>
        <v>532100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IFERROR(VLOOKUP(B171,input_532100!L:R,7,FALSE),VLOOKUP(tables_532100!C171,input_532100!A:H,8,FALSE))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input_532100!A$2</f>
        <v>532100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IFERROR(VLOOKUP(B172,input_532100!L:R,7,FALSE),VLOOKUP(tables_532100!C172,input_532100!A:H,8,FALSE))</f>
        <v>54150</v>
      </c>
      <c r="P172" s="46">
        <f t="shared" ca="1" si="7"/>
        <v>9.4010416664055182E-3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input_532100!A$2</f>
        <v>532100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IFERROR(VLOOKUP(B173,input_532100!L:R,7,FALSE),VLOOKUP(tables_532100!C173,input_532100!A:H,8,FALSE))</f>
        <v>401.92308000000003</v>
      </c>
      <c r="P173" s="46">
        <f t="shared" ca="1" si="7"/>
        <v>6.9778312498061656E-5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input_532100!A$2</f>
        <v>532100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IFERROR(VLOOKUP(B174,input_532100!L:R,7,FALSE),VLOOKUP(tables_532100!C174,input_532100!A:H,8,FALSE))</f>
        <v>3800</v>
      </c>
      <c r="P174" s="46">
        <f t="shared" ca="1" si="7"/>
        <v>6.5972222220389608E-4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input_532100!A$2</f>
        <v>532100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IFERROR(VLOOKUP(B175,input_532100!L:R,7,FALSE),VLOOKUP(tables_532100!C175,input_532100!A:H,8,FALSE))</f>
        <v>200</v>
      </c>
      <c r="P175" s="46">
        <f t="shared" ca="1" si="7"/>
        <v>3.4722222221257689E-5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input_532100!A$2</f>
        <v>532100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IFERROR(VLOOKUP(B176,input_532100!L:R,7,FALSE),VLOOKUP(tables_532100!C176,input_532100!A:H,8,FALSE))</f>
        <v>3800</v>
      </c>
      <c r="P176" s="46">
        <f t="shared" ca="1" si="7"/>
        <v>6.5972222220389608E-4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input_532100!A$2</f>
        <v>532100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IFERROR(VLOOKUP(B177,input_532100!L:R,7,FALSE),VLOOKUP(tables_532100!C177,input_532100!A:H,8,FALSE))</f>
        <v>200</v>
      </c>
      <c r="P177" s="46">
        <f t="shared" ca="1" si="7"/>
        <v>3.4722222221257689E-5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input_532100!A$2</f>
        <v>532100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IFERROR(VLOOKUP(B178,input_532100!L:R,7,FALSE),VLOOKUP(tables_532100!C178,input_532100!A:H,8,FALSE))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input_532100!A$2</f>
        <v>532100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IFERROR(VLOOKUP(B179,input_532100!L:R,7,FALSE),VLOOKUP(tables_532100!C179,input_532100!A:H,8,FALSE))</f>
        <v>54150</v>
      </c>
      <c r="P179" s="46">
        <f t="shared" ca="1" si="7"/>
        <v>9.4010416664055182E-3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input_532100!A$2</f>
        <v>532100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IFERROR(VLOOKUP(B180,input_532100!L:R,7,FALSE),VLOOKUP(tables_532100!C180,input_532100!A:H,8,FALSE))</f>
        <v>401.92308000000003</v>
      </c>
      <c r="P180" s="46">
        <f t="shared" ca="1" si="7"/>
        <v>6.9778312498061656E-5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input_532100!A$2</f>
        <v>532100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IFERROR(VLOOKUP(B181,input_532100!L:R,7,FALSE),VLOOKUP(tables_532100!C181,input_532100!A:H,8,FALSE))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input_532100!A$2</f>
        <v>532100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IFERROR(VLOOKUP(B182,input_532100!L:R,7,FALSE),VLOOKUP(tables_532100!C182,input_532100!A:H,8,FALSE))</f>
        <v>54150</v>
      </c>
      <c r="P182" s="46">
        <f t="shared" ca="1" si="7"/>
        <v>9.4010416664055182E-3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input_532100!A$2</f>
        <v>532100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IFERROR(VLOOKUP(B183,input_532100!L:R,7,FALSE),VLOOKUP(tables_532100!C183,input_532100!A:H,8,FALSE))</f>
        <v>401.92308000000003</v>
      </c>
      <c r="P183" s="46">
        <f t="shared" ca="1" si="7"/>
        <v>6.9778312498061656E-5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input_532100!A$2</f>
        <v>532100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IFERROR(VLOOKUP(B184,input_532100!L:R,7,FALSE),VLOOKUP(tables_532100!C184,input_532100!A:H,8,FALSE))</f>
        <v>3800</v>
      </c>
      <c r="P184" s="46">
        <f t="shared" ca="1" si="7"/>
        <v>6.5972222220389608E-4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input_532100!A$2</f>
        <v>532100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IFERROR(VLOOKUP(B185,input_532100!L:R,7,FALSE),VLOOKUP(tables_532100!C185,input_532100!A:H,8,FALSE))</f>
        <v>200</v>
      </c>
      <c r="P185" s="46">
        <f t="shared" ca="1" si="7"/>
        <v>3.4722222221257689E-5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input_532100!A$2</f>
        <v>532100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IFERROR(VLOOKUP(B186,input_532100!L:R,7,FALSE),VLOOKUP(tables_532100!C186,input_532100!A:H,8,FALSE))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input_532100!A$2</f>
        <v>532100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IFERROR(VLOOKUP(B187,input_532100!L:R,7,FALSE),VLOOKUP(tables_532100!C187,input_532100!A:H,8,FALSE))</f>
        <v>54150</v>
      </c>
      <c r="P187" s="46">
        <f t="shared" ca="1" si="7"/>
        <v>9.4010416664055182E-3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input_532100!A$2</f>
        <v>532100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IFERROR(VLOOKUP(B188,input_532100!L:R,7,FALSE),VLOOKUP(tables_532100!C188,input_532100!A:H,8,FALSE))</f>
        <v>401.92308000000003</v>
      </c>
      <c r="P188" s="46">
        <f t="shared" ca="1" si="7"/>
        <v>6.9778312498061656E-5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input_532100!A$2</f>
        <v>532100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IFERROR(VLOOKUP(B189,input_532100!L:R,7,FALSE),VLOOKUP(tables_532100!C189,input_532100!A:H,8,FALSE))</f>
        <v>3800</v>
      </c>
      <c r="P189" s="46">
        <f t="shared" ca="1" si="7"/>
        <v>6.5972222220389608E-4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input_532100!A$2</f>
        <v>532100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IFERROR(VLOOKUP(B190,input_532100!L:R,7,FALSE),VLOOKUP(tables_532100!C190,input_532100!A:H,8,FALSE))</f>
        <v>200</v>
      </c>
      <c r="P190" s="46">
        <f t="shared" ca="1" si="7"/>
        <v>3.4722222221257689E-5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input_532100!A$2</f>
        <v>532100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IFERROR(VLOOKUP(B191,input_532100!L:R,7,FALSE),VLOOKUP(tables_532100!C191,input_532100!A:H,8,FALSE))</f>
        <v>3800</v>
      </c>
      <c r="P191" s="46">
        <f t="shared" ca="1" si="7"/>
        <v>6.5972222220389608E-4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input_532100!A$2</f>
        <v>532100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IFERROR(VLOOKUP(B192,input_532100!L:R,7,FALSE),VLOOKUP(tables_532100!C192,input_532100!A:H,8,FALSE))</f>
        <v>200</v>
      </c>
      <c r="P192" s="46">
        <f t="shared" ca="1" si="7"/>
        <v>3.4722222221257689E-5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input_532100!A$2</f>
        <v>532100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IFERROR(VLOOKUP(B193,input_532100!L:R,7,FALSE),VLOOKUP(tables_532100!C193,input_532100!A:H,8,FALSE))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input_532100!A$2</f>
        <v>532100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IFERROR(VLOOKUP(B194,input_532100!L:R,7,FALSE),VLOOKUP(tables_532100!C194,input_532100!A:H,8,FALSE))</f>
        <v>54150</v>
      </c>
      <c r="P194" s="46">
        <f t="shared" ref="P194:P257" ca="1" si="10">O194/SUM(O:O)</f>
        <v>9.4010416664055182E-3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input_532100!A$2</f>
        <v>532100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IFERROR(VLOOKUP(B195,input_532100!L:R,7,FALSE),VLOOKUP(tables_532100!C195,input_532100!A:H,8,FALSE))</f>
        <v>401.92308000000003</v>
      </c>
      <c r="P195" s="46">
        <f t="shared" ca="1" si="10"/>
        <v>6.9778312498061656E-5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input_532100!A$2</f>
        <v>532100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IFERROR(VLOOKUP(B196,input_532100!L:R,7,FALSE),VLOOKUP(tables_532100!C196,input_532100!A:H,8,FALSE))</f>
        <v>3800</v>
      </c>
      <c r="P196" s="46">
        <f t="shared" ca="1" si="10"/>
        <v>6.5972222220389608E-4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input_532100!A$2</f>
        <v>532100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IFERROR(VLOOKUP(B197,input_532100!L:R,7,FALSE),VLOOKUP(tables_532100!C197,input_532100!A:H,8,FALSE))</f>
        <v>200</v>
      </c>
      <c r="P197" s="46">
        <f t="shared" ca="1" si="10"/>
        <v>3.4722222221257689E-5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input_532100!A$2</f>
        <v>532100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IFERROR(VLOOKUP(B198,input_532100!L:R,7,FALSE),VLOOKUP(tables_532100!C198,input_532100!A:H,8,FALSE))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input_532100!A$2</f>
        <v>532100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IFERROR(VLOOKUP(B199,input_532100!L:R,7,FALSE),VLOOKUP(tables_532100!C199,input_532100!A:H,8,FALSE))</f>
        <v>54150</v>
      </c>
      <c r="P199" s="46">
        <f t="shared" ca="1" si="10"/>
        <v>9.4010416664055182E-3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input_532100!A$2</f>
        <v>532100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IFERROR(VLOOKUP(B200,input_532100!L:R,7,FALSE),VLOOKUP(tables_532100!C200,input_532100!A:H,8,FALSE))</f>
        <v>401.92308000000003</v>
      </c>
      <c r="P200" s="46">
        <f t="shared" ca="1" si="10"/>
        <v>6.9778312498061656E-5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input_532100!A$2</f>
        <v>532100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IFERROR(VLOOKUP(B201,input_532100!L:R,7,FALSE),VLOOKUP(tables_532100!C201,input_532100!A:H,8,FALSE))</f>
        <v>3800</v>
      </c>
      <c r="P201" s="46">
        <f t="shared" ca="1" si="10"/>
        <v>6.5972222220389608E-4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input_532100!A$2</f>
        <v>532100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IFERROR(VLOOKUP(B202,input_532100!L:R,7,FALSE),VLOOKUP(tables_532100!C202,input_532100!A:H,8,FALSE))</f>
        <v>200</v>
      </c>
      <c r="P202" s="46">
        <f t="shared" ca="1" si="10"/>
        <v>3.4722222221257689E-5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input_532100!A$2</f>
        <v>532100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IFERROR(VLOOKUP(B203,input_532100!L:R,7,FALSE),VLOOKUP(tables_532100!C203,input_532100!A:H,8,FALSE))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input_532100!A$2</f>
        <v>532100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IFERROR(VLOOKUP(B204,input_532100!L:R,7,FALSE),VLOOKUP(tables_532100!C204,input_532100!A:H,8,FALSE))</f>
        <v>54150</v>
      </c>
      <c r="P204" s="46">
        <f t="shared" ca="1" si="10"/>
        <v>9.4010416664055182E-3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input_532100!A$2</f>
        <v>532100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IFERROR(VLOOKUP(B205,input_532100!L:R,7,FALSE),VLOOKUP(tables_532100!C205,input_532100!A:H,8,FALSE))</f>
        <v>401.92308000000003</v>
      </c>
      <c r="P205" s="46">
        <f t="shared" ca="1" si="10"/>
        <v>6.9778312498061656E-5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input_532100!A$2</f>
        <v>532100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IFERROR(VLOOKUP(B206,input_532100!L:R,7,FALSE),VLOOKUP(tables_532100!C206,input_532100!A:H,8,FALSE))</f>
        <v>3800</v>
      </c>
      <c r="P206" s="46">
        <f t="shared" ca="1" si="10"/>
        <v>6.5972222220389608E-4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input_532100!A$2</f>
        <v>532100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IFERROR(VLOOKUP(B207,input_532100!L:R,7,FALSE),VLOOKUP(tables_532100!C207,input_532100!A:H,8,FALSE))</f>
        <v>200</v>
      </c>
      <c r="P207" s="46">
        <f t="shared" ca="1" si="10"/>
        <v>3.4722222221257689E-5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input_532100!A$2</f>
        <v>532100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IFERROR(VLOOKUP(B208,input_532100!L:R,7,FALSE),VLOOKUP(tables_532100!C208,input_532100!A:H,8,FALSE))</f>
        <v>3800</v>
      </c>
      <c r="P208" s="46">
        <f t="shared" ca="1" si="10"/>
        <v>6.5972222220389608E-4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input_532100!A$2</f>
        <v>532100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IFERROR(VLOOKUP(B209,input_532100!L:R,7,FALSE),VLOOKUP(tables_532100!C209,input_532100!A:H,8,FALSE))</f>
        <v>200</v>
      </c>
      <c r="P209" s="46">
        <f t="shared" ca="1" si="10"/>
        <v>3.4722222221257689E-5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input_532100!A$2</f>
        <v>532100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IFERROR(VLOOKUP(B210,input_532100!L:R,7,FALSE),VLOOKUP(tables_532100!C210,input_532100!A:H,8,FALSE))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input_532100!A$2</f>
        <v>532100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IFERROR(VLOOKUP(B211,input_532100!L:R,7,FALSE),VLOOKUP(tables_532100!C211,input_532100!A:H,8,FALSE))</f>
        <v>54150</v>
      </c>
      <c r="P211" s="46">
        <f t="shared" ca="1" si="10"/>
        <v>9.4010416664055182E-3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input_532100!A$2</f>
        <v>532100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IFERROR(VLOOKUP(B212,input_532100!L:R,7,FALSE),VLOOKUP(tables_532100!C212,input_532100!A:H,8,FALSE))</f>
        <v>401.92308000000003</v>
      </c>
      <c r="P212" s="46">
        <f t="shared" ca="1" si="10"/>
        <v>6.9778312498061656E-5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input_532100!A$2</f>
        <v>532100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IFERROR(VLOOKUP(B213,input_532100!L:R,7,FALSE),VLOOKUP(tables_532100!C213,input_532100!A:H,8,FALSE))</f>
        <v>3800</v>
      </c>
      <c r="P213" s="46">
        <f t="shared" ca="1" si="10"/>
        <v>6.5972222220389608E-4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input_532100!A$2</f>
        <v>532100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IFERROR(VLOOKUP(B214,input_532100!L:R,7,FALSE),VLOOKUP(tables_532100!C214,input_532100!A:H,8,FALSE))</f>
        <v>200</v>
      </c>
      <c r="P214" s="46">
        <f t="shared" ca="1" si="10"/>
        <v>3.4722222221257689E-5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input_532100!A$2</f>
        <v>532100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IFERROR(VLOOKUP(B215,input_532100!L:R,7,FALSE),VLOOKUP(tables_532100!C215,input_532100!A:H,8,FALSE))</f>
        <v>2850</v>
      </c>
      <c r="P215" s="46">
        <f t="shared" ca="1" si="10"/>
        <v>4.9479166665292206E-4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input_532100!A$2</f>
        <v>532100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IFERROR(VLOOKUP(B216,input_532100!L:R,7,FALSE),VLOOKUP(tables_532100!C216,input_532100!A:H,8,FALSE))</f>
        <v>2850</v>
      </c>
      <c r="P216" s="46">
        <f t="shared" ca="1" si="10"/>
        <v>4.9479166665292206E-4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input_532100!A$2</f>
        <v>532100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IFERROR(VLOOKUP(B217,input_532100!L:R,7,FALSE),VLOOKUP(tables_532100!C217,input_532100!A:H,8,FALSE))</f>
        <v>2850</v>
      </c>
      <c r="P217" s="46">
        <f t="shared" ca="1" si="10"/>
        <v>4.9479166665292206E-4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input_532100!A$2</f>
        <v>532100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IFERROR(VLOOKUP(B218,input_532100!L:R,7,FALSE),VLOOKUP(tables_532100!C218,input_532100!A:H,8,FALSE))</f>
        <v>2850</v>
      </c>
      <c r="P218" s="46">
        <f t="shared" ca="1" si="10"/>
        <v>4.9479166665292206E-4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input_532100!A$2</f>
        <v>532100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IFERROR(VLOOKUP(B219,input_532100!L:R,7,FALSE),VLOOKUP(tables_532100!C219,input_532100!A:H,8,FALSE))</f>
        <v>2850</v>
      </c>
      <c r="P219" s="46">
        <f t="shared" ca="1" si="10"/>
        <v>4.9479166665292206E-4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input_532100!A$2</f>
        <v>532100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IFERROR(VLOOKUP(B220,input_532100!L:R,7,FALSE),VLOOKUP(tables_532100!C220,input_532100!A:H,8,FALSE))</f>
        <v>2850</v>
      </c>
      <c r="P220" s="46">
        <f t="shared" ca="1" si="10"/>
        <v>4.9479166665292206E-4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input_532100!A$2</f>
        <v>532100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IFERROR(VLOOKUP(B221,input_532100!L:R,7,FALSE),VLOOKUP(tables_532100!C221,input_532100!A:H,8,FALSE))</f>
        <v>3800</v>
      </c>
      <c r="P221" s="46">
        <f t="shared" ca="1" si="10"/>
        <v>6.5972222220389608E-4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input_532100!A$2</f>
        <v>532100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IFERROR(VLOOKUP(B222,input_532100!L:R,7,FALSE),VLOOKUP(tables_532100!C222,input_532100!A:H,8,FALSE))</f>
        <v>200</v>
      </c>
      <c r="P222" s="46">
        <f t="shared" ca="1" si="10"/>
        <v>3.4722222221257689E-5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input_532100!A$2</f>
        <v>532100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IFERROR(VLOOKUP(B223,input_532100!L:R,7,FALSE),VLOOKUP(tables_532100!C223,input_532100!A:H,8,FALSE))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input_532100!A$2</f>
        <v>532100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IFERROR(VLOOKUP(B224,input_532100!L:R,7,FALSE),VLOOKUP(tables_532100!C224,input_532100!A:H,8,FALSE))</f>
        <v>54150</v>
      </c>
      <c r="P224" s="46">
        <f t="shared" ca="1" si="10"/>
        <v>9.4010416664055182E-3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input_532100!A$2</f>
        <v>532100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IFERROR(VLOOKUP(B225,input_532100!L:R,7,FALSE),VLOOKUP(tables_532100!C225,input_532100!A:H,8,FALSE))</f>
        <v>401.92308000000003</v>
      </c>
      <c r="P225" s="46">
        <f t="shared" ca="1" si="10"/>
        <v>6.9778312498061656E-5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input_532100!A$2</f>
        <v>532100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IFERROR(VLOOKUP(B226,input_532100!L:R,7,FALSE),VLOOKUP(tables_532100!C226,input_532100!A:H,8,FALSE))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input_532100!A$2</f>
        <v>532100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IFERROR(VLOOKUP(B227,input_532100!L:R,7,FALSE),VLOOKUP(tables_532100!C227,input_532100!A:H,8,FALSE))</f>
        <v>54150</v>
      </c>
      <c r="P227" s="46">
        <f t="shared" ca="1" si="10"/>
        <v>9.4010416664055182E-3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input_532100!A$2</f>
        <v>532100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IFERROR(VLOOKUP(B228,input_532100!L:R,7,FALSE),VLOOKUP(tables_532100!C228,input_532100!A:H,8,FALSE))</f>
        <v>401.92308000000003</v>
      </c>
      <c r="P228" s="46">
        <f t="shared" ca="1" si="10"/>
        <v>6.9778312498061656E-5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input_532100!A$2</f>
        <v>532100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IFERROR(VLOOKUP(B229,input_532100!L:R,7,FALSE),VLOOKUP(tables_532100!C229,input_532100!A:H,8,FALSE))</f>
        <v>3800</v>
      </c>
      <c r="P229" s="46">
        <f t="shared" ca="1" si="10"/>
        <v>6.5972222220389608E-4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input_532100!A$2</f>
        <v>532100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IFERROR(VLOOKUP(B230,input_532100!L:R,7,FALSE),VLOOKUP(tables_532100!C230,input_532100!A:H,8,FALSE))</f>
        <v>200</v>
      </c>
      <c r="P230" s="46">
        <f t="shared" ca="1" si="10"/>
        <v>3.4722222221257689E-5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input_532100!A$2</f>
        <v>532100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IFERROR(VLOOKUP(B231,input_532100!L:R,7,FALSE),VLOOKUP(tables_532100!C231,input_532100!A:H,8,FALSE))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input_532100!A$2</f>
        <v>532100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IFERROR(VLOOKUP(B232,input_532100!L:R,7,FALSE),VLOOKUP(tables_532100!C232,input_532100!A:H,8,FALSE))</f>
        <v>54150</v>
      </c>
      <c r="P232" s="46">
        <f t="shared" ca="1" si="10"/>
        <v>9.4010416664055182E-3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input_532100!A$2</f>
        <v>532100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IFERROR(VLOOKUP(B233,input_532100!L:R,7,FALSE),VLOOKUP(tables_532100!C233,input_532100!A:H,8,FALSE))</f>
        <v>401.92308000000003</v>
      </c>
      <c r="P233" s="46">
        <f t="shared" ca="1" si="10"/>
        <v>6.9778312498061656E-5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input_532100!A$2</f>
        <v>532100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IFERROR(VLOOKUP(B234,input_532100!L:R,7,FALSE),VLOOKUP(tables_532100!C234,input_532100!A:H,8,FALSE))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input_532100!A$2</f>
        <v>532100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IFERROR(VLOOKUP(B235,input_532100!L:R,7,FALSE),VLOOKUP(tables_532100!C235,input_532100!A:H,8,FALSE))</f>
        <v>54150</v>
      </c>
      <c r="P235" s="46">
        <f t="shared" ca="1" si="10"/>
        <v>9.4010416664055182E-3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input_532100!A$2</f>
        <v>532100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IFERROR(VLOOKUP(B236,input_532100!L:R,7,FALSE),VLOOKUP(tables_532100!C236,input_532100!A:H,8,FALSE))</f>
        <v>401.92308000000003</v>
      </c>
      <c r="P236" s="46">
        <f t="shared" ca="1" si="10"/>
        <v>6.9778312498061656E-5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input_532100!A$2</f>
        <v>532100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IFERROR(VLOOKUP(B237,input_532100!L:R,7,FALSE),VLOOKUP(tables_532100!C237,input_532100!A:H,8,FALSE))</f>
        <v>3800</v>
      </c>
      <c r="P237" s="46">
        <f t="shared" ca="1" si="10"/>
        <v>6.5972222220389608E-4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input_532100!A$2</f>
        <v>532100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IFERROR(VLOOKUP(B238,input_532100!L:R,7,FALSE),VLOOKUP(tables_532100!C238,input_532100!A:H,8,FALSE))</f>
        <v>200</v>
      </c>
      <c r="P238" s="46">
        <f t="shared" ca="1" si="10"/>
        <v>3.4722222221257689E-5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input_532100!A$2</f>
        <v>532100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IFERROR(VLOOKUP(B239,input_532100!L:R,7,FALSE),VLOOKUP(tables_532100!C239,input_532100!A:H,8,FALSE))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input_532100!A$2</f>
        <v>532100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IFERROR(VLOOKUP(B240,input_532100!L:R,7,FALSE),VLOOKUP(tables_532100!C240,input_532100!A:H,8,FALSE))</f>
        <v>54150</v>
      </c>
      <c r="P240" s="46">
        <f t="shared" ca="1" si="10"/>
        <v>9.4010416664055182E-3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input_532100!A$2</f>
        <v>532100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IFERROR(VLOOKUP(B241,input_532100!L:R,7,FALSE),VLOOKUP(tables_532100!C241,input_532100!A:H,8,FALSE))</f>
        <v>401.92308000000003</v>
      </c>
      <c r="P241" s="46">
        <f t="shared" ca="1" si="10"/>
        <v>6.9778312498061656E-5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input_532100!A$2</f>
        <v>532100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IFERROR(VLOOKUP(B242,input_532100!L:R,7,FALSE),VLOOKUP(tables_532100!C242,input_532100!A:H,8,FALSE))</f>
        <v>3800</v>
      </c>
      <c r="P242" s="46">
        <f t="shared" ca="1" si="10"/>
        <v>6.5972222220389608E-4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input_532100!A$2</f>
        <v>532100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IFERROR(VLOOKUP(B243,input_532100!L:R,7,FALSE),VLOOKUP(tables_532100!C243,input_532100!A:H,8,FALSE))</f>
        <v>200</v>
      </c>
      <c r="P243" s="46">
        <f t="shared" ca="1" si="10"/>
        <v>3.4722222221257689E-5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input_532100!A$2</f>
        <v>532100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IFERROR(VLOOKUP(B244,input_532100!L:R,7,FALSE),VLOOKUP(tables_532100!C244,input_532100!A:H,8,FALSE))</f>
        <v>3800</v>
      </c>
      <c r="P244" s="46">
        <f t="shared" ca="1" si="10"/>
        <v>6.5972222220389608E-4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input_532100!A$2</f>
        <v>532100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IFERROR(VLOOKUP(B245,input_532100!L:R,7,FALSE),VLOOKUP(tables_532100!C245,input_532100!A:H,8,FALSE))</f>
        <v>200</v>
      </c>
      <c r="P245" s="46">
        <f t="shared" ca="1" si="10"/>
        <v>3.4722222221257689E-5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input_532100!A$2</f>
        <v>532100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IFERROR(VLOOKUP(B246,input_532100!L:R,7,FALSE),VLOOKUP(tables_532100!C246,input_532100!A:H,8,FALSE))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input_532100!A$2</f>
        <v>532100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IFERROR(VLOOKUP(B247,input_532100!L:R,7,FALSE),VLOOKUP(tables_532100!C247,input_532100!A:H,8,FALSE))</f>
        <v>54150</v>
      </c>
      <c r="P247" s="46">
        <f t="shared" ca="1" si="10"/>
        <v>9.4010416664055182E-3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input_532100!A$2</f>
        <v>532100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IFERROR(VLOOKUP(B248,input_532100!L:R,7,FALSE),VLOOKUP(tables_532100!C248,input_532100!A:H,8,FALSE))</f>
        <v>401.92308000000003</v>
      </c>
      <c r="P248" s="46">
        <f t="shared" ca="1" si="10"/>
        <v>6.9778312498061656E-5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input_532100!A$2</f>
        <v>532100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IFERROR(VLOOKUP(B249,input_532100!L:R,7,FALSE),VLOOKUP(tables_532100!C249,input_532100!A:H,8,FALSE))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input_532100!A$2</f>
        <v>532100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IFERROR(VLOOKUP(B250,input_532100!L:R,7,FALSE),VLOOKUP(tables_532100!C250,input_532100!A:H,8,FALSE))</f>
        <v>54150</v>
      </c>
      <c r="P250" s="46">
        <f t="shared" ca="1" si="10"/>
        <v>9.4010416664055182E-3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input_532100!A$2</f>
        <v>532100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IFERROR(VLOOKUP(B251,input_532100!L:R,7,FALSE),VLOOKUP(tables_532100!C251,input_532100!A:H,8,FALSE))</f>
        <v>401.92308000000003</v>
      </c>
      <c r="P251" s="46">
        <f t="shared" ca="1" si="10"/>
        <v>6.9778312498061656E-5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input_532100!A$2</f>
        <v>532100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IFERROR(VLOOKUP(B252,input_532100!L:R,7,FALSE),VLOOKUP(tables_532100!C252,input_532100!A:H,8,FALSE))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input_532100!A$2</f>
        <v>532100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IFERROR(VLOOKUP(B253,input_532100!L:R,7,FALSE),VLOOKUP(tables_532100!C253,input_532100!A:H,8,FALSE))</f>
        <v>54150</v>
      </c>
      <c r="P253" s="46">
        <f t="shared" ca="1" si="10"/>
        <v>9.4010416664055182E-3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input_532100!A$2</f>
        <v>532100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IFERROR(VLOOKUP(B254,input_532100!L:R,7,FALSE),VLOOKUP(tables_532100!C254,input_532100!A:H,8,FALSE))</f>
        <v>401.92308000000003</v>
      </c>
      <c r="P254" s="46">
        <f t="shared" ca="1" si="10"/>
        <v>6.9778312498061656E-5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input_532100!A$2</f>
        <v>532100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IFERROR(VLOOKUP(B255,input_532100!L:R,7,FALSE),VLOOKUP(tables_532100!C255,input_532100!A:H,8,FALSE))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input_532100!A$2</f>
        <v>532100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IFERROR(VLOOKUP(B256,input_532100!L:R,7,FALSE),VLOOKUP(tables_532100!C256,input_532100!A:H,8,FALSE))</f>
        <v>54150</v>
      </c>
      <c r="P256" s="46">
        <f t="shared" ca="1" si="10"/>
        <v>9.4010416664055182E-3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input_532100!A$2</f>
        <v>532100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IFERROR(VLOOKUP(B257,input_532100!L:R,7,FALSE),VLOOKUP(tables_532100!C257,input_532100!A:H,8,FALSE))</f>
        <v>401.92308000000003</v>
      </c>
      <c r="P257" s="46">
        <f t="shared" ca="1" si="10"/>
        <v>6.9778312498061656E-5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input_532100!A$2</f>
        <v>532100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IFERROR(VLOOKUP(B258,input_532100!L:R,7,FALSE),VLOOKUP(tables_532100!C258,input_532100!A:H,8,FALSE))</f>
        <v>3800</v>
      </c>
      <c r="P258" s="46">
        <f t="shared" ref="P258:P294" ca="1" si="13">O258/SUM(O:O)</f>
        <v>6.5972222220389608E-4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input_532100!A$2</f>
        <v>532100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IFERROR(VLOOKUP(B259,input_532100!L:R,7,FALSE),VLOOKUP(tables_532100!C259,input_532100!A:H,8,FALSE))</f>
        <v>200</v>
      </c>
      <c r="P259" s="46">
        <f t="shared" ca="1" si="13"/>
        <v>3.4722222221257689E-5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input_532100!A$2</f>
        <v>532100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IFERROR(VLOOKUP(B260,input_532100!L:R,7,FALSE),VLOOKUP(tables_532100!C260,input_532100!A:H,8,FALSE))</f>
        <v>3800</v>
      </c>
      <c r="P260" s="46">
        <f t="shared" ca="1" si="13"/>
        <v>6.5972222220389608E-4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input_532100!A$2</f>
        <v>532100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IFERROR(VLOOKUP(B261,input_532100!L:R,7,FALSE),VLOOKUP(tables_532100!C261,input_532100!A:H,8,FALSE))</f>
        <v>200</v>
      </c>
      <c r="P261" s="46">
        <f t="shared" ca="1" si="13"/>
        <v>3.4722222221257689E-5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input_532100!A$2</f>
        <v>532100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IFERROR(VLOOKUP(B262,input_532100!L:R,7,FALSE),VLOOKUP(tables_532100!C262,input_532100!A:H,8,FALSE))</f>
        <v>53295</v>
      </c>
      <c r="P262" s="46">
        <f t="shared" ca="1" si="13"/>
        <v>9.2526041664096424E-3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input_532100!A$2</f>
        <v>532100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IFERROR(VLOOKUP(B263,input_532100!L:R,7,FALSE),VLOOKUP(tables_532100!C263,input_532100!A:H,8,FALSE))</f>
        <v>2850</v>
      </c>
      <c r="P263" s="46">
        <f t="shared" ca="1" si="13"/>
        <v>4.9479166665292206E-4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input_532100!A$2</f>
        <v>532100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IFERROR(VLOOKUP(B264,input_532100!L:R,7,FALSE),VLOOKUP(tables_532100!C264,input_532100!A:H,8,FALSE))</f>
        <v>53295</v>
      </c>
      <c r="P264" s="46">
        <f t="shared" ca="1" si="13"/>
        <v>9.2526041664096424E-3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input_532100!A$2</f>
        <v>532100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IFERROR(VLOOKUP(B265,input_532100!L:R,7,FALSE),VLOOKUP(tables_532100!C265,input_532100!A:H,8,FALSE))</f>
        <v>2850</v>
      </c>
      <c r="P265" s="46">
        <f t="shared" ca="1" si="13"/>
        <v>4.9479166665292206E-4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input_532100!A$2</f>
        <v>532100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IFERROR(VLOOKUP(B266,input_532100!L:R,7,FALSE),VLOOKUP(tables_532100!C266,input_532100!A:H,8,FALSE))</f>
        <v>4000</v>
      </c>
      <c r="P266" s="46">
        <f t="shared" ca="1" si="13"/>
        <v>6.944444444251537E-4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input_532100!A$2</f>
        <v>532100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IFERROR(VLOOKUP(B267,input_532100!L:R,7,FALSE),VLOOKUP(tables_532100!C267,input_532100!A:H,8,FALSE))</f>
        <v>4000</v>
      </c>
      <c r="P267" s="46">
        <f t="shared" ca="1" si="13"/>
        <v>6.944444444251537E-4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input_532100!A$2</f>
        <v>532100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IFERROR(VLOOKUP(B268,input_532100!L:R,7,FALSE),VLOOKUP(tables_532100!C268,input_532100!A:H,8,FALSE))</f>
        <v>4000</v>
      </c>
      <c r="P268" s="46">
        <f t="shared" ca="1" si="13"/>
        <v>6.944444444251537E-4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input_532100!A$2</f>
        <v>532100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IFERROR(VLOOKUP(B269,input_532100!L:R,7,FALSE),VLOOKUP(tables_532100!C269,input_532100!A:H,8,FALSE))</f>
        <v>4000</v>
      </c>
      <c r="P269" s="46">
        <f t="shared" ca="1" si="13"/>
        <v>6.944444444251537E-4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input_532100!A$2</f>
        <v>532100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IFERROR(VLOOKUP(B270,input_532100!L:R,7,FALSE),VLOOKUP(tables_532100!C270,input_532100!A:H,8,FALSE))</f>
        <v>53295</v>
      </c>
      <c r="P270" s="46">
        <f t="shared" ca="1" si="13"/>
        <v>9.2526041664096424E-3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input_532100!A$2</f>
        <v>532100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IFERROR(VLOOKUP(B271,input_532100!L:R,7,FALSE),VLOOKUP(tables_532100!C271,input_532100!A:H,8,FALSE))</f>
        <v>2850</v>
      </c>
      <c r="P271" s="46">
        <f t="shared" ca="1" si="13"/>
        <v>4.9479166665292206E-4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input_532100!A$2</f>
        <v>532100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IFERROR(VLOOKUP(B272,input_532100!L:R,7,FALSE),VLOOKUP(tables_532100!C272,input_532100!A:H,8,FALSE))</f>
        <v>53295</v>
      </c>
      <c r="P272" s="46">
        <f t="shared" ca="1" si="13"/>
        <v>9.2526041664096424E-3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input_532100!A$2</f>
        <v>532100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IFERROR(VLOOKUP(B273,input_532100!L:R,7,FALSE),VLOOKUP(tables_532100!C273,input_532100!A:H,8,FALSE))</f>
        <v>2850</v>
      </c>
      <c r="P273" s="46">
        <f t="shared" ca="1" si="13"/>
        <v>4.9479166665292206E-4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input_532100!A$2</f>
        <v>532100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IFERROR(VLOOKUP(B274,input_532100!L:R,7,FALSE),VLOOKUP(tables_532100!C274,input_532100!A:H,8,FALSE))</f>
        <v>3800</v>
      </c>
      <c r="P274" s="46">
        <f t="shared" ca="1" si="13"/>
        <v>6.5972222220389608E-4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input_532100!A$2</f>
        <v>532100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IFERROR(VLOOKUP(B275,input_532100!L:R,7,FALSE),VLOOKUP(tables_532100!C275,input_532100!A:H,8,FALSE))</f>
        <v>200</v>
      </c>
      <c r="P275" s="46">
        <f t="shared" ca="1" si="13"/>
        <v>3.4722222221257689E-5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input_532100!A$2</f>
        <v>532100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IFERROR(VLOOKUP(B276,input_532100!L:R,7,FALSE),VLOOKUP(tables_532100!C276,input_532100!A:H,8,FALSE))</f>
        <v>3800</v>
      </c>
      <c r="P276" s="46">
        <f t="shared" ca="1" si="13"/>
        <v>6.5972222220389608E-4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input_532100!A$2</f>
        <v>532100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IFERROR(VLOOKUP(B277,input_532100!L:R,7,FALSE),VLOOKUP(tables_532100!C277,input_532100!A:H,8,FALSE))</f>
        <v>200</v>
      </c>
      <c r="P277" s="46">
        <f t="shared" ca="1" si="13"/>
        <v>3.4722222221257689E-5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input_532100!A$2</f>
        <v>532100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IFERROR(VLOOKUP(B278,input_532100!L:R,7,FALSE),VLOOKUP(tables_532100!C278,input_532100!A:H,8,FALSE))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input_532100!A$2</f>
        <v>532100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IFERROR(VLOOKUP(B279,input_532100!L:R,7,FALSE),VLOOKUP(tables_532100!C279,input_532100!A:H,8,FALSE))</f>
        <v>54150</v>
      </c>
      <c r="P279" s="46">
        <f t="shared" ca="1" si="13"/>
        <v>9.4010416664055182E-3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input_532100!A$2</f>
        <v>532100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IFERROR(VLOOKUP(B280,input_532100!L:R,7,FALSE),VLOOKUP(tables_532100!C280,input_532100!A:H,8,FALSE))</f>
        <v>401.92308000000003</v>
      </c>
      <c r="P280" s="46">
        <f t="shared" ca="1" si="13"/>
        <v>6.9778312498061656E-5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input_532100!A$2</f>
        <v>532100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IFERROR(VLOOKUP(B281,input_532100!L:R,7,FALSE),VLOOKUP(tables_532100!C281,input_532100!A:H,8,FALSE))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input_532100!A$2</f>
        <v>532100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IFERROR(VLOOKUP(B282,input_532100!L:R,7,FALSE),VLOOKUP(tables_532100!C282,input_532100!A:H,8,FALSE))</f>
        <v>54150</v>
      </c>
      <c r="P282" s="46">
        <f t="shared" ca="1" si="13"/>
        <v>9.4010416664055182E-3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input_532100!A$2</f>
        <v>532100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IFERROR(VLOOKUP(B283,input_532100!L:R,7,FALSE),VLOOKUP(tables_532100!C283,input_532100!A:H,8,FALSE))</f>
        <v>401.92308000000003</v>
      </c>
      <c r="P283" s="46">
        <f t="shared" ca="1" si="13"/>
        <v>6.9778312498061656E-5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input_532100!A$2</f>
        <v>532100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IFERROR(VLOOKUP(B284,input_532100!L:R,7,FALSE),VLOOKUP(tables_532100!C284,input_532100!A:H,8,FALSE))</f>
        <v>4000</v>
      </c>
      <c r="P284" s="46">
        <f t="shared" ca="1" si="13"/>
        <v>6.944444444251537E-4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input_532100!A$2</f>
        <v>532100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IFERROR(VLOOKUP(B285,input_532100!L:R,7,FALSE),VLOOKUP(tables_532100!C285,input_532100!A:H,8,FALSE))</f>
        <v>4000</v>
      </c>
      <c r="P285" s="46">
        <f t="shared" ca="1" si="13"/>
        <v>6.944444444251537E-4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input_532100!A$2</f>
        <v>532100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IFERROR(VLOOKUP(B286,input_532100!L:R,7,FALSE),VLOOKUP(tables_532100!C286,input_532100!A:H,8,FALSE))</f>
        <v>53295</v>
      </c>
      <c r="P286" s="46">
        <f t="shared" ca="1" si="13"/>
        <v>9.2526041664096424E-3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input_532100!A$2</f>
        <v>532100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IFERROR(VLOOKUP(B287,input_532100!L:R,7,FALSE),VLOOKUP(tables_532100!C287,input_532100!A:H,8,FALSE))</f>
        <v>2850</v>
      </c>
      <c r="P287" s="46">
        <f t="shared" ca="1" si="13"/>
        <v>4.9479166665292206E-4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input_532100!A$2</f>
        <v>532100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IFERROR(VLOOKUP(B288,input_532100!L:R,7,FALSE),VLOOKUP(tables_532100!C288,input_532100!A:H,8,FALSE))</f>
        <v>53295</v>
      </c>
      <c r="P288" s="46">
        <f t="shared" ca="1" si="13"/>
        <v>9.2526041664096424E-3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input_532100!A$2</f>
        <v>532100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IFERROR(VLOOKUP(B289,input_532100!L:R,7,FALSE),VLOOKUP(tables_532100!C289,input_532100!A:H,8,FALSE))</f>
        <v>2850</v>
      </c>
      <c r="P289" s="46">
        <f t="shared" ca="1" si="13"/>
        <v>4.9479166665292206E-4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input_532100!A$2</f>
        <v>532100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IFERROR(VLOOKUP(B290,input_532100!L:R,7,FALSE),VLOOKUP(tables_532100!C290,input_532100!A:H,8,FALSE))</f>
        <v>53295</v>
      </c>
      <c r="P290" s="46">
        <f t="shared" ca="1" si="13"/>
        <v>9.2526041664096424E-3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input_532100!A$2</f>
        <v>532100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IFERROR(VLOOKUP(B291,input_532100!L:R,7,FALSE),VLOOKUP(tables_532100!C291,input_532100!A:H,8,FALSE))</f>
        <v>2850</v>
      </c>
      <c r="P291" s="46">
        <f t="shared" ca="1" si="13"/>
        <v>4.9479166665292206E-4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input_532100!A$2</f>
        <v>532100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IFERROR(VLOOKUP(B292,input_532100!L:R,7,FALSE),VLOOKUP(tables_532100!C292,input_532100!A:H,8,FALSE))</f>
        <v>53295</v>
      </c>
      <c r="P292" s="46">
        <f t="shared" ca="1" si="13"/>
        <v>9.2526041664096424E-3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input_532100!A$2</f>
        <v>532100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IFERROR(VLOOKUP(B293,input_532100!L:R,7,FALSE),VLOOKUP(tables_532100!C293,input_532100!A:H,8,FALSE))</f>
        <v>2850</v>
      </c>
      <c r="P293" s="46">
        <f t="shared" ca="1" si="13"/>
        <v>4.9479166665292206E-4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input_532100!A$2</f>
        <v>532100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IFERROR(VLOOKUP(B294,input_532100!L:R,7,FALSE),VLOOKUP(tables_532100!C294,input_532100!A:H,8,FALSE))</f>
        <v>4000</v>
      </c>
      <c r="P294" s="46">
        <f t="shared" ca="1" si="13"/>
        <v>6.944444444251537E-4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input_532100!A$2</f>
        <v>532100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IFERROR(VLOOKUP(B295,input_532100!L:R,7,FALSE),VLOOKUP(tables_532100!C295,input_532100!A:H,8,FALSE))</f>
        <v>4000</v>
      </c>
      <c r="P295" s="46">
        <f t="shared" ref="P295:P299" ca="1" si="20">O295/SUM(O:O)</f>
        <v>6.944444444251537E-4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input_532100!A$2</f>
        <v>532100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IFERROR(VLOOKUP(B296,input_532100!L:R,7,FALSE),VLOOKUP(tables_532100!C296,input_532100!A:H,8,FALSE))</f>
        <v>4000</v>
      </c>
      <c r="P296" s="46">
        <f t="shared" ca="1" si="20"/>
        <v>6.944444444251537E-4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input_532100!A$2</f>
        <v>532100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IFERROR(VLOOKUP(B297,input_532100!L:R,7,FALSE),VLOOKUP(tables_532100!C297,input_532100!A:H,8,FALSE))</f>
        <v>53295</v>
      </c>
      <c r="P297" s="46">
        <f t="shared" ca="1" si="20"/>
        <v>9.2526041664096424E-3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input_532100!A$2</f>
        <v>532100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IFERROR(VLOOKUP(B298,input_532100!L:R,7,FALSE),VLOOKUP(tables_532100!C298,input_532100!A:H,8,FALSE))</f>
        <v>2850</v>
      </c>
      <c r="P298" s="46">
        <f t="shared" ca="1" si="20"/>
        <v>4.9479166665292206E-4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input_532100!A$2</f>
        <v>532100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IFERROR(VLOOKUP(B299,input_532100!L:R,7,FALSE),VLOOKUP(tables_532100!C299,input_532100!A:H,8,FALSE))</f>
        <v>4000</v>
      </c>
      <c r="P299" s="46">
        <f t="shared" ca="1" si="20"/>
        <v>6.944444444251537E-4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input_532100!A$2</f>
        <v>532100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IFERROR(VLOOKUP(B300,input_532100!L:R,7,FALSE),VLOOKUP(tables_532100!C300,input_532100!A:H,8,FALSE))</f>
        <v>4000</v>
      </c>
      <c r="P300" s="46">
        <f t="shared" ref="P300:P304" ca="1" si="22">O300/SUM(O:O)</f>
        <v>6.944444444251537E-4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input_532100!A$2</f>
        <v>532100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IFERROR(VLOOKUP(B301,input_532100!L:R,7,FALSE),VLOOKUP(tables_532100!C301,input_532100!A:H,8,FALSE))</f>
        <v>4000</v>
      </c>
      <c r="P301" s="46">
        <f t="shared" ca="1" si="22"/>
        <v>6.944444444251537E-4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input_532100!A$2</f>
        <v>532100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IFERROR(VLOOKUP(B302,input_532100!L:R,7,FALSE),VLOOKUP(tables_532100!C302,input_532100!A:H,8,FALSE))</f>
        <v>4000</v>
      </c>
      <c r="P302" s="46">
        <f t="shared" ca="1" si="22"/>
        <v>6.944444444251537E-4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input_532100!A$2</f>
        <v>532100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IFERROR(VLOOKUP(B303,input_532100!L:R,7,FALSE),VLOOKUP(tables_532100!C303,input_532100!A:H,8,FALSE))</f>
        <v>53295</v>
      </c>
      <c r="P303" s="46">
        <f t="shared" ca="1" si="22"/>
        <v>9.2526041664096424E-3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input_532100!A$2</f>
        <v>532100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IFERROR(VLOOKUP(B304,input_532100!L:R,7,FALSE),VLOOKUP(tables_532100!C304,input_532100!A:H,8,FALSE))</f>
        <v>2850</v>
      </c>
      <c r="P304" s="46">
        <f t="shared" ca="1" si="22"/>
        <v>4.9479166665292206E-4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input_532100!A$2</f>
        <v>532100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IFERROR(VLOOKUP(B305,input_532100!L:R,7,FALSE),VLOOKUP(tables_532100!C305,input_532100!A:H,8,FALSE))</f>
        <v>4000</v>
      </c>
      <c r="P305" s="46">
        <f t="shared" ref="P305:P308" ca="1" si="24">O305/SUM(O:O)</f>
        <v>6.944444444251537E-4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input_532100!A$2</f>
        <v>532100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IFERROR(VLOOKUP(B306,input_532100!L:R,7,FALSE),VLOOKUP(tables_532100!C306,input_532100!A:H,8,FALSE))</f>
        <v>53295</v>
      </c>
      <c r="P306" s="46">
        <f t="shared" ca="1" si="24"/>
        <v>9.2526041664096424E-3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input_532100!A$2</f>
        <v>532100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IFERROR(VLOOKUP(B307,input_532100!L:R,7,FALSE),VLOOKUP(tables_532100!C307,input_532100!A:H,8,FALSE))</f>
        <v>2850</v>
      </c>
      <c r="P307" s="46">
        <f t="shared" ca="1" si="24"/>
        <v>4.9479166665292206E-4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input_532100!A$2</f>
        <v>532100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IFERROR(VLOOKUP(B308,input_532100!L:R,7,FALSE),VLOOKUP(tables_532100!C308,input_532100!A:H,8,FALSE))</f>
        <v>4000</v>
      </c>
      <c r="P308" s="46">
        <f t="shared" ca="1" si="24"/>
        <v>6.944444444251537E-4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input_532100!A$2</f>
        <v>532100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IFERROR(VLOOKUP(B309,input_532100!L:R,7,FALSE),VLOOKUP(tables_532100!C309,input_532100!A:H,8,FALSE))</f>
        <v>4000</v>
      </c>
      <c r="P309" s="46">
        <f t="shared" ref="P309" ca="1" si="26">O309/SUM(O:O)</f>
        <v>6.944444444251537E-4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input_532100!A$2</f>
        <v>532100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IFERROR(VLOOKUP(B310,input_532100!L:R,7,FALSE),VLOOKUP(tables_532100!C310,input_532100!A:H,8,FALSE))</f>
        <v>4000</v>
      </c>
      <c r="P310" s="46">
        <f t="shared" ref="P310:P314" ca="1" si="28">O310/SUM(O:O)</f>
        <v>6.944444444251537E-4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input_532100!A$2</f>
        <v>532100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IFERROR(VLOOKUP(B311,input_532100!L:R,7,FALSE),VLOOKUP(tables_532100!C311,input_532100!A:H,8,FALSE))</f>
        <v>53295</v>
      </c>
      <c r="P311" s="46">
        <f t="shared" ca="1" si="28"/>
        <v>9.2526041664096424E-3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input_532100!A$2</f>
        <v>532100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IFERROR(VLOOKUP(B312,input_532100!L:R,7,FALSE),VLOOKUP(tables_532100!C312,input_532100!A:H,8,FALSE))</f>
        <v>2850</v>
      </c>
      <c r="P312" s="46">
        <f t="shared" ca="1" si="28"/>
        <v>4.9479166665292206E-4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input_532100!A$2</f>
        <v>532100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IFERROR(VLOOKUP(B313,input_532100!L:R,7,FALSE),VLOOKUP(tables_532100!C313,input_532100!A:H,8,FALSE))</f>
        <v>4000</v>
      </c>
      <c r="P313" s="46">
        <f t="shared" ca="1" si="28"/>
        <v>6.944444444251537E-4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input_532100!A$2</f>
        <v>532100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IFERROR(VLOOKUP(B314,input_532100!L:R,7,FALSE),VLOOKUP(tables_532100!C314,input_532100!A:H,8,FALSE))</f>
        <v>4000</v>
      </c>
      <c r="P314" s="46">
        <f t="shared" ca="1" si="28"/>
        <v>6.944444444251537E-4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input_532100!A$2</f>
        <v>532100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IFERROR(VLOOKUP(B315,input_532100!L:R,7,FALSE),VLOOKUP(tables_532100!C315,input_532100!A:H,8,FALSE))</f>
        <v>4000</v>
      </c>
      <c r="P315" s="46">
        <f t="shared" ref="P315:P319" ca="1" si="30">O315/SUM(O:O)</f>
        <v>6.944444444251537E-4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input_532100!A$2</f>
        <v>532100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IFERROR(VLOOKUP(B316,input_532100!L:R,7,FALSE),VLOOKUP(tables_532100!C316,input_532100!A:H,8,FALSE))</f>
        <v>4000</v>
      </c>
      <c r="P316" s="46">
        <f t="shared" ca="1" si="30"/>
        <v>6.944444444251537E-4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input_532100!A$2</f>
        <v>532100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IFERROR(VLOOKUP(B317,input_532100!L:R,7,FALSE),VLOOKUP(tables_532100!C317,input_532100!A:H,8,FALSE))</f>
        <v>4000</v>
      </c>
      <c r="P317" s="46">
        <f t="shared" ca="1" si="30"/>
        <v>6.944444444251537E-4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input_532100!A$2</f>
        <v>532100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IFERROR(VLOOKUP(B318,input_532100!L:R,7,FALSE),VLOOKUP(tables_532100!C318,input_532100!A:H,8,FALSE))</f>
        <v>53295</v>
      </c>
      <c r="P318" s="46">
        <f t="shared" ca="1" si="30"/>
        <v>9.2526041664096424E-3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input_532100!A$2</f>
        <v>532100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IFERROR(VLOOKUP(B319,input_532100!L:R,7,FALSE),VLOOKUP(tables_532100!C319,input_532100!A:H,8,FALSE))</f>
        <v>2850</v>
      </c>
      <c r="P319" s="46">
        <f t="shared" ca="1" si="30"/>
        <v>4.9479166665292206E-4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input_532100!A$2</f>
        <v>532100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IFERROR(VLOOKUP(B320,input_532100!L:R,7,FALSE),VLOOKUP(tables_532100!C320,input_532100!A:H,8,FALSE))</f>
        <v>4000</v>
      </c>
      <c r="P320" s="46">
        <f t="shared" ref="P320:P324" ca="1" si="32">O320/SUM(O:O)</f>
        <v>6.944444444251537E-4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input_532100!A$2</f>
        <v>532100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IFERROR(VLOOKUP(B321,input_532100!L:R,7,FALSE),VLOOKUP(tables_532100!C321,input_532100!A:H,8,FALSE))</f>
        <v>4000</v>
      </c>
      <c r="P321" s="46">
        <f t="shared" ca="1" si="32"/>
        <v>6.944444444251537E-4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input_532100!A$2</f>
        <v>532100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IFERROR(VLOOKUP(B322,input_532100!L:R,7,FALSE),VLOOKUP(tables_532100!C322,input_532100!A:H,8,FALSE))</f>
        <v>4000</v>
      </c>
      <c r="P322" s="46">
        <f t="shared" ca="1" si="32"/>
        <v>6.944444444251537E-4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input_532100!A$2</f>
        <v>532100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IFERROR(VLOOKUP(B323,input_532100!L:R,7,FALSE),VLOOKUP(tables_532100!C323,input_532100!A:H,8,FALSE))</f>
        <v>4000</v>
      </c>
      <c r="P323" s="46">
        <f t="shared" ca="1" si="32"/>
        <v>6.944444444251537E-4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input_532100!A$2</f>
        <v>532100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IFERROR(VLOOKUP(B324,input_532100!L:R,7,FALSE),VLOOKUP(tables_532100!C324,input_532100!A:H,8,FALSE))</f>
        <v>53295</v>
      </c>
      <c r="P324" s="46">
        <f t="shared" ca="1" si="32"/>
        <v>9.2526041664096424E-3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input_532100!A$2</f>
        <v>532100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IFERROR(VLOOKUP(B325,input_532100!L:R,7,FALSE),VLOOKUP(tables_532100!C325,input_532100!A:H,8,FALSE))</f>
        <v>2850</v>
      </c>
      <c r="P325" s="46">
        <f t="shared" ref="P325:P330" ca="1" si="35">O325/SUM(O:O)</f>
        <v>4.9479166665292206E-4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input_532100!A$2</f>
        <v>532100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IFERROR(VLOOKUP(B326,input_532100!L:R,7,FALSE),VLOOKUP(tables_532100!C326,input_532100!A:H,8,FALSE))</f>
        <v>53295</v>
      </c>
      <c r="P326" s="46">
        <f t="shared" ca="1" si="35"/>
        <v>9.2526041664096424E-3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input_532100!A$2</f>
        <v>532100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IFERROR(VLOOKUP(B327,input_532100!L:R,7,FALSE),VLOOKUP(tables_532100!C327,input_532100!A:H,8,FALSE))</f>
        <v>2850</v>
      </c>
      <c r="P327" s="46">
        <f t="shared" ca="1" si="35"/>
        <v>4.9479166665292206E-4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input_532100!A$2</f>
        <v>532100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IFERROR(VLOOKUP(B328,input_532100!L:R,7,FALSE),VLOOKUP(tables_532100!C328,input_532100!A:H,8,FALSE))</f>
        <v>4000</v>
      </c>
      <c r="P328" s="46">
        <f t="shared" ca="1" si="35"/>
        <v>6.944444444251537E-4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input_532100!A$2</f>
        <v>532100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IFERROR(VLOOKUP(B329,input_532100!L:R,7,FALSE),VLOOKUP(tables_532100!C329,input_532100!A:H,8,FALSE))</f>
        <v>4000</v>
      </c>
      <c r="P329" s="46">
        <f t="shared" ca="1" si="35"/>
        <v>6.944444444251537E-4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input_532100!A$2</f>
        <v>532100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IFERROR(VLOOKUP(B330,input_532100!L:R,7,FALSE),VLOOKUP(tables_532100!C330,input_532100!A:H,8,FALSE))</f>
        <v>4000</v>
      </c>
      <c r="P330" s="46">
        <f t="shared" ca="1" si="35"/>
        <v>6.944444444251537E-4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input_532100!A$2</f>
        <v>532100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IFERROR(VLOOKUP(B331,input_532100!L:R,7,FALSE),VLOOKUP(tables_532100!C331,input_532100!A:H,8,FALSE))</f>
        <v>4000</v>
      </c>
      <c r="P331" s="46">
        <f t="shared" ref="P331:P335" ca="1" si="38">O331/SUM(O:O)</f>
        <v>6.944444444251537E-4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input_532100!A$2</f>
        <v>532100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IFERROR(VLOOKUP(B332,input_532100!L:R,7,FALSE),VLOOKUP(tables_532100!C332,input_532100!A:H,8,FALSE))</f>
        <v>4000</v>
      </c>
      <c r="P332" s="46">
        <f t="shared" ca="1" si="38"/>
        <v>6.944444444251537E-4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input_532100!A$2</f>
        <v>532100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IFERROR(VLOOKUP(B333,input_532100!L:R,7,FALSE),VLOOKUP(tables_532100!C333,input_532100!A:H,8,FALSE))</f>
        <v>4000</v>
      </c>
      <c r="P333" s="46">
        <f t="shared" ca="1" si="38"/>
        <v>6.944444444251537E-4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input_532100!A$2</f>
        <v>532100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IFERROR(VLOOKUP(B334,input_532100!L:R,7,FALSE),VLOOKUP(tables_532100!C334,input_532100!A:H,8,FALSE))</f>
        <v>53295</v>
      </c>
      <c r="P334" s="46">
        <f t="shared" ca="1" si="38"/>
        <v>9.2526041664096424E-3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input_532100!A$2</f>
        <v>532100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IFERROR(VLOOKUP(B335,input_532100!L:R,7,FALSE),VLOOKUP(tables_532100!C335,input_532100!A:H,8,FALSE))</f>
        <v>2850</v>
      </c>
      <c r="P335" s="46">
        <f t="shared" ca="1" si="38"/>
        <v>4.9479166665292206E-4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input_532100!A$2</f>
        <v>532100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IFERROR(VLOOKUP(B336,input_532100!L:R,7,FALSE),VLOOKUP(tables_532100!C336,input_532100!A:H,8,FALSE))</f>
        <v>53295</v>
      </c>
      <c r="P336" s="46">
        <f t="shared" ref="P336:P340" ca="1" si="41">O336/SUM(O:O)</f>
        <v>9.2526041664096424E-3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input_532100!A$2</f>
        <v>532100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IFERROR(VLOOKUP(B337,input_532100!L:R,7,FALSE),VLOOKUP(tables_532100!C337,input_532100!A:H,8,FALSE))</f>
        <v>2850</v>
      </c>
      <c r="P337" s="46">
        <f t="shared" ca="1" si="41"/>
        <v>4.9479166665292206E-4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input_532100!A$2</f>
        <v>532100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IFERROR(VLOOKUP(B338,input_532100!L:R,7,FALSE),VLOOKUP(tables_532100!C338,input_532100!A:H,8,FALSE))</f>
        <v>4000</v>
      </c>
      <c r="P338" s="46">
        <f t="shared" ca="1" si="41"/>
        <v>6.944444444251537E-4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input_532100!A$2</f>
        <v>532100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IFERROR(VLOOKUP(B339,input_532100!L:R,7,FALSE),VLOOKUP(tables_532100!C339,input_532100!A:H,8,FALSE))</f>
        <v>4000</v>
      </c>
      <c r="P339" s="46">
        <f t="shared" ca="1" si="41"/>
        <v>6.944444444251537E-4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input_532100!A$2</f>
        <v>532100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IFERROR(VLOOKUP(B340,input_532100!L:R,7,FALSE),VLOOKUP(tables_532100!C340,input_532100!A:H,8,FALSE))</f>
        <v>4000</v>
      </c>
      <c r="P340" s="46">
        <f t="shared" ca="1" si="41"/>
        <v>6.944444444251537E-4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input_532100!A$2</f>
        <v>532100</v>
      </c>
      <c r="B341" s="1">
        <v>1250</v>
      </c>
      <c r="C341" s="7" t="str">
        <f t="shared" ref="C341:C345" si="42">D341&amp;J341&amp;E341&amp;F341&amp;G341</f>
        <v>PremiumSS5R5only</v>
      </c>
      <c r="D341" s="97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IFERROR(VLOOKUP(B341,input_532100!L:R,7,FALSE),VLOOKUP(tables_532100!C341,input_532100!A:H,8,FALSE))</f>
        <v>4000</v>
      </c>
      <c r="P341" s="46">
        <f t="shared" ref="P341:P345" ca="1" si="44">O341/SUM(O:O)</f>
        <v>6.944444444251537E-4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input_532100!A$2</f>
        <v>532100</v>
      </c>
      <c r="B342" s="1">
        <v>1248</v>
      </c>
      <c r="C342" s="7" t="str">
        <f t="shared" si="42"/>
        <v>Premium4R3less</v>
      </c>
      <c r="D342" s="97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IFERROR(VLOOKUP(B342,input_532100!L:R,7,FALSE),VLOOKUP(tables_532100!C342,input_532100!A:H,8,FALSE))</f>
        <v>53295</v>
      </c>
      <c r="P342" s="46">
        <f t="shared" ca="1" si="44"/>
        <v>9.2526041664096424E-3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input_532100!A$2</f>
        <v>532100</v>
      </c>
      <c r="B343" s="1">
        <v>1249</v>
      </c>
      <c r="C343" s="7" t="str">
        <f t="shared" si="42"/>
        <v>Premium5R3less</v>
      </c>
      <c r="D343" s="97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IFERROR(VLOOKUP(B343,input_532100!L:R,7,FALSE),VLOOKUP(tables_532100!C343,input_532100!A:H,8,FALSE))</f>
        <v>2850</v>
      </c>
      <c r="P343" s="46">
        <f t="shared" ca="1" si="44"/>
        <v>4.9479166665292206E-4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input_532100!A$2</f>
        <v>532100</v>
      </c>
      <c r="B344" s="1">
        <v>1246</v>
      </c>
      <c r="C344" s="7" t="str">
        <f t="shared" si="42"/>
        <v>PremiumSS5R5only</v>
      </c>
      <c r="D344" s="97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IFERROR(VLOOKUP(B344,input_532100!L:R,7,FALSE),VLOOKUP(tables_532100!C344,input_532100!A:H,8,FALSE))</f>
        <v>4000</v>
      </c>
      <c r="P344" s="46">
        <f t="shared" ca="1" si="44"/>
        <v>6.944444444251537E-4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input_532100!A$2</f>
        <v>532100</v>
      </c>
      <c r="B345" s="1">
        <v>1244</v>
      </c>
      <c r="C345" s="7" t="str">
        <f t="shared" si="42"/>
        <v>PremiumSS5R5only</v>
      </c>
      <c r="D345" s="97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IFERROR(VLOOKUP(B345,input_532100!L:R,7,FALSE),VLOOKUP(tables_532100!C345,input_532100!A:H,8,FALSE))</f>
        <v>4000</v>
      </c>
      <c r="P345" s="46">
        <f t="shared" ca="1" si="44"/>
        <v>6.944444444251537E-4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input_532100!A$2</f>
        <v>532100</v>
      </c>
      <c r="B346" s="1">
        <v>1260</v>
      </c>
      <c r="C346" s="7" t="str">
        <f t="shared" ref="C346:C350" si="45">D346&amp;J346&amp;E346&amp;F346&amp;G346</f>
        <v>PremiumSS5R5only</v>
      </c>
      <c r="D346" s="97" t="str">
        <f t="shared" ref="D346:D350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IFERROR(VLOOKUP(B346,input_532100!L:R,7,FALSE),VLOOKUP(tables_532100!C346,input_532100!A:H,8,FALSE))</f>
        <v>4000</v>
      </c>
      <c r="P346" s="46">
        <f t="shared" ref="P346:P350" ca="1" si="47">O346/SUM(O:O)</f>
        <v>6.944444444251537E-4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input_532100!A$2</f>
        <v>532100</v>
      </c>
      <c r="B347" s="1">
        <v>1262</v>
      </c>
      <c r="C347" s="7" t="str">
        <f t="shared" si="45"/>
        <v>PremiumSS5R5only</v>
      </c>
      <c r="D347" s="97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IFERROR(VLOOKUP(B347,input_532100!L:R,7,FALSE),VLOOKUP(tables_532100!C347,input_532100!A:H,8,FALSE))</f>
        <v>4000</v>
      </c>
      <c r="P347" s="46">
        <f t="shared" ca="1" si="47"/>
        <v>6.944444444251537E-4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input_532100!A$2</f>
        <v>532100</v>
      </c>
      <c r="B348" s="1">
        <v>1264</v>
      </c>
      <c r="C348" s="7" t="str">
        <f t="shared" si="45"/>
        <v>PremiumSS5R5only</v>
      </c>
      <c r="D348" s="97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IFERROR(VLOOKUP(B348,input_532100!L:R,7,FALSE),VLOOKUP(tables_532100!C348,input_532100!A:H,8,FALSE))</f>
        <v>4000</v>
      </c>
      <c r="P348" s="46">
        <f t="shared" ca="1" si="47"/>
        <v>6.944444444251537E-4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input_532100!A$2</f>
        <v>532100</v>
      </c>
      <c r="B349" s="1">
        <v>1266</v>
      </c>
      <c r="C349" s="7" t="str">
        <f t="shared" si="45"/>
        <v>Premium4R3less</v>
      </c>
      <c r="D349" s="97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IFERROR(VLOOKUP(B349,input_532100!L:R,7,FALSE),VLOOKUP(tables_532100!C349,input_532100!A:H,8,FALSE))</f>
        <v>53295</v>
      </c>
      <c r="P349" s="46">
        <f t="shared" ca="1" si="47"/>
        <v>9.2526041664096424E-3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input_532100!A$2</f>
        <v>532100</v>
      </c>
      <c r="B350" s="1">
        <v>1267</v>
      </c>
      <c r="C350" s="7" t="str">
        <f t="shared" si="45"/>
        <v>Premium5R3less</v>
      </c>
      <c r="D350" s="97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IFERROR(VLOOKUP(B350,input_532100!L:R,7,FALSE),VLOOKUP(tables_532100!C350,input_532100!A:H,8,FALSE))</f>
        <v>2850</v>
      </c>
      <c r="P350" s="46">
        <f t="shared" ca="1" si="47"/>
        <v>4.9479166665292206E-4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input_532100!A$2</f>
        <v>532100</v>
      </c>
      <c r="B351" s="101">
        <v>1332</v>
      </c>
      <c r="C351" s="7" t="str">
        <f t="shared" ref="C351:C355" si="48">D351&amp;J351&amp;E351&amp;F351&amp;G351</f>
        <v>PremiumSS5R5only</v>
      </c>
      <c r="D351" s="97" t="str">
        <f t="shared" ref="D351:D355" si="4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IFERROR(VLOOKUP(B351,input_532100!L:R,7,FALSE),VLOOKUP(tables_532100!C351,input_532100!A:H,8,FALSE))</f>
        <v>4000</v>
      </c>
      <c r="P351" s="46">
        <f t="shared" ref="P351:P355" ca="1" si="50">O351/SUM(O:O)</f>
        <v>6.944444444251537E-4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input_532100!A$2</f>
        <v>532100</v>
      </c>
      <c r="B352" s="101">
        <v>1336</v>
      </c>
      <c r="C352" s="7" t="str">
        <f t="shared" si="48"/>
        <v>PremiumSS5R5only</v>
      </c>
      <c r="D352" s="97" t="str">
        <f t="shared" si="4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IFERROR(VLOOKUP(B352,input_532100!L:R,7,FALSE),VLOOKUP(tables_532100!C352,input_532100!A:H,8,FALSE))</f>
        <v>4000</v>
      </c>
      <c r="P352" s="46">
        <f t="shared" ca="1" si="50"/>
        <v>6.944444444251537E-4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input_532100!A$2</f>
        <v>532100</v>
      </c>
      <c r="B353" s="101">
        <v>1338</v>
      </c>
      <c r="C353" s="7" t="str">
        <f t="shared" si="48"/>
        <v>PremiumSS5R5only</v>
      </c>
      <c r="D353" s="97" t="str">
        <f t="shared" si="4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IFERROR(VLOOKUP(B353,input_532100!L:R,7,FALSE),VLOOKUP(tables_532100!C353,input_532100!A:H,8,FALSE))</f>
        <v>4000</v>
      </c>
      <c r="P353" s="46">
        <f t="shared" ca="1" si="50"/>
        <v>6.944444444251537E-4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input_532100!A$2</f>
        <v>532100</v>
      </c>
      <c r="B354" s="101">
        <v>1334</v>
      </c>
      <c r="C354" s="7" t="str">
        <f t="shared" si="48"/>
        <v>Premium4R3less</v>
      </c>
      <c r="D354" s="97" t="str">
        <f t="shared" si="4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IFERROR(VLOOKUP(B354,input_532100!L:R,7,FALSE),VLOOKUP(tables_532100!C354,input_532100!A:H,8,FALSE))</f>
        <v>53295</v>
      </c>
      <c r="P354" s="46">
        <f t="shared" ca="1" si="50"/>
        <v>9.2526041664096424E-3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input_532100!A$2</f>
        <v>532100</v>
      </c>
      <c r="B355" s="101">
        <v>1335</v>
      </c>
      <c r="C355" s="7" t="str">
        <f t="shared" si="48"/>
        <v>Premium5R3less</v>
      </c>
      <c r="D355" s="97" t="str">
        <f t="shared" si="4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IFERROR(VLOOKUP(B355,input_532100!L:R,7,FALSE),VLOOKUP(tables_532100!C355,input_532100!A:H,8,FALSE))</f>
        <v>2850</v>
      </c>
      <c r="P355" s="46">
        <f t="shared" ca="1" si="50"/>
        <v>4.9479166665292206E-4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</sheetData>
  <autoFilter ref="A1:V294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input_532010</vt:lpstr>
      <vt:lpstr>tables_532010</vt:lpstr>
      <vt:lpstr>input_532100</vt:lpstr>
      <vt:lpstr>tables_532100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2017-02-17T03:43:16Z</dcterms:modified>
</cp:coreProperties>
</file>