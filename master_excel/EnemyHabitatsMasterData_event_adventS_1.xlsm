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907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.Mori/GitHub/BULL_data/master_excel/"/>
    </mc:Choice>
  </mc:AlternateContent>
  <bookViews>
    <workbookView xWindow="1200" yWindow="460" windowWidth="25800" windowHeight="16200" tabRatio="740" activeTab="4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</sheets>
  <externalReferences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3" hidden="1">enemy_habitat_S!$B$1:$Y$2</definedName>
    <definedName name="_xlnm._FilterDatabase" localSheetId="2" hidden="1">enemy_habitats!$B$1:$AH$6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7" i="9" l="1"/>
  <c r="H27" i="9"/>
  <c r="I27" i="9"/>
  <c r="E2" i="1"/>
  <c r="D54" i="9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J56" i="11"/>
  <c r="O54" i="9"/>
  <c r="N54" i="9"/>
  <c r="M54" i="9"/>
  <c r="L54" i="9"/>
  <c r="K54" i="9"/>
  <c r="J54" i="9"/>
  <c r="I54" i="9"/>
  <c r="H54" i="9"/>
  <c r="G54" i="9"/>
  <c r="E54" i="9"/>
  <c r="A54" i="9"/>
  <c r="E34" i="9"/>
  <c r="D7" i="1"/>
  <c r="F7" i="1"/>
  <c r="D6" i="1"/>
  <c r="F6" i="1"/>
  <c r="D5" i="1"/>
  <c r="F5" i="1"/>
  <c r="D4" i="1"/>
  <c r="F4" i="1"/>
  <c r="D3" i="1"/>
  <c r="F3" i="1"/>
  <c r="D2" i="1"/>
  <c r="F2" i="1"/>
  <c r="E7" i="1"/>
  <c r="E6" i="1"/>
  <c r="E5" i="1"/>
  <c r="E4" i="1"/>
  <c r="E3" i="1"/>
  <c r="A37" i="9"/>
  <c r="D37" i="9"/>
  <c r="E37" i="9"/>
  <c r="G37" i="9"/>
  <c r="H37" i="9"/>
  <c r="I37" i="9"/>
  <c r="J37" i="9"/>
  <c r="K37" i="9"/>
  <c r="L37" i="9"/>
  <c r="M37" i="9"/>
  <c r="N37" i="9"/>
  <c r="J55" i="11"/>
  <c r="O37" i="9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D2" i="9"/>
  <c r="J51" i="11"/>
  <c r="O53" i="9"/>
  <c r="N53" i="9"/>
  <c r="M53" i="9"/>
  <c r="L53" i="9"/>
  <c r="K53" i="9"/>
  <c r="J53" i="9"/>
  <c r="I53" i="9"/>
  <c r="H53" i="9"/>
  <c r="G53" i="9"/>
  <c r="J50" i="11"/>
  <c r="O52" i="9"/>
  <c r="N52" i="9"/>
  <c r="M52" i="9"/>
  <c r="L52" i="9"/>
  <c r="K52" i="9"/>
  <c r="J52" i="9"/>
  <c r="I52" i="9"/>
  <c r="H52" i="9"/>
  <c r="G52" i="9"/>
  <c r="J49" i="11"/>
  <c r="O51" i="9"/>
  <c r="N51" i="9"/>
  <c r="M51" i="9"/>
  <c r="L51" i="9"/>
  <c r="K51" i="9"/>
  <c r="J51" i="9"/>
  <c r="I51" i="9"/>
  <c r="H51" i="9"/>
  <c r="G51" i="9"/>
  <c r="J48" i="11"/>
  <c r="O50" i="9"/>
  <c r="N50" i="9"/>
  <c r="M50" i="9"/>
  <c r="L50" i="9"/>
  <c r="K50" i="9"/>
  <c r="J50" i="9"/>
  <c r="I50" i="9"/>
  <c r="H50" i="9"/>
  <c r="G50" i="9"/>
  <c r="J46" i="11"/>
  <c r="O49" i="9"/>
  <c r="N49" i="9"/>
  <c r="M49" i="9"/>
  <c r="L49" i="9"/>
  <c r="K49" i="9"/>
  <c r="J49" i="9"/>
  <c r="I49" i="9"/>
  <c r="H49" i="9"/>
  <c r="G49" i="9"/>
  <c r="J45" i="11"/>
  <c r="O48" i="9"/>
  <c r="N48" i="9"/>
  <c r="M48" i="9"/>
  <c r="L48" i="9"/>
  <c r="K48" i="9"/>
  <c r="J48" i="9"/>
  <c r="I48" i="9"/>
  <c r="H48" i="9"/>
  <c r="G48" i="9"/>
  <c r="J44" i="11"/>
  <c r="O47" i="9"/>
  <c r="N47" i="9"/>
  <c r="M47" i="9"/>
  <c r="L47" i="9"/>
  <c r="K47" i="9"/>
  <c r="J47" i="9"/>
  <c r="I47" i="9"/>
  <c r="H47" i="9"/>
  <c r="G47" i="9"/>
  <c r="J43" i="11"/>
  <c r="O46" i="9"/>
  <c r="N46" i="9"/>
  <c r="M46" i="9"/>
  <c r="L46" i="9"/>
  <c r="K46" i="9"/>
  <c r="J46" i="9"/>
  <c r="I46" i="9"/>
  <c r="H46" i="9"/>
  <c r="G46" i="9"/>
  <c r="J42" i="11"/>
  <c r="O45" i="9"/>
  <c r="N45" i="9"/>
  <c r="M45" i="9"/>
  <c r="L45" i="9"/>
  <c r="K45" i="9"/>
  <c r="J45" i="9"/>
  <c r="I45" i="9"/>
  <c r="H45" i="9"/>
  <c r="G45" i="9"/>
  <c r="J41" i="11"/>
  <c r="O44" i="9"/>
  <c r="N44" i="9"/>
  <c r="M44" i="9"/>
  <c r="L44" i="9"/>
  <c r="K44" i="9"/>
  <c r="J44" i="9"/>
  <c r="I44" i="9"/>
  <c r="H44" i="9"/>
  <c r="G44" i="9"/>
  <c r="J40" i="11"/>
  <c r="O43" i="9"/>
  <c r="N43" i="9"/>
  <c r="M43" i="9"/>
  <c r="L43" i="9"/>
  <c r="K43" i="9"/>
  <c r="J43" i="9"/>
  <c r="I43" i="9"/>
  <c r="H43" i="9"/>
  <c r="G43" i="9"/>
  <c r="J39" i="11"/>
  <c r="O42" i="9"/>
  <c r="N42" i="9"/>
  <c r="M42" i="9"/>
  <c r="L42" i="9"/>
  <c r="K42" i="9"/>
  <c r="J42" i="9"/>
  <c r="I42" i="9"/>
  <c r="H42" i="9"/>
  <c r="G42" i="9"/>
  <c r="J38" i="11"/>
  <c r="O41" i="9"/>
  <c r="N41" i="9"/>
  <c r="M41" i="9"/>
  <c r="L41" i="9"/>
  <c r="K41" i="9"/>
  <c r="J41" i="9"/>
  <c r="I41" i="9"/>
  <c r="H41" i="9"/>
  <c r="G41" i="9"/>
  <c r="J37" i="11"/>
  <c r="O40" i="9"/>
  <c r="N40" i="9"/>
  <c r="M40" i="9"/>
  <c r="L40" i="9"/>
  <c r="K40" i="9"/>
  <c r="J40" i="9"/>
  <c r="I40" i="9"/>
  <c r="H40" i="9"/>
  <c r="G40" i="9"/>
  <c r="J36" i="11"/>
  <c r="O39" i="9"/>
  <c r="N39" i="9"/>
  <c r="M39" i="9"/>
  <c r="L39" i="9"/>
  <c r="K39" i="9"/>
  <c r="J39" i="9"/>
  <c r="I39" i="9"/>
  <c r="H39" i="9"/>
  <c r="G39" i="9"/>
  <c r="J35" i="11"/>
  <c r="O38" i="9"/>
  <c r="N38" i="9"/>
  <c r="M38" i="9"/>
  <c r="L38" i="9"/>
  <c r="K38" i="9"/>
  <c r="J38" i="9"/>
  <c r="I38" i="9"/>
  <c r="H38" i="9"/>
  <c r="G38" i="9"/>
  <c r="J34" i="11"/>
  <c r="O36" i="9"/>
  <c r="N36" i="9"/>
  <c r="M36" i="9"/>
  <c r="L36" i="9"/>
  <c r="K36" i="9"/>
  <c r="J36" i="9"/>
  <c r="I36" i="9"/>
  <c r="H36" i="9"/>
  <c r="G36" i="9"/>
  <c r="J32" i="11"/>
  <c r="O35" i="9"/>
  <c r="N35" i="9"/>
  <c r="M35" i="9"/>
  <c r="L35" i="9"/>
  <c r="K35" i="9"/>
  <c r="J35" i="9"/>
  <c r="I35" i="9"/>
  <c r="H35" i="9"/>
  <c r="G35" i="9"/>
  <c r="J31" i="11"/>
  <c r="O34" i="9"/>
  <c r="N34" i="9"/>
  <c r="M34" i="9"/>
  <c r="L34" i="9"/>
  <c r="K34" i="9"/>
  <c r="J34" i="9"/>
  <c r="I34" i="9"/>
  <c r="H34" i="9"/>
  <c r="G34" i="9"/>
  <c r="J30" i="11"/>
  <c r="O33" i="9"/>
  <c r="N33" i="9"/>
  <c r="M33" i="9"/>
  <c r="L33" i="9"/>
  <c r="K33" i="9"/>
  <c r="J33" i="9"/>
  <c r="I33" i="9"/>
  <c r="H33" i="9"/>
  <c r="G33" i="9"/>
  <c r="J29" i="11"/>
  <c r="O32" i="9"/>
  <c r="N32" i="9"/>
  <c r="M32" i="9"/>
  <c r="L32" i="9"/>
  <c r="K32" i="9"/>
  <c r="J32" i="9"/>
  <c r="I32" i="9"/>
  <c r="H32" i="9"/>
  <c r="G32" i="9"/>
  <c r="J28" i="11"/>
  <c r="O31" i="9"/>
  <c r="N31" i="9"/>
  <c r="M31" i="9"/>
  <c r="L31" i="9"/>
  <c r="K31" i="9"/>
  <c r="J31" i="9"/>
  <c r="I31" i="9"/>
  <c r="H31" i="9"/>
  <c r="G31" i="9"/>
  <c r="J27" i="11"/>
  <c r="O30" i="9"/>
  <c r="N30" i="9"/>
  <c r="M30" i="9"/>
  <c r="L30" i="9"/>
  <c r="K30" i="9"/>
  <c r="J30" i="9"/>
  <c r="I30" i="9"/>
  <c r="H30" i="9"/>
  <c r="G30" i="9"/>
  <c r="J26" i="11"/>
  <c r="O29" i="9"/>
  <c r="N29" i="9"/>
  <c r="M29" i="9"/>
  <c r="L29" i="9"/>
  <c r="K29" i="9"/>
  <c r="J29" i="9"/>
  <c r="I29" i="9"/>
  <c r="H29" i="9"/>
  <c r="G29" i="9"/>
  <c r="J25" i="11"/>
  <c r="O28" i="9"/>
  <c r="N28" i="9"/>
  <c r="M28" i="9"/>
  <c r="L28" i="9"/>
  <c r="K28" i="9"/>
  <c r="J28" i="9"/>
  <c r="I28" i="9"/>
  <c r="H28" i="9"/>
  <c r="G28" i="9"/>
  <c r="J54" i="11"/>
  <c r="O27" i="9"/>
  <c r="N27" i="9"/>
  <c r="M27" i="9"/>
  <c r="L27" i="9"/>
  <c r="K27" i="9"/>
  <c r="J27" i="9"/>
  <c r="J24" i="11"/>
  <c r="O26" i="9"/>
  <c r="N26" i="9"/>
  <c r="M26" i="9"/>
  <c r="L26" i="9"/>
  <c r="K26" i="9"/>
  <c r="J26" i="9"/>
  <c r="I26" i="9"/>
  <c r="H26" i="9"/>
  <c r="G26" i="9"/>
  <c r="J23" i="11"/>
  <c r="O25" i="9"/>
  <c r="N25" i="9"/>
  <c r="M25" i="9"/>
  <c r="L25" i="9"/>
  <c r="K25" i="9"/>
  <c r="J25" i="9"/>
  <c r="I25" i="9"/>
  <c r="H25" i="9"/>
  <c r="G25" i="9"/>
  <c r="J22" i="11"/>
  <c r="O24" i="9"/>
  <c r="N24" i="9"/>
  <c r="M24" i="9"/>
  <c r="L24" i="9"/>
  <c r="K24" i="9"/>
  <c r="J24" i="9"/>
  <c r="I24" i="9"/>
  <c r="H24" i="9"/>
  <c r="G24" i="9"/>
  <c r="J21" i="11"/>
  <c r="O23" i="9"/>
  <c r="N23" i="9"/>
  <c r="M23" i="9"/>
  <c r="L23" i="9"/>
  <c r="K23" i="9"/>
  <c r="J23" i="9"/>
  <c r="I23" i="9"/>
  <c r="H23" i="9"/>
  <c r="G23" i="9"/>
  <c r="J20" i="11"/>
  <c r="O22" i="9"/>
  <c r="N22" i="9"/>
  <c r="M22" i="9"/>
  <c r="L22" i="9"/>
  <c r="K22" i="9"/>
  <c r="J22" i="9"/>
  <c r="I22" i="9"/>
  <c r="H22" i="9"/>
  <c r="G22" i="9"/>
  <c r="J19" i="11"/>
  <c r="O21" i="9"/>
  <c r="N21" i="9"/>
  <c r="M21" i="9"/>
  <c r="L21" i="9"/>
  <c r="K21" i="9"/>
  <c r="J21" i="9"/>
  <c r="I21" i="9"/>
  <c r="H21" i="9"/>
  <c r="G21" i="9"/>
  <c r="J18" i="11"/>
  <c r="O20" i="9"/>
  <c r="N20" i="9"/>
  <c r="M20" i="9"/>
  <c r="L20" i="9"/>
  <c r="K20" i="9"/>
  <c r="J20" i="9"/>
  <c r="I20" i="9"/>
  <c r="H20" i="9"/>
  <c r="G20" i="9"/>
  <c r="J17" i="11"/>
  <c r="O19" i="9"/>
  <c r="N19" i="9"/>
  <c r="M19" i="9"/>
  <c r="L19" i="9"/>
  <c r="K19" i="9"/>
  <c r="J19" i="9"/>
  <c r="I19" i="9"/>
  <c r="H19" i="9"/>
  <c r="G19" i="9"/>
  <c r="J53" i="11"/>
  <c r="O18" i="9"/>
  <c r="N18" i="9"/>
  <c r="M18" i="9"/>
  <c r="L18" i="9"/>
  <c r="K18" i="9"/>
  <c r="J18" i="9"/>
  <c r="I18" i="9"/>
  <c r="H18" i="9"/>
  <c r="G18" i="9"/>
  <c r="J16" i="11"/>
  <c r="O17" i="9"/>
  <c r="N17" i="9"/>
  <c r="M17" i="9"/>
  <c r="L17" i="9"/>
  <c r="K17" i="9"/>
  <c r="J17" i="9"/>
  <c r="I17" i="9"/>
  <c r="H17" i="9"/>
  <c r="G17" i="9"/>
  <c r="J15" i="11"/>
  <c r="O16" i="9"/>
  <c r="N16" i="9"/>
  <c r="M16" i="9"/>
  <c r="L16" i="9"/>
  <c r="K16" i="9"/>
  <c r="J16" i="9"/>
  <c r="I16" i="9"/>
  <c r="H16" i="9"/>
  <c r="G16" i="9"/>
  <c r="J14" i="11"/>
  <c r="O15" i="9"/>
  <c r="N15" i="9"/>
  <c r="M15" i="9"/>
  <c r="L15" i="9"/>
  <c r="K15" i="9"/>
  <c r="J15" i="9"/>
  <c r="I15" i="9"/>
  <c r="H15" i="9"/>
  <c r="G15" i="9"/>
  <c r="J13" i="11"/>
  <c r="O14" i="9"/>
  <c r="N14" i="9"/>
  <c r="M14" i="9"/>
  <c r="L14" i="9"/>
  <c r="K14" i="9"/>
  <c r="J14" i="9"/>
  <c r="I14" i="9"/>
  <c r="H14" i="9"/>
  <c r="G14" i="9"/>
  <c r="J12" i="11"/>
  <c r="O13" i="9"/>
  <c r="N13" i="9"/>
  <c r="M13" i="9"/>
  <c r="L13" i="9"/>
  <c r="K13" i="9"/>
  <c r="J13" i="9"/>
  <c r="I13" i="9"/>
  <c r="H13" i="9"/>
  <c r="G13" i="9"/>
  <c r="J11" i="11"/>
  <c r="O12" i="9"/>
  <c r="N12" i="9"/>
  <c r="M12" i="9"/>
  <c r="L12" i="9"/>
  <c r="K12" i="9"/>
  <c r="J12" i="9"/>
  <c r="I12" i="9"/>
  <c r="H12" i="9"/>
  <c r="G12" i="9"/>
  <c r="J10" i="11"/>
  <c r="O11" i="9"/>
  <c r="N11" i="9"/>
  <c r="M11" i="9"/>
  <c r="L11" i="9"/>
  <c r="K11" i="9"/>
  <c r="J11" i="9"/>
  <c r="I11" i="9"/>
  <c r="H11" i="9"/>
  <c r="G11" i="9"/>
  <c r="J9" i="11"/>
  <c r="O10" i="9"/>
  <c r="N10" i="9"/>
  <c r="M10" i="9"/>
  <c r="L10" i="9"/>
  <c r="K10" i="9"/>
  <c r="J10" i="9"/>
  <c r="I10" i="9"/>
  <c r="H10" i="9"/>
  <c r="G10" i="9"/>
  <c r="J8" i="11"/>
  <c r="O9" i="9"/>
  <c r="N9" i="9"/>
  <c r="M9" i="9"/>
  <c r="L9" i="9"/>
  <c r="K9" i="9"/>
  <c r="J9" i="9"/>
  <c r="I9" i="9"/>
  <c r="H9" i="9"/>
  <c r="G9" i="9"/>
  <c r="J7" i="11"/>
  <c r="O8" i="9"/>
  <c r="N8" i="9"/>
  <c r="M8" i="9"/>
  <c r="L8" i="9"/>
  <c r="K8" i="9"/>
  <c r="J8" i="9"/>
  <c r="I8" i="9"/>
  <c r="H8" i="9"/>
  <c r="G8" i="9"/>
  <c r="J6" i="11"/>
  <c r="O7" i="9"/>
  <c r="N7" i="9"/>
  <c r="M7" i="9"/>
  <c r="L7" i="9"/>
  <c r="K7" i="9"/>
  <c r="J7" i="9"/>
  <c r="I7" i="9"/>
  <c r="H7" i="9"/>
  <c r="G7" i="9"/>
  <c r="J52" i="11"/>
  <c r="O6" i="9"/>
  <c r="N6" i="9"/>
  <c r="M6" i="9"/>
  <c r="L6" i="9"/>
  <c r="K6" i="9"/>
  <c r="J6" i="9"/>
  <c r="I6" i="9"/>
  <c r="H6" i="9"/>
  <c r="G6" i="9"/>
  <c r="J5" i="11"/>
  <c r="O5" i="9"/>
  <c r="N5" i="9"/>
  <c r="M5" i="9"/>
  <c r="L5" i="9"/>
  <c r="K5" i="9"/>
  <c r="J5" i="9"/>
  <c r="I5" i="9"/>
  <c r="H5" i="9"/>
  <c r="G5" i="9"/>
  <c r="J4" i="11"/>
  <c r="O4" i="9"/>
  <c r="N4" i="9"/>
  <c r="M4" i="9"/>
  <c r="L4" i="9"/>
  <c r="K4" i="9"/>
  <c r="J4" i="9"/>
  <c r="I4" i="9"/>
  <c r="H4" i="9"/>
  <c r="G4" i="9"/>
  <c r="J3" i="11"/>
  <c r="O3" i="9"/>
  <c r="N3" i="9"/>
  <c r="M3" i="9"/>
  <c r="L3" i="9"/>
  <c r="K3" i="9"/>
  <c r="J3" i="9"/>
  <c r="I3" i="9"/>
  <c r="H3" i="9"/>
  <c r="G3" i="9"/>
  <c r="J2" i="11"/>
  <c r="O2" i="9"/>
  <c r="N2" i="9"/>
  <c r="M2" i="9"/>
  <c r="L2" i="9"/>
  <c r="K2" i="9"/>
  <c r="J2" i="9"/>
  <c r="I2" i="9"/>
  <c r="H2" i="9"/>
  <c r="G2" i="9"/>
  <c r="E53" i="9"/>
  <c r="D53" i="9"/>
  <c r="E52" i="9"/>
  <c r="D52" i="9"/>
  <c r="E51" i="9"/>
  <c r="D51" i="9"/>
  <c r="E50" i="9"/>
  <c r="D50" i="9"/>
  <c r="E49" i="9"/>
  <c r="D49" i="9"/>
  <c r="E48" i="9"/>
  <c r="D48" i="9"/>
  <c r="E47" i="9"/>
  <c r="D47" i="9"/>
  <c r="E46" i="9"/>
  <c r="D46" i="9"/>
  <c r="E45" i="9"/>
  <c r="D45" i="9"/>
  <c r="E44" i="9"/>
  <c r="D44" i="9"/>
  <c r="E43" i="9"/>
  <c r="D43" i="9"/>
  <c r="E42" i="9"/>
  <c r="D42" i="9"/>
  <c r="E41" i="9"/>
  <c r="D41" i="9"/>
  <c r="E40" i="9"/>
  <c r="D40" i="9"/>
  <c r="E39" i="9"/>
  <c r="D39" i="9"/>
  <c r="E38" i="9"/>
  <c r="D38" i="9"/>
  <c r="E36" i="9"/>
  <c r="D36" i="9"/>
  <c r="E35" i="9"/>
  <c r="D35" i="9"/>
  <c r="D34" i="9"/>
  <c r="E33" i="9"/>
  <c r="D33" i="9"/>
  <c r="E32" i="9"/>
  <c r="D32" i="9"/>
  <c r="E31" i="9"/>
  <c r="D31" i="9"/>
  <c r="E30" i="9"/>
  <c r="D30" i="9"/>
  <c r="E29" i="9"/>
  <c r="D29" i="9"/>
  <c r="E28" i="9"/>
  <c r="D28" i="9"/>
  <c r="E27" i="9"/>
  <c r="D27" i="9"/>
  <c r="E26" i="9"/>
  <c r="D26" i="9"/>
  <c r="E25" i="9"/>
  <c r="D25" i="9"/>
  <c r="E24" i="9"/>
  <c r="D24" i="9"/>
  <c r="E23" i="9"/>
  <c r="D23" i="9"/>
  <c r="E22" i="9"/>
  <c r="D22" i="9"/>
  <c r="E21" i="9"/>
  <c r="D21" i="9"/>
  <c r="E20" i="9"/>
  <c r="D20" i="9"/>
  <c r="E19" i="9"/>
  <c r="D19" i="9"/>
  <c r="E18" i="9"/>
  <c r="D18" i="9"/>
  <c r="E17" i="9"/>
  <c r="D17" i="9"/>
  <c r="E16" i="9"/>
  <c r="D16" i="9"/>
  <c r="E15" i="9"/>
  <c r="D15" i="9"/>
  <c r="E14" i="9"/>
  <c r="D14" i="9"/>
  <c r="E13" i="9"/>
  <c r="D13" i="9"/>
  <c r="E12" i="9"/>
  <c r="D12" i="9"/>
  <c r="E11" i="9"/>
  <c r="D11" i="9"/>
  <c r="E10" i="9"/>
  <c r="D10" i="9"/>
  <c r="E9" i="9"/>
  <c r="D9" i="9"/>
  <c r="E8" i="9"/>
  <c r="D8" i="9"/>
  <c r="E7" i="9"/>
  <c r="D7" i="9"/>
  <c r="E6" i="9"/>
  <c r="D6" i="9"/>
  <c r="E5" i="9"/>
  <c r="D5" i="9"/>
  <c r="E4" i="9"/>
  <c r="D4" i="9"/>
  <c r="E3" i="9"/>
  <c r="D3" i="9"/>
  <c r="E2" i="9"/>
  <c r="G2" i="10"/>
  <c r="J2" i="10"/>
  <c r="I2" i="10"/>
  <c r="W4" i="7"/>
  <c r="W3" i="7"/>
  <c r="W2" i="7"/>
  <c r="AE7" i="1"/>
  <c r="AD7" i="1"/>
  <c r="AC7" i="1"/>
  <c r="AE6" i="1"/>
  <c r="AD6" i="1"/>
  <c r="AC6" i="1"/>
  <c r="AE5" i="1"/>
  <c r="AD5" i="1"/>
  <c r="AC5" i="1"/>
  <c r="AE4" i="1"/>
  <c r="AD4" i="1"/>
  <c r="AC4" i="1"/>
  <c r="AE3" i="1"/>
  <c r="AD3" i="1"/>
  <c r="AC3" i="1"/>
  <c r="AE2" i="1"/>
  <c r="AD2" i="1"/>
  <c r="AC2" i="1"/>
  <c r="V7" i="1"/>
  <c r="V6" i="1"/>
  <c r="V5" i="1"/>
  <c r="V4" i="1"/>
  <c r="V2" i="1"/>
  <c r="V3" i="1"/>
  <c r="Q7" i="1"/>
  <c r="P7" i="1"/>
  <c r="O7" i="1"/>
  <c r="N7" i="1"/>
  <c r="M7" i="1"/>
  <c r="Q6" i="1"/>
  <c r="P6" i="1"/>
  <c r="O6" i="1"/>
  <c r="N6" i="1"/>
  <c r="M6" i="1"/>
  <c r="Q5" i="1"/>
  <c r="P5" i="1"/>
  <c r="O5" i="1"/>
  <c r="N5" i="1"/>
  <c r="M5" i="1"/>
  <c r="Q4" i="1"/>
  <c r="P4" i="1"/>
  <c r="O4" i="1"/>
  <c r="N4" i="1"/>
  <c r="M4" i="1"/>
  <c r="Q3" i="1"/>
  <c r="P3" i="1"/>
  <c r="O3" i="1"/>
  <c r="N3" i="1"/>
  <c r="M3" i="1"/>
  <c r="Q2" i="1"/>
  <c r="P2" i="1"/>
  <c r="O2" i="1"/>
  <c r="N2" i="1"/>
  <c r="M2" i="1"/>
  <c r="R4" i="7"/>
  <c r="Q4" i="7"/>
  <c r="P4" i="7"/>
  <c r="O4" i="7"/>
  <c r="N4" i="7"/>
  <c r="R3" i="7"/>
  <c r="Q3" i="7"/>
  <c r="P3" i="7"/>
  <c r="O3" i="7"/>
  <c r="N3" i="7"/>
  <c r="R2" i="7"/>
  <c r="Q2" i="7"/>
  <c r="P2" i="7"/>
  <c r="O2" i="7"/>
  <c r="N2" i="7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A27" i="9"/>
  <c r="A18" i="9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A6" i="9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25" i="10"/>
  <c r="M44" i="10"/>
  <c r="N44" i="10"/>
  <c r="Q44" i="10"/>
  <c r="P44" i="10"/>
  <c r="R44" i="10"/>
  <c r="O44" i="10"/>
  <c r="S44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M26" i="10"/>
  <c r="M45" i="10"/>
  <c r="N45" i="10"/>
  <c r="Q45" i="10"/>
  <c r="P45" i="10"/>
  <c r="R45" i="10"/>
  <c r="O45" i="10"/>
  <c r="S45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M27" i="10"/>
  <c r="M46" i="10"/>
  <c r="N46" i="10"/>
  <c r="Q46" i="10"/>
  <c r="P46" i="10"/>
  <c r="R46" i="10"/>
  <c r="O46" i="10"/>
  <c r="S46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M28" i="10"/>
  <c r="M47" i="10"/>
  <c r="N47" i="10"/>
  <c r="Q47" i="10"/>
  <c r="P47" i="10"/>
  <c r="R47" i="10"/>
  <c r="O47" i="10"/>
  <c r="S47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M29" i="10"/>
  <c r="M48" i="10"/>
  <c r="N48" i="10"/>
  <c r="Q48" i="10"/>
  <c r="P48" i="10"/>
  <c r="R48" i="10"/>
  <c r="O48" i="10"/>
  <c r="S48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M30" i="10"/>
  <c r="M49" i="10"/>
  <c r="N49" i="10"/>
  <c r="Q49" i="10"/>
  <c r="P49" i="10"/>
  <c r="R49" i="10"/>
  <c r="O49" i="10"/>
  <c r="S49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M31" i="10"/>
  <c r="M50" i="10"/>
  <c r="N50" i="10"/>
  <c r="Q50" i="10"/>
  <c r="P50" i="10"/>
  <c r="R50" i="10"/>
  <c r="O50" i="10"/>
  <c r="S50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M32" i="10"/>
  <c r="M51" i="10"/>
  <c r="N51" i="10"/>
  <c r="Q51" i="10"/>
  <c r="P51" i="10"/>
  <c r="R51" i="10"/>
  <c r="O51" i="10"/>
  <c r="S51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M38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T44" i="10"/>
  <c r="U44" i="10"/>
  <c r="V44" i="10"/>
  <c r="W44" i="10"/>
  <c r="X44" i="10"/>
  <c r="Y44" i="10"/>
  <c r="T45" i="10"/>
  <c r="U45" i="10"/>
  <c r="V45" i="10"/>
  <c r="W45" i="10"/>
  <c r="X45" i="10"/>
  <c r="Y45" i="10"/>
  <c r="T46" i="10"/>
  <c r="U46" i="10"/>
  <c r="V46" i="10"/>
  <c r="W46" i="10"/>
  <c r="X46" i="10"/>
  <c r="Y46" i="10"/>
  <c r="T47" i="10"/>
  <c r="U47" i="10"/>
  <c r="V47" i="10"/>
  <c r="W47" i="10"/>
  <c r="X47" i="10"/>
  <c r="Y47" i="10"/>
  <c r="T48" i="10"/>
  <c r="U48" i="10"/>
  <c r="V48" i="10"/>
  <c r="W48" i="10"/>
  <c r="X48" i="10"/>
  <c r="Y48" i="10"/>
  <c r="T49" i="10"/>
  <c r="U49" i="10"/>
  <c r="V49" i="10"/>
  <c r="W49" i="10"/>
  <c r="X49" i="10"/>
  <c r="Y49" i="10"/>
  <c r="T50" i="10"/>
  <c r="U50" i="10"/>
  <c r="V50" i="10"/>
  <c r="W50" i="10"/>
  <c r="X50" i="10"/>
  <c r="Y50" i="10"/>
  <c r="T51" i="10"/>
  <c r="U51" i="10"/>
  <c r="V51" i="10"/>
  <c r="W51" i="10"/>
  <c r="X51" i="10"/>
  <c r="Y51" i="10"/>
  <c r="J47" i="11"/>
  <c r="J33" i="11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11" i="10"/>
  <c r="I11" i="10"/>
  <c r="K11" i="10"/>
  <c r="J11" i="10"/>
  <c r="H11" i="10"/>
  <c r="G10" i="10"/>
  <c r="I10" i="10"/>
  <c r="K10" i="10"/>
  <c r="J10" i="10"/>
  <c r="H10" i="10"/>
  <c r="G9" i="10"/>
  <c r="I9" i="10"/>
  <c r="K9" i="10"/>
  <c r="J9" i="10"/>
  <c r="H9" i="10"/>
  <c r="H3" i="7"/>
  <c r="G2" i="2"/>
  <c r="A2" i="2"/>
  <c r="G3" i="2"/>
  <c r="A3" i="2"/>
  <c r="G4" i="2"/>
  <c r="A4" i="2"/>
  <c r="G5" i="2"/>
  <c r="A5" i="2"/>
  <c r="J3" i="7"/>
  <c r="I3" i="7"/>
  <c r="D3" i="7"/>
  <c r="F3" i="7"/>
  <c r="E3" i="7"/>
  <c r="A3" i="7"/>
  <c r="A42" i="9"/>
  <c r="A43" i="9"/>
  <c r="A44" i="9"/>
  <c r="A45" i="9"/>
  <c r="A46" i="9"/>
  <c r="A47" i="9"/>
  <c r="A48" i="9"/>
  <c r="A49" i="9"/>
  <c r="A50" i="9"/>
  <c r="A51" i="9"/>
  <c r="A52" i="9"/>
  <c r="A53" i="9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L9" i="10"/>
  <c r="H30" i="10"/>
  <c r="I30" i="10"/>
  <c r="J30" i="10"/>
  <c r="K30" i="10"/>
  <c r="L30" i="10"/>
  <c r="H31" i="10"/>
  <c r="I31" i="10"/>
  <c r="J31" i="10"/>
  <c r="K31" i="10"/>
  <c r="L31" i="10"/>
  <c r="H32" i="10"/>
  <c r="I32" i="10"/>
  <c r="J32" i="10"/>
  <c r="K32" i="10"/>
  <c r="L32" i="10"/>
  <c r="H33" i="10"/>
  <c r="I33" i="10"/>
  <c r="J33" i="10"/>
  <c r="K33" i="10"/>
  <c r="L33" i="10"/>
  <c r="H34" i="10"/>
  <c r="I34" i="10"/>
  <c r="J34" i="10"/>
  <c r="K34" i="10"/>
  <c r="L34" i="10"/>
  <c r="I25" i="10"/>
  <c r="K25" i="10"/>
  <c r="J25" i="10"/>
  <c r="H25" i="10"/>
  <c r="I24" i="10"/>
  <c r="K24" i="10"/>
  <c r="J24" i="10"/>
  <c r="H24" i="10"/>
  <c r="I23" i="10"/>
  <c r="K23" i="10"/>
  <c r="J23" i="10"/>
  <c r="H23" i="10"/>
  <c r="I22" i="10"/>
  <c r="K22" i="10"/>
  <c r="J22" i="10"/>
  <c r="H22" i="10"/>
  <c r="G21" i="10"/>
  <c r="I21" i="10"/>
  <c r="K21" i="10"/>
  <c r="J21" i="10"/>
  <c r="H21" i="10"/>
  <c r="G20" i="10"/>
  <c r="I20" i="10"/>
  <c r="K20" i="10"/>
  <c r="J20" i="10"/>
  <c r="H20" i="10"/>
  <c r="G19" i="10"/>
  <c r="I19" i="10"/>
  <c r="K19" i="10"/>
  <c r="J19" i="10"/>
  <c r="H19" i="10"/>
  <c r="G18" i="10"/>
  <c r="I18" i="10"/>
  <c r="K18" i="10"/>
  <c r="J18" i="10"/>
  <c r="H18" i="10"/>
  <c r="G17" i="10"/>
  <c r="I17" i="10"/>
  <c r="K17" i="10"/>
  <c r="J17" i="10"/>
  <c r="H17" i="10"/>
  <c r="G16" i="10"/>
  <c r="I16" i="10"/>
  <c r="K16" i="10"/>
  <c r="J16" i="10"/>
  <c r="H16" i="10"/>
  <c r="G15" i="10"/>
  <c r="I15" i="10"/>
  <c r="K15" i="10"/>
  <c r="J15" i="10"/>
  <c r="H15" i="10"/>
  <c r="G14" i="10"/>
  <c r="I14" i="10"/>
  <c r="K14" i="10"/>
  <c r="J14" i="10"/>
  <c r="H14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L14" i="10"/>
  <c r="J29" i="10"/>
  <c r="I29" i="10"/>
  <c r="K29" i="10"/>
  <c r="H29" i="10"/>
  <c r="L29" i="10"/>
  <c r="J28" i="10"/>
  <c r="I28" i="10"/>
  <c r="K28" i="10"/>
  <c r="H28" i="10"/>
  <c r="L28" i="10"/>
  <c r="J27" i="10"/>
  <c r="I27" i="10"/>
  <c r="K27" i="10"/>
  <c r="H27" i="10"/>
  <c r="L27" i="10"/>
  <c r="J26" i="10"/>
  <c r="I26" i="10"/>
  <c r="K26" i="10"/>
  <c r="H26" i="10"/>
  <c r="L26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K2" i="10"/>
  <c r="H2" i="10"/>
  <c r="L2" i="10"/>
  <c r="AG5" i="1"/>
  <c r="H5" i="1"/>
  <c r="J5" i="1"/>
  <c r="I5" i="1"/>
  <c r="A5" i="1"/>
  <c r="H5" i="2"/>
  <c r="E5" i="2"/>
  <c r="D5" i="2"/>
  <c r="H2" i="1"/>
  <c r="H3" i="1"/>
  <c r="H4" i="1"/>
  <c r="H6" i="1"/>
  <c r="H7" i="1"/>
  <c r="B5" i="2"/>
  <c r="H4" i="2"/>
  <c r="E4" i="2"/>
  <c r="D4" i="2"/>
  <c r="B4" i="2"/>
  <c r="A41" i="9"/>
  <c r="A40" i="9"/>
  <c r="A39" i="9"/>
  <c r="A38" i="9"/>
  <c r="A36" i="9"/>
  <c r="A35" i="9"/>
  <c r="A34" i="9"/>
  <c r="A33" i="9"/>
  <c r="A32" i="9"/>
  <c r="A31" i="9"/>
  <c r="A30" i="9"/>
  <c r="A29" i="9"/>
  <c r="A28" i="9"/>
  <c r="A26" i="9"/>
  <c r="A25" i="9"/>
  <c r="A24" i="9"/>
  <c r="A23" i="9"/>
  <c r="A22" i="9"/>
  <c r="A21" i="9"/>
  <c r="A20" i="9"/>
  <c r="A19" i="9"/>
  <c r="A17" i="9"/>
  <c r="A16" i="9"/>
  <c r="A15" i="9"/>
  <c r="A14" i="9"/>
  <c r="A13" i="9"/>
  <c r="A12" i="9"/>
  <c r="A11" i="9"/>
  <c r="A10" i="9"/>
  <c r="A9" i="9"/>
  <c r="A8" i="9"/>
  <c r="A7" i="9"/>
  <c r="A5" i="9"/>
  <c r="A4" i="9"/>
  <c r="A3" i="9"/>
  <c r="G51" i="10"/>
  <c r="J51" i="10"/>
  <c r="I51" i="10"/>
  <c r="K51" i="10"/>
  <c r="H51" i="10"/>
  <c r="L51" i="10"/>
  <c r="G50" i="10"/>
  <c r="J50" i="10"/>
  <c r="I50" i="10"/>
  <c r="K50" i="10"/>
  <c r="H50" i="10"/>
  <c r="L50" i="10"/>
  <c r="G49" i="10"/>
  <c r="J49" i="10"/>
  <c r="I49" i="10"/>
  <c r="K49" i="10"/>
  <c r="H49" i="10"/>
  <c r="L49" i="10"/>
  <c r="G48" i="10"/>
  <c r="J48" i="10"/>
  <c r="I48" i="10"/>
  <c r="K48" i="10"/>
  <c r="H48" i="10"/>
  <c r="L48" i="10"/>
  <c r="G47" i="10"/>
  <c r="J47" i="10"/>
  <c r="I47" i="10"/>
  <c r="K47" i="10"/>
  <c r="H47" i="10"/>
  <c r="L47" i="10"/>
  <c r="G46" i="10"/>
  <c r="J46" i="10"/>
  <c r="I46" i="10"/>
  <c r="K46" i="10"/>
  <c r="H46" i="10"/>
  <c r="L46" i="10"/>
  <c r="G45" i="10"/>
  <c r="J45" i="10"/>
  <c r="I45" i="10"/>
  <c r="K45" i="10"/>
  <c r="H45" i="10"/>
  <c r="L45" i="10"/>
  <c r="G44" i="10"/>
  <c r="J44" i="10"/>
  <c r="I44" i="10"/>
  <c r="K44" i="10"/>
  <c r="H44" i="10"/>
  <c r="L44" i="10"/>
  <c r="G43" i="10"/>
  <c r="J43" i="10"/>
  <c r="I43" i="10"/>
  <c r="K43" i="10"/>
  <c r="H43" i="10"/>
  <c r="L43" i="10"/>
  <c r="G42" i="10"/>
  <c r="J42" i="10"/>
  <c r="I42" i="10"/>
  <c r="K42" i="10"/>
  <c r="H42" i="10"/>
  <c r="L42" i="10"/>
  <c r="G41" i="10"/>
  <c r="J41" i="10"/>
  <c r="I41" i="10"/>
  <c r="K41" i="10"/>
  <c r="H41" i="10"/>
  <c r="L41" i="10"/>
  <c r="G40" i="10"/>
  <c r="J40" i="10"/>
  <c r="I40" i="10"/>
  <c r="K40" i="10"/>
  <c r="H40" i="10"/>
  <c r="L40" i="10"/>
  <c r="J39" i="10"/>
  <c r="I39" i="10"/>
  <c r="K39" i="10"/>
  <c r="H39" i="10"/>
  <c r="L39" i="10"/>
  <c r="J38" i="10"/>
  <c r="I38" i="10"/>
  <c r="K38" i="10"/>
  <c r="H38" i="10"/>
  <c r="L38" i="10"/>
  <c r="J37" i="10"/>
  <c r="I37" i="10"/>
  <c r="K37" i="10"/>
  <c r="H37" i="10"/>
  <c r="L37" i="10"/>
  <c r="J36" i="10"/>
  <c r="I36" i="10"/>
  <c r="K36" i="10"/>
  <c r="H36" i="10"/>
  <c r="L36" i="10"/>
  <c r="J35" i="10"/>
  <c r="I35" i="10"/>
  <c r="K35" i="10"/>
  <c r="H35" i="10"/>
  <c r="L35" i="10"/>
  <c r="AG7" i="1"/>
  <c r="J7" i="1"/>
  <c r="I7" i="1"/>
  <c r="A7" i="1"/>
  <c r="AG4" i="1"/>
  <c r="J4" i="1"/>
  <c r="I4" i="1"/>
  <c r="A4" i="1"/>
  <c r="AG3" i="1"/>
  <c r="J3" i="1"/>
  <c r="I3" i="1"/>
  <c r="A3" i="1"/>
  <c r="B3" i="2"/>
  <c r="D3" i="2"/>
  <c r="E3" i="2"/>
  <c r="H3" i="2"/>
  <c r="AG2" i="1"/>
  <c r="J2" i="1"/>
  <c r="I2" i="1"/>
  <c r="A2" i="1"/>
  <c r="H4" i="7"/>
  <c r="J4" i="7"/>
  <c r="I4" i="7"/>
  <c r="D4" i="7"/>
  <c r="F4" i="7"/>
  <c r="E4" i="7"/>
  <c r="A4" i="7"/>
  <c r="C3" i="16"/>
  <c r="C4" i="16"/>
  <c r="C5" i="16"/>
  <c r="C6" i="16"/>
  <c r="C7" i="16"/>
  <c r="C8" i="16"/>
  <c r="C2" i="16"/>
  <c r="AG6" i="1"/>
  <c r="H2" i="7"/>
  <c r="J2" i="7"/>
  <c r="E8" i="16"/>
  <c r="E7" i="16"/>
  <c r="E6" i="16"/>
  <c r="E5" i="16"/>
  <c r="E4" i="16"/>
  <c r="E3" i="16"/>
  <c r="E2" i="16"/>
  <c r="A6" i="1"/>
  <c r="A2" i="9"/>
  <c r="A2" i="7"/>
  <c r="I2" i="7"/>
  <c r="D2" i="7"/>
  <c r="F2" i="7"/>
  <c r="E2" i="7"/>
  <c r="J6" i="1"/>
  <c r="I6" i="1"/>
  <c r="D2" i="2"/>
  <c r="E2" i="2"/>
  <c r="H2" i="2"/>
  <c r="B2" i="2"/>
</calcChain>
</file>

<file path=xl/comments1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2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sharedStrings.xml><?xml version="1.0" encoding="utf-8"?>
<sst xmlns="http://schemas.openxmlformats.org/spreadsheetml/2006/main" count="657" uniqueCount="300">
  <si>
    <t>quest_id</t>
  </si>
  <si>
    <t>stage_id</t>
  </si>
  <si>
    <t>character_id</t>
  </si>
  <si>
    <t>level</t>
  </si>
  <si>
    <t>skill_set_id</t>
    <phoneticPr fontId="3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</si>
  <si>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</si>
  <si>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</si>
  <si>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</si>
  <si>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</si>
  <si>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</si>
  <si>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</si>
  <si>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</si>
  <si>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</si>
  <si>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</si>
  <si>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</si>
  <si>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</si>
  <si>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3"/>
  </si>
  <si>
    <t>rare</t>
    <phoneticPr fontId="3"/>
  </si>
  <si>
    <t>name</t>
    <phoneticPr fontId="3"/>
  </si>
  <si>
    <t>floor_id</t>
    <phoneticPr fontId="3"/>
  </si>
  <si>
    <t>name</t>
    <phoneticPr fontId="3"/>
  </si>
  <si>
    <t>name</t>
    <phoneticPr fontId="3"/>
  </si>
  <si>
    <t>skill_set_id</t>
  </si>
  <si>
    <t>drop_label</t>
    <phoneticPr fontId="3"/>
  </si>
  <si>
    <t>color</t>
    <phoneticPr fontId="3"/>
  </si>
  <si>
    <t>size</t>
    <phoneticPr fontId="3"/>
  </si>
  <si>
    <t>character_main_tribe_id</t>
    <phoneticPr fontId="3"/>
  </si>
  <si>
    <t>drop_label</t>
    <phoneticPr fontId="5"/>
  </si>
  <si>
    <t>temp_stage</t>
    <phoneticPr fontId="3"/>
  </si>
  <si>
    <t>temp_habitats</t>
    <phoneticPr fontId="3"/>
  </si>
  <si>
    <t>temp_floor</t>
    <phoneticPr fontId="3"/>
  </si>
  <si>
    <t>スキル</t>
    <phoneticPr fontId="3"/>
  </si>
  <si>
    <t>temp_stage</t>
    <phoneticPr fontId="3"/>
  </si>
  <si>
    <t>位置付け</t>
    <rPh sb="0" eb="3">
      <t>イチヅ</t>
    </rPh>
    <phoneticPr fontId="3"/>
  </si>
  <si>
    <t>name</t>
    <phoneticPr fontId="3"/>
  </si>
  <si>
    <t>temp_floor</t>
    <phoneticPr fontId="3"/>
  </si>
  <si>
    <t>status</t>
    <phoneticPr fontId="3"/>
  </si>
  <si>
    <t>hp_plus</t>
  </si>
  <si>
    <t>hp_plus</t>
    <phoneticPr fontId="3"/>
  </si>
  <si>
    <t>attack_plus</t>
  </si>
  <si>
    <t>attack_plus</t>
    <phoneticPr fontId="3"/>
  </si>
  <si>
    <t>defense_plus</t>
  </si>
  <si>
    <t>defense_plus</t>
    <phoneticPr fontId="3"/>
  </si>
  <si>
    <t>heal_plus</t>
  </si>
  <si>
    <t>heal_plus</t>
    <phoneticPr fontId="3"/>
  </si>
  <si>
    <t>bug</t>
  </si>
  <si>
    <t>bug</t>
    <phoneticPr fontId="3"/>
  </si>
  <si>
    <t>hp_coefficient</t>
  </si>
  <si>
    <t>hp_coefficient</t>
    <phoneticPr fontId="3"/>
  </si>
  <si>
    <t>attack_coefficient</t>
  </si>
  <si>
    <t>attack_coefficient</t>
    <phoneticPr fontId="3"/>
  </si>
  <si>
    <t>defense_correction</t>
  </si>
  <si>
    <t>defense_correction</t>
    <phoneticPr fontId="3"/>
  </si>
  <si>
    <t>seq_no</t>
    <phoneticPr fontId="3"/>
  </si>
  <si>
    <t>state_no</t>
    <phoneticPr fontId="3"/>
  </si>
  <si>
    <t>character_id</t>
    <phoneticPr fontId="3"/>
  </si>
  <si>
    <t>level</t>
    <phoneticPr fontId="3"/>
  </si>
  <si>
    <t>speed</t>
    <phoneticPr fontId="3"/>
  </si>
  <si>
    <t>skill_set_id</t>
    <phoneticPr fontId="3"/>
  </si>
  <si>
    <t>temp_id</t>
    <phoneticPr fontId="3"/>
  </si>
  <si>
    <t>skill_set_id</t>
    <phoneticPr fontId="5"/>
  </si>
  <si>
    <t>skill_id</t>
    <phoneticPr fontId="5"/>
  </si>
  <si>
    <t>name</t>
    <phoneticPr fontId="5"/>
  </si>
  <si>
    <t>comment</t>
    <phoneticPr fontId="5"/>
  </si>
  <si>
    <t>skill_trigger_id</t>
    <phoneticPr fontId="5"/>
  </si>
  <si>
    <t>first_time</t>
    <phoneticPr fontId="3"/>
  </si>
  <si>
    <t>priority</t>
    <phoneticPr fontId="3"/>
  </si>
  <si>
    <t>priority</t>
    <phoneticPr fontId="3"/>
  </si>
  <si>
    <t>invoke_rate</t>
    <phoneticPr fontId="3"/>
  </si>
  <si>
    <t>hp_threshold</t>
    <phoneticPr fontId="3"/>
  </si>
  <si>
    <t>hp_termination</t>
    <phoneticPr fontId="3"/>
  </si>
  <si>
    <t>invoke_times</t>
    <phoneticPr fontId="3"/>
  </si>
  <si>
    <t>every_time_count</t>
    <phoneticPr fontId="3"/>
  </si>
  <si>
    <t>neighbor_dead_id</t>
    <phoneticPr fontId="3"/>
  </si>
  <si>
    <t>invoke_weight</t>
    <phoneticPr fontId="3"/>
  </si>
  <si>
    <t>作成者</t>
    <rPh sb="0" eb="3">
      <t>サクセイシャ</t>
    </rPh>
    <phoneticPr fontId="3"/>
  </si>
  <si>
    <t>更新日</t>
    <rPh sb="0" eb="3">
      <t>コウシンニチジ</t>
    </rPh>
    <phoneticPr fontId="3"/>
  </si>
  <si>
    <t>備考（使用箇所）</t>
    <rPh sb="0" eb="2">
      <t>ビコウ</t>
    </rPh>
    <rPh sb="3" eb="7">
      <t>シヨウカショ</t>
    </rPh>
    <phoneticPr fontId="3"/>
  </si>
  <si>
    <t>enemy_skill_id</t>
  </si>
  <si>
    <t>effect_param</t>
    <phoneticPr fontId="3"/>
  </si>
  <si>
    <t>valid_flg</t>
  </si>
  <si>
    <t>name</t>
    <phoneticPr fontId="5"/>
  </si>
  <si>
    <t>comment</t>
    <phoneticPr fontId="5"/>
  </si>
  <si>
    <t>skill_trigger_id</t>
    <phoneticPr fontId="5"/>
  </si>
  <si>
    <t>first_time</t>
    <phoneticPr fontId="3"/>
  </si>
  <si>
    <t>priority</t>
    <phoneticPr fontId="3"/>
  </si>
  <si>
    <t>invoke_rate</t>
    <phoneticPr fontId="3"/>
  </si>
  <si>
    <t>重複チェック</t>
    <rPh sb="0" eb="2">
      <t>チョウフク</t>
    </rPh>
    <phoneticPr fontId="3"/>
  </si>
  <si>
    <t>null</t>
    <phoneticPr fontId="3"/>
  </si>
  <si>
    <t>enemy_skills</t>
    <phoneticPr fontId="3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</si>
  <si>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</si>
  <si>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</si>
  <si>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</si>
  <si>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</si>
  <si>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</si>
  <si>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</si>
  <si>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</si>
  <si>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</si>
  <si>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</si>
  <si>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3"/>
  </si>
  <si>
    <t>識別子</t>
    <rPh sb="0" eb="3">
      <t>シキベツシ</t>
    </rPh>
    <phoneticPr fontId="3"/>
  </si>
  <si>
    <t>形式</t>
    <rPh sb="0" eb="2">
      <t>ケイシキ</t>
    </rPh>
    <phoneticPr fontId="3"/>
  </si>
  <si>
    <t>出力ファイル名</t>
    <rPh sb="0" eb="2">
      <t>シュツリョク</t>
    </rPh>
    <rPh sb="6" eb="7">
      <t>メイ</t>
    </rPh>
    <phoneticPr fontId="3"/>
  </si>
  <si>
    <t>入力シート名</t>
    <rPh sb="0" eb="2">
      <t>ニュウリョク</t>
    </rPh>
    <rPh sb="5" eb="6">
      <t>メイ</t>
    </rPh>
    <phoneticPr fontId="3"/>
  </si>
  <si>
    <t>出力データ</t>
    <rPh sb="0" eb="2">
      <t>シュツリョク</t>
    </rPh>
    <phoneticPr fontId="3"/>
  </si>
  <si>
    <t>floors_</t>
    <phoneticPr fontId="3"/>
  </si>
  <si>
    <t>.tmp</t>
    <phoneticPr fontId="3"/>
  </si>
  <si>
    <t>floors</t>
    <phoneticPr fontId="3"/>
  </si>
  <si>
    <t>enemy_habitats_</t>
    <phoneticPr fontId="3"/>
  </si>
  <si>
    <t>enemy_habitats</t>
    <phoneticPr fontId="3"/>
  </si>
  <si>
    <t>enemy_habitat_S_</t>
    <phoneticPr fontId="3"/>
  </si>
  <si>
    <t>enemy_habitat_S</t>
    <phoneticPr fontId="3"/>
  </si>
  <si>
    <t>enemy_skill_sets_</t>
    <phoneticPr fontId="3"/>
  </si>
  <si>
    <t>enemy_skill_sets</t>
    <phoneticPr fontId="3"/>
  </si>
  <si>
    <t>enemy_skills_tmp_</t>
    <phoneticPr fontId="3"/>
  </si>
  <si>
    <t>.tmp</t>
    <phoneticPr fontId="3"/>
  </si>
  <si>
    <t>enemy_skills_i18n_</t>
    <phoneticPr fontId="3"/>
  </si>
  <si>
    <t>enemy_skills</t>
    <phoneticPr fontId="3"/>
  </si>
  <si>
    <t>enemy_skill_triggers_</t>
    <phoneticPr fontId="3"/>
  </si>
  <si>
    <t>.tmp</t>
    <phoneticPr fontId="3"/>
  </si>
  <si>
    <t>enemy_skill_triggers</t>
    <phoneticPr fontId="3"/>
  </si>
  <si>
    <t>hp_termination</t>
    <phoneticPr fontId="3"/>
  </si>
  <si>
    <t>invoke_weight</t>
    <phoneticPr fontId="3"/>
  </si>
  <si>
    <t>every_time_count</t>
    <phoneticPr fontId="3"/>
  </si>
  <si>
    <t>neighbor_dead_id</t>
    <phoneticPr fontId="3"/>
  </si>
  <si>
    <t>language</t>
    <phoneticPr fontId="3"/>
  </si>
  <si>
    <t>ja</t>
    <phoneticPr fontId="3"/>
  </si>
  <si>
    <t>skill_set_id</t>
    <phoneticPr fontId="3"/>
  </si>
  <si>
    <t>スキル</t>
    <phoneticPr fontId="3"/>
  </si>
  <si>
    <t>出力flg</t>
    <rPh sb="0" eb="2">
      <t>シュツリョク</t>
    </rPh>
    <phoneticPr fontId="3"/>
  </si>
  <si>
    <t>old</t>
    <phoneticPr fontId="3"/>
  </si>
  <si>
    <t>null</t>
    <phoneticPr fontId="3"/>
  </si>
  <si>
    <t>null</t>
    <phoneticPr fontId="3"/>
  </si>
  <si>
    <t>効果１文字列</t>
    <rPh sb="0" eb="2">
      <t>コウカ</t>
    </rPh>
    <rPh sb="3" eb="6">
      <t>モジレツ</t>
    </rPh>
    <phoneticPr fontId="3"/>
  </si>
  <si>
    <t>効果１efect位置</t>
    <rPh sb="0" eb="2">
      <t>コウカ</t>
    </rPh>
    <rPh sb="8" eb="10">
      <t>イチ</t>
    </rPh>
    <phoneticPr fontId="3"/>
  </si>
  <si>
    <t>効果1終了位置</t>
    <rPh sb="0" eb="2">
      <t>コウカ</t>
    </rPh>
    <rPh sb="3" eb="5">
      <t>シュウリョウ</t>
    </rPh>
    <rPh sb="5" eb="7">
      <t>イチ</t>
    </rPh>
    <phoneticPr fontId="3"/>
  </si>
  <si>
    <t>効果１target位置</t>
    <rPh sb="0" eb="2">
      <t>コウカ</t>
    </rPh>
    <rPh sb="9" eb="11">
      <t>イチ</t>
    </rPh>
    <phoneticPr fontId="3"/>
  </si>
  <si>
    <t>効果1target終了位置</t>
    <rPh sb="0" eb="2">
      <t>コウカ</t>
    </rPh>
    <rPh sb="9" eb="11">
      <t>シュウリョウ</t>
    </rPh>
    <rPh sb="11" eb="13">
      <t>イチ</t>
    </rPh>
    <phoneticPr fontId="3"/>
  </si>
  <si>
    <t>効果１簡易デコード</t>
    <rPh sb="0" eb="2">
      <t>コウカ</t>
    </rPh>
    <rPh sb="3" eb="5">
      <t>カンイ</t>
    </rPh>
    <phoneticPr fontId="3"/>
  </si>
  <si>
    <t>中間文字列１</t>
    <rPh sb="0" eb="2">
      <t>チュウカン</t>
    </rPh>
    <rPh sb="2" eb="5">
      <t>モジレツ</t>
    </rPh>
    <phoneticPr fontId="3"/>
  </si>
  <si>
    <t>効果２文字列</t>
    <rPh sb="0" eb="2">
      <t>コウカ</t>
    </rPh>
    <rPh sb="3" eb="6">
      <t>モジレツ</t>
    </rPh>
    <phoneticPr fontId="3"/>
  </si>
  <si>
    <t>効果2efect位置</t>
    <rPh sb="0" eb="2">
      <t>コウカ</t>
    </rPh>
    <rPh sb="8" eb="10">
      <t>イチ</t>
    </rPh>
    <phoneticPr fontId="3"/>
  </si>
  <si>
    <t>効果2終了位置</t>
    <rPh sb="0" eb="2">
      <t>コウカ</t>
    </rPh>
    <rPh sb="3" eb="5">
      <t>シュウリョウ</t>
    </rPh>
    <rPh sb="5" eb="7">
      <t>イチ</t>
    </rPh>
    <phoneticPr fontId="3"/>
  </si>
  <si>
    <t>効果2target位置</t>
    <rPh sb="0" eb="2">
      <t>コウカ</t>
    </rPh>
    <rPh sb="9" eb="11">
      <t>イチ</t>
    </rPh>
    <phoneticPr fontId="3"/>
  </si>
  <si>
    <t>効果2target終了位置</t>
    <rPh sb="0" eb="2">
      <t>コウカ</t>
    </rPh>
    <rPh sb="9" eb="11">
      <t>シュウリョウ</t>
    </rPh>
    <rPh sb="11" eb="13">
      <t>イチ</t>
    </rPh>
    <phoneticPr fontId="3"/>
  </si>
  <si>
    <t>効果２簡易デコード</t>
    <rPh sb="0" eb="2">
      <t>コウカ</t>
    </rPh>
    <rPh sb="3" eb="5">
      <t>カンイ</t>
    </rPh>
    <phoneticPr fontId="3"/>
  </si>
  <si>
    <t>効果３文字列</t>
    <rPh sb="0" eb="2">
      <t>コウカ</t>
    </rPh>
    <rPh sb="3" eb="6">
      <t>モジレツ</t>
    </rPh>
    <phoneticPr fontId="3"/>
  </si>
  <si>
    <t>効果3efect位置</t>
    <rPh sb="0" eb="2">
      <t>コウカ</t>
    </rPh>
    <rPh sb="8" eb="10">
      <t>イチ</t>
    </rPh>
    <phoneticPr fontId="3"/>
  </si>
  <si>
    <t>効果3終了位置</t>
    <rPh sb="0" eb="2">
      <t>コウカ</t>
    </rPh>
    <rPh sb="3" eb="5">
      <t>シュウリョウ</t>
    </rPh>
    <rPh sb="5" eb="7">
      <t>イチ</t>
    </rPh>
    <phoneticPr fontId="3"/>
  </si>
  <si>
    <t>効果3target位置</t>
    <rPh sb="0" eb="2">
      <t>コウカ</t>
    </rPh>
    <rPh sb="9" eb="11">
      <t>イチ</t>
    </rPh>
    <phoneticPr fontId="3"/>
  </si>
  <si>
    <t>効果3target終了位置</t>
    <rPh sb="0" eb="2">
      <t>コウカ</t>
    </rPh>
    <rPh sb="9" eb="11">
      <t>シュウリョウ</t>
    </rPh>
    <rPh sb="11" eb="13">
      <t>イチ</t>
    </rPh>
    <phoneticPr fontId="3"/>
  </si>
  <si>
    <t>効果３簡易デコード</t>
    <rPh sb="0" eb="2">
      <t>コウカ</t>
    </rPh>
    <rPh sb="3" eb="5">
      <t>カンイ</t>
    </rPh>
    <phoneticPr fontId="3"/>
  </si>
  <si>
    <t>[effect:spread, val:0.3, animation:enemy_spread]</t>
    <phoneticPr fontId="3"/>
  </si>
  <si>
    <t>連続攻撃</t>
    <rPh sb="0" eb="4">
      <t>レンゾk</t>
    </rPh>
    <phoneticPr fontId="3"/>
  </si>
  <si>
    <t>全体攻撃</t>
    <rPh sb="0" eb="4">
      <t>ゼン</t>
    </rPh>
    <phoneticPr fontId="3"/>
  </si>
  <si>
    <t>[effect:freq_turn, target:myself, turn:3, val:1, animation:enemy_freq_turn]</t>
    <phoneticPr fontId="3"/>
  </si>
  <si>
    <t>ja</t>
    <phoneticPr fontId="3"/>
  </si>
  <si>
    <t>[effect:enhance_enemy, target:myself, turn:-1, status:attack, val:1.5, animation:enemy_enhance_enemy]</t>
    <phoneticPr fontId="3"/>
  </si>
  <si>
    <t>[effect:freq_turn, target:myself, turn:-1, val:1, animation:enemy_freq_turn]</t>
    <phoneticPr fontId="3"/>
  </si>
  <si>
    <t>[effect:heal, target:enemy_one, val:0.5, animation:enemy_heal]</t>
    <phoneticPr fontId="3"/>
  </si>
  <si>
    <t>[effect:heal, target:myself, val:0.5, animation:enemy_heal]</t>
    <phoneticPr fontId="3"/>
  </si>
  <si>
    <t>[effect:freq_turn, target:myself, turn:-1, val:1, animation:enemy_freq_turn]</t>
    <phoneticPr fontId="3"/>
  </si>
  <si>
    <t>null</t>
    <phoneticPr fontId="3"/>
  </si>
  <si>
    <t>[effect:enhance_enemy, target:myself, turn:-1, status:defense, val:3000, calc:add, animation:enemy_enhance_enemy]</t>
    <phoneticPr fontId="3"/>
  </si>
  <si>
    <t>[effect:sleep, target:unit_one, turn:3, rate:1.0, animation:enemy_sleep],[effect:critical, val:1.2, animation:enemy_critical]</t>
    <phoneticPr fontId="3"/>
  </si>
  <si>
    <t>[effect:spread, val:0.3, animation:enemy_spread]</t>
    <phoneticPr fontId="3"/>
  </si>
  <si>
    <t>[effect:critical, val:1.0, animation:enemy_critical]</t>
    <phoneticPr fontId="3"/>
  </si>
  <si>
    <t>[effect:critical, val:1.2, animation:enemy_critical]</t>
    <phoneticPr fontId="3"/>
  </si>
  <si>
    <t>[effect:critical, val:1.5, animation:enemy_critical]</t>
    <phoneticPr fontId="3"/>
  </si>
  <si>
    <t>北方七宿撃・序</t>
    <rPh sb="4" eb="5">
      <t>ゲk</t>
    </rPh>
    <rPh sb="6" eb="7">
      <t>jyo</t>
    </rPh>
    <phoneticPr fontId="3"/>
  </si>
  <si>
    <t>北方七宿撃・急</t>
    <rPh sb="6" eb="7">
      <t>キュ</t>
    </rPh>
    <phoneticPr fontId="3"/>
  </si>
  <si>
    <t>北方七宿撃・終</t>
    <rPh sb="6" eb="7">
      <t>シュウ</t>
    </rPh>
    <phoneticPr fontId="3"/>
  </si>
  <si>
    <t>紅蓮雀焔</t>
    <phoneticPr fontId="3"/>
  </si>
  <si>
    <t>北方七宿撃・破</t>
    <rPh sb="4" eb="5">
      <t>ゲk</t>
    </rPh>
    <rPh sb="6" eb="7">
      <t>ハ</t>
    </rPh>
    <phoneticPr fontId="3"/>
  </si>
  <si>
    <t>煉獄突</t>
    <rPh sb="0" eb="3">
      <t>レンゴk</t>
    </rPh>
    <phoneticPr fontId="3"/>
  </si>
  <si>
    <t>牙王緊縛撃</t>
    <rPh sb="0" eb="2">
      <t>ガ</t>
    </rPh>
    <rPh sb="2" eb="3">
      <t>キン</t>
    </rPh>
    <rPh sb="3" eb="5">
      <t>バクゲキ</t>
    </rPh>
    <phoneticPr fontId="3"/>
  </si>
  <si>
    <t>猛虎雷撃爪</t>
    <rPh sb="0" eb="2">
      <t>モウコ</t>
    </rPh>
    <rPh sb="2" eb="4">
      <t>ラ</t>
    </rPh>
    <rPh sb="4" eb="5">
      <t>ツm</t>
    </rPh>
    <phoneticPr fontId="3"/>
  </si>
  <si>
    <t>翔竜氷嵐弾</t>
    <rPh sb="0" eb="2">
      <t>sy</t>
    </rPh>
    <rPh sb="2" eb="3">
      <t>コオr</t>
    </rPh>
    <rPh sb="3" eb="4">
      <t>アラs</t>
    </rPh>
    <rPh sb="4" eb="5">
      <t>ダン</t>
    </rPh>
    <phoneticPr fontId="3"/>
  </si>
  <si>
    <t>硬直秘孔突</t>
    <rPh sb="0" eb="2">
      <t>コウチョk</t>
    </rPh>
    <rPh sb="2" eb="4">
      <t>hikou</t>
    </rPh>
    <rPh sb="4" eb="5">
      <t>トツ</t>
    </rPh>
    <phoneticPr fontId="3"/>
  </si>
  <si>
    <t>斬神閃</t>
    <rPh sb="0" eb="1">
      <t>ザンシン</t>
    </rPh>
    <rPh sb="1" eb="2">
      <t>シン</t>
    </rPh>
    <rPh sb="2" eb="3">
      <t>1000</t>
    </rPh>
    <phoneticPr fontId="3"/>
  </si>
  <si>
    <t>太極布陣・生命劣化</t>
    <rPh sb="2" eb="4">
      <t>フj</t>
    </rPh>
    <rPh sb="5" eb="7">
      <t>セ</t>
    </rPh>
    <rPh sb="7" eb="9">
      <t>コウレkk</t>
    </rPh>
    <phoneticPr fontId="3"/>
  </si>
  <si>
    <t>太極布陣・攻撃劣化</t>
    <rPh sb="2" eb="4">
      <t>フj</t>
    </rPh>
    <rPh sb="5" eb="9">
      <t>コウレkk</t>
    </rPh>
    <phoneticPr fontId="3"/>
  </si>
  <si>
    <t>太極布陣・万物流転</t>
    <rPh sb="2" eb="4">
      <t>フj</t>
    </rPh>
    <rPh sb="5" eb="8">
      <t>バン</t>
    </rPh>
    <rPh sb="8" eb="9">
      <t>｡</t>
    </rPh>
    <phoneticPr fontId="3"/>
  </si>
  <si>
    <t>駿馬迅雷</t>
    <rPh sb="0" eb="2">
      <t>sy</t>
    </rPh>
    <rPh sb="2" eb="4">
      <t>ジン</t>
    </rPh>
    <phoneticPr fontId="3"/>
  </si>
  <si>
    <t>炎封陣</t>
    <rPh sb="0" eb="1">
      <t>エ</t>
    </rPh>
    <rPh sb="1" eb="2">
      <t>フウ</t>
    </rPh>
    <rPh sb="2" eb="3">
      <t>ジン</t>
    </rPh>
    <phoneticPr fontId="3"/>
  </si>
  <si>
    <t>地封陣</t>
    <rPh sb="0" eb="1">
      <t>チ</t>
    </rPh>
    <rPh sb="1" eb="2">
      <t>フウ</t>
    </rPh>
    <rPh sb="2" eb="3">
      <t>ジン</t>
    </rPh>
    <phoneticPr fontId="3"/>
  </si>
  <si>
    <t>雷封陣</t>
    <rPh sb="0" eb="1">
      <t>ライ</t>
    </rPh>
    <rPh sb="1" eb="2">
      <t>フウ</t>
    </rPh>
    <rPh sb="2" eb="3">
      <t>ジン</t>
    </rPh>
    <phoneticPr fontId="3"/>
  </si>
  <si>
    <t>水封陣</t>
    <rPh sb="0" eb="1">
      <t>ス</t>
    </rPh>
    <rPh sb="1" eb="2">
      <t>フウ</t>
    </rPh>
    <rPh sb="2" eb="3">
      <t>ジン</t>
    </rPh>
    <phoneticPr fontId="3"/>
  </si>
  <si>
    <t>雷光烈閃</t>
    <rPh sb="0" eb="2">
      <t>ラ</t>
    </rPh>
    <rPh sb="2" eb="4">
      <t>レt</t>
    </rPh>
    <phoneticPr fontId="3"/>
  </si>
  <si>
    <t>氷嵐烈閃</t>
    <rPh sb="0" eb="2">
      <t>ヒョウラン</t>
    </rPh>
    <rPh sb="2" eb="4">
      <t>レツセン</t>
    </rPh>
    <phoneticPr fontId="3"/>
  </si>
  <si>
    <t>地鳴烈閃</t>
    <rPh sb="0" eb="1">
      <t>チ</t>
    </rPh>
    <rPh sb="1" eb="2">
      <t>mei</t>
    </rPh>
    <rPh sb="2" eb="4">
      <t>レt</t>
    </rPh>
    <phoneticPr fontId="3"/>
  </si>
  <si>
    <t>太極布陣・超重力</t>
    <rPh sb="2" eb="4">
      <t>フj</t>
    </rPh>
    <rPh sb="5" eb="8">
      <t>チョ</t>
    </rPh>
    <phoneticPr fontId="3"/>
  </si>
  <si>
    <t>HPが低いほど強力な攻撃</t>
    <rPh sb="3" eb="7">
      <t>ヒク</t>
    </rPh>
    <rPh sb="7" eb="10">
      <t>キョウリョk</t>
    </rPh>
    <rPh sb="10" eb="12">
      <t>コウゲk</t>
    </rPh>
    <phoneticPr fontId="3"/>
  </si>
  <si>
    <t>HP回復</t>
    <rPh sb="2" eb="4">
      <t>カ</t>
    </rPh>
    <phoneticPr fontId="3"/>
  </si>
  <si>
    <t>単体にダメージ＋スリープ</t>
    <rPh sb="0" eb="3">
      <t>タンタ</t>
    </rPh>
    <phoneticPr fontId="3"/>
  </si>
  <si>
    <t>3ターンの間攻撃力がアップ</t>
    <rPh sb="5" eb="6">
      <t>ア</t>
    </rPh>
    <rPh sb="6" eb="10">
      <t>コウゲk</t>
    </rPh>
    <phoneticPr fontId="3"/>
  </si>
  <si>
    <t>解除するまで回復力がダウン</t>
    <rPh sb="0" eb="2">
      <t>カ</t>
    </rPh>
    <rPh sb="6" eb="10">
      <t>カイフク</t>
    </rPh>
    <phoneticPr fontId="3"/>
  </si>
  <si>
    <t>全体攻撃</t>
    <rPh sb="0" eb="4">
      <t>ゼンタ</t>
    </rPh>
    <phoneticPr fontId="3"/>
  </si>
  <si>
    <t>お邪魔パネル生成</t>
    <rPh sb="1" eb="6">
      <t>ジャマパネr</t>
    </rPh>
    <rPh sb="6" eb="8">
      <t>セ</t>
    </rPh>
    <phoneticPr fontId="3"/>
  </si>
  <si>
    <t>種族ゴッドのユニットに大ダメージ</t>
    <rPh sb="0" eb="2">
      <t>sy</t>
    </rPh>
    <rPh sb="11" eb="16">
      <t>ダ</t>
    </rPh>
    <phoneticPr fontId="3"/>
  </si>
  <si>
    <t>3ターンの間攻撃頻度が1になる</t>
    <rPh sb="5" eb="6">
      <t>ア</t>
    </rPh>
    <rPh sb="6" eb="11">
      <t>コウゲk</t>
    </rPh>
    <phoneticPr fontId="3"/>
  </si>
  <si>
    <t>赤属性ユニットに大ダメージ</t>
    <rPh sb="0" eb="1">
      <t>アk</t>
    </rPh>
    <rPh sb="1" eb="3">
      <t>ゾクセ</t>
    </rPh>
    <rPh sb="8" eb="13">
      <t>ダ</t>
    </rPh>
    <phoneticPr fontId="3"/>
  </si>
  <si>
    <t>青属性ユニットに大ダメージ</t>
    <rPh sb="0" eb="3">
      <t>アオゾ</t>
    </rPh>
    <phoneticPr fontId="3"/>
  </si>
  <si>
    <t>黄属性ユニットに大ダメージ</t>
    <rPh sb="0" eb="3">
      <t>キ</t>
    </rPh>
    <phoneticPr fontId="3"/>
  </si>
  <si>
    <t>5ターンの間赤パネル無効＋ダメージ</t>
    <rPh sb="5" eb="6">
      <t>ア</t>
    </rPh>
    <rPh sb="6" eb="7">
      <t>アk</t>
    </rPh>
    <rPh sb="10" eb="12">
      <t>ムコ</t>
    </rPh>
    <phoneticPr fontId="3"/>
  </si>
  <si>
    <t>5ターンの間緑パネル無効＋ダメージ</t>
    <rPh sb="5" eb="6">
      <t>ア</t>
    </rPh>
    <rPh sb="6" eb="7">
      <t>ミドr</t>
    </rPh>
    <rPh sb="10" eb="12">
      <t>ムコ</t>
    </rPh>
    <phoneticPr fontId="3"/>
  </si>
  <si>
    <t>5ターンの間黄パネル無効＋ダメージ</t>
    <rPh sb="5" eb="6">
      <t>ア</t>
    </rPh>
    <rPh sb="6" eb="7">
      <t>キ</t>
    </rPh>
    <rPh sb="10" eb="12">
      <t>ムコ</t>
    </rPh>
    <phoneticPr fontId="3"/>
  </si>
  <si>
    <t>5ターンの間青パネル無効＋ダメージ</t>
    <rPh sb="5" eb="6">
      <t>ア</t>
    </rPh>
    <rPh sb="6" eb="7">
      <t>ア</t>
    </rPh>
    <rPh sb="10" eb="12">
      <t>ムコ</t>
    </rPh>
    <phoneticPr fontId="3"/>
  </si>
  <si>
    <t>解除するまで単体の攻撃力がダウン</t>
    <rPh sb="0" eb="6">
      <t>カ</t>
    </rPh>
    <rPh sb="6" eb="8">
      <t>タンタ</t>
    </rPh>
    <rPh sb="9" eb="13">
      <t>コウゲk</t>
    </rPh>
    <phoneticPr fontId="3"/>
  </si>
  <si>
    <t>お邪魔パネル生成</t>
    <rPh sb="1" eb="3">
      <t>ジャm</t>
    </rPh>
    <rPh sb="6" eb="8">
      <t>セ</t>
    </rPh>
    <phoneticPr fontId="3"/>
  </si>
  <si>
    <t>雷光閃・連撃</t>
    <rPh sb="0" eb="3">
      <t>ライコ</t>
    </rPh>
    <rPh sb="4" eb="6">
      <t>レンゲキ</t>
    </rPh>
    <phoneticPr fontId="3"/>
  </si>
  <si>
    <t>雷光閃・拡散</t>
    <rPh sb="0" eb="2">
      <t>ライコ</t>
    </rPh>
    <rPh sb="2" eb="3">
      <t>セン</t>
    </rPh>
    <rPh sb="4" eb="6">
      <t>カクs</t>
    </rPh>
    <phoneticPr fontId="3"/>
  </si>
  <si>
    <t>雷光閃・蓄積放電</t>
    <rPh sb="0" eb="8">
      <t>ライコ</t>
    </rPh>
    <phoneticPr fontId="3"/>
  </si>
  <si>
    <t>[effect:degrade_unit, target:unit_one, turn:-1, status:attack, val:1.0, calc:mul],[effect:critical, val:1.6, animation:enemy_critical]</t>
    <phoneticPr fontId="3"/>
  </si>
  <si>
    <t>[effect:dis_panel, target:block_red, turn:5],[effect:critical, val:1.2, animation:enemy_critical]</t>
    <phoneticPr fontId="3"/>
  </si>
  <si>
    <t>[effect:dis_panel, target:block_green, turn:5],[effect:critical, val:1.2, animation:enemy_critical]</t>
    <phoneticPr fontId="3"/>
  </si>
  <si>
    <t>[effect:dis_panel, target:block_yellow, turn:5],[effect:critical, val:1.2, animation:enemy_critical]</t>
    <phoneticPr fontId="3"/>
  </si>
  <si>
    <t>[effect:dis_panel, target:block_blue, turn:5],[effect:critical, val:1.2, animation:enemy_critical]</t>
    <phoneticPr fontId="3"/>
  </si>
  <si>
    <t>[effect:degrade_unit, target:unit_one, turn:-1, status:attack, val:1.0, calc:mul],[effect:critical, val:1.2, animation:enemy_critical]</t>
    <phoneticPr fontId="3"/>
  </si>
  <si>
    <t>龍殺獄炎</t>
    <rPh sb="0" eb="1">
      <t>リュ</t>
    </rPh>
    <rPh sb="1" eb="2">
      <t>コr</t>
    </rPh>
    <rPh sb="2" eb="4">
      <t>ゴク</t>
    </rPh>
    <phoneticPr fontId="3"/>
  </si>
  <si>
    <t>種族ドラゴンのユニットに大ダメージ</t>
    <rPh sb="0" eb="2">
      <t>sy</t>
    </rPh>
    <rPh sb="12" eb="17">
      <t>ダ</t>
    </rPh>
    <phoneticPr fontId="3"/>
  </si>
  <si>
    <t>[effect:critical, val:0.6, animation:enemy_critical]</t>
    <phoneticPr fontId="3"/>
  </si>
  <si>
    <t>[effect:enhance_enemy, target:myself, turn:5, status:defense, val:5000, calc:add, animation:enemy_enhance_enemy],[effect:fix_speed,target:myself,turn:3]</t>
    <phoneticPr fontId="3"/>
  </si>
  <si>
    <t>[effect:freq_turn, target:myself, turn:-1, val:1, animation:enemy_freq_turn]</t>
    <phoneticPr fontId="3"/>
  </si>
  <si>
    <t>解除するまで攻撃頻度が2になる</t>
    <rPh sb="0" eb="6">
      <t>カイjy</t>
    </rPh>
    <rPh sb="6" eb="11">
      <t>コウゲk</t>
    </rPh>
    <phoneticPr fontId="3"/>
  </si>
  <si>
    <t>[effect:hungup, target:unit_all, turn:3, rate:1.0, animation:enemy_hungup],[effect:spread, val:0.3, animation:enemy_spread]</t>
    <phoneticPr fontId="3"/>
  </si>
  <si>
    <t>[effect:rush, count:5, val:0.3]</t>
    <phoneticPr fontId="3"/>
  </si>
  <si>
    <t>[effect:damage_anti_tribe, target:unit_all, tribe:god, val1:0.6, val2:0.16]</t>
    <phoneticPr fontId="3"/>
  </si>
  <si>
    <t>解除するまで行動頻度が1になる</t>
    <rPh sb="0" eb="6">
      <t>カイjy</t>
    </rPh>
    <rPh sb="6" eb="11">
      <t>コウド</t>
    </rPh>
    <phoneticPr fontId="3"/>
  </si>
  <si>
    <t>[effect:degrade_unit, target:unit_all, turn:-1, status:heal, val:1.0, calc:mul],[effect:spread, val:0.3, animation:enemy_spread]</t>
    <phoneticPr fontId="3"/>
  </si>
  <si>
    <t>5ターンの間全体の攻撃力がダウン</t>
    <rPh sb="5" eb="6">
      <t>アイd</t>
    </rPh>
    <rPh sb="6" eb="8">
      <t>ゼン</t>
    </rPh>
    <rPh sb="9" eb="13">
      <t>コウゲk</t>
    </rPh>
    <phoneticPr fontId="3"/>
  </si>
  <si>
    <t>null</t>
    <phoneticPr fontId="3"/>
  </si>
  <si>
    <t>[effect:enhance_enemy, target:myself, turn:5, status:attack, val:1.18, animation:enemy_enhance_enemy],[effect:fix_speed,target:myself,turn:2]</t>
    <phoneticPr fontId="3"/>
  </si>
  <si>
    <t>次のターン超強力な攻撃</t>
    <rPh sb="0" eb="5">
      <t>ツg</t>
    </rPh>
    <rPh sb="5" eb="6">
      <t>チョ</t>
    </rPh>
    <rPh sb="6" eb="8">
      <t>キョウリョク</t>
    </rPh>
    <rPh sb="9" eb="11">
      <t>コウゲk</t>
    </rPh>
    <phoneticPr fontId="3"/>
  </si>
  <si>
    <t>[effect:charge, status:attack, val:6, animation:enemy_charge]</t>
    <phoneticPr fontId="3"/>
  </si>
  <si>
    <t>固い意志で 5ターンの間防御力アップ</t>
    <rPh sb="0" eb="1">
      <t>カタ</t>
    </rPh>
    <rPh sb="2" eb="4">
      <t>イシ</t>
    </rPh>
    <rPh sb="12" eb="15">
      <t>ボウgy</t>
    </rPh>
    <phoneticPr fontId="3"/>
  </si>
  <si>
    <t>怒りの力で 5ターンの間攻撃力アップ</t>
    <rPh sb="0" eb="1">
      <t>イカ</t>
    </rPh>
    <rPh sb="3" eb="4">
      <t>チカラ</t>
    </rPh>
    <rPh sb="11" eb="12">
      <t>アイd</t>
    </rPh>
    <rPh sb="12" eb="15">
      <t>コウゲk</t>
    </rPh>
    <phoneticPr fontId="3"/>
  </si>
  <si>
    <t>鈍足の儂を 少しは思いやれ！</t>
    <rPh sb="0" eb="2">
      <t>ドンソク</t>
    </rPh>
    <rPh sb="3" eb="4">
      <t>ワシ</t>
    </rPh>
    <rPh sb="6" eb="7">
      <t>スコ</t>
    </rPh>
    <rPh sb="9" eb="10">
      <t>オモ</t>
    </rPh>
    <phoneticPr fontId="3"/>
  </si>
  <si>
    <t>玄武爺の死…無駄にはしない！</t>
    <rPh sb="0" eb="3">
      <t>ゲンブジイ</t>
    </rPh>
    <rPh sb="4" eb="5">
      <t>シ</t>
    </rPh>
    <rPh sb="6" eb="8">
      <t>ムダ</t>
    </rPh>
    <phoneticPr fontId="3"/>
  </si>
  <si>
    <t>ウロコが乱れたではないか</t>
    <rPh sb="4" eb="5">
      <t>ミダ</t>
    </rPh>
    <phoneticPr fontId="3"/>
  </si>
  <si>
    <t>妾に楯突くとは…命知らずが！</t>
    <rPh sb="0" eb="1">
      <t>ワラワ</t>
    </rPh>
    <rPh sb="2" eb="4">
      <t>タテツ</t>
    </rPh>
    <rPh sb="8" eb="10">
      <t>イノチシ</t>
    </rPh>
    <phoneticPr fontId="3"/>
  </si>
  <si>
    <t>「…ワタシ ナゼ ココニ…？」</t>
    <phoneticPr fontId="3"/>
  </si>
  <si>
    <t>この力…手放すものか！</t>
    <rPh sb="2" eb="3">
      <t>チカラ</t>
    </rPh>
    <rPh sb="4" eb="6">
      <t>テバナ</t>
    </rPh>
    <phoneticPr fontId="3"/>
  </si>
  <si>
    <t>別人のような目で こちらを見ている…</t>
    <rPh sb="0" eb="2">
      <t>ベツジン</t>
    </rPh>
    <rPh sb="6" eb="7">
      <t>メ</t>
    </rPh>
    <rPh sb="13" eb="17">
      <t>ミ</t>
    </rPh>
    <phoneticPr fontId="3"/>
  </si>
  <si>
    <t>「オネガイ…ワタシヲ トメ テ」</t>
    <phoneticPr fontId="3"/>
  </si>
  <si>
    <t>私は ほどほどにお相手しよう</t>
    <rPh sb="0" eb="1">
      <t>ワタシ</t>
    </rPh>
    <rPh sb="9" eb="11">
      <t>アイテ</t>
    </rPh>
    <phoneticPr fontId="3"/>
  </si>
  <si>
    <t>しつこい奴め…返り討ちじゃ！</t>
    <rPh sb="4" eb="5">
      <t>ヤツ</t>
    </rPh>
    <rPh sb="7" eb="8">
      <t>カエ</t>
    </rPh>
    <rPh sb="9" eb="10">
      <t>ウ</t>
    </rPh>
    <phoneticPr fontId="3"/>
  </si>
  <si>
    <t>麒麟の影像が乱れた！
状態異常無効＋お邪魔パネル生成</t>
    <rPh sb="0" eb="2">
      <t>キリン</t>
    </rPh>
    <rPh sb="3" eb="5">
      <t>エイゾウ</t>
    </rPh>
    <rPh sb="6" eb="7">
      <t>ミダ</t>
    </rPh>
    <rPh sb="11" eb="17">
      <t>jy</t>
    </rPh>
    <rPh sb="19" eb="24">
      <t>ジャマ</t>
    </rPh>
    <rPh sb="24" eb="26">
      <t>セ</t>
    </rPh>
    <phoneticPr fontId="3"/>
  </si>
  <si>
    <t>青龍…憧れてたのに(;_;)</t>
    <rPh sb="0" eb="2">
      <t>セイリュ</t>
    </rPh>
    <rPh sb="3" eb="4">
      <t>アコガ</t>
    </rPh>
    <phoneticPr fontId="3"/>
  </si>
  <si>
    <t>[effect:damage_anti_color, target:unit_one, color:red, val1:1.5, val2:1.0]</t>
    <phoneticPr fontId="3"/>
  </si>
  <si>
    <t>[effect:damage_anti_color, target:unit_one, color:blue, val1:1.5, val2:1.0]</t>
    <phoneticPr fontId="3"/>
  </si>
  <si>
    <t>[effect:damage_anti_color, target:unit_one, color:yellow, val1:1.5, val2:1.0]</t>
    <phoneticPr fontId="3"/>
  </si>
  <si>
    <t>[effect:spread, val:0.3, animation:enemy_spread],[effect:fix_speed,target:myself,turn:2]</t>
    <phoneticPr fontId="3"/>
  </si>
  <si>
    <t>[effect:spread, val:0.35, animation:enemy_spread]</t>
    <phoneticPr fontId="3"/>
  </si>
  <si>
    <t>解除するまで攻撃頻度が1になる</t>
    <rPh sb="0" eb="6">
      <t>カ</t>
    </rPh>
    <rPh sb="6" eb="11">
      <t>コウゲk</t>
    </rPh>
    <phoneticPr fontId="3"/>
  </si>
  <si>
    <t>右手の力が拡散した。攻撃頻度が1になる</t>
    <rPh sb="10" eb="15">
      <t>コウゲk</t>
    </rPh>
    <phoneticPr fontId="3"/>
  </si>
  <si>
    <t>[effect:spread, val:0.3, animation:enemy_spread]</t>
    <phoneticPr fontId="3"/>
  </si>
  <si>
    <t>超強力な一撃！</t>
    <rPh sb="0" eb="6">
      <t>チョ</t>
    </rPh>
    <phoneticPr fontId="3"/>
  </si>
  <si>
    <t>右手の力が今にも溢れ出しそうだ・・・！！</t>
    <phoneticPr fontId="3"/>
  </si>
  <si>
    <t>[effect:nothing]</t>
    <phoneticPr fontId="3"/>
  </si>
  <si>
    <t>右手の力が今にも溢れ出しそうだ・・・！！</t>
    <phoneticPr fontId="3"/>
  </si>
  <si>
    <t>[effect:nothing]</t>
    <phoneticPr fontId="3"/>
  </si>
  <si>
    <t>[effect:spread, val:15.0, animation:enemy_spread]</t>
    <phoneticPr fontId="3"/>
  </si>
  <si>
    <t>「ワタシハ アノ エリアヘノ カギ…」</t>
    <phoneticPr fontId="3"/>
  </si>
  <si>
    <t>[effect:damage_anti_tribe, target:unit_all, tribe:dragon, val1:2.5, val2:0.2]</t>
    <phoneticPr fontId="3"/>
  </si>
  <si>
    <t>[effect:damage_anti_tribe, target:unit_all, tribe:god, val1:0.6, val2:0.16]</t>
    <phoneticPr fontId="3"/>
  </si>
  <si>
    <t>[effect:tolerance,target:myself, turn:-1, tolerance_effect:all, count:-1],[effect:dark, turn:3,target:unit_all,animation:enemy_dark]</t>
    <phoneticPr fontId="3"/>
  </si>
  <si>
    <t>嫌な予感・・・</t>
    <rPh sb="0" eb="1">
      <t>イヤ</t>
    </rPh>
    <rPh sb="2" eb="4">
      <t>ヨカン</t>
    </rPh>
    <phoneticPr fontId="3"/>
  </si>
  <si>
    <t>[effect:spread, val:0.35, animation:enemy_spread]</t>
    <phoneticPr fontId="3"/>
  </si>
  <si>
    <t>[effect:fix_speed,target:myself,turn:2]</t>
    <phoneticPr fontId="3"/>
  </si>
  <si>
    <t>[effect:nothing]</t>
    <phoneticPr fontId="3"/>
  </si>
  <si>
    <t>麒麟の影像が大きく歪んだ！
状態異常無効+フィーバーゲージが0に！</t>
    <rPh sb="3" eb="5">
      <t>エイゾウ</t>
    </rPh>
    <rPh sb="6" eb="7">
      <t>オオ</t>
    </rPh>
    <rPh sb="9" eb="10">
      <t>ユガ</t>
    </rPh>
    <rPh sb="14" eb="20">
      <t>jy</t>
    </rPh>
    <phoneticPr fontId="3"/>
  </si>
  <si>
    <t>3ターンタップ回数が1になる</t>
    <rPh sb="7" eb="9">
      <t>カイス</t>
    </rPh>
    <phoneticPr fontId="3"/>
  </si>
  <si>
    <t>null</t>
    <phoneticPr fontId="3"/>
  </si>
  <si>
    <t>null</t>
    <phoneticPr fontId="3"/>
  </si>
  <si>
    <t>[effect:rush, count:5, val:0.18]</t>
    <phoneticPr fontId="3"/>
  </si>
  <si>
    <t>[effect:enhance_enemy, target:enemy_yellow, turn:3, status:attack, val:1.0, animation:enemy_enhance_enemy],[effect:fix_speed,target:myself,turn:2]</t>
    <phoneticPr fontId="3"/>
  </si>
  <si>
    <t>[effect:enhance_enemy, target:enemy_yellow, turn:3, status:attack, val:1.0, animation:enemy_enhance_enemy]</t>
    <phoneticPr fontId="3"/>
  </si>
  <si>
    <t>[effect:degrade_unit, target:unit_all, turn:3, status:attack, val:1.0, calc:mul],[effect:spread, val:0.3, animation:enemy_spread]</t>
    <phoneticPr fontId="3"/>
  </si>
  <si>
    <t>null</t>
    <phoneticPr fontId="3"/>
  </si>
  <si>
    <t>[effect:rush, count:5, val:0.25]</t>
    <phoneticPr fontId="3"/>
  </si>
  <si>
    <t xml:space="preserve"> </t>
    <phoneticPr fontId="3"/>
  </si>
  <si>
    <t>Cパネルの生成が4つ延長される</t>
    <rPh sb="5" eb="7">
      <t>セイセ</t>
    </rPh>
    <rPh sb="10" eb="12">
      <t>エンチョ</t>
    </rPh>
    <phoneticPr fontId="3"/>
  </si>
  <si>
    <t>解除するまで攻撃力がアップ</t>
    <rPh sb="0" eb="6">
      <t>カ</t>
    </rPh>
    <rPh sb="6" eb="13">
      <t>コウゲk</t>
    </rPh>
    <phoneticPr fontId="3"/>
  </si>
  <si>
    <t>解除するまで防御力がアップ</t>
    <rPh sb="0" eb="6">
      <t>カ</t>
    </rPh>
    <rPh sb="6" eb="13">
      <t>ボ</t>
    </rPh>
    <phoneticPr fontId="3"/>
  </si>
  <si>
    <t>姫を落としに来ただと…？</t>
    <rPh sb="0" eb="1">
      <t>ヒメサマ</t>
    </rPh>
    <rPh sb="2" eb="3">
      <t>オ</t>
    </rPh>
    <rPh sb="6" eb="7">
      <t>キ</t>
    </rPh>
    <phoneticPr fontId="3"/>
  </si>
  <si>
    <t>嬢ちゃんは儂らが守るぞい</t>
    <rPh sb="0" eb="1">
      <t>ジョウ</t>
    </rPh>
    <rPh sb="5" eb="6">
      <t>ワシ</t>
    </rPh>
    <rPh sb="8" eb="9">
      <t>マモ</t>
    </rPh>
    <phoneticPr fontId="3"/>
  </si>
  <si>
    <t>オレ様についてこれるかー？</t>
    <rPh sb="2" eb="3">
      <t>サマ</t>
    </rPh>
    <phoneticPr fontId="3"/>
  </si>
  <si>
    <t>朱雀の奴め生き急ぎおって…</t>
    <rPh sb="0" eb="2">
      <t>スザク</t>
    </rPh>
    <rPh sb="3" eb="4">
      <t>ヤツ</t>
    </rPh>
    <rPh sb="5" eb="6">
      <t>イ</t>
    </rPh>
    <rPh sb="7" eb="8">
      <t>イソ</t>
    </rPh>
    <phoneticPr fontId="3"/>
  </si>
  <si>
    <t>HPが回復</t>
    <rPh sb="3" eb="5">
      <t>カ</t>
    </rPh>
    <phoneticPr fontId="3"/>
  </si>
  <si>
    <t>解除するまで行動頻度が1になる</t>
    <rPh sb="0" eb="6">
      <t>カイジョス</t>
    </rPh>
    <rPh sb="6" eb="11">
      <t>コウド</t>
    </rPh>
    <phoneticPr fontId="3"/>
  </si>
  <si>
    <t>白虎を止めるとは…！！</t>
    <rPh sb="0" eb="2">
      <t>ビャッコ</t>
    </rPh>
    <rPh sb="3" eb="4">
      <t>ト</t>
    </rPh>
    <phoneticPr fontId="3"/>
  </si>
  <si>
    <t>[effect:degrade_unit, target:unit_all, turn:4, status:action, val:2 ,animation:enemy_tap_down]</t>
    <phoneticPr fontId="3"/>
  </si>
  <si>
    <t>[effect:tolerance,target:myself, turn:-1, tolerance_effect:all, count:-1],[effect:fix_speed,target:myself,turn:1],[effect:degrade_fever, val:1000.0, animation:fevergage_down],[effect:enhance_fever, val:0.0]</t>
    <phoneticPr fontId="3"/>
  </si>
  <si>
    <t>[effect:crash_condition, target:unit_all, val:4, turn:5, animation:enemy_crash_extend]</t>
    <phoneticPr fontId="3"/>
  </si>
  <si>
    <t>全体攻撃＋3ターンスキルバインド</t>
    <rPh sb="0" eb="4">
      <t>ゼン</t>
    </rPh>
    <phoneticPr fontId="3"/>
  </si>
  <si>
    <t>右手に力を溜め始めた
状態異常無効＋3ターン暗闇</t>
    <rPh sb="11" eb="17">
      <t>jy</t>
    </rPh>
    <rPh sb="22" eb="24">
      <t>クラヤm</t>
    </rPh>
    <phoneticPr fontId="3"/>
  </si>
  <si>
    <t>[effect:force_change_block, new_block:jammer, target:block_all, ignore01:crash, ignore02:jammer, ignore03:color_break, ignore04:magnet, count:8, val:0, animation:change_block],[effect:spread, val:0.3, animation:enemy_spread]</t>
    <phoneticPr fontId="3"/>
  </si>
  <si>
    <t>[effect:tolerance,target:myself, turn:-1, tolerance_effect:all, count:-1],[effect:force_change_block, new_block:jammer, target:block_all, ignore01:crash, ignore02:jammer, ignore03:color_break, ignore04:magnet, count:12, val:0, animation:change_block],[effect:fix_speed,target:myself,turn:2]</t>
    <phoneticPr fontId="3"/>
  </si>
  <si>
    <t>[effect:force_change_block, new_block:jammer, target:block_all, ignore01:crash, ignore02:jammer, ignore03:color_break, ignore04:magnet, count:10, val:0, animation:change_block],[effect:spread, val:0.3, animation:enemy_spread]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</si>
</sst>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2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82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6" fillId="0" borderId="0"/>
    <xf numFmtId="38" fontId="17" fillId="0" borderId="0" applyFill="0" applyBorder="0" applyAlignment="0" applyProtection="0"/>
    <xf numFmtId="0" fontId="18" fillId="8" borderId="0" applyNumberFormat="0" applyBorder="0" applyAlignment="0" applyProtection="0"/>
    <xf numFmtId="0" fontId="19" fillId="9" borderId="0" applyNumberFormat="0" applyBorder="0" applyAlignment="0" applyProtection="0"/>
    <xf numFmtId="0" fontId="20" fillId="0" borderId="0"/>
    <xf numFmtId="0" fontId="21" fillId="0" borderId="0">
      <alignment vertical="center"/>
    </xf>
    <xf numFmtId="0" fontId="22" fillId="0" borderId="0">
      <alignment vertical="center"/>
    </xf>
    <xf numFmtId="0" fontId="23" fillId="10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76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3" xfId="0" applyFont="1" applyFill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3" borderId="7" xfId="0" applyFont="1" applyFill="1" applyBorder="1" applyAlignment="1">
      <alignment horizontal="center" vertical="center"/>
    </xf>
    <xf numFmtId="0" fontId="10" fillId="7" borderId="0" xfId="0" applyFont="1" applyFill="1" applyAlignment="1">
      <alignment vertical="center"/>
    </xf>
    <xf numFmtId="0" fontId="4" fillId="5" borderId="9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76" fontId="2" fillId="0" borderId="3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177" fontId="6" fillId="0" borderId="4" xfId="0" applyNumberFormat="1" applyFont="1" applyBorder="1" applyAlignment="1">
      <alignment vertical="center"/>
    </xf>
    <xf numFmtId="0" fontId="2" fillId="2" borderId="7" xfId="0" applyFont="1" applyFill="1" applyBorder="1" applyAlignment="1">
      <alignment horizontal="left" vertical="center"/>
    </xf>
    <xf numFmtId="0" fontId="10" fillId="7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6" borderId="7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left" vertical="center"/>
    </xf>
    <xf numFmtId="0" fontId="4" fillId="0" borderId="7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4" fillId="6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3" borderId="7" xfId="0" applyFont="1" applyFill="1" applyBorder="1" applyAlignment="1">
      <alignment horizontal="left" vertical="center"/>
    </xf>
    <xf numFmtId="0" fontId="14" fillId="0" borderId="7" xfId="0" applyFont="1" applyFill="1" applyBorder="1" applyAlignment="1">
      <alignment vertical="center"/>
    </xf>
    <xf numFmtId="0" fontId="14" fillId="3" borderId="7" xfId="0" applyFont="1" applyFill="1" applyBorder="1" applyAlignment="1">
      <alignment vertical="center"/>
    </xf>
    <xf numFmtId="0" fontId="14" fillId="0" borderId="0" xfId="0" applyFont="1" applyFill="1" applyAlignment="1">
      <alignment vertical="center"/>
    </xf>
    <xf numFmtId="0" fontId="14" fillId="0" borderId="7" xfId="0" applyFont="1" applyFill="1" applyBorder="1" applyAlignment="1">
      <alignment horizontal="left" vertical="center"/>
    </xf>
    <xf numFmtId="0" fontId="14" fillId="0" borderId="7" xfId="0" applyFont="1" applyFill="1" applyBorder="1" applyAlignment="1">
      <alignment horizontal="left" vertical="center" wrapText="1"/>
    </xf>
    <xf numFmtId="14" fontId="14" fillId="0" borderId="7" xfId="0" applyNumberFormat="1" applyFont="1" applyFill="1" applyBorder="1" applyAlignment="1">
      <alignment horizontal="left" vertical="center"/>
    </xf>
    <xf numFmtId="0" fontId="9" fillId="6" borderId="2" xfId="0" applyFont="1" applyFill="1" applyBorder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1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4" fillId="12" borderId="7" xfId="0" applyFont="1" applyFill="1" applyBorder="1"/>
    <xf numFmtId="0" fontId="11" fillId="11" borderId="7" xfId="434" applyFont="1" applyFill="1" applyBorder="1" applyAlignment="1"/>
    <xf numFmtId="0" fontId="22" fillId="0" borderId="7" xfId="434" applyBorder="1" applyAlignment="1"/>
    <xf numFmtId="0" fontId="9" fillId="0" borderId="7" xfId="0" applyFont="1" applyBorder="1" applyAlignment="1">
      <alignment vertical="center"/>
    </xf>
    <xf numFmtId="0" fontId="14" fillId="13" borderId="7" xfId="0" applyFont="1" applyFill="1" applyBorder="1" applyAlignment="1">
      <alignment horizontal="center" vertical="center"/>
    </xf>
    <xf numFmtId="0" fontId="4" fillId="14" borderId="3" xfId="0" applyFont="1" applyFill="1" applyBorder="1" applyAlignment="1">
      <alignment vertical="center"/>
    </xf>
    <xf numFmtId="0" fontId="4" fillId="15" borderId="3" xfId="0" applyFont="1" applyFill="1" applyBorder="1" applyAlignment="1">
      <alignment vertical="center"/>
    </xf>
    <xf numFmtId="0" fontId="14" fillId="0" borderId="7" xfId="0" applyFont="1" applyFill="1" applyBorder="1" applyAlignment="1">
      <alignment vertical="center" wrapText="1"/>
    </xf>
    <xf numFmtId="0" fontId="4" fillId="0" borderId="3" xfId="0" applyFont="1" applyFill="1" applyBorder="1" applyAlignment="1">
      <alignment vertical="center"/>
    </xf>
    <xf numFmtId="0" fontId="14" fillId="14" borderId="7" xfId="0" applyFont="1" applyFill="1" applyBorder="1" applyAlignment="1">
      <alignment vertical="center"/>
    </xf>
    <xf numFmtId="0" fontId="14" fillId="6" borderId="7" xfId="0" applyFont="1" applyFill="1" applyBorder="1" applyAlignment="1">
      <alignment vertical="center"/>
    </xf>
    <xf numFmtId="0" fontId="14" fillId="16" borderId="7" xfId="0" applyFont="1" applyFill="1" applyBorder="1" applyAlignment="1">
      <alignment vertical="center"/>
    </xf>
    <xf numFmtId="0" fontId="14" fillId="17" borderId="7" xfId="0" applyFont="1" applyFill="1" applyBorder="1" applyAlignment="1">
      <alignment vertical="center"/>
    </xf>
    <xf numFmtId="0" fontId="14" fillId="18" borderId="7" xfId="0" applyFont="1" applyFill="1" applyBorder="1" applyAlignment="1">
      <alignment vertical="center"/>
    </xf>
    <xf numFmtId="0" fontId="14" fillId="19" borderId="7" xfId="0" applyFont="1" applyFill="1" applyBorder="1" applyAlignment="1">
      <alignment vertical="center"/>
    </xf>
    <xf numFmtId="0" fontId="9" fillId="17" borderId="7" xfId="0" applyFont="1" applyFill="1" applyBorder="1" applyAlignment="1">
      <alignment vertical="center"/>
    </xf>
    <xf numFmtId="0" fontId="14" fillId="20" borderId="7" xfId="0" applyFont="1" applyFill="1" applyBorder="1" applyAlignment="1">
      <alignment vertical="center"/>
    </xf>
  </cellXfs>
  <cellStyles count="982">
    <cellStyle name="Excel Built-in Normal" xfId="428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桁区切り 2" xfId="429"/>
    <cellStyle name="標準" xfId="0" builtinId="0"/>
    <cellStyle name="標準 2" xfId="432"/>
    <cellStyle name="標準 2 2" xfId="433"/>
    <cellStyle name="標準 3" xfId="434"/>
    <cellStyle name="標準 4" xfId="11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赤字強調" xfId="431"/>
    <cellStyle name="青字強調" xfId="43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4.xml"/><Relationship Id="rId12" Type="http://schemas.openxmlformats.org/officeDocument/2006/relationships/externalLink" Target="externalLinks/externalLink5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externalLink" Target="externalLinks/externalLink2.xml"/><Relationship Id="rId10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13400</v>
          </cell>
        </row>
        <row r="96">
          <cell r="A96">
            <v>14001</v>
          </cell>
        </row>
        <row r="97">
          <cell r="A97">
            <v>14002</v>
          </cell>
        </row>
        <row r="98">
          <cell r="A98">
            <v>14003</v>
          </cell>
        </row>
        <row r="99">
          <cell r="A99">
            <v>14004</v>
          </cell>
        </row>
        <row r="100">
          <cell r="A100">
            <v>14005</v>
          </cell>
        </row>
        <row r="101">
          <cell r="A101">
            <v>14006</v>
          </cell>
        </row>
        <row r="102">
          <cell r="A102">
            <v>15027</v>
          </cell>
        </row>
        <row r="103">
          <cell r="A103">
            <v>15028</v>
          </cell>
        </row>
        <row r="104">
          <cell r="A104">
            <v>15029</v>
          </cell>
        </row>
        <row r="105">
          <cell r="A105">
            <v>15030</v>
          </cell>
        </row>
        <row r="106">
          <cell r="A106">
            <v>15031</v>
          </cell>
        </row>
        <row r="107">
          <cell r="A107">
            <v>20001</v>
          </cell>
        </row>
        <row r="108">
          <cell r="A108">
            <v>20002</v>
          </cell>
        </row>
        <row r="109">
          <cell r="A109">
            <v>20003</v>
          </cell>
        </row>
        <row r="110">
          <cell r="A110">
            <v>20004</v>
          </cell>
        </row>
        <row r="111">
          <cell r="A111">
            <v>20005</v>
          </cell>
        </row>
        <row r="112">
          <cell r="A112">
            <v>20006</v>
          </cell>
        </row>
        <row r="113">
          <cell r="A113">
            <v>20007</v>
          </cell>
        </row>
        <row r="114">
          <cell r="A114">
            <v>20008</v>
          </cell>
        </row>
        <row r="115">
          <cell r="A115">
            <v>20009</v>
          </cell>
        </row>
        <row r="116">
          <cell r="A116">
            <v>20010</v>
          </cell>
        </row>
        <row r="117">
          <cell r="A117">
            <v>20011</v>
          </cell>
        </row>
        <row r="118">
          <cell r="A118">
            <v>20012</v>
          </cell>
        </row>
        <row r="119">
          <cell r="A119">
            <v>20013</v>
          </cell>
        </row>
        <row r="120">
          <cell r="A120">
            <v>20014</v>
          </cell>
        </row>
        <row r="121">
          <cell r="A121">
            <v>20015</v>
          </cell>
        </row>
        <row r="122">
          <cell r="A122">
            <v>20016</v>
          </cell>
        </row>
        <row r="123">
          <cell r="A123">
            <v>20017</v>
          </cell>
        </row>
        <row r="124">
          <cell r="A124">
            <v>20018</v>
          </cell>
        </row>
        <row r="125">
          <cell r="A125">
            <v>20019</v>
          </cell>
        </row>
        <row r="126">
          <cell r="A126">
            <v>20020</v>
          </cell>
        </row>
        <row r="127">
          <cell r="A127">
            <v>20021</v>
          </cell>
        </row>
        <row r="128">
          <cell r="A128">
            <v>20022</v>
          </cell>
        </row>
        <row r="129">
          <cell r="A129">
            <v>30001</v>
          </cell>
        </row>
        <row r="130">
          <cell r="A130">
            <v>30002</v>
          </cell>
        </row>
        <row r="131">
          <cell r="A131">
            <v>30003</v>
          </cell>
        </row>
        <row r="132">
          <cell r="A132">
            <v>30004</v>
          </cell>
        </row>
        <row r="133">
          <cell r="A133">
            <v>30005</v>
          </cell>
        </row>
        <row r="134">
          <cell r="A134">
            <v>30006</v>
          </cell>
        </row>
        <row r="135">
          <cell r="A135">
            <v>30007</v>
          </cell>
        </row>
        <row r="136">
          <cell r="A136">
            <v>30008</v>
          </cell>
        </row>
        <row r="137">
          <cell r="A137">
            <v>30009</v>
          </cell>
        </row>
        <row r="138">
          <cell r="A138">
            <v>30010</v>
          </cell>
        </row>
        <row r="139">
          <cell r="A139">
            <v>30011</v>
          </cell>
        </row>
        <row r="140">
          <cell r="A140">
            <v>30012</v>
          </cell>
        </row>
        <row r="141">
          <cell r="A141">
            <v>30013</v>
          </cell>
        </row>
        <row r="142">
          <cell r="A142">
            <v>30014</v>
          </cell>
        </row>
        <row r="143">
          <cell r="A143">
            <v>30015</v>
          </cell>
        </row>
        <row r="144">
          <cell r="A144">
            <v>30016</v>
          </cell>
        </row>
        <row r="145">
          <cell r="A145">
            <v>30017</v>
          </cell>
        </row>
        <row r="146">
          <cell r="A146">
            <v>30018</v>
          </cell>
        </row>
        <row r="147">
          <cell r="A147">
            <v>30019</v>
          </cell>
        </row>
        <row r="148">
          <cell r="A148">
            <v>30020</v>
          </cell>
        </row>
        <row r="149">
          <cell r="A149">
            <v>30021</v>
          </cell>
        </row>
        <row r="150">
          <cell r="A150">
            <v>30022</v>
          </cell>
        </row>
        <row r="151">
          <cell r="A151">
            <v>30023</v>
          </cell>
        </row>
        <row r="152">
          <cell r="A152">
            <v>30024</v>
          </cell>
        </row>
        <row r="153">
          <cell r="A153">
            <v>30025</v>
          </cell>
        </row>
        <row r="154">
          <cell r="A154">
            <v>30026</v>
          </cell>
        </row>
        <row r="155">
          <cell r="A155">
            <v>30027</v>
          </cell>
        </row>
        <row r="156">
          <cell r="A156">
            <v>30028</v>
          </cell>
        </row>
        <row r="157">
          <cell r="A157">
            <v>30029</v>
          </cell>
        </row>
        <row r="158">
          <cell r="A158">
            <v>30030</v>
          </cell>
        </row>
        <row r="159">
          <cell r="A159">
            <v>30031</v>
          </cell>
        </row>
        <row r="160">
          <cell r="A160">
            <v>30032</v>
          </cell>
        </row>
        <row r="161">
          <cell r="A161">
            <v>30033</v>
          </cell>
        </row>
        <row r="162">
          <cell r="A162">
            <v>30034</v>
          </cell>
        </row>
        <row r="163">
          <cell r="A163">
            <v>30035</v>
          </cell>
        </row>
        <row r="164">
          <cell r="A164">
            <v>30036</v>
          </cell>
        </row>
        <row r="165">
          <cell r="A165">
            <v>30037</v>
          </cell>
        </row>
        <row r="166">
          <cell r="A166">
            <v>30038</v>
          </cell>
        </row>
        <row r="167">
          <cell r="A167">
            <v>30039</v>
          </cell>
        </row>
        <row r="168">
          <cell r="A168">
            <v>30040</v>
          </cell>
        </row>
        <row r="169">
          <cell r="A169">
            <v>30041</v>
          </cell>
        </row>
        <row r="170">
          <cell r="A170">
            <v>30042</v>
          </cell>
        </row>
        <row r="171">
          <cell r="A171">
            <v>30043</v>
          </cell>
        </row>
        <row r="172">
          <cell r="A172">
            <v>30044</v>
          </cell>
        </row>
        <row r="173">
          <cell r="A173">
            <v>30045</v>
          </cell>
        </row>
        <row r="174">
          <cell r="A174">
            <v>30046</v>
          </cell>
        </row>
        <row r="175">
          <cell r="A175">
            <v>30047</v>
          </cell>
        </row>
        <row r="176">
          <cell r="A176">
            <v>30048</v>
          </cell>
        </row>
        <row r="177">
          <cell r="A177">
            <v>39001</v>
          </cell>
        </row>
        <row r="178">
          <cell r="A178">
            <v>39002</v>
          </cell>
        </row>
        <row r="179">
          <cell r="A179">
            <v>39003</v>
          </cell>
        </row>
        <row r="180">
          <cell r="A180">
            <v>39004</v>
          </cell>
        </row>
        <row r="181">
          <cell r="A181">
            <v>39005</v>
          </cell>
        </row>
        <row r="182">
          <cell r="A182">
            <v>39006</v>
          </cell>
        </row>
        <row r="183">
          <cell r="A183">
            <v>39007</v>
          </cell>
        </row>
        <row r="184">
          <cell r="A184">
            <v>39008</v>
          </cell>
        </row>
        <row r="185">
          <cell r="A185">
            <v>39009</v>
          </cell>
        </row>
        <row r="186">
          <cell r="A186">
            <v>39010</v>
          </cell>
        </row>
        <row r="187">
          <cell r="A187">
            <v>39011</v>
          </cell>
        </row>
        <row r="188">
          <cell r="A188">
            <v>40001</v>
          </cell>
        </row>
        <row r="189">
          <cell r="A189">
            <v>40002</v>
          </cell>
        </row>
        <row r="190">
          <cell r="A190">
            <v>40003</v>
          </cell>
        </row>
        <row r="191">
          <cell r="A191">
            <v>40004</v>
          </cell>
        </row>
        <row r="192">
          <cell r="A192">
            <v>40005</v>
          </cell>
        </row>
        <row r="193">
          <cell r="A193">
            <v>40006</v>
          </cell>
        </row>
        <row r="194">
          <cell r="A194">
            <v>40007</v>
          </cell>
        </row>
        <row r="195">
          <cell r="A195">
            <v>40008</v>
          </cell>
        </row>
        <row r="196">
          <cell r="A196">
            <v>40009</v>
          </cell>
        </row>
        <row r="197">
          <cell r="A197">
            <v>40010</v>
          </cell>
        </row>
        <row r="198">
          <cell r="A198">
            <v>40011</v>
          </cell>
        </row>
        <row r="199">
          <cell r="A199">
            <v>40012</v>
          </cell>
        </row>
        <row r="200">
          <cell r="A200">
            <v>40013</v>
          </cell>
        </row>
        <row r="201">
          <cell r="A201">
            <v>40014</v>
          </cell>
        </row>
        <row r="202">
          <cell r="A202">
            <v>40015</v>
          </cell>
        </row>
        <row r="203">
          <cell r="A203">
            <v>40016</v>
          </cell>
        </row>
        <row r="204">
          <cell r="A204">
            <v>40017</v>
          </cell>
        </row>
        <row r="205">
          <cell r="A205">
            <v>40018</v>
          </cell>
        </row>
        <row r="206">
          <cell r="A206">
            <v>40019</v>
          </cell>
        </row>
        <row r="207">
          <cell r="A207">
            <v>40021</v>
          </cell>
        </row>
        <row r="208">
          <cell r="A208">
            <v>40022</v>
          </cell>
        </row>
        <row r="209">
          <cell r="A209">
            <v>40023</v>
          </cell>
        </row>
        <row r="210">
          <cell r="A210">
            <v>40024</v>
          </cell>
        </row>
        <row r="211">
          <cell r="A211">
            <v>40025</v>
          </cell>
        </row>
        <row r="212">
          <cell r="A212">
            <v>40026</v>
          </cell>
        </row>
        <row r="213">
          <cell r="A213">
            <v>40027</v>
          </cell>
        </row>
        <row r="214">
          <cell r="A214">
            <v>40028</v>
          </cell>
        </row>
        <row r="215">
          <cell r="A215">
            <v>40029</v>
          </cell>
        </row>
        <row r="216">
          <cell r="A216">
            <v>40030</v>
          </cell>
        </row>
        <row r="217">
          <cell r="A217">
            <v>40031</v>
          </cell>
        </row>
        <row r="218">
          <cell r="A218">
            <v>40032</v>
          </cell>
        </row>
        <row r="219">
          <cell r="A219">
            <v>40033</v>
          </cell>
        </row>
        <row r="220">
          <cell r="A220">
            <v>40034</v>
          </cell>
        </row>
        <row r="221">
          <cell r="A221">
            <v>40035</v>
          </cell>
        </row>
        <row r="222">
          <cell r="A222">
            <v>40036</v>
          </cell>
        </row>
        <row r="223">
          <cell r="A223">
            <v>40037</v>
          </cell>
        </row>
        <row r="224">
          <cell r="A224">
            <v>40038</v>
          </cell>
        </row>
        <row r="225">
          <cell r="A225">
            <v>40039</v>
          </cell>
        </row>
        <row r="226">
          <cell r="A226">
            <v>40040</v>
          </cell>
        </row>
        <row r="227">
          <cell r="A227">
            <v>40041</v>
          </cell>
        </row>
        <row r="228">
          <cell r="A228">
            <v>40042</v>
          </cell>
        </row>
        <row r="229">
          <cell r="A229">
            <v>40043</v>
          </cell>
        </row>
        <row r="230">
          <cell r="A230">
            <v>48001</v>
          </cell>
        </row>
        <row r="231">
          <cell r="A231">
            <v>48002</v>
          </cell>
        </row>
        <row r="232">
          <cell r="A232">
            <v>48003</v>
          </cell>
        </row>
        <row r="233">
          <cell r="A233">
            <v>48004</v>
          </cell>
        </row>
        <row r="234">
          <cell r="A234">
            <v>48005</v>
          </cell>
        </row>
        <row r="235">
          <cell r="A235">
            <v>48006</v>
          </cell>
        </row>
        <row r="236">
          <cell r="A236">
            <v>48007</v>
          </cell>
        </row>
        <row r="237">
          <cell r="A237">
            <v>48008</v>
          </cell>
        </row>
        <row r="238">
          <cell r="A238">
            <v>48009</v>
          </cell>
        </row>
        <row r="239">
          <cell r="A239">
            <v>48010</v>
          </cell>
        </row>
        <row r="240">
          <cell r="A240">
            <v>48011</v>
          </cell>
        </row>
        <row r="241">
          <cell r="A241">
            <v>48501</v>
          </cell>
        </row>
        <row r="242">
          <cell r="A242">
            <v>41001</v>
          </cell>
        </row>
        <row r="243">
          <cell r="A243">
            <v>41002</v>
          </cell>
        </row>
        <row r="244">
          <cell r="A244">
            <v>41003</v>
          </cell>
        </row>
        <row r="245">
          <cell r="A245">
            <v>41004</v>
          </cell>
        </row>
        <row r="246">
          <cell r="A246">
            <v>41005</v>
          </cell>
        </row>
        <row r="247">
          <cell r="A247">
            <v>41006</v>
          </cell>
        </row>
        <row r="248">
          <cell r="A248">
            <v>41007</v>
          </cell>
        </row>
        <row r="249">
          <cell r="A249">
            <v>41008</v>
          </cell>
        </row>
        <row r="250">
          <cell r="A250">
            <v>41009</v>
          </cell>
        </row>
        <row r="251">
          <cell r="A251">
            <v>41010</v>
          </cell>
        </row>
        <row r="252">
          <cell r="A252">
            <v>41011</v>
          </cell>
        </row>
        <row r="253">
          <cell r="A253">
            <v>41012</v>
          </cell>
        </row>
        <row r="254">
          <cell r="A254">
            <v>41013</v>
          </cell>
        </row>
        <row r="255">
          <cell r="A255">
            <v>41014</v>
          </cell>
        </row>
        <row r="256">
          <cell r="A256">
            <v>41015</v>
          </cell>
        </row>
        <row r="257">
          <cell r="A257">
            <v>47001</v>
          </cell>
        </row>
        <row r="258">
          <cell r="A258">
            <v>47002</v>
          </cell>
        </row>
        <row r="259">
          <cell r="A259">
            <v>47003</v>
          </cell>
        </row>
        <row r="260">
          <cell r="A260">
            <v>47004</v>
          </cell>
        </row>
        <row r="261">
          <cell r="A261">
            <v>47005</v>
          </cell>
        </row>
        <row r="262">
          <cell r="A262">
            <v>47006</v>
          </cell>
        </row>
        <row r="263">
          <cell r="A263">
            <v>47007</v>
          </cell>
        </row>
        <row r="264">
          <cell r="A264">
            <v>47008</v>
          </cell>
        </row>
        <row r="265">
          <cell r="A265">
            <v>49001</v>
          </cell>
        </row>
        <row r="266">
          <cell r="A266">
            <v>49002</v>
          </cell>
        </row>
        <row r="267">
          <cell r="A267">
            <v>49003</v>
          </cell>
        </row>
        <row r="268">
          <cell r="A268">
            <v>49004</v>
          </cell>
        </row>
        <row r="269">
          <cell r="A269">
            <v>49005</v>
          </cell>
        </row>
        <row r="270">
          <cell r="A270">
            <v>49006</v>
          </cell>
        </row>
        <row r="271">
          <cell r="A271">
            <v>49007</v>
          </cell>
        </row>
        <row r="272">
          <cell r="A272">
            <v>49008</v>
          </cell>
        </row>
        <row r="273">
          <cell r="A273">
            <v>49009</v>
          </cell>
        </row>
        <row r="274">
          <cell r="A274">
            <v>49010</v>
          </cell>
        </row>
        <row r="275">
          <cell r="A275">
            <v>49011</v>
          </cell>
        </row>
        <row r="276">
          <cell r="A276">
            <v>49012</v>
          </cell>
        </row>
        <row r="277">
          <cell r="A277">
            <v>49013</v>
          </cell>
        </row>
        <row r="278">
          <cell r="A278">
            <v>50001</v>
          </cell>
        </row>
        <row r="279">
          <cell r="A279">
            <v>50002</v>
          </cell>
        </row>
        <row r="280">
          <cell r="A280">
            <v>50003</v>
          </cell>
        </row>
        <row r="281">
          <cell r="A281">
            <v>50004</v>
          </cell>
        </row>
        <row r="282">
          <cell r="A282">
            <v>50005</v>
          </cell>
        </row>
        <row r="283">
          <cell r="A283">
            <v>50006</v>
          </cell>
        </row>
        <row r="284">
          <cell r="A284">
            <v>50007</v>
          </cell>
        </row>
        <row r="285">
          <cell r="A285">
            <v>50008</v>
          </cell>
        </row>
        <row r="286">
          <cell r="A286">
            <v>50009</v>
          </cell>
        </row>
        <row r="287">
          <cell r="A287">
            <v>50010</v>
          </cell>
        </row>
        <row r="288">
          <cell r="A288">
            <v>50011</v>
          </cell>
        </row>
        <row r="289">
          <cell r="A289">
            <v>50012</v>
          </cell>
        </row>
        <row r="290">
          <cell r="A290">
            <v>50013</v>
          </cell>
        </row>
        <row r="291">
          <cell r="A291">
            <v>50014</v>
          </cell>
        </row>
        <row r="292">
          <cell r="A292">
            <v>51001</v>
          </cell>
        </row>
        <row r="293">
          <cell r="A293">
            <v>51002</v>
          </cell>
        </row>
        <row r="294">
          <cell r="A294">
            <v>59001</v>
          </cell>
        </row>
        <row r="295">
          <cell r="A295">
            <v>60001</v>
          </cell>
        </row>
        <row r="296">
          <cell r="A296">
            <v>60002</v>
          </cell>
        </row>
        <row r="297">
          <cell r="A297">
            <v>60003</v>
          </cell>
        </row>
        <row r="298">
          <cell r="A298">
            <v>60004</v>
          </cell>
        </row>
        <row r="299">
          <cell r="A299">
            <v>60005</v>
          </cell>
        </row>
        <row r="300">
          <cell r="A300">
            <v>60006</v>
          </cell>
        </row>
        <row r="301">
          <cell r="A301">
            <v>60007</v>
          </cell>
        </row>
        <row r="302">
          <cell r="A302">
            <v>60010</v>
          </cell>
        </row>
        <row r="303">
          <cell r="A303">
            <v>60011</v>
          </cell>
        </row>
        <row r="304">
          <cell r="A304">
            <v>61011</v>
          </cell>
        </row>
        <row r="305">
          <cell r="A305">
            <v>60012</v>
          </cell>
        </row>
        <row r="306">
          <cell r="A306">
            <v>60013</v>
          </cell>
        </row>
        <row r="307">
          <cell r="A307">
            <v>60014</v>
          </cell>
        </row>
        <row r="308">
          <cell r="A308">
            <v>60015</v>
          </cell>
        </row>
        <row r="309">
          <cell r="A309">
            <v>60016</v>
          </cell>
        </row>
        <row r="310">
          <cell r="A310">
            <v>60017</v>
          </cell>
        </row>
        <row r="311">
          <cell r="A311">
            <v>60018</v>
          </cell>
        </row>
        <row r="312">
          <cell r="A312">
            <v>60019</v>
          </cell>
        </row>
        <row r="313">
          <cell r="A313">
            <v>60020</v>
          </cell>
        </row>
        <row r="314">
          <cell r="A314">
            <v>60025</v>
          </cell>
        </row>
        <row r="315">
          <cell r="A315">
            <v>60026</v>
          </cell>
        </row>
        <row r="316">
          <cell r="A316">
            <v>60027</v>
          </cell>
        </row>
        <row r="317">
          <cell r="A317">
            <v>65525</v>
          </cell>
        </row>
        <row r="318">
          <cell r="A318">
            <v>65526</v>
          </cell>
        </row>
        <row r="319">
          <cell r="A319">
            <v>65527</v>
          </cell>
        </row>
        <row r="320">
          <cell r="A320">
            <v>65528</v>
          </cell>
        </row>
        <row r="321">
          <cell r="A321">
            <v>65529</v>
          </cell>
        </row>
        <row r="322">
          <cell r="A322">
            <v>65530</v>
          </cell>
        </row>
        <row r="323">
          <cell r="A323">
            <v>65531</v>
          </cell>
        </row>
        <row r="324">
          <cell r="A324">
            <v>65532</v>
          </cell>
        </row>
        <row r="325">
          <cell r="A325">
            <v>65533</v>
          </cell>
        </row>
        <row r="326">
          <cell r="A326">
            <v>65534</v>
          </cell>
        </row>
        <row r="327">
          <cell r="A327">
            <v>65535</v>
          </cell>
        </row>
        <row r="328">
          <cell r="A328">
            <v>60021</v>
          </cell>
        </row>
        <row r="329">
          <cell r="A329">
            <v>60022</v>
          </cell>
        </row>
        <row r="330">
          <cell r="A330">
            <v>60023</v>
          </cell>
        </row>
        <row r="331">
          <cell r="A33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13400_1</v>
          </cell>
        </row>
        <row r="402">
          <cell r="A402" t="str">
            <v>13400_2</v>
          </cell>
        </row>
        <row r="403">
          <cell r="A403" t="str">
            <v>13400_3</v>
          </cell>
        </row>
        <row r="404">
          <cell r="A404" t="str">
            <v>13400_4</v>
          </cell>
        </row>
        <row r="405">
          <cell r="A405" t="str">
            <v>13400_5</v>
          </cell>
        </row>
        <row r="406">
          <cell r="A406" t="str">
            <v>13400_6</v>
          </cell>
        </row>
        <row r="407">
          <cell r="A407" t="str">
            <v>13400_7</v>
          </cell>
        </row>
        <row r="408">
          <cell r="A408" t="str">
            <v>13400_8</v>
          </cell>
        </row>
        <row r="409">
          <cell r="A409" t="str">
            <v>13400_9</v>
          </cell>
        </row>
        <row r="410">
          <cell r="A410" t="str">
            <v>13400_10</v>
          </cell>
        </row>
        <row r="411">
          <cell r="A411" t="str">
            <v>13400_11</v>
          </cell>
        </row>
        <row r="412">
          <cell r="A412" t="str">
            <v>13400_12</v>
          </cell>
        </row>
        <row r="413">
          <cell r="A413" t="str">
            <v>13400_13</v>
          </cell>
        </row>
        <row r="414">
          <cell r="A414" t="str">
            <v>13400_14</v>
          </cell>
        </row>
        <row r="415">
          <cell r="A415" t="str">
            <v>13400_15</v>
          </cell>
        </row>
        <row r="416">
          <cell r="A416" t="str">
            <v>14001_1</v>
          </cell>
        </row>
        <row r="417">
          <cell r="A417" t="str">
            <v>14001_2</v>
          </cell>
        </row>
        <row r="418">
          <cell r="A418" t="str">
            <v>14001_3</v>
          </cell>
        </row>
        <row r="419">
          <cell r="A419" t="str">
            <v>14001_4</v>
          </cell>
        </row>
        <row r="420">
          <cell r="A420" t="str">
            <v>14001_5</v>
          </cell>
        </row>
        <row r="421">
          <cell r="A421" t="str">
            <v>14001_6</v>
          </cell>
        </row>
        <row r="422">
          <cell r="A422" t="str">
            <v>14001_7</v>
          </cell>
        </row>
        <row r="423">
          <cell r="A423" t="str">
            <v>14001_8</v>
          </cell>
        </row>
        <row r="424">
          <cell r="A424" t="str">
            <v>14002_1</v>
          </cell>
        </row>
        <row r="425">
          <cell r="A425" t="str">
            <v>14002_2</v>
          </cell>
        </row>
        <row r="426">
          <cell r="A426" t="str">
            <v>14003_1</v>
          </cell>
        </row>
        <row r="427">
          <cell r="A427" t="str">
            <v>14003_2</v>
          </cell>
        </row>
        <row r="428">
          <cell r="A428" t="str">
            <v>14003_3</v>
          </cell>
        </row>
        <row r="429">
          <cell r="A429" t="str">
            <v>14003_4</v>
          </cell>
        </row>
        <row r="430">
          <cell r="A430" t="str">
            <v>14004_1</v>
          </cell>
        </row>
        <row r="431">
          <cell r="A431" t="str">
            <v>14004_2</v>
          </cell>
        </row>
        <row r="432">
          <cell r="A432" t="str">
            <v>14004_3</v>
          </cell>
        </row>
        <row r="433">
          <cell r="A433" t="str">
            <v>14004_4</v>
          </cell>
        </row>
        <row r="434">
          <cell r="A434" t="str">
            <v>14005_1</v>
          </cell>
        </row>
        <row r="435">
          <cell r="A435" t="str">
            <v>14006_1</v>
          </cell>
        </row>
        <row r="436">
          <cell r="A436" t="str">
            <v>15027_1</v>
          </cell>
        </row>
        <row r="437">
          <cell r="A437" t="str">
            <v>15027_2</v>
          </cell>
        </row>
        <row r="438">
          <cell r="A438" t="str">
            <v>15027_3</v>
          </cell>
        </row>
        <row r="439">
          <cell r="A439" t="str">
            <v>15027_4</v>
          </cell>
        </row>
        <row r="440">
          <cell r="A440" t="str">
            <v>15028_1</v>
          </cell>
        </row>
        <row r="441">
          <cell r="A441" t="str">
            <v>15028_2</v>
          </cell>
        </row>
        <row r="442">
          <cell r="A442" t="str">
            <v>15028_3</v>
          </cell>
        </row>
        <row r="443">
          <cell r="A443" t="str">
            <v>15028_4</v>
          </cell>
        </row>
        <row r="444">
          <cell r="A444" t="str">
            <v>15029_1</v>
          </cell>
        </row>
        <row r="445">
          <cell r="A445" t="str">
            <v>15029_2</v>
          </cell>
        </row>
        <row r="446">
          <cell r="A446" t="str">
            <v>15029_3</v>
          </cell>
        </row>
        <row r="447">
          <cell r="A447" t="str">
            <v>15029_4</v>
          </cell>
        </row>
        <row r="448">
          <cell r="A448" t="str">
            <v>15030_1</v>
          </cell>
        </row>
        <row r="449">
          <cell r="A449" t="str">
            <v>15030_2</v>
          </cell>
        </row>
        <row r="450">
          <cell r="A450" t="str">
            <v>15030_3</v>
          </cell>
        </row>
        <row r="451">
          <cell r="A451" t="str">
            <v>15030_4</v>
          </cell>
        </row>
        <row r="452">
          <cell r="A452" t="str">
            <v>15031_1</v>
          </cell>
        </row>
        <row r="453">
          <cell r="A453" t="str">
            <v>15031_2</v>
          </cell>
        </row>
        <row r="454">
          <cell r="A454" t="str">
            <v>15031_3</v>
          </cell>
        </row>
        <row r="455">
          <cell r="A455" t="str">
            <v>15031_4</v>
          </cell>
        </row>
        <row r="456">
          <cell r="A456" t="str">
            <v>20001_1</v>
          </cell>
        </row>
        <row r="457">
          <cell r="A457" t="str">
            <v>20001_2</v>
          </cell>
        </row>
        <row r="458">
          <cell r="A458" t="str">
            <v>20001_3</v>
          </cell>
        </row>
        <row r="459">
          <cell r="A459" t="str">
            <v>20002_1</v>
          </cell>
        </row>
        <row r="460">
          <cell r="A460" t="str">
            <v>20002_2</v>
          </cell>
        </row>
        <row r="461">
          <cell r="A461" t="str">
            <v>20002_3</v>
          </cell>
        </row>
        <row r="462">
          <cell r="A462" t="str">
            <v>20003_1</v>
          </cell>
        </row>
        <row r="463">
          <cell r="A463" t="str">
            <v>20003_2</v>
          </cell>
        </row>
        <row r="464">
          <cell r="A464" t="str">
            <v>20003_3</v>
          </cell>
        </row>
        <row r="465">
          <cell r="A465" t="str">
            <v>20004_1</v>
          </cell>
        </row>
        <row r="466">
          <cell r="A466" t="str">
            <v>20004_2</v>
          </cell>
        </row>
        <row r="467">
          <cell r="A467" t="str">
            <v>20004_3</v>
          </cell>
        </row>
        <row r="468">
          <cell r="A468" t="str">
            <v>20005_1</v>
          </cell>
        </row>
        <row r="469">
          <cell r="A469" t="str">
            <v>20005_2</v>
          </cell>
        </row>
        <row r="470">
          <cell r="A470" t="str">
            <v>20005_3</v>
          </cell>
        </row>
        <row r="471">
          <cell r="A471" t="str">
            <v>20006_1</v>
          </cell>
        </row>
        <row r="472">
          <cell r="A472" t="str">
            <v>20006_2</v>
          </cell>
        </row>
        <row r="473">
          <cell r="A473" t="str">
            <v>20006_3</v>
          </cell>
        </row>
        <row r="474">
          <cell r="A474" t="str">
            <v>20007_1</v>
          </cell>
        </row>
        <row r="475">
          <cell r="A475" t="str">
            <v>20007_2</v>
          </cell>
        </row>
        <row r="476">
          <cell r="A476" t="str">
            <v>20007_3</v>
          </cell>
        </row>
        <row r="477">
          <cell r="A477" t="str">
            <v>20008_1</v>
          </cell>
        </row>
        <row r="478">
          <cell r="A478" t="str">
            <v>20008_2</v>
          </cell>
        </row>
        <row r="479">
          <cell r="A479" t="str">
            <v>20008_3</v>
          </cell>
        </row>
        <row r="480">
          <cell r="A480" t="str">
            <v>20009_1</v>
          </cell>
        </row>
        <row r="481">
          <cell r="A481" t="str">
            <v>20009_2</v>
          </cell>
        </row>
        <row r="482">
          <cell r="A482" t="str">
            <v>20009_3</v>
          </cell>
        </row>
        <row r="483">
          <cell r="A483" t="str">
            <v>20010_1</v>
          </cell>
        </row>
        <row r="484">
          <cell r="A484" t="str">
            <v>20010_2</v>
          </cell>
        </row>
        <row r="485">
          <cell r="A485" t="str">
            <v>20010_3</v>
          </cell>
        </row>
        <row r="486">
          <cell r="A486" t="str">
            <v>20011_1</v>
          </cell>
        </row>
        <row r="487">
          <cell r="A487" t="str">
            <v>20011_2</v>
          </cell>
        </row>
        <row r="488">
          <cell r="A488" t="str">
            <v>20011_3</v>
          </cell>
        </row>
        <row r="489">
          <cell r="A489" t="str">
            <v>20012_1</v>
          </cell>
        </row>
        <row r="490">
          <cell r="A490" t="str">
            <v>20012_2</v>
          </cell>
        </row>
        <row r="491">
          <cell r="A491" t="str">
            <v>20012_3</v>
          </cell>
        </row>
        <row r="492">
          <cell r="A492" t="str">
            <v>20013_1</v>
          </cell>
        </row>
        <row r="493">
          <cell r="A493" t="str">
            <v>20013_2</v>
          </cell>
        </row>
        <row r="494">
          <cell r="A494" t="str">
            <v>20013_3</v>
          </cell>
        </row>
        <row r="495">
          <cell r="A495" t="str">
            <v>20014_1</v>
          </cell>
        </row>
        <row r="496">
          <cell r="A496" t="str">
            <v>20014_2</v>
          </cell>
        </row>
        <row r="497">
          <cell r="A497" t="str">
            <v>20014_3</v>
          </cell>
        </row>
        <row r="498">
          <cell r="A498" t="str">
            <v>20015_1</v>
          </cell>
        </row>
        <row r="499">
          <cell r="A499" t="str">
            <v>20015_2</v>
          </cell>
        </row>
        <row r="500">
          <cell r="A500" t="str">
            <v>20015_3</v>
          </cell>
        </row>
        <row r="501">
          <cell r="A501" t="str">
            <v>20016_1</v>
          </cell>
        </row>
        <row r="502">
          <cell r="A502" t="str">
            <v>20016_2</v>
          </cell>
        </row>
        <row r="503">
          <cell r="A503" t="str">
            <v>20016_3</v>
          </cell>
        </row>
        <row r="504">
          <cell r="A504" t="str">
            <v>20017_1</v>
          </cell>
        </row>
        <row r="505">
          <cell r="A505" t="str">
            <v>20017_2</v>
          </cell>
        </row>
        <row r="506">
          <cell r="A506" t="str">
            <v>20017_3</v>
          </cell>
        </row>
        <row r="507">
          <cell r="A507" t="str">
            <v>20018_1</v>
          </cell>
        </row>
        <row r="508">
          <cell r="A508" t="str">
            <v>20018_2</v>
          </cell>
        </row>
        <row r="509">
          <cell r="A509" t="str">
            <v>20018_3</v>
          </cell>
        </row>
        <row r="510">
          <cell r="A510" t="str">
            <v>20019_1</v>
          </cell>
        </row>
        <row r="511">
          <cell r="A511" t="str">
            <v>20019_2</v>
          </cell>
        </row>
        <row r="512">
          <cell r="A512" t="str">
            <v>20019_3</v>
          </cell>
        </row>
        <row r="513">
          <cell r="A513" t="str">
            <v>20020_1</v>
          </cell>
        </row>
        <row r="514">
          <cell r="A514" t="str">
            <v>20020_2</v>
          </cell>
        </row>
        <row r="515">
          <cell r="A515" t="str">
            <v>20020_3</v>
          </cell>
        </row>
        <row r="516">
          <cell r="A516" t="str">
            <v>20021_1</v>
          </cell>
        </row>
        <row r="517">
          <cell r="A517" t="str">
            <v>20021_2</v>
          </cell>
        </row>
        <row r="518">
          <cell r="A518" t="str">
            <v>20021_3</v>
          </cell>
        </row>
        <row r="519">
          <cell r="A519" t="str">
            <v>20022_1</v>
          </cell>
        </row>
        <row r="520">
          <cell r="A520" t="str">
            <v>30001_1</v>
          </cell>
        </row>
        <row r="521">
          <cell r="A521" t="str">
            <v>30001_2</v>
          </cell>
        </row>
        <row r="522">
          <cell r="A522" t="str">
            <v>30001_3</v>
          </cell>
        </row>
        <row r="523">
          <cell r="A523" t="str">
            <v>30002_1</v>
          </cell>
        </row>
        <row r="524">
          <cell r="A524" t="str">
            <v>30002_2</v>
          </cell>
        </row>
        <row r="525">
          <cell r="A525" t="str">
            <v>30002_3</v>
          </cell>
        </row>
        <row r="526">
          <cell r="A526" t="str">
            <v>30003_1</v>
          </cell>
        </row>
        <row r="527">
          <cell r="A527" t="str">
            <v>30003_2</v>
          </cell>
        </row>
        <row r="528">
          <cell r="A528" t="str">
            <v>30003_3</v>
          </cell>
        </row>
        <row r="529">
          <cell r="A529" t="str">
            <v>30004_1</v>
          </cell>
        </row>
        <row r="530">
          <cell r="A530" t="str">
            <v>30004_2</v>
          </cell>
        </row>
        <row r="531">
          <cell r="A531" t="str">
            <v>30004_3</v>
          </cell>
        </row>
        <row r="532">
          <cell r="A532" t="str">
            <v>30005_1</v>
          </cell>
        </row>
        <row r="533">
          <cell r="A533" t="str">
            <v>30005_2</v>
          </cell>
        </row>
        <row r="534">
          <cell r="A534" t="str">
            <v>30005_3</v>
          </cell>
        </row>
        <row r="535">
          <cell r="A535" t="str">
            <v>30006_1</v>
          </cell>
        </row>
        <row r="536">
          <cell r="A536" t="str">
            <v>30006_2</v>
          </cell>
        </row>
        <row r="537">
          <cell r="A537" t="str">
            <v>30006_3</v>
          </cell>
        </row>
        <row r="538">
          <cell r="A538" t="str">
            <v>30007_1</v>
          </cell>
        </row>
        <row r="539">
          <cell r="A539" t="str">
            <v>30007_2</v>
          </cell>
        </row>
        <row r="540">
          <cell r="A540" t="str">
            <v>30007_3</v>
          </cell>
        </row>
        <row r="541">
          <cell r="A541" t="str">
            <v>30008_1</v>
          </cell>
        </row>
        <row r="542">
          <cell r="A542" t="str">
            <v>30008_2</v>
          </cell>
        </row>
        <row r="543">
          <cell r="A543" t="str">
            <v>30008_3</v>
          </cell>
        </row>
        <row r="544">
          <cell r="A544" t="str">
            <v>30009_3</v>
          </cell>
        </row>
        <row r="545">
          <cell r="A545" t="str">
            <v>30009_1</v>
          </cell>
        </row>
        <row r="546">
          <cell r="A546" t="str">
            <v>30009_2</v>
          </cell>
        </row>
        <row r="547">
          <cell r="A547" t="str">
            <v>30010_1</v>
          </cell>
        </row>
        <row r="548">
          <cell r="A548" t="str">
            <v>30010_2</v>
          </cell>
        </row>
        <row r="549">
          <cell r="A549" t="str">
            <v>30010_3</v>
          </cell>
        </row>
        <row r="550">
          <cell r="A550" t="str">
            <v>30011_1</v>
          </cell>
        </row>
        <row r="551">
          <cell r="A551" t="str">
            <v>30011_2</v>
          </cell>
        </row>
        <row r="552">
          <cell r="A552" t="str">
            <v>30011_3</v>
          </cell>
        </row>
        <row r="553">
          <cell r="A553" t="str">
            <v>30012_1</v>
          </cell>
        </row>
        <row r="554">
          <cell r="A554" t="str">
            <v>30012_2</v>
          </cell>
        </row>
        <row r="555">
          <cell r="A555" t="str">
            <v>30012_3</v>
          </cell>
        </row>
        <row r="556">
          <cell r="A556" t="str">
            <v>30013_1</v>
          </cell>
        </row>
        <row r="557">
          <cell r="A557" t="str">
            <v>30013_2</v>
          </cell>
        </row>
        <row r="558">
          <cell r="A558" t="str">
            <v>30014_1</v>
          </cell>
        </row>
        <row r="559">
          <cell r="A559" t="str">
            <v>30014_2</v>
          </cell>
        </row>
        <row r="560">
          <cell r="A560" t="str">
            <v>30015_1</v>
          </cell>
        </row>
        <row r="561">
          <cell r="A561" t="str">
            <v>30015_2</v>
          </cell>
        </row>
        <row r="562">
          <cell r="A562" t="str">
            <v>30016_1</v>
          </cell>
        </row>
        <row r="563">
          <cell r="A563" t="str">
            <v>30016_2</v>
          </cell>
        </row>
        <row r="564">
          <cell r="A564" t="str">
            <v>30017_1</v>
          </cell>
        </row>
        <row r="565">
          <cell r="A565" t="str">
            <v>30017_2</v>
          </cell>
        </row>
        <row r="566">
          <cell r="A566" t="str">
            <v>30018_1</v>
          </cell>
        </row>
        <row r="567">
          <cell r="A567" t="str">
            <v>30018_2</v>
          </cell>
        </row>
        <row r="568">
          <cell r="A568" t="str">
            <v>30019_1</v>
          </cell>
        </row>
        <row r="569">
          <cell r="A569" t="str">
            <v>30019_2</v>
          </cell>
        </row>
        <row r="570">
          <cell r="A570" t="str">
            <v>30020_1</v>
          </cell>
        </row>
        <row r="571">
          <cell r="A571" t="str">
            <v>30020_2</v>
          </cell>
        </row>
        <row r="572">
          <cell r="A572" t="str">
            <v>30021_1</v>
          </cell>
        </row>
        <row r="573">
          <cell r="A573" t="str">
            <v>30021_2</v>
          </cell>
        </row>
        <row r="574">
          <cell r="A574" t="str">
            <v>30021_3</v>
          </cell>
        </row>
        <row r="575">
          <cell r="A575" t="str">
            <v>30022_1</v>
          </cell>
        </row>
        <row r="576">
          <cell r="A576" t="str">
            <v>30022_2</v>
          </cell>
        </row>
        <row r="577">
          <cell r="A577" t="str">
            <v>30023_1</v>
          </cell>
        </row>
        <row r="578">
          <cell r="A578" t="str">
            <v>30023_2</v>
          </cell>
        </row>
        <row r="579">
          <cell r="A579" t="str">
            <v>30023_3</v>
          </cell>
        </row>
        <row r="580">
          <cell r="A580" t="str">
            <v>30024_1</v>
          </cell>
        </row>
        <row r="581">
          <cell r="A581" t="str">
            <v>30024_2</v>
          </cell>
        </row>
        <row r="582">
          <cell r="A582" t="str">
            <v>30024_3</v>
          </cell>
        </row>
        <row r="583">
          <cell r="A583" t="str">
            <v>30025_1</v>
          </cell>
        </row>
        <row r="584">
          <cell r="A584" t="str">
            <v>30025_2</v>
          </cell>
        </row>
        <row r="585">
          <cell r="A585" t="str">
            <v>30025_3</v>
          </cell>
        </row>
        <row r="586">
          <cell r="A586" t="str">
            <v>30026_1</v>
          </cell>
        </row>
        <row r="587">
          <cell r="A587" t="str">
            <v>30026_2</v>
          </cell>
        </row>
        <row r="588">
          <cell r="A588" t="str">
            <v>30026_3</v>
          </cell>
        </row>
        <row r="589">
          <cell r="A589" t="str">
            <v>30027_1</v>
          </cell>
        </row>
        <row r="590">
          <cell r="A590" t="str">
            <v>30027_2</v>
          </cell>
        </row>
        <row r="591">
          <cell r="A591" t="str">
            <v>30027_3</v>
          </cell>
        </row>
        <row r="592">
          <cell r="A592" t="str">
            <v>30028_1</v>
          </cell>
        </row>
        <row r="593">
          <cell r="A593" t="str">
            <v>30028_2</v>
          </cell>
        </row>
        <row r="594">
          <cell r="A594" t="str">
            <v>30028_3</v>
          </cell>
        </row>
        <row r="595">
          <cell r="A595" t="str">
            <v>30029_1</v>
          </cell>
        </row>
        <row r="596">
          <cell r="A596" t="str">
            <v>30029_2</v>
          </cell>
        </row>
        <row r="597">
          <cell r="A597" t="str">
            <v>30029_3</v>
          </cell>
        </row>
        <row r="598">
          <cell r="A598" t="str">
            <v>30030_1</v>
          </cell>
        </row>
        <row r="599">
          <cell r="A599" t="str">
            <v>30030_2</v>
          </cell>
        </row>
        <row r="600">
          <cell r="A600" t="str">
            <v>30030_3</v>
          </cell>
        </row>
        <row r="601">
          <cell r="A601" t="str">
            <v>30031_1</v>
          </cell>
        </row>
        <row r="602">
          <cell r="A602" t="str">
            <v>30031_2</v>
          </cell>
        </row>
        <row r="603">
          <cell r="A603" t="str">
            <v>30031_3</v>
          </cell>
        </row>
        <row r="604">
          <cell r="A604" t="str">
            <v>30032_1</v>
          </cell>
        </row>
        <row r="605">
          <cell r="A605" t="str">
            <v>30032_2</v>
          </cell>
        </row>
        <row r="606">
          <cell r="A606" t="str">
            <v>30032_3</v>
          </cell>
        </row>
        <row r="607">
          <cell r="A607" t="str">
            <v>30033_1</v>
          </cell>
        </row>
        <row r="608">
          <cell r="A608" t="str">
            <v>30033_2</v>
          </cell>
        </row>
        <row r="609">
          <cell r="A609" t="str">
            <v>30033_3</v>
          </cell>
        </row>
        <row r="610">
          <cell r="A610" t="str">
            <v>30034_1</v>
          </cell>
        </row>
        <row r="611">
          <cell r="A611" t="str">
            <v>30034_2</v>
          </cell>
        </row>
        <row r="612">
          <cell r="A612" t="str">
            <v>30034_3</v>
          </cell>
        </row>
        <row r="613">
          <cell r="A613" t="str">
            <v>30035_1</v>
          </cell>
        </row>
        <row r="614">
          <cell r="A614" t="str">
            <v>30035_2</v>
          </cell>
        </row>
        <row r="615">
          <cell r="A615" t="str">
            <v>30035_3</v>
          </cell>
        </row>
        <row r="616">
          <cell r="A616" t="str">
            <v>30036_1</v>
          </cell>
        </row>
        <row r="617">
          <cell r="A617" t="str">
            <v>30036_2</v>
          </cell>
        </row>
        <row r="618">
          <cell r="A618" t="str">
            <v>30036_3</v>
          </cell>
        </row>
        <row r="619">
          <cell r="A619" t="str">
            <v>30037_1</v>
          </cell>
        </row>
        <row r="620">
          <cell r="A620" t="str">
            <v>30037_2</v>
          </cell>
        </row>
        <row r="621">
          <cell r="A621" t="str">
            <v>30037_3</v>
          </cell>
        </row>
        <row r="622">
          <cell r="A622" t="str">
            <v>30038_1</v>
          </cell>
        </row>
        <row r="623">
          <cell r="A623" t="str">
            <v>30038_2</v>
          </cell>
        </row>
        <row r="624">
          <cell r="A624" t="str">
            <v>30038_3</v>
          </cell>
        </row>
        <row r="625">
          <cell r="A625" t="str">
            <v>30039_1</v>
          </cell>
        </row>
        <row r="626">
          <cell r="A626" t="str">
            <v>30039_2</v>
          </cell>
        </row>
        <row r="627">
          <cell r="A627" t="str">
            <v>30039_3</v>
          </cell>
        </row>
        <row r="628">
          <cell r="A628" t="str">
            <v>30040_1</v>
          </cell>
        </row>
        <row r="629">
          <cell r="A629" t="str">
            <v>30040_2</v>
          </cell>
        </row>
        <row r="630">
          <cell r="A630" t="str">
            <v>30040_3</v>
          </cell>
        </row>
        <row r="631">
          <cell r="A631" t="str">
            <v>30041_1</v>
          </cell>
        </row>
        <row r="632">
          <cell r="A632" t="str">
            <v>30041_2</v>
          </cell>
        </row>
        <row r="633">
          <cell r="A633" t="str">
            <v>30041_3</v>
          </cell>
        </row>
        <row r="634">
          <cell r="A634" t="str">
            <v>30042_1</v>
          </cell>
        </row>
        <row r="635">
          <cell r="A635" t="str">
            <v>30042_2</v>
          </cell>
        </row>
        <row r="636">
          <cell r="A636" t="str">
            <v>30042_3</v>
          </cell>
        </row>
        <row r="637">
          <cell r="A637" t="str">
            <v>30043_1</v>
          </cell>
        </row>
        <row r="638">
          <cell r="A638" t="str">
            <v>30043_2</v>
          </cell>
        </row>
        <row r="639">
          <cell r="A639" t="str">
            <v>30043_3</v>
          </cell>
        </row>
        <row r="640">
          <cell r="A640" t="str">
            <v>30044_1</v>
          </cell>
        </row>
        <row r="641">
          <cell r="A641" t="str">
            <v>30044_2</v>
          </cell>
        </row>
        <row r="642">
          <cell r="A642" t="str">
            <v>30044_3</v>
          </cell>
        </row>
        <row r="643">
          <cell r="A643" t="str">
            <v>30045_1</v>
          </cell>
        </row>
        <row r="644">
          <cell r="A644" t="str">
            <v>30045_2</v>
          </cell>
        </row>
        <row r="645">
          <cell r="A645" t="str">
            <v>30045_3</v>
          </cell>
        </row>
        <row r="646">
          <cell r="A646" t="str">
            <v>30046_1</v>
          </cell>
        </row>
        <row r="647">
          <cell r="A647" t="str">
            <v>30046_2</v>
          </cell>
        </row>
        <row r="648">
          <cell r="A648" t="str">
            <v>30046_3</v>
          </cell>
        </row>
        <row r="649">
          <cell r="A649" t="str">
            <v>30047_1</v>
          </cell>
        </row>
        <row r="650">
          <cell r="A650" t="str">
            <v>30047_2</v>
          </cell>
        </row>
        <row r="651">
          <cell r="A651" t="str">
            <v>30047_3</v>
          </cell>
        </row>
        <row r="652">
          <cell r="A652" t="str">
            <v>30048_1</v>
          </cell>
        </row>
        <row r="653">
          <cell r="A653" t="str">
            <v>30048_2</v>
          </cell>
        </row>
        <row r="654">
          <cell r="A654" t="str">
            <v>30048_3</v>
          </cell>
        </row>
        <row r="655">
          <cell r="A655" t="str">
            <v>39001_1</v>
          </cell>
        </row>
        <row r="656">
          <cell r="A656" t="str">
            <v>39001_2</v>
          </cell>
        </row>
        <row r="657">
          <cell r="A657" t="str">
            <v>39001_3</v>
          </cell>
        </row>
        <row r="658">
          <cell r="A658" t="str">
            <v>39001_4</v>
          </cell>
        </row>
        <row r="659">
          <cell r="A659" t="str">
            <v>39001_5</v>
          </cell>
        </row>
        <row r="660">
          <cell r="A660" t="str">
            <v>39002_1</v>
          </cell>
        </row>
        <row r="661">
          <cell r="A661" t="str">
            <v>39002_2</v>
          </cell>
        </row>
        <row r="662">
          <cell r="A662" t="str">
            <v>39002_3</v>
          </cell>
        </row>
        <row r="663">
          <cell r="A663" t="str">
            <v>39002_4</v>
          </cell>
        </row>
        <row r="664">
          <cell r="A664" t="str">
            <v>39003_1</v>
          </cell>
        </row>
        <row r="665">
          <cell r="A665" t="str">
            <v>39003_2</v>
          </cell>
        </row>
        <row r="666">
          <cell r="A666" t="str">
            <v>39003_3</v>
          </cell>
        </row>
        <row r="667">
          <cell r="A667" t="str">
            <v>39003_4</v>
          </cell>
        </row>
        <row r="668">
          <cell r="A668" t="str">
            <v>39004_1</v>
          </cell>
        </row>
        <row r="669">
          <cell r="A669" t="str">
            <v>39004_2</v>
          </cell>
        </row>
        <row r="670">
          <cell r="A670" t="str">
            <v>39004_3</v>
          </cell>
        </row>
        <row r="671">
          <cell r="A671" t="str">
            <v>39004_4</v>
          </cell>
        </row>
        <row r="672">
          <cell r="A672" t="str">
            <v>39005_1</v>
          </cell>
        </row>
        <row r="673">
          <cell r="A673" t="str">
            <v>39005_2</v>
          </cell>
        </row>
        <row r="674">
          <cell r="A674" t="str">
            <v>39005_3</v>
          </cell>
        </row>
        <row r="675">
          <cell r="A675" t="str">
            <v>39005_4</v>
          </cell>
        </row>
        <row r="676">
          <cell r="A676" t="str">
            <v>39005_5</v>
          </cell>
        </row>
        <row r="677">
          <cell r="A677" t="str">
            <v>39006_1</v>
          </cell>
        </row>
        <row r="678">
          <cell r="A678" t="str">
            <v>39006_2</v>
          </cell>
        </row>
        <row r="679">
          <cell r="A679" t="str">
            <v>39006_3</v>
          </cell>
        </row>
        <row r="680">
          <cell r="A680" t="str">
            <v>39006_4</v>
          </cell>
        </row>
        <row r="681">
          <cell r="A681" t="str">
            <v>39007_1</v>
          </cell>
        </row>
        <row r="682">
          <cell r="A682" t="str">
            <v>39007_2</v>
          </cell>
        </row>
        <row r="683">
          <cell r="A683" t="str">
            <v>39007_3</v>
          </cell>
        </row>
        <row r="684">
          <cell r="A684" t="str">
            <v>39007_4</v>
          </cell>
        </row>
        <row r="685">
          <cell r="A685" t="str">
            <v>39008_1</v>
          </cell>
        </row>
        <row r="686">
          <cell r="A686" t="str">
            <v>39008_2</v>
          </cell>
        </row>
        <row r="687">
          <cell r="A687" t="str">
            <v>39008_3</v>
          </cell>
        </row>
        <row r="688">
          <cell r="A688" t="str">
            <v>39008_4</v>
          </cell>
        </row>
        <row r="689">
          <cell r="A689" t="str">
            <v>39008_5</v>
          </cell>
        </row>
        <row r="690">
          <cell r="A690" t="str">
            <v>39009_1</v>
          </cell>
        </row>
        <row r="691">
          <cell r="A691" t="str">
            <v>39009_2</v>
          </cell>
        </row>
        <row r="692">
          <cell r="A692" t="str">
            <v>39009_3</v>
          </cell>
        </row>
        <row r="693">
          <cell r="A693" t="str">
            <v>39009_4</v>
          </cell>
        </row>
        <row r="694">
          <cell r="A694" t="str">
            <v>39009_5</v>
          </cell>
        </row>
        <row r="695">
          <cell r="A695" t="str">
            <v>39010_1</v>
          </cell>
        </row>
        <row r="696">
          <cell r="A696" t="str">
            <v>39010_2</v>
          </cell>
        </row>
        <row r="697">
          <cell r="A697" t="str">
            <v>39010_3</v>
          </cell>
        </row>
        <row r="698">
          <cell r="A698" t="str">
            <v>39010_4</v>
          </cell>
        </row>
        <row r="699">
          <cell r="A699" t="str">
            <v>39011_1</v>
          </cell>
        </row>
        <row r="700">
          <cell r="A700" t="str">
            <v>39011_2</v>
          </cell>
        </row>
        <row r="701">
          <cell r="A701" t="str">
            <v>39011_3</v>
          </cell>
        </row>
        <row r="702">
          <cell r="A702" t="str">
            <v>39011_4</v>
          </cell>
        </row>
        <row r="703">
          <cell r="A703" t="str">
            <v>40001_1</v>
          </cell>
        </row>
        <row r="704">
          <cell r="A704" t="str">
            <v>40002_1</v>
          </cell>
        </row>
        <row r="705">
          <cell r="A705" t="str">
            <v>40002_2</v>
          </cell>
        </row>
        <row r="706">
          <cell r="A706" t="str">
            <v>40002_3</v>
          </cell>
        </row>
        <row r="707">
          <cell r="A707" t="str">
            <v>40003_1</v>
          </cell>
        </row>
        <row r="708">
          <cell r="A708" t="str">
            <v>40004_1</v>
          </cell>
        </row>
        <row r="709">
          <cell r="A709" t="str">
            <v>40005_1</v>
          </cell>
        </row>
        <row r="710">
          <cell r="A710" t="str">
            <v>40006_1</v>
          </cell>
        </row>
        <row r="711">
          <cell r="A711" t="str">
            <v>40007_1</v>
          </cell>
        </row>
        <row r="712">
          <cell r="A712" t="str">
            <v>40008_1</v>
          </cell>
        </row>
        <row r="713">
          <cell r="A713" t="str">
            <v>40009_1</v>
          </cell>
        </row>
        <row r="714">
          <cell r="A714" t="str">
            <v>40010_1</v>
          </cell>
        </row>
        <row r="715">
          <cell r="A715" t="str">
            <v>40011_1</v>
          </cell>
        </row>
        <row r="716">
          <cell r="A716" t="str">
            <v>40012_1</v>
          </cell>
        </row>
        <row r="717">
          <cell r="A717" t="str">
            <v>40013_1</v>
          </cell>
        </row>
        <row r="718">
          <cell r="A718" t="str">
            <v>40014_1</v>
          </cell>
        </row>
        <row r="719">
          <cell r="A719" t="str">
            <v>40015_1</v>
          </cell>
        </row>
        <row r="720">
          <cell r="A720" t="str">
            <v>40016_1</v>
          </cell>
        </row>
        <row r="721">
          <cell r="A721" t="str">
            <v>40016_2</v>
          </cell>
        </row>
        <row r="722">
          <cell r="A722" t="str">
            <v>40017_1</v>
          </cell>
        </row>
        <row r="723">
          <cell r="A723" t="str">
            <v>40017_2</v>
          </cell>
        </row>
        <row r="724">
          <cell r="A724" t="str">
            <v>40017_3</v>
          </cell>
        </row>
        <row r="725">
          <cell r="A725" t="str">
            <v>40018_1</v>
          </cell>
        </row>
        <row r="726">
          <cell r="A726" t="str">
            <v>40018_2</v>
          </cell>
        </row>
        <row r="727">
          <cell r="A727" t="str">
            <v>40018_3</v>
          </cell>
        </row>
        <row r="728">
          <cell r="A728" t="str">
            <v>40019_1</v>
          </cell>
        </row>
        <row r="729">
          <cell r="A729" t="str">
            <v>40019_2</v>
          </cell>
        </row>
        <row r="730">
          <cell r="A730" t="str">
            <v>40019_3</v>
          </cell>
        </row>
        <row r="731">
          <cell r="A731" t="str">
            <v>40021_1</v>
          </cell>
        </row>
        <row r="732">
          <cell r="A732" t="str">
            <v>40021_2</v>
          </cell>
        </row>
        <row r="733">
          <cell r="A733" t="str">
            <v>40022_1</v>
          </cell>
        </row>
        <row r="734">
          <cell r="A734" t="str">
            <v>40022_2</v>
          </cell>
        </row>
        <row r="735">
          <cell r="A735" t="str">
            <v>40023_1</v>
          </cell>
        </row>
        <row r="736">
          <cell r="A736" t="str">
            <v>40023_2</v>
          </cell>
        </row>
        <row r="737">
          <cell r="A737" t="str">
            <v>40024_1</v>
          </cell>
        </row>
        <row r="738">
          <cell r="A738" t="str">
            <v>40024_2</v>
          </cell>
        </row>
        <row r="739">
          <cell r="A739" t="str">
            <v>40025_1</v>
          </cell>
        </row>
        <row r="740">
          <cell r="A740" t="str">
            <v>40025_2</v>
          </cell>
        </row>
        <row r="741">
          <cell r="A741" t="str">
            <v>40026_1</v>
          </cell>
        </row>
        <row r="742">
          <cell r="A742" t="str">
            <v>40026_2</v>
          </cell>
        </row>
        <row r="743">
          <cell r="A743" t="str">
            <v>40027_1</v>
          </cell>
        </row>
        <row r="744">
          <cell r="A744" t="str">
            <v>40027_2</v>
          </cell>
        </row>
        <row r="745">
          <cell r="A745" t="str">
            <v>40028_1</v>
          </cell>
        </row>
        <row r="746">
          <cell r="A746" t="str">
            <v>40028_2</v>
          </cell>
        </row>
        <row r="747">
          <cell r="A747" t="str">
            <v>40029_1</v>
          </cell>
        </row>
        <row r="748">
          <cell r="A748" t="str">
            <v>40029_2</v>
          </cell>
        </row>
        <row r="749">
          <cell r="A749" t="str">
            <v>40030_1</v>
          </cell>
        </row>
        <row r="750">
          <cell r="A750" t="str">
            <v>40030_2</v>
          </cell>
        </row>
        <row r="751">
          <cell r="A751" t="str">
            <v>40031_1</v>
          </cell>
        </row>
        <row r="752">
          <cell r="A752" t="str">
            <v>40031_2</v>
          </cell>
        </row>
        <row r="753">
          <cell r="A753" t="str">
            <v>40032_1</v>
          </cell>
        </row>
        <row r="754">
          <cell r="A754" t="str">
            <v>40032_2</v>
          </cell>
        </row>
        <row r="755">
          <cell r="A755" t="str">
            <v>40033_1</v>
          </cell>
        </row>
        <row r="756">
          <cell r="A756" t="str">
            <v>40033_2</v>
          </cell>
        </row>
        <row r="757">
          <cell r="A757" t="str">
            <v>40034_1</v>
          </cell>
        </row>
        <row r="758">
          <cell r="A758" t="str">
            <v>40034_2</v>
          </cell>
        </row>
        <row r="759">
          <cell r="A759" t="str">
            <v>40035_1</v>
          </cell>
        </row>
        <row r="760">
          <cell r="A760" t="str">
            <v>40035_2</v>
          </cell>
        </row>
        <row r="761">
          <cell r="A761" t="str">
            <v>40036_1</v>
          </cell>
        </row>
        <row r="762">
          <cell r="A762" t="str">
            <v>40036_2</v>
          </cell>
        </row>
        <row r="763">
          <cell r="A763" t="str">
            <v>40037_1</v>
          </cell>
        </row>
        <row r="764">
          <cell r="A764" t="str">
            <v>40037_2</v>
          </cell>
        </row>
        <row r="765">
          <cell r="A765" t="str">
            <v>40038_1</v>
          </cell>
        </row>
        <row r="766">
          <cell r="A766" t="str">
            <v>40038_2</v>
          </cell>
        </row>
        <row r="767">
          <cell r="A767" t="str">
            <v>40039_1</v>
          </cell>
        </row>
        <row r="768">
          <cell r="A768" t="str">
            <v>40039_2</v>
          </cell>
        </row>
        <row r="769">
          <cell r="A769" t="str">
            <v>40040_1</v>
          </cell>
        </row>
        <row r="770">
          <cell r="A770" t="str">
            <v>40040_2</v>
          </cell>
        </row>
        <row r="771">
          <cell r="A771" t="str">
            <v>40041_1</v>
          </cell>
        </row>
        <row r="772">
          <cell r="A772" t="str">
            <v>40041_2</v>
          </cell>
        </row>
        <row r="773">
          <cell r="A773" t="str">
            <v>40042_1</v>
          </cell>
        </row>
        <row r="774">
          <cell r="A774" t="str">
            <v>40042_2</v>
          </cell>
        </row>
        <row r="775">
          <cell r="A775" t="str">
            <v>40043_1</v>
          </cell>
        </row>
        <row r="776">
          <cell r="A776" t="str">
            <v>40043_2</v>
          </cell>
        </row>
        <row r="777">
          <cell r="A777" t="str">
            <v>41001_1</v>
          </cell>
        </row>
        <row r="778">
          <cell r="A778" t="str">
            <v>41001_2</v>
          </cell>
        </row>
        <row r="779">
          <cell r="A779" t="str">
            <v>41001_3</v>
          </cell>
        </row>
        <row r="780">
          <cell r="A780" t="str">
            <v>41002_1</v>
          </cell>
        </row>
        <row r="781">
          <cell r="A781" t="str">
            <v>41002_2</v>
          </cell>
        </row>
        <row r="782">
          <cell r="A782" t="str">
            <v>41002_3</v>
          </cell>
        </row>
        <row r="783">
          <cell r="A783" t="str">
            <v>41003_1</v>
          </cell>
        </row>
        <row r="784">
          <cell r="A784" t="str">
            <v>41003_2</v>
          </cell>
        </row>
        <row r="785">
          <cell r="A785" t="str">
            <v>41003_3</v>
          </cell>
        </row>
        <row r="786">
          <cell r="A786" t="str">
            <v>41004_1</v>
          </cell>
        </row>
        <row r="787">
          <cell r="A787" t="str">
            <v>41004_2</v>
          </cell>
        </row>
        <row r="788">
          <cell r="A788" t="str">
            <v>41004_3</v>
          </cell>
        </row>
        <row r="789">
          <cell r="A789" t="str">
            <v>41005_1</v>
          </cell>
        </row>
        <row r="790">
          <cell r="A790" t="str">
            <v>41005_2</v>
          </cell>
        </row>
        <row r="791">
          <cell r="A791" t="str">
            <v>41005_3</v>
          </cell>
        </row>
        <row r="792">
          <cell r="A792" t="str">
            <v>41006_1</v>
          </cell>
        </row>
        <row r="793">
          <cell r="A793" t="str">
            <v>41006_2</v>
          </cell>
        </row>
        <row r="794">
          <cell r="A794" t="str">
            <v>41006_3</v>
          </cell>
        </row>
        <row r="795">
          <cell r="A795" t="str">
            <v>41007_1</v>
          </cell>
        </row>
        <row r="796">
          <cell r="A796" t="str">
            <v>41007_2</v>
          </cell>
        </row>
        <row r="797">
          <cell r="A797" t="str">
            <v>41007_3</v>
          </cell>
        </row>
        <row r="798">
          <cell r="A798" t="str">
            <v>41008_1</v>
          </cell>
        </row>
        <row r="799">
          <cell r="A799" t="str">
            <v>41008_2</v>
          </cell>
        </row>
        <row r="800">
          <cell r="A800" t="str">
            <v>41008_3</v>
          </cell>
        </row>
        <row r="801">
          <cell r="A801" t="str">
            <v>41009_1</v>
          </cell>
        </row>
        <row r="802">
          <cell r="A802" t="str">
            <v>41009_2</v>
          </cell>
        </row>
        <row r="803">
          <cell r="A803" t="str">
            <v>41009_3</v>
          </cell>
        </row>
        <row r="804">
          <cell r="A804" t="str">
            <v>41010_1</v>
          </cell>
        </row>
        <row r="805">
          <cell r="A805" t="str">
            <v>41010_2</v>
          </cell>
        </row>
        <row r="806">
          <cell r="A806" t="str">
            <v>41010_3</v>
          </cell>
        </row>
        <row r="807">
          <cell r="A807" t="str">
            <v>41011_1</v>
          </cell>
        </row>
        <row r="808">
          <cell r="A808" t="str">
            <v>41011_2</v>
          </cell>
        </row>
        <row r="809">
          <cell r="A809" t="str">
            <v>41012_1</v>
          </cell>
        </row>
        <row r="810">
          <cell r="A810" t="str">
            <v>41012_2</v>
          </cell>
        </row>
        <row r="811">
          <cell r="A811" t="str">
            <v>41013_1</v>
          </cell>
        </row>
        <row r="812">
          <cell r="A812" t="str">
            <v>41013_2</v>
          </cell>
        </row>
        <row r="813">
          <cell r="A813" t="str">
            <v>41014_1</v>
          </cell>
        </row>
        <row r="814">
          <cell r="A814" t="str">
            <v>41014_2</v>
          </cell>
        </row>
        <row r="815">
          <cell r="A815" t="str">
            <v>41015_1</v>
          </cell>
        </row>
        <row r="816">
          <cell r="A816" t="str">
            <v>41015_2</v>
          </cell>
        </row>
        <row r="817">
          <cell r="A817" t="str">
            <v>47001_1</v>
          </cell>
        </row>
        <row r="818">
          <cell r="A818" t="str">
            <v>47001_2</v>
          </cell>
        </row>
        <row r="819">
          <cell r="A819" t="str">
            <v>47002_1</v>
          </cell>
        </row>
        <row r="820">
          <cell r="A820" t="str">
            <v>47002_2</v>
          </cell>
        </row>
        <row r="821">
          <cell r="A821" t="str">
            <v>47003_1</v>
          </cell>
        </row>
        <row r="822">
          <cell r="A822" t="str">
            <v>47003_2</v>
          </cell>
        </row>
        <row r="823">
          <cell r="A823" t="str">
            <v>47003_3</v>
          </cell>
        </row>
        <row r="824">
          <cell r="A824" t="str">
            <v>47003_4</v>
          </cell>
        </row>
        <row r="825">
          <cell r="A825" t="str">
            <v>47004_1</v>
          </cell>
        </row>
        <row r="826">
          <cell r="A826" t="str">
            <v>47004_2</v>
          </cell>
        </row>
        <row r="827">
          <cell r="A827" t="str">
            <v>47004_3</v>
          </cell>
        </row>
        <row r="828">
          <cell r="A828" t="str">
            <v>47004_4</v>
          </cell>
        </row>
        <row r="829">
          <cell r="A829" t="str">
            <v>47005_1</v>
          </cell>
        </row>
        <row r="830">
          <cell r="A830" t="str">
            <v>47006_1</v>
          </cell>
        </row>
        <row r="831">
          <cell r="A831" t="str">
            <v>47006_2</v>
          </cell>
        </row>
        <row r="832">
          <cell r="A832" t="str">
            <v>47007_1</v>
          </cell>
        </row>
        <row r="833">
          <cell r="A833" t="str">
            <v>47007_2</v>
          </cell>
        </row>
        <row r="834">
          <cell r="A834" t="str">
            <v>47008_1</v>
          </cell>
        </row>
        <row r="835">
          <cell r="A835" t="str">
            <v>47008_2</v>
          </cell>
        </row>
        <row r="836">
          <cell r="A836" t="str">
            <v>48001_1</v>
          </cell>
        </row>
        <row r="837">
          <cell r="A837" t="str">
            <v>48002_1</v>
          </cell>
        </row>
        <row r="838">
          <cell r="A838" t="str">
            <v>48002_2</v>
          </cell>
        </row>
        <row r="839">
          <cell r="A839" t="str">
            <v>48002_3</v>
          </cell>
        </row>
        <row r="840">
          <cell r="A840" t="str">
            <v>48003_1</v>
          </cell>
        </row>
        <row r="841">
          <cell r="A841" t="str">
            <v>48003_2</v>
          </cell>
        </row>
        <row r="842">
          <cell r="A842" t="str">
            <v>48004_1</v>
          </cell>
        </row>
        <row r="843">
          <cell r="A843" t="str">
            <v>48004_2</v>
          </cell>
        </row>
        <row r="844">
          <cell r="A844" t="str">
            <v>48005_1</v>
          </cell>
        </row>
        <row r="845">
          <cell r="A845" t="str">
            <v>48005_2</v>
          </cell>
        </row>
        <row r="846">
          <cell r="A846" t="str">
            <v>48006_1</v>
          </cell>
        </row>
        <row r="847">
          <cell r="A847" t="str">
            <v>48006_2</v>
          </cell>
        </row>
        <row r="848">
          <cell r="A848" t="str">
            <v>48007_1</v>
          </cell>
        </row>
        <row r="849">
          <cell r="A849" t="str">
            <v>48007_2</v>
          </cell>
        </row>
        <row r="850">
          <cell r="A850" t="str">
            <v>48008_1</v>
          </cell>
        </row>
        <row r="851">
          <cell r="A851" t="str">
            <v>48008_2</v>
          </cell>
        </row>
        <row r="852">
          <cell r="A852" t="str">
            <v>48009_1</v>
          </cell>
        </row>
        <row r="853">
          <cell r="A853" t="str">
            <v>48009_2</v>
          </cell>
        </row>
        <row r="854">
          <cell r="A854" t="str">
            <v>48010_1</v>
          </cell>
        </row>
        <row r="855">
          <cell r="A855" t="str">
            <v>48011_1</v>
          </cell>
        </row>
        <row r="856">
          <cell r="A856" t="str">
            <v>48011_2</v>
          </cell>
        </row>
        <row r="857">
          <cell r="A857" t="str">
            <v>48501_1</v>
          </cell>
        </row>
        <row r="858">
          <cell r="A858" t="str">
            <v>48501_2</v>
          </cell>
        </row>
        <row r="859">
          <cell r="A859" t="str">
            <v>49001_1</v>
          </cell>
        </row>
        <row r="860">
          <cell r="A860" t="str">
            <v>49002_1</v>
          </cell>
        </row>
        <row r="861">
          <cell r="A861" t="str">
            <v>49002_2</v>
          </cell>
        </row>
        <row r="862">
          <cell r="A862" t="str">
            <v>49003_1</v>
          </cell>
        </row>
        <row r="863">
          <cell r="A863" t="str">
            <v>49003_2</v>
          </cell>
        </row>
        <row r="864">
          <cell r="A864" t="str">
            <v>49004_1</v>
          </cell>
        </row>
        <row r="865">
          <cell r="A865" t="str">
            <v>49004_2</v>
          </cell>
        </row>
        <row r="866">
          <cell r="A866" t="str">
            <v>49004_3</v>
          </cell>
        </row>
        <row r="867">
          <cell r="A867" t="str">
            <v>49005_1</v>
          </cell>
        </row>
        <row r="868">
          <cell r="A868" t="str">
            <v>49006_1</v>
          </cell>
        </row>
        <row r="869">
          <cell r="A869" t="str">
            <v>49006_2</v>
          </cell>
        </row>
        <row r="870">
          <cell r="A870" t="str">
            <v>49007_1</v>
          </cell>
        </row>
        <row r="871">
          <cell r="A871" t="str">
            <v>49007_2</v>
          </cell>
        </row>
        <row r="872">
          <cell r="A872" t="str">
            <v>49007_3</v>
          </cell>
        </row>
        <row r="873">
          <cell r="A873" t="str">
            <v>49008_1</v>
          </cell>
        </row>
        <row r="874">
          <cell r="A874" t="str">
            <v>49009_1</v>
          </cell>
        </row>
        <row r="875">
          <cell r="A875" t="str">
            <v>49010_1</v>
          </cell>
        </row>
        <row r="876">
          <cell r="A876" t="str">
            <v>49011_1</v>
          </cell>
        </row>
        <row r="877">
          <cell r="A877" t="str">
            <v>49012_1</v>
          </cell>
        </row>
        <row r="878">
          <cell r="A878" t="str">
            <v>49013_1</v>
          </cell>
        </row>
        <row r="879">
          <cell r="A879" t="str">
            <v>50001_1</v>
          </cell>
        </row>
        <row r="880">
          <cell r="A880" t="str">
            <v>50002_1</v>
          </cell>
        </row>
        <row r="881">
          <cell r="A881" t="str">
            <v>50003_1</v>
          </cell>
        </row>
        <row r="882">
          <cell r="A882" t="str">
            <v>50004_1</v>
          </cell>
        </row>
        <row r="883">
          <cell r="A883" t="str">
            <v>50005_1</v>
          </cell>
        </row>
        <row r="884">
          <cell r="A884" t="str">
            <v>50006_1</v>
          </cell>
        </row>
        <row r="885">
          <cell r="A885" t="str">
            <v>50007_1</v>
          </cell>
        </row>
        <row r="886">
          <cell r="A886" t="str">
            <v>50008_1</v>
          </cell>
        </row>
        <row r="887">
          <cell r="A887" t="str">
            <v>50009_1</v>
          </cell>
        </row>
        <row r="888">
          <cell r="A888" t="str">
            <v>50010_1</v>
          </cell>
        </row>
        <row r="889">
          <cell r="A889" t="str">
            <v>50011_1</v>
          </cell>
        </row>
        <row r="890">
          <cell r="A890" t="str">
            <v>50012_1</v>
          </cell>
        </row>
        <row r="891">
          <cell r="A891" t="str">
            <v>50013_1</v>
          </cell>
        </row>
        <row r="892">
          <cell r="A892" t="str">
            <v>50014_1</v>
          </cell>
        </row>
        <row r="893">
          <cell r="A893" t="str">
            <v>51001_1</v>
          </cell>
        </row>
        <row r="894">
          <cell r="A894" t="str">
            <v>51002_1</v>
          </cell>
        </row>
        <row r="895">
          <cell r="A895" t="str">
            <v>59001_1</v>
          </cell>
        </row>
        <row r="896">
          <cell r="A896" t="str">
            <v>60001_1</v>
          </cell>
        </row>
        <row r="897">
          <cell r="A897" t="str">
            <v>60002_1</v>
          </cell>
        </row>
        <row r="898">
          <cell r="A898" t="str">
            <v>60002_2</v>
          </cell>
        </row>
        <row r="899">
          <cell r="A899" t="str">
            <v>60003_1</v>
          </cell>
        </row>
        <row r="900">
          <cell r="A900" t="str">
            <v>60003_2</v>
          </cell>
        </row>
        <row r="901">
          <cell r="A901" t="str">
            <v>60003_3</v>
          </cell>
        </row>
        <row r="902">
          <cell r="A902" t="str">
            <v>60004_1</v>
          </cell>
        </row>
        <row r="903">
          <cell r="A903" t="str">
            <v>60005_1</v>
          </cell>
        </row>
        <row r="904">
          <cell r="A904" t="str">
            <v>60006_1</v>
          </cell>
        </row>
        <row r="905">
          <cell r="A905" t="str">
            <v>60006_2</v>
          </cell>
        </row>
        <row r="906">
          <cell r="A906" t="str">
            <v>60006_3</v>
          </cell>
        </row>
        <row r="907">
          <cell r="A907" t="str">
            <v>60007_1</v>
          </cell>
        </row>
        <row r="908">
          <cell r="A908" t="str">
            <v>60007_2</v>
          </cell>
        </row>
        <row r="909">
          <cell r="A909" t="str">
            <v>60007_3</v>
          </cell>
        </row>
        <row r="910">
          <cell r="A910" t="str">
            <v>60010_1</v>
          </cell>
        </row>
        <row r="911">
          <cell r="A911" t="str">
            <v>60011_1</v>
          </cell>
        </row>
        <row r="912">
          <cell r="A912" t="str">
            <v>60011_2</v>
          </cell>
        </row>
        <row r="913">
          <cell r="A913" t="str">
            <v>60012_1</v>
          </cell>
        </row>
        <row r="914">
          <cell r="A914" t="str">
            <v>60013_1</v>
          </cell>
        </row>
        <row r="915">
          <cell r="A915" t="str">
            <v>60013_2</v>
          </cell>
        </row>
        <row r="916">
          <cell r="A916" t="str">
            <v>60013_3</v>
          </cell>
        </row>
        <row r="917">
          <cell r="A917" t="str">
            <v>60014_1</v>
          </cell>
        </row>
        <row r="918">
          <cell r="A918" t="str">
            <v>60015_1</v>
          </cell>
        </row>
        <row r="919">
          <cell r="A919" t="str">
            <v>60016_1</v>
          </cell>
        </row>
        <row r="920">
          <cell r="A920" t="str">
            <v>60017_1</v>
          </cell>
        </row>
        <row r="921">
          <cell r="A921" t="str">
            <v>60018_1</v>
          </cell>
        </row>
        <row r="922">
          <cell r="A922" t="str">
            <v>60019_1</v>
          </cell>
        </row>
        <row r="923">
          <cell r="A923" t="str">
            <v>60020_1</v>
          </cell>
        </row>
        <row r="924">
          <cell r="A924" t="str">
            <v>60021_3</v>
          </cell>
        </row>
        <row r="925">
          <cell r="A925" t="str">
            <v>60022_3</v>
          </cell>
        </row>
        <row r="926">
          <cell r="A926" t="str">
            <v>60023_3</v>
          </cell>
        </row>
        <row r="927">
          <cell r="A927" t="str">
            <v>60024_3</v>
          </cell>
        </row>
        <row r="928">
          <cell r="A928" t="str">
            <v>60025_1</v>
          </cell>
        </row>
        <row r="929">
          <cell r="A929" t="str">
            <v>60026_1</v>
          </cell>
        </row>
        <row r="930">
          <cell r="A930" t="str">
            <v>61011_1</v>
          </cell>
        </row>
        <row r="931">
          <cell r="A931" t="str">
            <v>60027_1</v>
          </cell>
        </row>
        <row r="932">
          <cell r="A932" t="str">
            <v>65525_1</v>
          </cell>
        </row>
        <row r="933">
          <cell r="A933" t="str">
            <v>65526_1</v>
          </cell>
        </row>
        <row r="934">
          <cell r="A934" t="str">
            <v>65526_2</v>
          </cell>
        </row>
        <row r="935">
          <cell r="A935" t="str">
            <v>65527_1</v>
          </cell>
        </row>
        <row r="936">
          <cell r="A936" t="str">
            <v>65528_1</v>
          </cell>
        </row>
        <row r="937">
          <cell r="A937" t="str">
            <v>65529_1</v>
          </cell>
        </row>
        <row r="938">
          <cell r="A938" t="str">
            <v>65530_1</v>
          </cell>
        </row>
        <row r="939">
          <cell r="A939" t="str">
            <v>65531_1</v>
          </cell>
        </row>
        <row r="940">
          <cell r="A940" t="str">
            <v>65531_2</v>
          </cell>
        </row>
        <row r="941">
          <cell r="A941" t="str">
            <v>65532_1</v>
          </cell>
        </row>
        <row r="942">
          <cell r="A942" t="str">
            <v>65532_2</v>
          </cell>
        </row>
        <row r="943">
          <cell r="A943" t="str">
            <v>65533_1</v>
          </cell>
        </row>
        <row r="944">
          <cell r="A944" t="str">
            <v>65533_2</v>
          </cell>
        </row>
        <row r="945">
          <cell r="A945" t="str">
            <v>65534_1</v>
          </cell>
        </row>
        <row r="946">
          <cell r="A946" t="str">
            <v>65535_1</v>
          </cell>
        </row>
        <row r="947">
          <cell r="A947" t="str">
            <v>65535_2</v>
          </cell>
        </row>
        <row r="948">
          <cell r="A948" t="str">
            <v>65535_3</v>
          </cell>
        </row>
        <row r="949">
          <cell r="A949" t="str">
            <v>65535_4</v>
          </cell>
        </row>
        <row r="950">
          <cell r="A950" t="str">
            <v>65535_5</v>
          </cell>
        </row>
        <row r="951">
          <cell r="A951" t="str">
            <v>65535_6</v>
          </cell>
        </row>
        <row r="952">
          <cell r="A952" t="str">
            <v>65535_7</v>
          </cell>
        </row>
        <row r="953">
          <cell r="A953" t="str">
            <v>65535_8</v>
          </cell>
        </row>
        <row r="954">
          <cell r="A954" t="str">
            <v>65535_9</v>
          </cell>
        </row>
        <row r="955">
          <cell r="A955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5001</v>
          </cell>
        </row>
        <row r="1337">
          <cell r="A1337">
            <v>5002</v>
          </cell>
        </row>
        <row r="1338">
          <cell r="A1338">
            <v>5003</v>
          </cell>
        </row>
        <row r="1339">
          <cell r="A1339">
            <v>5004</v>
          </cell>
        </row>
        <row r="1340">
          <cell r="A1340">
            <v>6001</v>
          </cell>
        </row>
        <row r="1341">
          <cell r="A1341">
            <v>6002</v>
          </cell>
        </row>
        <row r="1342">
          <cell r="A1342">
            <v>6003</v>
          </cell>
        </row>
        <row r="1343">
          <cell r="A1343">
            <v>6004</v>
          </cell>
        </row>
        <row r="1344">
          <cell r="A1344">
            <v>6005</v>
          </cell>
        </row>
        <row r="1345">
          <cell r="A1345">
            <v>6006</v>
          </cell>
        </row>
        <row r="1346">
          <cell r="A1346">
            <v>6007</v>
          </cell>
        </row>
        <row r="1347">
          <cell r="A1347">
            <v>6008</v>
          </cell>
        </row>
        <row r="1348">
          <cell r="A1348">
            <v>6009</v>
          </cell>
        </row>
        <row r="1349">
          <cell r="A1349">
            <v>6010</v>
          </cell>
        </row>
        <row r="1350">
          <cell r="A1350">
            <v>6011</v>
          </cell>
        </row>
        <row r="1351">
          <cell r="A1351">
            <v>6012</v>
          </cell>
        </row>
        <row r="1352">
          <cell r="A1352">
            <v>6013</v>
          </cell>
        </row>
        <row r="1353">
          <cell r="A1353">
            <v>6014</v>
          </cell>
        </row>
        <row r="1354">
          <cell r="A1354">
            <v>6015</v>
          </cell>
        </row>
        <row r="1355">
          <cell r="A1355">
            <v>6016</v>
          </cell>
        </row>
        <row r="1356">
          <cell r="A1356">
            <v>6017</v>
          </cell>
        </row>
        <row r="1357">
          <cell r="A1357">
            <v>6018</v>
          </cell>
        </row>
        <row r="1358">
          <cell r="A1358">
            <v>6019</v>
          </cell>
        </row>
        <row r="1359">
          <cell r="A1359">
            <v>6020</v>
          </cell>
        </row>
        <row r="1360">
          <cell r="A1360">
            <v>8001</v>
          </cell>
        </row>
        <row r="1361">
          <cell r="A1361">
            <v>8002</v>
          </cell>
        </row>
        <row r="1362">
          <cell r="A1362">
            <v>8003</v>
          </cell>
        </row>
        <row r="1363">
          <cell r="A1363">
            <v>8004</v>
          </cell>
        </row>
        <row r="1364">
          <cell r="A1364">
            <v>8005</v>
          </cell>
        </row>
        <row r="1365">
          <cell r="A1365">
            <v>8006</v>
          </cell>
        </row>
        <row r="1366">
          <cell r="A1366">
            <v>8007</v>
          </cell>
        </row>
        <row r="1367">
          <cell r="A1367">
            <v>8008</v>
          </cell>
        </row>
        <row r="1368">
          <cell r="A1368">
            <v>8009</v>
          </cell>
        </row>
        <row r="1369">
          <cell r="A1369">
            <v>8010</v>
          </cell>
        </row>
        <row r="1370">
          <cell r="A1370">
            <v>8011</v>
          </cell>
        </row>
        <row r="1371">
          <cell r="A1371">
            <v>8012</v>
          </cell>
        </row>
        <row r="1372">
          <cell r="A1372">
            <v>8013</v>
          </cell>
        </row>
        <row r="1373">
          <cell r="A1373">
            <v>8014</v>
          </cell>
        </row>
        <row r="1374">
          <cell r="A1374">
            <v>8015</v>
          </cell>
        </row>
        <row r="1375">
          <cell r="A1375">
            <v>8016</v>
          </cell>
        </row>
        <row r="1376">
          <cell r="A1376">
            <v>8017</v>
          </cell>
        </row>
        <row r="1377">
          <cell r="A1377">
            <v>8018</v>
          </cell>
        </row>
        <row r="1378">
          <cell r="A1378">
            <v>8019</v>
          </cell>
        </row>
        <row r="1379">
          <cell r="A1379">
            <v>8020</v>
          </cell>
        </row>
        <row r="1380">
          <cell r="A1380">
            <v>8021</v>
          </cell>
        </row>
        <row r="1381">
          <cell r="A1381">
            <v>8022</v>
          </cell>
        </row>
        <row r="1382">
          <cell r="A1382">
            <v>8023</v>
          </cell>
        </row>
        <row r="1383">
          <cell r="A1383">
            <v>8024</v>
          </cell>
        </row>
        <row r="1384">
          <cell r="A1384">
            <v>8025</v>
          </cell>
        </row>
        <row r="1385">
          <cell r="A1385">
            <v>8026</v>
          </cell>
        </row>
        <row r="1386">
          <cell r="A1386">
            <v>8027</v>
          </cell>
        </row>
        <row r="1387">
          <cell r="A1387">
            <v>8028</v>
          </cell>
        </row>
        <row r="1388">
          <cell r="A1388">
            <v>8029</v>
          </cell>
        </row>
        <row r="1389">
          <cell r="A1389">
            <v>8030</v>
          </cell>
        </row>
        <row r="1390">
          <cell r="A1390">
            <v>8031</v>
          </cell>
        </row>
        <row r="1391">
          <cell r="A1391">
            <v>8032</v>
          </cell>
        </row>
        <row r="1392">
          <cell r="A1392">
            <v>8033</v>
          </cell>
        </row>
        <row r="1393">
          <cell r="A1393">
            <v>8034</v>
          </cell>
        </row>
        <row r="1394">
          <cell r="A1394">
            <v>8035</v>
          </cell>
        </row>
        <row r="1395">
          <cell r="A1395">
            <v>8036</v>
          </cell>
        </row>
        <row r="1396">
          <cell r="A1396">
            <v>8037</v>
          </cell>
        </row>
        <row r="1397">
          <cell r="A1397">
            <v>8038</v>
          </cell>
        </row>
        <row r="1398">
          <cell r="A1398">
            <v>8039</v>
          </cell>
        </row>
        <row r="1399">
          <cell r="A1399">
            <v>8040</v>
          </cell>
        </row>
        <row r="1400">
          <cell r="A1400">
            <v>8041</v>
          </cell>
        </row>
        <row r="1401">
          <cell r="A1401">
            <v>8042</v>
          </cell>
        </row>
        <row r="1402">
          <cell r="A1402">
            <v>8043</v>
          </cell>
        </row>
        <row r="1403">
          <cell r="A1403">
            <v>8044</v>
          </cell>
        </row>
        <row r="1404">
          <cell r="A1404">
            <v>8045</v>
          </cell>
        </row>
        <row r="1405">
          <cell r="A1405">
            <v>8046</v>
          </cell>
        </row>
        <row r="1406">
          <cell r="A1406">
            <v>8047</v>
          </cell>
        </row>
        <row r="1407">
          <cell r="A1407">
            <v>8048</v>
          </cell>
        </row>
        <row r="1408">
          <cell r="A1408">
            <v>8049</v>
          </cell>
        </row>
        <row r="1409">
          <cell r="A1409">
            <v>8050</v>
          </cell>
        </row>
        <row r="1410">
          <cell r="A1410">
            <v>8051</v>
          </cell>
        </row>
        <row r="1411">
          <cell r="A1411">
            <v>8052</v>
          </cell>
        </row>
        <row r="1412">
          <cell r="A1412">
            <v>8053</v>
          </cell>
        </row>
        <row r="1413">
          <cell r="A1413">
            <v>8054</v>
          </cell>
        </row>
        <row r="1414">
          <cell r="A1414">
            <v>8055</v>
          </cell>
        </row>
        <row r="1415">
          <cell r="A1415">
            <v>8056</v>
          </cell>
        </row>
        <row r="1416">
          <cell r="A1416">
            <v>8057</v>
          </cell>
        </row>
        <row r="1417">
          <cell r="A1417">
            <v>8058</v>
          </cell>
        </row>
        <row r="1418">
          <cell r="A1418">
            <v>8059</v>
          </cell>
        </row>
        <row r="1419">
          <cell r="A1419">
            <v>8060</v>
          </cell>
        </row>
        <row r="1420">
          <cell r="A1420">
            <v>8061</v>
          </cell>
        </row>
        <row r="1421">
          <cell r="A1421">
            <v>8062</v>
          </cell>
        </row>
        <row r="1422">
          <cell r="A1422">
            <v>8063</v>
          </cell>
        </row>
        <row r="1423">
          <cell r="A1423">
            <v>8064</v>
          </cell>
        </row>
        <row r="1424">
          <cell r="A1424">
            <v>8065</v>
          </cell>
        </row>
        <row r="1425">
          <cell r="A1425">
            <v>8066</v>
          </cell>
        </row>
        <row r="1426">
          <cell r="A1426">
            <v>8067</v>
          </cell>
        </row>
        <row r="1427">
          <cell r="A1427">
            <v>8068</v>
          </cell>
        </row>
        <row r="1428">
          <cell r="A1428">
            <v>8069</v>
          </cell>
        </row>
        <row r="1429">
          <cell r="A1429">
            <v>8070</v>
          </cell>
        </row>
        <row r="1430">
          <cell r="A1430">
            <v>8071</v>
          </cell>
        </row>
        <row r="1431">
          <cell r="A1431">
            <v>8072</v>
          </cell>
        </row>
        <row r="1432">
          <cell r="A1432">
            <v>8077</v>
          </cell>
        </row>
        <row r="1433">
          <cell r="A1433">
            <v>8078</v>
          </cell>
        </row>
        <row r="1434">
          <cell r="A1434">
            <v>8079</v>
          </cell>
        </row>
        <row r="1435">
          <cell r="A1435">
            <v>8080</v>
          </cell>
        </row>
        <row r="1436">
          <cell r="A1436">
            <v>8087</v>
          </cell>
        </row>
        <row r="1437">
          <cell r="A1437">
            <v>8088</v>
          </cell>
        </row>
        <row r="1438">
          <cell r="A1438">
            <v>8089</v>
          </cell>
        </row>
        <row r="1439">
          <cell r="A1439">
            <v>8090</v>
          </cell>
        </row>
        <row r="1440">
          <cell r="A1440">
            <v>8095</v>
          </cell>
        </row>
        <row r="1441">
          <cell r="A1441">
            <v>8096</v>
          </cell>
        </row>
        <row r="1442">
          <cell r="A1442">
            <v>8097</v>
          </cell>
        </row>
        <row r="1443">
          <cell r="A1443">
            <v>8098</v>
          </cell>
        </row>
        <row r="1444">
          <cell r="A1444">
            <v>8099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1403</v>
          </cell>
        </row>
        <row r="1373">
          <cell r="A1373">
            <v>1404</v>
          </cell>
        </row>
        <row r="1374">
          <cell r="A1374">
            <v>1405</v>
          </cell>
        </row>
        <row r="1375">
          <cell r="A1375">
            <v>1406</v>
          </cell>
        </row>
        <row r="1376">
          <cell r="A1376">
            <v>1414</v>
          </cell>
        </row>
        <row r="1377">
          <cell r="A1377">
            <v>1415</v>
          </cell>
        </row>
        <row r="1378">
          <cell r="A1378">
            <v>1416</v>
          </cell>
        </row>
        <row r="1379">
          <cell r="A1379">
            <v>1417</v>
          </cell>
        </row>
        <row r="1380">
          <cell r="A1380">
            <v>1427</v>
          </cell>
        </row>
        <row r="1381">
          <cell r="A1381">
            <v>5001</v>
          </cell>
        </row>
        <row r="1382">
          <cell r="A1382">
            <v>5002</v>
          </cell>
        </row>
        <row r="1383">
          <cell r="A1383">
            <v>5003</v>
          </cell>
        </row>
        <row r="1384">
          <cell r="A1384">
            <v>5004</v>
          </cell>
        </row>
        <row r="1385">
          <cell r="A1385">
            <v>6001</v>
          </cell>
        </row>
        <row r="1386">
          <cell r="A1386">
            <v>6002</v>
          </cell>
        </row>
        <row r="1387">
          <cell r="A1387">
            <v>6003</v>
          </cell>
        </row>
        <row r="1388">
          <cell r="A1388">
            <v>6004</v>
          </cell>
        </row>
        <row r="1389">
          <cell r="A1389">
            <v>6005</v>
          </cell>
        </row>
        <row r="1390">
          <cell r="A1390">
            <v>6006</v>
          </cell>
        </row>
        <row r="1391">
          <cell r="A1391">
            <v>6007</v>
          </cell>
        </row>
        <row r="1392">
          <cell r="A1392">
            <v>6008</v>
          </cell>
        </row>
        <row r="1393">
          <cell r="A1393">
            <v>6009</v>
          </cell>
        </row>
        <row r="1394">
          <cell r="A1394">
            <v>6010</v>
          </cell>
        </row>
        <row r="1395">
          <cell r="A1395">
            <v>6011</v>
          </cell>
        </row>
        <row r="1396">
          <cell r="A1396">
            <v>6012</v>
          </cell>
        </row>
        <row r="1397">
          <cell r="A1397">
            <v>6013</v>
          </cell>
        </row>
        <row r="1398">
          <cell r="A1398">
            <v>6014</v>
          </cell>
        </row>
        <row r="1399">
          <cell r="A1399">
            <v>6015</v>
          </cell>
        </row>
        <row r="1400">
          <cell r="A1400">
            <v>6016</v>
          </cell>
        </row>
        <row r="1401">
          <cell r="A1401">
            <v>6017</v>
          </cell>
        </row>
        <row r="1402">
          <cell r="A1402">
            <v>6018</v>
          </cell>
        </row>
        <row r="1403">
          <cell r="A1403">
            <v>6019</v>
          </cell>
        </row>
        <row r="1404">
          <cell r="A1404">
            <v>6020</v>
          </cell>
        </row>
        <row r="1405">
          <cell r="A1405">
            <v>8001</v>
          </cell>
        </row>
        <row r="1406">
          <cell r="A1406">
            <v>8002</v>
          </cell>
        </row>
        <row r="1407">
          <cell r="A1407">
            <v>8003</v>
          </cell>
        </row>
        <row r="1408">
          <cell r="A1408">
            <v>8004</v>
          </cell>
        </row>
        <row r="1409">
          <cell r="A1409">
            <v>8005</v>
          </cell>
        </row>
        <row r="1410">
          <cell r="A1410">
            <v>8006</v>
          </cell>
        </row>
        <row r="1411">
          <cell r="A1411">
            <v>8007</v>
          </cell>
        </row>
        <row r="1412">
          <cell r="A1412">
            <v>8008</v>
          </cell>
        </row>
        <row r="1413">
          <cell r="A1413">
            <v>8009</v>
          </cell>
        </row>
        <row r="1414">
          <cell r="A1414">
            <v>8010</v>
          </cell>
        </row>
        <row r="1415">
          <cell r="A1415">
            <v>8011</v>
          </cell>
        </row>
        <row r="1416">
          <cell r="A1416">
            <v>8012</v>
          </cell>
        </row>
        <row r="1417">
          <cell r="A1417">
            <v>8013</v>
          </cell>
        </row>
        <row r="1418">
          <cell r="A1418">
            <v>8014</v>
          </cell>
        </row>
        <row r="1419">
          <cell r="A1419">
            <v>8015</v>
          </cell>
        </row>
        <row r="1420">
          <cell r="A1420">
            <v>8016</v>
          </cell>
        </row>
        <row r="1421">
          <cell r="A1421">
            <v>8017</v>
          </cell>
        </row>
        <row r="1422">
          <cell r="A1422">
            <v>8018</v>
          </cell>
        </row>
        <row r="1423">
          <cell r="A1423">
            <v>8019</v>
          </cell>
        </row>
        <row r="1424">
          <cell r="A1424">
            <v>8020</v>
          </cell>
        </row>
        <row r="1425">
          <cell r="A1425">
            <v>8021</v>
          </cell>
        </row>
        <row r="1426">
          <cell r="A1426">
            <v>8022</v>
          </cell>
        </row>
        <row r="1427">
          <cell r="A1427">
            <v>8023</v>
          </cell>
        </row>
        <row r="1428">
          <cell r="A1428">
            <v>8024</v>
          </cell>
        </row>
        <row r="1429">
          <cell r="A1429">
            <v>8025</v>
          </cell>
        </row>
        <row r="1430">
          <cell r="A1430">
            <v>8026</v>
          </cell>
        </row>
        <row r="1431">
          <cell r="A1431">
            <v>8027</v>
          </cell>
        </row>
        <row r="1432">
          <cell r="A1432">
            <v>8028</v>
          </cell>
        </row>
        <row r="1433">
          <cell r="A1433">
            <v>8029</v>
          </cell>
        </row>
        <row r="1434">
          <cell r="A1434">
            <v>8030</v>
          </cell>
        </row>
        <row r="1435">
          <cell r="A1435">
            <v>8031</v>
          </cell>
        </row>
        <row r="1436">
          <cell r="A1436">
            <v>8032</v>
          </cell>
        </row>
        <row r="1437">
          <cell r="A1437">
            <v>8033</v>
          </cell>
        </row>
        <row r="1438">
          <cell r="A1438">
            <v>8034</v>
          </cell>
        </row>
        <row r="1439">
          <cell r="A1439">
            <v>8035</v>
          </cell>
        </row>
        <row r="1440">
          <cell r="A1440">
            <v>8036</v>
          </cell>
        </row>
        <row r="1441">
          <cell r="A1441">
            <v>8037</v>
          </cell>
        </row>
        <row r="1442">
          <cell r="A1442">
            <v>8038</v>
          </cell>
        </row>
        <row r="1443">
          <cell r="A1443">
            <v>8039</v>
          </cell>
        </row>
        <row r="1444">
          <cell r="A1444">
            <v>8040</v>
          </cell>
        </row>
        <row r="1445">
          <cell r="A1445">
            <v>8041</v>
          </cell>
        </row>
        <row r="1446">
          <cell r="A1446">
            <v>8042</v>
          </cell>
        </row>
        <row r="1447">
          <cell r="A1447">
            <v>8043</v>
          </cell>
        </row>
        <row r="1448">
          <cell r="A1448">
            <v>8044</v>
          </cell>
        </row>
        <row r="1449">
          <cell r="A1449">
            <v>8045</v>
          </cell>
        </row>
        <row r="1450">
          <cell r="A1450">
            <v>8046</v>
          </cell>
        </row>
        <row r="1451">
          <cell r="A1451">
            <v>8047</v>
          </cell>
        </row>
        <row r="1452">
          <cell r="A1452">
            <v>8048</v>
          </cell>
        </row>
        <row r="1453">
          <cell r="A1453">
            <v>8049</v>
          </cell>
        </row>
        <row r="1454">
          <cell r="A1454">
            <v>8050</v>
          </cell>
        </row>
        <row r="1455">
          <cell r="A1455">
            <v>8051</v>
          </cell>
        </row>
        <row r="1456">
          <cell r="A1456">
            <v>8052</v>
          </cell>
        </row>
        <row r="1457">
          <cell r="A1457">
            <v>8053</v>
          </cell>
        </row>
        <row r="1458">
          <cell r="A1458">
            <v>8054</v>
          </cell>
        </row>
        <row r="1459">
          <cell r="A1459">
            <v>8055</v>
          </cell>
        </row>
        <row r="1460">
          <cell r="A1460">
            <v>8056</v>
          </cell>
        </row>
        <row r="1461">
          <cell r="A1461">
            <v>8057</v>
          </cell>
        </row>
        <row r="1462">
          <cell r="A1462">
            <v>8058</v>
          </cell>
        </row>
        <row r="1463">
          <cell r="A1463">
            <v>8059</v>
          </cell>
        </row>
        <row r="1464">
          <cell r="A1464">
            <v>8060</v>
          </cell>
        </row>
        <row r="1465">
          <cell r="A1465">
            <v>8061</v>
          </cell>
        </row>
        <row r="1466">
          <cell r="A1466">
            <v>8062</v>
          </cell>
        </row>
        <row r="1467">
          <cell r="A1467">
            <v>8063</v>
          </cell>
        </row>
        <row r="1468">
          <cell r="A1468">
            <v>8064</v>
          </cell>
        </row>
        <row r="1469">
          <cell r="A1469">
            <v>8065</v>
          </cell>
        </row>
        <row r="1470">
          <cell r="A1470">
            <v>8066</v>
          </cell>
        </row>
        <row r="1471">
          <cell r="A1471">
            <v>8067</v>
          </cell>
        </row>
        <row r="1472">
          <cell r="A1472">
            <v>8068</v>
          </cell>
        </row>
        <row r="1473">
          <cell r="A1473">
            <v>8069</v>
          </cell>
        </row>
        <row r="1474">
          <cell r="A1474">
            <v>8070</v>
          </cell>
        </row>
        <row r="1475">
          <cell r="A1475">
            <v>8071</v>
          </cell>
        </row>
        <row r="1476">
          <cell r="A1476">
            <v>8072</v>
          </cell>
        </row>
        <row r="1477">
          <cell r="A1477">
            <v>8073</v>
          </cell>
        </row>
        <row r="1478">
          <cell r="A1478">
            <v>8074</v>
          </cell>
        </row>
        <row r="1479">
          <cell r="A1479">
            <v>8075</v>
          </cell>
        </row>
        <row r="1480">
          <cell r="A1480">
            <v>8076</v>
          </cell>
        </row>
        <row r="1481">
          <cell r="A1481">
            <v>8077</v>
          </cell>
        </row>
        <row r="1482">
          <cell r="A1482">
            <v>8078</v>
          </cell>
        </row>
        <row r="1483">
          <cell r="A1483">
            <v>8079</v>
          </cell>
        </row>
        <row r="1484">
          <cell r="A1484">
            <v>8080</v>
          </cell>
        </row>
        <row r="1485">
          <cell r="A1485">
            <v>8087</v>
          </cell>
        </row>
        <row r="1486">
          <cell r="A1486">
            <v>8088</v>
          </cell>
        </row>
        <row r="1487">
          <cell r="A1487">
            <v>8089</v>
          </cell>
        </row>
        <row r="1488">
          <cell r="A1488">
            <v>8090</v>
          </cell>
        </row>
        <row r="1489">
          <cell r="A1489">
            <v>8095</v>
          </cell>
        </row>
        <row r="1490">
          <cell r="A1490">
            <v>8096</v>
          </cell>
        </row>
        <row r="1491">
          <cell r="A1491">
            <v>8097</v>
          </cell>
        </row>
        <row r="1492">
          <cell r="A1492">
            <v>8098</v>
          </cell>
        </row>
        <row r="1493">
          <cell r="A1493">
            <v>8099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C8"/>
  <sheetViews>
    <sheetView workbookViewId="0">
      <selection activeCell="E26" sqref="E26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9" x14ac:dyDescent="0.15">
      <c r="A1" s="60" t="s">
        <v>129</v>
      </c>
      <c r="B1" s="55" t="s">
        <v>99</v>
      </c>
      <c r="C1" s="55" t="s">
        <v>100</v>
      </c>
      <c r="D1" s="55" t="s">
        <v>101</v>
      </c>
      <c r="E1" s="55" t="s">
        <v>102</v>
      </c>
      <c r="F1" s="55" t="s">
        <v>103</v>
      </c>
      <c r="G1" s="55" t="s">
        <v>104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29" x14ac:dyDescent="0.15">
      <c r="A2" s="61" t="s">
        <v>130</v>
      </c>
      <c r="B2" s="57" t="s">
        <v>105</v>
      </c>
      <c r="C2" s="57">
        <f>floors!C$2</f>
        <v>50001</v>
      </c>
      <c r="D2" s="57" t="s">
        <v>106</v>
      </c>
      <c r="E2" s="56" t="str">
        <f>B2&amp;C2&amp;D2</f>
        <v>floors_50001.tmp</v>
      </c>
      <c r="F2" s="57" t="s">
        <v>107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29" x14ac:dyDescent="0.15">
      <c r="A3" s="61" t="s">
        <v>130</v>
      </c>
      <c r="B3" s="57" t="s">
        <v>108</v>
      </c>
      <c r="C3" s="57">
        <f>floors!C$2</f>
        <v>50001</v>
      </c>
      <c r="D3" s="57" t="s">
        <v>106</v>
      </c>
      <c r="E3" s="56" t="str">
        <f>B3&amp;C3&amp;D3</f>
        <v>enemy_habitats_50001.tmp</v>
      </c>
      <c r="F3" s="57" t="s">
        <v>109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53</v>
      </c>
    </row>
    <row r="4" spans="1:29" x14ac:dyDescent="0.15">
      <c r="A4" s="61" t="s">
        <v>130</v>
      </c>
      <c r="B4" s="57" t="s">
        <v>110</v>
      </c>
      <c r="C4" s="57">
        <f>floors!C$2</f>
        <v>50001</v>
      </c>
      <c r="D4" s="57" t="s">
        <v>106</v>
      </c>
      <c r="E4" s="56" t="str">
        <f>B4&amp;C4&amp;D4</f>
        <v>enemy_habitat_S_50001.tmp</v>
      </c>
      <c r="F4" s="57" t="s">
        <v>111</v>
      </c>
      <c r="G4" s="58" t="s">
        <v>0</v>
      </c>
      <c r="H4" s="58" t="s">
        <v>1</v>
      </c>
      <c r="I4" s="58" t="s">
        <v>13</v>
      </c>
      <c r="J4" s="58" t="s">
        <v>53</v>
      </c>
      <c r="K4" s="58" t="s">
        <v>54</v>
      </c>
      <c r="L4" s="58" t="s">
        <v>55</v>
      </c>
      <c r="M4" s="58" t="s">
        <v>56</v>
      </c>
      <c r="N4" s="58" t="s">
        <v>57</v>
      </c>
      <c r="O4" s="58" t="s">
        <v>58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29" x14ac:dyDescent="0.15">
      <c r="A5" s="61" t="s">
        <v>130</v>
      </c>
      <c r="B5" s="57" t="s">
        <v>112</v>
      </c>
      <c r="C5" s="57">
        <f>floors!C$2</f>
        <v>50001</v>
      </c>
      <c r="D5" s="57" t="s">
        <v>106</v>
      </c>
      <c r="E5" s="56" t="str">
        <f>B5&amp;C5&amp;D5</f>
        <v>enemy_skill_sets_50001.tmp</v>
      </c>
      <c r="F5" s="57" t="s">
        <v>113</v>
      </c>
      <c r="G5" s="59" t="s">
        <v>22</v>
      </c>
      <c r="H5" s="59" t="s">
        <v>98</v>
      </c>
      <c r="I5" s="59" t="s">
        <v>93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29" x14ac:dyDescent="0.15">
      <c r="A6" s="61" t="s">
        <v>130</v>
      </c>
      <c r="B6" s="57" t="s">
        <v>114</v>
      </c>
      <c r="C6" s="57">
        <f>floors!C$2</f>
        <v>50001</v>
      </c>
      <c r="D6" s="57" t="s">
        <v>115</v>
      </c>
      <c r="E6" s="56" t="str">
        <f t="shared" ref="E6:E8" si="0">B6&amp;C6&amp;D6</f>
        <v>enemy_skills_tmp_50001.tmp</v>
      </c>
      <c r="F6" s="57" t="s">
        <v>89</v>
      </c>
      <c r="G6" s="58" t="s">
        <v>78</v>
      </c>
      <c r="H6" s="58" t="s">
        <v>79</v>
      </c>
      <c r="I6" s="58" t="s">
        <v>80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29" x14ac:dyDescent="0.15">
      <c r="A7" s="61" t="s">
        <v>130</v>
      </c>
      <c r="B7" s="57" t="s">
        <v>116</v>
      </c>
      <c r="C7" s="57">
        <f>floors!C$2</f>
        <v>50001</v>
      </c>
      <c r="D7" s="57" t="s">
        <v>106</v>
      </c>
      <c r="E7" s="56" t="str">
        <f>B7&amp;C7&amp;D7</f>
        <v>enemy_skills_i18n_50001.tmp</v>
      </c>
      <c r="F7" s="57" t="s">
        <v>117</v>
      </c>
      <c r="G7" s="58" t="s">
        <v>78</v>
      </c>
      <c r="H7" s="58" t="s">
        <v>90</v>
      </c>
      <c r="I7" s="58" t="s">
        <v>91</v>
      </c>
      <c r="J7" s="58" t="s">
        <v>92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29" x14ac:dyDescent="0.15">
      <c r="A8" s="61" t="s">
        <v>130</v>
      </c>
      <c r="B8" s="57" t="s">
        <v>118</v>
      </c>
      <c r="C8" s="57">
        <f>floors!C$2</f>
        <v>50001</v>
      </c>
      <c r="D8" s="57" t="s">
        <v>119</v>
      </c>
      <c r="E8" s="56" t="str">
        <f t="shared" si="0"/>
        <v>enemy_skill_triggers_50001.tmp</v>
      </c>
      <c r="F8" s="57" t="s">
        <v>120</v>
      </c>
      <c r="G8" s="58" t="s">
        <v>93</v>
      </c>
      <c r="H8" s="58" t="s">
        <v>94</v>
      </c>
      <c r="I8" s="58" t="s">
        <v>95</v>
      </c>
      <c r="J8" s="58" t="s">
        <v>96</v>
      </c>
      <c r="K8" s="58" t="s">
        <v>121</v>
      </c>
      <c r="L8" s="58" t="s">
        <v>97</v>
      </c>
      <c r="M8" s="58" t="s">
        <v>122</v>
      </c>
      <c r="N8" s="58" t="s">
        <v>123</v>
      </c>
      <c r="O8" s="58" t="s">
        <v>124</v>
      </c>
      <c r="P8" s="58" t="s">
        <v>66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G10" sqref="G10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50001_1-1</v>
      </c>
      <c r="B2" s="16" t="str">
        <f>IF(COUNTIF(enemy_habitats!$H:$H,A2),"OK","NG")</f>
        <v>OK</v>
      </c>
      <c r="C2" s="7">
        <v>50001</v>
      </c>
      <c r="D2" s="11" t="str">
        <f ca="1">VLOOKUP($C2,OFFSET([2]quests!$A$1,0,0,COUNTA([2]quests!$A:$A),MATCH(D$1,[2]quests!$1:$1,0)-MATCH($C$1,[2]quests!$1:$1,0)+1),MATCH(D$1,[2]quests!$1:$1,0)-MATCH($C$1,[2]quests!$1:$1,0)+1,FALSE)</f>
        <v>麒麟襲来！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超降臨1</v>
      </c>
      <c r="F2" s="21">
        <v>1</v>
      </c>
      <c r="G2" s="23" t="str">
        <f>C2&amp;"_"&amp;F2</f>
        <v>50001_1</v>
      </c>
      <c r="H2" s="15" t="str">
        <f ca="1">VLOOKUP($G2,OFFSET([2]stages!$A$1,0,0,COUNTA([2]stages!$A:$A),MATCH(H$1,[2]stages!$2:$2,0)-MATCH($G$1,[2]stages!$2:$2,0)+1),MATCH(H$1,[2]stages!$2:$2,0)-MATCH($G$1,[2]stages!$2:$2,0)+1,FALSE)</f>
        <v xml:space="preserve">【超ウィザード級】麒麟襲来 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50001_1-2</v>
      </c>
      <c r="B3" s="16" t="str">
        <f>IF(COUNTIF(enemy_habitats!$H:$H,A3),"OK","NG")</f>
        <v>OK</v>
      </c>
      <c r="C3" s="7">
        <v>50001</v>
      </c>
      <c r="D3" s="11" t="str">
        <f ca="1">VLOOKUP($C3,OFFSET([2]quests!$A$1,0,0,COUNTA([2]quests!$A:$A),MATCH(D$1,[2]quests!$1:$1,0)-MATCH($C$1,[2]quests!$1:$1,0)+1),MATCH(D$1,[2]quests!$1:$1,0)-MATCH($C$1,[2]quests!$1:$1,0)+1,FALSE)</f>
        <v>麒麟襲来！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超降臨1</v>
      </c>
      <c r="F3" s="21">
        <v>1</v>
      </c>
      <c r="G3" s="23" t="str">
        <f>C3&amp;"_"&amp;F3</f>
        <v>50001_1</v>
      </c>
      <c r="H3" s="15" t="str">
        <f ca="1">VLOOKUP($G3,OFFSET([2]stages!$A$1,0,0,COUNTA([2]stages!$A:$A),MATCH(H$1,[2]stages!$2:$2,0)-MATCH($G$1,[2]stages!$2:$2,0)+1),MATCH(H$1,[2]stages!$2:$2,0)-MATCH($G$1,[2]stages!$2:$2,0)+1,FALSE)</f>
        <v xml:space="preserve">【超ウィザード級】麒麟襲来 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ref="A4:A5" si="0">G4&amp;"-"&amp;I4</f>
        <v>50001_1-3</v>
      </c>
      <c r="B4" s="16" t="str">
        <f>IF(COUNTIF(enemy_habitats!$H:$H,A4),"OK","NG")</f>
        <v>OK</v>
      </c>
      <c r="C4" s="7">
        <v>50001</v>
      </c>
      <c r="D4" s="11" t="str">
        <f ca="1">VLOOKUP($C4,OFFSET([2]quests!$A$1,0,0,COUNTA([2]quests!$A:$A),MATCH(D$1,[2]quests!$1:$1,0)-MATCH($C$1,[2]quests!$1:$1,0)+1),MATCH(D$1,[2]quests!$1:$1,0)-MATCH($C$1,[2]quests!$1:$1,0)+1,FALSE)</f>
        <v>麒麟襲来！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超降臨1</v>
      </c>
      <c r="F4" s="21">
        <v>1</v>
      </c>
      <c r="G4" s="23" t="str">
        <f t="shared" ref="G4:G5" si="1">C4&amp;"_"&amp;F4</f>
        <v>50001_1</v>
      </c>
      <c r="H4" s="15" t="str">
        <f ca="1">VLOOKUP($G4,OFFSET([2]stages!$A$1,0,0,COUNTA([2]stages!$A:$A),MATCH(H$1,[2]stages!$2:$2,0)-MATCH($G$1,[2]stages!$2:$2,0)+1),MATCH(H$1,[2]stages!$2:$2,0)-MATCH($G$1,[2]stages!$2:$2,0)+1,FALSE)</f>
        <v xml:space="preserve">【超ウィザード級】麒麟襲来 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50001_1-4</v>
      </c>
      <c r="B5" s="16" t="str">
        <f>IF(COUNTIF(enemy_habitats!$H:$H,A5),"OK","NG")</f>
        <v>OK</v>
      </c>
      <c r="C5" s="7">
        <v>50001</v>
      </c>
      <c r="D5" s="11" t="str">
        <f ca="1">VLOOKUP($C5,OFFSET([2]quests!$A$1,0,0,COUNTA([2]quests!$A:$A),MATCH(D$1,[2]quests!$1:$1,0)-MATCH($C$1,[2]quests!$1:$1,0)+1),MATCH(D$1,[2]quests!$1:$1,0)-MATCH($C$1,[2]quests!$1:$1,0)+1,FALSE)</f>
        <v>麒麟襲来！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超降臨1</v>
      </c>
      <c r="F5" s="21">
        <v>1</v>
      </c>
      <c r="G5" s="23" t="str">
        <f t="shared" si="1"/>
        <v>50001_1</v>
      </c>
      <c r="H5" s="15" t="str">
        <f ca="1">VLOOKUP($G5,OFFSET([2]stages!$A$1,0,0,COUNTA([2]stages!$A:$A),MATCH(H$1,[2]stages!$2:$2,0)-MATCH($G$1,[2]stages!$2:$2,0)+1),MATCH(H$1,[2]stages!$2:$2,0)-MATCH($G$1,[2]stages!$2:$2,0)+1,FALSE)</f>
        <v xml:space="preserve">【超ウィザード級】麒麟襲来 </v>
      </c>
      <c r="I5" s="21">
        <v>4</v>
      </c>
      <c r="J5" s="12">
        <v>60</v>
      </c>
      <c r="K5" s="12">
        <v>60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M10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N20" sqref="N20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39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</row>
    <row r="2" spans="1:39" ht="21" customHeight="1" x14ac:dyDescent="0.15">
      <c r="A2" s="16" t="str">
        <f t="shared" ref="A2:A7" si="0">B2&amp;"_"&amp;C2&amp;"-"&amp;G2&amp;"/"&amp;L2&amp;"&lt;lv"&amp;R2&amp;"&gt;s"&amp;AA2</f>
        <v>50001_1-1/86&lt;lv52&gt;s2</v>
      </c>
      <c r="B2" s="22">
        <v>50001</v>
      </c>
      <c r="C2" s="21">
        <v>1</v>
      </c>
      <c r="D2" s="2" t="str">
        <f t="shared" ref="D2:D7" si="1">B2&amp;"_"&amp;C2</f>
        <v>50001_1</v>
      </c>
      <c r="E2" s="4" t="str">
        <f ca="1">VLOOKUP($B2,OFFSET([2]quests!$A$1,0,0,COUNTA([2]quests!$A:$A),MATCH(E$1,[2]quests!$1:$1,0)-MATCH($B$1,[2]quests!$1:$1,0)+1),MATCH(E$1,[2]quests!$1:$1,0)-MATCH($B$1,[2]quests!$1:$1,0)+1,FALSE)</f>
        <v>麒麟襲来！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【超ウィザード級】麒麟襲来 </v>
      </c>
      <c r="G2" s="21">
        <v>1</v>
      </c>
      <c r="H2" s="15" t="str">
        <f t="shared" ref="H2:H7" si="2">B2&amp;"_"&amp;C2&amp;"-"&amp;G2</f>
        <v>50001_1-1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132</v>
      </c>
      <c r="L2" s="20">
        <v>86</v>
      </c>
      <c r="M2" s="17" t="str">
        <f ca="1">VLOOKUP($L2,OFFSET([3]enemies!$A$1,0,0,COUNTA([3]enemies!$A:$A),MATCH(M$1,[3]enemies!$1:$1,0)-MATCH($L$1,[3]enemies!$1:$1,0)+1),MATCH(M$1,[3]enemies!$1:$1,0)-MATCH($L$1,[3]enemies!$1:$1,0)+1,FALSE)</f>
        <v>守護者 朱雀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52</v>
      </c>
      <c r="S2" s="25">
        <v>1.23</v>
      </c>
      <c r="T2" s="25">
        <v>1.1299999999999999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怒りの力で 5ターンの間攻撃力アップ</v>
      </c>
      <c r="W2" s="47">
        <v>50001001</v>
      </c>
      <c r="X2" s="6">
        <v>1</v>
      </c>
      <c r="Y2" s="6">
        <v>100</v>
      </c>
      <c r="Z2" s="6">
        <v>2</v>
      </c>
      <c r="AA2" s="65">
        <v>2</v>
      </c>
      <c r="AB2" s="20">
        <v>85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朱雀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3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Drop2N</v>
      </c>
      <c r="AF2" s="7">
        <v>1</v>
      </c>
      <c r="AG2" s="24">
        <f t="shared" ref="AG2:AG7" ca="1" si="3">AD2</f>
        <v>3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</row>
    <row r="3" spans="1:39" ht="21" customHeight="1" x14ac:dyDescent="0.15">
      <c r="A3" s="16" t="str">
        <f t="shared" si="0"/>
        <v>50001_1-1/89&lt;lv54&gt;s3</v>
      </c>
      <c r="B3" s="22">
        <v>50001</v>
      </c>
      <c r="C3" s="21">
        <v>1</v>
      </c>
      <c r="D3" s="2" t="str">
        <f t="shared" si="1"/>
        <v>50001_1</v>
      </c>
      <c r="E3" s="4" t="str">
        <f ca="1">VLOOKUP($B3,OFFSET([2]quests!$A$1,0,0,COUNTA([2]quests!$A:$A),MATCH(E$1,[2]quests!$1:$1,0)-MATCH($B$1,[2]quests!$1:$1,0)+1),MATCH(E$1,[2]quests!$1:$1,0)-MATCH($B$1,[2]quests!$1:$1,0)+1,FALSE)</f>
        <v>麒麟襲来！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【超ウィザード級】麒麟襲来 </v>
      </c>
      <c r="G3" s="21">
        <v>1</v>
      </c>
      <c r="H3" s="15" t="str">
        <f t="shared" si="2"/>
        <v>50001_1-1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88</v>
      </c>
      <c r="L3" s="20">
        <v>89</v>
      </c>
      <c r="M3" s="17" t="str">
        <f ca="1">VLOOKUP($L3,OFFSET([3]enemies!$A$1,0,0,COUNTA([3]enemies!$A:$A),MATCH(M$1,[3]enemies!$1:$1,0)-MATCH($L$1,[3]enemies!$1:$1,0)+1),MATCH(M$1,[3]enemies!$1:$1,0)-MATCH($L$1,[3]enemies!$1:$1,0)+1,FALSE)</f>
        <v>守護者 玄武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Drop2N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dragon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54</v>
      </c>
      <c r="S3" s="25">
        <v>1.4</v>
      </c>
      <c r="T3" s="25">
        <v>1.9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固い意志で 5ターンの間防御力アップ</v>
      </c>
      <c r="W3" s="47">
        <v>50001002</v>
      </c>
      <c r="X3" s="6">
        <v>1</v>
      </c>
      <c r="Y3" s="6">
        <v>100</v>
      </c>
      <c r="Z3" s="6">
        <v>1</v>
      </c>
      <c r="AA3" s="65">
        <v>3</v>
      </c>
      <c r="AB3" s="20">
        <v>88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玄武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3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Drop2N</v>
      </c>
      <c r="AF3" s="7">
        <v>1</v>
      </c>
      <c r="AG3" s="24">
        <f t="shared" ca="1" si="3"/>
        <v>3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</row>
    <row r="4" spans="1:39" ht="21" customHeight="1" x14ac:dyDescent="0.15">
      <c r="A4" s="16" t="str">
        <f t="shared" si="0"/>
        <v>50001_1-2/92&lt;lv54&gt;s2</v>
      </c>
      <c r="B4" s="22">
        <v>50001</v>
      </c>
      <c r="C4" s="21">
        <v>1</v>
      </c>
      <c r="D4" s="2" t="str">
        <f t="shared" si="1"/>
        <v>50001_1</v>
      </c>
      <c r="E4" s="4" t="str">
        <f ca="1">VLOOKUP($B4,OFFSET([2]quests!$A$1,0,0,COUNTA([2]quests!$A:$A),MATCH(E$1,[2]quests!$1:$1,0)-MATCH($B$1,[2]quests!$1:$1,0)+1),MATCH(E$1,[2]quests!$1:$1,0)-MATCH($B$1,[2]quests!$1:$1,0)+1,FALSE)</f>
        <v>麒麟襲来！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【超ウィザード級】麒麟襲来 </v>
      </c>
      <c r="G4" s="21">
        <v>2</v>
      </c>
      <c r="H4" s="15" t="str">
        <f t="shared" si="2"/>
        <v>50001_1-2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88</v>
      </c>
      <c r="L4" s="20">
        <v>92</v>
      </c>
      <c r="M4" s="17" t="str">
        <f ca="1">VLOOKUP($L4,OFFSET([3]enemies!$A$1,0,0,COUNTA([3]enemies!$A:$A),MATCH(M$1,[3]enemies!$1:$1,0)-MATCH($L$1,[3]enemies!$1:$1,0)+1),MATCH(M$1,[3]enemies!$1:$1,0)-MATCH($L$1,[3]enemies!$1:$1,0)+1,FALSE)</f>
        <v>守護者 青龍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dragon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54</v>
      </c>
      <c r="S4" s="25">
        <v>1.4</v>
      </c>
      <c r="T4" s="25">
        <v>1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解除するまで攻撃頻度が2になる</v>
      </c>
      <c r="W4" s="47">
        <v>50001004</v>
      </c>
      <c r="X4" s="6">
        <v>1</v>
      </c>
      <c r="Y4" s="6">
        <v>100</v>
      </c>
      <c r="Z4" s="6">
        <v>1</v>
      </c>
      <c r="AA4" s="65">
        <v>2</v>
      </c>
      <c r="AB4" s="20">
        <v>91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青龍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3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Drop2N</v>
      </c>
      <c r="AF4" s="7">
        <v>1</v>
      </c>
      <c r="AG4" s="24">
        <f t="shared" ca="1" si="3"/>
        <v>3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</row>
    <row r="5" spans="1:39" ht="21" customHeight="1" x14ac:dyDescent="0.15">
      <c r="A5" s="16" t="str">
        <f t="shared" si="0"/>
        <v>50001_1-2/95&lt;lv48&gt;s4</v>
      </c>
      <c r="B5" s="22">
        <v>50001</v>
      </c>
      <c r="C5" s="21">
        <v>1</v>
      </c>
      <c r="D5" s="2" t="str">
        <f t="shared" si="1"/>
        <v>50001_1</v>
      </c>
      <c r="E5" s="4" t="str">
        <f ca="1">VLOOKUP($B5,OFFSET([2]quests!$A$1,0,0,COUNTA([2]quests!$A:$A),MATCH(E$1,[2]quests!$1:$1,0)-MATCH($B$1,[2]quests!$1:$1,0)+1),MATCH(E$1,[2]quests!$1:$1,0)-MATCH($B$1,[2]quests!$1:$1,0)+1,FALSE)</f>
        <v>麒麟襲来！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 xml:space="preserve">【超ウィザード級】麒麟襲来 </v>
      </c>
      <c r="G5" s="21">
        <v>2</v>
      </c>
      <c r="H5" s="15" t="str">
        <f t="shared" si="2"/>
        <v>50001_1-2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88</v>
      </c>
      <c r="L5" s="20">
        <v>95</v>
      </c>
      <c r="M5" s="17" t="str">
        <f ca="1">VLOOKUP($L5,OFFSET([3]enemies!$A$1,0,0,COUNTA([3]enemies!$A:$A),MATCH(M$1,[3]enemies!$1:$1,0)-MATCH($L$1,[3]enemies!$1:$1,0)+1),MATCH(M$1,[3]enemies!$1:$1,0)-MATCH($L$1,[3]enemies!$1:$1,0)+1,FALSE)</f>
        <v>守護者 白虎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48</v>
      </c>
      <c r="S5" s="25">
        <v>1.6</v>
      </c>
      <c r="T5" s="25">
        <v>0.38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解除するまで行動頻度が1になる</v>
      </c>
      <c r="W5" s="47">
        <v>50001003</v>
      </c>
      <c r="X5" s="6">
        <v>1</v>
      </c>
      <c r="Y5" s="6">
        <v>100</v>
      </c>
      <c r="Z5" s="6">
        <v>2</v>
      </c>
      <c r="AA5" s="64">
        <v>4</v>
      </c>
      <c r="AB5" s="20">
        <v>94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白虎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3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Drop2N</v>
      </c>
      <c r="AF5" s="7">
        <v>1</v>
      </c>
      <c r="AG5" s="24">
        <f t="shared" ca="1" si="3"/>
        <v>3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</row>
    <row r="6" spans="1:39" ht="21" customHeight="1" x14ac:dyDescent="0.15">
      <c r="A6" s="16" t="str">
        <f t="shared" si="0"/>
        <v>50001_1-3/432&lt;lv65&gt;s3</v>
      </c>
      <c r="B6" s="22">
        <v>50001</v>
      </c>
      <c r="C6" s="21">
        <v>1</v>
      </c>
      <c r="D6" s="2" t="str">
        <f t="shared" si="1"/>
        <v>50001_1</v>
      </c>
      <c r="E6" s="4" t="str">
        <f ca="1">VLOOKUP($B6,OFFSET([2]quests!$A$1,0,0,COUNTA([2]quests!$A:$A),MATCH(E$1,[2]quests!$1:$1,0)-MATCH($B$1,[2]quests!$1:$1,0)+1),MATCH(E$1,[2]quests!$1:$1,0)-MATCH($B$1,[2]quests!$1:$1,0)+1,FALSE)</f>
        <v>麒麟襲来！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 xml:space="preserve">【超ウィザード級】麒麟襲来 </v>
      </c>
      <c r="G6" s="21">
        <v>3</v>
      </c>
      <c r="H6" s="15" t="str">
        <f t="shared" si="2"/>
        <v>50001_1-3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1</v>
      </c>
      <c r="L6" s="20">
        <v>432</v>
      </c>
      <c r="M6" s="17" t="str">
        <f ca="1">VLOOKUP($L6,OFFSET([3]enemies!$A$1,0,0,COUNTA([3]enemies!$A:$A),MATCH(M$1,[3]enemies!$1:$1,0)-MATCH($L$1,[3]enemies!$1:$1,0)+1),MATCH(M$1,[3]enemies!$1:$1,0)-MATCH($L$1,[3]enemies!$1:$1,0)+1,FALSE)</f>
        <v>麒麟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DropWizSS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65</v>
      </c>
      <c r="S6" s="25">
        <v>2</v>
      </c>
      <c r="T6" s="25">
        <v>1.4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3ターンの間攻撃力がアップ</v>
      </c>
      <c r="W6" s="47">
        <v>50001005</v>
      </c>
      <c r="X6" s="6">
        <v>1</v>
      </c>
      <c r="Y6" s="6">
        <v>100</v>
      </c>
      <c r="Z6" s="6">
        <v>1</v>
      </c>
      <c r="AA6" s="4">
        <v>3</v>
      </c>
      <c r="AB6" s="20">
        <v>432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麒麟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DropWizSS</v>
      </c>
      <c r="AF6" s="7">
        <v>1</v>
      </c>
      <c r="AG6" s="24">
        <f t="shared" ca="1" si="3"/>
        <v>4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</row>
    <row r="7" spans="1:39" ht="21" customHeight="1" x14ac:dyDescent="0.15">
      <c r="A7" s="16" t="str">
        <f t="shared" si="0"/>
        <v>50001_1-4/433&lt;lv70&gt;s3</v>
      </c>
      <c r="B7" s="22">
        <v>50001</v>
      </c>
      <c r="C7" s="21">
        <v>1</v>
      </c>
      <c r="D7" s="2" t="str">
        <f t="shared" si="1"/>
        <v>50001_1</v>
      </c>
      <c r="E7" s="4" t="str">
        <f ca="1">VLOOKUP($B7,OFFSET([2]quests!$A$1,0,0,COUNTA([2]quests!$A:$A),MATCH(E$1,[2]quests!$1:$1,0)-MATCH($B$1,[2]quests!$1:$1,0)+1),MATCH(E$1,[2]quests!$1:$1,0)-MATCH($B$1,[2]quests!$1:$1,0)+1,FALSE)</f>
        <v>麒麟襲来！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 xml:space="preserve">【超ウィザード級】麒麟襲来 </v>
      </c>
      <c r="G7" s="21">
        <v>4</v>
      </c>
      <c r="H7" s="15" t="str">
        <f t="shared" si="2"/>
        <v>50001_1-4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2</v>
      </c>
      <c r="L7" s="20">
        <v>433</v>
      </c>
      <c r="M7" s="17" t="str">
        <f ca="1">VLOOKUP($L7,OFFSET([3]enemies!$A$1,0,0,COUNTA([3]enemies!$A:$A),MATCH(M$1,[3]enemies!$1:$1,0)-MATCH($L$1,[3]enemies!$1:$1,0)+1),MATCH(M$1,[3]enemies!$1:$1,0)-MATCH($L$1,[3]enemies!$1:$1,0)+1,FALSE)</f>
        <v>世稀の現獣 麒麟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DropWizSS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god</v>
      </c>
      <c r="Q7" s="17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70</v>
      </c>
      <c r="S7" s="25">
        <v>2.95</v>
      </c>
      <c r="T7" s="25">
        <v>2.4300000000000002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右手に力を溜め始めた_x000D_状態異常無効＋3ターン暗闇</v>
      </c>
      <c r="W7" s="47">
        <v>50001007</v>
      </c>
      <c r="X7" s="6">
        <v>1</v>
      </c>
      <c r="Y7" s="6">
        <v>100</v>
      </c>
      <c r="Z7" s="6">
        <v>1</v>
      </c>
      <c r="AA7" s="4">
        <v>3</v>
      </c>
      <c r="AB7" s="20">
        <v>432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麒麟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DropWizSS</v>
      </c>
      <c r="AF7" s="7">
        <v>1</v>
      </c>
      <c r="AG7" s="24">
        <f t="shared" ca="1" si="3"/>
        <v>4</v>
      </c>
      <c r="AH7" s="8">
        <v>30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</row>
    <row r="10" spans="1:39" ht="21" customHeight="1" x14ac:dyDescent="0.15">
      <c r="O10" s="3" t="s">
        <v>281</v>
      </c>
    </row>
  </sheetData>
  <sheetProtection selectLockedCells="1" selectUnlockedCells="1"/>
  <autoFilter ref="B1:AH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V2" activePane="bottomRight" state="frozen"/>
      <selection activeCell="E25" sqref="E25"/>
      <selection pane="topRight" activeCell="E25" sqref="E25"/>
      <selection pane="bottomLeft" activeCell="E25" sqref="E25"/>
      <selection pane="bottomRight" activeCell="G14" sqref="G14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2.1640625" style="3" bestFit="1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128</v>
      </c>
      <c r="X1" s="36" t="s">
        <v>127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50001_1-3/432&lt;lv65&gt;sq1st2</v>
      </c>
      <c r="B2" s="22">
        <v>50001</v>
      </c>
      <c r="C2" s="21">
        <v>1</v>
      </c>
      <c r="D2" s="2" t="str">
        <f>B2&amp;"_"&amp;C2</f>
        <v>50001_1</v>
      </c>
      <c r="E2" s="4" t="str">
        <f ca="1">VLOOKUP($B2,OFFSET([2]quests!$A$1,0,0,COUNTA([2]quests!$A:$A),MATCH(E$1,[2]quests!$1:$1,0)-MATCH($B$1,[2]quests!$1:$1,0)+1),MATCH(E$1,[2]quests!$1:$1,0)-MATCH($B$1,[2]quests!$1:$1,0)+1,FALSE)</f>
        <v>麒麟襲来！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【超ウィザード級】麒麟襲来 </v>
      </c>
      <c r="G2" s="21">
        <v>3</v>
      </c>
      <c r="H2" s="15" t="str">
        <f>B2&amp;"_"&amp;C2&amp;"-"&amp;G2</f>
        <v>50001_1-3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432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麒麟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65</v>
      </c>
      <c r="T2" s="25">
        <v>2.1</v>
      </c>
      <c r="U2" s="25">
        <v>1.53</v>
      </c>
      <c r="V2" s="5">
        <v>0</v>
      </c>
      <c r="W2" s="4" t="str">
        <f ca="1">VLOOKUP($X2,OFFSET(enemy_skill_sets!$B$1,0,0,COUNTA(enemy_skill_sets!$B:$B),MATCH("name",enemy_skill_sets!$1:$1,0)-MATCH($X$1,enemy_skill_sets!$1:$1,0)+2),MATCH("name",enemy_skill_sets!$1:$1,0)-MATCH($X$1,enemy_skill_sets!$1:$1,0)+2,FALSE)</f>
        <v>3ターンの間攻撃力がアップ</v>
      </c>
      <c r="X2" s="67">
        <v>50001006</v>
      </c>
      <c r="Y2" s="4">
        <v>2</v>
      </c>
    </row>
    <row r="3" spans="1:25" ht="21" customHeight="1" x14ac:dyDescent="0.15">
      <c r="A3" s="16" t="str">
        <f>B3&amp;"_"&amp;C3&amp;"-"&amp;G3&amp;"/"&amp;M3&amp;"&lt;lv"&amp;S3&amp;"&gt;sq"&amp;K3&amp;"st"&amp;L3</f>
        <v>50001_1-4/433&lt;lv73&gt;sq2st2</v>
      </c>
      <c r="B3" s="22">
        <v>50001</v>
      </c>
      <c r="C3" s="21">
        <v>1</v>
      </c>
      <c r="D3" s="2" t="str">
        <f>B3&amp;"_"&amp;C3</f>
        <v>50001_1</v>
      </c>
      <c r="E3" s="4" t="str">
        <f ca="1">VLOOKUP($B3,OFFSET([2]quests!$A$1,0,0,COUNTA([2]quests!$A:$A),MATCH(E$1,[2]quests!$1:$1,0)-MATCH($B$1,[2]quests!$1:$1,0)+1),MATCH(E$1,[2]quests!$1:$1,0)-MATCH($B$1,[2]quests!$1:$1,0)+1,FALSE)</f>
        <v>麒麟襲来！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【超ウィザード級】麒麟襲来 </v>
      </c>
      <c r="G3" s="21">
        <v>4</v>
      </c>
      <c r="H3" s="15" t="str">
        <f>B3&amp;"_"&amp;C3&amp;"-"&amp;G3</f>
        <v>50001_1-4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433</v>
      </c>
      <c r="N3" s="17" t="str">
        <f ca="1">VLOOKUP($M3,OFFSET([3]enemies!$A$1,0,0,COUNTA([3]enemies!$A:$A),MATCH(N$1,[3]enemies!$1:$1,0)-MATCH($M$1,[3]enemies!$1:$1,0)+1),MATCH(N$1,[3]enemies!$1:$1,0)-MATCH($M$1,[3]enemies!$1:$1,0)+1,FALSE)</f>
        <v>世稀の現獣 麒麟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73</v>
      </c>
      <c r="T3" s="25">
        <v>2.2999999999999998</v>
      </c>
      <c r="U3" s="25">
        <v>1.35</v>
      </c>
      <c r="V3" s="5">
        <v>0</v>
      </c>
      <c r="W3" s="4" t="str">
        <f ca="1">VLOOKUP($X3,OFFSET(enemy_skill_sets!$B$1,0,0,COUNTA(enemy_skill_sets!$B:$B),MATCH("name",enemy_skill_sets!$1:$1,0)-MATCH($X$1,enemy_skill_sets!$1:$1,0)+2),MATCH("name",enemy_skill_sets!$1:$1,0)-MATCH($X$1,enemy_skill_sets!$1:$1,0)+2,FALSE)</f>
        <v>麒麟の影像が乱れた！_x000D_状態異常無効＋お邪魔パネル生成</v>
      </c>
      <c r="X3" s="67">
        <v>50001008</v>
      </c>
      <c r="Y3" s="4">
        <v>2</v>
      </c>
    </row>
    <row r="4" spans="1:25" ht="21" customHeight="1" x14ac:dyDescent="0.15">
      <c r="A4" s="16" t="str">
        <f>B4&amp;"_"&amp;C4&amp;"-"&amp;G4&amp;"/"&amp;M4&amp;"&lt;lv"&amp;S4&amp;"&gt;sq"&amp;K4&amp;"st"&amp;L4</f>
        <v>50001_1-4/433&lt;lv75&gt;sq2st3</v>
      </c>
      <c r="B4" s="22">
        <v>50001</v>
      </c>
      <c r="C4" s="21">
        <v>1</v>
      </c>
      <c r="D4" s="2" t="str">
        <f>B4&amp;"_"&amp;C4</f>
        <v>50001_1</v>
      </c>
      <c r="E4" s="4" t="str">
        <f ca="1">VLOOKUP($B4,OFFSET([2]quests!$A$1,0,0,COUNTA([2]quests!$A:$A),MATCH(E$1,[2]quests!$1:$1,0)-MATCH($B$1,[2]quests!$1:$1,0)+1),MATCH(E$1,[2]quests!$1:$1,0)-MATCH($B$1,[2]quests!$1:$1,0)+1,FALSE)</f>
        <v>麒麟襲来！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【超ウィザード級】麒麟襲来 </v>
      </c>
      <c r="G4" s="21">
        <v>4</v>
      </c>
      <c r="H4" s="15" t="str">
        <f>B4&amp;"_"&amp;C4&amp;"-"&amp;G4</f>
        <v>50001_1-4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3</v>
      </c>
      <c r="M4" s="20">
        <v>433</v>
      </c>
      <c r="N4" s="17" t="str">
        <f ca="1">VLOOKUP($M4,OFFSET([3]enemies!$A$1,0,0,COUNTA([3]enemies!$A:$A),MATCH(N$1,[3]enemies!$1:$1,0)-MATCH($M$1,[3]enemies!$1:$1,0)+1),MATCH(N$1,[3]enemies!$1:$1,0)-MATCH($M$1,[3]enemies!$1:$1,0)+1,FALSE)</f>
        <v>世稀の現獣 麒麟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75</v>
      </c>
      <c r="T4" s="25">
        <v>2.7</v>
      </c>
      <c r="U4" s="25">
        <v>0.86</v>
      </c>
      <c r="V4" s="5">
        <v>0</v>
      </c>
      <c r="W4" s="4" t="str">
        <f ca="1">VLOOKUP($X4,OFFSET(enemy_skill_sets!$B$1,0,0,COUNTA(enemy_skill_sets!$B:$B),MATCH("name",enemy_skill_sets!$1:$1,0)-MATCH($X$1,enemy_skill_sets!$1:$1,0)+2),MATCH("name",enemy_skill_sets!$1:$1,0)-MATCH($X$1,enemy_skill_sets!$1:$1,0)+2,FALSE)</f>
        <v>麒麟の影像が大きく歪んだ！_x000D_状態異常無効+フィーバーゲージが0に！</v>
      </c>
      <c r="X4" s="67">
        <v>50001009</v>
      </c>
      <c r="Y4" s="4">
        <v>1</v>
      </c>
    </row>
  </sheetData>
  <sheetProtection selectLockedCells="1" selectUnlockedCells="1"/>
  <autoFilter ref="B1:Y2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56"/>
  <sheetViews>
    <sheetView showGridLines="0" tabSelected="1" zoomScale="115" zoomScaleNormal="115" zoomScalePageLayoutView="115" workbookViewId="0">
      <pane ySplit="1" topLeftCell="A37" activePane="bottomLeft" state="frozenSplit"/>
      <selection activeCell="E25" sqref="E25"/>
      <selection pane="bottomLeft" activeCell="D47" sqref="D47"/>
    </sheetView>
  </sheetViews>
  <sheetFormatPr baseColWidth="12" defaultColWidth="12.83203125" defaultRowHeight="21" customHeight="1" outlineLevelCol="1" x14ac:dyDescent="0.15"/>
  <cols>
    <col min="1" max="1" width="15.1640625" style="49" customWidth="1"/>
    <col min="2" max="2" width="67.1640625" style="49" customWidth="1"/>
    <col min="3" max="4" width="12.83203125" style="49"/>
    <col min="5" max="5" width="26" style="49" bestFit="1" customWidth="1"/>
    <col min="6" max="6" width="44.1640625" style="49" bestFit="1" customWidth="1" collapsed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78</v>
      </c>
      <c r="B1" s="40" t="s">
        <v>79</v>
      </c>
      <c r="C1" s="40" t="s">
        <v>80</v>
      </c>
      <c r="D1" s="40" t="s">
        <v>125</v>
      </c>
      <c r="E1" s="40" t="s">
        <v>81</v>
      </c>
      <c r="F1" s="40" t="s">
        <v>82</v>
      </c>
      <c r="G1" s="63" t="s">
        <v>133</v>
      </c>
      <c r="H1" s="63" t="s">
        <v>134</v>
      </c>
      <c r="I1" s="63" t="s">
        <v>135</v>
      </c>
      <c r="J1" s="63" t="s">
        <v>136</v>
      </c>
      <c r="K1" s="63" t="s">
        <v>137</v>
      </c>
      <c r="L1" s="63" t="s">
        <v>138</v>
      </c>
      <c r="M1" s="63" t="s">
        <v>139</v>
      </c>
      <c r="N1" s="63" t="s">
        <v>140</v>
      </c>
      <c r="O1" s="63" t="s">
        <v>141</v>
      </c>
      <c r="P1" s="63" t="s">
        <v>142</v>
      </c>
      <c r="Q1" s="63" t="s">
        <v>143</v>
      </c>
      <c r="R1" s="63" t="s">
        <v>144</v>
      </c>
      <c r="S1" s="63" t="s">
        <v>145</v>
      </c>
      <c r="T1" s="63" t="s">
        <v>146</v>
      </c>
      <c r="U1" s="63" t="s">
        <v>147</v>
      </c>
      <c r="V1" s="63" t="s">
        <v>148</v>
      </c>
      <c r="W1" s="63" t="s">
        <v>149</v>
      </c>
      <c r="X1" s="63" t="s">
        <v>150</v>
      </c>
      <c r="Y1" s="63" t="s">
        <v>151</v>
      </c>
      <c r="Z1" s="41" t="s">
        <v>75</v>
      </c>
      <c r="AA1" s="41" t="s">
        <v>76</v>
      </c>
      <c r="AB1" s="41" t="s">
        <v>77</v>
      </c>
    </row>
    <row r="2" spans="1:28" ht="21" customHeight="1" x14ac:dyDescent="0.15">
      <c r="A2" s="62">
        <v>50001001</v>
      </c>
      <c r="B2" s="47" t="s">
        <v>232</v>
      </c>
      <c r="C2" s="50">
        <v>3</v>
      </c>
      <c r="D2" s="50" t="s">
        <v>126</v>
      </c>
      <c r="E2" s="72" t="s">
        <v>285</v>
      </c>
      <c r="F2" s="47" t="s">
        <v>236</v>
      </c>
      <c r="G2" s="51" t="str">
        <f t="shared" ref="G2:G13" si="0">IFERROR(LEFT(B2,FIND("],",B2)),B2)</f>
        <v>[effect:enhance_enemy, target:myself, turn:5, status:attack, val:1.18, animation:enemy_enhance_enemy]</v>
      </c>
      <c r="H2" s="51">
        <f t="shared" ref="H2:H29" si="1">FIND("effect:",G2)+7</f>
        <v>9</v>
      </c>
      <c r="I2" s="51">
        <f t="shared" ref="I2:I29" si="2">IFERROR(FIND(",",G2),LEN(G2))</f>
        <v>22</v>
      </c>
      <c r="J2" s="51">
        <f t="shared" ref="J2:J29" si="3">FIND("target:",G2)+7</f>
        <v>31</v>
      </c>
      <c r="K2" s="51">
        <f t="shared" ref="K2:K29" si="4">FIND(",",G2,I2+1)</f>
        <v>37</v>
      </c>
      <c r="L2" s="51" t="str">
        <f>IFERROR(VLOOKUP(MID(G2,J2,K2-J2),[5]skilldef!$C:$D,2,FALSE),"-") &amp; " / " &amp; IFERROR(VLOOKUP(MID(G2,H2,I2-H2),[5]skilldef!$A:$B,2,FALSE),"-")</f>
        <v>自分自身に / ステータス強化</v>
      </c>
      <c r="M2" s="51" t="str">
        <f t="shared" ref="M2:M22" si="5">IFERROR(RIGHT(B2,LEN(B2)-FIND("],",B2)-1),"none")</f>
        <v>[effect:fix_speed,target:myself,turn:2]</v>
      </c>
      <c r="N2" s="47" t="str">
        <f>IFERROR(LEFT(M2,FIND("],",M2)+#REF!),M2)</f>
        <v>[effect:fix_speed,target:myself,turn:2]</v>
      </c>
      <c r="O2" s="51">
        <f t="shared" ref="O2:O24" si="6">FIND("effect:",N2)+7</f>
        <v>9</v>
      </c>
      <c r="P2" s="51">
        <f t="shared" ref="P2:P13" si="7">IFERROR(FIND(",",N2),LEN(N2))</f>
        <v>18</v>
      </c>
      <c r="Q2" s="51">
        <f t="shared" ref="Q2:Q13" si="8">FIND("target:",N2)+7</f>
        <v>26</v>
      </c>
      <c r="R2" s="51">
        <f t="shared" ref="R2:R13" si="9">FIND(",",N2,P2+1)</f>
        <v>32</v>
      </c>
      <c r="S2" s="51" t="str">
        <f>IFERROR(VLOOKUP(MID(N2,Q2,R2-Q2),[5]skilldef!$C:$D,2,FALSE),"-") &amp; " / " &amp; IFERROR(VLOOKUP(MID(N2,O2,P2-O2),[5]skilldef!$A:$B,2,FALSE),"-")</f>
        <v>自分自身に / 行動値設定</v>
      </c>
      <c r="T2" s="47" t="str">
        <f t="shared" ref="T2:T13" si="10">IFERROR(RIGHT(M2,LEN(M2)-FIND("],",M2)-1),"none")</f>
        <v>none</v>
      </c>
      <c r="U2" s="51" t="e">
        <f t="shared" ref="U2:U24" si="11">FIND("effect:",T2)+7</f>
        <v>#VALUE!</v>
      </c>
      <c r="V2" s="51">
        <f t="shared" ref="V2:V13" si="12">IFERROR(FIND(",",T2),LEN(T2))</f>
        <v>4</v>
      </c>
      <c r="W2" s="51" t="e">
        <f t="shared" ref="W2:W13" si="13">FIND("target:",T2)+7</f>
        <v>#VALUE!</v>
      </c>
      <c r="X2" s="51" t="e">
        <f t="shared" ref="X2:X13" si="14">FIND(",",T2,V2+1)</f>
        <v>#VALUE!</v>
      </c>
      <c r="Y2" s="51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1" customHeight="1" x14ac:dyDescent="0.15">
      <c r="A3" s="62">
        <v>50001002</v>
      </c>
      <c r="B3" s="47" t="s">
        <v>165</v>
      </c>
      <c r="C3" s="50">
        <v>3</v>
      </c>
      <c r="D3" s="50" t="s">
        <v>126</v>
      </c>
      <c r="E3" s="47" t="s">
        <v>172</v>
      </c>
      <c r="F3" s="47" t="s">
        <v>154</v>
      </c>
      <c r="G3" s="51" t="str">
        <f t="shared" si="0"/>
        <v>[effect:spread, val:0.3, animation:enemy_spread]</v>
      </c>
      <c r="H3" s="51">
        <f t="shared" si="1"/>
        <v>9</v>
      </c>
      <c r="I3" s="51">
        <f t="shared" si="2"/>
        <v>15</v>
      </c>
      <c r="J3" s="51" t="e">
        <f t="shared" si="3"/>
        <v>#VALUE!</v>
      </c>
      <c r="K3" s="51">
        <f t="shared" si="4"/>
        <v>24</v>
      </c>
      <c r="L3" s="51" t="str">
        <f>IFERROR(VLOOKUP(MID(G3,J3,K3-J3),[5]skilldef!$C:$D,2,FALSE),"-") &amp; " / " &amp; IFERROR(VLOOKUP(MID(G3,H3,I3-H3),[5]skilldef!$A:$B,2,FALSE),"-")</f>
        <v>- / 全体攻撃</v>
      </c>
      <c r="M3" s="51" t="str">
        <f t="shared" si="5"/>
        <v>none</v>
      </c>
      <c r="N3" s="47" t="str">
        <f>IFERROR(LEFT(M3,FIND("],",M3)+#REF!),M3)</f>
        <v>none</v>
      </c>
      <c r="O3" s="51" t="e">
        <f t="shared" si="6"/>
        <v>#VALUE!</v>
      </c>
      <c r="P3" s="51">
        <f t="shared" si="7"/>
        <v>4</v>
      </c>
      <c r="Q3" s="51" t="e">
        <f t="shared" si="8"/>
        <v>#VALUE!</v>
      </c>
      <c r="R3" s="51" t="e">
        <f t="shared" si="9"/>
        <v>#VALUE!</v>
      </c>
      <c r="S3" s="51" t="str">
        <f>IFERROR(VLOOKUP(MID(N3,Q3,R3-Q3),[5]skilldef!$C:$D,2,FALSE),"-") &amp; " / " &amp; IFERROR(VLOOKUP(MID(N3,O3,P3-O3),[5]skilldef!$A:$B,2,FALSE),"-")</f>
        <v>- / -</v>
      </c>
      <c r="T3" s="47" t="str">
        <f t="shared" si="10"/>
        <v>none</v>
      </c>
      <c r="U3" s="51" t="e">
        <f t="shared" si="11"/>
        <v>#VALUE!</v>
      </c>
      <c r="V3" s="51">
        <f t="shared" si="12"/>
        <v>4</v>
      </c>
      <c r="W3" s="51" t="e">
        <f t="shared" si="13"/>
        <v>#VALUE!</v>
      </c>
      <c r="X3" s="51" t="e">
        <f t="shared" si="14"/>
        <v>#VALUE!</v>
      </c>
      <c r="Y3" s="51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1" customHeight="1" x14ac:dyDescent="0.15">
      <c r="A4" s="62">
        <v>50001003</v>
      </c>
      <c r="B4" s="47" t="s">
        <v>163</v>
      </c>
      <c r="C4" s="50">
        <v>3</v>
      </c>
      <c r="D4" s="50" t="s">
        <v>126</v>
      </c>
      <c r="E4" s="72" t="s">
        <v>238</v>
      </c>
      <c r="F4" s="47" t="s">
        <v>284</v>
      </c>
      <c r="G4" s="51" t="str">
        <f t="shared" si="0"/>
        <v>[effect:enhance_enemy, target:myself, turn:-1, status:defense, val:3000, calc:add, animation:enemy_enhance_enemy]</v>
      </c>
      <c r="H4" s="51">
        <f t="shared" si="1"/>
        <v>9</v>
      </c>
      <c r="I4" s="51">
        <f t="shared" si="2"/>
        <v>22</v>
      </c>
      <c r="J4" s="51">
        <f t="shared" si="3"/>
        <v>31</v>
      </c>
      <c r="K4" s="51">
        <f t="shared" si="4"/>
        <v>37</v>
      </c>
      <c r="L4" s="51" t="str">
        <f>IFERROR(VLOOKUP(MID(G4,J4,K4-J4),[5]skilldef!$C:$D,2,FALSE),"-") &amp; " / " &amp; IFERROR(VLOOKUP(MID(G4,H4,I4-H4),[5]skilldef!$A:$B,2,FALSE),"-")</f>
        <v>自分自身に / ステータス強化</v>
      </c>
      <c r="M4" s="51" t="str">
        <f t="shared" si="5"/>
        <v>none</v>
      </c>
      <c r="N4" s="47" t="str">
        <f>IFERROR(LEFT(M4,FIND("],",M4)+#REF!),M4)</f>
        <v>none</v>
      </c>
      <c r="O4" s="51" t="e">
        <f t="shared" si="6"/>
        <v>#VALUE!</v>
      </c>
      <c r="P4" s="51">
        <f t="shared" si="7"/>
        <v>4</v>
      </c>
      <c r="Q4" s="51" t="e">
        <f t="shared" si="8"/>
        <v>#VALUE!</v>
      </c>
      <c r="R4" s="51" t="e">
        <f t="shared" si="9"/>
        <v>#VALUE!</v>
      </c>
      <c r="S4" s="51" t="str">
        <f>IFERROR(VLOOKUP(MID(N4,Q4,R4-Q4),[5]skilldef!$C:$D,2,FALSE),"-") &amp; " / " &amp; IFERROR(VLOOKUP(MID(N4,O4,P4-O4),[5]skilldef!$A:$B,2,FALSE),"-")</f>
        <v>- / -</v>
      </c>
      <c r="T4" s="47" t="str">
        <f t="shared" si="10"/>
        <v>none</v>
      </c>
      <c r="U4" s="51" t="e">
        <f t="shared" si="11"/>
        <v>#VALUE!</v>
      </c>
      <c r="V4" s="51">
        <f t="shared" si="12"/>
        <v>4</v>
      </c>
      <c r="W4" s="51" t="e">
        <f t="shared" si="13"/>
        <v>#VALUE!</v>
      </c>
      <c r="X4" s="51" t="e">
        <f t="shared" si="14"/>
        <v>#VALUE!</v>
      </c>
      <c r="Y4" s="51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1" customHeight="1" x14ac:dyDescent="0.15">
      <c r="A5" s="62">
        <v>50001004</v>
      </c>
      <c r="B5" s="47" t="s">
        <v>234</v>
      </c>
      <c r="C5" s="50">
        <v>3</v>
      </c>
      <c r="D5" s="50" t="s">
        <v>126</v>
      </c>
      <c r="E5" s="47" t="s">
        <v>174</v>
      </c>
      <c r="F5" s="47" t="s">
        <v>233</v>
      </c>
      <c r="G5" s="51" t="str">
        <f t="shared" si="0"/>
        <v>[effect:charge, status:attack, val:6, animation:enemy_charge]</v>
      </c>
      <c r="H5" s="51">
        <f t="shared" si="1"/>
        <v>9</v>
      </c>
      <c r="I5" s="51">
        <f t="shared" si="2"/>
        <v>15</v>
      </c>
      <c r="J5" s="51" t="e">
        <f t="shared" si="3"/>
        <v>#VALUE!</v>
      </c>
      <c r="K5" s="51">
        <f t="shared" si="4"/>
        <v>30</v>
      </c>
      <c r="L5" s="51" t="str">
        <f>IFERROR(VLOOKUP(MID(G5,J5,K5-J5),[5]skilldef!$C:$D,2,FALSE),"-") &amp; " / " &amp; IFERROR(VLOOKUP(MID(G5,H5,I5-H5),[5]skilldef!$A:$B,2,FALSE),"-")</f>
        <v>- / 溜め</v>
      </c>
      <c r="M5" s="51" t="str">
        <f t="shared" si="5"/>
        <v>none</v>
      </c>
      <c r="N5" s="47" t="str">
        <f>IFERROR(LEFT(M5,FIND("],",M5)+#REF!),M5)</f>
        <v>none</v>
      </c>
      <c r="O5" s="51" t="e">
        <f t="shared" si="6"/>
        <v>#VALUE!</v>
      </c>
      <c r="P5" s="51">
        <f t="shared" si="7"/>
        <v>4</v>
      </c>
      <c r="Q5" s="51" t="e">
        <f t="shared" si="8"/>
        <v>#VALUE!</v>
      </c>
      <c r="R5" s="51" t="e">
        <f t="shared" si="9"/>
        <v>#VALUE!</v>
      </c>
      <c r="S5" s="51" t="str">
        <f>IFERROR(VLOOKUP(MID(N5,Q5,R5-Q5),[5]skilldef!$C:$D,2,FALSE),"-") &amp; " / " &amp; IFERROR(VLOOKUP(MID(N5,O5,P5-O5),[5]skilldef!$A:$B,2,FALSE),"-")</f>
        <v>- / -</v>
      </c>
      <c r="T5" s="47" t="str">
        <f t="shared" si="10"/>
        <v>none</v>
      </c>
      <c r="U5" s="51" t="e">
        <f t="shared" si="11"/>
        <v>#VALUE!</v>
      </c>
      <c r="V5" s="51">
        <f t="shared" si="12"/>
        <v>4</v>
      </c>
      <c r="W5" s="51" t="e">
        <f t="shared" si="13"/>
        <v>#VALUE!</v>
      </c>
      <c r="X5" s="51" t="e">
        <f t="shared" si="14"/>
        <v>#VALUE!</v>
      </c>
      <c r="Y5" s="51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21" customHeight="1" x14ac:dyDescent="0.15">
      <c r="A6" s="62">
        <v>50001005</v>
      </c>
      <c r="B6" s="47" t="s">
        <v>222</v>
      </c>
      <c r="C6" s="50">
        <v>3</v>
      </c>
      <c r="D6" s="50" t="s">
        <v>126</v>
      </c>
      <c r="E6" s="70" t="s">
        <v>286</v>
      </c>
      <c r="F6" s="47" t="s">
        <v>235</v>
      </c>
      <c r="G6" s="51" t="str">
        <f t="shared" si="0"/>
        <v>[effect:enhance_enemy, target:myself, turn:5, status:defense, val:5000, calc:add, animation:enemy_enhance_enemy]</v>
      </c>
      <c r="H6" s="51">
        <f t="shared" si="1"/>
        <v>9</v>
      </c>
      <c r="I6" s="51">
        <f t="shared" si="2"/>
        <v>22</v>
      </c>
      <c r="J6" s="51">
        <f t="shared" si="3"/>
        <v>31</v>
      </c>
      <c r="K6" s="51">
        <f t="shared" si="4"/>
        <v>37</v>
      </c>
      <c r="L6" s="51" t="str">
        <f>IFERROR(VLOOKUP(MID(G6,J6,K6-J6),[5]skilldef!$C:$D,2,FALSE),"-") &amp; " / " &amp; IFERROR(VLOOKUP(MID(G6,H6,I6-H6),[5]skilldef!$A:$B,2,FALSE),"-")</f>
        <v>自分自身に / ステータス強化</v>
      </c>
      <c r="M6" s="51" t="str">
        <f t="shared" si="5"/>
        <v>[effect:fix_speed,target:myself,turn:3]</v>
      </c>
      <c r="N6" s="47" t="str">
        <f>IFERROR(LEFT(M6,FIND("],",M6)+#REF!),M6)</f>
        <v>[effect:fix_speed,target:myself,turn:3]</v>
      </c>
      <c r="O6" s="51">
        <f t="shared" si="6"/>
        <v>9</v>
      </c>
      <c r="P6" s="51">
        <f t="shared" si="7"/>
        <v>18</v>
      </c>
      <c r="Q6" s="51">
        <f t="shared" si="8"/>
        <v>26</v>
      </c>
      <c r="R6" s="51">
        <f t="shared" si="9"/>
        <v>32</v>
      </c>
      <c r="S6" s="51" t="str">
        <f>IFERROR(VLOOKUP(MID(N6,Q6,R6-Q6),[5]skilldef!$C:$D,2,FALSE),"-") &amp; " / " &amp; IFERROR(VLOOKUP(MID(N6,O6,P6-O6),[5]skilldef!$A:$B,2,FALSE),"-")</f>
        <v>自分自身に / 行動値設定</v>
      </c>
      <c r="T6" s="47" t="str">
        <f t="shared" si="10"/>
        <v>none</v>
      </c>
      <c r="U6" s="51" t="e">
        <f t="shared" si="11"/>
        <v>#VALUE!</v>
      </c>
      <c r="V6" s="51">
        <f t="shared" si="12"/>
        <v>4</v>
      </c>
      <c r="W6" s="51" t="e">
        <f t="shared" si="13"/>
        <v>#VALUE!</v>
      </c>
      <c r="X6" s="51" t="e">
        <f t="shared" si="14"/>
        <v>#VALUE!</v>
      </c>
      <c r="Y6" s="51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21" customHeight="1" x14ac:dyDescent="0.15">
      <c r="A7" s="62">
        <v>50001006</v>
      </c>
      <c r="B7" s="47" t="s">
        <v>294</v>
      </c>
      <c r="C7" s="50">
        <v>3</v>
      </c>
      <c r="D7" s="50" t="s">
        <v>126</v>
      </c>
      <c r="E7" s="70" t="s">
        <v>237</v>
      </c>
      <c r="F7" s="47" t="s">
        <v>282</v>
      </c>
      <c r="G7" s="51" t="str">
        <f t="shared" si="0"/>
        <v>[effect:crash_condition, target:unit_all, val:4, turn:5, animation:enemy_crash_extend]</v>
      </c>
      <c r="H7" s="51">
        <f t="shared" si="1"/>
        <v>9</v>
      </c>
      <c r="I7" s="51">
        <f t="shared" si="2"/>
        <v>24</v>
      </c>
      <c r="J7" s="51">
        <f t="shared" si="3"/>
        <v>33</v>
      </c>
      <c r="K7" s="51">
        <f t="shared" si="4"/>
        <v>41</v>
      </c>
      <c r="L7" s="51" t="str">
        <f>IFERROR(VLOOKUP(MID(G7,J7,K7-J7),[5]skilldef!$C:$D,2,FALSE),"-") &amp; " / " &amp; IFERROR(VLOOKUP(MID(G7,H7,I7-H7),[5]skilldef!$A:$B,2,FALSE),"-")</f>
        <v>味方全体に / -</v>
      </c>
      <c r="M7" s="51" t="str">
        <f t="shared" si="5"/>
        <v>none</v>
      </c>
      <c r="N7" s="47" t="str">
        <f>IFERROR(LEFT(M7,FIND("],",M7)+#REF!),M7)</f>
        <v>none</v>
      </c>
      <c r="O7" s="51" t="e">
        <f t="shared" si="6"/>
        <v>#VALUE!</v>
      </c>
      <c r="P7" s="51">
        <f t="shared" si="7"/>
        <v>4</v>
      </c>
      <c r="Q7" s="51" t="e">
        <f t="shared" si="8"/>
        <v>#VALUE!</v>
      </c>
      <c r="R7" s="51" t="e">
        <f t="shared" si="9"/>
        <v>#VALUE!</v>
      </c>
      <c r="S7" s="51" t="str">
        <f>IFERROR(VLOOKUP(MID(N7,Q7,R7-Q7),[5]skilldef!$C:$D,2,FALSE),"-") &amp; " / " &amp; IFERROR(VLOOKUP(MID(N7,O7,P7-O7),[5]skilldef!$A:$B,2,FALSE),"-")</f>
        <v>- / -</v>
      </c>
      <c r="T7" s="47" t="str">
        <f t="shared" si="10"/>
        <v>none</v>
      </c>
      <c r="U7" s="51" t="e">
        <f t="shared" si="11"/>
        <v>#VALUE!</v>
      </c>
      <c r="V7" s="51">
        <f t="shared" si="12"/>
        <v>4</v>
      </c>
      <c r="W7" s="51" t="e">
        <f t="shared" si="13"/>
        <v>#VALUE!</v>
      </c>
      <c r="X7" s="51" t="e">
        <f t="shared" si="14"/>
        <v>#VALUE!</v>
      </c>
      <c r="Y7" s="51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 x14ac:dyDescent="0.15">
      <c r="A8" s="62">
        <v>50001007</v>
      </c>
      <c r="B8" s="47" t="s">
        <v>221</v>
      </c>
      <c r="C8" s="50">
        <v>3</v>
      </c>
      <c r="D8" s="50" t="s">
        <v>126</v>
      </c>
      <c r="E8" s="51" t="s">
        <v>169</v>
      </c>
      <c r="F8" s="47" t="s">
        <v>192</v>
      </c>
      <c r="G8" s="51" t="str">
        <f t="shared" si="0"/>
        <v>[effect:critical, val:0.6, animation:enemy_critical]</v>
      </c>
      <c r="H8" s="51">
        <f t="shared" si="1"/>
        <v>9</v>
      </c>
      <c r="I8" s="51">
        <f t="shared" si="2"/>
        <v>17</v>
      </c>
      <c r="J8" s="51" t="e">
        <f t="shared" si="3"/>
        <v>#VALUE!</v>
      </c>
      <c r="K8" s="51">
        <f t="shared" si="4"/>
        <v>26</v>
      </c>
      <c r="L8" s="51" t="str">
        <f>IFERROR(VLOOKUP(MID(G8,J8,K8-J8),[5]skilldef!$C:$D,2,FALSE),"-") &amp; " / " &amp; IFERROR(VLOOKUP(MID(G8,H8,I8-H8),[5]skilldef!$A:$B,2,FALSE),"-")</f>
        <v>- / 大攻撃</v>
      </c>
      <c r="M8" s="51" t="str">
        <f t="shared" si="5"/>
        <v>none</v>
      </c>
      <c r="N8" s="47" t="str">
        <f>IFERROR(LEFT(M8,FIND("],",M8)+S30),M8)</f>
        <v>none</v>
      </c>
      <c r="O8" s="51" t="e">
        <f t="shared" si="6"/>
        <v>#VALUE!</v>
      </c>
      <c r="P8" s="51">
        <f t="shared" si="7"/>
        <v>4</v>
      </c>
      <c r="Q8" s="51" t="e">
        <f t="shared" si="8"/>
        <v>#VALUE!</v>
      </c>
      <c r="R8" s="51" t="e">
        <f t="shared" si="9"/>
        <v>#VALUE!</v>
      </c>
      <c r="S8" s="51" t="str">
        <f>IFERROR(VLOOKUP(MID(N8,Q8,R8-Q8),[5]skilldef!$C:$D,2,FALSE),"-") &amp; " / " &amp; IFERROR(VLOOKUP(MID(N8,O8,P8-O8),[5]skilldef!$A:$B,2,FALSE),"-")</f>
        <v>- / -</v>
      </c>
      <c r="T8" s="47" t="str">
        <f t="shared" si="10"/>
        <v>none</v>
      </c>
      <c r="U8" s="51" t="e">
        <f t="shared" si="11"/>
        <v>#VALUE!</v>
      </c>
      <c r="V8" s="51">
        <f t="shared" si="12"/>
        <v>4</v>
      </c>
      <c r="W8" s="51" t="e">
        <f t="shared" si="13"/>
        <v>#VALUE!</v>
      </c>
      <c r="X8" s="51" t="e">
        <f t="shared" si="14"/>
        <v>#VALUE!</v>
      </c>
      <c r="Y8" s="51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 x14ac:dyDescent="0.15">
      <c r="A9" s="62">
        <v>50001008</v>
      </c>
      <c r="B9" s="47" t="s">
        <v>166</v>
      </c>
      <c r="C9" s="50">
        <v>3</v>
      </c>
      <c r="D9" s="50" t="s">
        <v>126</v>
      </c>
      <c r="E9" s="51" t="s">
        <v>173</v>
      </c>
      <c r="F9" s="47" t="s">
        <v>192</v>
      </c>
      <c r="G9" s="51" t="str">
        <f t="shared" ref="G9:G11" si="15">IFERROR(LEFT(B9,FIND("],",B9)),B9)</f>
        <v>[effect:critical, val:1.0, animation:enemy_critical]</v>
      </c>
      <c r="H9" s="51">
        <f t="shared" ref="H9:H11" si="16">FIND("effect:",G9)+7</f>
        <v>9</v>
      </c>
      <c r="I9" s="51">
        <f t="shared" ref="I9:I11" si="17">IFERROR(FIND(",",G9),LEN(G9))</f>
        <v>17</v>
      </c>
      <c r="J9" s="51" t="e">
        <f t="shared" ref="J9:J11" si="18">FIND("target:",G9)+7</f>
        <v>#VALUE!</v>
      </c>
      <c r="K9" s="51">
        <f t="shared" ref="K9:K11" si="19">FIND(",",G9,I9+1)</f>
        <v>26</v>
      </c>
      <c r="L9" s="51" t="str">
        <f>IFERROR(VLOOKUP(MID(G9,J9,K9-J9),[5]skilldef!$C:$D,2,FALSE),"-") &amp; " / " &amp; IFERROR(VLOOKUP(MID(G9,H9,I9-H9),[5]skilldef!$A:$B,2,FALSE),"-")</f>
        <v>- / 大攻撃</v>
      </c>
      <c r="M9" s="51" t="str">
        <f t="shared" si="5"/>
        <v>none</v>
      </c>
      <c r="N9" s="47" t="str">
        <f>IFERROR(LEFT(M9,FIND("],",M9)+S31),M9)</f>
        <v>none</v>
      </c>
      <c r="O9" s="51" t="e">
        <f t="shared" si="6"/>
        <v>#VALUE!</v>
      </c>
      <c r="P9" s="51">
        <f t="shared" ref="P9:P11" si="20">IFERROR(FIND(",",N9),LEN(N9))</f>
        <v>4</v>
      </c>
      <c r="Q9" s="51" t="e">
        <f t="shared" ref="Q9:Q11" si="21">FIND("target:",N9)+7</f>
        <v>#VALUE!</v>
      </c>
      <c r="R9" s="51" t="e">
        <f t="shared" ref="R9:R11" si="22">FIND(",",N9,P9+1)</f>
        <v>#VALUE!</v>
      </c>
      <c r="S9" s="51" t="str">
        <f>IFERROR(VLOOKUP(MID(N9,Q9,R9-Q9),[5]skilldef!$C:$D,2,FALSE),"-") &amp; " / " &amp; IFERROR(VLOOKUP(MID(N9,O9,P9-O9),[5]skilldef!$A:$B,2,FALSE),"-")</f>
        <v>- / -</v>
      </c>
      <c r="T9" s="47" t="str">
        <f t="shared" ref="T9:T11" si="23">IFERROR(RIGHT(M9,LEN(M9)-FIND("],",M9)-1),"none")</f>
        <v>none</v>
      </c>
      <c r="U9" s="51" t="e">
        <f t="shared" si="11"/>
        <v>#VALUE!</v>
      </c>
      <c r="V9" s="51">
        <f t="shared" ref="V9:V11" si="24">IFERROR(FIND(",",T9),LEN(T9))</f>
        <v>4</v>
      </c>
      <c r="W9" s="51" t="e">
        <f t="shared" ref="W9:W11" si="25">FIND("target:",T9)+7</f>
        <v>#VALUE!</v>
      </c>
      <c r="X9" s="51" t="e">
        <f t="shared" ref="X9:X11" si="26">FIND(",",T9,V9+1)</f>
        <v>#VALUE!</v>
      </c>
      <c r="Y9" s="51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21" customHeight="1" x14ac:dyDescent="0.15">
      <c r="A10" s="62">
        <v>50001009</v>
      </c>
      <c r="B10" s="47" t="s">
        <v>167</v>
      </c>
      <c r="C10" s="50">
        <v>3</v>
      </c>
      <c r="D10" s="50" t="s">
        <v>126</v>
      </c>
      <c r="E10" s="51" t="s">
        <v>170</v>
      </c>
      <c r="F10" s="47" t="s">
        <v>192</v>
      </c>
      <c r="G10" s="51" t="str">
        <f t="shared" si="15"/>
        <v>[effect:critical, val:1.2, animation:enemy_critical]</v>
      </c>
      <c r="H10" s="51">
        <f t="shared" si="16"/>
        <v>9</v>
      </c>
      <c r="I10" s="51">
        <f t="shared" si="17"/>
        <v>17</v>
      </c>
      <c r="J10" s="51" t="e">
        <f t="shared" si="18"/>
        <v>#VALUE!</v>
      </c>
      <c r="K10" s="51">
        <f t="shared" si="19"/>
        <v>26</v>
      </c>
      <c r="L10" s="51" t="str">
        <f>IFERROR(VLOOKUP(MID(G10,J10,K10-J10),[5]skilldef!$C:$D,2,FALSE),"-") &amp; " / " &amp; IFERROR(VLOOKUP(MID(G10,H10,I10-H10),[5]skilldef!$A:$B,2,FALSE),"-")</f>
        <v>- / 大攻撃</v>
      </c>
      <c r="M10" s="51" t="str">
        <f t="shared" si="5"/>
        <v>none</v>
      </c>
      <c r="N10" s="47" t="str">
        <f>IFERROR(LEFT(M10,FIND("],",M10)+S32),M10)</f>
        <v>none</v>
      </c>
      <c r="O10" s="51" t="e">
        <f t="shared" si="6"/>
        <v>#VALUE!</v>
      </c>
      <c r="P10" s="51">
        <f t="shared" si="20"/>
        <v>4</v>
      </c>
      <c r="Q10" s="51" t="e">
        <f t="shared" si="21"/>
        <v>#VALUE!</v>
      </c>
      <c r="R10" s="51" t="e">
        <f t="shared" si="22"/>
        <v>#VALUE!</v>
      </c>
      <c r="S10" s="51" t="str">
        <f>IFERROR(VLOOKUP(MID(N10,Q10,R10-Q10),[5]skilldef!$C:$D,2,FALSE),"-") &amp; " / " &amp; IFERROR(VLOOKUP(MID(N10,O10,P10-O10),[5]skilldef!$A:$B,2,FALSE),"-")</f>
        <v>- / -</v>
      </c>
      <c r="T10" s="47" t="str">
        <f t="shared" si="23"/>
        <v>none</v>
      </c>
      <c r="U10" s="51" t="e">
        <f t="shared" si="11"/>
        <v>#VALUE!</v>
      </c>
      <c r="V10" s="51">
        <f t="shared" si="24"/>
        <v>4</v>
      </c>
      <c r="W10" s="51" t="e">
        <f t="shared" si="25"/>
        <v>#VALUE!</v>
      </c>
      <c r="X10" s="51" t="e">
        <f t="shared" si="26"/>
        <v>#VALUE!</v>
      </c>
      <c r="Y10" s="51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21" customHeight="1" x14ac:dyDescent="0.15">
      <c r="A11" s="62">
        <v>50001010</v>
      </c>
      <c r="B11" s="47" t="s">
        <v>168</v>
      </c>
      <c r="C11" s="50">
        <v>3</v>
      </c>
      <c r="D11" s="50" t="s">
        <v>126</v>
      </c>
      <c r="E11" s="51" t="s">
        <v>171</v>
      </c>
      <c r="F11" s="47" t="s">
        <v>192</v>
      </c>
      <c r="G11" s="51" t="str">
        <f t="shared" si="15"/>
        <v>[effect:critical, val:1.5, animation:enemy_critical]</v>
      </c>
      <c r="H11" s="51">
        <f t="shared" si="16"/>
        <v>9</v>
      </c>
      <c r="I11" s="51">
        <f t="shared" si="17"/>
        <v>17</v>
      </c>
      <c r="J11" s="51" t="e">
        <f t="shared" si="18"/>
        <v>#VALUE!</v>
      </c>
      <c r="K11" s="51">
        <f t="shared" si="19"/>
        <v>26</v>
      </c>
      <c r="L11" s="51" t="str">
        <f>IFERROR(VLOOKUP(MID(G11,J11,K11-J11),[5]skilldef!$C:$D,2,FALSE),"-") &amp; " / " &amp; IFERROR(VLOOKUP(MID(G11,H11,I11-H11),[5]skilldef!$A:$B,2,FALSE),"-")</f>
        <v>- / 大攻撃</v>
      </c>
      <c r="M11" s="51" t="str">
        <f t="shared" si="5"/>
        <v>none</v>
      </c>
      <c r="N11" s="47" t="str">
        <f>IFERROR(LEFT(M11,FIND("],",M11)+S33),M11)</f>
        <v>none</v>
      </c>
      <c r="O11" s="51" t="e">
        <f t="shared" si="6"/>
        <v>#VALUE!</v>
      </c>
      <c r="P11" s="51">
        <f t="shared" si="20"/>
        <v>4</v>
      </c>
      <c r="Q11" s="51" t="e">
        <f t="shared" si="21"/>
        <v>#VALUE!</v>
      </c>
      <c r="R11" s="51" t="e">
        <f t="shared" si="22"/>
        <v>#VALUE!</v>
      </c>
      <c r="S11" s="51" t="str">
        <f>IFERROR(VLOOKUP(MID(N11,Q11,R11-Q11),[5]skilldef!$C:$D,2,FALSE),"-") &amp; " / " &amp; IFERROR(VLOOKUP(MID(N11,O11,P11-O11),[5]skilldef!$A:$B,2,FALSE),"-")</f>
        <v>- / -</v>
      </c>
      <c r="T11" s="47" t="str">
        <f t="shared" si="23"/>
        <v>none</v>
      </c>
      <c r="U11" s="51" t="e">
        <f t="shared" si="11"/>
        <v>#VALUE!</v>
      </c>
      <c r="V11" s="51">
        <f t="shared" si="24"/>
        <v>4</v>
      </c>
      <c r="W11" s="51" t="e">
        <f t="shared" si="25"/>
        <v>#VALUE!</v>
      </c>
      <c r="X11" s="51" t="e">
        <f t="shared" si="26"/>
        <v>#VALUE!</v>
      </c>
      <c r="Y11" s="51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  <row r="12" spans="1:28" ht="21" customHeight="1" x14ac:dyDescent="0.15">
      <c r="A12" s="62">
        <v>50001011</v>
      </c>
      <c r="B12" s="47" t="s">
        <v>157</v>
      </c>
      <c r="C12" s="50">
        <v>3</v>
      </c>
      <c r="D12" s="50" t="s">
        <v>126</v>
      </c>
      <c r="E12" s="70" t="s">
        <v>288</v>
      </c>
      <c r="F12" s="47" t="s">
        <v>283</v>
      </c>
      <c r="G12" s="51" t="str">
        <f t="shared" si="0"/>
        <v>[effect:enhance_enemy, target:myself, turn:-1, status:attack, val:1.5, animation:enemy_enhance_enemy]</v>
      </c>
      <c r="H12" s="51">
        <f t="shared" si="1"/>
        <v>9</v>
      </c>
      <c r="I12" s="51">
        <f t="shared" si="2"/>
        <v>22</v>
      </c>
      <c r="J12" s="51">
        <f t="shared" si="3"/>
        <v>31</v>
      </c>
      <c r="K12" s="51">
        <f t="shared" si="4"/>
        <v>37</v>
      </c>
      <c r="L12" s="51" t="str">
        <f>IFERROR(VLOOKUP(MID(G12,J12,K12-J12),[5]skilldef!$C:$D,2,FALSE),"-") &amp; " / " &amp; IFERROR(VLOOKUP(MID(G12,H12,I12-H12),[5]skilldef!$A:$B,2,FALSE),"-")</f>
        <v>自分自身に / ステータス強化</v>
      </c>
      <c r="M12" s="51" t="str">
        <f t="shared" si="5"/>
        <v>none</v>
      </c>
      <c r="N12" s="47" t="str">
        <f t="shared" ref="N12:N24" si="27">IFERROR(LEFT(M12,FIND("],",M12)+S31),M12)</f>
        <v>none</v>
      </c>
      <c r="O12" s="51" t="e">
        <f t="shared" si="6"/>
        <v>#VALUE!</v>
      </c>
      <c r="P12" s="51">
        <f t="shared" si="7"/>
        <v>4</v>
      </c>
      <c r="Q12" s="51" t="e">
        <f t="shared" si="8"/>
        <v>#VALUE!</v>
      </c>
      <c r="R12" s="51" t="e">
        <f t="shared" si="9"/>
        <v>#VALUE!</v>
      </c>
      <c r="S12" s="51" t="str">
        <f>IFERROR(VLOOKUP(MID(N12,Q12,R12-Q12),[5]skilldef!$C:$D,2,FALSE),"-") &amp; " / " &amp; IFERROR(VLOOKUP(MID(N12,O12,P12-O12),[5]skilldef!$A:$B,2,FALSE),"-")</f>
        <v>- / -</v>
      </c>
      <c r="T12" s="47" t="str">
        <f t="shared" si="10"/>
        <v>none</v>
      </c>
      <c r="U12" s="51" t="e">
        <f t="shared" si="11"/>
        <v>#VALUE!</v>
      </c>
      <c r="V12" s="51">
        <f t="shared" si="12"/>
        <v>4</v>
      </c>
      <c r="W12" s="51" t="e">
        <f t="shared" si="13"/>
        <v>#VALUE!</v>
      </c>
      <c r="X12" s="51" t="e">
        <f t="shared" si="14"/>
        <v>#VALUE!</v>
      </c>
      <c r="Y12" s="51" t="str">
        <f>IFERROR(VLOOKUP(MID(T12,W12,X12-W12),[5]skilldef!$C:$D,2,FALSE),"-") &amp; " / " &amp; IFERROR(VLOOKUP(MID(T12,U12,V12-U12),[5]skilldef!$A:$B,2,FALSE),"-")</f>
        <v>- / -</v>
      </c>
      <c r="Z12" s="50"/>
      <c r="AA12" s="52"/>
      <c r="AB12" s="50"/>
    </row>
    <row r="13" spans="1:28" ht="21" customHeight="1" x14ac:dyDescent="0.15">
      <c r="A13" s="62">
        <v>50001012</v>
      </c>
      <c r="B13" s="47" t="s">
        <v>223</v>
      </c>
      <c r="C13" s="50">
        <v>3</v>
      </c>
      <c r="D13" s="50" t="s">
        <v>126</v>
      </c>
      <c r="E13" s="68" t="s">
        <v>287</v>
      </c>
      <c r="F13" s="47" t="s">
        <v>228</v>
      </c>
      <c r="G13" s="51" t="str">
        <f t="shared" si="0"/>
        <v>[effect:freq_turn, target:myself, turn:-1, val:1, animation:enemy_freq_turn]</v>
      </c>
      <c r="H13" s="51">
        <f t="shared" si="1"/>
        <v>9</v>
      </c>
      <c r="I13" s="51">
        <f t="shared" si="2"/>
        <v>18</v>
      </c>
      <c r="J13" s="51">
        <f t="shared" si="3"/>
        <v>27</v>
      </c>
      <c r="K13" s="51">
        <f t="shared" si="4"/>
        <v>33</v>
      </c>
      <c r="L13" s="51" t="str">
        <f>IFERROR(VLOOKUP(MID(G13,J13,K13-J13),[5]skilldef!$C:$D,2,FALSE),"-") &amp; " / " &amp; IFERROR(VLOOKUP(MID(G13,H13,I13-H13),[5]skilldef!$A:$B,2,FALSE),"-")</f>
        <v>自分自身に / 攻撃頻度がUP</v>
      </c>
      <c r="M13" s="51" t="str">
        <f t="shared" si="5"/>
        <v>none</v>
      </c>
      <c r="N13" s="47" t="str">
        <f t="shared" si="27"/>
        <v>none</v>
      </c>
      <c r="O13" s="51" t="e">
        <f t="shared" si="6"/>
        <v>#VALUE!</v>
      </c>
      <c r="P13" s="51">
        <f t="shared" si="7"/>
        <v>4</v>
      </c>
      <c r="Q13" s="51" t="e">
        <f t="shared" si="8"/>
        <v>#VALUE!</v>
      </c>
      <c r="R13" s="51" t="e">
        <f t="shared" si="9"/>
        <v>#VALUE!</v>
      </c>
      <c r="S13" s="51" t="str">
        <f>IFERROR(VLOOKUP(MID(N13,Q13,R13-Q13),[5]skilldef!$C:$D,2,FALSE),"-") &amp; " / " &amp; IFERROR(VLOOKUP(MID(N13,O13,P13-O13),[5]skilldef!$A:$B,2,FALSE),"-")</f>
        <v>- / -</v>
      </c>
      <c r="T13" s="47" t="str">
        <f t="shared" si="10"/>
        <v>none</v>
      </c>
      <c r="U13" s="51" t="e">
        <f t="shared" si="11"/>
        <v>#VALUE!</v>
      </c>
      <c r="V13" s="51">
        <f t="shared" si="12"/>
        <v>4</v>
      </c>
      <c r="W13" s="51" t="e">
        <f t="shared" si="13"/>
        <v>#VALUE!</v>
      </c>
      <c r="X13" s="51" t="e">
        <f t="shared" si="14"/>
        <v>#VALUE!</v>
      </c>
      <c r="Y13" s="51" t="str">
        <f>IFERROR(VLOOKUP(MID(T13,W13,X13-W13),[5]skilldef!$C:$D,2,FALSE),"-") &amp; " / " &amp; IFERROR(VLOOKUP(MID(T13,U13,V13-U13),[5]skilldef!$A:$B,2,FALSE),"-")</f>
        <v>- / -</v>
      </c>
      <c r="Z13" s="50"/>
      <c r="AA13" s="52"/>
      <c r="AB13" s="50"/>
    </row>
    <row r="14" spans="1:28" ht="21" customHeight="1" x14ac:dyDescent="0.15">
      <c r="A14" s="62">
        <v>50001013</v>
      </c>
      <c r="B14" s="47" t="s">
        <v>225</v>
      </c>
      <c r="C14" s="50">
        <v>3</v>
      </c>
      <c r="D14" s="50" t="s">
        <v>126</v>
      </c>
      <c r="E14" s="47" t="s">
        <v>175</v>
      </c>
      <c r="F14" s="47" t="s">
        <v>295</v>
      </c>
      <c r="G14" s="51" t="str">
        <f t="shared" ref="G14:G39" si="28">IFERROR(LEFT(B14,FIND("],",B14)),B14)</f>
        <v>[effect:hungup, target:unit_all, turn:3, rate:1.0, animation:enemy_hungup]</v>
      </c>
      <c r="H14" s="51">
        <f t="shared" si="1"/>
        <v>9</v>
      </c>
      <c r="I14" s="51">
        <f t="shared" ref="I14:I25" si="29">IFERROR(FIND(",",G14),LEN(G14))</f>
        <v>15</v>
      </c>
      <c r="J14" s="51">
        <f t="shared" ref="J14:J25" si="30">FIND("target:",G14)+7</f>
        <v>24</v>
      </c>
      <c r="K14" s="51">
        <f t="shared" ref="K14:K25" si="31">FIND(",",G14,I14+1)</f>
        <v>32</v>
      </c>
      <c r="L14" s="51" t="str">
        <f>IFERROR(VLOOKUP(MID(G14,J14,K14-J14),[5]skilldef!$C:$D,2,FALSE),"-") &amp; " / " &amp; IFERROR(VLOOKUP(MID(G14,H14,I14-H14),[5]skilldef!$A:$B,2,FALSE),"-")</f>
        <v>味方全体に / ハングアップ</v>
      </c>
      <c r="M14" s="51" t="str">
        <f t="shared" si="5"/>
        <v>[effect:spread, val:0.3, animation:enemy_spread]</v>
      </c>
      <c r="N14" s="47" t="str">
        <f t="shared" si="27"/>
        <v>[effect:spread, val:0.3, animation:enemy_spread]</v>
      </c>
      <c r="O14" s="51">
        <f t="shared" si="6"/>
        <v>9</v>
      </c>
      <c r="P14" s="51">
        <f t="shared" ref="P14:P24" si="32">IFERROR(FIND(",",N14),LEN(N14))</f>
        <v>15</v>
      </c>
      <c r="Q14" s="51" t="e">
        <f t="shared" ref="Q14:Q24" si="33">FIND("target:",N14)+7</f>
        <v>#VALUE!</v>
      </c>
      <c r="R14" s="51">
        <f t="shared" ref="R14:R24" si="34">FIND(",",N14,P14+1)</f>
        <v>24</v>
      </c>
      <c r="S14" s="51" t="str">
        <f>IFERROR(VLOOKUP(MID(N14,Q14,R14-Q14),[5]skilldef!$C:$D,2,FALSE),"-") &amp; " / " &amp; IFERROR(VLOOKUP(MID(N14,O14,P14-O14),[5]skilldef!$A:$B,2,FALSE),"-")</f>
        <v>- / 全体攻撃</v>
      </c>
      <c r="T14" s="47" t="str">
        <f t="shared" ref="T14:T24" si="35">IFERROR(RIGHT(M14,LEN(M14)-FIND("],",M14)-1),"none")</f>
        <v>none</v>
      </c>
      <c r="U14" s="51" t="e">
        <f t="shared" si="11"/>
        <v>#VALUE!</v>
      </c>
      <c r="V14" s="51">
        <f t="shared" ref="V14:V24" si="36">IFERROR(FIND(",",T14),LEN(T14))</f>
        <v>4</v>
      </c>
      <c r="W14" s="51" t="e">
        <f t="shared" ref="W14:W24" si="37">FIND("target:",T14)+7</f>
        <v>#VALUE!</v>
      </c>
      <c r="X14" s="51" t="e">
        <f t="shared" ref="X14:X24" si="38">FIND(",",T14,V14+1)</f>
        <v>#VALUE!</v>
      </c>
      <c r="Y14" s="51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21" customHeight="1" x14ac:dyDescent="0.15">
      <c r="A15" s="62">
        <v>50001014</v>
      </c>
      <c r="B15" s="47" t="s">
        <v>159</v>
      </c>
      <c r="C15" s="50">
        <v>3</v>
      </c>
      <c r="D15" s="50" t="s">
        <v>126</v>
      </c>
      <c r="E15" s="68" t="s">
        <v>248</v>
      </c>
      <c r="F15" s="47" t="s">
        <v>289</v>
      </c>
      <c r="G15" s="51" t="str">
        <f t="shared" si="28"/>
        <v>[effect:heal, target:enemy_one, val:0.5, animation:enemy_heal]</v>
      </c>
      <c r="H15" s="51">
        <f t="shared" si="1"/>
        <v>9</v>
      </c>
      <c r="I15" s="51">
        <f t="shared" si="29"/>
        <v>13</v>
      </c>
      <c r="J15" s="51">
        <f t="shared" si="30"/>
        <v>22</v>
      </c>
      <c r="K15" s="51">
        <f t="shared" si="31"/>
        <v>31</v>
      </c>
      <c r="L15" s="51" t="str">
        <f>IFERROR(VLOOKUP(MID(G15,J15,K15-J15),[5]skilldef!$C:$D,2,FALSE),"-") &amp; " / " &amp; IFERROR(VLOOKUP(MID(G15,H15,I15-H15),[5]skilldef!$A:$B,2,FALSE),"-")</f>
        <v>敵単体に / 回復</v>
      </c>
      <c r="M15" s="51" t="str">
        <f t="shared" si="5"/>
        <v>none</v>
      </c>
      <c r="N15" s="47" t="str">
        <f t="shared" si="27"/>
        <v>none</v>
      </c>
      <c r="O15" s="51" t="e">
        <f t="shared" si="6"/>
        <v>#VALUE!</v>
      </c>
      <c r="P15" s="51">
        <f t="shared" si="32"/>
        <v>4</v>
      </c>
      <c r="Q15" s="51" t="e">
        <f t="shared" si="33"/>
        <v>#VALUE!</v>
      </c>
      <c r="R15" s="51" t="e">
        <f t="shared" si="34"/>
        <v>#VALUE!</v>
      </c>
      <c r="S15" s="51" t="str">
        <f>IFERROR(VLOOKUP(MID(N15,Q15,R15-Q15),[5]skilldef!$C:$D,2,FALSE),"-") &amp; " / " &amp; IFERROR(VLOOKUP(MID(N15,O15,P15-O15),[5]skilldef!$A:$B,2,FALSE),"-")</f>
        <v>- / -</v>
      </c>
      <c r="T15" s="47" t="str">
        <f t="shared" si="35"/>
        <v>none</v>
      </c>
      <c r="U15" s="51" t="e">
        <f t="shared" si="11"/>
        <v>#VALUE!</v>
      </c>
      <c r="V15" s="51">
        <f t="shared" si="36"/>
        <v>4</v>
      </c>
      <c r="W15" s="51" t="e">
        <f t="shared" si="37"/>
        <v>#VALUE!</v>
      </c>
      <c r="X15" s="51" t="e">
        <f t="shared" si="38"/>
        <v>#VALUE!</v>
      </c>
      <c r="Y15" s="51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  <row r="16" spans="1:28" ht="21" customHeight="1" x14ac:dyDescent="0.15">
      <c r="A16" s="62">
        <v>50001015</v>
      </c>
      <c r="B16" s="47" t="s">
        <v>226</v>
      </c>
      <c r="C16" s="50">
        <v>3</v>
      </c>
      <c r="D16" s="50" t="s">
        <v>126</v>
      </c>
      <c r="E16" s="47" t="s">
        <v>176</v>
      </c>
      <c r="F16" s="47" t="s">
        <v>153</v>
      </c>
      <c r="G16" s="51" t="str">
        <f t="shared" si="28"/>
        <v>[effect:rush, count:5, val:0.3]</v>
      </c>
      <c r="H16" s="51">
        <f t="shared" si="1"/>
        <v>9</v>
      </c>
      <c r="I16" s="51">
        <f t="shared" si="29"/>
        <v>13</v>
      </c>
      <c r="J16" s="51" t="e">
        <f t="shared" si="30"/>
        <v>#VALUE!</v>
      </c>
      <c r="K16" s="51">
        <f t="shared" si="31"/>
        <v>22</v>
      </c>
      <c r="L16" s="51" t="str">
        <f>IFERROR(VLOOKUP(MID(G16,J16,K16-J16),[5]skilldef!$C:$D,2,FALSE),"-") &amp; " / " &amp; IFERROR(VLOOKUP(MID(G16,H16,I16-H16),[5]skilldef!$A:$B,2,FALSE),"-")</f>
        <v>- / 連続攻撃</v>
      </c>
      <c r="M16" s="51" t="str">
        <f t="shared" si="5"/>
        <v>none</v>
      </c>
      <c r="N16" s="47" t="str">
        <f t="shared" si="27"/>
        <v>none</v>
      </c>
      <c r="O16" s="51" t="e">
        <f t="shared" si="6"/>
        <v>#VALUE!</v>
      </c>
      <c r="P16" s="51">
        <f t="shared" si="32"/>
        <v>4</v>
      </c>
      <c r="Q16" s="51" t="e">
        <f t="shared" si="33"/>
        <v>#VALUE!</v>
      </c>
      <c r="R16" s="51" t="e">
        <f t="shared" si="34"/>
        <v>#VALUE!</v>
      </c>
      <c r="S16" s="51" t="str">
        <f>IFERROR(VLOOKUP(MID(N16,Q16,R16-Q16),[5]skilldef!$C:$D,2,FALSE),"-") &amp; " / " &amp; IFERROR(VLOOKUP(MID(N16,O16,P16-O16),[5]skilldef!$A:$B,2,FALSE),"-")</f>
        <v>- / -</v>
      </c>
      <c r="T16" s="47" t="str">
        <f t="shared" si="35"/>
        <v>none</v>
      </c>
      <c r="U16" s="51" t="e">
        <f t="shared" si="11"/>
        <v>#VALUE!</v>
      </c>
      <c r="V16" s="51">
        <f t="shared" si="36"/>
        <v>4</v>
      </c>
      <c r="W16" s="51" t="e">
        <f t="shared" si="37"/>
        <v>#VALUE!</v>
      </c>
      <c r="X16" s="51" t="e">
        <f t="shared" si="38"/>
        <v>#VALUE!</v>
      </c>
      <c r="Y16" s="51" t="str">
        <f>IFERROR(VLOOKUP(MID(T16,W16,X16-W16),[5]skilldef!$C:$D,2,FALSE),"-") &amp; " / " &amp; IFERROR(VLOOKUP(MID(T16,U16,V16-U16),[5]skilldef!$A:$B,2,FALSE),"-")</f>
        <v>- / -</v>
      </c>
      <c r="Z16" s="50"/>
      <c r="AA16" s="52"/>
      <c r="AB16" s="50"/>
    </row>
    <row r="17" spans="1:28" ht="21" customHeight="1" x14ac:dyDescent="0.15">
      <c r="A17" s="62">
        <v>50001016</v>
      </c>
      <c r="B17" s="47" t="s">
        <v>152</v>
      </c>
      <c r="C17" s="50">
        <v>3</v>
      </c>
      <c r="D17" s="50" t="s">
        <v>126</v>
      </c>
      <c r="E17" s="47" t="s">
        <v>177</v>
      </c>
      <c r="F17" s="47" t="s">
        <v>154</v>
      </c>
      <c r="G17" s="51" t="str">
        <f t="shared" si="28"/>
        <v>[effect:spread, val:0.3, animation:enemy_spread]</v>
      </c>
      <c r="H17" s="51">
        <f t="shared" si="1"/>
        <v>9</v>
      </c>
      <c r="I17" s="51">
        <f t="shared" si="29"/>
        <v>15</v>
      </c>
      <c r="J17" s="51" t="e">
        <f t="shared" si="30"/>
        <v>#VALUE!</v>
      </c>
      <c r="K17" s="51">
        <f t="shared" si="31"/>
        <v>24</v>
      </c>
      <c r="L17" s="51" t="str">
        <f>IFERROR(VLOOKUP(MID(G17,J17,K17-J17),[5]skilldef!$C:$D,2,FALSE),"-") &amp; " / " &amp; IFERROR(VLOOKUP(MID(G17,H17,I17-H17),[5]skilldef!$A:$B,2,FALSE),"-")</f>
        <v>- / 全体攻撃</v>
      </c>
      <c r="M17" s="51" t="str">
        <f t="shared" si="5"/>
        <v>none</v>
      </c>
      <c r="N17" s="47" t="str">
        <f t="shared" si="27"/>
        <v>none</v>
      </c>
      <c r="O17" s="51" t="e">
        <f t="shared" si="6"/>
        <v>#VALUE!</v>
      </c>
      <c r="P17" s="51">
        <f t="shared" si="32"/>
        <v>4</v>
      </c>
      <c r="Q17" s="51" t="e">
        <f t="shared" si="33"/>
        <v>#VALUE!</v>
      </c>
      <c r="R17" s="51" t="e">
        <f t="shared" si="34"/>
        <v>#VALUE!</v>
      </c>
      <c r="S17" s="51" t="str">
        <f>IFERROR(VLOOKUP(MID(N17,Q17,R17-Q17),[5]skilldef!$C:$D,2,FALSE),"-") &amp; " / " &amp; IFERROR(VLOOKUP(MID(N17,O17,P17-O17),[5]skilldef!$A:$B,2,FALSE),"-")</f>
        <v>- / -</v>
      </c>
      <c r="T17" s="47" t="str">
        <f t="shared" si="35"/>
        <v>none</v>
      </c>
      <c r="U17" s="51" t="e">
        <f t="shared" si="11"/>
        <v>#VALUE!</v>
      </c>
      <c r="V17" s="51">
        <f t="shared" si="36"/>
        <v>4</v>
      </c>
      <c r="W17" s="51" t="e">
        <f t="shared" si="37"/>
        <v>#VALUE!</v>
      </c>
      <c r="X17" s="51" t="e">
        <f t="shared" si="38"/>
        <v>#VALUE!</v>
      </c>
      <c r="Y17" s="51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</row>
    <row r="18" spans="1:28" ht="21" customHeight="1" x14ac:dyDescent="0.15">
      <c r="A18" s="62">
        <v>50001017</v>
      </c>
      <c r="B18" s="47" t="s">
        <v>160</v>
      </c>
      <c r="C18" s="50">
        <v>3</v>
      </c>
      <c r="D18" s="50" t="s">
        <v>126</v>
      </c>
      <c r="E18" s="75" t="s">
        <v>239</v>
      </c>
      <c r="F18" s="47" t="s">
        <v>193</v>
      </c>
      <c r="G18" s="51" t="str">
        <f t="shared" si="28"/>
        <v>[effect:heal, target:myself, val:0.5, animation:enemy_heal]</v>
      </c>
      <c r="H18" s="51">
        <f t="shared" si="1"/>
        <v>9</v>
      </c>
      <c r="I18" s="51">
        <f t="shared" si="29"/>
        <v>13</v>
      </c>
      <c r="J18" s="51">
        <f t="shared" si="30"/>
        <v>22</v>
      </c>
      <c r="K18" s="51">
        <f t="shared" si="31"/>
        <v>28</v>
      </c>
      <c r="L18" s="51" t="str">
        <f>IFERROR(VLOOKUP(MID(G18,J18,K18-J18),[5]skilldef!$C:$D,2,FALSE),"-") &amp; " / " &amp; IFERROR(VLOOKUP(MID(G18,H18,I18-H18),[5]skilldef!$A:$B,2,FALSE),"-")</f>
        <v>自分自身に / 回復</v>
      </c>
      <c r="M18" s="51" t="str">
        <f t="shared" si="5"/>
        <v>none</v>
      </c>
      <c r="N18" s="47" t="str">
        <f t="shared" si="27"/>
        <v>none</v>
      </c>
      <c r="O18" s="51" t="e">
        <f t="shared" si="6"/>
        <v>#VALUE!</v>
      </c>
      <c r="P18" s="51">
        <f t="shared" si="32"/>
        <v>4</v>
      </c>
      <c r="Q18" s="51" t="e">
        <f t="shared" si="33"/>
        <v>#VALUE!</v>
      </c>
      <c r="R18" s="51" t="e">
        <f t="shared" si="34"/>
        <v>#VALUE!</v>
      </c>
      <c r="S18" s="51" t="str">
        <f>IFERROR(VLOOKUP(MID(N18,Q18,R18-Q18),[5]skilldef!$C:$D,2,FALSE),"-") &amp; " / " &amp; IFERROR(VLOOKUP(MID(N18,O18,P18-O18),[5]skilldef!$A:$B,2,FALSE),"-")</f>
        <v>- / -</v>
      </c>
      <c r="T18" s="47" t="str">
        <f t="shared" si="35"/>
        <v>none</v>
      </c>
      <c r="U18" s="51" t="e">
        <f t="shared" si="11"/>
        <v>#VALUE!</v>
      </c>
      <c r="V18" s="51">
        <f t="shared" si="36"/>
        <v>4</v>
      </c>
      <c r="W18" s="51" t="e">
        <f t="shared" si="37"/>
        <v>#VALUE!</v>
      </c>
      <c r="X18" s="51" t="e">
        <f t="shared" si="38"/>
        <v>#VALUE!</v>
      </c>
      <c r="Y18" s="51" t="str">
        <f>IFERROR(VLOOKUP(MID(T18,W18,X18-W18),[5]skilldef!$C:$D,2,FALSE),"-") &amp; " / " &amp; IFERROR(VLOOKUP(MID(T18,U18,V18-U18),[5]skilldef!$A:$B,2,FALSE),"-")</f>
        <v>- / -</v>
      </c>
      <c r="Z18" s="50"/>
      <c r="AA18" s="52"/>
      <c r="AB18" s="50"/>
    </row>
    <row r="19" spans="1:28" ht="21" customHeight="1" x14ac:dyDescent="0.15">
      <c r="A19" s="62">
        <v>50001018</v>
      </c>
      <c r="B19" s="47" t="s">
        <v>158</v>
      </c>
      <c r="C19" s="50">
        <v>3</v>
      </c>
      <c r="D19" s="50" t="s">
        <v>126</v>
      </c>
      <c r="E19" s="75" t="s">
        <v>291</v>
      </c>
      <c r="F19" s="47" t="s">
        <v>290</v>
      </c>
      <c r="G19" s="51" t="str">
        <f t="shared" si="28"/>
        <v>[effect:freq_turn, target:myself, turn:-1, val:1, animation:enemy_freq_turn]</v>
      </c>
      <c r="H19" s="51">
        <f t="shared" si="1"/>
        <v>9</v>
      </c>
      <c r="I19" s="51">
        <f t="shared" si="29"/>
        <v>18</v>
      </c>
      <c r="J19" s="51">
        <f t="shared" si="30"/>
        <v>27</v>
      </c>
      <c r="K19" s="51">
        <f t="shared" si="31"/>
        <v>33</v>
      </c>
      <c r="L19" s="51" t="str">
        <f>IFERROR(VLOOKUP(MID(G19,J19,K19-J19),[5]skilldef!$C:$D,2,FALSE),"-") &amp; " / " &amp; IFERROR(VLOOKUP(MID(G19,H19,I19-H19),[5]skilldef!$A:$B,2,FALSE),"-")</f>
        <v>自分自身に / 攻撃頻度がUP</v>
      </c>
      <c r="M19" s="51" t="str">
        <f t="shared" si="5"/>
        <v>none</v>
      </c>
      <c r="N19" s="47" t="str">
        <f t="shared" si="27"/>
        <v>none</v>
      </c>
      <c r="O19" s="51" t="e">
        <f t="shared" si="6"/>
        <v>#VALUE!</v>
      </c>
      <c r="P19" s="51">
        <f t="shared" si="32"/>
        <v>4</v>
      </c>
      <c r="Q19" s="51" t="e">
        <f t="shared" si="33"/>
        <v>#VALUE!</v>
      </c>
      <c r="R19" s="51" t="e">
        <f t="shared" si="34"/>
        <v>#VALUE!</v>
      </c>
      <c r="S19" s="51" t="str">
        <f>IFERROR(VLOOKUP(MID(N19,Q19,R19-Q19),[5]skilldef!$C:$D,2,FALSE),"-") &amp; " / " &amp; IFERROR(VLOOKUP(MID(N19,O19,P19-O19),[5]skilldef!$A:$B,2,FALSE),"-")</f>
        <v>- / -</v>
      </c>
      <c r="T19" s="47" t="str">
        <f t="shared" si="35"/>
        <v>none</v>
      </c>
      <c r="U19" s="51" t="e">
        <f t="shared" si="11"/>
        <v>#VALUE!</v>
      </c>
      <c r="V19" s="51">
        <f t="shared" si="36"/>
        <v>4</v>
      </c>
      <c r="W19" s="51" t="e">
        <f t="shared" si="37"/>
        <v>#VALUE!</v>
      </c>
      <c r="X19" s="51" t="e">
        <f t="shared" si="38"/>
        <v>#VALUE!</v>
      </c>
      <c r="Y19" s="51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21" customHeight="1" x14ac:dyDescent="0.15">
      <c r="A20" s="62">
        <v>50001019</v>
      </c>
      <c r="B20" s="47" t="s">
        <v>164</v>
      </c>
      <c r="C20" s="50">
        <v>3</v>
      </c>
      <c r="D20" s="50" t="s">
        <v>126</v>
      </c>
      <c r="E20" s="47" t="s">
        <v>178</v>
      </c>
      <c r="F20" s="47" t="s">
        <v>194</v>
      </c>
      <c r="G20" s="51" t="str">
        <f t="shared" si="28"/>
        <v>[effect:sleep, target:unit_one, turn:3, rate:1.0, animation:enemy_sleep]</v>
      </c>
      <c r="H20" s="51">
        <f t="shared" si="1"/>
        <v>9</v>
      </c>
      <c r="I20" s="51">
        <f t="shared" si="29"/>
        <v>14</v>
      </c>
      <c r="J20" s="51">
        <f t="shared" si="30"/>
        <v>23</v>
      </c>
      <c r="K20" s="51">
        <f t="shared" si="31"/>
        <v>31</v>
      </c>
      <c r="L20" s="51" t="str">
        <f>IFERROR(VLOOKUP(MID(G20,J20,K20-J20),[5]skilldef!$C:$D,2,FALSE),"-") &amp; " / " &amp; IFERROR(VLOOKUP(MID(G20,H20,I20-H20),[5]skilldef!$A:$B,2,FALSE),"-")</f>
        <v>味方単体に / スリープ</v>
      </c>
      <c r="M20" s="51" t="str">
        <f t="shared" si="5"/>
        <v>[effect:critical, val:1.2, animation:enemy_critical]</v>
      </c>
      <c r="N20" s="47" t="str">
        <f t="shared" si="27"/>
        <v>[effect:critical, val:1.2, animation:enemy_critical]</v>
      </c>
      <c r="O20" s="51">
        <f t="shared" si="6"/>
        <v>9</v>
      </c>
      <c r="P20" s="51">
        <f t="shared" si="32"/>
        <v>17</v>
      </c>
      <c r="Q20" s="51" t="e">
        <f t="shared" si="33"/>
        <v>#VALUE!</v>
      </c>
      <c r="R20" s="51">
        <f t="shared" si="34"/>
        <v>26</v>
      </c>
      <c r="S20" s="51" t="str">
        <f>IFERROR(VLOOKUP(MID(N20,Q20,R20-Q20),[5]skilldef!$C:$D,2,FALSE),"-") &amp; " / " &amp; IFERROR(VLOOKUP(MID(N20,O20,P20-O20),[5]skilldef!$A:$B,2,FALSE),"-")</f>
        <v>- / 大攻撃</v>
      </c>
      <c r="T20" s="47" t="str">
        <f t="shared" si="35"/>
        <v>none</v>
      </c>
      <c r="U20" s="51" t="e">
        <f t="shared" si="11"/>
        <v>#VALUE!</v>
      </c>
      <c r="V20" s="51">
        <f t="shared" si="36"/>
        <v>4</v>
      </c>
      <c r="W20" s="51" t="e">
        <f t="shared" si="37"/>
        <v>#VALUE!</v>
      </c>
      <c r="X20" s="51" t="e">
        <f t="shared" si="38"/>
        <v>#VALUE!</v>
      </c>
      <c r="Y20" s="51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21" customHeight="1" x14ac:dyDescent="0.15">
      <c r="A21" s="62">
        <v>50001020</v>
      </c>
      <c r="B21" s="47" t="s">
        <v>277</v>
      </c>
      <c r="C21" s="50">
        <v>3</v>
      </c>
      <c r="D21" s="50" t="s">
        <v>126</v>
      </c>
      <c r="E21" s="69" t="s">
        <v>240</v>
      </c>
      <c r="F21" s="47" t="s">
        <v>195</v>
      </c>
      <c r="G21" s="51" t="str">
        <f t="shared" si="28"/>
        <v>[effect:enhance_enemy, target:enemy_yellow, turn:3, status:attack, val:1.0, animation:enemy_enhance_enemy]</v>
      </c>
      <c r="H21" s="51">
        <f t="shared" si="1"/>
        <v>9</v>
      </c>
      <c r="I21" s="51">
        <f t="shared" si="29"/>
        <v>22</v>
      </c>
      <c r="J21" s="51">
        <f t="shared" si="30"/>
        <v>31</v>
      </c>
      <c r="K21" s="51">
        <f t="shared" si="31"/>
        <v>43</v>
      </c>
      <c r="L21" s="51" t="str">
        <f>IFERROR(VLOOKUP(MID(G21,J21,K21-J21),[5]skilldef!$C:$D,2,FALSE),"-") &amp; " / " &amp; IFERROR(VLOOKUP(MID(G21,H21,I21-H21),[5]skilldef!$A:$B,2,FALSE),"-")</f>
        <v>黄の敵に / ステータス強化</v>
      </c>
      <c r="M21" s="51" t="str">
        <f t="shared" si="5"/>
        <v>none</v>
      </c>
      <c r="N21" s="47" t="str">
        <f t="shared" si="27"/>
        <v>none</v>
      </c>
      <c r="O21" s="51" t="e">
        <f t="shared" si="6"/>
        <v>#VALUE!</v>
      </c>
      <c r="P21" s="51">
        <f t="shared" si="32"/>
        <v>4</v>
      </c>
      <c r="Q21" s="51" t="e">
        <f t="shared" si="33"/>
        <v>#VALUE!</v>
      </c>
      <c r="R21" s="51" t="e">
        <f t="shared" si="34"/>
        <v>#VALUE!</v>
      </c>
      <c r="S21" s="51" t="str">
        <f>IFERROR(VLOOKUP(MID(N21,Q21,R21-Q21),[5]skilldef!$C:$D,2,FALSE),"-") &amp; " / " &amp; IFERROR(VLOOKUP(MID(N21,O21,P21-O21),[5]skilldef!$A:$B,2,FALSE),"-")</f>
        <v>- / -</v>
      </c>
      <c r="T21" s="47" t="str">
        <f t="shared" si="35"/>
        <v>none</v>
      </c>
      <c r="U21" s="51" t="e">
        <f t="shared" si="11"/>
        <v>#VALUE!</v>
      </c>
      <c r="V21" s="51">
        <f t="shared" si="36"/>
        <v>4</v>
      </c>
      <c r="W21" s="51" t="e">
        <f t="shared" si="37"/>
        <v>#VALUE!</v>
      </c>
      <c r="X21" s="51" t="e">
        <f t="shared" si="38"/>
        <v>#VALUE!</v>
      </c>
      <c r="Y21" s="51" t="str">
        <f>IFERROR(VLOOKUP(MID(T21,W21,X21-W21),[5]skilldef!$C:$D,2,FALSE),"-") &amp; " / " &amp; IFERROR(VLOOKUP(MID(T21,U21,V21-U21),[5]skilldef!$A:$B,2,FALSE),"-")</f>
        <v>- / -</v>
      </c>
      <c r="Z21" s="50"/>
      <c r="AA21" s="52"/>
      <c r="AB21" s="50"/>
    </row>
    <row r="22" spans="1:28" ht="21" customHeight="1" x14ac:dyDescent="0.15">
      <c r="A22" s="62">
        <v>50001021</v>
      </c>
      <c r="B22" s="47" t="s">
        <v>253</v>
      </c>
      <c r="C22" s="50">
        <v>3</v>
      </c>
      <c r="D22" s="50" t="s">
        <v>126</v>
      </c>
      <c r="E22" s="47" t="s">
        <v>211</v>
      </c>
      <c r="F22" s="47" t="s">
        <v>154</v>
      </c>
      <c r="G22" s="51" t="str">
        <f t="shared" si="28"/>
        <v>[effect:spread, val:0.35, animation:enemy_spread]</v>
      </c>
      <c r="H22" s="51">
        <f t="shared" si="1"/>
        <v>9</v>
      </c>
      <c r="I22" s="51">
        <f t="shared" si="29"/>
        <v>15</v>
      </c>
      <c r="J22" s="51" t="e">
        <f t="shared" si="30"/>
        <v>#VALUE!</v>
      </c>
      <c r="K22" s="51">
        <f t="shared" si="31"/>
        <v>25</v>
      </c>
      <c r="L22" s="51" t="str">
        <f>IFERROR(VLOOKUP(MID(G22,J22,K22-J22),[5]skilldef!$C:$D,2,FALSE),"-") &amp; " / " &amp; IFERROR(VLOOKUP(MID(G22,H22,I22-H22),[5]skilldef!$A:$B,2,FALSE),"-")</f>
        <v>- / 全体攻撃</v>
      </c>
      <c r="M22" s="51" t="str">
        <f t="shared" si="5"/>
        <v>none</v>
      </c>
      <c r="N22" s="47" t="str">
        <f t="shared" si="27"/>
        <v>none</v>
      </c>
      <c r="O22" s="51" t="e">
        <f t="shared" si="6"/>
        <v>#VALUE!</v>
      </c>
      <c r="P22" s="51">
        <f t="shared" si="32"/>
        <v>4</v>
      </c>
      <c r="Q22" s="51" t="e">
        <f t="shared" si="33"/>
        <v>#VALUE!</v>
      </c>
      <c r="R22" s="51" t="e">
        <f t="shared" si="34"/>
        <v>#VALUE!</v>
      </c>
      <c r="S22" s="51" t="str">
        <f>IFERROR(VLOOKUP(MID(N22,Q22,R22-Q22),[5]skilldef!$C:$D,2,FALSE),"-") &amp; " / " &amp; IFERROR(VLOOKUP(MID(N22,O22,P22-O22),[5]skilldef!$A:$B,2,FALSE),"-")</f>
        <v>- / -</v>
      </c>
      <c r="T22" s="47" t="str">
        <f t="shared" si="35"/>
        <v>none</v>
      </c>
      <c r="U22" s="51" t="e">
        <f t="shared" si="11"/>
        <v>#VALUE!</v>
      </c>
      <c r="V22" s="51">
        <f t="shared" si="36"/>
        <v>4</v>
      </c>
      <c r="W22" s="51" t="e">
        <f t="shared" si="37"/>
        <v>#VALUE!</v>
      </c>
      <c r="X22" s="51" t="e">
        <f t="shared" si="38"/>
        <v>#VALUE!</v>
      </c>
      <c r="Y22" s="51" t="str">
        <f>IFERROR(VLOOKUP(MID(T22,W22,X22-W22),[5]skilldef!$C:$D,2,FALSE),"-") &amp; " / " &amp; IFERROR(VLOOKUP(MID(T22,U22,V22-U22),[5]skilldef!$A:$B,2,FALSE),"-")</f>
        <v>- / -</v>
      </c>
      <c r="Z22" s="50"/>
      <c r="AA22" s="52"/>
      <c r="AB22" s="50"/>
    </row>
    <row r="23" spans="1:28" ht="21" customHeight="1" x14ac:dyDescent="0.15">
      <c r="A23" s="62">
        <v>50001022</v>
      </c>
      <c r="B23" s="47" t="s">
        <v>278</v>
      </c>
      <c r="C23" s="50">
        <v>3</v>
      </c>
      <c r="D23" s="50" t="s">
        <v>126</v>
      </c>
      <c r="E23" s="47" t="s">
        <v>181</v>
      </c>
      <c r="F23" s="47" t="s">
        <v>230</v>
      </c>
      <c r="G23" s="51" t="str">
        <f t="shared" si="28"/>
        <v>[effect:degrade_unit, target:unit_all, turn:3, status:attack, val:1.0, calc:mul]</v>
      </c>
      <c r="H23" s="51">
        <f t="shared" si="1"/>
        <v>9</v>
      </c>
      <c r="I23" s="51">
        <f t="shared" si="29"/>
        <v>21</v>
      </c>
      <c r="J23" s="51">
        <f t="shared" si="30"/>
        <v>30</v>
      </c>
      <c r="K23" s="51">
        <f t="shared" si="31"/>
        <v>38</v>
      </c>
      <c r="L23" s="51" t="str">
        <f>IFERROR(VLOOKUP(MID(G23,J23,K23-J23),[5]skilldef!$C:$D,2,FALSE),"-") &amp; " / " &amp; IFERROR(VLOOKUP(MID(G23,H23,I23-H23),[5]skilldef!$A:$B,2,FALSE),"-")</f>
        <v>味方全体に / ステータスDOWN</v>
      </c>
      <c r="M23" s="51" t="str">
        <f>IFERROR(RIGHT(#REF!,LEN(#REF!)-FIND("],",#REF!)-1),"none")</f>
        <v>none</v>
      </c>
      <c r="N23" s="47" t="str">
        <f t="shared" si="27"/>
        <v>none</v>
      </c>
      <c r="O23" s="51" t="e">
        <f t="shared" si="6"/>
        <v>#VALUE!</v>
      </c>
      <c r="P23" s="51">
        <f t="shared" si="32"/>
        <v>4</v>
      </c>
      <c r="Q23" s="51" t="e">
        <f t="shared" si="33"/>
        <v>#VALUE!</v>
      </c>
      <c r="R23" s="51" t="e">
        <f t="shared" si="34"/>
        <v>#VALUE!</v>
      </c>
      <c r="S23" s="51" t="str">
        <f>IFERROR(VLOOKUP(MID(N23,Q23,R23-Q23),[5]skilldef!$C:$D,2,FALSE),"-") &amp; " / " &amp; IFERROR(VLOOKUP(MID(N23,O23,P23-O23),[5]skilldef!$A:$B,2,FALSE),"-")</f>
        <v>- / -</v>
      </c>
      <c r="T23" s="47" t="str">
        <f t="shared" si="35"/>
        <v>none</v>
      </c>
      <c r="U23" s="51" t="e">
        <f t="shared" si="11"/>
        <v>#VALUE!</v>
      </c>
      <c r="V23" s="51">
        <f t="shared" si="36"/>
        <v>4</v>
      </c>
      <c r="W23" s="51" t="e">
        <f t="shared" si="37"/>
        <v>#VALUE!</v>
      </c>
      <c r="X23" s="51" t="e">
        <f t="shared" si="38"/>
        <v>#VALUE!</v>
      </c>
      <c r="Y23" s="51" t="str">
        <f>IFERROR(VLOOKUP(MID(T23,W23,X23-W23),[5]skilldef!$C:$D,2,FALSE),"-") &amp; " / " &amp; IFERROR(VLOOKUP(MID(T23,U23,V23-U23),[5]skilldef!$A:$B,2,FALSE),"-")</f>
        <v>- / -</v>
      </c>
      <c r="Z23" s="50"/>
      <c r="AA23" s="52"/>
      <c r="AB23" s="50"/>
    </row>
    <row r="24" spans="1:28" ht="21" customHeight="1" x14ac:dyDescent="0.15">
      <c r="A24" s="62">
        <v>50001023</v>
      </c>
      <c r="B24" s="47" t="s">
        <v>229</v>
      </c>
      <c r="C24" s="50">
        <v>3</v>
      </c>
      <c r="D24" s="50" t="s">
        <v>126</v>
      </c>
      <c r="E24" s="47" t="s">
        <v>180</v>
      </c>
      <c r="F24" s="47" t="s">
        <v>196</v>
      </c>
      <c r="G24" s="51" t="str">
        <f t="shared" si="28"/>
        <v>[effect:degrade_unit, target:unit_all, turn:-1, status:heal, val:1.0, calc:mul]</v>
      </c>
      <c r="H24" s="51">
        <f t="shared" si="1"/>
        <v>9</v>
      </c>
      <c r="I24" s="51">
        <f t="shared" si="29"/>
        <v>21</v>
      </c>
      <c r="J24" s="51">
        <f t="shared" si="30"/>
        <v>30</v>
      </c>
      <c r="K24" s="51">
        <f t="shared" si="31"/>
        <v>38</v>
      </c>
      <c r="L24" s="51" t="str">
        <f>IFERROR(VLOOKUP(MID(G24,J24,K24-J24),[5]skilldef!$C:$D,2,FALSE),"-") &amp; " / " &amp; IFERROR(VLOOKUP(MID(G24,H24,I24-H24),[5]skilldef!$A:$B,2,FALSE),"-")</f>
        <v>味方全体に / ステータスDOWN</v>
      </c>
      <c r="M24" s="51" t="str">
        <f t="shared" ref="M24:M54" si="39">IFERROR(RIGHT(B24,LEN(B24)-FIND("],",B24)-1),"none")</f>
        <v>[effect:spread, val:0.3, animation:enemy_spread]</v>
      </c>
      <c r="N24" s="47" t="str">
        <f t="shared" si="27"/>
        <v>[effect:spread, val:0.3, animation:enemy_spread]</v>
      </c>
      <c r="O24" s="51">
        <f t="shared" si="6"/>
        <v>9</v>
      </c>
      <c r="P24" s="51">
        <f t="shared" si="32"/>
        <v>15</v>
      </c>
      <c r="Q24" s="51" t="e">
        <f t="shared" si="33"/>
        <v>#VALUE!</v>
      </c>
      <c r="R24" s="51">
        <f t="shared" si="34"/>
        <v>24</v>
      </c>
      <c r="S24" s="51" t="str">
        <f>IFERROR(VLOOKUP(MID(N24,Q24,R24-Q24),[5]skilldef!$C:$D,2,FALSE),"-") &amp; " / " &amp; IFERROR(VLOOKUP(MID(N24,O24,P24-O24),[5]skilldef!$A:$B,2,FALSE),"-")</f>
        <v>- / 全体攻撃</v>
      </c>
      <c r="T24" s="47" t="str">
        <f t="shared" si="35"/>
        <v>none</v>
      </c>
      <c r="U24" s="51" t="e">
        <f t="shared" si="11"/>
        <v>#VALUE!</v>
      </c>
      <c r="V24" s="51">
        <f t="shared" si="36"/>
        <v>4</v>
      </c>
      <c r="W24" s="51" t="e">
        <f t="shared" si="37"/>
        <v>#VALUE!</v>
      </c>
      <c r="X24" s="51" t="e">
        <f t="shared" si="38"/>
        <v>#VALUE!</v>
      </c>
      <c r="Y24" s="51" t="str">
        <f>IFERROR(VLOOKUP(MID(T24,W24,X24-W24),[5]skilldef!$C:$D,2,FALSE),"-") &amp; " / " &amp; IFERROR(VLOOKUP(MID(T24,U24,V24-U24),[5]skilldef!$A:$B,2,FALSE),"-")</f>
        <v>- / -</v>
      </c>
      <c r="Z24" s="50"/>
      <c r="AA24" s="52"/>
      <c r="AB24" s="50"/>
    </row>
    <row r="25" spans="1:28" ht="21" customHeight="1" x14ac:dyDescent="0.15">
      <c r="A25" s="62">
        <v>50001024</v>
      </c>
      <c r="B25" s="47" t="s">
        <v>276</v>
      </c>
      <c r="C25" s="50">
        <v>3</v>
      </c>
      <c r="D25" s="50" t="s">
        <v>126</v>
      </c>
      <c r="E25" s="70" t="s">
        <v>246</v>
      </c>
      <c r="F25" s="47" t="s">
        <v>195</v>
      </c>
      <c r="G25" s="51" t="str">
        <f t="shared" si="28"/>
        <v>[effect:enhance_enemy, target:enemy_yellow, turn:3, status:attack, val:1.0, animation:enemy_enhance_enemy]</v>
      </c>
      <c r="H25" s="51">
        <f t="shared" si="1"/>
        <v>9</v>
      </c>
      <c r="I25" s="51">
        <f t="shared" si="29"/>
        <v>22</v>
      </c>
      <c r="J25" s="51">
        <f t="shared" si="30"/>
        <v>31</v>
      </c>
      <c r="K25" s="51">
        <f t="shared" si="31"/>
        <v>43</v>
      </c>
      <c r="L25" s="51" t="str">
        <f>IFERROR(VLOOKUP(MID(G25,J25,K25-J25),[5]skilldef!$C:$D,2,FALSE),"-") &amp; " / " &amp; IFERROR(VLOOKUP(MID(G25,H25,I25-H25),[5]skilldef!$A:$B,2,FALSE),"-")</f>
        <v>黄の敵に / ステータス強化</v>
      </c>
      <c r="M25" s="51" t="str">
        <f t="shared" si="39"/>
        <v>[effect:fix_speed,target:myself,turn:2]</v>
      </c>
      <c r="N25" s="47" t="str">
        <f t="shared" ref="N25:N36" si="40">IFERROR(LEFT(M25,FIND("],",M25)+S44),M25)</f>
        <v>[effect:fix_speed,target:myself,turn:2]</v>
      </c>
      <c r="O25" s="51">
        <f t="shared" ref="O25:O51" si="41">FIND("effect:",N25)+7</f>
        <v>9</v>
      </c>
      <c r="P25" s="51">
        <f t="shared" ref="P25:P51" si="42">IFERROR(FIND(",",N25),LEN(N25))</f>
        <v>18</v>
      </c>
      <c r="Q25" s="51">
        <f t="shared" ref="Q25:Q51" si="43">FIND("target:",N25)+7</f>
        <v>26</v>
      </c>
      <c r="R25" s="51">
        <f t="shared" ref="R25:R51" si="44">FIND(",",N25,P25+1)</f>
        <v>32</v>
      </c>
      <c r="S25" s="51" t="str">
        <f>IFERROR(VLOOKUP(MID(N25,Q25,R25-Q25),[5]skilldef!$C:$D,2,FALSE),"-") &amp; " / " &amp; IFERROR(VLOOKUP(MID(N25,O25,P25-O25),[5]skilldef!$A:$B,2,FALSE),"-")</f>
        <v>自分自身に / 行動値設定</v>
      </c>
      <c r="T25" s="47" t="str">
        <f t="shared" ref="T25:T51" si="45">IFERROR(RIGHT(M25,LEN(M25)-FIND("],",M25)-1),"none")</f>
        <v>none</v>
      </c>
      <c r="U25" s="51" t="e">
        <f t="shared" ref="U25:U51" si="46">FIND("effect:",T25)+7</f>
        <v>#VALUE!</v>
      </c>
      <c r="V25" s="51">
        <f t="shared" ref="V25:V51" si="47">IFERROR(FIND(",",T25),LEN(T25))</f>
        <v>4</v>
      </c>
      <c r="W25" s="51" t="e">
        <f t="shared" ref="W25:W51" si="48">FIND("target:",T25)+7</f>
        <v>#VALUE!</v>
      </c>
      <c r="X25" s="51" t="e">
        <f t="shared" ref="X25:X51" si="49">FIND(",",T25,V25+1)</f>
        <v>#VALUE!</v>
      </c>
      <c r="Y25" s="51" t="str">
        <f>IFERROR(VLOOKUP(MID(T25,W25,X25-W25),[5]skilldef!$C:$D,2,FALSE),"-") &amp; " / " &amp; IFERROR(VLOOKUP(MID(T25,U25,V25-U25),[5]skilldef!$A:$B,2,FALSE),"-")</f>
        <v>- / -</v>
      </c>
      <c r="Z25" s="50"/>
      <c r="AA25" s="52"/>
      <c r="AB25" s="50"/>
    </row>
    <row r="26" spans="1:28" ht="21" customHeight="1" x14ac:dyDescent="0.15">
      <c r="A26" s="62">
        <v>50001025</v>
      </c>
      <c r="B26" s="47" t="s">
        <v>256</v>
      </c>
      <c r="C26" s="50">
        <v>3</v>
      </c>
      <c r="D26" s="50" t="s">
        <v>126</v>
      </c>
      <c r="E26" s="47" t="s">
        <v>211</v>
      </c>
      <c r="F26" s="47" t="s">
        <v>197</v>
      </c>
      <c r="G26" s="51" t="str">
        <f t="shared" si="28"/>
        <v>[effect:spread, val:0.3, animation:enemy_spread]</v>
      </c>
      <c r="H26" s="51">
        <f t="shared" si="1"/>
        <v>9</v>
      </c>
      <c r="I26" s="51">
        <f t="shared" si="2"/>
        <v>15</v>
      </c>
      <c r="J26" s="51" t="e">
        <f t="shared" si="3"/>
        <v>#VALUE!</v>
      </c>
      <c r="K26" s="51">
        <f t="shared" si="4"/>
        <v>24</v>
      </c>
      <c r="L26" s="51" t="str">
        <f>IFERROR(VLOOKUP(MID(G26,J26,K26-J26),[5]skilldef!$C:$D,2,FALSE),"-") &amp; " / " &amp; IFERROR(VLOOKUP(MID(G26,H26,I26-H26),[5]skilldef!$A:$B,2,FALSE),"-")</f>
        <v>- / 全体攻撃</v>
      </c>
      <c r="M26" s="51" t="str">
        <f t="shared" si="39"/>
        <v>none</v>
      </c>
      <c r="N26" s="47" t="str">
        <f t="shared" si="40"/>
        <v>none</v>
      </c>
      <c r="O26" s="51" t="e">
        <f t="shared" si="41"/>
        <v>#VALUE!</v>
      </c>
      <c r="P26" s="51">
        <f t="shared" si="42"/>
        <v>4</v>
      </c>
      <c r="Q26" s="51" t="e">
        <f t="shared" si="43"/>
        <v>#VALUE!</v>
      </c>
      <c r="R26" s="51" t="e">
        <f t="shared" si="44"/>
        <v>#VALUE!</v>
      </c>
      <c r="S26" s="51" t="str">
        <f>IFERROR(VLOOKUP(MID(N26,Q26,R26-Q26),[5]skilldef!$C:$D,2,FALSE),"-") &amp; " / " &amp; IFERROR(VLOOKUP(MID(N26,O26,P26-O26),[5]skilldef!$A:$B,2,FALSE),"-")</f>
        <v>- / -</v>
      </c>
      <c r="T26" s="47" t="str">
        <f t="shared" si="45"/>
        <v>none</v>
      </c>
      <c r="U26" s="51" t="e">
        <f t="shared" si="46"/>
        <v>#VALUE!</v>
      </c>
      <c r="V26" s="51">
        <f t="shared" si="47"/>
        <v>4</v>
      </c>
      <c r="W26" s="51" t="e">
        <f t="shared" si="48"/>
        <v>#VALUE!</v>
      </c>
      <c r="X26" s="51" t="e">
        <f t="shared" si="49"/>
        <v>#VALUE!</v>
      </c>
      <c r="Y26" s="51" t="str">
        <f>IFERROR(VLOOKUP(MID(T26,W26,X26-W26),[5]skilldef!$C:$D,2,FALSE),"-") &amp; " / " &amp; IFERROR(VLOOKUP(MID(T26,U26,V26-U26),[5]skilldef!$A:$B,2,FALSE),"-")</f>
        <v>- / -</v>
      </c>
      <c r="Z26" s="50"/>
      <c r="AA26" s="52"/>
      <c r="AB26" s="50"/>
    </row>
    <row r="27" spans="1:28" ht="21" customHeight="1" x14ac:dyDescent="0.15">
      <c r="A27" s="62">
        <v>50001026</v>
      </c>
      <c r="B27" s="47" t="s">
        <v>297</v>
      </c>
      <c r="C27" s="50">
        <v>3</v>
      </c>
      <c r="D27" s="50" t="s">
        <v>126</v>
      </c>
      <c r="E27" s="47" t="s">
        <v>182</v>
      </c>
      <c r="F27" s="47" t="s">
        <v>198</v>
      </c>
      <c r="G27" s="51" t="str">
        <f t="shared" si="28"/>
        <v>[effect:force_change_block, new_block:jammer, target:block_all, ignore01:crash, ignore02:jammer, ignore03:color_break, ignore04:magnet, count:8, val:0, animation:change_block]</v>
      </c>
      <c r="H27" s="51">
        <f t="shared" si="1"/>
        <v>9</v>
      </c>
      <c r="I27" s="51">
        <f t="shared" si="2"/>
        <v>27</v>
      </c>
      <c r="J27" s="51">
        <f t="shared" si="3"/>
        <v>54</v>
      </c>
      <c r="K27" s="51">
        <f t="shared" si="4"/>
        <v>45</v>
      </c>
      <c r="L27" s="51" t="str">
        <f>IFERROR(VLOOKUP(MID(G27,J27,K27-J27),[5]skilldef!$C:$D,2,FALSE),"-") &amp; " / " &amp; IFERROR(VLOOKUP(MID(G27,H27,I27-H27),[5]skilldef!$A:$B,2,FALSE),"-")</f>
        <v>- / -</v>
      </c>
      <c r="M27" s="51" t="str">
        <f t="shared" si="39"/>
        <v>[effect:spread, val:0.3, animation:enemy_spread]</v>
      </c>
      <c r="N27" s="47" t="str">
        <f t="shared" si="40"/>
        <v>[effect:spread, val:0.3, animation:enemy_spread]</v>
      </c>
      <c r="O27" s="51">
        <f t="shared" si="41"/>
        <v>9</v>
      </c>
      <c r="P27" s="51">
        <f t="shared" si="42"/>
        <v>15</v>
      </c>
      <c r="Q27" s="51" t="e">
        <f t="shared" si="43"/>
        <v>#VALUE!</v>
      </c>
      <c r="R27" s="51">
        <f t="shared" si="44"/>
        <v>24</v>
      </c>
      <c r="S27" s="51" t="str">
        <f>IFERROR(VLOOKUP(MID(N27,Q27,R27-Q27),[5]skilldef!$C:$D,2,FALSE),"-") &amp; " / " &amp; IFERROR(VLOOKUP(MID(N27,O27,P27-O27),[5]skilldef!$A:$B,2,FALSE),"-")</f>
        <v>- / 全体攻撃</v>
      </c>
      <c r="T27" s="47" t="str">
        <f t="shared" si="45"/>
        <v>none</v>
      </c>
      <c r="U27" s="51" t="e">
        <f t="shared" si="46"/>
        <v>#VALUE!</v>
      </c>
      <c r="V27" s="51">
        <f t="shared" si="47"/>
        <v>4</v>
      </c>
      <c r="W27" s="51" t="e">
        <f t="shared" si="48"/>
        <v>#VALUE!</v>
      </c>
      <c r="X27" s="51" t="e">
        <f t="shared" si="49"/>
        <v>#VALUE!</v>
      </c>
      <c r="Y27" s="51" t="str">
        <f>IFERROR(VLOOKUP(MID(T27,W27,X27-W27),[5]skilldef!$C:$D,2,FALSE),"-") &amp; " / " &amp; IFERROR(VLOOKUP(MID(T27,U27,V27-U27),[5]skilldef!$A:$B,2,FALSE),"-")</f>
        <v>- / -</v>
      </c>
      <c r="Z27" s="50"/>
      <c r="AA27" s="52"/>
      <c r="AB27" s="50"/>
    </row>
    <row r="28" spans="1:28" ht="21" customHeight="1" x14ac:dyDescent="0.15">
      <c r="A28" s="62">
        <v>50001027</v>
      </c>
      <c r="B28" s="47" t="s">
        <v>161</v>
      </c>
      <c r="C28" s="50">
        <v>3</v>
      </c>
      <c r="D28" s="50" t="s">
        <v>126</v>
      </c>
      <c r="E28" s="47" t="s">
        <v>183</v>
      </c>
      <c r="F28" s="66" t="s">
        <v>254</v>
      </c>
      <c r="G28" s="51" t="str">
        <f t="shared" si="28"/>
        <v>[effect:freq_turn, target:myself, turn:-1, val:1, animation:enemy_freq_turn]</v>
      </c>
      <c r="H28" s="51">
        <f t="shared" si="1"/>
        <v>9</v>
      </c>
      <c r="I28" s="51">
        <f t="shared" si="2"/>
        <v>18</v>
      </c>
      <c r="J28" s="51">
        <f t="shared" si="3"/>
        <v>27</v>
      </c>
      <c r="K28" s="51">
        <f t="shared" si="4"/>
        <v>33</v>
      </c>
      <c r="L28" s="51" t="str">
        <f>IFERROR(VLOOKUP(MID(G28,J28,K28-J28),[5]skilldef!$C:$D,2,FALSE),"-") &amp; " / " &amp; IFERROR(VLOOKUP(MID(G28,H28,I28-H28),[5]skilldef!$A:$B,2,FALSE),"-")</f>
        <v>自分自身に / 攻撃頻度がUP</v>
      </c>
      <c r="M28" s="51" t="str">
        <f t="shared" si="39"/>
        <v>none</v>
      </c>
      <c r="N28" s="47" t="str">
        <f t="shared" si="40"/>
        <v>none</v>
      </c>
      <c r="O28" s="51" t="e">
        <f t="shared" si="41"/>
        <v>#VALUE!</v>
      </c>
      <c r="P28" s="51">
        <f t="shared" si="42"/>
        <v>4</v>
      </c>
      <c r="Q28" s="51" t="e">
        <f t="shared" si="43"/>
        <v>#VALUE!</v>
      </c>
      <c r="R28" s="51" t="e">
        <f t="shared" si="44"/>
        <v>#VALUE!</v>
      </c>
      <c r="S28" s="51" t="str">
        <f>IFERROR(VLOOKUP(MID(N28,Q28,R28-Q28),[5]skilldef!$C:$D,2,FALSE),"-") &amp; " / " &amp; IFERROR(VLOOKUP(MID(N28,O28,P28-O28),[5]skilldef!$A:$B,2,FALSE),"-")</f>
        <v>- / -</v>
      </c>
      <c r="T28" s="47" t="str">
        <f t="shared" si="45"/>
        <v>none</v>
      </c>
      <c r="U28" s="51" t="e">
        <f t="shared" si="46"/>
        <v>#VALUE!</v>
      </c>
      <c r="V28" s="51">
        <f t="shared" si="47"/>
        <v>4</v>
      </c>
      <c r="W28" s="51" t="e">
        <f t="shared" si="48"/>
        <v>#VALUE!</v>
      </c>
      <c r="X28" s="51" t="e">
        <f t="shared" si="49"/>
        <v>#VALUE!</v>
      </c>
      <c r="Y28" s="51" t="str">
        <f>IFERROR(VLOOKUP(MID(T28,W28,X28-W28),[5]skilldef!$C:$D,2,FALSE),"-") &amp; " / " &amp; IFERROR(VLOOKUP(MID(T28,U28,V28-U28),[5]skilldef!$A:$B,2,FALSE),"-")</f>
        <v>- / -</v>
      </c>
      <c r="Z28" s="50"/>
      <c r="AA28" s="52"/>
      <c r="AB28" s="50"/>
    </row>
    <row r="29" spans="1:28" ht="21" customHeight="1" x14ac:dyDescent="0.15">
      <c r="A29" s="62">
        <v>50001028</v>
      </c>
      <c r="B29" s="47" t="s">
        <v>265</v>
      </c>
      <c r="C29" s="50">
        <v>3</v>
      </c>
      <c r="D29" s="50" t="s">
        <v>126</v>
      </c>
      <c r="E29" s="47" t="s">
        <v>179</v>
      </c>
      <c r="F29" s="47" t="s">
        <v>199</v>
      </c>
      <c r="G29" s="51" t="str">
        <f t="shared" si="28"/>
        <v>[effect:damage_anti_tribe, target:unit_all, tribe:god, val1:0.6, val2:0.16]</v>
      </c>
      <c r="H29" s="51">
        <f t="shared" si="1"/>
        <v>9</v>
      </c>
      <c r="I29" s="51">
        <f t="shared" si="2"/>
        <v>26</v>
      </c>
      <c r="J29" s="51">
        <f t="shared" si="3"/>
        <v>35</v>
      </c>
      <c r="K29" s="51">
        <f t="shared" si="4"/>
        <v>43</v>
      </c>
      <c r="L29" s="51" t="str">
        <f>IFERROR(VLOOKUP(MID(G29,J29,K29-J29),[5]skilldef!$C:$D,2,FALSE),"-") &amp; " / " &amp; IFERROR(VLOOKUP(MID(G29,H29,I29-H29),[5]skilldef!$A:$B,2,FALSE),"-")</f>
        <v>味方全体に / 種族キラー</v>
      </c>
      <c r="M29" s="51" t="str">
        <f t="shared" si="39"/>
        <v>none</v>
      </c>
      <c r="N29" s="47" t="str">
        <f t="shared" si="40"/>
        <v>none</v>
      </c>
      <c r="O29" s="51" t="e">
        <f t="shared" si="41"/>
        <v>#VALUE!</v>
      </c>
      <c r="P29" s="51">
        <f t="shared" si="42"/>
        <v>4</v>
      </c>
      <c r="Q29" s="51" t="e">
        <f t="shared" si="43"/>
        <v>#VALUE!</v>
      </c>
      <c r="R29" s="51" t="e">
        <f t="shared" si="44"/>
        <v>#VALUE!</v>
      </c>
      <c r="S29" s="51" t="str">
        <f>IFERROR(VLOOKUP(MID(N29,Q29,R29-Q29),[5]skilldef!$C:$D,2,FALSE),"-") &amp; " / " &amp; IFERROR(VLOOKUP(MID(N29,O29,P29-O29),[5]skilldef!$A:$B,2,FALSE),"-")</f>
        <v>- / -</v>
      </c>
      <c r="T29" s="47" t="str">
        <f t="shared" si="45"/>
        <v>none</v>
      </c>
      <c r="U29" s="51" t="e">
        <f t="shared" si="46"/>
        <v>#VALUE!</v>
      </c>
      <c r="V29" s="51">
        <f t="shared" si="47"/>
        <v>4</v>
      </c>
      <c r="W29" s="51" t="e">
        <f t="shared" si="48"/>
        <v>#VALUE!</v>
      </c>
      <c r="X29" s="51" t="e">
        <f t="shared" si="49"/>
        <v>#VALUE!</v>
      </c>
      <c r="Y29" s="51" t="str">
        <f>IFERROR(VLOOKUP(MID(T29,W29,X29-W29),[5]skilldef!$C:$D,2,FALSE),"-") &amp; " / " &amp; IFERROR(VLOOKUP(MID(T29,U29,V29-U29),[5]skilldef!$A:$B,2,FALSE),"-")</f>
        <v>- / -</v>
      </c>
      <c r="Z29" s="50"/>
      <c r="AA29" s="52"/>
      <c r="AB29" s="50"/>
    </row>
    <row r="30" spans="1:28" ht="21" customHeight="1" x14ac:dyDescent="0.15">
      <c r="A30" s="62">
        <v>50001029</v>
      </c>
      <c r="B30" s="47" t="s">
        <v>266</v>
      </c>
      <c r="C30" s="50">
        <v>3</v>
      </c>
      <c r="D30" s="50" t="s">
        <v>126</v>
      </c>
      <c r="E30" s="74" t="s">
        <v>242</v>
      </c>
      <c r="F30" s="66" t="s">
        <v>296</v>
      </c>
      <c r="G30" s="51" t="str">
        <f t="shared" si="28"/>
        <v>[effect:tolerance,target:myself, turn:-1, tolerance_effect:all, count:-1]</v>
      </c>
      <c r="H30" s="51">
        <f t="shared" ref="H30:H42" si="50">FIND("effect:",G30)+7</f>
        <v>9</v>
      </c>
      <c r="I30" s="51">
        <f t="shared" ref="I30:I42" si="51">IFERROR(FIND(",",G30),LEN(G30))</f>
        <v>18</v>
      </c>
      <c r="J30" s="51">
        <f t="shared" ref="J30:J42" si="52">FIND("target:",G30)+7</f>
        <v>26</v>
      </c>
      <c r="K30" s="51">
        <f t="shared" ref="K30:K42" si="53">FIND(",",G30,I30+1)</f>
        <v>32</v>
      </c>
      <c r="L30" s="51" t="str">
        <f>IFERROR(VLOOKUP(MID(G30,J30,K30-J30),[5]skilldef!$C:$D,2,FALSE),"-") &amp; " / " &amp; IFERROR(VLOOKUP(MID(G30,H30,I30-H30),[5]skilldef!$A:$B,2,FALSE),"-")</f>
        <v>自分自身に / 状態異常耐性</v>
      </c>
      <c r="M30" s="51" t="str">
        <f t="shared" si="39"/>
        <v>[effect:dark, turn:3,target:unit_all,animation:enemy_dark]</v>
      </c>
      <c r="N30" s="47" t="str">
        <f t="shared" si="40"/>
        <v>[effect:dark, turn:3,target:unit_all,animation:enemy_dark]</v>
      </c>
      <c r="O30" s="51">
        <f t="shared" si="41"/>
        <v>9</v>
      </c>
      <c r="P30" s="51">
        <f t="shared" si="42"/>
        <v>13</v>
      </c>
      <c r="Q30" s="51">
        <f t="shared" si="43"/>
        <v>29</v>
      </c>
      <c r="R30" s="51">
        <f t="shared" si="44"/>
        <v>21</v>
      </c>
      <c r="S30" s="51" t="str">
        <f>IFERROR(VLOOKUP(MID(N30,Q30,R30-Q30),[5]skilldef!$C:$D,2,FALSE),"-") &amp; " / " &amp; IFERROR(VLOOKUP(MID(N30,O30,P30-O30),[5]skilldef!$A:$B,2,FALSE),"-")</f>
        <v>- / 暗黒</v>
      </c>
      <c r="T30" s="47" t="str">
        <f t="shared" si="45"/>
        <v>none</v>
      </c>
      <c r="U30" s="51" t="e">
        <f t="shared" si="46"/>
        <v>#VALUE!</v>
      </c>
      <c r="V30" s="51">
        <f t="shared" si="47"/>
        <v>4</v>
      </c>
      <c r="W30" s="51" t="e">
        <f t="shared" si="48"/>
        <v>#VALUE!</v>
      </c>
      <c r="X30" s="51" t="e">
        <f t="shared" si="49"/>
        <v>#VALUE!</v>
      </c>
      <c r="Y30" s="51" t="str">
        <f>IFERROR(VLOOKUP(MID(T30,W30,X30-W30),[5]skilldef!$C:$D,2,FALSE),"-") &amp; " / " &amp; IFERROR(VLOOKUP(MID(T30,U30,V30-U30),[5]skilldef!$A:$B,2,FALSE),"-")</f>
        <v>- / -</v>
      </c>
      <c r="Z30" s="50"/>
      <c r="AA30" s="52"/>
      <c r="AB30" s="50"/>
    </row>
    <row r="31" spans="1:28" ht="21" customHeight="1" x14ac:dyDescent="0.15">
      <c r="A31" s="62">
        <v>50001030</v>
      </c>
      <c r="B31" s="47" t="s">
        <v>275</v>
      </c>
      <c r="C31" s="50">
        <v>3</v>
      </c>
      <c r="D31" s="50" t="s">
        <v>126</v>
      </c>
      <c r="E31" s="47" t="s">
        <v>210</v>
      </c>
      <c r="F31" s="47" t="s">
        <v>153</v>
      </c>
      <c r="G31" s="51" t="str">
        <f t="shared" si="28"/>
        <v>[effect:rush, count:5, val:0.18]</v>
      </c>
      <c r="H31" s="51">
        <f t="shared" si="50"/>
        <v>9</v>
      </c>
      <c r="I31" s="51">
        <f t="shared" si="51"/>
        <v>13</v>
      </c>
      <c r="J31" s="51" t="e">
        <f t="shared" si="52"/>
        <v>#VALUE!</v>
      </c>
      <c r="K31" s="51">
        <f t="shared" si="53"/>
        <v>22</v>
      </c>
      <c r="L31" s="51" t="str">
        <f>IFERROR(VLOOKUP(MID(G31,J31,K31-J31),[5]skilldef!$C:$D,2,FALSE),"-") &amp; " / " &amp; IFERROR(VLOOKUP(MID(G31,H31,I31-H31),[5]skilldef!$A:$B,2,FALSE),"-")</f>
        <v>- / 連続攻撃</v>
      </c>
      <c r="M31" s="51" t="str">
        <f t="shared" si="39"/>
        <v>none</v>
      </c>
      <c r="N31" s="47" t="str">
        <f t="shared" si="40"/>
        <v>none</v>
      </c>
      <c r="O31" s="51" t="e">
        <f t="shared" si="41"/>
        <v>#VALUE!</v>
      </c>
      <c r="P31" s="51">
        <f t="shared" si="42"/>
        <v>4</v>
      </c>
      <c r="Q31" s="51" t="e">
        <f t="shared" si="43"/>
        <v>#VALUE!</v>
      </c>
      <c r="R31" s="51" t="e">
        <f t="shared" si="44"/>
        <v>#VALUE!</v>
      </c>
      <c r="S31" s="51" t="str">
        <f>IFERROR(VLOOKUP(MID(N31,Q31,R31-Q31),[5]skilldef!$C:$D,2,FALSE),"-") &amp; " / " &amp; IFERROR(VLOOKUP(MID(N31,O31,P31-O31),[5]skilldef!$A:$B,2,FALSE),"-")</f>
        <v>- / -</v>
      </c>
      <c r="T31" s="47" t="str">
        <f t="shared" si="45"/>
        <v>none</v>
      </c>
      <c r="U31" s="51" t="e">
        <f t="shared" si="46"/>
        <v>#VALUE!</v>
      </c>
      <c r="V31" s="51">
        <f t="shared" si="47"/>
        <v>4</v>
      </c>
      <c r="W31" s="51" t="e">
        <f t="shared" si="48"/>
        <v>#VALUE!</v>
      </c>
      <c r="X31" s="51" t="e">
        <f t="shared" si="49"/>
        <v>#VALUE!</v>
      </c>
      <c r="Y31" s="51" t="str">
        <f>IFERROR(VLOOKUP(MID(T31,W31,X31-W31),[5]skilldef!$C:$D,2,FALSE),"-") &amp; " / " &amp; IFERROR(VLOOKUP(MID(T31,U31,V31-U31),[5]skilldef!$A:$B,2,FALSE),"-")</f>
        <v>- / -</v>
      </c>
      <c r="Z31" s="50"/>
      <c r="AA31" s="52"/>
      <c r="AB31" s="50"/>
    </row>
    <row r="32" spans="1:28" ht="21" customHeight="1" x14ac:dyDescent="0.15">
      <c r="A32" s="62">
        <v>50001031</v>
      </c>
      <c r="B32" s="47" t="s">
        <v>227</v>
      </c>
      <c r="C32" s="50">
        <v>3</v>
      </c>
      <c r="D32" s="50" t="s">
        <v>126</v>
      </c>
      <c r="E32" s="47" t="s">
        <v>179</v>
      </c>
      <c r="F32" s="47" t="s">
        <v>199</v>
      </c>
      <c r="G32" s="51" t="str">
        <f t="shared" si="28"/>
        <v>[effect:damage_anti_tribe, target:unit_all, tribe:god, val1:0.6, val2:0.16]</v>
      </c>
      <c r="H32" s="51">
        <f t="shared" si="50"/>
        <v>9</v>
      </c>
      <c r="I32" s="51">
        <f t="shared" si="51"/>
        <v>26</v>
      </c>
      <c r="J32" s="51">
        <f t="shared" si="52"/>
        <v>35</v>
      </c>
      <c r="K32" s="51">
        <f t="shared" si="53"/>
        <v>43</v>
      </c>
      <c r="L32" s="51" t="str">
        <f>IFERROR(VLOOKUP(MID(G32,J32,K32-J32),[5]skilldef!$C:$D,2,FALSE),"-") &amp; " / " &amp; IFERROR(VLOOKUP(MID(G32,H32,I32-H32),[5]skilldef!$A:$B,2,FALSE),"-")</f>
        <v>味方全体に / 種族キラー</v>
      </c>
      <c r="M32" s="51" t="str">
        <f t="shared" si="39"/>
        <v>none</v>
      </c>
      <c r="N32" s="47" t="str">
        <f t="shared" si="40"/>
        <v>none</v>
      </c>
      <c r="O32" s="51" t="e">
        <f t="shared" si="41"/>
        <v>#VALUE!</v>
      </c>
      <c r="P32" s="51">
        <f t="shared" si="42"/>
        <v>4</v>
      </c>
      <c r="Q32" s="51" t="e">
        <f t="shared" si="43"/>
        <v>#VALUE!</v>
      </c>
      <c r="R32" s="51" t="e">
        <f t="shared" si="44"/>
        <v>#VALUE!</v>
      </c>
      <c r="S32" s="51" t="str">
        <f>IFERROR(VLOOKUP(MID(N32,Q32,R32-Q32),[5]skilldef!$C:$D,2,FALSE),"-") &amp; " / " &amp; IFERROR(VLOOKUP(MID(N32,O32,P32-O32),[5]skilldef!$A:$B,2,FALSE),"-")</f>
        <v>- / -</v>
      </c>
      <c r="T32" s="47" t="str">
        <f t="shared" si="45"/>
        <v>none</v>
      </c>
      <c r="U32" s="51" t="e">
        <f t="shared" si="46"/>
        <v>#VALUE!</v>
      </c>
      <c r="V32" s="51">
        <f t="shared" si="47"/>
        <v>4</v>
      </c>
      <c r="W32" s="51" t="e">
        <f t="shared" si="48"/>
        <v>#VALUE!</v>
      </c>
      <c r="X32" s="51" t="e">
        <f t="shared" si="49"/>
        <v>#VALUE!</v>
      </c>
      <c r="Y32" s="51" t="str">
        <f>IFERROR(VLOOKUP(MID(T32,W32,X32-W32),[5]skilldef!$C:$D,2,FALSE),"-") &amp; " / " &amp; IFERROR(VLOOKUP(MID(T32,U32,V32-U32),[5]skilldef!$A:$B,2,FALSE),"-")</f>
        <v>- / -</v>
      </c>
      <c r="Z32" s="50"/>
      <c r="AA32" s="52"/>
      <c r="AB32" s="50"/>
    </row>
    <row r="33" spans="1:28" ht="21" customHeight="1" x14ac:dyDescent="0.15">
      <c r="A33" s="62">
        <v>50001032</v>
      </c>
      <c r="B33" s="47" t="s">
        <v>161</v>
      </c>
      <c r="C33" s="50">
        <v>3</v>
      </c>
      <c r="D33" s="50" t="s">
        <v>126</v>
      </c>
      <c r="E33" s="47" t="s">
        <v>183</v>
      </c>
      <c r="F33" s="47" t="s">
        <v>255</v>
      </c>
      <c r="G33" s="51" t="str">
        <f t="shared" si="28"/>
        <v>[effect:freq_turn, target:myself, turn:-1, val:1, animation:enemy_freq_turn]</v>
      </c>
      <c r="H33" s="51">
        <f t="shared" si="50"/>
        <v>9</v>
      </c>
      <c r="I33" s="51">
        <f t="shared" si="51"/>
        <v>18</v>
      </c>
      <c r="J33" s="51">
        <f t="shared" si="52"/>
        <v>27</v>
      </c>
      <c r="K33" s="51">
        <f t="shared" si="53"/>
        <v>33</v>
      </c>
      <c r="L33" s="51" t="str">
        <f>IFERROR(VLOOKUP(MID(G33,J33,K33-J33),[5]skilldef!$C:$D,2,FALSE),"-") &amp; " / " &amp; IFERROR(VLOOKUP(MID(G33,H33,I33-H33),[5]skilldef!$A:$B,2,FALSE),"-")</f>
        <v>自分自身に / 攻撃頻度がUP</v>
      </c>
      <c r="M33" s="51" t="str">
        <f t="shared" si="39"/>
        <v>none</v>
      </c>
      <c r="N33" s="47" t="str">
        <f t="shared" si="40"/>
        <v>none</v>
      </c>
      <c r="O33" s="51" t="e">
        <f t="shared" si="41"/>
        <v>#VALUE!</v>
      </c>
      <c r="P33" s="51">
        <f t="shared" si="42"/>
        <v>4</v>
      </c>
      <c r="Q33" s="51" t="e">
        <f t="shared" si="43"/>
        <v>#VALUE!</v>
      </c>
      <c r="R33" s="51" t="e">
        <f t="shared" si="44"/>
        <v>#VALUE!</v>
      </c>
      <c r="S33" s="51" t="str">
        <f>IFERROR(VLOOKUP(MID(N33,Q33,R33-Q33),[5]skilldef!$C:$D,2,FALSE),"-") &amp; " / " &amp; IFERROR(VLOOKUP(MID(N33,O33,P33-O33),[5]skilldef!$A:$B,2,FALSE),"-")</f>
        <v>- / -</v>
      </c>
      <c r="T33" s="47" t="str">
        <f t="shared" si="45"/>
        <v>none</v>
      </c>
      <c r="U33" s="51" t="e">
        <f t="shared" si="46"/>
        <v>#VALUE!</v>
      </c>
      <c r="V33" s="51">
        <f t="shared" si="47"/>
        <v>4</v>
      </c>
      <c r="W33" s="51" t="e">
        <f t="shared" si="48"/>
        <v>#VALUE!</v>
      </c>
      <c r="X33" s="51" t="e">
        <f t="shared" si="49"/>
        <v>#VALUE!</v>
      </c>
      <c r="Y33" s="51" t="str">
        <f>IFERROR(VLOOKUP(MID(T33,W33,X33-W33),[5]skilldef!$C:$D,2,FALSE),"-") &amp; " / " &amp; IFERROR(VLOOKUP(MID(T33,U33,V33-U33),[5]skilldef!$A:$B,2,FALSE),"-")</f>
        <v>- / -</v>
      </c>
      <c r="Z33" s="50"/>
      <c r="AA33" s="52"/>
      <c r="AB33" s="50"/>
    </row>
    <row r="34" spans="1:28" ht="21" customHeight="1" x14ac:dyDescent="0.15">
      <c r="A34" s="62">
        <v>50001033</v>
      </c>
      <c r="B34" s="47" t="s">
        <v>259</v>
      </c>
      <c r="C34" s="50">
        <v>3</v>
      </c>
      <c r="D34" s="50" t="s">
        <v>126</v>
      </c>
      <c r="E34" s="47" t="s">
        <v>258</v>
      </c>
      <c r="F34" s="66" t="s">
        <v>267</v>
      </c>
      <c r="G34" s="51" t="str">
        <f t="shared" si="28"/>
        <v>[effect:nothing]</v>
      </c>
      <c r="H34" s="51">
        <f t="shared" si="50"/>
        <v>9</v>
      </c>
      <c r="I34" s="51">
        <f t="shared" si="51"/>
        <v>16</v>
      </c>
      <c r="J34" s="51" t="e">
        <f t="shared" si="52"/>
        <v>#VALUE!</v>
      </c>
      <c r="K34" s="51" t="e">
        <f t="shared" si="53"/>
        <v>#VALUE!</v>
      </c>
      <c r="L34" s="51" t="str">
        <f>IFERROR(VLOOKUP(MID(G34,J34,K34-J34),[5]skilldef!$C:$D,2,FALSE),"-") &amp; " / " &amp; IFERROR(VLOOKUP(MID(G34,H34,I34-H34),[5]skilldef!$A:$B,2,FALSE),"-")</f>
        <v>- / 何もしない</v>
      </c>
      <c r="M34" s="51" t="str">
        <f t="shared" si="39"/>
        <v>none</v>
      </c>
      <c r="N34" s="47" t="str">
        <f t="shared" si="40"/>
        <v>none</v>
      </c>
      <c r="O34" s="51" t="e">
        <f t="shared" si="41"/>
        <v>#VALUE!</v>
      </c>
      <c r="P34" s="51">
        <f t="shared" si="42"/>
        <v>4</v>
      </c>
      <c r="Q34" s="51" t="e">
        <f t="shared" si="43"/>
        <v>#VALUE!</v>
      </c>
      <c r="R34" s="51" t="e">
        <f t="shared" si="44"/>
        <v>#VALUE!</v>
      </c>
      <c r="S34" s="51" t="str">
        <f>IFERROR(VLOOKUP(MID(N34,Q34,R34-Q34),[5]skilldef!$C:$D,2,FALSE),"-") &amp; " / " &amp; IFERROR(VLOOKUP(MID(N34,O34,P34-O34),[5]skilldef!$A:$B,2,FALSE),"-")</f>
        <v>- / -</v>
      </c>
      <c r="T34" s="47" t="str">
        <f t="shared" si="45"/>
        <v>none</v>
      </c>
      <c r="U34" s="51" t="e">
        <f t="shared" si="46"/>
        <v>#VALUE!</v>
      </c>
      <c r="V34" s="51">
        <f t="shared" si="47"/>
        <v>4</v>
      </c>
      <c r="W34" s="51" t="e">
        <f t="shared" si="48"/>
        <v>#VALUE!</v>
      </c>
      <c r="X34" s="51" t="e">
        <f t="shared" si="49"/>
        <v>#VALUE!</v>
      </c>
      <c r="Y34" s="51" t="str">
        <f>IFERROR(VLOOKUP(MID(T34,W34,X34-W34),[5]skilldef!$C:$D,2,FALSE),"-") &amp; " / " &amp; IFERROR(VLOOKUP(MID(T34,U34,V34-U34),[5]skilldef!$A:$B,2,FALSE),"-")</f>
        <v>- / -</v>
      </c>
      <c r="Z34" s="50"/>
      <c r="AA34" s="52"/>
      <c r="AB34" s="50"/>
    </row>
    <row r="35" spans="1:28" ht="21" customHeight="1" x14ac:dyDescent="0.15">
      <c r="A35" s="62">
        <v>50001034</v>
      </c>
      <c r="B35" s="47" t="s">
        <v>261</v>
      </c>
      <c r="C35" s="50">
        <v>3</v>
      </c>
      <c r="D35" s="50" t="s">
        <v>126</v>
      </c>
      <c r="E35" s="71" t="s">
        <v>241</v>
      </c>
      <c r="F35" s="47" t="s">
        <v>243</v>
      </c>
      <c r="G35" s="51" t="str">
        <f t="shared" si="28"/>
        <v>[effect:nothing]</v>
      </c>
      <c r="H35" s="51">
        <f t="shared" si="50"/>
        <v>9</v>
      </c>
      <c r="I35" s="51">
        <f t="shared" si="51"/>
        <v>16</v>
      </c>
      <c r="J35" s="51" t="e">
        <f t="shared" si="52"/>
        <v>#VALUE!</v>
      </c>
      <c r="K35" s="51" t="e">
        <f t="shared" si="53"/>
        <v>#VALUE!</v>
      </c>
      <c r="L35" s="51" t="str">
        <f>IFERROR(VLOOKUP(MID(G35,J35,K35-J35),[5]skilldef!$C:$D,2,FALSE),"-") &amp; " / " &amp; IFERROR(VLOOKUP(MID(G35,H35,I35-H35),[5]skilldef!$A:$B,2,FALSE),"-")</f>
        <v>- / 何もしない</v>
      </c>
      <c r="M35" s="51" t="str">
        <f t="shared" si="39"/>
        <v>none</v>
      </c>
      <c r="N35" s="47" t="str">
        <f t="shared" si="40"/>
        <v>none</v>
      </c>
      <c r="O35" s="51" t="e">
        <f t="shared" si="41"/>
        <v>#VALUE!</v>
      </c>
      <c r="P35" s="51">
        <f t="shared" si="42"/>
        <v>4</v>
      </c>
      <c r="Q35" s="51" t="e">
        <f t="shared" si="43"/>
        <v>#VALUE!</v>
      </c>
      <c r="R35" s="51" t="e">
        <f t="shared" si="44"/>
        <v>#VALUE!</v>
      </c>
      <c r="S35" s="51" t="str">
        <f>IFERROR(VLOOKUP(MID(N35,Q35,R35-Q35),[5]skilldef!$C:$D,2,FALSE),"-") &amp; " / " &amp; IFERROR(VLOOKUP(MID(N35,O35,P35-O35),[5]skilldef!$A:$B,2,FALSE),"-")</f>
        <v>- / -</v>
      </c>
      <c r="T35" s="47" t="str">
        <f t="shared" si="45"/>
        <v>none</v>
      </c>
      <c r="U35" s="51" t="e">
        <f t="shared" si="46"/>
        <v>#VALUE!</v>
      </c>
      <c r="V35" s="51">
        <f t="shared" si="47"/>
        <v>4</v>
      </c>
      <c r="W35" s="51" t="e">
        <f t="shared" si="48"/>
        <v>#VALUE!</v>
      </c>
      <c r="X35" s="51" t="e">
        <f t="shared" si="49"/>
        <v>#VALUE!</v>
      </c>
      <c r="Y35" s="51" t="str">
        <f>IFERROR(VLOOKUP(MID(T35,W35,X35-W35),[5]skilldef!$C:$D,2,FALSE),"-") &amp; " / " &amp; IFERROR(VLOOKUP(MID(T35,U35,V35-U35),[5]skilldef!$A:$B,2,FALSE),"-")</f>
        <v>- / -</v>
      </c>
      <c r="Z35" s="50"/>
      <c r="AA35" s="52"/>
      <c r="AB35" s="50"/>
    </row>
    <row r="36" spans="1:28" ht="21" customHeight="1" x14ac:dyDescent="0.15">
      <c r="A36" s="62">
        <v>50001035</v>
      </c>
      <c r="B36" s="47" t="s">
        <v>298</v>
      </c>
      <c r="C36" s="50">
        <v>3</v>
      </c>
      <c r="D36" s="50" t="s">
        <v>126</v>
      </c>
      <c r="E36" s="72" t="s">
        <v>244</v>
      </c>
      <c r="F36" s="66" t="s">
        <v>247</v>
      </c>
      <c r="G36" s="51" t="str">
        <f t="shared" si="28"/>
        <v>[effect:tolerance,target:myself, turn:-1, tolerance_effect:all, count:-1]</v>
      </c>
      <c r="H36" s="51">
        <f t="shared" si="50"/>
        <v>9</v>
      </c>
      <c r="I36" s="51">
        <f t="shared" si="51"/>
        <v>18</v>
      </c>
      <c r="J36" s="51">
        <f t="shared" si="52"/>
        <v>26</v>
      </c>
      <c r="K36" s="51">
        <f t="shared" si="53"/>
        <v>32</v>
      </c>
      <c r="L36" s="51" t="str">
        <f>IFERROR(VLOOKUP(MID(G36,J36,K36-J36),[5]skilldef!$C:$D,2,FALSE),"-") &amp; " / " &amp; IFERROR(VLOOKUP(MID(G36,H36,I36-H36),[5]skilldef!$A:$B,2,FALSE),"-")</f>
        <v>自分自身に / 状態異常耐性</v>
      </c>
      <c r="M36" s="51" t="str">
        <f t="shared" si="39"/>
        <v>[effect:force_change_block, new_block:jammer, target:block_all, ignore01:crash, ignore02:jammer, ignore03:color_break, ignore04:magnet, count:12, val:0, animation:change_block],[effect:fix_speed,target:myself,turn:2]</v>
      </c>
      <c r="N36" s="47" t="str">
        <f t="shared" si="40"/>
        <v>[effect:force_change_block, new_block:jammer, target:block_all, ignore01:crash, ignore02:jammer, ignore03:color_break, ignore04:magnet, count:12, val:0, animation:change_block],[effect:fix_speed,target:myself,turn:2]</v>
      </c>
      <c r="O36" s="51">
        <f t="shared" si="41"/>
        <v>9</v>
      </c>
      <c r="P36" s="51">
        <f t="shared" si="42"/>
        <v>27</v>
      </c>
      <c r="Q36" s="51">
        <f t="shared" si="43"/>
        <v>54</v>
      </c>
      <c r="R36" s="51">
        <f t="shared" si="44"/>
        <v>45</v>
      </c>
      <c r="S36" s="51" t="str">
        <f>IFERROR(VLOOKUP(MID(N36,Q36,R36-Q36),[5]skilldef!$C:$D,2,FALSE),"-") &amp; " / " &amp; IFERROR(VLOOKUP(MID(N36,O36,P36-O36),[5]skilldef!$A:$B,2,FALSE),"-")</f>
        <v>- / -</v>
      </c>
      <c r="T36" s="47" t="str">
        <f t="shared" si="45"/>
        <v>[effect:fix_speed,target:myself,turn:2]</v>
      </c>
      <c r="U36" s="51">
        <f t="shared" si="46"/>
        <v>9</v>
      </c>
      <c r="V36" s="51">
        <f t="shared" si="47"/>
        <v>18</v>
      </c>
      <c r="W36" s="51">
        <f t="shared" si="48"/>
        <v>26</v>
      </c>
      <c r="X36" s="51">
        <f t="shared" si="49"/>
        <v>32</v>
      </c>
      <c r="Y36" s="51" t="str">
        <f>IFERROR(VLOOKUP(MID(T36,W36,X36-W36),[5]skilldef!$C:$D,2,FALSE),"-") &amp; " / " &amp; IFERROR(VLOOKUP(MID(T36,U36,V36-U36),[5]skilldef!$A:$B,2,FALSE),"-")</f>
        <v>自分自身に / 行動値設定</v>
      </c>
      <c r="Z36" s="50"/>
      <c r="AA36" s="52"/>
      <c r="AB36" s="50"/>
    </row>
    <row r="37" spans="1:28" ht="21" customHeight="1" x14ac:dyDescent="0.15">
      <c r="A37" s="62">
        <v>50001036</v>
      </c>
      <c r="B37" s="47" t="s">
        <v>249</v>
      </c>
      <c r="C37" s="50">
        <v>3</v>
      </c>
      <c r="D37" s="50" t="s">
        <v>126</v>
      </c>
      <c r="E37" s="47" t="s">
        <v>189</v>
      </c>
      <c r="F37" s="47" t="s">
        <v>201</v>
      </c>
      <c r="G37" s="51" t="str">
        <f t="shared" si="28"/>
        <v>[effect:damage_anti_color, target:unit_one, color:red, val1:1.5, val2:1.0]</v>
      </c>
      <c r="H37" s="51">
        <f t="shared" si="50"/>
        <v>9</v>
      </c>
      <c r="I37" s="51">
        <f t="shared" si="51"/>
        <v>26</v>
      </c>
      <c r="J37" s="51">
        <f t="shared" si="52"/>
        <v>35</v>
      </c>
      <c r="K37" s="51">
        <f t="shared" si="53"/>
        <v>43</v>
      </c>
      <c r="L37" s="51" t="str">
        <f>IFERROR(VLOOKUP(MID(G37,J37,K37-J37),[5]skilldef!$C:$D,2,FALSE),"-") &amp; " / " &amp; IFERROR(VLOOKUP(MID(G37,H37,I37-H37),[5]skilldef!$A:$B,2,FALSE),"-")</f>
        <v>味方単体に / 属性キラー</v>
      </c>
      <c r="M37" s="51" t="str">
        <f t="shared" si="39"/>
        <v>none</v>
      </c>
      <c r="N37" s="47" t="str">
        <f>IFERROR(LEFT(M37,FIND("],",M37)+#REF!),M37)</f>
        <v>none</v>
      </c>
      <c r="O37" s="51" t="e">
        <f t="shared" si="41"/>
        <v>#VALUE!</v>
      </c>
      <c r="P37" s="51">
        <f t="shared" si="42"/>
        <v>4</v>
      </c>
      <c r="Q37" s="51" t="e">
        <f t="shared" si="43"/>
        <v>#VALUE!</v>
      </c>
      <c r="R37" s="51" t="e">
        <f t="shared" si="44"/>
        <v>#VALUE!</v>
      </c>
      <c r="S37" s="51" t="str">
        <f>IFERROR(VLOOKUP(MID(N37,Q37,R37-Q37),[5]skilldef!$C:$D,2,FALSE),"-") &amp; " / " &amp; IFERROR(VLOOKUP(MID(N37,O37,P37-O37),[5]skilldef!$A:$B,2,FALSE),"-")</f>
        <v>- / -</v>
      </c>
      <c r="T37" s="47" t="str">
        <f t="shared" si="45"/>
        <v>none</v>
      </c>
      <c r="U37" s="51" t="e">
        <f t="shared" si="46"/>
        <v>#VALUE!</v>
      </c>
      <c r="V37" s="51">
        <f t="shared" si="47"/>
        <v>4</v>
      </c>
      <c r="W37" s="51" t="e">
        <f t="shared" si="48"/>
        <v>#VALUE!</v>
      </c>
      <c r="X37" s="51" t="e">
        <f t="shared" si="49"/>
        <v>#VALUE!</v>
      </c>
      <c r="Y37" s="51" t="str">
        <f>IFERROR(VLOOKUP(MID(T37,W37,X37-W37),[5]skilldef!$C:$D,2,FALSE),"-") &amp; " / " &amp; IFERROR(VLOOKUP(MID(T37,U37,V37-U37),[5]skilldef!$A:$B,2,FALSE),"-")</f>
        <v>- / -</v>
      </c>
      <c r="Z37" s="50"/>
      <c r="AA37" s="52"/>
      <c r="AB37" s="50"/>
    </row>
    <row r="38" spans="1:28" ht="21" customHeight="1" x14ac:dyDescent="0.15">
      <c r="A38" s="62">
        <v>50001037</v>
      </c>
      <c r="B38" s="47" t="s">
        <v>250</v>
      </c>
      <c r="C38" s="50">
        <v>3</v>
      </c>
      <c r="D38" s="50" t="s">
        <v>126</v>
      </c>
      <c r="E38" s="47" t="s">
        <v>188</v>
      </c>
      <c r="F38" s="47" t="s">
        <v>202</v>
      </c>
      <c r="G38" s="51" t="str">
        <f t="shared" si="28"/>
        <v>[effect:damage_anti_color, target:unit_one, color:blue, val1:1.5, val2:1.0]</v>
      </c>
      <c r="H38" s="51">
        <f t="shared" si="50"/>
        <v>9</v>
      </c>
      <c r="I38" s="51">
        <f t="shared" si="51"/>
        <v>26</v>
      </c>
      <c r="J38" s="51">
        <f t="shared" si="52"/>
        <v>35</v>
      </c>
      <c r="K38" s="51">
        <f t="shared" si="53"/>
        <v>43</v>
      </c>
      <c r="L38" s="51" t="str">
        <f>IFERROR(VLOOKUP(MID(G38,J38,K38-J38),[5]skilldef!$C:$D,2,FALSE),"-") &amp; " / " &amp; IFERROR(VLOOKUP(MID(G38,H38,I38-H38),[5]skilldef!$A:$B,2,FALSE),"-")</f>
        <v>味方単体に / 属性キラー</v>
      </c>
      <c r="M38" s="51" t="str">
        <f t="shared" si="39"/>
        <v>none</v>
      </c>
      <c r="N38" s="47" t="str">
        <f t="shared" ref="N38:N55" si="54">IFERROR(LEFT(M38,FIND("],",M38)+S56),M38)</f>
        <v>none</v>
      </c>
      <c r="O38" s="51" t="e">
        <f t="shared" si="41"/>
        <v>#VALUE!</v>
      </c>
      <c r="P38" s="51">
        <f t="shared" si="42"/>
        <v>4</v>
      </c>
      <c r="Q38" s="51" t="e">
        <f t="shared" si="43"/>
        <v>#VALUE!</v>
      </c>
      <c r="R38" s="51" t="e">
        <f t="shared" si="44"/>
        <v>#VALUE!</v>
      </c>
      <c r="S38" s="51" t="str">
        <f>IFERROR(VLOOKUP(MID(N38,Q38,R38-Q38),[5]skilldef!$C:$D,2,FALSE),"-") &amp; " / " &amp; IFERROR(VLOOKUP(MID(N38,O38,P38-O38),[5]skilldef!$A:$B,2,FALSE),"-")</f>
        <v>- / -</v>
      </c>
      <c r="T38" s="47" t="str">
        <f t="shared" si="45"/>
        <v>none</v>
      </c>
      <c r="U38" s="51" t="e">
        <f t="shared" si="46"/>
        <v>#VALUE!</v>
      </c>
      <c r="V38" s="51">
        <f t="shared" si="47"/>
        <v>4</v>
      </c>
      <c r="W38" s="51" t="e">
        <f t="shared" si="48"/>
        <v>#VALUE!</v>
      </c>
      <c r="X38" s="51" t="e">
        <f t="shared" si="49"/>
        <v>#VALUE!</v>
      </c>
      <c r="Y38" s="51" t="str">
        <f>IFERROR(VLOOKUP(MID(T38,W38,X38-W38),[5]skilldef!$C:$D,2,FALSE),"-") &amp; " / " &amp; IFERROR(VLOOKUP(MID(T38,U38,V38-U38),[5]skilldef!$A:$B,2,FALSE),"-")</f>
        <v>- / -</v>
      </c>
      <c r="Z38" s="50"/>
      <c r="AA38" s="52"/>
      <c r="AB38" s="50"/>
    </row>
    <row r="39" spans="1:28" ht="21" customHeight="1" x14ac:dyDescent="0.15">
      <c r="A39" s="62">
        <v>50001038</v>
      </c>
      <c r="B39" s="47" t="s">
        <v>251</v>
      </c>
      <c r="C39" s="50">
        <v>3</v>
      </c>
      <c r="D39" s="50" t="s">
        <v>126</v>
      </c>
      <c r="E39" s="47" t="s">
        <v>190</v>
      </c>
      <c r="F39" s="47" t="s">
        <v>203</v>
      </c>
      <c r="G39" s="51" t="str">
        <f t="shared" si="28"/>
        <v>[effect:damage_anti_color, target:unit_one, color:yellow, val1:1.5, val2:1.0]</v>
      </c>
      <c r="H39" s="51">
        <f t="shared" si="50"/>
        <v>9</v>
      </c>
      <c r="I39" s="51">
        <f t="shared" si="51"/>
        <v>26</v>
      </c>
      <c r="J39" s="51">
        <f t="shared" si="52"/>
        <v>35</v>
      </c>
      <c r="K39" s="51">
        <f t="shared" si="53"/>
        <v>43</v>
      </c>
      <c r="L39" s="51" t="str">
        <f>IFERROR(VLOOKUP(MID(G39,J39,K39-J39),[5]skilldef!$C:$D,2,FALSE),"-") &amp; " / " &amp; IFERROR(VLOOKUP(MID(G39,H39,I39-H39),[5]skilldef!$A:$B,2,FALSE),"-")</f>
        <v>味方単体に / 属性キラー</v>
      </c>
      <c r="M39" s="51" t="str">
        <f t="shared" si="39"/>
        <v>none</v>
      </c>
      <c r="N39" s="47" t="str">
        <f t="shared" si="54"/>
        <v>none</v>
      </c>
      <c r="O39" s="51" t="e">
        <f t="shared" si="41"/>
        <v>#VALUE!</v>
      </c>
      <c r="P39" s="51">
        <f t="shared" si="42"/>
        <v>4</v>
      </c>
      <c r="Q39" s="51" t="e">
        <f t="shared" si="43"/>
        <v>#VALUE!</v>
      </c>
      <c r="R39" s="51" t="e">
        <f t="shared" si="44"/>
        <v>#VALUE!</v>
      </c>
      <c r="S39" s="51" t="str">
        <f>IFERROR(VLOOKUP(MID(N39,Q39,R39-Q39),[5]skilldef!$C:$D,2,FALSE),"-") &amp; " / " &amp; IFERROR(VLOOKUP(MID(N39,O39,P39-O39),[5]skilldef!$A:$B,2,FALSE),"-")</f>
        <v>- / -</v>
      </c>
      <c r="T39" s="47" t="str">
        <f t="shared" si="45"/>
        <v>none</v>
      </c>
      <c r="U39" s="51" t="e">
        <f t="shared" si="46"/>
        <v>#VALUE!</v>
      </c>
      <c r="V39" s="51">
        <f t="shared" si="47"/>
        <v>4</v>
      </c>
      <c r="W39" s="51" t="e">
        <f t="shared" si="48"/>
        <v>#VALUE!</v>
      </c>
      <c r="X39" s="51" t="e">
        <f t="shared" si="49"/>
        <v>#VALUE!</v>
      </c>
      <c r="Y39" s="51" t="str">
        <f>IFERROR(VLOOKUP(MID(T39,W39,X39-W39),[5]skilldef!$C:$D,2,FALSE),"-") &amp; " / " &amp; IFERROR(VLOOKUP(MID(T39,U39,V39-U39),[5]skilldef!$A:$B,2,FALSE),"-")</f>
        <v>- / -</v>
      </c>
      <c r="Z39" s="50"/>
      <c r="AA39" s="52"/>
      <c r="AB39" s="50"/>
    </row>
    <row r="40" spans="1:28" ht="21" customHeight="1" x14ac:dyDescent="0.15">
      <c r="A40" s="62">
        <v>50001039</v>
      </c>
      <c r="B40" s="47" t="s">
        <v>214</v>
      </c>
      <c r="C40" s="50">
        <v>3</v>
      </c>
      <c r="D40" s="50" t="s">
        <v>126</v>
      </c>
      <c r="E40" s="47" t="s">
        <v>184</v>
      </c>
      <c r="F40" s="47" t="s">
        <v>204</v>
      </c>
      <c r="G40" s="51" t="str">
        <f t="shared" ref="G40:G42" si="55">IFERROR(LEFT(B40,FIND("],",B40)),B40)</f>
        <v>[effect:dis_panel, target:block_red, turn:5]</v>
      </c>
      <c r="H40" s="51">
        <f t="shared" si="50"/>
        <v>9</v>
      </c>
      <c r="I40" s="51">
        <f t="shared" si="51"/>
        <v>18</v>
      </c>
      <c r="J40" s="51">
        <f t="shared" si="52"/>
        <v>27</v>
      </c>
      <c r="K40" s="51">
        <f t="shared" si="53"/>
        <v>36</v>
      </c>
      <c r="L40" s="51" t="str">
        <f>IFERROR(VLOOKUP(MID(G40,J40,K40-J40),[5]skilldef!$C:$D,2,FALSE),"-") &amp; " / " &amp; IFERROR(VLOOKUP(MID(G40,H40,I40-H40),[5]skilldef!$A:$B,2,FALSE),"-")</f>
        <v>赤パネルを / ディスパネル</v>
      </c>
      <c r="M40" s="51" t="str">
        <f t="shared" si="39"/>
        <v>[effect:critical, val:1.2, animation:enemy_critical]</v>
      </c>
      <c r="N40" s="47" t="str">
        <f t="shared" si="54"/>
        <v>[effect:critical, val:1.2, animation:enemy_critical]</v>
      </c>
      <c r="O40" s="51">
        <f t="shared" si="41"/>
        <v>9</v>
      </c>
      <c r="P40" s="51">
        <f t="shared" si="42"/>
        <v>17</v>
      </c>
      <c r="Q40" s="51" t="e">
        <f t="shared" si="43"/>
        <v>#VALUE!</v>
      </c>
      <c r="R40" s="51">
        <f t="shared" si="44"/>
        <v>26</v>
      </c>
      <c r="S40" s="51" t="str">
        <f>IFERROR(VLOOKUP(MID(N40,Q40,R40-Q40),[5]skilldef!$C:$D,2,FALSE),"-") &amp; " / " &amp; IFERROR(VLOOKUP(MID(N40,O40,P40-O40),[5]skilldef!$A:$B,2,FALSE),"-")</f>
        <v>- / 大攻撃</v>
      </c>
      <c r="T40" s="47" t="str">
        <f t="shared" si="45"/>
        <v>none</v>
      </c>
      <c r="U40" s="51" t="e">
        <f t="shared" si="46"/>
        <v>#VALUE!</v>
      </c>
      <c r="V40" s="51">
        <f t="shared" si="47"/>
        <v>4</v>
      </c>
      <c r="W40" s="51" t="e">
        <f t="shared" si="48"/>
        <v>#VALUE!</v>
      </c>
      <c r="X40" s="51" t="e">
        <f t="shared" si="49"/>
        <v>#VALUE!</v>
      </c>
      <c r="Y40" s="51" t="str">
        <f>IFERROR(VLOOKUP(MID(T40,W40,X40-W40),[5]skilldef!$C:$D,2,FALSE),"-") &amp; " / " &amp; IFERROR(VLOOKUP(MID(T40,U40,V40-U40),[5]skilldef!$A:$B,2,FALSE),"-")</f>
        <v>- / -</v>
      </c>
      <c r="Z40" s="50"/>
      <c r="AA40" s="52"/>
      <c r="AB40" s="50"/>
    </row>
    <row r="41" spans="1:28" ht="21" customHeight="1" x14ac:dyDescent="0.15">
      <c r="A41" s="62">
        <v>50001040</v>
      </c>
      <c r="B41" s="47" t="s">
        <v>215</v>
      </c>
      <c r="C41" s="50">
        <v>3</v>
      </c>
      <c r="D41" s="50" t="s">
        <v>126</v>
      </c>
      <c r="E41" s="47" t="s">
        <v>185</v>
      </c>
      <c r="F41" s="47" t="s">
        <v>205</v>
      </c>
      <c r="G41" s="51" t="str">
        <f t="shared" si="55"/>
        <v>[effect:dis_panel, target:block_green, turn:5]</v>
      </c>
      <c r="H41" s="51">
        <f t="shared" si="50"/>
        <v>9</v>
      </c>
      <c r="I41" s="51">
        <f t="shared" si="51"/>
        <v>18</v>
      </c>
      <c r="J41" s="51">
        <f t="shared" si="52"/>
        <v>27</v>
      </c>
      <c r="K41" s="51">
        <f t="shared" si="53"/>
        <v>38</v>
      </c>
      <c r="L41" s="51" t="str">
        <f>IFERROR(VLOOKUP(MID(G41,J41,K41-J41),[5]skilldef!$C:$D,2,FALSE),"-") &amp; " / " &amp; IFERROR(VLOOKUP(MID(G41,H41,I41-H41),[5]skilldef!$A:$B,2,FALSE),"-")</f>
        <v>緑パネルを / ディスパネル</v>
      </c>
      <c r="M41" s="51" t="str">
        <f t="shared" si="39"/>
        <v>[effect:critical, val:1.2, animation:enemy_critical]</v>
      </c>
      <c r="N41" s="47" t="str">
        <f t="shared" si="54"/>
        <v>[effect:critical, val:1.2, animation:enemy_critical]</v>
      </c>
      <c r="O41" s="51">
        <f t="shared" si="41"/>
        <v>9</v>
      </c>
      <c r="P41" s="51">
        <f t="shared" si="42"/>
        <v>17</v>
      </c>
      <c r="Q41" s="51" t="e">
        <f t="shared" si="43"/>
        <v>#VALUE!</v>
      </c>
      <c r="R41" s="51">
        <f t="shared" si="44"/>
        <v>26</v>
      </c>
      <c r="S41" s="51" t="str">
        <f>IFERROR(VLOOKUP(MID(N41,Q41,R41-Q41),[5]skilldef!$C:$D,2,FALSE),"-") &amp; " / " &amp; IFERROR(VLOOKUP(MID(N41,O41,P41-O41),[5]skilldef!$A:$B,2,FALSE),"-")</f>
        <v>- / 大攻撃</v>
      </c>
      <c r="T41" s="47" t="str">
        <f t="shared" si="45"/>
        <v>none</v>
      </c>
      <c r="U41" s="51" t="e">
        <f t="shared" si="46"/>
        <v>#VALUE!</v>
      </c>
      <c r="V41" s="51">
        <f t="shared" si="47"/>
        <v>4</v>
      </c>
      <c r="W41" s="51" t="e">
        <f t="shared" si="48"/>
        <v>#VALUE!</v>
      </c>
      <c r="X41" s="51" t="e">
        <f t="shared" si="49"/>
        <v>#VALUE!</v>
      </c>
      <c r="Y41" s="51" t="str">
        <f>IFERROR(VLOOKUP(MID(T41,W41,X41-W41),[5]skilldef!$C:$D,2,FALSE),"-") &amp; " / " &amp; IFERROR(VLOOKUP(MID(T41,U41,V41-U41),[5]skilldef!$A:$B,2,FALSE),"-")</f>
        <v>- / -</v>
      </c>
      <c r="Z41" s="50"/>
      <c r="AA41" s="52"/>
      <c r="AB41" s="50"/>
    </row>
    <row r="42" spans="1:28" ht="21" customHeight="1" x14ac:dyDescent="0.15">
      <c r="A42" s="62">
        <v>50001041</v>
      </c>
      <c r="B42" s="47" t="s">
        <v>216</v>
      </c>
      <c r="C42" s="50">
        <v>3</v>
      </c>
      <c r="D42" s="50" t="s">
        <v>126</v>
      </c>
      <c r="E42" s="47" t="s">
        <v>186</v>
      </c>
      <c r="F42" s="47" t="s">
        <v>206</v>
      </c>
      <c r="G42" s="51" t="str">
        <f t="shared" si="55"/>
        <v>[effect:dis_panel, target:block_yellow, turn:5]</v>
      </c>
      <c r="H42" s="51">
        <f t="shared" si="50"/>
        <v>9</v>
      </c>
      <c r="I42" s="51">
        <f t="shared" si="51"/>
        <v>18</v>
      </c>
      <c r="J42" s="51">
        <f t="shared" si="52"/>
        <v>27</v>
      </c>
      <c r="K42" s="51">
        <f t="shared" si="53"/>
        <v>39</v>
      </c>
      <c r="L42" s="51" t="str">
        <f>IFERROR(VLOOKUP(MID(G42,J42,K42-J42),[5]skilldef!$C:$D,2,FALSE),"-") &amp; " / " &amp; IFERROR(VLOOKUP(MID(G42,H42,I42-H42),[5]skilldef!$A:$B,2,FALSE),"-")</f>
        <v>黄色パネルを / ディスパネル</v>
      </c>
      <c r="M42" s="51" t="str">
        <f t="shared" si="39"/>
        <v>[effect:critical, val:1.2, animation:enemy_critical]</v>
      </c>
      <c r="N42" s="47" t="str">
        <f t="shared" si="54"/>
        <v>[effect:critical, val:1.2, animation:enemy_critical]</v>
      </c>
      <c r="O42" s="51">
        <f t="shared" si="41"/>
        <v>9</v>
      </c>
      <c r="P42" s="51">
        <f t="shared" si="42"/>
        <v>17</v>
      </c>
      <c r="Q42" s="51" t="e">
        <f t="shared" si="43"/>
        <v>#VALUE!</v>
      </c>
      <c r="R42" s="51">
        <f t="shared" si="44"/>
        <v>26</v>
      </c>
      <c r="S42" s="51" t="str">
        <f>IFERROR(VLOOKUP(MID(N42,Q42,R42-Q42),[5]skilldef!$C:$D,2,FALSE),"-") &amp; " / " &amp; IFERROR(VLOOKUP(MID(N42,O42,P42-O42),[5]skilldef!$A:$B,2,FALSE),"-")</f>
        <v>- / 大攻撃</v>
      </c>
      <c r="T42" s="47" t="str">
        <f t="shared" si="45"/>
        <v>none</v>
      </c>
      <c r="U42" s="51" t="e">
        <f t="shared" si="46"/>
        <v>#VALUE!</v>
      </c>
      <c r="V42" s="51">
        <f t="shared" si="47"/>
        <v>4</v>
      </c>
      <c r="W42" s="51" t="e">
        <f t="shared" si="48"/>
        <v>#VALUE!</v>
      </c>
      <c r="X42" s="51" t="e">
        <f t="shared" si="49"/>
        <v>#VALUE!</v>
      </c>
      <c r="Y42" s="51" t="str">
        <f>IFERROR(VLOOKUP(MID(T42,W42,X42-W42),[5]skilldef!$C:$D,2,FALSE),"-") &amp; " / " &amp; IFERROR(VLOOKUP(MID(T42,U42,V42-U42),[5]skilldef!$A:$B,2,FALSE),"-")</f>
        <v>- / -</v>
      </c>
      <c r="Z42" s="50"/>
      <c r="AA42" s="52"/>
      <c r="AB42" s="50"/>
    </row>
    <row r="43" spans="1:28" ht="21" customHeight="1" x14ac:dyDescent="0.15">
      <c r="A43" s="62">
        <v>50001042</v>
      </c>
      <c r="B43" s="47" t="s">
        <v>217</v>
      </c>
      <c r="C43" s="50">
        <v>3</v>
      </c>
      <c r="D43" s="50" t="s">
        <v>126</v>
      </c>
      <c r="E43" s="47" t="s">
        <v>187</v>
      </c>
      <c r="F43" s="47" t="s">
        <v>207</v>
      </c>
      <c r="G43" s="51" t="str">
        <f t="shared" ref="G43:G52" si="56">IFERROR(LEFT(B43,FIND("],",B43)),B43)</f>
        <v>[effect:dis_panel, target:block_blue, turn:5]</v>
      </c>
      <c r="H43" s="51">
        <f t="shared" ref="H43:H52" si="57">FIND("effect:",G43)+7</f>
        <v>9</v>
      </c>
      <c r="I43" s="51">
        <f t="shared" ref="I43:I52" si="58">IFERROR(FIND(",",G43),LEN(G43))</f>
        <v>18</v>
      </c>
      <c r="J43" s="51">
        <f t="shared" ref="J43:J52" si="59">FIND("target:",G43)+7</f>
        <v>27</v>
      </c>
      <c r="K43" s="51">
        <f t="shared" ref="K43:K52" si="60">FIND(",",G43,I43+1)</f>
        <v>37</v>
      </c>
      <c r="L43" s="51" t="str">
        <f>IFERROR(VLOOKUP(MID(G43,J43,K43-J43),[5]skilldef!$C:$D,2,FALSE),"-") &amp; " / " &amp; IFERROR(VLOOKUP(MID(G43,H43,I43-H43),[5]skilldef!$A:$B,2,FALSE),"-")</f>
        <v>青パネルを / ディスパネル</v>
      </c>
      <c r="M43" s="51" t="str">
        <f t="shared" si="39"/>
        <v>[effect:critical, val:1.2, animation:enemy_critical]</v>
      </c>
      <c r="N43" s="47" t="str">
        <f t="shared" si="54"/>
        <v>[effect:critical, val:1.2, animation:enemy_critical]</v>
      </c>
      <c r="O43" s="51">
        <f t="shared" si="41"/>
        <v>9</v>
      </c>
      <c r="P43" s="51">
        <f t="shared" si="42"/>
        <v>17</v>
      </c>
      <c r="Q43" s="51" t="e">
        <f t="shared" si="43"/>
        <v>#VALUE!</v>
      </c>
      <c r="R43" s="51">
        <f t="shared" si="44"/>
        <v>26</v>
      </c>
      <c r="S43" s="51" t="str">
        <f>IFERROR(VLOOKUP(MID(N43,Q43,R43-Q43),[5]skilldef!$C:$D,2,FALSE),"-") &amp; " / " &amp; IFERROR(VLOOKUP(MID(N43,O43,P43-O43),[5]skilldef!$A:$B,2,FALSE),"-")</f>
        <v>- / 大攻撃</v>
      </c>
      <c r="T43" s="47" t="str">
        <f t="shared" si="45"/>
        <v>none</v>
      </c>
      <c r="U43" s="51" t="e">
        <f t="shared" si="46"/>
        <v>#VALUE!</v>
      </c>
      <c r="V43" s="51">
        <f t="shared" si="47"/>
        <v>4</v>
      </c>
      <c r="W43" s="51" t="e">
        <f t="shared" si="48"/>
        <v>#VALUE!</v>
      </c>
      <c r="X43" s="51" t="e">
        <f t="shared" si="49"/>
        <v>#VALUE!</v>
      </c>
      <c r="Y43" s="51" t="str">
        <f>IFERROR(VLOOKUP(MID(T43,W43,X43-W43),[5]skilldef!$C:$D,2,FALSE),"-") &amp; " / " &amp; IFERROR(VLOOKUP(MID(T43,U43,V43-U43),[5]skilldef!$A:$B,2,FALSE),"-")</f>
        <v>- / -</v>
      </c>
      <c r="Z43" s="50"/>
      <c r="AA43" s="52"/>
      <c r="AB43" s="50"/>
    </row>
    <row r="44" spans="1:28" ht="21" customHeight="1" x14ac:dyDescent="0.15">
      <c r="A44" s="62">
        <v>50001043</v>
      </c>
      <c r="B44" s="47" t="s">
        <v>155</v>
      </c>
      <c r="C44" s="50">
        <v>3</v>
      </c>
      <c r="D44" s="50" t="s">
        <v>156</v>
      </c>
      <c r="E44" s="47" t="s">
        <v>183</v>
      </c>
      <c r="F44" s="47" t="s">
        <v>200</v>
      </c>
      <c r="G44" s="51" t="str">
        <f t="shared" si="56"/>
        <v>[effect:freq_turn, target:myself, turn:3, val:1, animation:enemy_freq_turn]</v>
      </c>
      <c r="H44" s="51">
        <f t="shared" si="57"/>
        <v>9</v>
      </c>
      <c r="I44" s="51">
        <f t="shared" si="58"/>
        <v>18</v>
      </c>
      <c r="J44" s="51">
        <f t="shared" si="59"/>
        <v>27</v>
      </c>
      <c r="K44" s="51">
        <f t="shared" si="60"/>
        <v>33</v>
      </c>
      <c r="L44" s="51" t="str">
        <f>IFERROR(VLOOKUP(MID(G44,J44,K44-J44),[5]skilldef!$C:$D,2,FALSE),"-") &amp; " / " &amp; IFERROR(VLOOKUP(MID(G44,H44,I44-H44),[5]skilldef!$A:$B,2,FALSE),"-")</f>
        <v>自分自身に / 攻撃頻度がUP</v>
      </c>
      <c r="M44" s="51" t="str">
        <f t="shared" si="39"/>
        <v>none</v>
      </c>
      <c r="N44" s="47" t="str">
        <f t="shared" si="54"/>
        <v>none</v>
      </c>
      <c r="O44" s="51" t="e">
        <f t="shared" si="41"/>
        <v>#VALUE!</v>
      </c>
      <c r="P44" s="51">
        <f t="shared" si="42"/>
        <v>4</v>
      </c>
      <c r="Q44" s="51" t="e">
        <f t="shared" si="43"/>
        <v>#VALUE!</v>
      </c>
      <c r="R44" s="51" t="e">
        <f t="shared" si="44"/>
        <v>#VALUE!</v>
      </c>
      <c r="S44" s="51" t="str">
        <f>IFERROR(VLOOKUP(MID(N44,Q44,R44-Q44),[5]skilldef!$C:$D,2,FALSE),"-") &amp; " / " &amp; IFERROR(VLOOKUP(MID(N44,O44,P44-O44),[5]skilldef!$A:$B,2,FALSE),"-")</f>
        <v>- / -</v>
      </c>
      <c r="T44" s="47" t="str">
        <f t="shared" si="45"/>
        <v>none</v>
      </c>
      <c r="U44" s="51" t="e">
        <f t="shared" si="46"/>
        <v>#VALUE!</v>
      </c>
      <c r="V44" s="51">
        <f t="shared" si="47"/>
        <v>4</v>
      </c>
      <c r="W44" s="51" t="e">
        <f t="shared" si="48"/>
        <v>#VALUE!</v>
      </c>
      <c r="X44" s="51" t="e">
        <f t="shared" si="49"/>
        <v>#VALUE!</v>
      </c>
      <c r="Y44" s="51" t="str">
        <f>IFERROR(VLOOKUP(MID(T44,W44,X44-W44),[5]skilldef!$C:$D,2,FALSE),"-") &amp; " / " &amp; IFERROR(VLOOKUP(MID(T44,U44,V44-U44),[5]skilldef!$A:$B,2,FALSE),"-")</f>
        <v>- / -</v>
      </c>
      <c r="Z44" s="50"/>
      <c r="AA44" s="52"/>
      <c r="AB44" s="50"/>
    </row>
    <row r="45" spans="1:28" ht="21" customHeight="1" x14ac:dyDescent="0.15">
      <c r="A45" s="62">
        <v>50001044</v>
      </c>
      <c r="B45" s="47" t="s">
        <v>213</v>
      </c>
      <c r="C45" s="50">
        <v>3</v>
      </c>
      <c r="D45" s="50" t="s">
        <v>126</v>
      </c>
      <c r="E45" s="47" t="s">
        <v>181</v>
      </c>
      <c r="F45" s="47" t="s">
        <v>208</v>
      </c>
      <c r="G45" s="51" t="str">
        <f t="shared" si="56"/>
        <v>[effect:degrade_unit, target:unit_one, turn:-1, status:attack, val:1.0, calc:mul]</v>
      </c>
      <c r="H45" s="51">
        <f t="shared" si="57"/>
        <v>9</v>
      </c>
      <c r="I45" s="51">
        <f t="shared" si="58"/>
        <v>21</v>
      </c>
      <c r="J45" s="51">
        <f t="shared" si="59"/>
        <v>30</v>
      </c>
      <c r="K45" s="51">
        <f t="shared" si="60"/>
        <v>38</v>
      </c>
      <c r="L45" s="51" t="str">
        <f>IFERROR(VLOOKUP(MID(G45,J45,K45-J45),[5]skilldef!$C:$D,2,FALSE),"-") &amp; " / " &amp; IFERROR(VLOOKUP(MID(G45,H45,I45-H45),[5]skilldef!$A:$B,2,FALSE),"-")</f>
        <v>味方単体に / ステータスDOWN</v>
      </c>
      <c r="M45" s="51" t="str">
        <f t="shared" si="39"/>
        <v>[effect:critical, val:1.6, animation:enemy_critical]</v>
      </c>
      <c r="N45" s="47" t="str">
        <f t="shared" si="54"/>
        <v>[effect:critical, val:1.6, animation:enemy_critical]</v>
      </c>
      <c r="O45" s="51">
        <f t="shared" si="41"/>
        <v>9</v>
      </c>
      <c r="P45" s="51">
        <f t="shared" si="42"/>
        <v>17</v>
      </c>
      <c r="Q45" s="51" t="e">
        <f t="shared" si="43"/>
        <v>#VALUE!</v>
      </c>
      <c r="R45" s="51">
        <f t="shared" si="44"/>
        <v>26</v>
      </c>
      <c r="S45" s="51" t="str">
        <f>IFERROR(VLOOKUP(MID(N45,Q45,R45-Q45),[5]skilldef!$C:$D,2,FALSE),"-") &amp; " / " &amp; IFERROR(VLOOKUP(MID(N45,O45,P45-O45),[5]skilldef!$A:$B,2,FALSE),"-")</f>
        <v>- / 大攻撃</v>
      </c>
      <c r="T45" s="47" t="str">
        <f t="shared" si="45"/>
        <v>none</v>
      </c>
      <c r="U45" s="51" t="e">
        <f t="shared" si="46"/>
        <v>#VALUE!</v>
      </c>
      <c r="V45" s="51">
        <f t="shared" si="47"/>
        <v>4</v>
      </c>
      <c r="W45" s="51" t="e">
        <f t="shared" si="48"/>
        <v>#VALUE!</v>
      </c>
      <c r="X45" s="51" t="e">
        <f t="shared" si="49"/>
        <v>#VALUE!</v>
      </c>
      <c r="Y45" s="51" t="str">
        <f>IFERROR(VLOOKUP(MID(T45,W45,X45-W45),[5]skilldef!$C:$D,2,FALSE),"-") &amp; " / " &amp; IFERROR(VLOOKUP(MID(T45,U45,V45-U45),[5]skilldef!$A:$B,2,FALSE),"-")</f>
        <v>- / -</v>
      </c>
      <c r="Z45" s="50"/>
      <c r="AA45" s="52"/>
      <c r="AB45" s="50"/>
    </row>
    <row r="46" spans="1:28" ht="21" customHeight="1" x14ac:dyDescent="0.15">
      <c r="A46" s="62">
        <v>50001045</v>
      </c>
      <c r="B46" s="47" t="s">
        <v>293</v>
      </c>
      <c r="C46" s="50">
        <v>3</v>
      </c>
      <c r="D46" s="50" t="s">
        <v>126</v>
      </c>
      <c r="E46" s="73" t="s">
        <v>263</v>
      </c>
      <c r="F46" s="66" t="s">
        <v>271</v>
      </c>
      <c r="G46" s="51" t="str">
        <f t="shared" si="56"/>
        <v>[effect:tolerance,target:myself, turn:-1, tolerance_effect:all, count:-1]</v>
      </c>
      <c r="H46" s="51">
        <f t="shared" si="57"/>
        <v>9</v>
      </c>
      <c r="I46" s="51">
        <f t="shared" si="58"/>
        <v>18</v>
      </c>
      <c r="J46" s="51">
        <f t="shared" si="59"/>
        <v>26</v>
      </c>
      <c r="K46" s="51">
        <f t="shared" si="60"/>
        <v>32</v>
      </c>
      <c r="L46" s="51" t="str">
        <f>IFERROR(VLOOKUP(MID(G46,J46,K46-J46),[5]skilldef!$C:$D,2,FALSE),"-") &amp; " / " &amp; IFERROR(VLOOKUP(MID(G46,H46,I46-H46),[5]skilldef!$A:$B,2,FALSE),"-")</f>
        <v>自分自身に / 状態異常耐性</v>
      </c>
      <c r="M46" s="51" t="str">
        <f t="shared" si="39"/>
        <v>[effect:fix_speed,target:myself,turn:1],[effect:degrade_fever, val:1000.0, animation:fevergage_down],[effect:enhance_fever, val:0.0]</v>
      </c>
      <c r="N46" s="47" t="str">
        <f t="shared" si="54"/>
        <v>[effect:fix_speed,target:myself,turn:1]</v>
      </c>
      <c r="O46" s="51">
        <f t="shared" si="41"/>
        <v>9</v>
      </c>
      <c r="P46" s="51">
        <f t="shared" si="42"/>
        <v>18</v>
      </c>
      <c r="Q46" s="51">
        <f t="shared" si="43"/>
        <v>26</v>
      </c>
      <c r="R46" s="51">
        <f t="shared" si="44"/>
        <v>32</v>
      </c>
      <c r="S46" s="51" t="str">
        <f>IFERROR(VLOOKUP(MID(N46,Q46,R46-Q46),[5]skilldef!$C:$D,2,FALSE),"-") &amp; " / " &amp; IFERROR(VLOOKUP(MID(N46,O46,P46-O46),[5]skilldef!$A:$B,2,FALSE),"-")</f>
        <v>自分自身に / 行動値設定</v>
      </c>
      <c r="T46" s="47" t="str">
        <f t="shared" si="45"/>
        <v>[effect:degrade_fever, val:1000.0, animation:fevergage_down],[effect:enhance_fever, val:0.0]</v>
      </c>
      <c r="U46" s="51">
        <f t="shared" si="46"/>
        <v>9</v>
      </c>
      <c r="V46" s="51">
        <f t="shared" si="47"/>
        <v>22</v>
      </c>
      <c r="W46" s="51" t="e">
        <f t="shared" si="48"/>
        <v>#VALUE!</v>
      </c>
      <c r="X46" s="51">
        <f t="shared" si="49"/>
        <v>34</v>
      </c>
      <c r="Y46" s="51" t="str">
        <f>IFERROR(VLOOKUP(MID(T46,W46,X46-W46),[5]skilldef!$C:$D,2,FALSE),"-") &amp; " / " &amp; IFERROR(VLOOKUP(MID(T46,U46,V46-U46),[5]skilldef!$A:$B,2,FALSE),"-")</f>
        <v>- / フィーバーゲージ減少</v>
      </c>
      <c r="Z46" s="50"/>
      <c r="AA46" s="52"/>
      <c r="AB46" s="50"/>
    </row>
    <row r="47" spans="1:28" ht="21" customHeight="1" x14ac:dyDescent="0.15">
      <c r="A47" s="62">
        <v>50001046</v>
      </c>
      <c r="B47" s="47" t="s">
        <v>270</v>
      </c>
      <c r="C47" s="50">
        <v>3</v>
      </c>
      <c r="D47" s="50" t="s">
        <v>126</v>
      </c>
      <c r="E47" s="47" t="s">
        <v>260</v>
      </c>
      <c r="F47" s="66" t="s">
        <v>267</v>
      </c>
      <c r="G47" s="51" t="str">
        <f t="shared" si="56"/>
        <v>[effect:nothing]</v>
      </c>
      <c r="H47" s="51">
        <f t="shared" si="57"/>
        <v>9</v>
      </c>
      <c r="I47" s="51">
        <f t="shared" si="58"/>
        <v>16</v>
      </c>
      <c r="J47" s="51" t="e">
        <f t="shared" si="59"/>
        <v>#VALUE!</v>
      </c>
      <c r="K47" s="51" t="e">
        <f t="shared" si="60"/>
        <v>#VALUE!</v>
      </c>
      <c r="L47" s="51" t="str">
        <f>IFERROR(VLOOKUP(MID(G47,J47,K47-J47),[5]skilldef!$C:$D,2,FALSE),"-") &amp; " / " &amp; IFERROR(VLOOKUP(MID(G47,H47,I47-H47),[5]skilldef!$A:$B,2,FALSE),"-")</f>
        <v>- / 何もしない</v>
      </c>
      <c r="M47" s="51" t="str">
        <f t="shared" si="39"/>
        <v>none</v>
      </c>
      <c r="N47" s="47" t="str">
        <f t="shared" si="54"/>
        <v>none</v>
      </c>
      <c r="O47" s="51" t="e">
        <f t="shared" si="41"/>
        <v>#VALUE!</v>
      </c>
      <c r="P47" s="51">
        <f t="shared" si="42"/>
        <v>4</v>
      </c>
      <c r="Q47" s="51" t="e">
        <f t="shared" si="43"/>
        <v>#VALUE!</v>
      </c>
      <c r="R47" s="51" t="e">
        <f t="shared" si="44"/>
        <v>#VALUE!</v>
      </c>
      <c r="S47" s="51" t="str">
        <f>IFERROR(VLOOKUP(MID(N47,Q47,R47-Q47),[5]skilldef!$C:$D,2,FALSE),"-") &amp; " / " &amp; IFERROR(VLOOKUP(MID(N47,O47,P47-O47),[5]skilldef!$A:$B,2,FALSE),"-")</f>
        <v>- / -</v>
      </c>
      <c r="T47" s="47" t="str">
        <f t="shared" si="45"/>
        <v>none</v>
      </c>
      <c r="U47" s="51" t="e">
        <f t="shared" si="46"/>
        <v>#VALUE!</v>
      </c>
      <c r="V47" s="51">
        <f t="shared" si="47"/>
        <v>4</v>
      </c>
      <c r="W47" s="51" t="e">
        <f t="shared" si="48"/>
        <v>#VALUE!</v>
      </c>
      <c r="X47" s="51" t="e">
        <f t="shared" si="49"/>
        <v>#VALUE!</v>
      </c>
      <c r="Y47" s="51" t="str">
        <f>IFERROR(VLOOKUP(MID(T47,W47,X47-W47),[5]skilldef!$C:$D,2,FALSE),"-") &amp; " / " &amp; IFERROR(VLOOKUP(MID(T47,U47,V47-U47),[5]skilldef!$A:$B,2,FALSE),"-")</f>
        <v>- / -</v>
      </c>
      <c r="Z47" s="50"/>
      <c r="AA47" s="52"/>
      <c r="AB47" s="50"/>
    </row>
    <row r="48" spans="1:28" ht="21" customHeight="1" x14ac:dyDescent="0.15">
      <c r="A48" s="62">
        <v>50001047</v>
      </c>
      <c r="B48" s="47" t="s">
        <v>268</v>
      </c>
      <c r="C48" s="50">
        <v>3</v>
      </c>
      <c r="D48" s="50" t="s">
        <v>126</v>
      </c>
      <c r="E48" s="47" t="s">
        <v>211</v>
      </c>
      <c r="F48" s="47" t="s">
        <v>154</v>
      </c>
      <c r="G48" s="51" t="str">
        <f t="shared" si="56"/>
        <v>[effect:spread, val:0.35, animation:enemy_spread]</v>
      </c>
      <c r="H48" s="51">
        <f t="shared" si="57"/>
        <v>9</v>
      </c>
      <c r="I48" s="51">
        <f t="shared" si="58"/>
        <v>15</v>
      </c>
      <c r="J48" s="51" t="e">
        <f t="shared" si="59"/>
        <v>#VALUE!</v>
      </c>
      <c r="K48" s="51">
        <f t="shared" si="60"/>
        <v>25</v>
      </c>
      <c r="L48" s="51" t="str">
        <f>IFERROR(VLOOKUP(MID(G48,J48,K48-J48),[5]skilldef!$C:$D,2,FALSE),"-") &amp; " / " &amp; IFERROR(VLOOKUP(MID(G48,H48,I48-H48),[5]skilldef!$A:$B,2,FALSE),"-")</f>
        <v>- / 全体攻撃</v>
      </c>
      <c r="M48" s="51" t="str">
        <f t="shared" si="39"/>
        <v>none</v>
      </c>
      <c r="N48" s="47" t="str">
        <f t="shared" si="54"/>
        <v>none</v>
      </c>
      <c r="O48" s="51" t="e">
        <f t="shared" si="41"/>
        <v>#VALUE!</v>
      </c>
      <c r="P48" s="51">
        <f t="shared" si="42"/>
        <v>4</v>
      </c>
      <c r="Q48" s="51" t="e">
        <f t="shared" si="43"/>
        <v>#VALUE!</v>
      </c>
      <c r="R48" s="51" t="e">
        <f t="shared" si="44"/>
        <v>#VALUE!</v>
      </c>
      <c r="S48" s="51" t="str">
        <f>IFERROR(VLOOKUP(MID(N48,Q48,R48-Q48),[5]skilldef!$C:$D,2,FALSE),"-") &amp; " / " &amp; IFERROR(VLOOKUP(MID(N48,O48,P48-O48),[5]skilldef!$A:$B,2,FALSE),"-")</f>
        <v>- / -</v>
      </c>
      <c r="T48" s="47" t="str">
        <f t="shared" si="45"/>
        <v>none</v>
      </c>
      <c r="U48" s="51" t="e">
        <f t="shared" si="46"/>
        <v>#VALUE!</v>
      </c>
      <c r="V48" s="51">
        <f t="shared" si="47"/>
        <v>4</v>
      </c>
      <c r="W48" s="51" t="e">
        <f t="shared" si="48"/>
        <v>#VALUE!</v>
      </c>
      <c r="X48" s="51" t="e">
        <f t="shared" si="49"/>
        <v>#VALUE!</v>
      </c>
      <c r="Y48" s="51" t="str">
        <f>IFERROR(VLOOKUP(MID(T48,W48,X48-W48),[5]skilldef!$C:$D,2,FALSE),"-") &amp; " / " &amp; IFERROR(VLOOKUP(MID(T48,U48,V48-U48),[5]skilldef!$A:$B,2,FALSE),"-")</f>
        <v>- / -</v>
      </c>
      <c r="Z48" s="50"/>
      <c r="AA48" s="52"/>
      <c r="AB48" s="50"/>
    </row>
    <row r="49" spans="1:28" ht="21" customHeight="1" x14ac:dyDescent="0.15">
      <c r="A49" s="62">
        <v>50001048</v>
      </c>
      <c r="B49" s="47" t="s">
        <v>292</v>
      </c>
      <c r="C49" s="50">
        <v>3</v>
      </c>
      <c r="D49" s="50" t="s">
        <v>126</v>
      </c>
      <c r="E49" s="47" t="s">
        <v>191</v>
      </c>
      <c r="F49" s="47" t="s">
        <v>272</v>
      </c>
      <c r="G49" s="51" t="str">
        <f t="shared" si="56"/>
        <v>[effect:degrade_unit, target:unit_all, turn:4, status:action, val:2 ,animation:enemy_tap_down]</v>
      </c>
      <c r="H49" s="51">
        <f t="shared" si="57"/>
        <v>9</v>
      </c>
      <c r="I49" s="51">
        <f t="shared" si="58"/>
        <v>21</v>
      </c>
      <c r="J49" s="51">
        <f t="shared" si="59"/>
        <v>30</v>
      </c>
      <c r="K49" s="51">
        <f t="shared" si="60"/>
        <v>38</v>
      </c>
      <c r="L49" s="51" t="str">
        <f>IFERROR(VLOOKUP(MID(G49,J49,K49-J49),[5]skilldef!$C:$D,2,FALSE),"-") &amp; " / " &amp; IFERROR(VLOOKUP(MID(G49,H49,I49-H49),[5]skilldef!$A:$B,2,FALSE),"-")</f>
        <v>味方全体に / ステータスDOWN</v>
      </c>
      <c r="M49" s="51" t="str">
        <f t="shared" si="39"/>
        <v>none</v>
      </c>
      <c r="N49" s="47" t="str">
        <f t="shared" si="54"/>
        <v>none</v>
      </c>
      <c r="O49" s="51" t="e">
        <f t="shared" si="41"/>
        <v>#VALUE!</v>
      </c>
      <c r="P49" s="51">
        <f t="shared" si="42"/>
        <v>4</v>
      </c>
      <c r="Q49" s="51" t="e">
        <f t="shared" si="43"/>
        <v>#VALUE!</v>
      </c>
      <c r="R49" s="51" t="e">
        <f t="shared" si="44"/>
        <v>#VALUE!</v>
      </c>
      <c r="S49" s="51" t="str">
        <f>IFERROR(VLOOKUP(MID(N49,Q49,R49-Q49),[5]skilldef!$C:$D,2,FALSE),"-") &amp; " / " &amp; IFERROR(VLOOKUP(MID(N49,O49,P49-O49),[5]skilldef!$A:$B,2,FALSE),"-")</f>
        <v>- / -</v>
      </c>
      <c r="T49" s="47" t="str">
        <f t="shared" si="45"/>
        <v>none</v>
      </c>
      <c r="U49" s="51" t="e">
        <f t="shared" si="46"/>
        <v>#VALUE!</v>
      </c>
      <c r="V49" s="51">
        <f t="shared" si="47"/>
        <v>4</v>
      </c>
      <c r="W49" s="51" t="e">
        <f t="shared" si="48"/>
        <v>#VALUE!</v>
      </c>
      <c r="X49" s="51" t="e">
        <f t="shared" si="49"/>
        <v>#VALUE!</v>
      </c>
      <c r="Y49" s="51" t="str">
        <f>IFERROR(VLOOKUP(MID(T49,W49,X49-W49),[5]skilldef!$C:$D,2,FALSE),"-") &amp; " / " &amp; IFERROR(VLOOKUP(MID(T49,U49,V49-U49),[5]skilldef!$A:$B,2,FALSE),"-")</f>
        <v>- / -</v>
      </c>
      <c r="Z49" s="50"/>
      <c r="AA49" s="52"/>
      <c r="AB49" s="50"/>
    </row>
    <row r="50" spans="1:28" ht="21" customHeight="1" x14ac:dyDescent="0.15">
      <c r="A50" s="62">
        <v>50001049</v>
      </c>
      <c r="B50" s="47" t="s">
        <v>299</v>
      </c>
      <c r="C50" s="50">
        <v>3</v>
      </c>
      <c r="D50" s="50" t="s">
        <v>126</v>
      </c>
      <c r="E50" s="47" t="s">
        <v>182</v>
      </c>
      <c r="F50" s="47" t="s">
        <v>209</v>
      </c>
      <c r="G50" s="51" t="str">
        <f t="shared" si="56"/>
        <v>[effect:force_change_block, new_block:jammer, target:block_all, ignore01:crash, ignore02:jammer, ignore03:color_break, ignore04:magnet, count:10, val:0, animation:change_block]</v>
      </c>
      <c r="H50" s="51">
        <f t="shared" si="57"/>
        <v>9</v>
      </c>
      <c r="I50" s="51">
        <f t="shared" si="58"/>
        <v>27</v>
      </c>
      <c r="J50" s="51">
        <f t="shared" si="59"/>
        <v>54</v>
      </c>
      <c r="K50" s="51">
        <f t="shared" si="60"/>
        <v>45</v>
      </c>
      <c r="L50" s="51" t="str">
        <f>IFERROR(VLOOKUP(MID(G50,J50,K50-J50),[5]skilldef!$C:$D,2,FALSE),"-") &amp; " / " &amp; IFERROR(VLOOKUP(MID(G50,H50,I50-H50),[5]skilldef!$A:$B,2,FALSE),"-")</f>
        <v>- / -</v>
      </c>
      <c r="M50" s="51" t="str">
        <f t="shared" si="39"/>
        <v>[effect:spread, val:0.3, animation:enemy_spread]</v>
      </c>
      <c r="N50" s="47" t="str">
        <f t="shared" si="54"/>
        <v>[effect:spread, val:0.3, animation:enemy_spread]</v>
      </c>
      <c r="O50" s="51">
        <f t="shared" si="41"/>
        <v>9</v>
      </c>
      <c r="P50" s="51">
        <f t="shared" si="42"/>
        <v>15</v>
      </c>
      <c r="Q50" s="51" t="e">
        <f t="shared" si="43"/>
        <v>#VALUE!</v>
      </c>
      <c r="R50" s="51">
        <f t="shared" si="44"/>
        <v>24</v>
      </c>
      <c r="S50" s="51" t="str">
        <f>IFERROR(VLOOKUP(MID(N50,Q50,R50-Q50),[5]skilldef!$C:$D,2,FALSE),"-") &amp; " / " &amp; IFERROR(VLOOKUP(MID(N50,O50,P50-O50),[5]skilldef!$A:$B,2,FALSE),"-")</f>
        <v>- / 全体攻撃</v>
      </c>
      <c r="T50" s="47" t="str">
        <f t="shared" si="45"/>
        <v>none</v>
      </c>
      <c r="U50" s="51" t="e">
        <f t="shared" si="46"/>
        <v>#VALUE!</v>
      </c>
      <c r="V50" s="51">
        <f t="shared" si="47"/>
        <v>4</v>
      </c>
      <c r="W50" s="51" t="e">
        <f t="shared" si="48"/>
        <v>#VALUE!</v>
      </c>
      <c r="X50" s="51" t="e">
        <f t="shared" si="49"/>
        <v>#VALUE!</v>
      </c>
      <c r="Y50" s="51" t="str">
        <f>IFERROR(VLOOKUP(MID(T50,W50,X50-W50),[5]skilldef!$C:$D,2,FALSE),"-") &amp; " / " &amp; IFERROR(VLOOKUP(MID(T50,U50,V50-U50),[5]skilldef!$A:$B,2,FALSE),"-")</f>
        <v>- / -</v>
      </c>
      <c r="Z50" s="50"/>
      <c r="AA50" s="52"/>
      <c r="AB50" s="50"/>
    </row>
    <row r="51" spans="1:28" ht="21" customHeight="1" x14ac:dyDescent="0.15">
      <c r="A51" s="62">
        <v>50001050</v>
      </c>
      <c r="B51" s="47" t="s">
        <v>218</v>
      </c>
      <c r="C51" s="50">
        <v>3</v>
      </c>
      <c r="D51" s="50" t="s">
        <v>126</v>
      </c>
      <c r="E51" s="47" t="s">
        <v>181</v>
      </c>
      <c r="F51" s="47" t="s">
        <v>208</v>
      </c>
      <c r="G51" s="51" t="str">
        <f t="shared" si="56"/>
        <v>[effect:degrade_unit, target:unit_one, turn:-1, status:attack, val:1.0, calc:mul]</v>
      </c>
      <c r="H51" s="51">
        <f t="shared" si="57"/>
        <v>9</v>
      </c>
      <c r="I51" s="51">
        <f t="shared" si="58"/>
        <v>21</v>
      </c>
      <c r="J51" s="51">
        <f t="shared" si="59"/>
        <v>30</v>
      </c>
      <c r="K51" s="51">
        <f t="shared" si="60"/>
        <v>38</v>
      </c>
      <c r="L51" s="51" t="str">
        <f>IFERROR(VLOOKUP(MID(G51,J51,K51-J51),[5]skilldef!$C:$D,2,FALSE),"-") &amp; " / " &amp; IFERROR(VLOOKUP(MID(G51,H51,I51-H51),[5]skilldef!$A:$B,2,FALSE),"-")</f>
        <v>味方単体に / ステータスDOWN</v>
      </c>
      <c r="M51" s="51" t="str">
        <f t="shared" si="39"/>
        <v>[effect:critical, val:1.2, animation:enemy_critical]</v>
      </c>
      <c r="N51" s="47" t="str">
        <f t="shared" si="54"/>
        <v>[effect:critical, val:1.2, animation:enemy_critical]</v>
      </c>
      <c r="O51" s="51">
        <f t="shared" si="41"/>
        <v>9</v>
      </c>
      <c r="P51" s="51">
        <f t="shared" si="42"/>
        <v>17</v>
      </c>
      <c r="Q51" s="51" t="e">
        <f t="shared" si="43"/>
        <v>#VALUE!</v>
      </c>
      <c r="R51" s="51">
        <f t="shared" si="44"/>
        <v>26</v>
      </c>
      <c r="S51" s="51" t="str">
        <f>IFERROR(VLOOKUP(MID(N51,Q51,R51-Q51),[5]skilldef!$C:$D,2,FALSE),"-") &amp; " / " &amp; IFERROR(VLOOKUP(MID(N51,O51,P51-O51),[5]skilldef!$A:$B,2,FALSE),"-")</f>
        <v>- / 大攻撃</v>
      </c>
      <c r="T51" s="47" t="str">
        <f t="shared" si="45"/>
        <v>none</v>
      </c>
      <c r="U51" s="51" t="e">
        <f t="shared" si="46"/>
        <v>#VALUE!</v>
      </c>
      <c r="V51" s="51">
        <f t="shared" si="47"/>
        <v>4</v>
      </c>
      <c r="W51" s="51" t="e">
        <f t="shared" si="48"/>
        <v>#VALUE!</v>
      </c>
      <c r="X51" s="51" t="e">
        <f t="shared" si="49"/>
        <v>#VALUE!</v>
      </c>
      <c r="Y51" s="51" t="str">
        <f>IFERROR(VLOOKUP(MID(T51,W51,X51-W51),[5]skilldef!$C:$D,2,FALSE),"-") &amp; " / " &amp; IFERROR(VLOOKUP(MID(T51,U51,V51-U51),[5]skilldef!$A:$B,2,FALSE),"-")</f>
        <v>- / -</v>
      </c>
      <c r="Z51" s="50"/>
      <c r="AA51" s="52"/>
      <c r="AB51" s="50"/>
    </row>
    <row r="52" spans="1:28" ht="21" customHeight="1" x14ac:dyDescent="0.15">
      <c r="A52" s="62">
        <v>50001051</v>
      </c>
      <c r="B52" s="47" t="s">
        <v>264</v>
      </c>
      <c r="C52" s="50">
        <v>3</v>
      </c>
      <c r="D52" s="50" t="s">
        <v>126</v>
      </c>
      <c r="E52" s="47" t="s">
        <v>219</v>
      </c>
      <c r="F52" s="47" t="s">
        <v>220</v>
      </c>
      <c r="G52" s="51" t="str">
        <f t="shared" si="56"/>
        <v>[effect:damage_anti_tribe, target:unit_all, tribe:dragon, val1:2.5, val2:0.2]</v>
      </c>
      <c r="H52" s="51">
        <f t="shared" si="57"/>
        <v>9</v>
      </c>
      <c r="I52" s="51">
        <f t="shared" si="58"/>
        <v>26</v>
      </c>
      <c r="J52" s="51">
        <f t="shared" si="59"/>
        <v>35</v>
      </c>
      <c r="K52" s="51">
        <f t="shared" si="60"/>
        <v>43</v>
      </c>
      <c r="L52" s="51" t="str">
        <f>IFERROR(VLOOKUP(MID(G52,J52,K52-J52),[5]skilldef!$C:$D,2,FALSE),"-") &amp; " / " &amp; IFERROR(VLOOKUP(MID(G52,H52,I52-H52),[5]skilldef!$A:$B,2,FALSE),"-")</f>
        <v>味方全体に / 種族キラー</v>
      </c>
      <c r="M52" s="51" t="str">
        <f t="shared" si="39"/>
        <v>none</v>
      </c>
      <c r="N52" s="47" t="str">
        <f t="shared" si="54"/>
        <v>none</v>
      </c>
      <c r="O52" s="51" t="e">
        <f t="shared" ref="O52" si="61">FIND("effect:",N52)+7</f>
        <v>#VALUE!</v>
      </c>
      <c r="P52" s="51">
        <f t="shared" ref="P52" si="62">IFERROR(FIND(",",N52),LEN(N52))</f>
        <v>4</v>
      </c>
      <c r="Q52" s="51" t="e">
        <f t="shared" ref="Q52" si="63">FIND("target:",N52)+7</f>
        <v>#VALUE!</v>
      </c>
      <c r="R52" s="51" t="e">
        <f t="shared" ref="R52" si="64">FIND(",",N52,P52+1)</f>
        <v>#VALUE!</v>
      </c>
      <c r="S52" s="51" t="str">
        <f>IFERROR(VLOOKUP(MID(N52,Q52,R52-Q52),[5]skilldef!$C:$D,2,FALSE),"-") &amp; " / " &amp; IFERROR(VLOOKUP(MID(N52,O52,P52-O52),[5]skilldef!$A:$B,2,FALSE),"-")</f>
        <v>- / -</v>
      </c>
      <c r="T52" s="47" t="str">
        <f t="shared" ref="T52" si="65">IFERROR(RIGHT(M52,LEN(M52)-FIND("],",M52)-1),"none")</f>
        <v>none</v>
      </c>
      <c r="U52" s="51" t="e">
        <f t="shared" ref="U52" si="66">FIND("effect:",T52)+7</f>
        <v>#VALUE!</v>
      </c>
      <c r="V52" s="51">
        <f t="shared" ref="V52" si="67">IFERROR(FIND(",",T52),LEN(T52))</f>
        <v>4</v>
      </c>
      <c r="W52" s="51" t="e">
        <f t="shared" ref="W52" si="68">FIND("target:",T52)+7</f>
        <v>#VALUE!</v>
      </c>
      <c r="X52" s="51" t="e">
        <f t="shared" ref="X52" si="69">FIND(",",T52,V52+1)</f>
        <v>#VALUE!</v>
      </c>
      <c r="Y52" s="51" t="str">
        <f>IFERROR(VLOOKUP(MID(T52,W52,X52-W52),[5]skilldef!$C:$D,2,FALSE),"-") &amp; " / " &amp; IFERROR(VLOOKUP(MID(T52,U52,V52-U52),[5]skilldef!$A:$B,2,FALSE),"-")</f>
        <v>- / -</v>
      </c>
      <c r="Z52" s="50"/>
      <c r="AA52" s="52"/>
      <c r="AB52" s="50"/>
    </row>
    <row r="53" spans="1:28" ht="21" customHeight="1" x14ac:dyDescent="0.15">
      <c r="A53" s="62">
        <v>50001052</v>
      </c>
      <c r="B53" s="47" t="s">
        <v>269</v>
      </c>
      <c r="C53" s="50">
        <v>3</v>
      </c>
      <c r="D53" s="50" t="s">
        <v>126</v>
      </c>
      <c r="E53" s="75" t="s">
        <v>245</v>
      </c>
      <c r="F53" s="47" t="s">
        <v>224</v>
      </c>
      <c r="G53" s="51" t="str">
        <f t="shared" ref="G53:G56" si="70">IFERROR(LEFT(B53,FIND("],",B53)),B53)</f>
        <v>[effect:fix_speed,target:myself,turn:2]</v>
      </c>
      <c r="H53" s="51">
        <f t="shared" ref="H53:H56" si="71">FIND("effect:",G53)+7</f>
        <v>9</v>
      </c>
      <c r="I53" s="51">
        <f t="shared" ref="I53:I56" si="72">IFERROR(FIND(",",G53),LEN(G53))</f>
        <v>18</v>
      </c>
      <c r="J53" s="51">
        <f t="shared" ref="J53:J56" si="73">FIND("target:",G53)+7</f>
        <v>26</v>
      </c>
      <c r="K53" s="51">
        <f t="shared" ref="K53:K56" si="74">FIND(",",G53,I53+1)</f>
        <v>32</v>
      </c>
      <c r="L53" s="51" t="str">
        <f>IFERROR(VLOOKUP(MID(G53,J53,K53-J53),[5]skilldef!$C:$D,2,FALSE),"-") &amp; " / " &amp; IFERROR(VLOOKUP(MID(G53,H53,I53-H53),[5]skilldef!$A:$B,2,FALSE),"-")</f>
        <v>自分自身に / 行動値設定</v>
      </c>
      <c r="M53" s="51" t="str">
        <f t="shared" si="39"/>
        <v>none</v>
      </c>
      <c r="N53" s="47" t="str">
        <f t="shared" si="54"/>
        <v>none</v>
      </c>
      <c r="O53" s="51" t="e">
        <f t="shared" ref="O53:O56" si="75">FIND("effect:",N53)+7</f>
        <v>#VALUE!</v>
      </c>
      <c r="P53" s="51">
        <f t="shared" ref="P53:P56" si="76">IFERROR(FIND(",",N53),LEN(N53))</f>
        <v>4</v>
      </c>
      <c r="Q53" s="51" t="e">
        <f t="shared" ref="Q53:Q56" si="77">FIND("target:",N53)+7</f>
        <v>#VALUE!</v>
      </c>
      <c r="R53" s="51" t="e">
        <f t="shared" ref="R53:R56" si="78">FIND(",",N53,P53+1)</f>
        <v>#VALUE!</v>
      </c>
      <c r="S53" s="51" t="str">
        <f>IFERROR(VLOOKUP(MID(N53,Q53,R53-Q53),[5]skilldef!$C:$D,2,FALSE),"-") &amp; " / " &amp; IFERROR(VLOOKUP(MID(N53,O53,P53-O53),[5]skilldef!$A:$B,2,FALSE),"-")</f>
        <v>- / -</v>
      </c>
      <c r="T53" s="47" t="str">
        <f t="shared" ref="T53:T56" si="79">IFERROR(RIGHT(M53,LEN(M53)-FIND("],",M53)-1),"none")</f>
        <v>none</v>
      </c>
      <c r="U53" s="51" t="e">
        <f t="shared" ref="U53:U56" si="80">FIND("effect:",T53)+7</f>
        <v>#VALUE!</v>
      </c>
      <c r="V53" s="51">
        <f t="shared" ref="V53:V56" si="81">IFERROR(FIND(",",T53),LEN(T53))</f>
        <v>4</v>
      </c>
      <c r="W53" s="51" t="e">
        <f t="shared" ref="W53:W56" si="82">FIND("target:",T53)+7</f>
        <v>#VALUE!</v>
      </c>
      <c r="X53" s="51" t="e">
        <f t="shared" ref="X53:X56" si="83">FIND(",",T53,V53+1)</f>
        <v>#VALUE!</v>
      </c>
      <c r="Y53" s="51" t="str">
        <f>IFERROR(VLOOKUP(MID(T53,W53,X53-W53),[5]skilldef!$C:$D,2,FALSE),"-") &amp; " / " &amp; IFERROR(VLOOKUP(MID(T53,U53,V53-U53),[5]skilldef!$A:$B,2,FALSE),"-")</f>
        <v>- / -</v>
      </c>
      <c r="Z53" s="50"/>
      <c r="AA53" s="52"/>
      <c r="AB53" s="50"/>
    </row>
    <row r="54" spans="1:28" ht="21" customHeight="1" x14ac:dyDescent="0.15">
      <c r="A54" s="62">
        <v>50001053</v>
      </c>
      <c r="B54" s="47" t="s">
        <v>252</v>
      </c>
      <c r="C54" s="50">
        <v>3</v>
      </c>
      <c r="D54" s="50" t="s">
        <v>126</v>
      </c>
      <c r="E54" s="47" t="s">
        <v>211</v>
      </c>
      <c r="F54" s="47" t="s">
        <v>154</v>
      </c>
      <c r="G54" s="51" t="str">
        <f t="shared" si="70"/>
        <v>[effect:spread, val:0.3, animation:enemy_spread]</v>
      </c>
      <c r="H54" s="51">
        <f t="shared" si="71"/>
        <v>9</v>
      </c>
      <c r="I54" s="51">
        <f t="shared" si="72"/>
        <v>15</v>
      </c>
      <c r="J54" s="51" t="e">
        <f t="shared" si="73"/>
        <v>#VALUE!</v>
      </c>
      <c r="K54" s="51">
        <f t="shared" si="74"/>
        <v>24</v>
      </c>
      <c r="L54" s="51" t="str">
        <f>IFERROR(VLOOKUP(MID(G54,J54,K54-J54),[5]skilldef!$C:$D,2,FALSE),"-") &amp; " / " &amp; IFERROR(VLOOKUP(MID(G54,H54,I54-H54),[5]skilldef!$A:$B,2,FALSE),"-")</f>
        <v>- / 全体攻撃</v>
      </c>
      <c r="M54" s="51" t="str">
        <f t="shared" si="39"/>
        <v>[effect:fix_speed,target:myself,turn:2]</v>
      </c>
      <c r="N54" s="47" t="str">
        <f t="shared" si="54"/>
        <v>[effect:fix_speed,target:myself,turn:2]</v>
      </c>
      <c r="O54" s="51">
        <f t="shared" si="75"/>
        <v>9</v>
      </c>
      <c r="P54" s="51">
        <f t="shared" si="76"/>
        <v>18</v>
      </c>
      <c r="Q54" s="51">
        <f t="shared" si="77"/>
        <v>26</v>
      </c>
      <c r="R54" s="51">
        <f t="shared" si="78"/>
        <v>32</v>
      </c>
      <c r="S54" s="51" t="str">
        <f>IFERROR(VLOOKUP(MID(N54,Q54,R54-Q54),[5]skilldef!$C:$D,2,FALSE),"-") &amp; " / " &amp; IFERROR(VLOOKUP(MID(N54,O54,P54-O54),[5]skilldef!$A:$B,2,FALSE),"-")</f>
        <v>自分自身に / 行動値設定</v>
      </c>
      <c r="T54" s="47" t="str">
        <f t="shared" si="79"/>
        <v>none</v>
      </c>
      <c r="U54" s="51" t="e">
        <f t="shared" si="80"/>
        <v>#VALUE!</v>
      </c>
      <c r="V54" s="51">
        <f t="shared" si="81"/>
        <v>4</v>
      </c>
      <c r="W54" s="51" t="e">
        <f t="shared" si="82"/>
        <v>#VALUE!</v>
      </c>
      <c r="X54" s="51" t="e">
        <f t="shared" si="83"/>
        <v>#VALUE!</v>
      </c>
      <c r="Y54" s="51" t="str">
        <f>IFERROR(VLOOKUP(MID(T54,W54,X54-W54),[5]skilldef!$C:$D,2,FALSE),"-") &amp; " / " &amp; IFERROR(VLOOKUP(MID(T54,U54,V54-U54),[5]skilldef!$A:$B,2,FALSE),"-")</f>
        <v>- / -</v>
      </c>
      <c r="Z54" s="50"/>
      <c r="AA54" s="52"/>
      <c r="AB54" s="50"/>
    </row>
    <row r="55" spans="1:28" ht="21" customHeight="1" x14ac:dyDescent="0.15">
      <c r="A55" s="62">
        <v>50001054</v>
      </c>
      <c r="B55" s="47" t="s">
        <v>262</v>
      </c>
      <c r="C55" s="50">
        <v>3</v>
      </c>
      <c r="D55" s="50" t="s">
        <v>126</v>
      </c>
      <c r="E55" s="47" t="s">
        <v>212</v>
      </c>
      <c r="F55" s="66" t="s">
        <v>257</v>
      </c>
      <c r="G55" s="51" t="str">
        <f t="shared" si="70"/>
        <v>[effect:spread, val:15.0, animation:enemy_spread]</v>
      </c>
      <c r="H55" s="51">
        <f t="shared" si="71"/>
        <v>9</v>
      </c>
      <c r="I55" s="51">
        <f t="shared" si="72"/>
        <v>15</v>
      </c>
      <c r="J55" s="51" t="e">
        <f t="shared" si="73"/>
        <v>#VALUE!</v>
      </c>
      <c r="K55" s="51">
        <f t="shared" si="74"/>
        <v>25</v>
      </c>
      <c r="L55" s="51" t="str">
        <f>IFERROR(VLOOKUP(MID(G55,J55,K55-J55),[5]skilldef!$C:$D,2,FALSE),"-") &amp; " / " &amp; IFERROR(VLOOKUP(MID(G55,H55,I55-H55),[5]skilldef!$A:$B,2,FALSE),"-")</f>
        <v>- / 全体攻撃</v>
      </c>
      <c r="M55" s="51" t="str">
        <f t="shared" ref="M55:M56" si="84">IFERROR(RIGHT(B55,LEN(B55)-FIND("],",B55)-1),"none")</f>
        <v>none</v>
      </c>
      <c r="N55" s="47" t="str">
        <f t="shared" si="54"/>
        <v>none</v>
      </c>
      <c r="O55" s="51" t="e">
        <f t="shared" si="75"/>
        <v>#VALUE!</v>
      </c>
      <c r="P55" s="51">
        <f t="shared" si="76"/>
        <v>4</v>
      </c>
      <c r="Q55" s="51" t="e">
        <f t="shared" si="77"/>
        <v>#VALUE!</v>
      </c>
      <c r="R55" s="51" t="e">
        <f t="shared" si="78"/>
        <v>#VALUE!</v>
      </c>
      <c r="S55" s="51" t="str">
        <f>IFERROR(VLOOKUP(MID(N55,Q55,R55-Q55),[5]skilldef!$C:$D,2,FALSE),"-") &amp; " / " &amp; IFERROR(VLOOKUP(MID(N55,O55,P55-O55),[5]skilldef!$A:$B,2,FALSE),"-")</f>
        <v>- / -</v>
      </c>
      <c r="T55" s="47" t="str">
        <f t="shared" si="79"/>
        <v>none</v>
      </c>
      <c r="U55" s="51" t="e">
        <f t="shared" si="80"/>
        <v>#VALUE!</v>
      </c>
      <c r="V55" s="51">
        <f t="shared" si="81"/>
        <v>4</v>
      </c>
      <c r="W55" s="51" t="e">
        <f t="shared" si="82"/>
        <v>#VALUE!</v>
      </c>
      <c r="X55" s="51" t="e">
        <f t="shared" si="83"/>
        <v>#VALUE!</v>
      </c>
      <c r="Y55" s="51" t="str">
        <f>IFERROR(VLOOKUP(MID(T55,W55,X55-W55),[5]skilldef!$C:$D,2,FALSE),"-") &amp; " / " &amp; IFERROR(VLOOKUP(MID(T55,U55,V55-U55),[5]skilldef!$A:$B,2,FALSE),"-")</f>
        <v>- / -</v>
      </c>
      <c r="Z55" s="50"/>
      <c r="AA55" s="52"/>
      <c r="AB55" s="50"/>
    </row>
    <row r="56" spans="1:28" ht="21" customHeight="1" x14ac:dyDescent="0.15">
      <c r="A56" s="62">
        <v>50001055</v>
      </c>
      <c r="B56" s="47" t="s">
        <v>280</v>
      </c>
      <c r="C56" s="50">
        <v>3</v>
      </c>
      <c r="D56" s="50" t="s">
        <v>126</v>
      </c>
      <c r="E56" s="47" t="s">
        <v>210</v>
      </c>
      <c r="F56" s="47" t="s">
        <v>153</v>
      </c>
      <c r="G56" s="51" t="str">
        <f t="shared" si="70"/>
        <v>[effect:rush, count:5, val:0.25]</v>
      </c>
      <c r="H56" s="51">
        <f t="shared" si="71"/>
        <v>9</v>
      </c>
      <c r="I56" s="51">
        <f t="shared" si="72"/>
        <v>13</v>
      </c>
      <c r="J56" s="51" t="e">
        <f t="shared" si="73"/>
        <v>#VALUE!</v>
      </c>
      <c r="K56" s="51">
        <f t="shared" si="74"/>
        <v>22</v>
      </c>
      <c r="L56" s="51" t="str">
        <f>IFERROR(VLOOKUP(MID(G56,J56,K56-J56),[5]skilldef!$C:$D,2,FALSE),"-") &amp; " / " &amp; IFERROR(VLOOKUP(MID(G56,H56,I56-H56),[5]skilldef!$A:$B,2,FALSE),"-")</f>
        <v>- / 連続攻撃</v>
      </c>
      <c r="M56" s="51" t="str">
        <f t="shared" si="84"/>
        <v>none</v>
      </c>
      <c r="N56" s="47" t="str">
        <f t="shared" ref="N56" si="85">IFERROR(LEFT(M56,FIND("],",M56)+S75),M56)</f>
        <v>none</v>
      </c>
      <c r="O56" s="51" t="e">
        <f t="shared" si="75"/>
        <v>#VALUE!</v>
      </c>
      <c r="P56" s="51">
        <f t="shared" si="76"/>
        <v>4</v>
      </c>
      <c r="Q56" s="51" t="e">
        <f t="shared" si="77"/>
        <v>#VALUE!</v>
      </c>
      <c r="R56" s="51" t="e">
        <f t="shared" si="78"/>
        <v>#VALUE!</v>
      </c>
      <c r="S56" s="51" t="str">
        <f>IFERROR(VLOOKUP(MID(N56,Q56,R56-Q56),[5]skilldef!$C:$D,2,FALSE),"-") &amp; " / " &amp; IFERROR(VLOOKUP(MID(N56,O56,P56-O56),[5]skilldef!$A:$B,2,FALSE),"-")</f>
        <v>- / -</v>
      </c>
      <c r="T56" s="47" t="str">
        <f t="shared" si="79"/>
        <v>none</v>
      </c>
      <c r="U56" s="51" t="e">
        <f t="shared" si="80"/>
        <v>#VALUE!</v>
      </c>
      <c r="V56" s="51">
        <f t="shared" si="81"/>
        <v>4</v>
      </c>
      <c r="W56" s="51" t="e">
        <f t="shared" si="82"/>
        <v>#VALUE!</v>
      </c>
      <c r="X56" s="51" t="e">
        <f t="shared" si="83"/>
        <v>#VALUE!</v>
      </c>
      <c r="Y56" s="51" t="str">
        <f>IFERROR(VLOOKUP(MID(T56,W56,X56-W56),[5]skilldef!$C:$D,2,FALSE),"-") &amp; " / " &amp; IFERROR(VLOOKUP(MID(T56,U56,V56-U56),[5]skilldef!$A:$B,2,FALSE),"-")</f>
        <v>- / -</v>
      </c>
      <c r="Z56" s="50"/>
      <c r="AA56" s="52"/>
      <c r="AB56" s="50"/>
    </row>
  </sheetData>
  <autoFilter ref="A1:AB1"/>
  <phoneticPr fontId="3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56"/>
  <sheetViews>
    <sheetView showGridLines="0" workbookViewId="0">
      <pane ySplit="1" topLeftCell="A41" activePane="bottomLeft" state="frozenSplit"/>
      <selection activeCell="E25" sqref="E25"/>
      <selection pane="bottomLeft" activeCell="B56" sqref="B56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3" t="s">
        <v>70</v>
      </c>
      <c r="G1" s="53" t="s">
        <v>71</v>
      </c>
      <c r="H1" s="42" t="s">
        <v>72</v>
      </c>
      <c r="I1" s="42" t="s">
        <v>73</v>
      </c>
      <c r="J1" s="42" t="s">
        <v>74</v>
      </c>
      <c r="K1" s="54" t="s">
        <v>87</v>
      </c>
    </row>
    <row r="2" spans="1:11" ht="21" customHeight="1" x14ac:dyDescent="0.15">
      <c r="A2" s="62">
        <v>50001001</v>
      </c>
      <c r="B2" s="47">
        <v>1</v>
      </c>
      <c r="C2" s="47">
        <v>1</v>
      </c>
      <c r="D2" s="47">
        <v>100</v>
      </c>
      <c r="E2" s="47" t="s">
        <v>131</v>
      </c>
      <c r="F2" s="47" t="s">
        <v>88</v>
      </c>
      <c r="G2" s="47">
        <v>1</v>
      </c>
      <c r="H2" s="47" t="s">
        <v>88</v>
      </c>
      <c r="I2" s="47" t="s">
        <v>88</v>
      </c>
      <c r="J2" s="48">
        <f t="shared" ref="J2" si="0">D2</f>
        <v>100</v>
      </c>
    </row>
    <row r="3" spans="1:11" ht="21" customHeight="1" x14ac:dyDescent="0.15">
      <c r="A3" s="62">
        <v>50001002</v>
      </c>
      <c r="B3" s="47">
        <v>0</v>
      </c>
      <c r="C3" s="47">
        <v>1</v>
      </c>
      <c r="D3" s="47">
        <v>30</v>
      </c>
      <c r="E3" s="47" t="s">
        <v>88</v>
      </c>
      <c r="F3" s="47" t="s">
        <v>88</v>
      </c>
      <c r="G3" s="47" t="s">
        <v>88</v>
      </c>
      <c r="H3" s="47" t="s">
        <v>88</v>
      </c>
      <c r="I3" s="47" t="s">
        <v>88</v>
      </c>
      <c r="J3" s="48">
        <f t="shared" ref="J3:J50" si="1">D3</f>
        <v>30</v>
      </c>
    </row>
    <row r="4" spans="1:11" ht="21" customHeight="1" x14ac:dyDescent="0.15">
      <c r="A4" s="62">
        <v>50001003</v>
      </c>
      <c r="B4" s="47">
        <v>0</v>
      </c>
      <c r="C4" s="47">
        <v>1</v>
      </c>
      <c r="D4" s="47">
        <v>100</v>
      </c>
      <c r="E4" s="47" t="s">
        <v>88</v>
      </c>
      <c r="F4" s="47" t="s">
        <v>88</v>
      </c>
      <c r="G4" s="47">
        <v>1</v>
      </c>
      <c r="H4" s="47" t="s">
        <v>88</v>
      </c>
      <c r="I4" s="47">
        <v>89</v>
      </c>
      <c r="J4" s="48">
        <f t="shared" si="1"/>
        <v>100</v>
      </c>
    </row>
    <row r="5" spans="1:11" ht="21" customHeight="1" x14ac:dyDescent="0.15">
      <c r="A5" s="62">
        <v>50001004</v>
      </c>
      <c r="B5" s="47">
        <v>0</v>
      </c>
      <c r="C5" s="47">
        <v>1</v>
      </c>
      <c r="D5" s="47">
        <v>100</v>
      </c>
      <c r="E5" s="47" t="s">
        <v>231</v>
      </c>
      <c r="F5" s="47" t="s">
        <v>88</v>
      </c>
      <c r="G5" s="47">
        <v>1</v>
      </c>
      <c r="H5" s="47">
        <v>4</v>
      </c>
      <c r="I5" s="47" t="s">
        <v>88</v>
      </c>
      <c r="J5" s="48">
        <f t="shared" si="1"/>
        <v>100</v>
      </c>
    </row>
    <row r="6" spans="1:11" ht="21" customHeight="1" x14ac:dyDescent="0.15">
      <c r="A6" s="62">
        <v>50001005</v>
      </c>
      <c r="B6" s="47">
        <v>1</v>
      </c>
      <c r="C6" s="47">
        <v>1</v>
      </c>
      <c r="D6" s="47">
        <v>100</v>
      </c>
      <c r="E6" s="47" t="s">
        <v>88</v>
      </c>
      <c r="F6" s="47" t="s">
        <v>88</v>
      </c>
      <c r="G6" s="47">
        <v>1</v>
      </c>
      <c r="H6" s="47" t="s">
        <v>88</v>
      </c>
      <c r="I6" s="47" t="s">
        <v>88</v>
      </c>
      <c r="J6" s="48">
        <f t="shared" si="1"/>
        <v>100</v>
      </c>
    </row>
    <row r="7" spans="1:11" ht="21" customHeight="1" x14ac:dyDescent="0.15">
      <c r="A7" s="62">
        <v>50001006</v>
      </c>
      <c r="B7" s="47">
        <v>0</v>
      </c>
      <c r="C7" s="47">
        <v>5</v>
      </c>
      <c r="D7" s="47">
        <v>100</v>
      </c>
      <c r="E7" s="47">
        <v>50</v>
      </c>
      <c r="F7" s="47" t="s">
        <v>88</v>
      </c>
      <c r="G7" s="47">
        <v>1</v>
      </c>
      <c r="H7" s="47" t="s">
        <v>88</v>
      </c>
      <c r="I7" s="47" t="s">
        <v>88</v>
      </c>
      <c r="J7" s="48">
        <f t="shared" si="1"/>
        <v>100</v>
      </c>
    </row>
    <row r="8" spans="1:11" ht="21" customHeight="1" x14ac:dyDescent="0.15">
      <c r="A8" s="62">
        <v>50001007</v>
      </c>
      <c r="B8" s="47">
        <v>0</v>
      </c>
      <c r="C8" s="47">
        <v>1</v>
      </c>
      <c r="D8" s="47">
        <v>100</v>
      </c>
      <c r="E8" s="47">
        <v>100</v>
      </c>
      <c r="F8" s="47">
        <v>76</v>
      </c>
      <c r="G8" s="47" t="s">
        <v>88</v>
      </c>
      <c r="H8" s="47" t="s">
        <v>88</v>
      </c>
      <c r="I8" s="47" t="s">
        <v>88</v>
      </c>
      <c r="J8" s="48">
        <f t="shared" si="1"/>
        <v>100</v>
      </c>
    </row>
    <row r="9" spans="1:11" ht="21" customHeight="1" x14ac:dyDescent="0.15">
      <c r="A9" s="62">
        <v>50001008</v>
      </c>
      <c r="B9" s="47">
        <v>0</v>
      </c>
      <c r="C9" s="47">
        <v>1</v>
      </c>
      <c r="D9" s="47">
        <v>100</v>
      </c>
      <c r="E9" s="47">
        <v>75</v>
      </c>
      <c r="F9" s="47">
        <v>51</v>
      </c>
      <c r="G9" s="47" t="s">
        <v>88</v>
      </c>
      <c r="H9" s="47" t="s">
        <v>88</v>
      </c>
      <c r="I9" s="47" t="s">
        <v>88</v>
      </c>
      <c r="J9" s="48">
        <f t="shared" si="1"/>
        <v>100</v>
      </c>
    </row>
    <row r="10" spans="1:11" ht="21" customHeight="1" x14ac:dyDescent="0.15">
      <c r="A10" s="62">
        <v>50001009</v>
      </c>
      <c r="B10" s="47">
        <v>0</v>
      </c>
      <c r="C10" s="47">
        <v>1</v>
      </c>
      <c r="D10" s="47">
        <v>100</v>
      </c>
      <c r="E10" s="47">
        <v>50</v>
      </c>
      <c r="F10" s="47">
        <v>26</v>
      </c>
      <c r="G10" s="47" t="s">
        <v>88</v>
      </c>
      <c r="H10" s="47" t="s">
        <v>88</v>
      </c>
      <c r="I10" s="47" t="s">
        <v>88</v>
      </c>
      <c r="J10" s="48">
        <f t="shared" si="1"/>
        <v>100</v>
      </c>
    </row>
    <row r="11" spans="1:11" ht="21" customHeight="1" x14ac:dyDescent="0.15">
      <c r="A11" s="62">
        <v>50001010</v>
      </c>
      <c r="B11" s="47">
        <v>0</v>
      </c>
      <c r="C11" s="47">
        <v>1</v>
      </c>
      <c r="D11" s="47">
        <v>100</v>
      </c>
      <c r="E11" s="47">
        <v>25</v>
      </c>
      <c r="F11" s="47" t="s">
        <v>162</v>
      </c>
      <c r="G11" s="47" t="s">
        <v>88</v>
      </c>
      <c r="H11" s="47" t="s">
        <v>88</v>
      </c>
      <c r="I11" s="47" t="s">
        <v>88</v>
      </c>
      <c r="J11" s="48">
        <f t="shared" si="1"/>
        <v>100</v>
      </c>
    </row>
    <row r="12" spans="1:11" ht="21" customHeight="1" x14ac:dyDescent="0.15">
      <c r="A12" s="62">
        <v>50001011</v>
      </c>
      <c r="B12" s="47">
        <v>0</v>
      </c>
      <c r="C12" s="47">
        <v>1</v>
      </c>
      <c r="D12" s="47">
        <v>100</v>
      </c>
      <c r="E12" s="47" t="s">
        <v>88</v>
      </c>
      <c r="F12" s="47" t="s">
        <v>88</v>
      </c>
      <c r="G12" s="47">
        <v>1</v>
      </c>
      <c r="H12" s="47" t="s">
        <v>88</v>
      </c>
      <c r="I12" s="47">
        <v>86</v>
      </c>
      <c r="J12" s="48">
        <f t="shared" si="1"/>
        <v>100</v>
      </c>
    </row>
    <row r="13" spans="1:11" ht="21" customHeight="1" x14ac:dyDescent="0.15">
      <c r="A13" s="62">
        <v>50001012</v>
      </c>
      <c r="B13" s="47">
        <v>1</v>
      </c>
      <c r="C13" s="47">
        <v>1</v>
      </c>
      <c r="D13" s="47">
        <v>100</v>
      </c>
      <c r="E13" s="47" t="s">
        <v>88</v>
      </c>
      <c r="F13" s="47" t="s">
        <v>88</v>
      </c>
      <c r="G13" s="47">
        <v>1</v>
      </c>
      <c r="H13" s="47" t="s">
        <v>88</v>
      </c>
      <c r="I13" s="47" t="s">
        <v>88</v>
      </c>
      <c r="J13" s="48">
        <f t="shared" si="1"/>
        <v>100</v>
      </c>
    </row>
    <row r="14" spans="1:11" ht="21" customHeight="1" x14ac:dyDescent="0.15">
      <c r="A14" s="62">
        <v>50001013</v>
      </c>
      <c r="B14" s="47">
        <v>0</v>
      </c>
      <c r="C14" s="47">
        <v>1</v>
      </c>
      <c r="D14" s="47">
        <v>100</v>
      </c>
      <c r="E14" s="47">
        <v>50</v>
      </c>
      <c r="F14" s="47" t="s">
        <v>88</v>
      </c>
      <c r="G14" s="47">
        <v>1</v>
      </c>
      <c r="H14" s="47" t="s">
        <v>88</v>
      </c>
      <c r="I14" s="47" t="s">
        <v>88</v>
      </c>
      <c r="J14" s="48">
        <f t="shared" si="1"/>
        <v>100</v>
      </c>
    </row>
    <row r="15" spans="1:11" ht="21" customHeight="1" x14ac:dyDescent="0.15">
      <c r="A15" s="62">
        <v>50001014</v>
      </c>
      <c r="B15" s="47">
        <v>0</v>
      </c>
      <c r="C15" s="47">
        <v>1</v>
      </c>
      <c r="D15" s="47">
        <v>100</v>
      </c>
      <c r="E15" s="47" t="s">
        <v>88</v>
      </c>
      <c r="F15" s="47" t="s">
        <v>88</v>
      </c>
      <c r="G15" s="47">
        <v>1</v>
      </c>
      <c r="H15" s="47" t="s">
        <v>88</v>
      </c>
      <c r="I15" s="47">
        <v>92</v>
      </c>
      <c r="J15" s="48">
        <f t="shared" si="1"/>
        <v>100</v>
      </c>
    </row>
    <row r="16" spans="1:11" ht="21" customHeight="1" x14ac:dyDescent="0.15">
      <c r="A16" s="62">
        <v>50001015</v>
      </c>
      <c r="B16" s="47">
        <v>0</v>
      </c>
      <c r="C16" s="47">
        <v>1</v>
      </c>
      <c r="D16" s="47">
        <v>30</v>
      </c>
      <c r="E16" s="47">
        <v>30</v>
      </c>
      <c r="F16" s="47" t="s">
        <v>88</v>
      </c>
      <c r="G16" s="47" t="s">
        <v>88</v>
      </c>
      <c r="H16" s="47" t="s">
        <v>88</v>
      </c>
      <c r="I16" s="47" t="s">
        <v>88</v>
      </c>
      <c r="J16" s="48">
        <f t="shared" si="1"/>
        <v>30</v>
      </c>
    </row>
    <row r="17" spans="1:10" ht="21" customHeight="1" x14ac:dyDescent="0.15">
      <c r="A17" s="62">
        <v>50001016</v>
      </c>
      <c r="B17" s="47">
        <v>0</v>
      </c>
      <c r="C17" s="47">
        <v>1</v>
      </c>
      <c r="D17" s="47">
        <v>30</v>
      </c>
      <c r="E17" s="47" t="s">
        <v>88</v>
      </c>
      <c r="F17" s="47" t="s">
        <v>88</v>
      </c>
      <c r="G17" s="47" t="s">
        <v>88</v>
      </c>
      <c r="H17" s="47" t="s">
        <v>88</v>
      </c>
      <c r="I17" s="47" t="s">
        <v>88</v>
      </c>
      <c r="J17" s="48">
        <f t="shared" si="1"/>
        <v>30</v>
      </c>
    </row>
    <row r="18" spans="1:10" ht="21" customHeight="1" x14ac:dyDescent="0.15">
      <c r="A18" s="62">
        <v>50001017</v>
      </c>
      <c r="B18" s="47">
        <v>0</v>
      </c>
      <c r="C18" s="47">
        <v>2</v>
      </c>
      <c r="D18" s="47">
        <v>50</v>
      </c>
      <c r="E18" s="47">
        <v>50</v>
      </c>
      <c r="F18" s="47" t="s">
        <v>88</v>
      </c>
      <c r="G18" s="47">
        <v>1</v>
      </c>
      <c r="H18" s="47" t="s">
        <v>88</v>
      </c>
      <c r="I18" s="47" t="s">
        <v>88</v>
      </c>
      <c r="J18" s="48">
        <f t="shared" si="1"/>
        <v>50</v>
      </c>
    </row>
    <row r="19" spans="1:10" ht="21" customHeight="1" x14ac:dyDescent="0.15">
      <c r="A19" s="62">
        <v>50001018</v>
      </c>
      <c r="B19" s="47">
        <v>0</v>
      </c>
      <c r="C19" s="47">
        <v>1</v>
      </c>
      <c r="D19" s="47">
        <v>100</v>
      </c>
      <c r="E19" s="47" t="s">
        <v>88</v>
      </c>
      <c r="F19" s="47" t="s">
        <v>88</v>
      </c>
      <c r="G19" s="47">
        <v>1</v>
      </c>
      <c r="H19" s="47" t="s">
        <v>88</v>
      </c>
      <c r="I19" s="47">
        <v>95</v>
      </c>
      <c r="J19" s="48">
        <f t="shared" si="1"/>
        <v>100</v>
      </c>
    </row>
    <row r="20" spans="1:10" ht="21" customHeight="1" x14ac:dyDescent="0.15">
      <c r="A20" s="62">
        <v>50001019</v>
      </c>
      <c r="B20" s="47">
        <v>0</v>
      </c>
      <c r="C20" s="47">
        <v>1</v>
      </c>
      <c r="D20" s="47">
        <v>30</v>
      </c>
      <c r="E20" s="47" t="s">
        <v>88</v>
      </c>
      <c r="F20" s="47">
        <v>50</v>
      </c>
      <c r="G20" s="47">
        <v>3</v>
      </c>
      <c r="H20" s="47" t="s">
        <v>88</v>
      </c>
      <c r="I20" s="47" t="s">
        <v>88</v>
      </c>
      <c r="J20" s="48">
        <f t="shared" si="1"/>
        <v>30</v>
      </c>
    </row>
    <row r="21" spans="1:10" ht="21" customHeight="1" x14ac:dyDescent="0.15">
      <c r="A21" s="62">
        <v>50001020</v>
      </c>
      <c r="B21" s="47">
        <v>1</v>
      </c>
      <c r="C21" s="47">
        <v>1</v>
      </c>
      <c r="D21" s="47">
        <v>100</v>
      </c>
      <c r="E21" s="47" t="s">
        <v>88</v>
      </c>
      <c r="F21" s="47" t="s">
        <v>88</v>
      </c>
      <c r="G21" s="47">
        <v>1</v>
      </c>
      <c r="H21" s="47" t="s">
        <v>88</v>
      </c>
      <c r="I21" s="47" t="s">
        <v>88</v>
      </c>
      <c r="J21" s="48">
        <f t="shared" si="1"/>
        <v>100</v>
      </c>
    </row>
    <row r="22" spans="1:10" ht="21" customHeight="1" x14ac:dyDescent="0.15">
      <c r="A22" s="62">
        <v>50001021</v>
      </c>
      <c r="B22" s="47">
        <v>0</v>
      </c>
      <c r="C22" s="47">
        <v>1</v>
      </c>
      <c r="D22" s="47">
        <v>30</v>
      </c>
      <c r="E22" s="47" t="s">
        <v>88</v>
      </c>
      <c r="F22" s="47" t="s">
        <v>88</v>
      </c>
      <c r="G22" s="47" t="s">
        <v>88</v>
      </c>
      <c r="H22" s="47" t="s">
        <v>88</v>
      </c>
      <c r="I22" s="47" t="s">
        <v>88</v>
      </c>
      <c r="J22" s="48">
        <f t="shared" si="1"/>
        <v>30</v>
      </c>
    </row>
    <row r="23" spans="1:10" ht="21" customHeight="1" x14ac:dyDescent="0.15">
      <c r="A23" s="62">
        <v>50001022</v>
      </c>
      <c r="B23" s="47">
        <v>0</v>
      </c>
      <c r="C23" s="47">
        <v>1</v>
      </c>
      <c r="D23" s="47">
        <v>50</v>
      </c>
      <c r="E23" s="47" t="s">
        <v>88</v>
      </c>
      <c r="F23" s="47" t="s">
        <v>88</v>
      </c>
      <c r="G23" s="47" t="s">
        <v>88</v>
      </c>
      <c r="H23" s="47">
        <v>2</v>
      </c>
      <c r="I23" s="47" t="s">
        <v>88</v>
      </c>
      <c r="J23" s="48">
        <f t="shared" si="1"/>
        <v>50</v>
      </c>
    </row>
    <row r="24" spans="1:10" ht="21" customHeight="1" x14ac:dyDescent="0.15">
      <c r="A24" s="62">
        <v>50001023</v>
      </c>
      <c r="B24" s="47">
        <v>0</v>
      </c>
      <c r="C24" s="47">
        <v>1</v>
      </c>
      <c r="D24" s="47">
        <v>100</v>
      </c>
      <c r="E24" s="47">
        <v>50</v>
      </c>
      <c r="F24" s="47" t="s">
        <v>88</v>
      </c>
      <c r="G24" s="47" t="s">
        <v>88</v>
      </c>
      <c r="H24" s="47">
        <v>3</v>
      </c>
      <c r="I24" s="47" t="s">
        <v>88</v>
      </c>
      <c r="J24" s="48">
        <f t="shared" si="1"/>
        <v>100</v>
      </c>
    </row>
    <row r="25" spans="1:10" ht="21" customHeight="1" x14ac:dyDescent="0.15">
      <c r="A25" s="62">
        <v>50001024</v>
      </c>
      <c r="B25" s="47">
        <v>1</v>
      </c>
      <c r="C25" s="47">
        <v>1</v>
      </c>
      <c r="D25" s="47">
        <v>100</v>
      </c>
      <c r="E25" s="47" t="s">
        <v>88</v>
      </c>
      <c r="F25" s="47" t="s">
        <v>88</v>
      </c>
      <c r="G25" s="47">
        <v>1</v>
      </c>
      <c r="H25" s="47" t="s">
        <v>88</v>
      </c>
      <c r="I25" s="47" t="s">
        <v>88</v>
      </c>
      <c r="J25" s="48">
        <f t="shared" si="1"/>
        <v>100</v>
      </c>
    </row>
    <row r="26" spans="1:10" ht="21" customHeight="1" x14ac:dyDescent="0.15">
      <c r="A26" s="62">
        <v>50001025</v>
      </c>
      <c r="B26" s="47">
        <v>0</v>
      </c>
      <c r="C26" s="47">
        <v>1</v>
      </c>
      <c r="D26" s="47">
        <v>30</v>
      </c>
      <c r="E26" s="47" t="s">
        <v>88</v>
      </c>
      <c r="F26" s="47" t="s">
        <v>88</v>
      </c>
      <c r="G26" s="47" t="s">
        <v>88</v>
      </c>
      <c r="H26" s="47" t="s">
        <v>88</v>
      </c>
      <c r="I26" s="47" t="s">
        <v>88</v>
      </c>
      <c r="J26" s="48">
        <f t="shared" si="1"/>
        <v>30</v>
      </c>
    </row>
    <row r="27" spans="1:10" ht="21" customHeight="1" x14ac:dyDescent="0.15">
      <c r="A27" s="62">
        <v>50001026</v>
      </c>
      <c r="B27" s="47">
        <v>0</v>
      </c>
      <c r="C27" s="47">
        <v>1</v>
      </c>
      <c r="D27" s="47">
        <v>30</v>
      </c>
      <c r="E27" s="47" t="s">
        <v>88</v>
      </c>
      <c r="F27" s="47" t="s">
        <v>88</v>
      </c>
      <c r="G27" s="47" t="s">
        <v>88</v>
      </c>
      <c r="H27" s="47" t="s">
        <v>88</v>
      </c>
      <c r="I27" s="47" t="s">
        <v>88</v>
      </c>
      <c r="J27" s="48">
        <f t="shared" si="1"/>
        <v>30</v>
      </c>
    </row>
    <row r="28" spans="1:10" ht="21" customHeight="1" x14ac:dyDescent="0.15">
      <c r="A28" s="62">
        <v>50001027</v>
      </c>
      <c r="B28" s="47">
        <v>0</v>
      </c>
      <c r="C28" s="47">
        <v>2</v>
      </c>
      <c r="D28" s="47">
        <v>100</v>
      </c>
      <c r="E28" s="47">
        <v>50</v>
      </c>
      <c r="F28" s="47" t="s">
        <v>88</v>
      </c>
      <c r="G28" s="47">
        <v>1</v>
      </c>
      <c r="H28" s="47" t="s">
        <v>88</v>
      </c>
      <c r="I28" s="47" t="s">
        <v>88</v>
      </c>
      <c r="J28" s="48">
        <f t="shared" si="1"/>
        <v>100</v>
      </c>
    </row>
    <row r="29" spans="1:10" ht="21" customHeight="1" x14ac:dyDescent="0.15">
      <c r="A29" s="62">
        <v>50001028</v>
      </c>
      <c r="B29" s="47">
        <v>0</v>
      </c>
      <c r="C29" s="47">
        <v>1</v>
      </c>
      <c r="D29" s="47">
        <v>30</v>
      </c>
      <c r="E29" s="47" t="s">
        <v>88</v>
      </c>
      <c r="F29" s="47" t="s">
        <v>88</v>
      </c>
      <c r="G29" s="47" t="s">
        <v>88</v>
      </c>
      <c r="H29" s="47" t="s">
        <v>88</v>
      </c>
      <c r="I29" s="47" t="s">
        <v>88</v>
      </c>
      <c r="J29" s="48">
        <f t="shared" si="1"/>
        <v>30</v>
      </c>
    </row>
    <row r="30" spans="1:10" ht="21" customHeight="1" x14ac:dyDescent="0.15">
      <c r="A30" s="62">
        <v>50001029</v>
      </c>
      <c r="B30" s="47">
        <v>1</v>
      </c>
      <c r="C30" s="47">
        <v>1</v>
      </c>
      <c r="D30" s="47">
        <v>100</v>
      </c>
      <c r="E30" s="47" t="s">
        <v>88</v>
      </c>
      <c r="F30" s="47" t="s">
        <v>88</v>
      </c>
      <c r="G30" s="47">
        <v>1</v>
      </c>
      <c r="H30" s="47" t="s">
        <v>88</v>
      </c>
      <c r="I30" s="47" t="s">
        <v>88</v>
      </c>
      <c r="J30" s="48">
        <f t="shared" si="1"/>
        <v>100</v>
      </c>
    </row>
    <row r="31" spans="1:10" ht="21" customHeight="1" x14ac:dyDescent="0.15">
      <c r="A31" s="62">
        <v>50001030</v>
      </c>
      <c r="B31" s="47">
        <v>0</v>
      </c>
      <c r="C31" s="47">
        <v>1</v>
      </c>
      <c r="D31" s="47">
        <v>30</v>
      </c>
      <c r="E31" s="47">
        <v>50</v>
      </c>
      <c r="F31" s="47" t="s">
        <v>88</v>
      </c>
      <c r="G31" s="47" t="s">
        <v>88</v>
      </c>
      <c r="H31" s="47" t="s">
        <v>88</v>
      </c>
      <c r="I31" s="47" t="s">
        <v>88</v>
      </c>
      <c r="J31" s="48">
        <f t="shared" si="1"/>
        <v>30</v>
      </c>
    </row>
    <row r="32" spans="1:10" ht="21" customHeight="1" x14ac:dyDescent="0.15">
      <c r="A32" s="62">
        <v>50001031</v>
      </c>
      <c r="B32" s="47">
        <v>0</v>
      </c>
      <c r="C32" s="47">
        <v>1</v>
      </c>
      <c r="D32" s="47">
        <v>30</v>
      </c>
      <c r="E32" s="47" t="s">
        <v>88</v>
      </c>
      <c r="F32" s="47" t="s">
        <v>88</v>
      </c>
      <c r="G32" s="47" t="s">
        <v>88</v>
      </c>
      <c r="H32" s="47" t="s">
        <v>88</v>
      </c>
      <c r="I32" s="47" t="s">
        <v>88</v>
      </c>
      <c r="J32" s="48">
        <f t="shared" si="1"/>
        <v>30</v>
      </c>
    </row>
    <row r="33" spans="1:10" ht="21" customHeight="1" x14ac:dyDescent="0.15">
      <c r="A33" s="62">
        <v>50001032</v>
      </c>
      <c r="B33" s="47">
        <v>0</v>
      </c>
      <c r="C33" s="47">
        <v>2</v>
      </c>
      <c r="D33" s="47">
        <v>100</v>
      </c>
      <c r="E33" s="47">
        <v>30</v>
      </c>
      <c r="F33" s="47" t="s">
        <v>88</v>
      </c>
      <c r="G33" s="47">
        <v>1</v>
      </c>
      <c r="H33" s="47" t="s">
        <v>88</v>
      </c>
      <c r="I33" s="47" t="s">
        <v>88</v>
      </c>
      <c r="J33" s="48">
        <f t="shared" si="1"/>
        <v>100</v>
      </c>
    </row>
    <row r="34" spans="1:10" ht="21" customHeight="1" x14ac:dyDescent="0.15">
      <c r="A34" s="62">
        <v>50001033</v>
      </c>
      <c r="B34" s="47">
        <v>0</v>
      </c>
      <c r="C34" s="47">
        <v>2</v>
      </c>
      <c r="D34" s="47">
        <v>100</v>
      </c>
      <c r="E34" s="47" t="s">
        <v>88</v>
      </c>
      <c r="F34" s="47" t="s">
        <v>273</v>
      </c>
      <c r="G34" s="47">
        <v>1</v>
      </c>
      <c r="H34" s="47">
        <v>3</v>
      </c>
      <c r="I34" s="47" t="s">
        <v>88</v>
      </c>
      <c r="J34" s="48">
        <f t="shared" si="1"/>
        <v>100</v>
      </c>
    </row>
    <row r="35" spans="1:10" ht="21" customHeight="1" x14ac:dyDescent="0.15">
      <c r="A35" s="62">
        <v>50001034</v>
      </c>
      <c r="B35" s="47">
        <v>0</v>
      </c>
      <c r="C35" s="47">
        <v>1</v>
      </c>
      <c r="D35" s="47">
        <v>50</v>
      </c>
      <c r="E35" s="47" t="s">
        <v>88</v>
      </c>
      <c r="F35" s="47">
        <v>80</v>
      </c>
      <c r="G35" s="47" t="s">
        <v>88</v>
      </c>
      <c r="H35" s="47" t="s">
        <v>88</v>
      </c>
      <c r="I35" s="47" t="s">
        <v>88</v>
      </c>
      <c r="J35" s="48">
        <f t="shared" si="1"/>
        <v>50</v>
      </c>
    </row>
    <row r="36" spans="1:10" ht="21" customHeight="1" x14ac:dyDescent="0.15">
      <c r="A36" s="62">
        <v>50001035</v>
      </c>
      <c r="B36" s="47">
        <v>1</v>
      </c>
      <c r="C36" s="47">
        <v>1</v>
      </c>
      <c r="D36" s="47">
        <v>100</v>
      </c>
      <c r="E36" s="47" t="s">
        <v>88</v>
      </c>
      <c r="F36" s="47" t="s">
        <v>88</v>
      </c>
      <c r="G36" s="47">
        <v>1</v>
      </c>
      <c r="H36" s="47" t="s">
        <v>88</v>
      </c>
      <c r="I36" s="47" t="s">
        <v>88</v>
      </c>
      <c r="J36" s="48">
        <f t="shared" si="1"/>
        <v>100</v>
      </c>
    </row>
    <row r="37" spans="1:10" ht="21" customHeight="1" x14ac:dyDescent="0.15">
      <c r="A37" s="62">
        <v>50001036</v>
      </c>
      <c r="B37" s="47">
        <v>0</v>
      </c>
      <c r="C37" s="47">
        <v>5</v>
      </c>
      <c r="D37" s="47">
        <v>25</v>
      </c>
      <c r="E37" s="47" t="s">
        <v>88</v>
      </c>
      <c r="F37" s="47" t="s">
        <v>88</v>
      </c>
      <c r="G37" s="47" t="s">
        <v>88</v>
      </c>
      <c r="H37" s="47" t="s">
        <v>88</v>
      </c>
      <c r="I37" s="47" t="s">
        <v>88</v>
      </c>
      <c r="J37" s="48">
        <f t="shared" si="1"/>
        <v>25</v>
      </c>
    </row>
    <row r="38" spans="1:10" ht="21" customHeight="1" x14ac:dyDescent="0.15">
      <c r="A38" s="62">
        <v>50001037</v>
      </c>
      <c r="B38" s="47">
        <v>0</v>
      </c>
      <c r="C38" s="47">
        <v>5</v>
      </c>
      <c r="D38" s="47">
        <v>25</v>
      </c>
      <c r="E38" s="47" t="s">
        <v>88</v>
      </c>
      <c r="F38" s="47" t="s">
        <v>88</v>
      </c>
      <c r="G38" s="47" t="s">
        <v>88</v>
      </c>
      <c r="H38" s="47" t="s">
        <v>88</v>
      </c>
      <c r="I38" s="47" t="s">
        <v>88</v>
      </c>
      <c r="J38" s="48">
        <f t="shared" si="1"/>
        <v>25</v>
      </c>
    </row>
    <row r="39" spans="1:10" ht="21" customHeight="1" x14ac:dyDescent="0.15">
      <c r="A39" s="62">
        <v>50001038</v>
      </c>
      <c r="B39" s="47">
        <v>0</v>
      </c>
      <c r="C39" s="47">
        <v>5</v>
      </c>
      <c r="D39" s="47">
        <v>25</v>
      </c>
      <c r="E39" s="47" t="s">
        <v>88</v>
      </c>
      <c r="F39" s="47" t="s">
        <v>88</v>
      </c>
      <c r="G39" s="47" t="s">
        <v>88</v>
      </c>
      <c r="H39" s="47" t="s">
        <v>88</v>
      </c>
      <c r="I39" s="47" t="s">
        <v>88</v>
      </c>
      <c r="J39" s="48">
        <f t="shared" si="1"/>
        <v>25</v>
      </c>
    </row>
    <row r="40" spans="1:10" ht="21" customHeight="1" x14ac:dyDescent="0.15">
      <c r="A40" s="62">
        <v>50001039</v>
      </c>
      <c r="B40" s="47">
        <v>0</v>
      </c>
      <c r="C40" s="47">
        <v>10</v>
      </c>
      <c r="D40" s="47">
        <v>20</v>
      </c>
      <c r="E40" s="47">
        <v>50</v>
      </c>
      <c r="F40" s="47" t="s">
        <v>88</v>
      </c>
      <c r="G40" s="47">
        <v>1</v>
      </c>
      <c r="H40" s="47" t="s">
        <v>88</v>
      </c>
      <c r="I40" s="47" t="s">
        <v>88</v>
      </c>
      <c r="J40" s="48">
        <f t="shared" si="1"/>
        <v>20</v>
      </c>
    </row>
    <row r="41" spans="1:10" ht="21" customHeight="1" x14ac:dyDescent="0.15">
      <c r="A41" s="62">
        <v>50001040</v>
      </c>
      <c r="B41" s="47">
        <v>0</v>
      </c>
      <c r="C41" s="47">
        <v>10</v>
      </c>
      <c r="D41" s="47">
        <v>20</v>
      </c>
      <c r="E41" s="47">
        <v>50</v>
      </c>
      <c r="F41" s="47" t="s">
        <v>88</v>
      </c>
      <c r="G41" s="47">
        <v>1</v>
      </c>
      <c r="H41" s="47" t="s">
        <v>88</v>
      </c>
      <c r="I41" s="47" t="s">
        <v>88</v>
      </c>
      <c r="J41" s="48">
        <f t="shared" si="1"/>
        <v>20</v>
      </c>
    </row>
    <row r="42" spans="1:10" ht="21" customHeight="1" x14ac:dyDescent="0.15">
      <c r="A42" s="62">
        <v>50001041</v>
      </c>
      <c r="B42" s="47">
        <v>0</v>
      </c>
      <c r="C42" s="47">
        <v>10</v>
      </c>
      <c r="D42" s="47">
        <v>20</v>
      </c>
      <c r="E42" s="47">
        <v>50</v>
      </c>
      <c r="F42" s="47" t="s">
        <v>88</v>
      </c>
      <c r="G42" s="47">
        <v>1</v>
      </c>
      <c r="H42" s="47" t="s">
        <v>88</v>
      </c>
      <c r="I42" s="47" t="s">
        <v>88</v>
      </c>
      <c r="J42" s="48">
        <f t="shared" si="1"/>
        <v>20</v>
      </c>
    </row>
    <row r="43" spans="1:10" ht="21" customHeight="1" x14ac:dyDescent="0.15">
      <c r="A43" s="62">
        <v>50001042</v>
      </c>
      <c r="B43" s="47">
        <v>0</v>
      </c>
      <c r="C43" s="47">
        <v>10</v>
      </c>
      <c r="D43" s="47">
        <v>20</v>
      </c>
      <c r="E43" s="47">
        <v>50</v>
      </c>
      <c r="F43" s="47" t="s">
        <v>88</v>
      </c>
      <c r="G43" s="47">
        <v>1</v>
      </c>
      <c r="H43" s="47" t="s">
        <v>88</v>
      </c>
      <c r="I43" s="47" t="s">
        <v>88</v>
      </c>
      <c r="J43" s="48">
        <f t="shared" si="1"/>
        <v>20</v>
      </c>
    </row>
    <row r="44" spans="1:10" ht="21" customHeight="1" x14ac:dyDescent="0.15">
      <c r="A44" s="62">
        <v>50001043</v>
      </c>
      <c r="B44" s="47">
        <v>0</v>
      </c>
      <c r="C44" s="47">
        <v>15</v>
      </c>
      <c r="D44" s="47">
        <v>100</v>
      </c>
      <c r="E44" s="47">
        <v>50</v>
      </c>
      <c r="F44" s="47" t="s">
        <v>88</v>
      </c>
      <c r="G44" s="47">
        <v>1</v>
      </c>
      <c r="H44" s="47" t="s">
        <v>88</v>
      </c>
      <c r="I44" s="47" t="s">
        <v>88</v>
      </c>
      <c r="J44" s="48">
        <f t="shared" si="1"/>
        <v>100</v>
      </c>
    </row>
    <row r="45" spans="1:10" ht="21" customHeight="1" x14ac:dyDescent="0.15">
      <c r="A45" s="62">
        <v>50001044</v>
      </c>
      <c r="B45" s="47">
        <v>0</v>
      </c>
      <c r="C45" s="47">
        <v>1</v>
      </c>
      <c r="D45" s="47">
        <v>30</v>
      </c>
      <c r="E45" s="47" t="s">
        <v>88</v>
      </c>
      <c r="F45" s="47" t="s">
        <v>88</v>
      </c>
      <c r="G45" s="47" t="s">
        <v>88</v>
      </c>
      <c r="H45" s="47" t="s">
        <v>88</v>
      </c>
      <c r="I45" s="47" t="s">
        <v>88</v>
      </c>
      <c r="J45" s="48">
        <f t="shared" si="1"/>
        <v>30</v>
      </c>
    </row>
    <row r="46" spans="1:10" ht="21" customHeight="1" x14ac:dyDescent="0.15">
      <c r="A46" s="62">
        <v>50001045</v>
      </c>
      <c r="B46" s="47">
        <v>1</v>
      </c>
      <c r="C46" s="47">
        <v>1</v>
      </c>
      <c r="D46" s="47">
        <v>100</v>
      </c>
      <c r="E46" s="47" t="s">
        <v>88</v>
      </c>
      <c r="F46" s="47" t="s">
        <v>88</v>
      </c>
      <c r="G46" s="47">
        <v>1</v>
      </c>
      <c r="H46" s="47" t="s">
        <v>88</v>
      </c>
      <c r="I46" s="47" t="s">
        <v>88</v>
      </c>
      <c r="J46" s="48">
        <f t="shared" si="1"/>
        <v>100</v>
      </c>
    </row>
    <row r="47" spans="1:10" ht="21" customHeight="1" x14ac:dyDescent="0.15">
      <c r="A47" s="62">
        <v>50001046</v>
      </c>
      <c r="B47" s="47">
        <v>0</v>
      </c>
      <c r="C47" s="47">
        <v>5</v>
      </c>
      <c r="D47" s="47">
        <v>100</v>
      </c>
      <c r="E47" s="47" t="s">
        <v>88</v>
      </c>
      <c r="F47" s="47">
        <v>30</v>
      </c>
      <c r="G47" s="47" t="s">
        <v>88</v>
      </c>
      <c r="H47" s="47">
        <v>15</v>
      </c>
      <c r="I47" s="47" t="s">
        <v>88</v>
      </c>
      <c r="J47" s="48">
        <f t="shared" si="1"/>
        <v>100</v>
      </c>
    </row>
    <row r="48" spans="1:10" ht="21" customHeight="1" x14ac:dyDescent="0.15">
      <c r="A48" s="62">
        <v>50001047</v>
      </c>
      <c r="B48" s="47">
        <v>0</v>
      </c>
      <c r="C48" s="47">
        <v>1</v>
      </c>
      <c r="D48" s="47">
        <v>30</v>
      </c>
      <c r="E48" s="47" t="s">
        <v>88</v>
      </c>
      <c r="F48" s="47" t="s">
        <v>88</v>
      </c>
      <c r="G48" s="47" t="s">
        <v>88</v>
      </c>
      <c r="H48" s="47" t="s">
        <v>88</v>
      </c>
      <c r="I48" s="47" t="s">
        <v>88</v>
      </c>
      <c r="J48" s="48">
        <f t="shared" si="1"/>
        <v>30</v>
      </c>
    </row>
    <row r="49" spans="1:10" ht="21" customHeight="1" x14ac:dyDescent="0.15">
      <c r="A49" s="62">
        <v>50001048</v>
      </c>
      <c r="B49" s="47">
        <v>0</v>
      </c>
      <c r="C49" s="47">
        <v>2</v>
      </c>
      <c r="D49" s="47">
        <v>100</v>
      </c>
      <c r="E49" s="47">
        <v>30</v>
      </c>
      <c r="F49" s="47" t="s">
        <v>88</v>
      </c>
      <c r="G49" s="47">
        <v>1</v>
      </c>
      <c r="H49" s="47" t="s">
        <v>88</v>
      </c>
      <c r="I49" s="47" t="s">
        <v>88</v>
      </c>
      <c r="J49" s="48">
        <f t="shared" si="1"/>
        <v>100</v>
      </c>
    </row>
    <row r="50" spans="1:10" ht="21" customHeight="1" x14ac:dyDescent="0.15">
      <c r="A50" s="62">
        <v>50001049</v>
      </c>
      <c r="B50" s="47">
        <v>0</v>
      </c>
      <c r="C50" s="47">
        <v>1</v>
      </c>
      <c r="D50" s="47">
        <v>30</v>
      </c>
      <c r="E50" s="47" t="s">
        <v>88</v>
      </c>
      <c r="F50" s="47" t="s">
        <v>88</v>
      </c>
      <c r="G50" s="47">
        <v>1</v>
      </c>
      <c r="H50" s="47" t="s">
        <v>88</v>
      </c>
      <c r="I50" s="47" t="s">
        <v>88</v>
      </c>
      <c r="J50" s="48">
        <f t="shared" si="1"/>
        <v>30</v>
      </c>
    </row>
    <row r="51" spans="1:10" ht="21" customHeight="1" x14ac:dyDescent="0.15">
      <c r="A51" s="62">
        <v>50001050</v>
      </c>
      <c r="B51" s="47">
        <v>0</v>
      </c>
      <c r="C51" s="47">
        <v>1</v>
      </c>
      <c r="D51" s="47">
        <v>30</v>
      </c>
      <c r="E51" s="47" t="s">
        <v>88</v>
      </c>
      <c r="F51" s="47" t="s">
        <v>88</v>
      </c>
      <c r="G51" s="47">
        <v>1</v>
      </c>
      <c r="H51" s="47" t="s">
        <v>279</v>
      </c>
      <c r="I51" s="47" t="s">
        <v>88</v>
      </c>
      <c r="J51" s="48">
        <f t="shared" ref="J51" si="2">D51</f>
        <v>30</v>
      </c>
    </row>
    <row r="52" spans="1:10" ht="21" customHeight="1" x14ac:dyDescent="0.15">
      <c r="A52" s="62">
        <v>50001051</v>
      </c>
      <c r="B52" s="47">
        <v>0</v>
      </c>
      <c r="C52" s="47">
        <v>1</v>
      </c>
      <c r="D52" s="47">
        <v>100</v>
      </c>
      <c r="E52" s="47">
        <v>50</v>
      </c>
      <c r="F52" s="47" t="s">
        <v>88</v>
      </c>
      <c r="G52" s="47">
        <v>1</v>
      </c>
      <c r="H52" s="47" t="s">
        <v>88</v>
      </c>
      <c r="I52" s="47" t="s">
        <v>88</v>
      </c>
      <c r="J52" s="48">
        <f t="shared" ref="J52" si="3">D52</f>
        <v>100</v>
      </c>
    </row>
    <row r="53" spans="1:10" ht="21" customHeight="1" x14ac:dyDescent="0.15">
      <c r="A53" s="62">
        <v>50001052</v>
      </c>
      <c r="B53" s="47">
        <v>1</v>
      </c>
      <c r="C53" s="47">
        <v>1</v>
      </c>
      <c r="D53" s="47">
        <v>100</v>
      </c>
      <c r="E53" s="47" t="s">
        <v>88</v>
      </c>
      <c r="F53" s="47" t="s">
        <v>88</v>
      </c>
      <c r="G53" s="47">
        <v>1</v>
      </c>
      <c r="H53" s="47" t="s">
        <v>88</v>
      </c>
      <c r="I53" s="47" t="s">
        <v>88</v>
      </c>
      <c r="J53" s="48">
        <f t="shared" ref="J53" si="4">D53</f>
        <v>100</v>
      </c>
    </row>
    <row r="54" spans="1:10" ht="21" customHeight="1" x14ac:dyDescent="0.15">
      <c r="A54" s="62">
        <v>50001053</v>
      </c>
      <c r="B54" s="47">
        <v>0</v>
      </c>
      <c r="C54" s="47">
        <v>1</v>
      </c>
      <c r="D54" s="47">
        <v>100</v>
      </c>
      <c r="E54" s="47" t="s">
        <v>88</v>
      </c>
      <c r="F54" s="47" t="s">
        <v>88</v>
      </c>
      <c r="G54" s="47">
        <v>1</v>
      </c>
      <c r="H54" s="47" t="s">
        <v>88</v>
      </c>
      <c r="I54" s="47" t="s">
        <v>88</v>
      </c>
      <c r="J54" s="48">
        <f t="shared" ref="J54" si="5">D54</f>
        <v>100</v>
      </c>
    </row>
    <row r="55" spans="1:10" ht="21" customHeight="1" x14ac:dyDescent="0.15">
      <c r="A55" s="62">
        <v>50001054</v>
      </c>
      <c r="B55" s="47">
        <v>0</v>
      </c>
      <c r="C55" s="47">
        <v>3</v>
      </c>
      <c r="D55" s="47">
        <v>100</v>
      </c>
      <c r="E55" s="47" t="s">
        <v>88</v>
      </c>
      <c r="F55" s="47" t="s">
        <v>274</v>
      </c>
      <c r="G55" s="47">
        <v>1</v>
      </c>
      <c r="H55" s="47">
        <v>4</v>
      </c>
      <c r="I55" s="47" t="s">
        <v>88</v>
      </c>
      <c r="J55" s="48">
        <f t="shared" ref="J55:J56" si="6">D55</f>
        <v>100</v>
      </c>
    </row>
    <row r="56" spans="1:10" ht="21" customHeight="1" x14ac:dyDescent="0.15">
      <c r="A56" s="62">
        <v>50001055</v>
      </c>
      <c r="B56" s="47">
        <v>0</v>
      </c>
      <c r="C56" s="47">
        <v>3</v>
      </c>
      <c r="D56" s="47">
        <v>100</v>
      </c>
      <c r="E56" s="47" t="s">
        <v>88</v>
      </c>
      <c r="F56" s="47">
        <v>30</v>
      </c>
      <c r="G56" s="47">
        <v>1</v>
      </c>
      <c r="H56" s="47">
        <v>16</v>
      </c>
      <c r="I56" s="47" t="s">
        <v>88</v>
      </c>
      <c r="J56" s="48">
        <f t="shared" si="6"/>
        <v>100</v>
      </c>
    </row>
  </sheetData>
  <autoFilter ref="A1:G1"/>
  <phoneticPr fontId="3"/>
  <conditionalFormatting sqref="K1:K2 K39:K51 K53:K1048576">
    <cfRule type="duplicateValues" dxfId="3" priority="6"/>
  </conditionalFormatting>
  <conditionalFormatting sqref="K3:K37">
    <cfRule type="duplicateValues" dxfId="2" priority="3"/>
  </conditionalFormatting>
  <conditionalFormatting sqref="K38">
    <cfRule type="duplicateValues" dxfId="1" priority="2"/>
  </conditionalFormatting>
  <conditionalFormatting sqref="K52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4"/>
  <sheetViews>
    <sheetView showGridLines="0" workbookViewId="0">
      <pane xSplit="5" ySplit="1" topLeftCell="F17" activePane="bottomRight" state="frozen"/>
      <selection activeCell="E25" sqref="E25"/>
      <selection pane="topRight" activeCell="E25" sqref="E25"/>
      <selection pane="bottomLeft" activeCell="E25" sqref="E25"/>
      <selection pane="bottomRight" activeCell="F39" sqref="F39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10" style="49" customWidth="1"/>
    <col min="4" max="4" width="25.664062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" si="0">B2&amp;"_"&amp;C2</f>
        <v>50001001_50001001</v>
      </c>
      <c r="B2" s="47">
        <v>50001001</v>
      </c>
      <c r="C2" s="47">
        <v>50001001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姫を落としに来ただと…？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怒りの力で 5ターンの間攻撃力アップ</v>
      </c>
      <c r="F2" s="47">
        <v>50001001</v>
      </c>
      <c r="G2" s="46">
        <f ca="1">VLOOKUP($C2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1</v>
      </c>
      <c r="H2" s="46">
        <f ca="1">VLOOKUP($C2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2" s="46">
        <f ca="1">VLOOKUP($C2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2" s="46" t="str">
        <f ca="1">VLOOKUP($C2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2" s="46" t="str">
        <f ca="1">VLOOKUP($C2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2" s="46">
        <f ca="1">VLOOKUP($C2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2" s="46" t="str">
        <f ca="1">VLOOKUP($C2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2" s="46" t="str">
        <f ca="1">VLOOKUP($C2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2" s="46">
        <f ca="1">VLOOKUP($C2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41" si="1">B3&amp;"_"&amp;C3</f>
        <v>50001001_50001002</v>
      </c>
      <c r="B3" s="47">
        <v>50001001</v>
      </c>
      <c r="C3" s="47">
        <v>50001002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紅蓮雀焔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" s="47">
        <v>50001002</v>
      </c>
      <c r="G3" s="46">
        <f ca="1">VLOOKUP($C3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3" s="46">
        <f ca="1">VLOOKUP($C3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3" s="46">
        <f ca="1">VLOOKUP($C3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30</v>
      </c>
      <c r="J3" s="46" t="str">
        <f ca="1">VLOOKUP($C3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3" s="46" t="str">
        <f ca="1">VLOOKUP($C3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3" s="46" t="str">
        <f ca="1">VLOOKUP($C3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3" s="46" t="str">
        <f ca="1">VLOOKUP($C3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3" s="46" t="str">
        <f ca="1">VLOOKUP($C3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3" s="46">
        <f ca="1">VLOOKUP($C3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30</v>
      </c>
      <c r="P3" s="47"/>
      <c r="Q3" s="47"/>
      <c r="R3" s="47"/>
    </row>
    <row r="4" spans="1:18" ht="21" customHeight="1" x14ac:dyDescent="0.15">
      <c r="A4" s="39" t="str">
        <f t="shared" si="1"/>
        <v>50001001_50001003</v>
      </c>
      <c r="B4" s="47">
        <v>50001001</v>
      </c>
      <c r="C4" s="47">
        <v>50001003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玄武爺の死…無駄にはしない！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解除するまで防御力がアップ</v>
      </c>
      <c r="F4" s="47">
        <v>50001003</v>
      </c>
      <c r="G4" s="46">
        <f ca="1">VLOOKUP($C4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4" s="46">
        <f ca="1">VLOOKUP($C4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4" s="46">
        <f ca="1">VLOOKUP($C4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4" s="46" t="str">
        <f ca="1">VLOOKUP($C4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4" s="46" t="str">
        <f ca="1">VLOOKUP($C4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4" s="46">
        <f ca="1">VLOOKUP($C4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4" s="46" t="str">
        <f ca="1">VLOOKUP($C4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4" s="46">
        <f ca="1">VLOOKUP($C4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89</v>
      </c>
      <c r="O4" s="46">
        <f ca="1">VLOOKUP($C4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50001001_50001004</v>
      </c>
      <c r="B5" s="47">
        <v>50001001</v>
      </c>
      <c r="C5" s="47">
        <v>50001004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煉獄突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次のターン超強力な攻撃</v>
      </c>
      <c r="F5" s="47">
        <v>50001004</v>
      </c>
      <c r="G5" s="46">
        <f ca="1">VLOOKUP($C5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5" s="46">
        <f ca="1">VLOOKUP($C5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5" s="46">
        <f ca="1">VLOOKUP($C5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5" s="46" t="str">
        <f ca="1">VLOOKUP($C5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5" s="46" t="str">
        <f ca="1">VLOOKUP($C5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5" s="46">
        <f ca="1">VLOOKUP($C5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5" s="46">
        <f ca="1">VLOOKUP($C5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4</v>
      </c>
      <c r="N5" s="46" t="str">
        <f ca="1">VLOOKUP($C5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5" s="46">
        <f ca="1">VLOOKUP($C5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ref="A6" si="2">B6&amp;"_"&amp;C6</f>
        <v>50001001_50001051</v>
      </c>
      <c r="B6" s="47">
        <v>50001001</v>
      </c>
      <c r="C6" s="47">
        <v>50001051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龍殺獄炎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種族ドラゴンのユニットに大ダメージ</v>
      </c>
      <c r="F6" s="47">
        <v>50001051</v>
      </c>
      <c r="G6" s="46">
        <f ca="1">VLOOKUP($C6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6" s="46">
        <f ca="1">VLOOKUP($C6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6" s="46">
        <f ca="1">VLOOKUP($C6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6" s="46">
        <f ca="1">VLOOKUP($C6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50</v>
      </c>
      <c r="K6" s="46" t="str">
        <f ca="1">VLOOKUP($C6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6" s="46">
        <f ca="1">VLOOKUP($C6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6" s="46" t="str">
        <f ca="1">VLOOKUP($C6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6" s="46" t="str">
        <f ca="1">VLOOKUP($C6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6" s="46">
        <f ca="1">VLOOKUP($C6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50001002_50001005</v>
      </c>
      <c r="B7" s="47">
        <v>50001002</v>
      </c>
      <c r="C7" s="47">
        <v>50001005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嬢ちゃんは儂らが守るぞい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固い意志で 5ターンの間防御力アップ</v>
      </c>
      <c r="F7" s="47">
        <v>50001005</v>
      </c>
      <c r="G7" s="46">
        <f ca="1">VLOOKUP($C7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1</v>
      </c>
      <c r="H7" s="46">
        <f ca="1">VLOOKUP($C7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7" s="46">
        <f ca="1">VLOOKUP($C7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7" s="46" t="str">
        <f ca="1">VLOOKUP($C7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7" s="46" t="str">
        <f ca="1">VLOOKUP($C7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7" s="46">
        <f ca="1">VLOOKUP($C7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7" s="46" t="str">
        <f ca="1">VLOOKUP($C7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7" s="46" t="str">
        <f ca="1">VLOOKUP($C7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7" s="46">
        <f ca="1">VLOOKUP($C7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50001002_50001006</v>
      </c>
      <c r="B8" s="47">
        <v>50001002</v>
      </c>
      <c r="C8" s="47">
        <v>50001006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鈍足の儂を 少しは思いやれ！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Cパネルの生成が4つ延長される</v>
      </c>
      <c r="F8" s="47">
        <v>50001006</v>
      </c>
      <c r="G8" s="46">
        <f ca="1">VLOOKUP($C8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8" s="46">
        <f ca="1">VLOOKUP($C8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5</v>
      </c>
      <c r="I8" s="46">
        <f ca="1">VLOOKUP($C8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8" s="46">
        <f ca="1">VLOOKUP($C8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50</v>
      </c>
      <c r="K8" s="46" t="str">
        <f ca="1">VLOOKUP($C8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8" s="46">
        <f ca="1">VLOOKUP($C8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8" s="46" t="str">
        <f ca="1">VLOOKUP($C8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8" s="46" t="str">
        <f ca="1">VLOOKUP($C8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8" s="46">
        <f ca="1">VLOOKUP($C8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50001002_50001007</v>
      </c>
      <c r="B9" s="47">
        <v>50001002</v>
      </c>
      <c r="C9" s="47">
        <v>50001007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北方七宿撃・序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HPが低いほど強力な攻撃</v>
      </c>
      <c r="F9" s="47">
        <v>50001007</v>
      </c>
      <c r="G9" s="46">
        <f ca="1">VLOOKUP($C9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9" s="46">
        <f ca="1">VLOOKUP($C9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9" s="46">
        <f ca="1">VLOOKUP($C9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9" s="46">
        <f ca="1">VLOOKUP($C9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100</v>
      </c>
      <c r="K9" s="46">
        <f ca="1">VLOOKUP($C9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76</v>
      </c>
      <c r="L9" s="46" t="str">
        <f ca="1">VLOOKUP($C9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9" s="46" t="str">
        <f ca="1">VLOOKUP($C9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9" s="46" t="str">
        <f ca="1">VLOOKUP($C9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9" s="46">
        <f ca="1">VLOOKUP($C9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50001002_50001008</v>
      </c>
      <c r="B10" s="47">
        <v>50001002</v>
      </c>
      <c r="C10" s="47">
        <v>50001008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北方七宿撃・破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HPが低いほど強力な攻撃</v>
      </c>
      <c r="F10" s="47">
        <v>50001008</v>
      </c>
      <c r="G10" s="46">
        <f ca="1">VLOOKUP($C10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10" s="46">
        <f ca="1">VLOOKUP($C10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10" s="46">
        <f ca="1">VLOOKUP($C10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10" s="46">
        <f ca="1">VLOOKUP($C10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75</v>
      </c>
      <c r="K10" s="46">
        <f ca="1">VLOOKUP($C10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51</v>
      </c>
      <c r="L10" s="46" t="str">
        <f ca="1">VLOOKUP($C10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10" s="46" t="str">
        <f ca="1">VLOOKUP($C10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10" s="46" t="str">
        <f ca="1">VLOOKUP($C10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10" s="46">
        <f ca="1">VLOOKUP($C10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50001002_50001009</v>
      </c>
      <c r="B11" s="47">
        <v>50001002</v>
      </c>
      <c r="C11" s="47">
        <v>50001009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北方七宿撃・急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HPが低いほど強力な攻撃</v>
      </c>
      <c r="F11" s="47">
        <v>50001009</v>
      </c>
      <c r="G11" s="46">
        <f ca="1">VLOOKUP($C11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11" s="46">
        <f ca="1">VLOOKUP($C11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11" s="46">
        <f ca="1">VLOOKUP($C11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11" s="46">
        <f ca="1">VLOOKUP($C11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50</v>
      </c>
      <c r="K11" s="46">
        <f ca="1">VLOOKUP($C11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26</v>
      </c>
      <c r="L11" s="46" t="str">
        <f ca="1">VLOOKUP($C11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11" s="46" t="str">
        <f ca="1">VLOOKUP($C11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11" s="46" t="str">
        <f ca="1">VLOOKUP($C11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11" s="46">
        <f ca="1">VLOOKUP($C11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50001002_50001010</v>
      </c>
      <c r="B12" s="47">
        <v>50001002</v>
      </c>
      <c r="C12" s="47">
        <v>50001010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北方七宿撃・終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HPが低いほど強力な攻撃</v>
      </c>
      <c r="F12" s="47">
        <v>50001010</v>
      </c>
      <c r="G12" s="46">
        <f ca="1">VLOOKUP($C12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12" s="46">
        <f ca="1">VLOOKUP($C12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12" s="46">
        <f ca="1">VLOOKUP($C12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12" s="46">
        <f ca="1">VLOOKUP($C12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25</v>
      </c>
      <c r="K12" s="46" t="str">
        <f ca="1">VLOOKUP($C12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12" s="46" t="str">
        <f ca="1">VLOOKUP($C12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12" s="46" t="str">
        <f ca="1">VLOOKUP($C12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12" s="46" t="str">
        <f ca="1">VLOOKUP($C12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12" s="46">
        <f ca="1">VLOOKUP($C12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1"/>
        <v>50001002_50001011</v>
      </c>
      <c r="B13" s="47">
        <v>50001002</v>
      </c>
      <c r="C13" s="47">
        <v>50001011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朱雀の奴め生き急ぎおって…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解除するまで攻撃力がアップ</v>
      </c>
      <c r="F13" s="47">
        <v>50001011</v>
      </c>
      <c r="G13" s="46">
        <f ca="1">VLOOKUP($C13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13" s="46">
        <f ca="1">VLOOKUP($C13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13" s="46">
        <f ca="1">VLOOKUP($C13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13" s="46" t="str">
        <f ca="1">VLOOKUP($C13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13" s="46" t="str">
        <f ca="1">VLOOKUP($C13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13" s="46">
        <f ca="1">VLOOKUP($C13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13" s="46" t="str">
        <f ca="1">VLOOKUP($C13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13" s="46">
        <f ca="1">VLOOKUP($C13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86</v>
      </c>
      <c r="O13" s="46">
        <f ca="1">VLOOKUP($C13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50001003_50001012</v>
      </c>
      <c r="B14" s="47">
        <v>50001003</v>
      </c>
      <c r="C14" s="47">
        <v>50001012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オレ様についてこれるかー？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解除するまで行動頻度が1になる</v>
      </c>
      <c r="F14" s="47">
        <v>50001012</v>
      </c>
      <c r="G14" s="46">
        <f ca="1">VLOOKUP($C14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1</v>
      </c>
      <c r="H14" s="46">
        <f ca="1">VLOOKUP($C14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14" s="46">
        <f ca="1">VLOOKUP($C14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14" s="46" t="str">
        <f ca="1">VLOOKUP($C14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14" s="46" t="str">
        <f ca="1">VLOOKUP($C14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14" s="46">
        <f ca="1">VLOOKUP($C14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14" s="46" t="str">
        <f ca="1">VLOOKUP($C14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14" s="46" t="str">
        <f ca="1">VLOOKUP($C14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14" s="46">
        <f ca="1">VLOOKUP($C14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1"/>
        <v>50001003_50001013</v>
      </c>
      <c r="B15" s="47">
        <v>50001003</v>
      </c>
      <c r="C15" s="47">
        <v>50001013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牙王緊縛撃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全体攻撃＋3ターンスキルバインド</v>
      </c>
      <c r="F15" s="47">
        <v>50001013</v>
      </c>
      <c r="G15" s="46">
        <f ca="1">VLOOKUP($C15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15" s="46">
        <f ca="1">VLOOKUP($C15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15" s="46">
        <f ca="1">VLOOKUP($C15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15" s="46">
        <f ca="1">VLOOKUP($C15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50</v>
      </c>
      <c r="K15" s="46" t="str">
        <f ca="1">VLOOKUP($C15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15" s="46">
        <f ca="1">VLOOKUP($C15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15" s="46" t="str">
        <f ca="1">VLOOKUP($C15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15" s="46" t="str">
        <f ca="1">VLOOKUP($C15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15" s="46">
        <f ca="1">VLOOKUP($C15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1"/>
        <v>50001003_50001014</v>
      </c>
      <c r="B16" s="47">
        <v>50001003</v>
      </c>
      <c r="C16" s="47">
        <v>50001014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青龍…憧れてたのに(;_;)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HPが回復</v>
      </c>
      <c r="F16" s="47">
        <v>50001014</v>
      </c>
      <c r="G16" s="46">
        <f ca="1">VLOOKUP($C16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16" s="46">
        <f ca="1">VLOOKUP($C16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16" s="46">
        <f ca="1">VLOOKUP($C16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16" s="46" t="str">
        <f ca="1">VLOOKUP($C16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16" s="46" t="str">
        <f ca="1">VLOOKUP($C16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16" s="46">
        <f ca="1">VLOOKUP($C16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16" s="46" t="str">
        <f ca="1">VLOOKUP($C16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16" s="46">
        <f ca="1">VLOOKUP($C16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92</v>
      </c>
      <c r="O16" s="46">
        <f ca="1">VLOOKUP($C16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50001003_50001015</v>
      </c>
      <c r="B17" s="47">
        <v>50001003</v>
      </c>
      <c r="C17" s="47">
        <v>50001015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猛虎雷撃爪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連続攻撃</v>
      </c>
      <c r="F17" s="47">
        <v>50001015</v>
      </c>
      <c r="G17" s="46">
        <f ca="1">VLOOKUP($C17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17" s="46">
        <f ca="1">VLOOKUP($C17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17" s="46">
        <f ca="1">VLOOKUP($C17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30</v>
      </c>
      <c r="J17" s="46">
        <f ca="1">VLOOKUP($C17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30</v>
      </c>
      <c r="K17" s="46" t="str">
        <f ca="1">VLOOKUP($C17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17" s="46" t="str">
        <f ca="1">VLOOKUP($C17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17" s="46" t="str">
        <f ca="1">VLOOKUP($C17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17" s="46" t="str">
        <f ca="1">VLOOKUP($C17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17" s="46">
        <f ca="1">VLOOKUP($C17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30</v>
      </c>
      <c r="P17" s="47"/>
      <c r="Q17" s="47"/>
      <c r="R17" s="47"/>
    </row>
    <row r="18" spans="1:18" ht="21" customHeight="1" x14ac:dyDescent="0.15">
      <c r="A18" s="39" t="str">
        <f t="shared" ref="A18" si="3">B18&amp;"_"&amp;C18</f>
        <v>50001004_50001052</v>
      </c>
      <c r="B18" s="47">
        <v>50001004</v>
      </c>
      <c r="C18" s="47">
        <v>50001052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私は ほどほどにお相手しよう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解除するまで攻撃頻度が2になる</v>
      </c>
      <c r="F18" s="47">
        <v>50001052</v>
      </c>
      <c r="G18" s="46">
        <f ca="1">VLOOKUP($C18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1</v>
      </c>
      <c r="H18" s="46">
        <f ca="1">VLOOKUP($C18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18" s="46">
        <f ca="1">VLOOKUP($C18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18" s="46" t="str">
        <f ca="1">VLOOKUP($C18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18" s="46" t="str">
        <f ca="1">VLOOKUP($C18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18" s="46">
        <f ca="1">VLOOKUP($C18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18" s="46" t="str">
        <f ca="1">VLOOKUP($C18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18" s="46" t="str">
        <f ca="1">VLOOKUP($C18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18" s="46">
        <f ca="1">VLOOKUP($C18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1"/>
        <v>50001004_50001016</v>
      </c>
      <c r="B19" s="47">
        <v>50001004</v>
      </c>
      <c r="C19" s="47">
        <v>50001016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翔竜氷嵐弾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9" s="47">
        <v>50001016</v>
      </c>
      <c r="G19" s="46">
        <f ca="1">VLOOKUP($C19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19" s="46">
        <f ca="1">VLOOKUP($C19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19" s="46">
        <f ca="1">VLOOKUP($C19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30</v>
      </c>
      <c r="J19" s="46" t="str">
        <f ca="1">VLOOKUP($C19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19" s="46" t="str">
        <f ca="1">VLOOKUP($C19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19" s="46" t="str">
        <f ca="1">VLOOKUP($C19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19" s="46" t="str">
        <f ca="1">VLOOKUP($C19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19" s="46" t="str">
        <f ca="1">VLOOKUP($C19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19" s="46">
        <f ca="1">VLOOKUP($C19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30</v>
      </c>
      <c r="P19" s="47"/>
      <c r="Q19" s="47"/>
      <c r="R19" s="47"/>
    </row>
    <row r="20" spans="1:18" ht="21" customHeight="1" x14ac:dyDescent="0.15">
      <c r="A20" s="39" t="str">
        <f t="shared" si="1"/>
        <v>50001004_50001017</v>
      </c>
      <c r="B20" s="47">
        <v>50001004</v>
      </c>
      <c r="C20" s="47">
        <v>50001017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ウロコが乱れたではないか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HP回復</v>
      </c>
      <c r="F20" s="47">
        <v>50001017</v>
      </c>
      <c r="G20" s="46">
        <f ca="1">VLOOKUP($C20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20" s="46">
        <f ca="1">VLOOKUP($C20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2</v>
      </c>
      <c r="I20" s="46">
        <f ca="1">VLOOKUP($C20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50</v>
      </c>
      <c r="J20" s="46">
        <f ca="1">VLOOKUP($C20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50</v>
      </c>
      <c r="K20" s="46" t="str">
        <f ca="1">VLOOKUP($C20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20" s="46">
        <f ca="1">VLOOKUP($C20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20" s="46" t="str">
        <f ca="1">VLOOKUP($C20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20" s="46" t="str">
        <f ca="1">VLOOKUP($C20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20" s="46">
        <f ca="1">VLOOKUP($C20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50</v>
      </c>
      <c r="P20" s="47"/>
      <c r="Q20" s="47"/>
      <c r="R20" s="47"/>
    </row>
    <row r="21" spans="1:18" ht="21" customHeight="1" x14ac:dyDescent="0.15">
      <c r="A21" s="39" t="str">
        <f t="shared" si="1"/>
        <v>50001004_50001018</v>
      </c>
      <c r="B21" s="47">
        <v>50001004</v>
      </c>
      <c r="C21" s="47">
        <v>50001018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白虎を止めるとは…！！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解除するまで行動頻度が1になる</v>
      </c>
      <c r="F21" s="47">
        <v>50001018</v>
      </c>
      <c r="G21" s="46">
        <f ca="1">VLOOKUP($C21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21" s="46">
        <f ca="1">VLOOKUP($C21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21" s="46">
        <f ca="1">VLOOKUP($C21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21" s="46" t="str">
        <f ca="1">VLOOKUP($C21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21" s="46" t="str">
        <f ca="1">VLOOKUP($C21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21" s="46">
        <f ca="1">VLOOKUP($C21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21" s="46" t="str">
        <f ca="1">VLOOKUP($C21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21" s="46">
        <f ca="1">VLOOKUP($C21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95</v>
      </c>
      <c r="O21" s="46">
        <f ca="1">VLOOKUP($C21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1"/>
        <v>50001004_50001019</v>
      </c>
      <c r="B22" s="47">
        <v>50001004</v>
      </c>
      <c r="C22" s="47">
        <v>50001019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硬直秘孔突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単体にダメージ＋スリープ</v>
      </c>
      <c r="F22" s="47">
        <v>50001019</v>
      </c>
      <c r="G22" s="46">
        <f ca="1">VLOOKUP($C22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22" s="46">
        <f ca="1">VLOOKUP($C22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22" s="46">
        <f ca="1">VLOOKUP($C22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30</v>
      </c>
      <c r="J22" s="46" t="str">
        <f ca="1">VLOOKUP($C22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22" s="46">
        <f ca="1">VLOOKUP($C22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50</v>
      </c>
      <c r="L22" s="46">
        <f ca="1">VLOOKUP($C22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3</v>
      </c>
      <c r="M22" s="46" t="str">
        <f ca="1">VLOOKUP($C22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22" s="46" t="str">
        <f ca="1">VLOOKUP($C22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22" s="46">
        <f ca="1">VLOOKUP($C22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30</v>
      </c>
      <c r="P22" s="47"/>
      <c r="Q22" s="47"/>
      <c r="R22" s="47"/>
    </row>
    <row r="23" spans="1:18" ht="21" customHeight="1" x14ac:dyDescent="0.15">
      <c r="A23" s="39" t="str">
        <f t="shared" si="1"/>
        <v>50001005_50001020</v>
      </c>
      <c r="B23" s="69">
        <v>50001005</v>
      </c>
      <c r="C23" s="47">
        <v>50001020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妾に楯突くとは…命知らずが！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3ターンの間攻撃力がアップ</v>
      </c>
      <c r="F23" s="47">
        <v>50001020</v>
      </c>
      <c r="G23" s="46">
        <f ca="1">VLOOKUP($C23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1</v>
      </c>
      <c r="H23" s="46">
        <f ca="1">VLOOKUP($C23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23" s="46">
        <f ca="1">VLOOKUP($C23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23" s="46" t="str">
        <f ca="1">VLOOKUP($C23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23" s="46" t="str">
        <f ca="1">VLOOKUP($C23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23" s="46">
        <f ca="1">VLOOKUP($C23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23" s="46" t="str">
        <f ca="1">VLOOKUP($C23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23" s="46" t="str">
        <f ca="1">VLOOKUP($C23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23" s="46">
        <f ca="1">VLOOKUP($C23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1"/>
        <v>50001005_50001021</v>
      </c>
      <c r="B24" s="69">
        <v>50001005</v>
      </c>
      <c r="C24" s="47">
        <v>50001021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雷光閃・拡散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4" s="47">
        <v>50001021</v>
      </c>
      <c r="G24" s="46">
        <f ca="1">VLOOKUP($C24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24" s="46">
        <f ca="1">VLOOKUP($C24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24" s="46">
        <f ca="1">VLOOKUP($C24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30</v>
      </c>
      <c r="J24" s="46" t="str">
        <f ca="1">VLOOKUP($C24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24" s="46" t="str">
        <f ca="1">VLOOKUP($C24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24" s="46" t="str">
        <f ca="1">VLOOKUP($C24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24" s="46" t="str">
        <f ca="1">VLOOKUP($C24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24" s="46" t="str">
        <f ca="1">VLOOKUP($C24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24" s="46">
        <f ca="1">VLOOKUP($C24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30</v>
      </c>
      <c r="P24" s="47"/>
      <c r="Q24" s="47"/>
      <c r="R24" s="47"/>
    </row>
    <row r="25" spans="1:18" ht="21" customHeight="1" x14ac:dyDescent="0.15">
      <c r="A25" s="39" t="str">
        <f t="shared" si="1"/>
        <v>50001005_50001022</v>
      </c>
      <c r="B25" s="69">
        <v>50001005</v>
      </c>
      <c r="C25" s="47">
        <v>50001022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太極布陣・攻撃劣化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5ターンの間全体の攻撃力がダウン</v>
      </c>
      <c r="F25" s="47">
        <v>50001022</v>
      </c>
      <c r="G25" s="46">
        <f ca="1">VLOOKUP($C25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25" s="46">
        <f ca="1">VLOOKUP($C25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25" s="46">
        <f ca="1">VLOOKUP($C25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50</v>
      </c>
      <c r="J25" s="46" t="str">
        <f ca="1">VLOOKUP($C25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25" s="46" t="str">
        <f ca="1">VLOOKUP($C25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25" s="46" t="str">
        <f ca="1">VLOOKUP($C25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25" s="46">
        <f ca="1">VLOOKUP($C25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2</v>
      </c>
      <c r="N25" s="46" t="str">
        <f ca="1">VLOOKUP($C25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25" s="46">
        <f ca="1">VLOOKUP($C25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50</v>
      </c>
      <c r="P25" s="47"/>
      <c r="Q25" s="47"/>
      <c r="R25" s="47"/>
    </row>
    <row r="26" spans="1:18" ht="21" customHeight="1" x14ac:dyDescent="0.15">
      <c r="A26" s="39" t="str">
        <f t="shared" si="1"/>
        <v>50001005_50001023</v>
      </c>
      <c r="B26" s="69">
        <v>50001005</v>
      </c>
      <c r="C26" s="47">
        <v>50001023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太極布陣・生命劣化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解除するまで回復力がダウン</v>
      </c>
      <c r="F26" s="47">
        <v>50001023</v>
      </c>
      <c r="G26" s="46">
        <f ca="1">VLOOKUP($C26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26" s="46">
        <f ca="1">VLOOKUP($C26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26" s="46">
        <f ca="1">VLOOKUP($C26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26" s="46">
        <f ca="1">VLOOKUP($C26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50</v>
      </c>
      <c r="K26" s="46" t="str">
        <f ca="1">VLOOKUP($C26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26" s="46" t="str">
        <f ca="1">VLOOKUP($C26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26" s="46">
        <f ca="1">VLOOKUP($C26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3</v>
      </c>
      <c r="N26" s="46" t="str">
        <f ca="1">VLOOKUP($C26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26" s="46">
        <f ca="1">VLOOKUP($C26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ref="A27" si="4">B27&amp;"_"&amp;C27</f>
        <v>50001005_50001053</v>
      </c>
      <c r="B27" s="69">
        <v>50001005</v>
      </c>
      <c r="C27" s="47">
        <v>50001053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雷光閃・拡散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7" s="47">
        <v>50001053</v>
      </c>
      <c r="G27" s="46">
        <f ca="1">VLOOKUP($C27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27" s="46">
        <f ca="1">VLOOKUP($C27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27" s="46">
        <f ca="1">VLOOKUP($C27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27" s="46" t="str">
        <f ca="1">VLOOKUP($C27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27" s="46" t="str">
        <f ca="1">VLOOKUP($C27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27" s="46">
        <f ca="1">VLOOKUP($C27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27" s="46" t="str">
        <f ca="1">VLOOKUP($C27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27" s="46" t="str">
        <f ca="1">VLOOKUP($C27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27" s="46">
        <f ca="1">VLOOKUP($C27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1"/>
        <v>50001006_50001024</v>
      </c>
      <c r="B28" s="70">
        <v>50001006</v>
      </c>
      <c r="C28" s="47">
        <v>50001024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しつこい奴め…返り討ちじゃ！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3ターンの間攻撃力がアップ</v>
      </c>
      <c r="F28" s="47">
        <v>50001024</v>
      </c>
      <c r="G28" s="46">
        <f ca="1">VLOOKUP($C28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1</v>
      </c>
      <c r="H28" s="46">
        <f ca="1">VLOOKUP($C28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28" s="46">
        <f ca="1">VLOOKUP($C28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28" s="46" t="str">
        <f ca="1">VLOOKUP($C28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28" s="46" t="str">
        <f ca="1">VLOOKUP($C28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28" s="46">
        <f ca="1">VLOOKUP($C28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28" s="46" t="str">
        <f ca="1">VLOOKUP($C28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28" s="46" t="str">
        <f ca="1">VLOOKUP($C28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28" s="46">
        <f ca="1">VLOOKUP($C28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1"/>
        <v>50001006_50001025</v>
      </c>
      <c r="B29" s="70">
        <v>50001006</v>
      </c>
      <c r="C29" s="47">
        <v>50001025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雷光閃・拡散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9" s="47">
        <v>50001025</v>
      </c>
      <c r="G29" s="46">
        <f ca="1">VLOOKUP($C29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29" s="46">
        <f ca="1">VLOOKUP($C29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29" s="46">
        <f ca="1">VLOOKUP($C29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30</v>
      </c>
      <c r="J29" s="46" t="str">
        <f ca="1">VLOOKUP($C29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29" s="46" t="str">
        <f ca="1">VLOOKUP($C29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29" s="46" t="str">
        <f ca="1">VLOOKUP($C29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29" s="46" t="str">
        <f ca="1">VLOOKUP($C29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29" s="46" t="str">
        <f ca="1">VLOOKUP($C29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29" s="46">
        <f ca="1">VLOOKUP($C29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30</v>
      </c>
      <c r="P29" s="47"/>
      <c r="Q29" s="47"/>
      <c r="R29" s="47"/>
    </row>
    <row r="30" spans="1:18" ht="21" customHeight="1" x14ac:dyDescent="0.15">
      <c r="A30" s="39" t="str">
        <f t="shared" si="1"/>
        <v>50001006_50001026</v>
      </c>
      <c r="B30" s="70">
        <v>50001006</v>
      </c>
      <c r="C30" s="47">
        <v>50001026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太極布陣・万物流転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お邪魔パネル生成</v>
      </c>
      <c r="F30" s="47">
        <v>50001026</v>
      </c>
      <c r="G30" s="46">
        <f ca="1">VLOOKUP($C30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30" s="46">
        <f ca="1">VLOOKUP($C30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30" s="46">
        <f ca="1">VLOOKUP($C30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30</v>
      </c>
      <c r="J30" s="46" t="str">
        <f ca="1">VLOOKUP($C30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30" s="46" t="str">
        <f ca="1">VLOOKUP($C30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30" s="46" t="str">
        <f ca="1">VLOOKUP($C30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30" s="46" t="str">
        <f ca="1">VLOOKUP($C30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30" s="46" t="str">
        <f ca="1">VLOOKUP($C30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30" s="46">
        <f ca="1">VLOOKUP($C30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30</v>
      </c>
      <c r="P30" s="47"/>
      <c r="Q30" s="47"/>
      <c r="R30" s="47"/>
    </row>
    <row r="31" spans="1:18" ht="21" customHeight="1" x14ac:dyDescent="0.15">
      <c r="A31" s="39" t="str">
        <f t="shared" si="1"/>
        <v>50001006_50001027</v>
      </c>
      <c r="B31" s="70">
        <v>50001006</v>
      </c>
      <c r="C31" s="47">
        <v>50001027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駿馬迅雷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解除するまで攻撃頻度が1になる</v>
      </c>
      <c r="F31" s="47">
        <v>50001027</v>
      </c>
      <c r="G31" s="46">
        <f ca="1">VLOOKUP($C31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31" s="46">
        <f ca="1">VLOOKUP($C31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2</v>
      </c>
      <c r="I31" s="46">
        <f ca="1">VLOOKUP($C31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31" s="46">
        <f ca="1">VLOOKUP($C31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50</v>
      </c>
      <c r="K31" s="46" t="str">
        <f ca="1">VLOOKUP($C31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31" s="46">
        <f ca="1">VLOOKUP($C31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31" s="46" t="str">
        <f ca="1">VLOOKUP($C31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31" s="46" t="str">
        <f ca="1">VLOOKUP($C31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31" s="46">
        <f ca="1">VLOOKUP($C31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1"/>
        <v>50001006_50001028</v>
      </c>
      <c r="B32" s="70">
        <v>50001006</v>
      </c>
      <c r="C32" s="47">
        <v>50001028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斬神閃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</v>
      </c>
      <c r="F32" s="47">
        <v>50001028</v>
      </c>
      <c r="G32" s="46">
        <f ca="1">VLOOKUP($C32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32" s="46">
        <f ca="1">VLOOKUP($C32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32" s="46">
        <f ca="1">VLOOKUP($C32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30</v>
      </c>
      <c r="J32" s="46" t="str">
        <f ca="1">VLOOKUP($C32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32" s="46" t="str">
        <f ca="1">VLOOKUP($C32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32" s="46" t="str">
        <f ca="1">VLOOKUP($C32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32" s="46" t="str">
        <f ca="1">VLOOKUP($C32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32" s="46" t="str">
        <f ca="1">VLOOKUP($C32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32" s="46">
        <f ca="1">VLOOKUP($C32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30</v>
      </c>
      <c r="P32" s="47"/>
      <c r="Q32" s="47"/>
      <c r="R32" s="47"/>
    </row>
    <row r="33" spans="1:18" ht="21" customHeight="1" x14ac:dyDescent="0.15">
      <c r="A33" s="39" t="str">
        <f t="shared" si="1"/>
        <v>50001007_50001029</v>
      </c>
      <c r="B33" s="71">
        <v>50001007</v>
      </c>
      <c r="C33" s="47">
        <v>50001029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この力…手放すものか！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右手に力を溜め始めた_x000D_状態異常無効＋3ターン暗闇</v>
      </c>
      <c r="F33" s="47">
        <v>50001029</v>
      </c>
      <c r="G33" s="46">
        <f ca="1">VLOOKUP($C33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1</v>
      </c>
      <c r="H33" s="46">
        <f ca="1">VLOOKUP($C33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33" s="46">
        <f ca="1">VLOOKUP($C33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33" s="46" t="str">
        <f ca="1">VLOOKUP($C33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33" s="46" t="str">
        <f ca="1">VLOOKUP($C33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33" s="46">
        <f ca="1">VLOOKUP($C33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33" s="46" t="str">
        <f ca="1">VLOOKUP($C33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33" s="46" t="str">
        <f ca="1">VLOOKUP($C33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33" s="46">
        <f ca="1">VLOOKUP($C33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1"/>
        <v>50001007_50001030</v>
      </c>
      <c r="B34" s="71">
        <v>50001007</v>
      </c>
      <c r="C34" s="47">
        <v>50001030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雷光閃・連撃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連続攻撃</v>
      </c>
      <c r="F34" s="47">
        <v>50001030</v>
      </c>
      <c r="G34" s="46">
        <f ca="1">VLOOKUP($C34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34" s="46">
        <f ca="1">VLOOKUP($C34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34" s="46">
        <f ca="1">VLOOKUP($C34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30</v>
      </c>
      <c r="J34" s="46">
        <f ca="1">VLOOKUP($C34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50</v>
      </c>
      <c r="K34" s="46" t="str">
        <f ca="1">VLOOKUP($C34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34" s="46" t="str">
        <f ca="1">VLOOKUP($C34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34" s="46" t="str">
        <f ca="1">VLOOKUP($C34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34" s="46" t="str">
        <f ca="1">VLOOKUP($C34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34" s="46">
        <f ca="1">VLOOKUP($C34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30</v>
      </c>
      <c r="P34" s="47"/>
      <c r="Q34" s="47"/>
      <c r="R34" s="47"/>
    </row>
    <row r="35" spans="1:18" ht="21" customHeight="1" x14ac:dyDescent="0.15">
      <c r="A35" s="39" t="str">
        <f t="shared" si="1"/>
        <v>50001007_50001031</v>
      </c>
      <c r="B35" s="71">
        <v>50001007</v>
      </c>
      <c r="C35" s="47">
        <v>50001031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斬神閃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</v>
      </c>
      <c r="F35" s="47">
        <v>50001031</v>
      </c>
      <c r="G35" s="46">
        <f ca="1">VLOOKUP($C35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35" s="46">
        <f ca="1">VLOOKUP($C35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35" s="46">
        <f ca="1">VLOOKUP($C35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30</v>
      </c>
      <c r="J35" s="46" t="str">
        <f ca="1">VLOOKUP($C35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35" s="46" t="str">
        <f ca="1">VLOOKUP($C35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35" s="46" t="str">
        <f ca="1">VLOOKUP($C35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35" s="46" t="str">
        <f ca="1">VLOOKUP($C35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35" s="46" t="str">
        <f ca="1">VLOOKUP($C35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35" s="46">
        <f ca="1">VLOOKUP($C35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30</v>
      </c>
      <c r="P35" s="47"/>
      <c r="Q35" s="47"/>
      <c r="R35" s="47"/>
    </row>
    <row r="36" spans="1:18" ht="21" customHeight="1" x14ac:dyDescent="0.15">
      <c r="A36" s="39" t="str">
        <f t="shared" si="1"/>
        <v>50001007_50001033</v>
      </c>
      <c r="B36" s="71">
        <v>50001007</v>
      </c>
      <c r="C36" s="47">
        <v>50001033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右手の力が今にも溢れ出しそうだ・・・！！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嫌な予感・・・</v>
      </c>
      <c r="F36" s="47">
        <v>50001033</v>
      </c>
      <c r="G36" s="46">
        <f ca="1">VLOOKUP($C36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36" s="46">
        <f ca="1">VLOOKUP($C36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2</v>
      </c>
      <c r="I36" s="46">
        <f ca="1">VLOOKUP($C36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36" s="46" t="str">
        <f ca="1">VLOOKUP($C36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36" s="46" t="str">
        <f ca="1">VLOOKUP($C36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36" s="46">
        <f ca="1">VLOOKUP($C36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36" s="46">
        <f ca="1">VLOOKUP($C36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3</v>
      </c>
      <c r="N36" s="46" t="str">
        <f ca="1">VLOOKUP($C36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36" s="46">
        <f ca="1">VLOOKUP($C36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ref="A37" si="5">B37&amp;"_"&amp;C37</f>
        <v>50001007_50001054</v>
      </c>
      <c r="B37" s="71">
        <v>50001007</v>
      </c>
      <c r="C37" s="47">
        <v>50001054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雷光閃・蓄積放電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超強力な一撃！</v>
      </c>
      <c r="F37" s="47">
        <v>50001054</v>
      </c>
      <c r="G37" s="46">
        <f ca="1">VLOOKUP($C37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37" s="46">
        <f ca="1">VLOOKUP($C37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3</v>
      </c>
      <c r="I37" s="46">
        <f ca="1">VLOOKUP($C37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37" s="46" t="str">
        <f ca="1">VLOOKUP($C37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37" s="46" t="str">
        <f ca="1">VLOOKUP($C37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37" s="46">
        <f ca="1">VLOOKUP($C37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37" s="46">
        <f ca="1">VLOOKUP($C37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4</v>
      </c>
      <c r="N37" s="46" t="str">
        <f ca="1">VLOOKUP($C37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37" s="46">
        <f ca="1">VLOOKUP($C37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1"/>
        <v>50001007_50001034</v>
      </c>
      <c r="B38" s="71">
        <v>50001007</v>
      </c>
      <c r="C38" s="47">
        <v>50001034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「…ワタシ ナゼ ココニ…？」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別人のような目で こちらを見ている…</v>
      </c>
      <c r="F38" s="47">
        <v>50001034</v>
      </c>
      <c r="G38" s="46">
        <f ca="1">VLOOKUP($C38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38" s="46">
        <f ca="1">VLOOKUP($C38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38" s="46">
        <f ca="1">VLOOKUP($C38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50</v>
      </c>
      <c r="J38" s="46" t="str">
        <f ca="1">VLOOKUP($C38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38" s="46">
        <f ca="1">VLOOKUP($C38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80</v>
      </c>
      <c r="L38" s="46" t="str">
        <f ca="1">VLOOKUP($C38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38" s="46" t="str">
        <f ca="1">VLOOKUP($C38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38" s="46" t="str">
        <f ca="1">VLOOKUP($C38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38" s="46">
        <f ca="1">VLOOKUP($C38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50</v>
      </c>
      <c r="P38" s="47"/>
      <c r="Q38" s="47"/>
      <c r="R38" s="47"/>
    </row>
    <row r="39" spans="1:18" ht="21" customHeight="1" x14ac:dyDescent="0.15">
      <c r="A39" s="39" t="str">
        <f t="shared" si="1"/>
        <v>50001008_50001035</v>
      </c>
      <c r="B39" s="72">
        <v>50001008</v>
      </c>
      <c r="C39" s="47">
        <v>50001035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「オネガイ…ワタシヲ トメ テ」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麒麟の影像が乱れた！_x000D_状態異常無効＋お邪魔パネル生成</v>
      </c>
      <c r="F39" s="47">
        <v>50001035</v>
      </c>
      <c r="G39" s="46">
        <f ca="1">VLOOKUP($C39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1</v>
      </c>
      <c r="H39" s="46">
        <f ca="1">VLOOKUP($C39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39" s="46">
        <f ca="1">VLOOKUP($C39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39" s="46" t="str">
        <f ca="1">VLOOKUP($C39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39" s="46" t="str">
        <f ca="1">VLOOKUP($C39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39" s="46">
        <f ca="1">VLOOKUP($C39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39" s="46" t="str">
        <f ca="1">VLOOKUP($C39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39" s="46" t="str">
        <f ca="1">VLOOKUP($C39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39" s="46">
        <f ca="1">VLOOKUP($C39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1"/>
        <v>50001008_50001036</v>
      </c>
      <c r="B40" s="72">
        <v>50001008</v>
      </c>
      <c r="C40" s="47">
        <v>50001036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氷嵐烈閃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赤属性ユニットに大ダメージ</v>
      </c>
      <c r="F40" s="47">
        <v>50001036</v>
      </c>
      <c r="G40" s="46">
        <f ca="1">VLOOKUP($C40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40" s="46">
        <f ca="1">VLOOKUP($C40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5</v>
      </c>
      <c r="I40" s="46">
        <f ca="1">VLOOKUP($C40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25</v>
      </c>
      <c r="J40" s="46" t="str">
        <f ca="1">VLOOKUP($C40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40" s="46" t="str">
        <f ca="1">VLOOKUP($C40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40" s="46" t="str">
        <f ca="1">VLOOKUP($C40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40" s="46" t="str">
        <f ca="1">VLOOKUP($C40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40" s="46" t="str">
        <f ca="1">VLOOKUP($C40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40" s="46">
        <f ca="1">VLOOKUP($C40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25</v>
      </c>
      <c r="P40" s="47"/>
      <c r="Q40" s="47"/>
      <c r="R40" s="47"/>
    </row>
    <row r="41" spans="1:18" ht="21" customHeight="1" x14ac:dyDescent="0.15">
      <c r="A41" s="39" t="str">
        <f t="shared" si="1"/>
        <v>50001008_50001037</v>
      </c>
      <c r="B41" s="72">
        <v>50001008</v>
      </c>
      <c r="C41" s="47">
        <v>50001037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雷光烈閃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青属性ユニットに大ダメージ</v>
      </c>
      <c r="F41" s="47">
        <v>50001037</v>
      </c>
      <c r="G41" s="46">
        <f ca="1">VLOOKUP($C41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41" s="46">
        <f ca="1">VLOOKUP($C41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5</v>
      </c>
      <c r="I41" s="46">
        <f ca="1">VLOOKUP($C41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25</v>
      </c>
      <c r="J41" s="46" t="str">
        <f ca="1">VLOOKUP($C41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41" s="46" t="str">
        <f ca="1">VLOOKUP($C41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41" s="46" t="str">
        <f ca="1">VLOOKUP($C41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41" s="46" t="str">
        <f ca="1">VLOOKUP($C41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41" s="46" t="str">
        <f ca="1">VLOOKUP($C41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41" s="46">
        <f ca="1">VLOOKUP($C41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25</v>
      </c>
      <c r="P41" s="47"/>
      <c r="Q41" s="47"/>
      <c r="R41" s="47"/>
    </row>
    <row r="42" spans="1:18" ht="21" customHeight="1" x14ac:dyDescent="0.15">
      <c r="A42" s="39" t="str">
        <f t="shared" ref="A42:A54" si="6">B42&amp;"_"&amp;C42</f>
        <v>50001008_50001038</v>
      </c>
      <c r="B42" s="72">
        <v>50001008</v>
      </c>
      <c r="C42" s="47">
        <v>50001038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地鳴烈閃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黄属性ユニットに大ダメージ</v>
      </c>
      <c r="F42" s="47">
        <v>50001038</v>
      </c>
      <c r="G42" s="46">
        <f ca="1">VLOOKUP($C42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42" s="46">
        <f ca="1">VLOOKUP($C42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5</v>
      </c>
      <c r="I42" s="46">
        <f ca="1">VLOOKUP($C42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25</v>
      </c>
      <c r="J42" s="46" t="str">
        <f ca="1">VLOOKUP($C42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42" s="46" t="str">
        <f ca="1">VLOOKUP($C42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42" s="46" t="str">
        <f ca="1">VLOOKUP($C42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42" s="46" t="str">
        <f ca="1">VLOOKUP($C42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42" s="46" t="str">
        <f ca="1">VLOOKUP($C42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42" s="46">
        <f ca="1">VLOOKUP($C42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25</v>
      </c>
      <c r="P42" s="47"/>
      <c r="Q42" s="47"/>
      <c r="R42" s="47"/>
    </row>
    <row r="43" spans="1:18" ht="21" customHeight="1" x14ac:dyDescent="0.15">
      <c r="A43" s="39" t="str">
        <f t="shared" si="6"/>
        <v>50001008_50001039</v>
      </c>
      <c r="B43" s="72">
        <v>50001008</v>
      </c>
      <c r="C43" s="47">
        <v>50001039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炎封陣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5ターンの間赤パネル無効＋ダメージ</v>
      </c>
      <c r="F43" s="47">
        <v>50001039</v>
      </c>
      <c r="G43" s="46">
        <f ca="1">VLOOKUP($C43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43" s="46">
        <f ca="1">VLOOKUP($C43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10</v>
      </c>
      <c r="I43" s="46">
        <f ca="1">VLOOKUP($C43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20</v>
      </c>
      <c r="J43" s="46">
        <f ca="1">VLOOKUP($C43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50</v>
      </c>
      <c r="K43" s="46" t="str">
        <f ca="1">VLOOKUP($C43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43" s="46">
        <f ca="1">VLOOKUP($C43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43" s="46" t="str">
        <f ca="1">VLOOKUP($C43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43" s="46" t="str">
        <f ca="1">VLOOKUP($C43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43" s="46">
        <f ca="1">VLOOKUP($C43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20</v>
      </c>
      <c r="P43" s="47"/>
      <c r="Q43" s="47"/>
      <c r="R43" s="47"/>
    </row>
    <row r="44" spans="1:18" ht="21" customHeight="1" x14ac:dyDescent="0.15">
      <c r="A44" s="39" t="str">
        <f t="shared" si="6"/>
        <v>50001008_50001040</v>
      </c>
      <c r="B44" s="72">
        <v>50001008</v>
      </c>
      <c r="C44" s="47">
        <v>50001040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地封陣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5ターンの間緑パネル無効＋ダメージ</v>
      </c>
      <c r="F44" s="47">
        <v>50001040</v>
      </c>
      <c r="G44" s="46">
        <f ca="1">VLOOKUP($C44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44" s="46">
        <f ca="1">VLOOKUP($C44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10</v>
      </c>
      <c r="I44" s="46">
        <f ca="1">VLOOKUP($C44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20</v>
      </c>
      <c r="J44" s="46">
        <f ca="1">VLOOKUP($C44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50</v>
      </c>
      <c r="K44" s="46" t="str">
        <f ca="1">VLOOKUP($C44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44" s="46">
        <f ca="1">VLOOKUP($C44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44" s="46" t="str">
        <f ca="1">VLOOKUP($C44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44" s="46" t="str">
        <f ca="1">VLOOKUP($C44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44" s="46">
        <f ca="1">VLOOKUP($C44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20</v>
      </c>
      <c r="P44" s="47"/>
      <c r="Q44" s="47"/>
      <c r="R44" s="47"/>
    </row>
    <row r="45" spans="1:18" ht="21" customHeight="1" x14ac:dyDescent="0.15">
      <c r="A45" s="39" t="str">
        <f t="shared" si="6"/>
        <v>50001008_50001041</v>
      </c>
      <c r="B45" s="72">
        <v>50001008</v>
      </c>
      <c r="C45" s="47">
        <v>50001041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雷封陣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5ターンの間黄パネル無効＋ダメージ</v>
      </c>
      <c r="F45" s="47">
        <v>50001041</v>
      </c>
      <c r="G45" s="46">
        <f ca="1">VLOOKUP($C45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45" s="46">
        <f ca="1">VLOOKUP($C45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10</v>
      </c>
      <c r="I45" s="46">
        <f ca="1">VLOOKUP($C45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20</v>
      </c>
      <c r="J45" s="46">
        <f ca="1">VLOOKUP($C45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50</v>
      </c>
      <c r="K45" s="46" t="str">
        <f ca="1">VLOOKUP($C45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45" s="46">
        <f ca="1">VLOOKUP($C45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45" s="46" t="str">
        <f ca="1">VLOOKUP($C45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45" s="46" t="str">
        <f ca="1">VLOOKUP($C45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45" s="46">
        <f ca="1">VLOOKUP($C45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20</v>
      </c>
      <c r="P45" s="47"/>
      <c r="Q45" s="47"/>
      <c r="R45" s="47"/>
    </row>
    <row r="46" spans="1:18" ht="21" customHeight="1" x14ac:dyDescent="0.15">
      <c r="A46" s="39" t="str">
        <f t="shared" si="6"/>
        <v>50001008_50001042</v>
      </c>
      <c r="B46" s="72">
        <v>50001008</v>
      </c>
      <c r="C46" s="47">
        <v>50001042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水封陣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5ターンの間青パネル無効＋ダメージ</v>
      </c>
      <c r="F46" s="47">
        <v>50001042</v>
      </c>
      <c r="G46" s="46">
        <f ca="1">VLOOKUP($C46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46" s="46">
        <f ca="1">VLOOKUP($C46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10</v>
      </c>
      <c r="I46" s="46">
        <f ca="1">VLOOKUP($C46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20</v>
      </c>
      <c r="J46" s="46">
        <f ca="1">VLOOKUP($C46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50</v>
      </c>
      <c r="K46" s="46" t="str">
        <f ca="1">VLOOKUP($C46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46" s="46">
        <f ca="1">VLOOKUP($C46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46" s="46" t="str">
        <f ca="1">VLOOKUP($C46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46" s="46" t="str">
        <f ca="1">VLOOKUP($C46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46" s="46">
        <f ca="1">VLOOKUP($C46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20</v>
      </c>
      <c r="P46" s="47"/>
      <c r="Q46" s="47"/>
      <c r="R46" s="47"/>
    </row>
    <row r="47" spans="1:18" ht="21" customHeight="1" x14ac:dyDescent="0.15">
      <c r="A47" s="39" t="str">
        <f t="shared" si="6"/>
        <v>50001008_50001043</v>
      </c>
      <c r="B47" s="72">
        <v>50001008</v>
      </c>
      <c r="C47" s="47">
        <v>50001043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駿馬迅雷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3ターンの間攻撃頻度が1になる</v>
      </c>
      <c r="F47" s="47">
        <v>50001043</v>
      </c>
      <c r="G47" s="46">
        <f ca="1">VLOOKUP($C47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47" s="46">
        <f ca="1">VLOOKUP($C47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15</v>
      </c>
      <c r="I47" s="46">
        <f ca="1">VLOOKUP($C47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47" s="46">
        <f ca="1">VLOOKUP($C47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50</v>
      </c>
      <c r="K47" s="46" t="str">
        <f ca="1">VLOOKUP($C47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47" s="46">
        <f ca="1">VLOOKUP($C47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47" s="46" t="str">
        <f ca="1">VLOOKUP($C47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47" s="46" t="str">
        <f ca="1">VLOOKUP($C47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47" s="46">
        <f ca="1">VLOOKUP($C47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6"/>
        <v>50001008_50001044</v>
      </c>
      <c r="B48" s="72">
        <v>50001008</v>
      </c>
      <c r="C48" s="47">
        <v>50001044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太極布陣・攻撃劣化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解除するまで単体の攻撃力がダウン</v>
      </c>
      <c r="F48" s="47">
        <v>50001044</v>
      </c>
      <c r="G48" s="46">
        <f ca="1">VLOOKUP($C48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48" s="46">
        <f ca="1">VLOOKUP($C48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48" s="46">
        <f ca="1">VLOOKUP($C48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30</v>
      </c>
      <c r="J48" s="46" t="str">
        <f ca="1">VLOOKUP($C48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48" s="46" t="str">
        <f ca="1">VLOOKUP($C48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48" s="46" t="str">
        <f ca="1">VLOOKUP($C48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48" s="46" t="str">
        <f ca="1">VLOOKUP($C48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48" s="46" t="str">
        <f ca="1">VLOOKUP($C48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48" s="46">
        <f ca="1">VLOOKUP($C48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30</v>
      </c>
      <c r="P48" s="47"/>
      <c r="Q48" s="47"/>
      <c r="R48" s="47"/>
    </row>
    <row r="49" spans="1:18" ht="21" customHeight="1" x14ac:dyDescent="0.15">
      <c r="A49" s="39" t="str">
        <f t="shared" si="6"/>
        <v>50001009_50001045</v>
      </c>
      <c r="B49" s="73">
        <v>50001009</v>
      </c>
      <c r="C49" s="47">
        <v>50001045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「ワタシハ アノ エリアヘノ カギ…」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麒麟の影像が大きく歪んだ！_x000D_状態異常無効+フィーバーゲージが0に！</v>
      </c>
      <c r="F49" s="47">
        <v>50001045</v>
      </c>
      <c r="G49" s="46">
        <f ca="1">VLOOKUP($C49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1</v>
      </c>
      <c r="H49" s="46">
        <f ca="1">VLOOKUP($C49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49" s="46">
        <f ca="1">VLOOKUP($C49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49" s="46" t="str">
        <f ca="1">VLOOKUP($C49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49" s="46" t="str">
        <f ca="1">VLOOKUP($C49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49" s="46">
        <f ca="1">VLOOKUP($C49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49" s="46" t="str">
        <f ca="1">VLOOKUP($C49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49" s="46" t="str">
        <f ca="1">VLOOKUP($C49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49" s="46">
        <f ca="1">VLOOKUP($C49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6"/>
        <v>50001009_50001047</v>
      </c>
      <c r="B50" s="73">
        <v>50001009</v>
      </c>
      <c r="C50" s="47">
        <v>50001047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雷光閃・拡散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0" s="47">
        <v>50001047</v>
      </c>
      <c r="G50" s="46">
        <f ca="1">VLOOKUP($C50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50" s="46">
        <f ca="1">VLOOKUP($C50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50" s="46">
        <f ca="1">VLOOKUP($C50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30</v>
      </c>
      <c r="J50" s="46" t="str">
        <f ca="1">VLOOKUP($C50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50" s="46" t="str">
        <f ca="1">VLOOKUP($C50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50" s="46" t="str">
        <f ca="1">VLOOKUP($C50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50" s="46" t="str">
        <f ca="1">VLOOKUP($C50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50" s="46" t="str">
        <f ca="1">VLOOKUP($C50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50" s="46">
        <f ca="1">VLOOKUP($C50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30</v>
      </c>
      <c r="P50" s="47"/>
      <c r="Q50" s="47"/>
      <c r="R50" s="47"/>
    </row>
    <row r="51" spans="1:18" ht="21" customHeight="1" x14ac:dyDescent="0.15">
      <c r="A51" s="39" t="str">
        <f t="shared" si="6"/>
        <v>50001009_50001048</v>
      </c>
      <c r="B51" s="73">
        <v>50001009</v>
      </c>
      <c r="C51" s="47">
        <v>50001048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太極布陣・超重力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3ターンタップ回数が1になる</v>
      </c>
      <c r="F51" s="47">
        <v>50001048</v>
      </c>
      <c r="G51" s="46">
        <f ca="1">VLOOKUP($C51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51" s="46">
        <f ca="1">VLOOKUP($C51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2</v>
      </c>
      <c r="I51" s="46">
        <f ca="1">VLOOKUP($C51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51" s="46">
        <f ca="1">VLOOKUP($C51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30</v>
      </c>
      <c r="K51" s="46" t="str">
        <f ca="1">VLOOKUP($C51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51" s="46">
        <f ca="1">VLOOKUP($C51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51" s="46" t="str">
        <f ca="1">VLOOKUP($C51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51" s="46" t="str">
        <f ca="1">VLOOKUP($C51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51" s="46">
        <f ca="1">VLOOKUP($C51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6"/>
        <v>50001009_50001049</v>
      </c>
      <c r="B52" s="73">
        <v>50001009</v>
      </c>
      <c r="C52" s="47">
        <v>50001049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太極布陣・万物流転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お邪魔パネル生成</v>
      </c>
      <c r="F52" s="47">
        <v>50001049</v>
      </c>
      <c r="G52" s="46">
        <f ca="1">VLOOKUP($C52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52" s="46">
        <f ca="1">VLOOKUP($C52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52" s="46">
        <f ca="1">VLOOKUP($C52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30</v>
      </c>
      <c r="J52" s="46" t="str">
        <f ca="1">VLOOKUP($C52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52" s="46" t="str">
        <f ca="1">VLOOKUP($C52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52" s="46">
        <f ca="1">VLOOKUP($C52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52" s="46" t="str">
        <f ca="1">VLOOKUP($C52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52" s="46" t="str">
        <f ca="1">VLOOKUP($C52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52" s="46">
        <f ca="1">VLOOKUP($C52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30</v>
      </c>
      <c r="P52" s="47"/>
      <c r="Q52" s="47"/>
      <c r="R52" s="47"/>
    </row>
    <row r="53" spans="1:18" ht="21" customHeight="1" x14ac:dyDescent="0.15">
      <c r="A53" s="39" t="str">
        <f t="shared" si="6"/>
        <v>50001009_50001050</v>
      </c>
      <c r="B53" s="73">
        <v>50001009</v>
      </c>
      <c r="C53" s="47">
        <v>50001050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太極布陣・攻撃劣化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解除するまで単体の攻撃力がダウン</v>
      </c>
      <c r="F53" s="47">
        <v>50001050</v>
      </c>
      <c r="G53" s="46">
        <f ca="1">VLOOKUP($C53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53" s="46">
        <f ca="1">VLOOKUP($C53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53" s="46">
        <f ca="1">VLOOKUP($C53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30</v>
      </c>
      <c r="J53" s="46" t="str">
        <f ca="1">VLOOKUP($C53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53" s="46" t="str">
        <f ca="1">VLOOKUP($C53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53" s="46">
        <f ca="1">VLOOKUP($C53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53" s="46" t="str">
        <f ca="1">VLOOKUP($C53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53" s="46" t="str">
        <f ca="1">VLOOKUP($C53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53" s="46">
        <f ca="1">VLOOKUP($C53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30</v>
      </c>
      <c r="P53" s="47"/>
      <c r="Q53" s="47"/>
      <c r="R53" s="47"/>
    </row>
    <row r="54" spans="1:18" ht="21" customHeight="1" x14ac:dyDescent="0.15">
      <c r="A54" s="39" t="str">
        <f t="shared" si="6"/>
        <v>50001009_50001055</v>
      </c>
      <c r="B54" s="73">
        <v>50001009</v>
      </c>
      <c r="C54" s="47">
        <v>50001055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雷光閃・連撃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連続攻撃</v>
      </c>
      <c r="F54" s="47">
        <v>50001047</v>
      </c>
      <c r="G54" s="46">
        <f ca="1">VLOOKUP($C54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54" s="46">
        <f ca="1">VLOOKUP($C54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3</v>
      </c>
      <c r="I54" s="46">
        <f ca="1">VLOOKUP($C54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54" s="46" t="str">
        <f ca="1">VLOOKUP($C54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54" s="46">
        <f ca="1">VLOOKUP($C54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30</v>
      </c>
      <c r="L54" s="46">
        <f ca="1">VLOOKUP($C54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54" s="46">
        <f ca="1">VLOOKUP($C54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16</v>
      </c>
      <c r="N54" s="46" t="str">
        <f ca="1">VLOOKUP($C54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54" s="46">
        <f ca="1">VLOOKUP($C54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54" s="47"/>
      <c r="Q54" s="47"/>
      <c r="R54" s="47"/>
    </row>
  </sheetData>
  <autoFilter ref="A1:R1"/>
  <phoneticPr fontId="3"/>
  <pageMargins left="0.75" right="0.75" top="1" bottom="1" header="0.3" footer="0.3"/>
  <pageSetup paperSize="9" orientation="portrait" horizontalDpi="4294967292" vertic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2017-01-25T02:02:51Z</dcterms:modified>
</cp:coreProperties>
</file>