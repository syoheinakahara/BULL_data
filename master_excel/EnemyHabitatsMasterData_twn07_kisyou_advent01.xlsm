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huangfuhsiang/Desktop/BULL_data/master_excel/"/>
    </mc:Choice>
  </mc:AlternateContent>
  <bookViews>
    <workbookView xWindow="2720" yWindow="520" windowWidth="25620" windowHeight="1594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enemy_habitat_S!$B$1:$AA$3</definedName>
    <definedName name="_xlnm._FilterDatabase" localSheetId="2" hidden="1">enemy_habitats!$B$1:$AJ$7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4" i="9" l="1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A13" i="9"/>
  <c r="A14" i="9"/>
  <c r="G13" i="9"/>
  <c r="H13" i="9"/>
  <c r="I13" i="9"/>
  <c r="J13" i="9"/>
  <c r="K13" i="9"/>
  <c r="L13" i="9"/>
  <c r="M13" i="9"/>
  <c r="N13" i="9"/>
  <c r="J29" i="11"/>
  <c r="O13" i="9"/>
  <c r="G14" i="9"/>
  <c r="H14" i="9"/>
  <c r="I14" i="9"/>
  <c r="J14" i="9"/>
  <c r="K14" i="9"/>
  <c r="L14" i="9"/>
  <c r="M14" i="9"/>
  <c r="N14" i="9"/>
  <c r="J30" i="11"/>
  <c r="O14" i="9"/>
  <c r="D13" i="9"/>
  <c r="E13" i="9"/>
  <c r="D14" i="9"/>
  <c r="E14" i="9"/>
  <c r="N30" i="9"/>
  <c r="N31" i="9"/>
  <c r="H30" i="9"/>
  <c r="H31" i="9"/>
  <c r="N3" i="22"/>
  <c r="G3" i="22"/>
  <c r="F3" i="22"/>
  <c r="D3" i="22"/>
  <c r="C3" i="22"/>
  <c r="A3" i="22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J27" i="11"/>
  <c r="O31" i="9"/>
  <c r="M31" i="9"/>
  <c r="L31" i="9"/>
  <c r="K31" i="9"/>
  <c r="J31" i="9"/>
  <c r="I31" i="9"/>
  <c r="G31" i="9"/>
  <c r="E31" i="9"/>
  <c r="D31" i="9"/>
  <c r="A31" i="9"/>
  <c r="J26" i="11"/>
  <c r="O30" i="9"/>
  <c r="M30" i="9"/>
  <c r="L30" i="9"/>
  <c r="K30" i="9"/>
  <c r="J30" i="9"/>
  <c r="I30" i="9"/>
  <c r="G30" i="9"/>
  <c r="E30" i="9"/>
  <c r="D30" i="9"/>
  <c r="A30" i="9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6" i="1"/>
  <c r="AF6" i="1"/>
  <c r="AI6" i="1"/>
  <c r="AG6" i="1"/>
  <c r="AE6" i="1"/>
  <c r="E32" i="9"/>
  <c r="E27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17" i="9"/>
  <c r="E15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E5" i="9"/>
  <c r="AD4" i="1"/>
  <c r="AF4" i="1"/>
  <c r="AI4" i="1"/>
  <c r="AG4" i="1"/>
  <c r="AE4" i="1"/>
  <c r="E11" i="9"/>
  <c r="E8" i="9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E4" i="9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E2" i="9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5" i="9"/>
  <c r="H15" i="9"/>
  <c r="I15" i="9"/>
  <c r="J15" i="9"/>
  <c r="K15" i="9"/>
  <c r="L15" i="9"/>
  <c r="M15" i="9"/>
  <c r="N15" i="9"/>
  <c r="J13" i="11"/>
  <c r="O15" i="9"/>
  <c r="G16" i="9"/>
  <c r="H16" i="9"/>
  <c r="I16" i="9"/>
  <c r="J16" i="9"/>
  <c r="K16" i="9"/>
  <c r="L16" i="9"/>
  <c r="M16" i="9"/>
  <c r="N16" i="9"/>
  <c r="J14" i="11"/>
  <c r="O16" i="9"/>
  <c r="G17" i="9"/>
  <c r="H17" i="9"/>
  <c r="I17" i="9"/>
  <c r="J17" i="9"/>
  <c r="K17" i="9"/>
  <c r="L17" i="9"/>
  <c r="M17" i="9"/>
  <c r="N17" i="9"/>
  <c r="J15" i="11"/>
  <c r="O17" i="9"/>
  <c r="G18" i="9"/>
  <c r="H18" i="9"/>
  <c r="I18" i="9"/>
  <c r="J18" i="9"/>
  <c r="K18" i="9"/>
  <c r="L18" i="9"/>
  <c r="M18" i="9"/>
  <c r="N18" i="9"/>
  <c r="J16" i="11"/>
  <c r="O18" i="9"/>
  <c r="G19" i="9"/>
  <c r="H19" i="9"/>
  <c r="I19" i="9"/>
  <c r="J19" i="9"/>
  <c r="K19" i="9"/>
  <c r="L19" i="9"/>
  <c r="M19" i="9"/>
  <c r="N19" i="9"/>
  <c r="J17" i="11"/>
  <c r="O19" i="9"/>
  <c r="G20" i="9"/>
  <c r="H20" i="9"/>
  <c r="I20" i="9"/>
  <c r="J20" i="9"/>
  <c r="K20" i="9"/>
  <c r="L20" i="9"/>
  <c r="M20" i="9"/>
  <c r="N20" i="9"/>
  <c r="J18" i="11"/>
  <c r="O20" i="9"/>
  <c r="G21" i="9"/>
  <c r="H21" i="9"/>
  <c r="I21" i="9"/>
  <c r="J21" i="9"/>
  <c r="K21" i="9"/>
  <c r="L21" i="9"/>
  <c r="M21" i="9"/>
  <c r="N21" i="9"/>
  <c r="J19" i="11"/>
  <c r="O21" i="9"/>
  <c r="G22" i="9"/>
  <c r="H22" i="9"/>
  <c r="I22" i="9"/>
  <c r="J22" i="9"/>
  <c r="K22" i="9"/>
  <c r="L22" i="9"/>
  <c r="M22" i="9"/>
  <c r="N22" i="9"/>
  <c r="J20" i="11"/>
  <c r="O22" i="9"/>
  <c r="G23" i="9"/>
  <c r="H23" i="9"/>
  <c r="I23" i="9"/>
  <c r="J23" i="9"/>
  <c r="K23" i="9"/>
  <c r="L23" i="9"/>
  <c r="M23" i="9"/>
  <c r="N23" i="9"/>
  <c r="J21" i="11"/>
  <c r="O23" i="9"/>
  <c r="G24" i="9"/>
  <c r="H24" i="9"/>
  <c r="I24" i="9"/>
  <c r="J24" i="9"/>
  <c r="K24" i="9"/>
  <c r="L24" i="9"/>
  <c r="M24" i="9"/>
  <c r="N24" i="9"/>
  <c r="J22" i="11"/>
  <c r="O24" i="9"/>
  <c r="E10" i="9"/>
  <c r="D10" i="9"/>
  <c r="A10" i="9"/>
  <c r="D15" i="9"/>
  <c r="A15" i="9"/>
  <c r="G18" i="10"/>
  <c r="J18" i="10"/>
  <c r="I18" i="10"/>
  <c r="K18" i="10"/>
  <c r="H18" i="10"/>
  <c r="L18" i="10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27" i="9"/>
  <c r="H27" i="9"/>
  <c r="I27" i="9"/>
  <c r="J27" i="9"/>
  <c r="K27" i="9"/>
  <c r="L27" i="9"/>
  <c r="M27" i="9"/>
  <c r="N27" i="9"/>
  <c r="J23" i="11"/>
  <c r="O27" i="9"/>
  <c r="G28" i="9"/>
  <c r="H28" i="9"/>
  <c r="I28" i="9"/>
  <c r="J28" i="9"/>
  <c r="K28" i="9"/>
  <c r="L28" i="9"/>
  <c r="M28" i="9"/>
  <c r="N28" i="9"/>
  <c r="J24" i="11"/>
  <c r="O28" i="9"/>
  <c r="G29" i="9"/>
  <c r="H29" i="9"/>
  <c r="I29" i="9"/>
  <c r="J29" i="9"/>
  <c r="K29" i="9"/>
  <c r="L29" i="9"/>
  <c r="M29" i="9"/>
  <c r="N29" i="9"/>
  <c r="J25" i="11"/>
  <c r="O29" i="9"/>
  <c r="G32" i="9"/>
  <c r="H32" i="9"/>
  <c r="I32" i="9"/>
  <c r="J32" i="9"/>
  <c r="K32" i="9"/>
  <c r="L32" i="9"/>
  <c r="M32" i="9"/>
  <c r="N32" i="9"/>
  <c r="J28" i="11"/>
  <c r="O32" i="9"/>
  <c r="J31" i="11"/>
  <c r="J32" i="11"/>
  <c r="J33" i="11"/>
  <c r="J34" i="11"/>
  <c r="A3" i="9"/>
  <c r="D3" i="9"/>
  <c r="E3" i="9"/>
  <c r="A4" i="9"/>
  <c r="D4" i="9"/>
  <c r="A5" i="9"/>
  <c r="D5" i="9"/>
  <c r="A6" i="9"/>
  <c r="D6" i="9"/>
  <c r="E6" i="9"/>
  <c r="A7" i="9"/>
  <c r="D7" i="9"/>
  <c r="E7" i="9"/>
  <c r="A8" i="9"/>
  <c r="D8" i="9"/>
  <c r="A9" i="9"/>
  <c r="D9" i="9"/>
  <c r="E9" i="9"/>
  <c r="A11" i="9"/>
  <c r="D11" i="9"/>
  <c r="A12" i="9"/>
  <c r="D12" i="9"/>
  <c r="E12" i="9"/>
  <c r="A16" i="9"/>
  <c r="D16" i="9"/>
  <c r="E16" i="9"/>
  <c r="A17" i="9"/>
  <c r="D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7" i="9"/>
  <c r="D27" i="9"/>
  <c r="A28" i="9"/>
  <c r="D28" i="9"/>
  <c r="E28" i="9"/>
  <c r="A29" i="9"/>
  <c r="D29" i="9"/>
  <c r="E29" i="9"/>
  <c r="A32" i="9"/>
  <c r="D32" i="9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B3" i="2"/>
  <c r="B4" i="2"/>
  <c r="B5" i="2"/>
  <c r="B6" i="2"/>
  <c r="B7" i="2"/>
  <c r="B8" i="2"/>
  <c r="B9" i="2"/>
  <c r="X9" i="1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X7" i="1"/>
  <c r="X8" i="1"/>
  <c r="X10" i="1"/>
  <c r="X11" i="1"/>
  <c r="A9" i="1"/>
  <c r="D9" i="1"/>
  <c r="E9" i="1"/>
  <c r="F9" i="1"/>
  <c r="M9" i="1"/>
  <c r="N9" i="1"/>
  <c r="O9" i="1"/>
  <c r="P9" i="1"/>
  <c r="Q9" i="1"/>
  <c r="T9" i="1"/>
  <c r="V9" i="1"/>
  <c r="AD9" i="1"/>
  <c r="AE9" i="1"/>
  <c r="AF9" i="1"/>
  <c r="AG9" i="1"/>
  <c r="AI9" i="1"/>
  <c r="A10" i="1"/>
  <c r="D10" i="1"/>
  <c r="E10" i="1"/>
  <c r="F10" i="1"/>
  <c r="M10" i="1"/>
  <c r="N10" i="1"/>
  <c r="O10" i="1"/>
  <c r="P10" i="1"/>
  <c r="Q10" i="1"/>
  <c r="T10" i="1"/>
  <c r="V10" i="1"/>
  <c r="AD10" i="1"/>
  <c r="AE10" i="1"/>
  <c r="AF10" i="1"/>
  <c r="AG10" i="1"/>
  <c r="AI10" i="1"/>
  <c r="A11" i="1"/>
  <c r="D11" i="1"/>
  <c r="E11" i="1"/>
  <c r="F11" i="1"/>
  <c r="M11" i="1"/>
  <c r="N11" i="1"/>
  <c r="O11" i="1"/>
  <c r="P11" i="1"/>
  <c r="Q11" i="1"/>
  <c r="T11" i="1"/>
  <c r="V11" i="1"/>
  <c r="AD11" i="1"/>
  <c r="AE11" i="1"/>
  <c r="AF11" i="1"/>
  <c r="AG11" i="1"/>
  <c r="AI11" i="1"/>
  <c r="D6" i="2"/>
  <c r="E6" i="2"/>
  <c r="H6" i="2"/>
  <c r="D7" i="2"/>
  <c r="E7" i="2"/>
  <c r="H7" i="2"/>
  <c r="D8" i="2"/>
  <c r="E8" i="2"/>
  <c r="H8" i="2"/>
  <c r="D9" i="2"/>
  <c r="E9" i="2"/>
  <c r="H9" i="2"/>
  <c r="D3" i="2"/>
  <c r="E3" i="2"/>
  <c r="H3" i="2"/>
  <c r="D4" i="2"/>
  <c r="E4" i="2"/>
  <c r="H4" i="2"/>
  <c r="D5" i="2"/>
  <c r="E5" i="2"/>
  <c r="H5" i="2"/>
  <c r="W3" i="7"/>
  <c r="U3" i="7"/>
  <c r="V8" i="1"/>
  <c r="V7" i="1"/>
  <c r="T8" i="1"/>
  <c r="T7" i="1"/>
  <c r="N2" i="22"/>
  <c r="G2" i="22"/>
  <c r="F2" i="22"/>
  <c r="D2" i="22"/>
  <c r="C2" i="22"/>
  <c r="A2" i="22"/>
  <c r="E13" i="16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Y3" i="7"/>
  <c r="R3" i="7"/>
  <c r="Q3" i="7"/>
  <c r="P3" i="7"/>
  <c r="O3" i="7"/>
  <c r="N3" i="7"/>
  <c r="AD8" i="1"/>
  <c r="AG8" i="1"/>
  <c r="AF8" i="1"/>
  <c r="AE8" i="1"/>
  <c r="AD7" i="1"/>
  <c r="AG7" i="1"/>
  <c r="AF7" i="1"/>
  <c r="AE7" i="1"/>
  <c r="Q8" i="1"/>
  <c r="P8" i="1"/>
  <c r="O8" i="1"/>
  <c r="N8" i="1"/>
  <c r="M8" i="1"/>
  <c r="Q7" i="1"/>
  <c r="P7" i="1"/>
  <c r="O7" i="1"/>
  <c r="N7" i="1"/>
  <c r="M7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7" i="1"/>
  <c r="H3" i="7"/>
  <c r="J3" i="7"/>
  <c r="E8" i="16"/>
  <c r="E7" i="16"/>
  <c r="E6" i="16"/>
  <c r="E5" i="16"/>
  <c r="E4" i="16"/>
  <c r="E3" i="16"/>
  <c r="E2" i="16"/>
  <c r="A8" i="1"/>
  <c r="A7" i="1"/>
  <c r="AI8" i="1"/>
  <c r="A2" i="9"/>
  <c r="D8" i="1"/>
  <c r="F8" i="1"/>
  <c r="E8" i="1"/>
  <c r="A3" i="7"/>
  <c r="I3" i="7"/>
  <c r="D3" i="7"/>
  <c r="F3" i="7"/>
  <c r="E3" i="7"/>
  <c r="D2" i="2"/>
  <c r="E2" i="2"/>
  <c r="H2" i="2"/>
  <c r="D7" i="1"/>
  <c r="E7" i="1"/>
  <c r="F7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<sst xmlns="http://schemas.openxmlformats.org/spreadsheetml/2006/main" count="766" uniqueCount="315">
  <si>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</si>
  <si>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</si>
  <si>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</si>
  <si>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</si>
  <si>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</si>
  <si>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</si>
  <si>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</si>
  <si>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</si>
  <si>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</si>
  <si>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</si>
  <si>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</si>
  <si>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</si>
  <si>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</si>
  <si>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</si>
  <si>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</si>
  <si>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</si>
  <si>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</si>
  <si>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</si>
  <si>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</si>
  <si>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</si>
  <si>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</si>
  <si>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</si>
  <si>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</si>
  <si>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</si>
  <si>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</si>
  <si>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</si>
  <si>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</si>
  <si>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</si>
  <si>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</si>
  <si>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</si>
  <si>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</si>
  <si>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</si>
  <si>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</si>
  <si>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</si>
  <si>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</si>
  <si>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</si>
  <si>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</si>
  <si>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</si>
  <si>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</si>
  <si>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</si>
  <si>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</si>
  <si>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</si>
  <si>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</si>
  <si>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</si>
  <si>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</si>
  <si>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</si>
  <si>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</si>
  <si>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</si>
  <si>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</si>
  <si>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</si>
  <si>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</si>
  <si>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</si>
  <si>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</si>
  <si>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</si>
  <si>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</si>
  <si>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</si>
  <si>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</si>
  <si>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</si>
  <si>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</si>
  <si>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</si>
  <si>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</si>
  <si>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</si>
  <si>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</si>
  <si>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</si>
  <si>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</si>
  <si>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</si>
  <si>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</si>
  <si>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</si>
  <si>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</si>
  <si>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</si>
  <si>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</si>
  <si>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</si>
  <si>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</si>
  <si>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</si>
  <si>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</si>
  <si>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</si>
  <si>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</si>
  <si>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</si>
  <si>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</si>
  <si>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</si>
  <si>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</si>
  <si>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</si>
  <si>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</si>
  <si>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</si>
  <si>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</si>
  <si>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</si>
  <si>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</si>
  <si>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</si>
  <si>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</si>
  <si>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</si>
  <si>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</si>
  <si>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</si>
  <si>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</si>
  <si>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</si>
  <si>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</si>
  <si>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</si>
  <si>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</si>
  <si>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</si>
  <si>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</si>
  <si>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</si>
  <si>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</si>
  <si>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</si>
  <si>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</si>
  <si>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</si>
  <si>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</si>
  <si>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</si>
  <si>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</si>
  <si>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</si>
  <si>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</si>
  <si>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</si>
  <si>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</si>
  <si>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</si>
  <si>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</si>
  <si>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</si>
  <si>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</si>
  <si>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</si>
  <si>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</si>
  <si>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</si>
  <si>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</si>
  <si>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</si>
  <si>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</si>
  <si>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</si>
  <si>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</si>
  <si>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</si>
  <si>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</si>
  <si>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</si>
  <si>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</si>
  <si>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</si>
  <si>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</si>
  <si>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</si>
  <si>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</si>
  <si>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</si>
  <si>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</si>
  <si>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</si>
  <si>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</si>
  <si>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</si>
  <si>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</si>
  <si>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</si>
  <si>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</si>
  <si>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</si>
  <si>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</si>
  <si>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</si>
  <si>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</si>
  <si>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</si>
  <si>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</si>
  <si>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</si>
  <si>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</si>
  <si>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</si>
  <si>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</si>
  <si>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</si>
  <si>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</si>
  <si>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</si>
  <si>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</si>
  <si>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</si>
  <si>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</si>
  <si>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</si>
  <si>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</si>
  <si>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</si>
  <si>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</si>
  <si>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</si>
  <si>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</si>
  <si>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</si>
  <si>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</si>
  <si>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</si>
  <si>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</si>
  <si>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</si>
  <si>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</si>
  <si>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</si>
  <si>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</si>
  <si>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</si>
  <si>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</si>
  <si>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</si>
  <si>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</si>
  <si>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</si>
  <si>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</si>
  <si>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</si>
  <si>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</si>
  <si>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</si>
  <si>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</si>
  <si>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</si>
  <si>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</si>
  <si>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</si>
  <si>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</si>
  <si>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</si>
  <si>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</si>
  <si>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</si>
  <si>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</si>
  <si>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</si>
  <si>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</si>
  <si>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</si>
  <si>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</si>
  <si>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</si>
  <si>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</si>
  <si>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</si>
  <si>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</si>
  <si>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</si>
  <si>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</si>
  <si>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</si>
  <si>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</si>
  <si>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</si>
  <si>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</si>
  <si>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</si>
  <si>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</si>
  <si>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</si>
  <si>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</si>
  <si>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</si>
  <si>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</si>
  <si>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</si>
  <si>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</si>
  <si>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</si>
  <si>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</si>
  <si>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</si>
  <si>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</si>
  <si>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</si>
  <si>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</si>
  <si>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</si>
  <si>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</si>
  <si>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</si>
  <si>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</si>
  <si>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</si>
  <si>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</si>
  <si>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</si>
  <si>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</si>
  <si>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</si>
  <si>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</si>
  <si>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</si>
  <si>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</si>
  <si>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</si>
  <si>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</si>
  <si>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</si>
  <si>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</si>
  <si>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</si>
  <si>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</si>
  <si>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</si>
  <si>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</si>
  <si>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</si>
  <si>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</si>
  <si>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</si>
  <si>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</si>
  <si>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</si>
  <si>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</si>
  <si>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</si>
  <si>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</si>
  <si>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</si>
  <si>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</si>
  <si>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</si>
  <si>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</si>
  <si>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</si>
  <si>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</si>
  <si>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</si>
  <si>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</si>
  <si>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</si>
  <si>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</si>
  <si>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</si>
  <si>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</si>
  <si>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 xml:space="preserve">   </t>
    <phoneticPr fontId="5"/>
  </si>
  <si>
    <t>null</t>
  </si>
  <si>
    <t>null</t>
    <phoneticPr fontId="5"/>
  </si>
  <si>
    <t>link</t>
  </si>
  <si>
    <t>unit</t>
  </si>
  <si>
    <t>full_member</t>
  </si>
  <si>
    <t>48008_1-1</t>
  </si>
  <si>
    <t>48008_1-2</t>
  </si>
  <si>
    <t>48008_1-3</t>
  </si>
  <si>
    <t>48008_1-4</t>
  </si>
  <si>
    <t>zh-Hant</t>
    <phoneticPr fontId="5"/>
  </si>
  <si>
    <t>先制行動</t>
  </si>
  <si>
    <t>先制行動</t>
    <phoneticPr fontId="5"/>
  </si>
  <si>
    <t>アヒルアターック</t>
  </si>
  <si>
    <t>アヒルアターック</t>
    <phoneticPr fontId="5"/>
  </si>
  <si>
    <t>クリティカル！</t>
  </si>
  <si>
    <t>クリティカル！</t>
    <phoneticPr fontId="5"/>
  </si>
  <si>
    <t>50%以下</t>
  </si>
  <si>
    <t>50%以下</t>
    <phoneticPr fontId="5"/>
  </si>
  <si>
    <t>攻撃力2倍(99ターン)</t>
  </si>
  <si>
    <t>攻撃力2倍(99ターン)</t>
    <phoneticPr fontId="5"/>
  </si>
  <si>
    <t>防御力2倍（3ターン）</t>
    <phoneticPr fontId="5"/>
  </si>
  <si>
    <t>null</t>
    <phoneticPr fontId="5"/>
  </si>
  <si>
    <t>null</t>
    <phoneticPr fontId="5"/>
  </si>
  <si>
    <t>防御力2倍（6ターン）+Cスキル禁止(10ターン)</t>
    <phoneticPr fontId="5"/>
  </si>
  <si>
    <t>先制行動</t>
    <phoneticPr fontId="5"/>
  </si>
  <si>
    <t>セリフ</t>
  </si>
  <si>
    <t>青以外特大ダメージ</t>
    <phoneticPr fontId="5"/>
  </si>
  <si>
    <t>通常行動</t>
  </si>
  <si>
    <t>通常行動</t>
    <phoneticPr fontId="5"/>
  </si>
  <si>
    <t>一体に大ダメージ</t>
    <phoneticPr fontId="5"/>
  </si>
  <si>
    <t>全体スキルターンを減る</t>
    <phoneticPr fontId="5"/>
  </si>
  <si>
    <t>青パネルを吸収して攻撃</t>
    <phoneticPr fontId="5"/>
  </si>
  <si>
    <t>死亡行動</t>
  </si>
  <si>
    <t>死亡行動</t>
    <phoneticPr fontId="5"/>
  </si>
  <si>
    <t>セリフ</t>
    <phoneticPr fontId="5"/>
  </si>
  <si>
    <t>通常行動</t>
    <phoneticPr fontId="5"/>
  </si>
  <si>
    <t>第1ターン</t>
    <phoneticPr fontId="5"/>
  </si>
  <si>
    <t>第2ターン</t>
    <phoneticPr fontId="5"/>
  </si>
  <si>
    <t>青属性以外のCスキル禁止（10ターン）</t>
    <phoneticPr fontId="5"/>
  </si>
  <si>
    <t>攻撃(そのあとは繰り返す)</t>
    <phoneticPr fontId="5"/>
  </si>
  <si>
    <t>死亡行動</t>
    <phoneticPr fontId="5"/>
  </si>
  <si>
    <t>セリフ</t>
    <phoneticPr fontId="5"/>
  </si>
  <si>
    <t>スキルバインド（3ターン）+スキルバインド（3ターン）+全パネルを吸収</t>
  </si>
  <si>
    <t>邪魔パネルを生成</t>
  </si>
  <si>
    <t>ユニットを行動不能</t>
  </si>
  <si>
    <t>死亡行動</t>
    <phoneticPr fontId="5"/>
  </si>
  <si>
    <t>暗闇(5ターン)</t>
    <phoneticPr fontId="5"/>
  </si>
  <si>
    <t>超大ダメージ</t>
    <phoneticPr fontId="5"/>
  </si>
  <si>
    <t>割引攻撃（80%ダメージ）</t>
    <phoneticPr fontId="5"/>
  </si>
  <si>
    <t>通常行動</t>
    <phoneticPr fontId="5"/>
  </si>
  <si>
    <t>全体に大ダメージ</t>
    <phoneticPr fontId="5"/>
  </si>
  <si>
    <t>単体に大ダメージ+攻撃力ダウン(3ターン)</t>
    <phoneticPr fontId="5"/>
  </si>
  <si>
    <t>ハートパネル無効(3ターン)</t>
    <phoneticPr fontId="5"/>
  </si>
  <si>
    <t>先制行動(飛衛遭遇)F2</t>
    <phoneticPr fontId="5"/>
  </si>
  <si>
    <t>通常行動(飛衛遭遇)F2</t>
    <phoneticPr fontId="5"/>
  </si>
  <si>
    <t>先制行動(飛衛遭遇)F4-1</t>
    <phoneticPr fontId="5"/>
  </si>
  <si>
    <t>通常行動(飛衛遭遇)F4-1</t>
    <phoneticPr fontId="5"/>
  </si>
  <si>
    <t>先制行動(飛衛遭遇)F4-2</t>
    <phoneticPr fontId="5"/>
  </si>
  <si>
    <t>通常行動(飛衛遭遇)F4-2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</si>
</sst>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"/>
    <numFmt numFmtId="178" formatCode="0.000_ "/>
    <numFmt numFmtId="179" formatCode="0.0000_);[Red]\(0.0000\)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9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4" xfId="0" applyFont="1" applyBorder="1" applyAlignment="1">
      <alignment vertical="center"/>
    </xf>
    <xf numFmtId="177" fontId="8" fillId="0" borderId="24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left" vertical="center"/>
    </xf>
    <xf numFmtId="0" fontId="16" fillId="3" borderId="2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0" fillId="0" borderId="33" xfId="0" applyBorder="1"/>
    <xf numFmtId="0" fontId="0" fillId="3" borderId="33" xfId="0" applyFill="1" applyBorder="1"/>
    <xf numFmtId="0" fontId="6" fillId="5" borderId="33" xfId="0" applyFont="1" applyFill="1" applyBorder="1" applyAlignment="1">
      <alignment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3" borderId="36" xfId="0" applyFill="1" applyBorder="1"/>
    <xf numFmtId="0" fontId="6" fillId="5" borderId="36" xfId="0" applyFont="1" applyFill="1" applyBorder="1" applyAlignment="1">
      <alignment vertical="center"/>
    </xf>
    <xf numFmtId="0" fontId="0" fillId="0" borderId="37" xfId="0" applyBorder="1"/>
    <xf numFmtId="0" fontId="0" fillId="0" borderId="38" xfId="0" applyBorder="1"/>
    <xf numFmtId="0" fontId="27" fillId="0" borderId="33" xfId="0" applyFont="1" applyFill="1" applyBorder="1"/>
    <xf numFmtId="0" fontId="0" fillId="0" borderId="39" xfId="0" applyBorder="1"/>
    <xf numFmtId="0" fontId="0" fillId="0" borderId="40" xfId="0" applyBorder="1"/>
    <xf numFmtId="0" fontId="27" fillId="0" borderId="36" xfId="0" applyFont="1" applyFill="1" applyBorder="1"/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4" fillId="7" borderId="41" xfId="0" applyFont="1" applyFill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178" fontId="8" fillId="0" borderId="4" xfId="0" applyNumberFormat="1" applyFont="1" applyBorder="1" applyAlignment="1">
      <alignment vertical="center"/>
    </xf>
    <xf numFmtId="178" fontId="8" fillId="0" borderId="24" xfId="0" applyNumberFormat="1" applyFont="1" applyBorder="1" applyAlignment="1">
      <alignment vertical="center"/>
    </xf>
    <xf numFmtId="179" fontId="4" fillId="2" borderId="7" xfId="0" applyNumberFormat="1" applyFont="1" applyFill="1" applyBorder="1" applyAlignment="1">
      <alignment horizontal="left" vertical="center"/>
    </xf>
    <xf numFmtId="179" fontId="8" fillId="0" borderId="4" xfId="0" applyNumberFormat="1" applyFont="1" applyBorder="1" applyAlignment="1">
      <alignment vertical="center"/>
    </xf>
    <xf numFmtId="179" fontId="8" fillId="0" borderId="29" xfId="0" applyNumberFormat="1" applyFont="1" applyBorder="1" applyAlignment="1">
      <alignment vertical="center"/>
    </xf>
    <xf numFmtId="179" fontId="8" fillId="0" borderId="24" xfId="0" applyNumberFormat="1" applyFont="1" applyBorder="1" applyAlignment="1">
      <alignment vertical="center"/>
    </xf>
    <xf numFmtId="179" fontId="4" fillId="0" borderId="0" xfId="0" applyNumberFormat="1" applyFont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2" borderId="7" xfId="0" applyNumberFormat="1" applyFont="1" applyFill="1" applyBorder="1" applyAlignment="1">
      <alignment horizontal="left" vertical="center" wrapText="1"/>
    </xf>
    <xf numFmtId="0" fontId="16" fillId="33" borderId="2" xfId="0" applyFont="1" applyFill="1" applyBorder="1" applyAlignment="1">
      <alignment vertical="center"/>
    </xf>
    <xf numFmtId="0" fontId="16" fillId="33" borderId="27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30046</v>
          </cell>
        </row>
        <row r="172">
          <cell r="A172">
            <v>39001</v>
          </cell>
        </row>
        <row r="173">
          <cell r="A173">
            <v>39002</v>
          </cell>
        </row>
        <row r="174">
          <cell r="A174">
            <v>39003</v>
          </cell>
        </row>
        <row r="175">
          <cell r="A175">
            <v>39004</v>
          </cell>
        </row>
        <row r="176">
          <cell r="A176">
            <v>39005</v>
          </cell>
        </row>
        <row r="177">
          <cell r="A177">
            <v>39006</v>
          </cell>
        </row>
        <row r="178">
          <cell r="A178">
            <v>39007</v>
          </cell>
        </row>
        <row r="179">
          <cell r="A179">
            <v>39008</v>
          </cell>
        </row>
        <row r="180">
          <cell r="A180">
            <v>40001</v>
          </cell>
        </row>
        <row r="181">
          <cell r="A181">
            <v>40002</v>
          </cell>
        </row>
        <row r="182">
          <cell r="A182">
            <v>40003</v>
          </cell>
        </row>
        <row r="183">
          <cell r="A183">
            <v>40004</v>
          </cell>
        </row>
        <row r="184">
          <cell r="A184">
            <v>40005</v>
          </cell>
        </row>
        <row r="185">
          <cell r="A185">
            <v>40006</v>
          </cell>
        </row>
        <row r="186">
          <cell r="A186">
            <v>40007</v>
          </cell>
        </row>
        <row r="187">
          <cell r="A187">
            <v>40008</v>
          </cell>
        </row>
        <row r="188">
          <cell r="A188">
            <v>40009</v>
          </cell>
        </row>
        <row r="189">
          <cell r="A189">
            <v>40010</v>
          </cell>
        </row>
        <row r="190">
          <cell r="A190">
            <v>40011</v>
          </cell>
        </row>
        <row r="191">
          <cell r="A191">
            <v>40012</v>
          </cell>
        </row>
        <row r="192">
          <cell r="A192">
            <v>40013</v>
          </cell>
        </row>
        <row r="193">
          <cell r="A193">
            <v>40014</v>
          </cell>
        </row>
        <row r="194">
          <cell r="A194">
            <v>40015</v>
          </cell>
        </row>
        <row r="195">
          <cell r="A195">
            <v>40016</v>
          </cell>
        </row>
        <row r="196">
          <cell r="A196">
            <v>40017</v>
          </cell>
        </row>
        <row r="197">
          <cell r="A197">
            <v>40018</v>
          </cell>
        </row>
        <row r="198">
          <cell r="A198">
            <v>40019</v>
          </cell>
        </row>
        <row r="199">
          <cell r="A199">
            <v>40021</v>
          </cell>
        </row>
        <row r="200">
          <cell r="A200">
            <v>40022</v>
          </cell>
        </row>
        <row r="201">
          <cell r="A201">
            <v>40023</v>
          </cell>
        </row>
        <row r="202">
          <cell r="A202">
            <v>40024</v>
          </cell>
        </row>
        <row r="203">
          <cell r="A203">
            <v>40025</v>
          </cell>
        </row>
        <row r="204">
          <cell r="A204">
            <v>40026</v>
          </cell>
        </row>
        <row r="205">
          <cell r="A205">
            <v>40027</v>
          </cell>
        </row>
        <row r="206">
          <cell r="A206">
            <v>40028</v>
          </cell>
        </row>
        <row r="207">
          <cell r="A207">
            <v>40029</v>
          </cell>
        </row>
        <row r="208">
          <cell r="A208">
            <v>40030</v>
          </cell>
        </row>
        <row r="209">
          <cell r="A209">
            <v>40031</v>
          </cell>
        </row>
        <row r="210">
          <cell r="A210">
            <v>40032</v>
          </cell>
        </row>
        <row r="211">
          <cell r="A211">
            <v>40033</v>
          </cell>
        </row>
        <row r="212">
          <cell r="A212">
            <v>40034</v>
          </cell>
        </row>
        <row r="213">
          <cell r="A213">
            <v>40035</v>
          </cell>
        </row>
        <row r="214">
          <cell r="A214">
            <v>40036</v>
          </cell>
        </row>
        <row r="215">
          <cell r="A215">
            <v>40037</v>
          </cell>
        </row>
        <row r="216">
          <cell r="A216">
            <v>40038</v>
          </cell>
        </row>
        <row r="217">
          <cell r="A217">
            <v>40039</v>
          </cell>
        </row>
        <row r="218">
          <cell r="A218">
            <v>48001</v>
          </cell>
        </row>
        <row r="219">
          <cell r="A219">
            <v>48002</v>
          </cell>
        </row>
        <row r="220">
          <cell r="A220">
            <v>48003</v>
          </cell>
        </row>
        <row r="221">
          <cell r="A221">
            <v>48004</v>
          </cell>
        </row>
        <row r="222">
          <cell r="A222">
            <v>48005</v>
          </cell>
        </row>
        <row r="223">
          <cell r="A223">
            <v>48006</v>
          </cell>
        </row>
        <row r="224">
          <cell r="A224">
            <v>48007</v>
          </cell>
        </row>
        <row r="225">
          <cell r="A225">
            <v>48008</v>
          </cell>
        </row>
        <row r="226">
          <cell r="A226">
            <v>41001</v>
          </cell>
        </row>
        <row r="227">
          <cell r="A227">
            <v>41002</v>
          </cell>
        </row>
        <row r="228">
          <cell r="A228">
            <v>41003</v>
          </cell>
        </row>
        <row r="229">
          <cell r="A229">
            <v>41004</v>
          </cell>
        </row>
        <row r="230">
          <cell r="A230">
            <v>41005</v>
          </cell>
        </row>
        <row r="231">
          <cell r="A231">
            <v>41006</v>
          </cell>
        </row>
        <row r="232">
          <cell r="A232">
            <v>41007</v>
          </cell>
        </row>
        <row r="233">
          <cell r="A233">
            <v>41008</v>
          </cell>
        </row>
        <row r="234">
          <cell r="A234">
            <v>41009</v>
          </cell>
        </row>
        <row r="235">
          <cell r="A235">
            <v>41010</v>
          </cell>
        </row>
        <row r="236">
          <cell r="A236">
            <v>41011</v>
          </cell>
        </row>
        <row r="237">
          <cell r="A237">
            <v>41012</v>
          </cell>
        </row>
        <row r="238">
          <cell r="A238">
            <v>41013</v>
          </cell>
        </row>
        <row r="239">
          <cell r="A239">
            <v>41014</v>
          </cell>
        </row>
        <row r="240">
          <cell r="A240">
            <v>41015</v>
          </cell>
        </row>
        <row r="241">
          <cell r="A241">
            <v>47001</v>
          </cell>
        </row>
        <row r="242">
          <cell r="A242">
            <v>47002</v>
          </cell>
        </row>
        <row r="243">
          <cell r="A243">
            <v>47003</v>
          </cell>
        </row>
        <row r="244">
          <cell r="A244">
            <v>49001</v>
          </cell>
        </row>
        <row r="245">
          <cell r="A245">
            <v>49002</v>
          </cell>
        </row>
        <row r="246">
          <cell r="A246">
            <v>49003</v>
          </cell>
        </row>
        <row r="247">
          <cell r="A247">
            <v>49004</v>
          </cell>
        </row>
        <row r="248">
          <cell r="A248">
            <v>49005</v>
          </cell>
        </row>
        <row r="249">
          <cell r="A249">
            <v>49006</v>
          </cell>
        </row>
        <row r="250">
          <cell r="A250">
            <v>49007</v>
          </cell>
        </row>
        <row r="251">
          <cell r="A251">
            <v>49008</v>
          </cell>
        </row>
        <row r="252">
          <cell r="A252">
            <v>50001</v>
          </cell>
        </row>
        <row r="253">
          <cell r="A253">
            <v>50002</v>
          </cell>
        </row>
        <row r="254">
          <cell r="A254">
            <v>50003</v>
          </cell>
        </row>
        <row r="255">
          <cell r="A255">
            <v>50004</v>
          </cell>
        </row>
        <row r="256">
          <cell r="A256">
            <v>50005</v>
          </cell>
        </row>
        <row r="257">
          <cell r="A257">
            <v>50006</v>
          </cell>
        </row>
        <row r="258">
          <cell r="A258">
            <v>50007</v>
          </cell>
        </row>
        <row r="259">
          <cell r="A259">
            <v>50008</v>
          </cell>
        </row>
        <row r="260">
          <cell r="A260">
            <v>50009</v>
          </cell>
        </row>
        <row r="261">
          <cell r="A261">
            <v>50010</v>
          </cell>
        </row>
        <row r="262">
          <cell r="A262">
            <v>50011</v>
          </cell>
        </row>
        <row r="263">
          <cell r="A263">
            <v>51001</v>
          </cell>
        </row>
        <row r="264">
          <cell r="A264">
            <v>51002</v>
          </cell>
        </row>
        <row r="265">
          <cell r="A265">
            <v>60001</v>
          </cell>
        </row>
        <row r="266">
          <cell r="A266">
            <v>60002</v>
          </cell>
        </row>
        <row r="267">
          <cell r="A267">
            <v>60003</v>
          </cell>
        </row>
        <row r="268">
          <cell r="A268">
            <v>60004</v>
          </cell>
        </row>
        <row r="269">
          <cell r="A269">
            <v>60005</v>
          </cell>
        </row>
        <row r="270">
          <cell r="A270">
            <v>60006</v>
          </cell>
        </row>
        <row r="271">
          <cell r="A271">
            <v>60007</v>
          </cell>
        </row>
        <row r="272">
          <cell r="A272">
            <v>60010</v>
          </cell>
        </row>
        <row r="273">
          <cell r="A273">
            <v>60011</v>
          </cell>
        </row>
        <row r="274">
          <cell r="A274">
            <v>61011</v>
          </cell>
        </row>
        <row r="275">
          <cell r="A275">
            <v>60012</v>
          </cell>
        </row>
        <row r="276">
          <cell r="A276">
            <v>60013</v>
          </cell>
        </row>
        <row r="277">
          <cell r="A277">
            <v>60014</v>
          </cell>
        </row>
        <row r="278">
          <cell r="A278">
            <v>60015</v>
          </cell>
        </row>
        <row r="279">
          <cell r="A279">
            <v>60016</v>
          </cell>
        </row>
        <row r="280">
          <cell r="A280">
            <v>60017</v>
          </cell>
        </row>
        <row r="281">
          <cell r="A281">
            <v>60018</v>
          </cell>
        </row>
        <row r="282">
          <cell r="A282">
            <v>60019</v>
          </cell>
        </row>
        <row r="283">
          <cell r="A283">
            <v>60020</v>
          </cell>
        </row>
        <row r="284">
          <cell r="A284">
            <v>65525</v>
          </cell>
        </row>
        <row r="285">
          <cell r="A285">
            <v>65526</v>
          </cell>
        </row>
        <row r="286">
          <cell r="A286">
            <v>65533</v>
          </cell>
        </row>
        <row r="287">
          <cell r="A287">
            <v>65534</v>
          </cell>
        </row>
        <row r="288">
          <cell r="A288">
            <v>65535</v>
          </cell>
        </row>
        <row r="289">
          <cell r="A289">
            <v>60021</v>
          </cell>
        </row>
        <row r="290">
          <cell r="A290">
            <v>60022</v>
          </cell>
        </row>
        <row r="291">
          <cell r="A291">
            <v>60023</v>
          </cell>
        </row>
        <row r="292">
          <cell r="A29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30046_1</v>
          </cell>
        </row>
        <row r="616">
          <cell r="A616" t="str">
            <v>30046_2</v>
          </cell>
        </row>
        <row r="617">
          <cell r="A617" t="str">
            <v>30046_3</v>
          </cell>
        </row>
        <row r="618">
          <cell r="A618" t="str">
            <v>39001_1</v>
          </cell>
        </row>
        <row r="619">
          <cell r="A619" t="str">
            <v>39001_2</v>
          </cell>
        </row>
        <row r="620">
          <cell r="A620" t="str">
            <v>39001_3</v>
          </cell>
        </row>
        <row r="621">
          <cell r="A621" t="str">
            <v>39001_4</v>
          </cell>
        </row>
        <row r="622">
          <cell r="A622" t="str">
            <v>39001_5</v>
          </cell>
        </row>
        <row r="623">
          <cell r="A623" t="str">
            <v>39002_1</v>
          </cell>
        </row>
        <row r="624">
          <cell r="A624" t="str">
            <v>39002_2</v>
          </cell>
        </row>
        <row r="625">
          <cell r="A625" t="str">
            <v>39002_3</v>
          </cell>
        </row>
        <row r="626">
          <cell r="A626" t="str">
            <v>39002_4</v>
          </cell>
        </row>
        <row r="627">
          <cell r="A627" t="str">
            <v>39003_1</v>
          </cell>
        </row>
        <row r="628">
          <cell r="A628" t="str">
            <v>39003_2</v>
          </cell>
        </row>
        <row r="629">
          <cell r="A629" t="str">
            <v>39003_3</v>
          </cell>
        </row>
        <row r="630">
          <cell r="A630" t="str">
            <v>39003_4</v>
          </cell>
        </row>
        <row r="631">
          <cell r="A631" t="str">
            <v>39004_1</v>
          </cell>
        </row>
        <row r="632">
          <cell r="A632" t="str">
            <v>39004_2</v>
          </cell>
        </row>
        <row r="633">
          <cell r="A633" t="str">
            <v>39004_3</v>
          </cell>
        </row>
        <row r="634">
          <cell r="A634" t="str">
            <v>39004_4</v>
          </cell>
        </row>
        <row r="635">
          <cell r="A635" t="str">
            <v>39005_1</v>
          </cell>
        </row>
        <row r="636">
          <cell r="A636" t="str">
            <v>39005_2</v>
          </cell>
        </row>
        <row r="637">
          <cell r="A637" t="str">
            <v>39005_3</v>
          </cell>
        </row>
        <row r="638">
          <cell r="A638" t="str">
            <v>39005_4</v>
          </cell>
        </row>
        <row r="639">
          <cell r="A639" t="str">
            <v>39005_5</v>
          </cell>
        </row>
        <row r="640">
          <cell r="A640" t="str">
            <v>39006_1</v>
          </cell>
        </row>
        <row r="641">
          <cell r="A641" t="str">
            <v>39006_2</v>
          </cell>
        </row>
        <row r="642">
          <cell r="A642" t="str">
            <v>39006_3</v>
          </cell>
        </row>
        <row r="643">
          <cell r="A643" t="str">
            <v>39006_4</v>
          </cell>
        </row>
        <row r="644">
          <cell r="A644" t="str">
            <v>39007_1</v>
          </cell>
        </row>
        <row r="645">
          <cell r="A645" t="str">
            <v>39007_2</v>
          </cell>
        </row>
        <row r="646">
          <cell r="A646" t="str">
            <v>39007_3</v>
          </cell>
        </row>
        <row r="647">
          <cell r="A647" t="str">
            <v>39007_4</v>
          </cell>
        </row>
        <row r="648">
          <cell r="A648" t="str">
            <v>39008_1</v>
          </cell>
        </row>
        <row r="649">
          <cell r="A649" t="str">
            <v>39008_2</v>
          </cell>
        </row>
        <row r="650">
          <cell r="A650" t="str">
            <v>39008_3</v>
          </cell>
        </row>
        <row r="651">
          <cell r="A651" t="str">
            <v>39008_4</v>
          </cell>
        </row>
        <row r="652">
          <cell r="A652" t="str">
            <v>39008_5</v>
          </cell>
        </row>
        <row r="653">
          <cell r="A653" t="str">
            <v>40001_1</v>
          </cell>
        </row>
        <row r="654">
          <cell r="A654" t="str">
            <v>40002_1</v>
          </cell>
        </row>
        <row r="655">
          <cell r="A655" t="str">
            <v>40002_2</v>
          </cell>
        </row>
        <row r="656">
          <cell r="A656" t="str">
            <v>40002_3</v>
          </cell>
        </row>
        <row r="657">
          <cell r="A657" t="str">
            <v>40003_1</v>
          </cell>
        </row>
        <row r="658">
          <cell r="A658" t="str">
            <v>40004_1</v>
          </cell>
        </row>
        <row r="659">
          <cell r="A659" t="str">
            <v>40005_1</v>
          </cell>
        </row>
        <row r="660">
          <cell r="A660" t="str">
            <v>40006_1</v>
          </cell>
        </row>
        <row r="661">
          <cell r="A661" t="str">
            <v>40007_1</v>
          </cell>
        </row>
        <row r="662">
          <cell r="A662" t="str">
            <v>40008_1</v>
          </cell>
        </row>
        <row r="663">
          <cell r="A663" t="str">
            <v>40009_1</v>
          </cell>
        </row>
        <row r="664">
          <cell r="A664" t="str">
            <v>40010_1</v>
          </cell>
        </row>
        <row r="665">
          <cell r="A665" t="str">
            <v>40011_1</v>
          </cell>
        </row>
        <row r="666">
          <cell r="A666" t="str">
            <v>40012_1</v>
          </cell>
        </row>
        <row r="667">
          <cell r="A667" t="str">
            <v>40013_1</v>
          </cell>
        </row>
        <row r="668">
          <cell r="A668" t="str">
            <v>40014_1</v>
          </cell>
        </row>
        <row r="669">
          <cell r="A669" t="str">
            <v>40015_1</v>
          </cell>
        </row>
        <row r="670">
          <cell r="A670" t="str">
            <v>40016_1</v>
          </cell>
        </row>
        <row r="671">
          <cell r="A671" t="str">
            <v>40016_2</v>
          </cell>
        </row>
        <row r="672">
          <cell r="A672" t="str">
            <v>40017_1</v>
          </cell>
        </row>
        <row r="673">
          <cell r="A673" t="str">
            <v>40017_2</v>
          </cell>
        </row>
        <row r="674">
          <cell r="A674" t="str">
            <v>40017_3</v>
          </cell>
        </row>
        <row r="675">
          <cell r="A675" t="str">
            <v>40018_1</v>
          </cell>
        </row>
        <row r="676">
          <cell r="A676" t="str">
            <v>40018_2</v>
          </cell>
        </row>
        <row r="677">
          <cell r="A677" t="str">
            <v>40018_3</v>
          </cell>
        </row>
        <row r="678">
          <cell r="A678" t="str">
            <v>40019_1</v>
          </cell>
        </row>
        <row r="679">
          <cell r="A679" t="str">
            <v>40019_2</v>
          </cell>
        </row>
        <row r="680">
          <cell r="A680" t="str">
            <v>40019_3</v>
          </cell>
        </row>
        <row r="681">
          <cell r="A681" t="str">
            <v>40021_1</v>
          </cell>
        </row>
        <row r="682">
          <cell r="A682" t="str">
            <v>40021_2</v>
          </cell>
        </row>
        <row r="683">
          <cell r="A683" t="str">
            <v>40022_1</v>
          </cell>
        </row>
        <row r="684">
          <cell r="A684" t="str">
            <v>40022_2</v>
          </cell>
        </row>
        <row r="685">
          <cell r="A685" t="str">
            <v>40023_1</v>
          </cell>
        </row>
        <row r="686">
          <cell r="A686" t="str">
            <v>40023_2</v>
          </cell>
        </row>
        <row r="687">
          <cell r="A687" t="str">
            <v>40024_1</v>
          </cell>
        </row>
        <row r="688">
          <cell r="A688" t="str">
            <v>40024_2</v>
          </cell>
        </row>
        <row r="689">
          <cell r="A689" t="str">
            <v>40025_1</v>
          </cell>
        </row>
        <row r="690">
          <cell r="A690" t="str">
            <v>40025_2</v>
          </cell>
        </row>
        <row r="691">
          <cell r="A691" t="str">
            <v>40026_1</v>
          </cell>
        </row>
        <row r="692">
          <cell r="A692" t="str">
            <v>40026_2</v>
          </cell>
        </row>
        <row r="693">
          <cell r="A693" t="str">
            <v>40027_1</v>
          </cell>
        </row>
        <row r="694">
          <cell r="A694" t="str">
            <v>40027_2</v>
          </cell>
        </row>
        <row r="695">
          <cell r="A695" t="str">
            <v>40028_1</v>
          </cell>
        </row>
        <row r="696">
          <cell r="A696" t="str">
            <v>40028_2</v>
          </cell>
        </row>
        <row r="697">
          <cell r="A697" t="str">
            <v>40029_1</v>
          </cell>
        </row>
        <row r="698">
          <cell r="A698" t="str">
            <v>40029_2</v>
          </cell>
        </row>
        <row r="699">
          <cell r="A699" t="str">
            <v>40030_1</v>
          </cell>
        </row>
        <row r="700">
          <cell r="A700" t="str">
            <v>40030_2</v>
          </cell>
        </row>
        <row r="701">
          <cell r="A701" t="str">
            <v>40031_1</v>
          </cell>
        </row>
        <row r="702">
          <cell r="A702" t="str">
            <v>40031_2</v>
          </cell>
        </row>
        <row r="703">
          <cell r="A703" t="str">
            <v>40032_1</v>
          </cell>
        </row>
        <row r="704">
          <cell r="A704" t="str">
            <v>40032_2</v>
          </cell>
        </row>
        <row r="705">
          <cell r="A705" t="str">
            <v>40033_1</v>
          </cell>
        </row>
        <row r="706">
          <cell r="A706" t="str">
            <v>40033_2</v>
          </cell>
        </row>
        <row r="707">
          <cell r="A707" t="str">
            <v>40034_1</v>
          </cell>
        </row>
        <row r="708">
          <cell r="A708" t="str">
            <v>40034_2</v>
          </cell>
        </row>
        <row r="709">
          <cell r="A709" t="str">
            <v>40035_1</v>
          </cell>
        </row>
        <row r="710">
          <cell r="A710" t="str">
            <v>40035_2</v>
          </cell>
        </row>
        <row r="711">
          <cell r="A711" t="str">
            <v>40036_1</v>
          </cell>
        </row>
        <row r="712">
          <cell r="A712" t="str">
            <v>40036_2</v>
          </cell>
        </row>
        <row r="713">
          <cell r="A713" t="str">
            <v>40037_1</v>
          </cell>
        </row>
        <row r="714">
          <cell r="A714" t="str">
            <v>40037_2</v>
          </cell>
        </row>
        <row r="715">
          <cell r="A715" t="str">
            <v>40038_1</v>
          </cell>
        </row>
        <row r="716">
          <cell r="A716" t="str">
            <v>40038_2</v>
          </cell>
        </row>
        <row r="717">
          <cell r="A717" t="str">
            <v>40039_1</v>
          </cell>
        </row>
        <row r="718">
          <cell r="A718" t="str">
            <v>40039_2</v>
          </cell>
        </row>
        <row r="719">
          <cell r="A719" t="str">
            <v>41001_1</v>
          </cell>
        </row>
        <row r="720">
          <cell r="A720" t="str">
            <v>41001_2</v>
          </cell>
        </row>
        <row r="721">
          <cell r="A721" t="str">
            <v>41001_3</v>
          </cell>
        </row>
        <row r="722">
          <cell r="A722" t="str">
            <v>41002_1</v>
          </cell>
        </row>
        <row r="723">
          <cell r="A723" t="str">
            <v>41002_2</v>
          </cell>
        </row>
        <row r="724">
          <cell r="A724" t="str">
            <v>41002_3</v>
          </cell>
        </row>
        <row r="725">
          <cell r="A725" t="str">
            <v>41003_1</v>
          </cell>
        </row>
        <row r="726">
          <cell r="A726" t="str">
            <v>41003_2</v>
          </cell>
        </row>
        <row r="727">
          <cell r="A727" t="str">
            <v>41003_3</v>
          </cell>
        </row>
        <row r="728">
          <cell r="A728" t="str">
            <v>41004_1</v>
          </cell>
        </row>
        <row r="729">
          <cell r="A729" t="str">
            <v>41004_2</v>
          </cell>
        </row>
        <row r="730">
          <cell r="A730" t="str">
            <v>41004_3</v>
          </cell>
        </row>
        <row r="731">
          <cell r="A731" t="str">
            <v>41005_1</v>
          </cell>
        </row>
        <row r="732">
          <cell r="A732" t="str">
            <v>41005_2</v>
          </cell>
        </row>
        <row r="733">
          <cell r="A733" t="str">
            <v>41005_3</v>
          </cell>
        </row>
        <row r="734">
          <cell r="A734" t="str">
            <v>41006_1</v>
          </cell>
        </row>
        <row r="735">
          <cell r="A735" t="str">
            <v>41006_2</v>
          </cell>
        </row>
        <row r="736">
          <cell r="A736" t="str">
            <v>41006_3</v>
          </cell>
        </row>
        <row r="737">
          <cell r="A737" t="str">
            <v>41007_1</v>
          </cell>
        </row>
        <row r="738">
          <cell r="A738" t="str">
            <v>41007_2</v>
          </cell>
        </row>
        <row r="739">
          <cell r="A739" t="str">
            <v>41007_3</v>
          </cell>
        </row>
        <row r="740">
          <cell r="A740" t="str">
            <v>41008_1</v>
          </cell>
        </row>
        <row r="741">
          <cell r="A741" t="str">
            <v>41008_2</v>
          </cell>
        </row>
        <row r="742">
          <cell r="A742" t="str">
            <v>41008_3</v>
          </cell>
        </row>
        <row r="743">
          <cell r="A743" t="str">
            <v>41009_1</v>
          </cell>
        </row>
        <row r="744">
          <cell r="A744" t="str">
            <v>41009_2</v>
          </cell>
        </row>
        <row r="745">
          <cell r="A745" t="str">
            <v>41009_3</v>
          </cell>
        </row>
        <row r="746">
          <cell r="A746" t="str">
            <v>41010_1</v>
          </cell>
        </row>
        <row r="747">
          <cell r="A747" t="str">
            <v>41010_2</v>
          </cell>
        </row>
        <row r="748">
          <cell r="A748" t="str">
            <v>41010_3</v>
          </cell>
        </row>
        <row r="749">
          <cell r="A749" t="str">
            <v>41011_1</v>
          </cell>
        </row>
        <row r="750">
          <cell r="A750" t="str">
            <v>41011_2</v>
          </cell>
        </row>
        <row r="751">
          <cell r="A751" t="str">
            <v>41012_1</v>
          </cell>
        </row>
        <row r="752">
          <cell r="A752" t="str">
            <v>41012_2</v>
          </cell>
        </row>
        <row r="753">
          <cell r="A753" t="str">
            <v>41013_1</v>
          </cell>
        </row>
        <row r="754">
          <cell r="A754" t="str">
            <v>41013_2</v>
          </cell>
        </row>
        <row r="755">
          <cell r="A755" t="str">
            <v>41014_1</v>
          </cell>
        </row>
        <row r="756">
          <cell r="A756" t="str">
            <v>41014_2</v>
          </cell>
        </row>
        <row r="757">
          <cell r="A757" t="str">
            <v>41015_1</v>
          </cell>
        </row>
        <row r="758">
          <cell r="A758" t="str">
            <v>41015_2</v>
          </cell>
        </row>
        <row r="759">
          <cell r="A759" t="str">
            <v>47001_1</v>
          </cell>
        </row>
        <row r="760">
          <cell r="A760" t="str">
            <v>47001_2</v>
          </cell>
        </row>
        <row r="761">
          <cell r="A761" t="str">
            <v>47002_1</v>
          </cell>
        </row>
        <row r="762">
          <cell r="A762" t="str">
            <v>47002_2</v>
          </cell>
        </row>
        <row r="763">
          <cell r="A763" t="str">
            <v>47003_1</v>
          </cell>
        </row>
        <row r="764">
          <cell r="A764" t="str">
            <v>47003_2</v>
          </cell>
        </row>
        <row r="765">
          <cell r="A765" t="str">
            <v>47003_3</v>
          </cell>
        </row>
        <row r="766">
          <cell r="A766" t="str">
            <v>47003_4</v>
          </cell>
        </row>
        <row r="767">
          <cell r="A767" t="str">
            <v>48001_1</v>
          </cell>
        </row>
        <row r="768">
          <cell r="A768" t="str">
            <v>48002_1</v>
          </cell>
        </row>
        <row r="769">
          <cell r="A769" t="str">
            <v>48002_2</v>
          </cell>
        </row>
        <row r="770">
          <cell r="A770" t="str">
            <v>48002_3</v>
          </cell>
        </row>
        <row r="771">
          <cell r="A771" t="str">
            <v>48003_1</v>
          </cell>
        </row>
        <row r="772">
          <cell r="A772" t="str">
            <v>48003_2</v>
          </cell>
        </row>
        <row r="773">
          <cell r="A773" t="str">
            <v>48003_3</v>
          </cell>
        </row>
        <row r="774">
          <cell r="A774" t="str">
            <v>48004_1</v>
          </cell>
        </row>
        <row r="775">
          <cell r="A775" t="str">
            <v>48004_2</v>
          </cell>
        </row>
        <row r="776">
          <cell r="A776" t="str">
            <v>48005_1</v>
          </cell>
        </row>
        <row r="777">
          <cell r="A777" t="str">
            <v>48005_2</v>
          </cell>
        </row>
        <row r="778">
          <cell r="A778" t="str">
            <v>48006_1</v>
          </cell>
        </row>
        <row r="779">
          <cell r="A779" t="str">
            <v>48006_2</v>
          </cell>
        </row>
        <row r="780">
          <cell r="A780" t="str">
            <v>48007_1</v>
          </cell>
        </row>
        <row r="781">
          <cell r="A781" t="str">
            <v>48007_2</v>
          </cell>
        </row>
        <row r="782">
          <cell r="A782" t="str">
            <v>48008_1</v>
          </cell>
        </row>
        <row r="783">
          <cell r="A783" t="str">
            <v>48008_2</v>
          </cell>
        </row>
        <row r="784">
          <cell r="A784" t="str">
            <v>49001_1</v>
          </cell>
        </row>
        <row r="785">
          <cell r="A785" t="str">
            <v>49002_1</v>
          </cell>
        </row>
        <row r="786">
          <cell r="A786" t="str">
            <v>49002_2</v>
          </cell>
        </row>
        <row r="787">
          <cell r="A787" t="str">
            <v>49003_1</v>
          </cell>
        </row>
        <row r="788">
          <cell r="A788" t="str">
            <v>49003_2</v>
          </cell>
        </row>
        <row r="789">
          <cell r="A789" t="str">
            <v>49004_1</v>
          </cell>
        </row>
        <row r="790">
          <cell r="A790" t="str">
            <v>49004_2</v>
          </cell>
        </row>
        <row r="791">
          <cell r="A791" t="str">
            <v>49004_3</v>
          </cell>
        </row>
        <row r="792">
          <cell r="A792" t="str">
            <v>49005_1</v>
          </cell>
        </row>
        <row r="793">
          <cell r="A793" t="str">
            <v>49006_1</v>
          </cell>
        </row>
        <row r="794">
          <cell r="A794" t="str">
            <v>49006_2</v>
          </cell>
        </row>
        <row r="795">
          <cell r="A795" t="str">
            <v>49007_1</v>
          </cell>
        </row>
        <row r="796">
          <cell r="A796" t="str">
            <v>49007_2</v>
          </cell>
        </row>
        <row r="797">
          <cell r="A797" t="str">
            <v>49007_3</v>
          </cell>
        </row>
        <row r="798">
          <cell r="A798" t="str">
            <v>49008_1</v>
          </cell>
        </row>
        <row r="799">
          <cell r="A799" t="str">
            <v>50001_1</v>
          </cell>
        </row>
        <row r="800">
          <cell r="A800" t="str">
            <v>50002_1</v>
          </cell>
        </row>
        <row r="801">
          <cell r="A801" t="str">
            <v>50003_1</v>
          </cell>
        </row>
        <row r="802">
          <cell r="A802" t="str">
            <v>50004_1</v>
          </cell>
        </row>
        <row r="803">
          <cell r="A803" t="str">
            <v>50005_1</v>
          </cell>
        </row>
        <row r="804">
          <cell r="A804" t="str">
            <v>50006_1</v>
          </cell>
        </row>
        <row r="805">
          <cell r="A805" t="str">
            <v>50007_1</v>
          </cell>
        </row>
        <row r="806">
          <cell r="A806" t="str">
            <v>50008_1</v>
          </cell>
        </row>
        <row r="807">
          <cell r="A807" t="str">
            <v>50009_1</v>
          </cell>
        </row>
        <row r="808">
          <cell r="A808" t="str">
            <v>50010_1</v>
          </cell>
        </row>
        <row r="809">
          <cell r="A809" t="str">
            <v>50011_1</v>
          </cell>
        </row>
        <row r="810">
          <cell r="A810" t="str">
            <v>51001_1</v>
          </cell>
        </row>
        <row r="811">
          <cell r="A811" t="str">
            <v>51002_1</v>
          </cell>
        </row>
        <row r="812">
          <cell r="A812" t="str">
            <v>60001_1</v>
          </cell>
        </row>
        <row r="813">
          <cell r="A813" t="str">
            <v>60002_1</v>
          </cell>
        </row>
        <row r="814">
          <cell r="A814" t="str">
            <v>60002_2</v>
          </cell>
        </row>
        <row r="815">
          <cell r="A815" t="str">
            <v>60003_1</v>
          </cell>
        </row>
        <row r="816">
          <cell r="A816" t="str">
            <v>60003_2</v>
          </cell>
        </row>
        <row r="817">
          <cell r="A817" t="str">
            <v>60003_3</v>
          </cell>
        </row>
        <row r="818">
          <cell r="A818" t="str">
            <v>60004_1</v>
          </cell>
        </row>
        <row r="819">
          <cell r="A819" t="str">
            <v>60005_1</v>
          </cell>
        </row>
        <row r="820">
          <cell r="A820" t="str">
            <v>60006_1</v>
          </cell>
        </row>
        <row r="821">
          <cell r="A821" t="str">
            <v>60006_2</v>
          </cell>
        </row>
        <row r="822">
          <cell r="A822" t="str">
            <v>60006_3</v>
          </cell>
        </row>
        <row r="823">
          <cell r="A823" t="str">
            <v>60007_1</v>
          </cell>
        </row>
        <row r="824">
          <cell r="A824" t="str">
            <v>60007_2</v>
          </cell>
        </row>
        <row r="825">
          <cell r="A825" t="str">
            <v>60007_3</v>
          </cell>
        </row>
        <row r="826">
          <cell r="A826" t="str">
            <v>60010_1</v>
          </cell>
        </row>
        <row r="827">
          <cell r="A827" t="str">
            <v>60011_1</v>
          </cell>
        </row>
        <row r="828">
          <cell r="A828" t="str">
            <v>60011_2</v>
          </cell>
        </row>
        <row r="829">
          <cell r="A829" t="str">
            <v>60012_1</v>
          </cell>
        </row>
        <row r="830">
          <cell r="A830" t="str">
            <v>60013_1</v>
          </cell>
        </row>
        <row r="831">
          <cell r="A831" t="str">
            <v>60013_2</v>
          </cell>
        </row>
        <row r="832">
          <cell r="A832" t="str">
            <v>60013_3</v>
          </cell>
        </row>
        <row r="833">
          <cell r="A833" t="str">
            <v>60014_1</v>
          </cell>
        </row>
        <row r="834">
          <cell r="A834" t="str">
            <v>60015_1</v>
          </cell>
        </row>
        <row r="835">
          <cell r="A835" t="str">
            <v>60016_1</v>
          </cell>
        </row>
        <row r="836">
          <cell r="A836" t="str">
            <v>60017_1</v>
          </cell>
        </row>
        <row r="837">
          <cell r="A837" t="str">
            <v>60018_1</v>
          </cell>
        </row>
        <row r="838">
          <cell r="A838" t="str">
            <v>60019_1</v>
          </cell>
        </row>
        <row r="839">
          <cell r="A839" t="str">
            <v>60020_1</v>
          </cell>
        </row>
        <row r="840">
          <cell r="A840" t="str">
            <v>60021_3</v>
          </cell>
        </row>
        <row r="841">
          <cell r="A841" t="str">
            <v>60022_3</v>
          </cell>
        </row>
        <row r="842">
          <cell r="A842" t="str">
            <v>60023_3</v>
          </cell>
        </row>
        <row r="843">
          <cell r="A843" t="str">
            <v>60024_3</v>
          </cell>
        </row>
        <row r="844">
          <cell r="A844" t="str">
            <v>61011_1</v>
          </cell>
        </row>
        <row r="845">
          <cell r="A845" t="str">
            <v>65525_1</v>
          </cell>
        </row>
        <row r="846">
          <cell r="A846" t="str">
            <v>65526_1</v>
          </cell>
        </row>
        <row r="847">
          <cell r="A847" t="str">
            <v>65533_1</v>
          </cell>
        </row>
        <row r="848">
          <cell r="A848" t="str">
            <v>65533_2</v>
          </cell>
        </row>
        <row r="849">
          <cell r="A849" t="str">
            <v>65534_1</v>
          </cell>
        </row>
        <row r="850">
          <cell r="A850" t="str">
            <v>65535_1</v>
          </cell>
        </row>
        <row r="851">
          <cell r="A851" t="str">
            <v>65535_2</v>
          </cell>
        </row>
        <row r="852">
          <cell r="A852" t="str">
            <v>65535_3</v>
          </cell>
        </row>
        <row r="853">
          <cell r="A853" t="str">
            <v>65535_4</v>
          </cell>
        </row>
        <row r="854">
          <cell r="A854" t="str">
            <v>65535_5</v>
          </cell>
        </row>
        <row r="855">
          <cell r="A855" t="str">
            <v>65535_6</v>
          </cell>
        </row>
        <row r="856">
          <cell r="A856" t="str">
            <v>65535_7</v>
          </cell>
        </row>
        <row r="857">
          <cell r="A857" t="str">
            <v>65535_8</v>
          </cell>
        </row>
        <row r="858">
          <cell r="A858" t="str">
            <v>65535_9</v>
          </cell>
        </row>
        <row r="859">
          <cell r="A85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4" sqref="C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253</v>
      </c>
      <c r="B2" s="57" t="s">
        <v>105</v>
      </c>
      <c r="C2" s="62">
        <v>48008</v>
      </c>
      <c r="D2" s="57" t="s">
        <v>106</v>
      </c>
      <c r="E2" s="56" t="str">
        <f>B2&amp;C2&amp;D2</f>
        <v>floors_48008.tmp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253</v>
      </c>
      <c r="B3" s="57" t="s">
        <v>108</v>
      </c>
      <c r="C3" s="62">
        <v>48008</v>
      </c>
      <c r="D3" s="57" t="s">
        <v>106</v>
      </c>
      <c r="E3" s="56" t="str">
        <f>B3&amp;C3&amp;D3</f>
        <v>enemy_habitats_48008.tmp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176</v>
      </c>
    </row>
    <row r="4" spans="1:30" x14ac:dyDescent="0.15">
      <c r="A4" s="61" t="s">
        <v>253</v>
      </c>
      <c r="B4" s="57" t="s">
        <v>110</v>
      </c>
      <c r="C4" s="62">
        <v>48008</v>
      </c>
      <c r="D4" s="57" t="s">
        <v>106</v>
      </c>
      <c r="E4" s="56" t="str">
        <f>B4&amp;C4&amp;D4</f>
        <v>enemy_habitat_S_48008.tmp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253</v>
      </c>
      <c r="B5" s="57" t="s">
        <v>112</v>
      </c>
      <c r="C5" s="62">
        <v>48008</v>
      </c>
      <c r="D5" s="57" t="s">
        <v>106</v>
      </c>
      <c r="E5" s="56" t="str">
        <f>B5&amp;C5&amp;D5</f>
        <v>enemy_skill_sets_48008.tmp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253</v>
      </c>
      <c r="B6" s="57" t="s">
        <v>114</v>
      </c>
      <c r="C6" s="62">
        <v>48008</v>
      </c>
      <c r="D6" s="57" t="s">
        <v>115</v>
      </c>
      <c r="E6" s="56" t="str">
        <f t="shared" ref="E6:E10" si="0">B6&amp;C6&amp;D6</f>
        <v>enemy_skills_tmp_48008.tmp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253</v>
      </c>
      <c r="B7" s="57" t="s">
        <v>116</v>
      </c>
      <c r="C7" s="62">
        <v>48008</v>
      </c>
      <c r="D7" s="57" t="s">
        <v>106</v>
      </c>
      <c r="E7" s="56" t="str">
        <f>B7&amp;C7&amp;D7</f>
        <v>enemy_skills_i18n_48008.tmp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253</v>
      </c>
      <c r="B8" s="57" t="s">
        <v>118</v>
      </c>
      <c r="C8" s="62">
        <v>48008</v>
      </c>
      <c r="D8" s="57" t="s">
        <v>119</v>
      </c>
      <c r="E8" s="56" t="str">
        <f t="shared" si="0"/>
        <v>enemy_skill_triggers_48008.tmp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253</v>
      </c>
      <c r="B9" s="67" t="s">
        <v>175</v>
      </c>
      <c r="C9" s="62">
        <v>48008</v>
      </c>
      <c r="D9" s="67" t="s">
        <v>169</v>
      </c>
      <c r="E9" s="68" t="str">
        <f t="shared" si="0"/>
        <v>stage_bug_bonuses_48008.tmp</v>
      </c>
      <c r="F9" s="67" t="s">
        <v>170</v>
      </c>
      <c r="G9" s="64" t="s">
        <v>148</v>
      </c>
      <c r="H9" s="64" t="s">
        <v>171</v>
      </c>
      <c r="I9" s="64" t="s">
        <v>172</v>
      </c>
      <c r="J9" s="66" t="s">
        <v>173</v>
      </c>
      <c r="K9" s="64" t="s">
        <v>174</v>
      </c>
      <c r="L9" s="64" t="s">
        <v>154</v>
      </c>
      <c r="M9" s="64" t="s">
        <v>155</v>
      </c>
      <c r="N9" s="64" t="s">
        <v>156</v>
      </c>
      <c r="O9" s="64" t="s">
        <v>157</v>
      </c>
      <c r="P9" s="64" t="s">
        <v>158</v>
      </c>
      <c r="Q9" s="64" t="s">
        <v>159</v>
      </c>
      <c r="R9" s="64" t="s">
        <v>160</v>
      </c>
      <c r="S9" s="64" t="s">
        <v>161</v>
      </c>
      <c r="T9" s="64" t="s">
        <v>162</v>
      </c>
      <c r="U9" s="64" t="s">
        <v>163</v>
      </c>
      <c r="V9" s="64" t="s">
        <v>164</v>
      </c>
      <c r="W9" s="64" t="s">
        <v>165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253</v>
      </c>
      <c r="B10" s="67" t="s">
        <v>199</v>
      </c>
      <c r="C10" s="62">
        <v>48008</v>
      </c>
      <c r="D10" s="67" t="s">
        <v>178</v>
      </c>
      <c r="E10" s="68" t="str">
        <f t="shared" si="0"/>
        <v>stage_hints_data_c_48008.tmp</v>
      </c>
      <c r="F10" s="67" t="s">
        <v>207</v>
      </c>
      <c r="G10" s="73" t="s">
        <v>179</v>
      </c>
      <c r="H10" s="73" t="s">
        <v>171</v>
      </c>
      <c r="I10" s="74" t="s">
        <v>180</v>
      </c>
      <c r="J10" s="66" t="s">
        <v>181</v>
      </c>
      <c r="K10" s="66" t="s">
        <v>182</v>
      </c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</row>
    <row r="11" spans="1:30" s="75" customFormat="1" x14ac:dyDescent="0.15">
      <c r="A11" s="61" t="s">
        <v>253</v>
      </c>
      <c r="B11" s="67" t="s">
        <v>200</v>
      </c>
      <c r="C11" s="62">
        <v>48008</v>
      </c>
      <c r="D11" s="67" t="s">
        <v>169</v>
      </c>
      <c r="E11" s="68" t="str">
        <f t="shared" ref="E11:E13" si="1">B11&amp;C11&amp;D11</f>
        <v>stage_hints_data_f_48008.tmp</v>
      </c>
      <c r="F11" s="67" t="s">
        <v>209</v>
      </c>
      <c r="G11" s="73" t="s">
        <v>179</v>
      </c>
      <c r="H11" s="73" t="s">
        <v>171</v>
      </c>
      <c r="I11" s="74" t="s">
        <v>180</v>
      </c>
      <c r="J11" s="66" t="s">
        <v>181</v>
      </c>
      <c r="K11" s="66" t="s">
        <v>182</v>
      </c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</row>
    <row r="12" spans="1:30" s="75" customFormat="1" x14ac:dyDescent="0.15">
      <c r="A12" s="61" t="s">
        <v>253</v>
      </c>
      <c r="B12" s="67" t="s">
        <v>201</v>
      </c>
      <c r="C12" s="62">
        <v>48008</v>
      </c>
      <c r="D12" s="67" t="s">
        <v>169</v>
      </c>
      <c r="E12" s="68" t="str">
        <f t="shared" si="1"/>
        <v>stage_hints_i18n_48008.tmp</v>
      </c>
      <c r="F12" s="67" t="s">
        <v>210</v>
      </c>
      <c r="G12" s="74" t="s">
        <v>202</v>
      </c>
      <c r="H12" s="95" t="s">
        <v>203</v>
      </c>
      <c r="I12" s="73" t="s">
        <v>204</v>
      </c>
      <c r="J12" s="103" t="s">
        <v>205</v>
      </c>
      <c r="K12" s="66" t="s">
        <v>206</v>
      </c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</row>
    <row r="13" spans="1:30" s="75" customFormat="1" x14ac:dyDescent="0.15">
      <c r="A13" s="61" t="s">
        <v>253</v>
      </c>
      <c r="B13" s="67" t="s">
        <v>250</v>
      </c>
      <c r="C13" s="62">
        <v>48008</v>
      </c>
      <c r="D13" s="67" t="s">
        <v>231</v>
      </c>
      <c r="E13" s="68" t="str">
        <f t="shared" si="1"/>
        <v>stage_bonuses_48008.tmp</v>
      </c>
      <c r="F13" s="67" t="s">
        <v>230</v>
      </c>
      <c r="G13" s="73" t="s">
        <v>232</v>
      </c>
      <c r="H13" s="73" t="s">
        <v>233</v>
      </c>
      <c r="I13" s="73" t="s">
        <v>234</v>
      </c>
      <c r="J13" s="73" t="s">
        <v>235</v>
      </c>
      <c r="K13" s="73" t="s">
        <v>236</v>
      </c>
      <c r="L13" s="73" t="s">
        <v>237</v>
      </c>
      <c r="M13" s="73" t="s">
        <v>238</v>
      </c>
      <c r="N13" s="73" t="s">
        <v>239</v>
      </c>
      <c r="O13" s="73" t="s">
        <v>240</v>
      </c>
      <c r="P13" s="73" t="s">
        <v>241</v>
      </c>
      <c r="Q13" s="73" t="s">
        <v>242</v>
      </c>
      <c r="R13" s="73" t="s">
        <v>243</v>
      </c>
      <c r="S13" s="73" t="s">
        <v>244</v>
      </c>
      <c r="T13" s="73" t="s">
        <v>245</v>
      </c>
      <c r="U13" s="73" t="s">
        <v>246</v>
      </c>
      <c r="V13" s="73" t="s">
        <v>247</v>
      </c>
      <c r="W13" s="73" t="s">
        <v>248</v>
      </c>
      <c r="X13" s="73" t="s">
        <v>249</v>
      </c>
      <c r="Y13" s="102"/>
      <c r="Z13" s="102"/>
      <c r="AA13" s="102"/>
      <c r="AB13" s="102"/>
      <c r="AC13" s="102"/>
      <c r="AD13" s="102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E19" sqref="E1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48008_1-1</v>
      </c>
      <c r="B2" s="16" t="str">
        <f>IF(COUNTIF(enemy_habitats!$H:$H,A2),"OK","NG")</f>
        <v>OK</v>
      </c>
      <c r="C2" s="7">
        <v>48008</v>
      </c>
      <c r="D2" s="11" t="str">
        <f ca="1">VLOOKUP($C2,OFFSET([2]quests!$A$1,0,0,COUNTA([2]quests!$A:$A),MATCH(D$1,[2]quests!$1:$1,0)-MATCH($C$1,[2]quests!$1:$1,0)+1),MATCH(D$1,[2]quests!$1:$1,0)-MATCH($C$1,[2]quests!$1:$1,0)+1,FALSE)</f>
        <v>紀昌襲来！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台湾版降臨9</v>
      </c>
      <c r="F2" s="21">
        <v>1</v>
      </c>
      <c r="G2" s="23" t="str">
        <f>C2&amp;"_"&amp;F2</f>
        <v>48008_1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【超絶級】紀昌襲来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48008_1-2</v>
      </c>
      <c r="B3" s="16" t="str">
        <f>IF(COUNTIF(enemy_habitats!$H:$H,A3),"OK","NG")</f>
        <v>OK</v>
      </c>
      <c r="C3" s="7">
        <v>48008</v>
      </c>
      <c r="D3" s="11" t="str">
        <f ca="1">VLOOKUP($C3,OFFSET([2]quests!$A$1,0,0,COUNTA([2]quests!$A:$A),MATCH(D$1,[2]quests!$1:$1,0)-MATCH($C$1,[2]quests!$1:$1,0)+1),MATCH(D$1,[2]quests!$1:$1,0)-MATCH($C$1,[2]quests!$1:$1,0)+1,FALSE)</f>
        <v>紀昌襲来！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台湾版降臨9</v>
      </c>
      <c r="F3" s="21">
        <v>1</v>
      </c>
      <c r="G3" s="23" t="str">
        <f t="shared" ref="G3:G5" si="1">C3&amp;"_"&amp;F3</f>
        <v>48008_1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【超絶級】紀昌襲来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48008_1-3</v>
      </c>
      <c r="B4" s="16" t="str">
        <f>IF(COUNTIF(enemy_habitats!$H:$H,A4),"OK","NG")</f>
        <v>OK</v>
      </c>
      <c r="C4" s="7">
        <v>48008</v>
      </c>
      <c r="D4" s="11" t="str">
        <f ca="1">VLOOKUP($C4,OFFSET([2]quests!$A$1,0,0,COUNTA([2]quests!$A:$A),MATCH(D$1,[2]quests!$1:$1,0)-MATCH($C$1,[2]quests!$1:$1,0)+1),MATCH(D$1,[2]quests!$1:$1,0)-MATCH($C$1,[2]quests!$1:$1,0)+1,FALSE)</f>
        <v>紀昌襲来！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台湾版降臨9</v>
      </c>
      <c r="F4" s="21">
        <v>1</v>
      </c>
      <c r="G4" s="23" t="str">
        <f t="shared" si="1"/>
        <v>48008_1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【超絶級】紀昌襲来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48008_1-4</v>
      </c>
      <c r="B5" s="16" t="str">
        <f>IF(COUNTIF(enemy_habitats!$H:$H,A5),"OK","NG")</f>
        <v>OK</v>
      </c>
      <c r="C5" s="7">
        <v>48008</v>
      </c>
      <c r="D5" s="11" t="str">
        <f ca="1">VLOOKUP($C5,OFFSET([2]quests!$A$1,0,0,COUNTA([2]quests!$A:$A),MATCH(D$1,[2]quests!$1:$1,0)-MATCH($C$1,[2]quests!$1:$1,0)+1),MATCH(D$1,[2]quests!$1:$1,0)-MATCH($C$1,[2]quests!$1:$1,0)+1,FALSE)</f>
        <v>紀昌襲来！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台湾版降臨9</v>
      </c>
      <c r="F5" s="21">
        <v>1</v>
      </c>
      <c r="G5" s="23" t="str">
        <f t="shared" si="1"/>
        <v>48008_1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【超絶級】紀昌襲来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ref="A6:A9" si="2">G6&amp;"-"&amp;I6</f>
        <v>48008_2-1</v>
      </c>
      <c r="B6" s="16" t="str">
        <f>IF(COUNTIF(enemy_habitats!$H:$H,A6),"OK","NG")</f>
        <v>NG</v>
      </c>
      <c r="C6" s="7">
        <v>48008</v>
      </c>
      <c r="D6" s="11" t="str">
        <f ca="1">VLOOKUP($C6,OFFSET([2]quests!$A$1,0,0,COUNTA([2]quests!$A:$A),MATCH(D$1,[2]quests!$1:$1,0)-MATCH($C$1,[2]quests!$1:$1,0)+1),MATCH(D$1,[2]quests!$1:$1,0)-MATCH($C$1,[2]quests!$1:$1,0)+1,FALSE)</f>
        <v>紀昌襲来！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台湾版降臨9</v>
      </c>
      <c r="F6" s="21">
        <v>2</v>
      </c>
      <c r="G6" s="23" t="str">
        <f t="shared" ref="G6:G9" si="3">C6&amp;"_"&amp;F6</f>
        <v>48008_2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【ウィザード級】紀昌襲来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48008_2-2</v>
      </c>
      <c r="B7" s="16" t="str">
        <f>IF(COUNTIF(enemy_habitats!$H:$H,A7),"OK","NG")</f>
        <v>NG</v>
      </c>
      <c r="C7" s="7">
        <v>48008</v>
      </c>
      <c r="D7" s="11" t="str">
        <f ca="1">VLOOKUP($C7,OFFSET([2]quests!$A$1,0,0,COUNTA([2]quests!$A:$A),MATCH(D$1,[2]quests!$1:$1,0)-MATCH($C$1,[2]quests!$1:$1,0)+1),MATCH(D$1,[2]quests!$1:$1,0)-MATCH($C$1,[2]quests!$1:$1,0)+1,FALSE)</f>
        <v>紀昌襲来！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台湾版降臨9</v>
      </c>
      <c r="F7" s="21">
        <v>2</v>
      </c>
      <c r="G7" s="23" t="str">
        <f t="shared" si="3"/>
        <v>48008_2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【ウィザード級】紀昌襲来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48008_2-3</v>
      </c>
      <c r="B8" s="16" t="str">
        <f>IF(COUNTIF(enemy_habitats!$H:$H,A8),"OK","NG")</f>
        <v>NG</v>
      </c>
      <c r="C8" s="7">
        <v>48008</v>
      </c>
      <c r="D8" s="11" t="str">
        <f ca="1">VLOOKUP($C8,OFFSET([2]quests!$A$1,0,0,COUNTA([2]quests!$A:$A),MATCH(D$1,[2]quests!$1:$1,0)-MATCH($C$1,[2]quests!$1:$1,0)+1),MATCH(D$1,[2]quests!$1:$1,0)-MATCH($C$1,[2]quests!$1:$1,0)+1,FALSE)</f>
        <v>紀昌襲来！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台湾版降臨9</v>
      </c>
      <c r="F8" s="21">
        <v>2</v>
      </c>
      <c r="G8" s="23" t="str">
        <f t="shared" si="3"/>
        <v>48008_2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【ウィザード級】紀昌襲来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48008_2-4</v>
      </c>
      <c r="B9" s="16" t="str">
        <f>IF(COUNTIF(enemy_habitats!$H:$H,A9),"OK","NG")</f>
        <v>NG</v>
      </c>
      <c r="C9" s="7">
        <v>48008</v>
      </c>
      <c r="D9" s="11" t="str">
        <f ca="1">VLOOKUP($C9,OFFSET([2]quests!$A$1,0,0,COUNTA([2]quests!$A:$A),MATCH(D$1,[2]quests!$1:$1,0)-MATCH($C$1,[2]quests!$1:$1,0)+1),MATCH(D$1,[2]quests!$1:$1,0)-MATCH($C$1,[2]quests!$1:$1,0)+1,FALSE)</f>
        <v>紀昌襲来！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台湾版降臨9</v>
      </c>
      <c r="F9" s="21">
        <v>2</v>
      </c>
      <c r="G9" s="23" t="str">
        <f t="shared" si="3"/>
        <v>48008_2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【ウィザード級】紀昌襲来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1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2" sqref="S1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173" bestFit="1" customWidth="1"/>
    <col min="20" max="20" width="14.83203125" style="10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169" t="s">
        <v>48</v>
      </c>
      <c r="T1" s="104" t="s">
        <v>251</v>
      </c>
      <c r="U1" s="26" t="s">
        <v>50</v>
      </c>
      <c r="V1" s="104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48008_1-1/334&lt;lv1&gt;s1</v>
      </c>
      <c r="B2" s="22">
        <v>48008</v>
      </c>
      <c r="C2" s="21">
        <v>1</v>
      </c>
      <c r="D2" s="2" t="str">
        <f>B2&amp;"_"&amp;C2</f>
        <v>48008_1</v>
      </c>
      <c r="E2" s="4" t="str">
        <f ca="1">VLOOKUP($B2,OFFSET([2]quests!$A$1,0,0,COUNTA([2]quests!$A:$A),MATCH(E$1,[2]quests!$1:$1,0)-MATCH($B$1,[2]quests!$1:$1,0)+1),MATCH(E$1,[2]quests!$1:$1,0)-MATCH($B$1,[2]quests!$1:$1,0)+1,FALSE)</f>
        <v>紀昌襲来！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【超絶級】紀昌襲来</v>
      </c>
      <c r="G2" s="21">
        <v>1</v>
      </c>
      <c r="H2" s="15" t="str">
        <f>B2&amp;"_"&amp;C2&amp;"-"&amp;G2</f>
        <v>48008_1-1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334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炎のメタルダック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1</v>
      </c>
      <c r="S2" s="170">
        <v>0.8</v>
      </c>
      <c r="T2" s="10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15.200000000000001</v>
      </c>
      <c r="U2" s="25">
        <v>30</v>
      </c>
      <c r="V2" s="10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270</v>
      </c>
      <c r="W2" s="5">
        <v>3000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防御力2倍（3ターン）</v>
      </c>
      <c r="Y2" s="47">
        <v>48008100</v>
      </c>
      <c r="Z2" s="6">
        <v>1</v>
      </c>
      <c r="AA2" s="6">
        <v>100</v>
      </c>
      <c r="AB2" s="6">
        <v>0</v>
      </c>
      <c r="AC2" s="17">
        <v>1</v>
      </c>
      <c r="AD2" s="24">
        <f>L2</f>
        <v>334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炎のメタルダック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4">
        <f ca="1">AF2</f>
        <v>5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48008_1-1/335&lt;lv1&gt;s2</v>
      </c>
      <c r="B3" s="22">
        <v>48008</v>
      </c>
      <c r="C3" s="21">
        <v>1</v>
      </c>
      <c r="D3" s="2" t="str">
        <f>B3&amp;"_"&amp;C3</f>
        <v>48008_1</v>
      </c>
      <c r="E3" s="4" t="str">
        <f ca="1">VLOOKUP($B3,OFFSET([2]quests!$A$1,0,0,COUNTA([2]quests!$A:$A),MATCH(E$1,[2]quests!$1:$1,0)-MATCH($B$1,[2]quests!$1:$1,0)+1),MATCH(E$1,[2]quests!$1:$1,0)-MATCH($B$1,[2]quests!$1:$1,0)+1,FALSE)</f>
        <v>紀昌襲来！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【超絶級】紀昌襲来</v>
      </c>
      <c r="G3" s="21">
        <v>1</v>
      </c>
      <c r="H3" s="15" t="str">
        <f>B3&amp;"_"&amp;C3&amp;"-"&amp;G3</f>
        <v>48008_1-1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335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炎のメタルジェントル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170">
        <v>0.45</v>
      </c>
      <c r="T3" s="105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24.75</v>
      </c>
      <c r="U3" s="25">
        <v>50</v>
      </c>
      <c r="V3" s="105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450</v>
      </c>
      <c r="W3" s="5">
        <v>5000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防御力2倍（6ターン）+Cスキル禁止(10ターン)</v>
      </c>
      <c r="Y3" s="47">
        <v>48008103</v>
      </c>
      <c r="Z3" s="6">
        <v>1</v>
      </c>
      <c r="AA3" s="6">
        <v>100</v>
      </c>
      <c r="AB3" s="6">
        <v>0</v>
      </c>
      <c r="AC3" s="17">
        <v>2</v>
      </c>
      <c r="AD3" s="24">
        <f>L3</f>
        <v>335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炎のメタルジェントル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3" s="7">
        <v>1</v>
      </c>
      <c r="AI3" s="24">
        <f ca="1">AF3</f>
        <v>6</v>
      </c>
      <c r="AJ3" s="8">
        <v>10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ref="A4:A6" si="0">B4&amp;"_"&amp;C4&amp;"-"&amp;G4&amp;"/"&amp;L4&amp;"&lt;lv"&amp;R4&amp;"&gt;s"&amp;AC4</f>
        <v>48008_1-2/8037&lt;lv1&gt;s2</v>
      </c>
      <c r="B4" s="22">
        <v>48008</v>
      </c>
      <c r="C4" s="21">
        <v>1</v>
      </c>
      <c r="D4" s="2" t="str">
        <f t="shared" ref="D4:D6" si="1">B4&amp;"_"&amp;C4</f>
        <v>48008_1</v>
      </c>
      <c r="E4" s="4" t="str">
        <f ca="1">VLOOKUP($B4,OFFSET([2]quests!$A$1,0,0,COUNTA([2]quests!$A:$A),MATCH(E$1,[2]quests!$1:$1,0)-MATCH($B$1,[2]quests!$1:$1,0)+1),MATCH(E$1,[2]quests!$1:$1,0)-MATCH($B$1,[2]quests!$1:$1,0)+1,FALSE)</f>
        <v>紀昌襲来！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【超絶級】紀昌襲来</v>
      </c>
      <c r="G4" s="21">
        <v>2</v>
      </c>
      <c r="H4" s="15" t="str">
        <f t="shared" ref="H4:H6" si="2">B4&amp;"_"&amp;C4&amp;"-"&amp;G4</f>
        <v>48008_1-2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8037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紀昌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1</v>
      </c>
      <c r="S4" s="170">
        <v>5.0000000000000001E-3</v>
      </c>
      <c r="T4" s="10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25">
        <v>10</v>
      </c>
      <c r="V4" s="10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5">
        <v>30000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青以外特大ダメージ</v>
      </c>
      <c r="Y4" s="47">
        <v>48008106</v>
      </c>
      <c r="Z4" s="6">
        <v>1</v>
      </c>
      <c r="AA4" s="6">
        <v>100</v>
      </c>
      <c r="AB4" s="6">
        <v>0</v>
      </c>
      <c r="AC4" s="17">
        <v>2</v>
      </c>
      <c r="AD4" s="24">
        <f t="shared" ref="AD4:AD6" si="3">L4</f>
        <v>8037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紀昌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ref="AI4:AI6" ca="1" si="4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48008_1-3/586&lt;lv1&gt;s1</v>
      </c>
      <c r="B5" s="22">
        <v>48008</v>
      </c>
      <c r="C5" s="21">
        <v>1</v>
      </c>
      <c r="D5" s="2" t="str">
        <f t="shared" si="1"/>
        <v>48008_1</v>
      </c>
      <c r="E5" s="4" t="str">
        <f ca="1">VLOOKUP($B5,OFFSET([2]quests!$A$1,0,0,COUNTA([2]quests!$A:$A),MATCH(E$1,[2]quests!$1:$1,0)-MATCH($B$1,[2]quests!$1:$1,0)+1),MATCH(E$1,[2]quests!$1:$1,0)-MATCH($B$1,[2]quests!$1:$1,0)+1,FALSE)</f>
        <v>紀昌襲来！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【超絶級】紀昌襲来</v>
      </c>
      <c r="G5" s="21">
        <v>3</v>
      </c>
      <c r="H5" s="15" t="str">
        <f t="shared" si="2"/>
        <v>48008_1-3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586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ユミル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170">
        <v>5.1999999999999998E-3</v>
      </c>
      <c r="T5" s="10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24.5076</v>
      </c>
      <c r="U5" s="25">
        <v>10</v>
      </c>
      <c r="V5" s="10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2200</v>
      </c>
      <c r="W5" s="5">
        <v>150000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青属性以外のCスキル禁止（10ターン）</v>
      </c>
      <c r="Y5" s="47">
        <v>48008111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586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ユミル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s="137" customFormat="1" ht="21" customHeight="1" thickBot="1" x14ac:dyDescent="0.2">
      <c r="A6" s="120" t="str">
        <f t="shared" si="0"/>
        <v>48008_1-4/8037&lt;lv65&gt;s2</v>
      </c>
      <c r="B6" s="121">
        <v>48008</v>
      </c>
      <c r="C6" s="122">
        <v>1</v>
      </c>
      <c r="D6" s="123" t="str">
        <f t="shared" si="1"/>
        <v>48008_1</v>
      </c>
      <c r="E6" s="124" t="str">
        <f ca="1">VLOOKUP($B6,OFFSET([2]quests!$A$1,0,0,COUNTA([2]quests!$A:$A),MATCH(E$1,[2]quests!$1:$1,0)-MATCH($B$1,[2]quests!$1:$1,0)+1),MATCH(E$1,[2]quests!$1:$1,0)-MATCH($B$1,[2]quests!$1:$1,0)+1,FALSE)</f>
        <v>紀昌襲来！</v>
      </c>
      <c r="F6" s="124" t="str">
        <f ca="1">VLOOKUP($D6,OFFSET([2]stages!$A$1,0,0,COUNTA([2]stages!$A:$A),MATCH(F$1,[2]stages!$2:$2,0)-MATCH($D$1,[2]stages!$2:$2,0)+1),MATCH(F$1,[2]stages!$2:$2,0)-MATCH($D$1,[2]stages!$2:$2,0)+1,FALSE)</f>
        <v>【超絶級】紀昌襲来</v>
      </c>
      <c r="G6" s="122">
        <v>4</v>
      </c>
      <c r="H6" s="123" t="str">
        <f t="shared" si="2"/>
        <v>48008_1-4</v>
      </c>
      <c r="I6" s="124">
        <f ca="1">VLOOKUP($H6,OFFSET(floors!$A$1,0,0,COUNTA(floors!$A:$A),MATCH(I$1,floors!$1:$1,0)-MATCH($H$1,floors!$1:$1,0)+1),MATCH(I$1,floors!$1:$1,0)-MATCH($H$1,floors!$1:$1,0)+1,FALSE)</f>
        <v>60</v>
      </c>
      <c r="J6" s="124">
        <f ca="1">VLOOKUP($H6,OFFSET(floors!$A$1,0,0,COUNTA(floors!$A:$A),MATCH(J$1,floors!$1:$1,0)-MATCH($H$1,floors!$1:$1,0)+1),MATCH(J$1,floors!$1:$1,0)-MATCH($H$1,floors!$1:$1,0)+1,FALSE)</f>
        <v>60</v>
      </c>
      <c r="K6" s="125" t="s">
        <v>256</v>
      </c>
      <c r="L6" s="126">
        <v>8037</v>
      </c>
      <c r="M6" s="127" t="str">
        <f ca="1">VLOOKUP($L6,OFFSET([3]enemies!$A$1,0,0,COUNTA([3]enemies!$A:$A),MATCH(M$1,[3]enemies!$1:$1,0)-MATCH($L$1,[3]enemies!$1:$1,0)+1),MATCH(M$1,[3]enemies!$1:$1,0)-MATCH($L$1,[3]enemies!$1:$1,0)+1,FALSE)</f>
        <v>紀昌</v>
      </c>
      <c r="N6" s="12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2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2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27">
        <f ca="1">VLOOKUP($L6,OFFSET([3]enemies!$A$1,0,0,COUNTA([3]enemies!$A:$A),MATCH(Q$1,[3]enemies!$1:$1,0)-MATCH($L$1,[3]enemies!$1:$1,0)+1),MATCH(Q$1,[3]enemies!$1:$1,0)-MATCH($L$1,[3]enemies!$1:$1,0)+1,FALSE)</f>
        <v>60</v>
      </c>
      <c r="R6" s="128">
        <v>65</v>
      </c>
      <c r="S6" s="171">
        <v>1</v>
      </c>
      <c r="T6" s="13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29">
        <v>10</v>
      </c>
      <c r="V6" s="13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128">
        <v>0</v>
      </c>
      <c r="X6" s="12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割引攻撃（80%ダメージ）</v>
      </c>
      <c r="Y6" s="131">
        <v>48008121</v>
      </c>
      <c r="Z6" s="132">
        <v>1</v>
      </c>
      <c r="AA6" s="132">
        <v>100</v>
      </c>
      <c r="AB6" s="132">
        <v>0</v>
      </c>
      <c r="AC6" s="127">
        <v>2</v>
      </c>
      <c r="AD6" s="133">
        <f t="shared" si="3"/>
        <v>8037</v>
      </c>
      <c r="AE6" s="12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紀昌</v>
      </c>
      <c r="AF6" s="12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2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34">
        <v>1</v>
      </c>
      <c r="AI6" s="133">
        <f t="shared" ca="1" si="4"/>
        <v>5</v>
      </c>
      <c r="AJ6" s="135">
        <v>15</v>
      </c>
      <c r="AK6" s="134">
        <v>0</v>
      </c>
      <c r="AL6" s="134">
        <v>0</v>
      </c>
      <c r="AM6" s="134">
        <v>0</v>
      </c>
      <c r="AN6" s="134">
        <v>0</v>
      </c>
      <c r="AO6" s="134">
        <v>1</v>
      </c>
      <c r="AP6" s="136">
        <v>1</v>
      </c>
    </row>
    <row r="7" spans="1:42" ht="21" customHeight="1" thickTop="1" x14ac:dyDescent="0.15">
      <c r="A7" s="16" t="str">
        <f>B7&amp;"_"&amp;C7&amp;"-"&amp;G7&amp;"/"&amp;L7&amp;"&lt;lv"&amp;R7&amp;"&gt;s"&amp;AC7</f>
        <v>48008_2-1/334&lt;lv1&gt;s1</v>
      </c>
      <c r="B7" s="22">
        <v>48008</v>
      </c>
      <c r="C7" s="107">
        <v>2</v>
      </c>
      <c r="D7" s="108" t="str">
        <f>B7&amp;"_"&amp;C7</f>
        <v>48008_2</v>
      </c>
      <c r="E7" s="4" t="str">
        <f ca="1">VLOOKUP($B7,OFFSET([2]quests!$A$1,0,0,COUNTA([2]quests!$A:$A),MATCH(E$1,[2]quests!$1:$1,0)-MATCH($B$1,[2]quests!$1:$1,0)+1),MATCH(E$1,[2]quests!$1:$1,0)-MATCH($B$1,[2]quests!$1:$1,0)+1,FALSE)</f>
        <v>紀昌襲来！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【ウィザード級】紀昌襲来</v>
      </c>
      <c r="G7" s="107">
        <v>1</v>
      </c>
      <c r="H7" s="108" t="s">
        <v>261</v>
      </c>
      <c r="I7" s="4">
        <v>60</v>
      </c>
      <c r="J7" s="4">
        <v>60</v>
      </c>
      <c r="K7" s="109" t="s">
        <v>256</v>
      </c>
      <c r="L7" s="110">
        <v>334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炎のメタルダック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111">
        <v>1</v>
      </c>
      <c r="S7" s="172">
        <v>1.05</v>
      </c>
      <c r="T7" s="11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19.95</v>
      </c>
      <c r="U7" s="112">
        <v>35</v>
      </c>
      <c r="V7" s="11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315</v>
      </c>
      <c r="W7" s="111">
        <v>5000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防御力2倍（3ターン）</v>
      </c>
      <c r="Y7" s="47">
        <v>48008100</v>
      </c>
      <c r="Z7" s="115">
        <v>1</v>
      </c>
      <c r="AA7" s="115">
        <v>100</v>
      </c>
      <c r="AB7" s="115">
        <v>0</v>
      </c>
      <c r="AC7" s="17">
        <v>1</v>
      </c>
      <c r="AD7" s="116">
        <f>L7</f>
        <v>334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炎のメタルダック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7" s="117">
        <v>1</v>
      </c>
      <c r="AI7" s="116">
        <f ca="1">AF7</f>
        <v>5</v>
      </c>
      <c r="AJ7" s="118">
        <v>20</v>
      </c>
      <c r="AK7" s="117">
        <v>0</v>
      </c>
      <c r="AL7" s="117">
        <v>0</v>
      </c>
      <c r="AM7" s="117">
        <v>0</v>
      </c>
      <c r="AN7" s="117">
        <v>0</v>
      </c>
      <c r="AO7" s="117">
        <v>1</v>
      </c>
      <c r="AP7" s="119">
        <v>1</v>
      </c>
    </row>
    <row r="8" spans="1:42" ht="21" customHeight="1" x14ac:dyDescent="0.15">
      <c r="A8" s="16" t="str">
        <f>B8&amp;"_"&amp;C8&amp;"-"&amp;G8&amp;"/"&amp;L8&amp;"&lt;lv"&amp;R8&amp;"&gt;s"&amp;AC8</f>
        <v>48008_2-1/335&lt;lv1&gt;s2</v>
      </c>
      <c r="B8" s="22">
        <v>48008</v>
      </c>
      <c r="C8" s="21">
        <v>2</v>
      </c>
      <c r="D8" s="2" t="str">
        <f>B8&amp;"_"&amp;C8</f>
        <v>48008_2</v>
      </c>
      <c r="E8" s="4" t="str">
        <f ca="1">VLOOKUP($B8,OFFSET([2]quests!$A$1,0,0,COUNTA([2]quests!$A:$A),MATCH(E$1,[2]quests!$1:$1,0)-MATCH($B$1,[2]quests!$1:$1,0)+1),MATCH(E$1,[2]quests!$1:$1,0)-MATCH($B$1,[2]quests!$1:$1,0)+1,FALSE)</f>
        <v>紀昌襲来！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【ウィザード級】紀昌襲来</v>
      </c>
      <c r="G8" s="21">
        <v>1</v>
      </c>
      <c r="H8" s="15" t="s">
        <v>261</v>
      </c>
      <c r="I8" s="4">
        <v>60</v>
      </c>
      <c r="J8" s="4">
        <v>60</v>
      </c>
      <c r="K8" s="38" t="s">
        <v>256</v>
      </c>
      <c r="L8" s="20">
        <v>335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炎のメタルジェントル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</v>
      </c>
      <c r="S8" s="170">
        <v>0.55000000000000004</v>
      </c>
      <c r="T8" s="10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30.250000000000004</v>
      </c>
      <c r="U8" s="25">
        <v>55</v>
      </c>
      <c r="V8" s="10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495</v>
      </c>
      <c r="W8" s="5">
        <v>7500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防御力2倍（6ターン）+Cスキル禁止(10ターン)</v>
      </c>
      <c r="Y8" s="47">
        <v>48008103</v>
      </c>
      <c r="Z8" s="6">
        <v>1</v>
      </c>
      <c r="AA8" s="6">
        <v>100</v>
      </c>
      <c r="AB8" s="6">
        <v>0</v>
      </c>
      <c r="AC8" s="17">
        <v>2</v>
      </c>
      <c r="AD8" s="24">
        <f>L8</f>
        <v>335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炎のメタルジェントル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6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8" s="7">
        <v>1</v>
      </c>
      <c r="AI8" s="24">
        <f ca="1">AF8</f>
        <v>6</v>
      </c>
      <c r="AJ8" s="8">
        <v>10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ref="A9:A11" si="5">B9&amp;"_"&amp;C9&amp;"-"&amp;G9&amp;"/"&amp;L9&amp;"&lt;lv"&amp;R9&amp;"&gt;s"&amp;AC9</f>
        <v>48008_2-2/8037&lt;lv1&gt;s2</v>
      </c>
      <c r="B9" s="22">
        <v>48008</v>
      </c>
      <c r="C9" s="21">
        <v>2</v>
      </c>
      <c r="D9" s="2" t="str">
        <f t="shared" ref="D9:D11" si="6">B9&amp;"_"&amp;C9</f>
        <v>48008_2</v>
      </c>
      <c r="E9" s="4" t="str">
        <f ca="1">VLOOKUP($B9,OFFSET([2]quests!$A$1,0,0,COUNTA([2]quests!$A:$A),MATCH(E$1,[2]quests!$1:$1,0)-MATCH($B$1,[2]quests!$1:$1,0)+1),MATCH(E$1,[2]quests!$1:$1,0)-MATCH($B$1,[2]quests!$1:$1,0)+1,FALSE)</f>
        <v>紀昌襲来！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【ウィザード級】紀昌襲来</v>
      </c>
      <c r="G9" s="21">
        <v>2</v>
      </c>
      <c r="H9" s="15" t="s">
        <v>262</v>
      </c>
      <c r="I9" s="4">
        <v>60</v>
      </c>
      <c r="J9" s="4">
        <v>60</v>
      </c>
      <c r="K9" s="38" t="s">
        <v>256</v>
      </c>
      <c r="L9" s="20">
        <v>8037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紀昌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1</v>
      </c>
      <c r="S9" s="170">
        <v>1</v>
      </c>
      <c r="T9" s="10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25">
        <v>10</v>
      </c>
      <c r="V9" s="10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5">
        <v>50000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青以外特大ダメージ</v>
      </c>
      <c r="Y9" s="47">
        <v>48008106</v>
      </c>
      <c r="Z9" s="6">
        <v>1</v>
      </c>
      <c r="AA9" s="6">
        <v>100</v>
      </c>
      <c r="AB9" s="6">
        <v>0</v>
      </c>
      <c r="AC9" s="17">
        <v>2</v>
      </c>
      <c r="AD9" s="24">
        <f t="shared" ref="AD9:AD11" si="7">L9</f>
        <v>8037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紀昌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ref="AI9:AI11" ca="1" si="8">AF9</f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5"/>
        <v>48008_2-3/586&lt;lv1&gt;s1</v>
      </c>
      <c r="B10" s="22">
        <v>48008</v>
      </c>
      <c r="C10" s="21">
        <v>2</v>
      </c>
      <c r="D10" s="2" t="str">
        <f t="shared" si="6"/>
        <v>48008_2</v>
      </c>
      <c r="E10" s="4" t="str">
        <f ca="1">VLOOKUP($B10,OFFSET([2]quests!$A$1,0,0,COUNTA([2]quests!$A:$A),MATCH(E$1,[2]quests!$1:$1,0)-MATCH($B$1,[2]quests!$1:$1,0)+1),MATCH(E$1,[2]quests!$1:$1,0)-MATCH($B$1,[2]quests!$1:$1,0)+1,FALSE)</f>
        <v>紀昌襲来！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【ウィザード級】紀昌襲来</v>
      </c>
      <c r="G10" s="21">
        <v>3</v>
      </c>
      <c r="H10" s="15" t="s">
        <v>263</v>
      </c>
      <c r="I10" s="4">
        <v>60</v>
      </c>
      <c r="J10" s="4">
        <v>60</v>
      </c>
      <c r="K10" s="38">
        <v>1</v>
      </c>
      <c r="L10" s="20">
        <v>586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ユミル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1</v>
      </c>
      <c r="S10" s="170">
        <v>6.3E-3</v>
      </c>
      <c r="T10" s="105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29.6919</v>
      </c>
      <c r="U10" s="25">
        <v>10</v>
      </c>
      <c r="V10" s="105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2200</v>
      </c>
      <c r="W10" s="5">
        <v>200000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青属性以外のCスキル禁止（10ターン）</v>
      </c>
      <c r="Y10" s="47">
        <v>48008111</v>
      </c>
      <c r="Z10" s="6">
        <v>1</v>
      </c>
      <c r="AA10" s="6">
        <v>100</v>
      </c>
      <c r="AB10" s="6">
        <v>0</v>
      </c>
      <c r="AC10" s="17">
        <v>1</v>
      </c>
      <c r="AD10" s="24">
        <f t="shared" si="7"/>
        <v>586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ユミル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0" s="7">
        <v>1</v>
      </c>
      <c r="AI10" s="24">
        <f t="shared" ca="1" si="8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48008_2-4/8037&lt;lv1&gt;s1</v>
      </c>
      <c r="B11" s="22">
        <v>48008</v>
      </c>
      <c r="C11" s="21">
        <v>2</v>
      </c>
      <c r="D11" s="2" t="str">
        <f t="shared" si="6"/>
        <v>48008_2</v>
      </c>
      <c r="E11" s="4" t="str">
        <f ca="1">VLOOKUP($B11,OFFSET([2]quests!$A$1,0,0,COUNTA([2]quests!$A:$A),MATCH(E$1,[2]quests!$1:$1,0)-MATCH($B$1,[2]quests!$1:$1,0)+1),MATCH(E$1,[2]quests!$1:$1,0)-MATCH($B$1,[2]quests!$1:$1,0)+1,FALSE)</f>
        <v>紀昌襲来！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【ウィザード級】紀昌襲来</v>
      </c>
      <c r="G11" s="21">
        <v>4</v>
      </c>
      <c r="H11" s="15" t="s">
        <v>264</v>
      </c>
      <c r="I11" s="4">
        <v>60</v>
      </c>
      <c r="J11" s="4">
        <v>60</v>
      </c>
      <c r="K11" s="38">
        <v>2</v>
      </c>
      <c r="L11" s="20">
        <v>8037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紀昌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1</v>
      </c>
      <c r="S11" s="170">
        <v>0.5</v>
      </c>
      <c r="T11" s="105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0</v>
      </c>
      <c r="U11" s="25">
        <v>10</v>
      </c>
      <c r="V11" s="105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0</v>
      </c>
      <c r="W11" s="5">
        <v>50000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スキルバインド（3ターン）+スキルバインド（3ターン）+全パネルを吸収</v>
      </c>
      <c r="Y11" s="47">
        <v>48008117</v>
      </c>
      <c r="Z11" s="6">
        <v>1</v>
      </c>
      <c r="AA11" s="6">
        <v>100</v>
      </c>
      <c r="AB11" s="6">
        <v>0</v>
      </c>
      <c r="AC11" s="17">
        <v>1</v>
      </c>
      <c r="AD11" s="24">
        <f t="shared" si="7"/>
        <v>8037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紀昌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8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21" spans="2:2" ht="21" customHeight="1" x14ac:dyDescent="0.15">
      <c r="B21" s="3" t="s">
        <v>255</v>
      </c>
    </row>
  </sheetData>
  <sheetProtection selectLockedCells="1" selectUnlockedCells="1"/>
  <autoFilter ref="B1:AJ7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5" sqref="V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4" t="s">
        <v>251</v>
      </c>
      <c r="V1" s="26" t="s">
        <v>50</v>
      </c>
      <c r="W1" s="104" t="s">
        <v>252</v>
      </c>
      <c r="X1" s="26" t="s">
        <v>52</v>
      </c>
      <c r="Y1" s="28" t="s">
        <v>127</v>
      </c>
      <c r="Z1" s="29" t="s">
        <v>126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48008_1-3/587&lt;lv1&gt;sq1st2</v>
      </c>
      <c r="B2" s="22">
        <v>48008</v>
      </c>
      <c r="C2" s="21">
        <v>1</v>
      </c>
      <c r="D2" s="2" t="str">
        <f>B2&amp;"_"&amp;C2</f>
        <v>48008_1</v>
      </c>
      <c r="E2" s="4" t="str">
        <f ca="1">VLOOKUP($B2,OFFSET([2]quests!$A$1,0,0,COUNTA([2]quests!$A:$A),MATCH(E$1,[2]quests!$1:$1,0)-MATCH($B$1,[2]quests!$1:$1,0)+1),MATCH(E$1,[2]quests!$1:$1,0)-MATCH($B$1,[2]quests!$1:$1,0)+1,FALSE)</f>
        <v>紀昌襲来！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【超絶級】紀昌襲来</v>
      </c>
      <c r="G2" s="21">
        <v>3</v>
      </c>
      <c r="H2" s="15" t="str">
        <f>B2&amp;"_"&amp;C2&amp;"-"&amp;G2</f>
        <v>48008_1-3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587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原初の煉鋼巨刃 ユミル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</v>
      </c>
      <c r="T2" s="167">
        <v>1.2E-2</v>
      </c>
      <c r="U2" s="10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73.956000000000003</v>
      </c>
      <c r="V2" s="25">
        <v>16</v>
      </c>
      <c r="W2" s="10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3792</v>
      </c>
      <c r="X2" s="5">
        <v>150000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48008114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48008_2-3/587&lt;lv1&gt;sq1st2</v>
      </c>
      <c r="B3" s="22">
        <v>48008</v>
      </c>
      <c r="C3" s="107">
        <v>2</v>
      </c>
      <c r="D3" s="108" t="str">
        <f>B3&amp;"_"&amp;C3</f>
        <v>48008_2</v>
      </c>
      <c r="E3" s="4" t="str">
        <f ca="1">VLOOKUP($B3,OFFSET([2]quests!$A$1,0,0,COUNTA([2]quests!$A:$A),MATCH(E$1,[2]quests!$1:$1,0)-MATCH($B$1,[2]quests!$1:$1,0)+1),MATCH(E$1,[2]quests!$1:$1,0)-MATCH($B$1,[2]quests!$1:$1,0)+1,FALSE)</f>
        <v>紀昌襲来！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【ウィザード級】紀昌襲来</v>
      </c>
      <c r="G3" s="107">
        <v>3</v>
      </c>
      <c r="H3" s="108" t="str">
        <f>B3&amp;"_"&amp;C3&amp;"-"&amp;G3</f>
        <v>48008_2-3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09">
        <v>1</v>
      </c>
      <c r="L3" s="109">
        <v>2</v>
      </c>
      <c r="M3" s="110">
        <v>587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原初の煉鋼巨刃 ユミル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machine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11">
        <v>1</v>
      </c>
      <c r="T3" s="168">
        <v>1.2E-2</v>
      </c>
      <c r="U3" s="11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73.956000000000003</v>
      </c>
      <c r="V3" s="112">
        <v>21</v>
      </c>
      <c r="W3" s="11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4977</v>
      </c>
      <c r="X3" s="111">
        <v>200000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14">
        <v>48008114</v>
      </c>
      <c r="AA3" s="138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48008_2-4/8038&lt;lv85&gt;sq2st2</v>
      </c>
      <c r="B4" s="22">
        <v>48008</v>
      </c>
      <c r="C4" s="21">
        <v>2</v>
      </c>
      <c r="D4" s="2" t="str">
        <f>B4&amp;"_"&amp;C4</f>
        <v>48008_2</v>
      </c>
      <c r="E4" s="4" t="str">
        <f ca="1">VLOOKUP($B4,OFFSET([2]quests!$A$1,0,0,COUNTA([2]quests!$A:$A),MATCH(E$1,[2]quests!$1:$1,0)-MATCH($B$1,[2]quests!$1:$1,0)+1),MATCH(E$1,[2]quests!$1:$1,0)-MATCH($B$1,[2]quests!$1:$1,0)+1,FALSE)</f>
        <v>紀昌襲来！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【ウィザード級】紀昌襲来</v>
      </c>
      <c r="G4" s="21">
        <v>4</v>
      </c>
      <c r="H4" s="15" t="str">
        <f>B4&amp;"_"&amp;C4&amp;"-"&amp;G4</f>
        <v>48008_2-4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8038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レア６紀昌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85</v>
      </c>
      <c r="T4" s="167">
        <v>5.5</v>
      </c>
      <c r="U4" s="10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5">
        <v>5</v>
      </c>
      <c r="W4" s="10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48008121</v>
      </c>
      <c r="AA4" s="70">
        <v>1</v>
      </c>
    </row>
  </sheetData>
  <sheetProtection selectLockedCells="1" selectUnlockedCells="1"/>
  <autoFilter ref="B1:AA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21" sqref="B21"/>
    </sheetView>
  </sheetViews>
  <sheetFormatPr baseColWidth="12" defaultColWidth="12.83203125" defaultRowHeight="21" customHeight="1" outlineLevelCol="1" x14ac:dyDescent="0.15"/>
  <cols>
    <col min="1" max="1" width="15.6640625" style="39" customWidth="1"/>
    <col min="2" max="3" width="14.83203125" style="49" customWidth="1"/>
    <col min="4" max="4" width="23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48008100_48008100</v>
      </c>
      <c r="B2" s="174">
        <v>48008100</v>
      </c>
      <c r="C2" s="174">
        <v>48008100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先制行動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防御力2倍（3ターン）</v>
      </c>
      <c r="F2" s="47">
        <v>48008100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3" si="1">B3&amp;"_"&amp;C3</f>
        <v>48008100_48008101</v>
      </c>
      <c r="B3" s="174">
        <v>48008100</v>
      </c>
      <c r="C3" s="174">
        <v>48008101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アヒルアターック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48008101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48008100_48008102</v>
      </c>
      <c r="B4" s="174">
        <v>48008100</v>
      </c>
      <c r="C4" s="174">
        <v>48008102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50%以下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攻撃力2倍(99ターン)</v>
      </c>
      <c r="F4" s="47">
        <v>48008102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48008103_48008103</v>
      </c>
      <c r="B5" s="176">
        <v>48008103</v>
      </c>
      <c r="C5" s="176">
        <v>48008103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先制行動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防御力2倍（6ターン）+Cスキル禁止(10ターン)</v>
      </c>
      <c r="F5" s="47">
        <v>48008103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48008103_48008104</v>
      </c>
      <c r="B6" s="176">
        <v>48008103</v>
      </c>
      <c r="C6" s="176">
        <v>48008104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アヒルアターック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47">
        <v>48008104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48008103_48008105</v>
      </c>
      <c r="B7" s="176">
        <v>48008103</v>
      </c>
      <c r="C7" s="176">
        <v>48008105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50%以下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攻撃力2倍(99ターン)</v>
      </c>
      <c r="F7" s="47">
        <v>48008105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48008106_48008106</v>
      </c>
      <c r="B8" s="179">
        <v>48008106</v>
      </c>
      <c r="C8" s="179">
        <v>48008106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先制行動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青以外特大ダメージ</v>
      </c>
      <c r="F8" s="47">
        <v>48008106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48008106_48008107</v>
      </c>
      <c r="B9" s="179">
        <v>48008106</v>
      </c>
      <c r="C9" s="179">
        <v>48008107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通常行動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一体に大ダメージ</v>
      </c>
      <c r="F9" s="47">
        <v>48008107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2">B10&amp;"_"&amp;C10</f>
        <v>48008106_48008108</v>
      </c>
      <c r="B10" s="179">
        <v>48008106</v>
      </c>
      <c r="C10" s="179">
        <v>48008108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通常行動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全体スキルターンを減る</v>
      </c>
      <c r="F10" s="47">
        <v>48008108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48008106_48008109</v>
      </c>
      <c r="B11" s="179">
        <v>48008106</v>
      </c>
      <c r="C11" s="179">
        <v>48008109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通常行動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11" s="47">
        <v>48008109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48008106_48008110</v>
      </c>
      <c r="B12" s="179">
        <v>48008106</v>
      </c>
      <c r="C12" s="179">
        <v>48008110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死亡行動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セリフ</v>
      </c>
      <c r="F12" s="47">
        <v>48008110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48008106_48008201</v>
      </c>
      <c r="B13" s="179">
        <v>48008106</v>
      </c>
      <c r="C13" s="179">
        <v>48008201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先制行動(飛衛遭遇)F2</v>
      </c>
      <c r="E13" s="46">
        <f ca="1">VLOOKUP($C13,OFFSET(enemy_skills!$A$1,0,0,COUNTA(enemy_skills!$A:$A),MATCH(E$1,enemy_skills!$1:$1,0)-MATCH("enemy_skill_id",enemy_skills!$1:$1,0)+1),MATCH(E$1,enemy_skills!$1:$1,0)-MATCH("enemy_skill_id",enemy_skills!$1:$1,0)+1,FALSE)</f>
        <v>0</v>
      </c>
      <c r="F13" s="47">
        <v>48008201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48008106_48008202</v>
      </c>
      <c r="B14" s="179">
        <v>48008106</v>
      </c>
      <c r="C14" s="179">
        <v>48008202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通常行動(飛衛遭遇)F2</v>
      </c>
      <c r="E14" s="46">
        <f ca="1">VLOOKUP($C14,OFFSET(enemy_skills!$A$1,0,0,COUNTA(enemy_skills!$A:$A),MATCH(E$1,enemy_skills!$1:$1,0)-MATCH("enemy_skill_id",enemy_skills!$1:$1,0)+1),MATCH(E$1,enemy_skills!$1:$1,0)-MATCH("enemy_skill_id",enemy_skills!$1:$1,0)+1,FALSE)</f>
        <v>0</v>
      </c>
      <c r="F14" s="47">
        <v>48008202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" si="3">B15&amp;"_"&amp;C15</f>
        <v>48008111_48008111</v>
      </c>
      <c r="B15" s="182">
        <v>48008111</v>
      </c>
      <c r="C15" s="182">
        <v>48008111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第1ターン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青属性以外のCスキル禁止（10ターン）</v>
      </c>
      <c r="F15" s="47">
        <v>48008111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>B16&amp;"_"&amp;C16</f>
        <v>48008111_48008112</v>
      </c>
      <c r="B16" s="182">
        <v>48008111</v>
      </c>
      <c r="C16" s="182">
        <v>48008112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第2ターン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攻撃(そのあとは繰り返す)</v>
      </c>
      <c r="F16" s="47">
        <v>48008112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48008111_48008113</v>
      </c>
      <c r="B17" s="182">
        <v>48008111</v>
      </c>
      <c r="C17" s="182">
        <v>48008113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死亡行動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セリフ</v>
      </c>
      <c r="F17" s="47">
        <v>48008113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48008114_48008114</v>
      </c>
      <c r="B18" s="185">
        <v>48008114</v>
      </c>
      <c r="C18" s="185">
        <v>48008114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先制行動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暗闇(5ターン)</v>
      </c>
      <c r="F18" s="47">
        <v>48008114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48008114_48008115</v>
      </c>
      <c r="B19" s="185">
        <v>48008114</v>
      </c>
      <c r="C19" s="185">
        <v>48008115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通常行動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超大ダメージ</v>
      </c>
      <c r="F19" s="47">
        <v>48008115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48008114_48008116</v>
      </c>
      <c r="B20" s="185">
        <v>48008114</v>
      </c>
      <c r="C20" s="185">
        <v>48008116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死亡行動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セリフ</v>
      </c>
      <c r="F20" s="47">
        <v>48008116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48008117_48008117</v>
      </c>
      <c r="B21" s="174">
        <v>48008117</v>
      </c>
      <c r="C21" s="174">
        <v>48008117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先制行動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スキルバインド（3ターン）+スキルバインド（3ターン）+全パネルを吸収</v>
      </c>
      <c r="F21" s="47">
        <v>48008117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48008117_48008118</v>
      </c>
      <c r="B22" s="174">
        <v>48008117</v>
      </c>
      <c r="C22" s="174">
        <v>48008118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通常行動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邪魔パネルを生成</v>
      </c>
      <c r="F22" s="47">
        <v>48008118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48008117_48008119</v>
      </c>
      <c r="B23" s="174">
        <v>48008117</v>
      </c>
      <c r="C23" s="174">
        <v>48008119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通常行動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ユニットを行動不能</v>
      </c>
      <c r="F23" s="47">
        <v>48008119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48008117_48008120</v>
      </c>
      <c r="B24" s="174">
        <v>48008117</v>
      </c>
      <c r="C24" s="174">
        <v>48008120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死亡行動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セリフ</v>
      </c>
      <c r="F24" s="47">
        <v>48008120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:A26" si="4">B25&amp;"_"&amp;C25</f>
        <v>48008117_48008203</v>
      </c>
      <c r="B25" s="174">
        <v>48008117</v>
      </c>
      <c r="C25" s="174">
        <v>48008203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先制行動(飛衛遭遇)F4-1</v>
      </c>
      <c r="E25" s="46">
        <f ca="1">VLOOKUP($C25,OFFSET(enemy_skills!$A$1,0,0,COUNTA(enemy_skills!$A:$A),MATCH(E$1,enemy_skills!$1:$1,0)-MATCH("enemy_skill_id",enemy_skills!$1:$1,0)+1),MATCH(E$1,enemy_skills!$1:$1,0)-MATCH("enemy_skill_id",enemy_skills!$1:$1,0)+1,FALSE)</f>
        <v>0</v>
      </c>
      <c r="F25" s="47">
        <v>48008203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48008117_48008204</v>
      </c>
      <c r="B26" s="174">
        <v>48008117</v>
      </c>
      <c r="C26" s="174">
        <v>48008204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通常行動(飛衛遭遇)F4-1</v>
      </c>
      <c r="E26" s="46">
        <f ca="1">VLOOKUP($C26,OFFSET(enemy_skills!$A$1,0,0,COUNTA(enemy_skills!$A:$A),MATCH(E$1,enemy_skills!$1:$1,0)-MATCH("enemy_skill_id",enemy_skills!$1:$1,0)+1),MATCH(E$1,enemy_skills!$1:$1,0)-MATCH("enemy_skill_id",enemy_skills!$1:$1,0)+1,FALSE)</f>
        <v>0</v>
      </c>
      <c r="F26" s="47">
        <v>48008204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48008121_48008121</v>
      </c>
      <c r="B27" s="176">
        <v>48008121</v>
      </c>
      <c r="C27" s="176">
        <v>48008121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先制行動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割引攻撃（80%ダメージ）</v>
      </c>
      <c r="F27" s="47">
        <v>48008121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48008121_48008122</v>
      </c>
      <c r="B28" s="189">
        <v>48008121</v>
      </c>
      <c r="C28" s="176">
        <v>48008122</v>
      </c>
      <c r="D28" s="16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通常行動</v>
      </c>
      <c r="E28" s="16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全体に大ダメージ</v>
      </c>
      <c r="F28" s="47">
        <v>48008122</v>
      </c>
      <c r="G28" s="163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163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163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163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63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63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163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8" s="163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63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161"/>
      <c r="Q28" s="161"/>
      <c r="R28" s="161"/>
    </row>
    <row r="29" spans="1:18" s="165" customFormat="1" ht="21" customHeight="1" thickBot="1" x14ac:dyDescent="0.2">
      <c r="A29" s="164" t="str">
        <f t="shared" si="1"/>
        <v>48008121_48008123</v>
      </c>
      <c r="B29" s="190">
        <v>48008121</v>
      </c>
      <c r="C29" s="176">
        <v>48008123</v>
      </c>
      <c r="D29" s="141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通常行動</v>
      </c>
      <c r="E29" s="141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単体に大ダメージ+攻撃力ダウン(3ターン)</v>
      </c>
      <c r="F29" s="47">
        <v>48008123</v>
      </c>
      <c r="G29" s="142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142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142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42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42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42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42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29" s="142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42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31"/>
      <c r="Q29" s="131"/>
      <c r="R29" s="131"/>
    </row>
    <row r="30" spans="1:18" ht="21" customHeight="1" thickTop="1" x14ac:dyDescent="0.15">
      <c r="A30" s="39" t="str">
        <f t="shared" ref="A30:A31" si="5">B30&amp;"_"&amp;C30</f>
        <v>48008121_48008124</v>
      </c>
      <c r="B30" s="191">
        <v>48008121</v>
      </c>
      <c r="C30" s="176">
        <v>48008124</v>
      </c>
      <c r="D30" s="139" t="str">
        <f ca="1">VLOOKUP($C30,OFFSET(enemy_skills!$A$1,0,0,COUNTA(enemy_skills!$A:$A),MATCH(D$1,enemy_skills!$1:$1,0)-MATCH("enemy_skill_id",enemy_skills!$1:$1,0)+1),MATCH(D$1,enemy_skills!$1:$1,0)-MATCH("enemy_skill_id",enemy_skills!$1:$1,0)+1,FALSE)</f>
        <v>50%以下</v>
      </c>
      <c r="E30" s="139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ハートパネル無効(3ターン)</v>
      </c>
      <c r="F30" s="47">
        <v>48008124</v>
      </c>
      <c r="G30" s="140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140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40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40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40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140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40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14"/>
      <c r="Q30" s="114"/>
      <c r="R30" s="114"/>
    </row>
    <row r="31" spans="1:18" ht="21" customHeight="1" x14ac:dyDescent="0.15">
      <c r="A31" s="39" t="str">
        <f t="shared" si="5"/>
        <v>48008121_48008125</v>
      </c>
      <c r="B31" s="176">
        <v>48008121</v>
      </c>
      <c r="C31" s="176">
        <v>48008125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通常行動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全体に大ダメージ</v>
      </c>
      <c r="F31" s="47">
        <v>48008125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48008121_48008126</v>
      </c>
      <c r="B32" s="176">
        <v>48008121</v>
      </c>
      <c r="C32" s="176">
        <v>48008126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死亡行動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セリフ</v>
      </c>
      <c r="F32" s="47">
        <v>48008126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48008121_48008205</v>
      </c>
      <c r="B33" s="176">
        <v>48008121</v>
      </c>
      <c r="C33" s="176">
        <v>48008205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先制行動(飛衛遭遇)F4-2</v>
      </c>
      <c r="E33" s="46">
        <f ca="1">VLOOKUP($C33,OFFSET(enemy_skills!$A$1,0,0,COUNTA(enemy_skills!$A:$A),MATCH(E$1,enemy_skills!$1:$1,0)-MATCH("enemy_skill_id",enemy_skills!$1:$1,0)+1),MATCH(E$1,enemy_skills!$1:$1,0)-MATCH("enemy_skill_id",enemy_skills!$1:$1,0)+1,FALSE)</f>
        <v>0</v>
      </c>
      <c r="F33" s="47">
        <v>48008205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6">B34&amp;"_"&amp;C34</f>
        <v>48008121_48008206</v>
      </c>
      <c r="B34" s="176">
        <v>48008121</v>
      </c>
      <c r="C34" s="176">
        <v>48008206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通常行動(飛衛遭遇)F4-2</v>
      </c>
      <c r="E34" s="46">
        <f ca="1">VLOOKUP($C34,OFFSET(enemy_skills!$A$1,0,0,COUNTA(enemy_skills!$A:$A),MATCH(E$1,enemy_skills!$1:$1,0)-MATCH("enemy_skill_id",enemy_skills!$1:$1,0)+1),MATCH(E$1,enemy_skills!$1:$1,0)-MATCH("enemy_skill_id",enemy_skills!$1:$1,0)+1,FALSE)</f>
        <v>0</v>
      </c>
      <c r="F34" s="47">
        <v>48008206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0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zoomScale="115" zoomScaleNormal="115" zoomScalePageLayoutView="115" workbookViewId="0">
      <pane ySplit="1" topLeftCell="A2" activePane="bottomLeft" state="frozenSplit"/>
      <selection pane="bottomLeft" activeCell="B2" sqref="B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2.332031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74">
        <v>48008100</v>
      </c>
      <c r="B2" s="174"/>
      <c r="C2" s="175">
        <v>1</v>
      </c>
      <c r="D2" s="175" t="s">
        <v>265</v>
      </c>
      <c r="E2" s="166" t="s">
        <v>267</v>
      </c>
      <c r="F2" s="166" t="s">
        <v>276</v>
      </c>
      <c r="G2" s="63">
        <f>IFERROR(LEFT(B2,FIND("],",B2)),B2)</f>
        <v>0</v>
      </c>
      <c r="H2" s="63" t="e">
        <f>FIND("effect:",G2)+7</f>
        <v>#VALUE!</v>
      </c>
      <c r="I2" s="63">
        <f>IFERROR(FIND(",",G2),LEN(G2))</f>
        <v>1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74">
        <v>48008101</v>
      </c>
      <c r="B3" s="174"/>
      <c r="C3" s="175">
        <v>1</v>
      </c>
      <c r="D3" s="175" t="s">
        <v>265</v>
      </c>
      <c r="E3" s="166" t="s">
        <v>269</v>
      </c>
      <c r="F3" s="166" t="s">
        <v>271</v>
      </c>
      <c r="G3" s="63">
        <f t="shared" ref="G3:G28" si="0">IFERROR(LEFT(B3,FIND("],",B3)),B3)</f>
        <v>0</v>
      </c>
      <c r="H3" s="63" t="e">
        <f t="shared" ref="H3:H34" si="1">FIND("effect:",G3)+7</f>
        <v>#VALUE!</v>
      </c>
      <c r="I3" s="63">
        <f t="shared" ref="I3:I28" si="2">IFERROR(FIND(",",G3),LEN(G3))</f>
        <v>1</v>
      </c>
      <c r="J3" s="63" t="e">
        <f t="shared" ref="J3:J28" si="3">FIND("target:",G3)+7</f>
        <v>#VALUE!</v>
      </c>
      <c r="K3" s="63" t="e">
        <f t="shared" ref="K3:K28" si="4">FIND(",",G3,I3+1)</f>
        <v>#VALUE!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28" si="5">IFERROR(RIGHT(B3,LEN(B3)-FIND("],",B3)-1),"none")</f>
        <v>none</v>
      </c>
      <c r="N3" s="48" t="str">
        <f t="shared" ref="N3:N24" si="6">IFERROR(LEFT(M3,FIND("],",M3)+S13),M3)</f>
        <v>none</v>
      </c>
      <c r="O3" s="63" t="e">
        <f t="shared" ref="O3:O34" si="7">FIND("effect:",N3)+7</f>
        <v>#VALUE!</v>
      </c>
      <c r="P3" s="63">
        <f t="shared" ref="P3:P28" si="8">IFERROR(FIND(",",N3),LEN(N3))</f>
        <v>4</v>
      </c>
      <c r="Q3" s="63" t="e">
        <f t="shared" ref="Q3:Q28" si="9">FIND("target:",N3)+7</f>
        <v>#VALUE!</v>
      </c>
      <c r="R3" s="63" t="e">
        <f t="shared" ref="R3:R28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28" si="11">IFERROR(RIGHT(M3,LEN(M3)-FIND("],",M3)-1),"none")</f>
        <v>none</v>
      </c>
      <c r="U3" s="63" t="e">
        <f t="shared" ref="U3:U34" si="12">FIND("effect:",T3)+7</f>
        <v>#VALUE!</v>
      </c>
      <c r="V3" s="63">
        <f t="shared" ref="V3:V28" si="13">IFERROR(FIND(",",T3),LEN(T3))</f>
        <v>4</v>
      </c>
      <c r="W3" s="63" t="e">
        <f t="shared" ref="W3:W28" si="14">FIND("target:",T3)+7</f>
        <v>#VALUE!</v>
      </c>
      <c r="X3" s="63" t="e">
        <f t="shared" ref="X3:X28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174">
        <v>48008102</v>
      </c>
      <c r="B4" s="174"/>
      <c r="C4" s="175">
        <v>1</v>
      </c>
      <c r="D4" s="175" t="s">
        <v>265</v>
      </c>
      <c r="E4" s="166" t="s">
        <v>273</v>
      </c>
      <c r="F4" s="166" t="s">
        <v>275</v>
      </c>
      <c r="G4" s="63">
        <f t="shared" si="0"/>
        <v>0</v>
      </c>
      <c r="H4" s="63" t="e">
        <f t="shared" si="1"/>
        <v>#VALUE!</v>
      </c>
      <c r="I4" s="63">
        <f t="shared" si="2"/>
        <v>1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176">
        <v>48008103</v>
      </c>
      <c r="B5" s="176"/>
      <c r="C5" s="177">
        <v>1</v>
      </c>
      <c r="D5" s="177" t="s">
        <v>265</v>
      </c>
      <c r="E5" s="178" t="s">
        <v>266</v>
      </c>
      <c r="F5" s="178" t="s">
        <v>279</v>
      </c>
      <c r="G5" s="63">
        <f t="shared" si="0"/>
        <v>0</v>
      </c>
      <c r="H5" s="63" t="e">
        <f t="shared" si="1"/>
        <v>#VALUE!</v>
      </c>
      <c r="I5" s="63">
        <f t="shared" si="2"/>
        <v>1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76">
        <v>48008104</v>
      </c>
      <c r="B6" s="176"/>
      <c r="C6" s="177">
        <v>1</v>
      </c>
      <c r="D6" s="177" t="s">
        <v>265</v>
      </c>
      <c r="E6" s="178" t="s">
        <v>268</v>
      </c>
      <c r="F6" s="178" t="s">
        <v>270</v>
      </c>
      <c r="G6" s="63">
        <f t="shared" si="0"/>
        <v>0</v>
      </c>
      <c r="H6" s="63" t="e">
        <f t="shared" si="1"/>
        <v>#VALUE!</v>
      </c>
      <c r="I6" s="63">
        <f t="shared" si="2"/>
        <v>1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76">
        <v>48008105</v>
      </c>
      <c r="B7" s="176"/>
      <c r="C7" s="177">
        <v>1</v>
      </c>
      <c r="D7" s="177" t="s">
        <v>265</v>
      </c>
      <c r="E7" s="178" t="s">
        <v>272</v>
      </c>
      <c r="F7" s="178" t="s">
        <v>274</v>
      </c>
      <c r="G7" s="63">
        <f t="shared" si="0"/>
        <v>0</v>
      </c>
      <c r="H7" s="63" t="e">
        <f t="shared" si="1"/>
        <v>#VALUE!</v>
      </c>
      <c r="I7" s="63">
        <f t="shared" si="2"/>
        <v>1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79">
        <v>48008106</v>
      </c>
      <c r="B8" s="179"/>
      <c r="C8" s="180">
        <v>1</v>
      </c>
      <c r="D8" s="180" t="s">
        <v>265</v>
      </c>
      <c r="E8" s="181" t="s">
        <v>280</v>
      </c>
      <c r="F8" s="181" t="s">
        <v>282</v>
      </c>
      <c r="G8" s="63">
        <f t="shared" si="0"/>
        <v>0</v>
      </c>
      <c r="H8" s="63" t="e">
        <f t="shared" si="1"/>
        <v>#VALUE!</v>
      </c>
      <c r="I8" s="63">
        <f t="shared" si="2"/>
        <v>1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79">
        <v>48008107</v>
      </c>
      <c r="B9" s="179"/>
      <c r="C9" s="180">
        <v>1</v>
      </c>
      <c r="D9" s="180" t="s">
        <v>265</v>
      </c>
      <c r="E9" s="181" t="s">
        <v>291</v>
      </c>
      <c r="F9" s="181" t="s">
        <v>285</v>
      </c>
      <c r="G9" s="63">
        <f t="shared" si="0"/>
        <v>0</v>
      </c>
      <c r="H9" s="63" t="e">
        <f t="shared" si="1"/>
        <v>#VALUE!</v>
      </c>
      <c r="I9" s="63">
        <f t="shared" si="2"/>
        <v>1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179">
        <v>48008108</v>
      </c>
      <c r="B10" s="179"/>
      <c r="C10" s="180">
        <v>1</v>
      </c>
      <c r="D10" s="180" t="s">
        <v>265</v>
      </c>
      <c r="E10" s="181" t="s">
        <v>284</v>
      </c>
      <c r="F10" s="181" t="s">
        <v>286</v>
      </c>
      <c r="G10" s="63">
        <f t="shared" si="0"/>
        <v>0</v>
      </c>
      <c r="H10" s="63" t="e">
        <f t="shared" si="1"/>
        <v>#VALUE!</v>
      </c>
      <c r="I10" s="63">
        <f t="shared" si="2"/>
        <v>1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179">
        <v>48008109</v>
      </c>
      <c r="B11" s="179"/>
      <c r="C11" s="180">
        <v>1</v>
      </c>
      <c r="D11" s="180" t="s">
        <v>265</v>
      </c>
      <c r="E11" s="181" t="s">
        <v>284</v>
      </c>
      <c r="F11" s="181" t="s">
        <v>287</v>
      </c>
      <c r="G11" s="63">
        <f t="shared" si="0"/>
        <v>0</v>
      </c>
      <c r="H11" s="63" t="e">
        <f t="shared" si="1"/>
        <v>#VALUE!</v>
      </c>
      <c r="I11" s="63">
        <f t="shared" si="2"/>
        <v>1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79">
        <v>48008110</v>
      </c>
      <c r="B12" s="179"/>
      <c r="C12" s="180">
        <v>1</v>
      </c>
      <c r="D12" s="180" t="s">
        <v>265</v>
      </c>
      <c r="E12" s="181" t="s">
        <v>289</v>
      </c>
      <c r="F12" s="181" t="s">
        <v>290</v>
      </c>
      <c r="G12" s="63">
        <f t="shared" si="0"/>
        <v>0</v>
      </c>
      <c r="H12" s="63" t="e">
        <f t="shared" si="1"/>
        <v>#VALUE!</v>
      </c>
      <c r="I12" s="63">
        <f t="shared" si="2"/>
        <v>1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182">
        <v>48008111</v>
      </c>
      <c r="B13" s="182"/>
      <c r="C13" s="183">
        <v>1</v>
      </c>
      <c r="D13" s="183" t="s">
        <v>265</v>
      </c>
      <c r="E13" s="184" t="s">
        <v>292</v>
      </c>
      <c r="F13" s="184" t="s">
        <v>294</v>
      </c>
      <c r="G13" s="63">
        <f t="shared" si="0"/>
        <v>0</v>
      </c>
      <c r="H13" s="63" t="e">
        <f t="shared" si="1"/>
        <v>#VALUE!</v>
      </c>
      <c r="I13" s="63">
        <f t="shared" si="2"/>
        <v>1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82">
        <v>48008112</v>
      </c>
      <c r="B14" s="182"/>
      <c r="C14" s="183">
        <v>1</v>
      </c>
      <c r="D14" s="183" t="s">
        <v>265</v>
      </c>
      <c r="E14" s="184" t="s">
        <v>293</v>
      </c>
      <c r="F14" s="184" t="s">
        <v>295</v>
      </c>
      <c r="G14" s="63">
        <f t="shared" si="0"/>
        <v>0</v>
      </c>
      <c r="H14" s="63" t="e">
        <f t="shared" si="1"/>
        <v>#VALUE!</v>
      </c>
      <c r="I14" s="63">
        <f t="shared" si="2"/>
        <v>1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182">
        <v>48008113</v>
      </c>
      <c r="B15" s="182"/>
      <c r="C15" s="183">
        <v>1</v>
      </c>
      <c r="D15" s="183" t="s">
        <v>265</v>
      </c>
      <c r="E15" s="184" t="s">
        <v>296</v>
      </c>
      <c r="F15" s="184" t="s">
        <v>297</v>
      </c>
      <c r="G15" s="63">
        <f t="shared" si="0"/>
        <v>0</v>
      </c>
      <c r="H15" s="63" t="e">
        <f t="shared" si="1"/>
        <v>#VALUE!</v>
      </c>
      <c r="I15" s="63">
        <f t="shared" si="2"/>
        <v>1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85">
        <v>48008114</v>
      </c>
      <c r="B16" s="185"/>
      <c r="C16" s="186">
        <v>1</v>
      </c>
      <c r="D16" s="186" t="s">
        <v>265</v>
      </c>
      <c r="E16" s="187" t="s">
        <v>280</v>
      </c>
      <c r="F16" s="187" t="s">
        <v>302</v>
      </c>
      <c r="G16" s="63">
        <f t="shared" si="0"/>
        <v>0</v>
      </c>
      <c r="H16" s="63" t="e">
        <f t="shared" si="1"/>
        <v>#VALUE!</v>
      </c>
      <c r="I16" s="63">
        <f t="shared" si="2"/>
        <v>1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185">
        <v>48008115</v>
      </c>
      <c r="B17" s="185"/>
      <c r="C17" s="186">
        <v>1</v>
      </c>
      <c r="D17" s="186" t="s">
        <v>265</v>
      </c>
      <c r="E17" s="187" t="s">
        <v>283</v>
      </c>
      <c r="F17" s="187" t="s">
        <v>303</v>
      </c>
      <c r="G17" s="63">
        <f t="shared" si="0"/>
        <v>0</v>
      </c>
      <c r="H17" s="63" t="e">
        <f t="shared" si="1"/>
        <v>#VALUE!</v>
      </c>
      <c r="I17" s="63">
        <f t="shared" si="2"/>
        <v>1</v>
      </c>
      <c r="J17" s="63" t="e">
        <f t="shared" si="3"/>
        <v>#VALUE!</v>
      </c>
      <c r="K17" s="63" t="e">
        <f t="shared" si="4"/>
        <v>#VALUE!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85">
        <v>48008116</v>
      </c>
      <c r="B18" s="185"/>
      <c r="C18" s="186">
        <v>1</v>
      </c>
      <c r="D18" s="186" t="s">
        <v>265</v>
      </c>
      <c r="E18" s="187" t="s">
        <v>288</v>
      </c>
      <c r="F18" s="187" t="s">
        <v>281</v>
      </c>
      <c r="G18" s="63">
        <f t="shared" si="0"/>
        <v>0</v>
      </c>
      <c r="H18" s="63" t="e">
        <f t="shared" si="1"/>
        <v>#VALUE!</v>
      </c>
      <c r="I18" s="63">
        <f t="shared" si="2"/>
        <v>1</v>
      </c>
      <c r="J18" s="63" t="e">
        <f t="shared" si="3"/>
        <v>#VALUE!</v>
      </c>
      <c r="K18" s="63" t="e">
        <f t="shared" si="4"/>
        <v>#VALUE!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33" customHeight="1" x14ac:dyDescent="0.15">
      <c r="A19" s="174">
        <v>48008117</v>
      </c>
      <c r="B19" s="174"/>
      <c r="C19" s="175">
        <v>1</v>
      </c>
      <c r="D19" s="175" t="s">
        <v>265</v>
      </c>
      <c r="E19" s="166" t="s">
        <v>267</v>
      </c>
      <c r="F19" s="188" t="s">
        <v>298</v>
      </c>
      <c r="G19" s="63">
        <f>IFERROR(LEFT(B21,FIND("],",B21)),B21)</f>
        <v>0</v>
      </c>
      <c r="H19" s="63" t="e">
        <f t="shared" si="1"/>
        <v>#VALUE!</v>
      </c>
      <c r="I19" s="63">
        <f t="shared" si="2"/>
        <v>1</v>
      </c>
      <c r="J19" s="63" t="e">
        <f t="shared" si="3"/>
        <v>#VALUE!</v>
      </c>
      <c r="K19" s="63" t="e">
        <f t="shared" si="4"/>
        <v>#VALUE!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>IFERROR(RIGHT(B21,LEN(B21)-FIND("],",B21)-1),"none")</f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74">
        <v>48008118</v>
      </c>
      <c r="B20" s="174"/>
      <c r="C20" s="175">
        <v>1</v>
      </c>
      <c r="D20" s="175" t="s">
        <v>265</v>
      </c>
      <c r="E20" s="166" t="s">
        <v>283</v>
      </c>
      <c r="F20" s="188" t="s">
        <v>299</v>
      </c>
      <c r="G20" s="63">
        <f t="shared" si="0"/>
        <v>0</v>
      </c>
      <c r="H20" s="63" t="e">
        <f t="shared" si="1"/>
        <v>#VALUE!</v>
      </c>
      <c r="I20" s="63">
        <f t="shared" si="2"/>
        <v>1</v>
      </c>
      <c r="J20" s="63" t="e">
        <f t="shared" si="3"/>
        <v>#VALUE!</v>
      </c>
      <c r="K20" s="63" t="e">
        <f t="shared" si="4"/>
        <v>#VALUE!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74">
        <v>48008119</v>
      </c>
      <c r="B21" s="174"/>
      <c r="C21" s="175">
        <v>1</v>
      </c>
      <c r="D21" s="175" t="s">
        <v>265</v>
      </c>
      <c r="E21" s="166" t="s">
        <v>283</v>
      </c>
      <c r="F21" s="188" t="s">
        <v>300</v>
      </c>
      <c r="G21" s="63" t="e">
        <f>IFERROR(LEFT(#REF!,FIND("],",#REF!)),#REF!)</f>
        <v>#REF!</v>
      </c>
      <c r="H21" s="63" t="e">
        <f t="shared" si="1"/>
        <v>#REF!</v>
      </c>
      <c r="I21" s="63" t="e">
        <f t="shared" si="2"/>
        <v>#REF!</v>
      </c>
      <c r="J21" s="63" t="e">
        <f t="shared" si="3"/>
        <v>#REF!</v>
      </c>
      <c r="K21" s="63" t="e">
        <f t="shared" si="4"/>
        <v>#REF!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>IFERROR(RIGHT(#REF!,LEN(#REF!)-FIND("],",#REF!)-1),"none")</f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74">
        <v>48008120</v>
      </c>
      <c r="B22" s="174"/>
      <c r="C22" s="175">
        <v>1</v>
      </c>
      <c r="D22" s="175" t="s">
        <v>265</v>
      </c>
      <c r="E22" s="166" t="s">
        <v>288</v>
      </c>
      <c r="F22" s="188" t="s">
        <v>281</v>
      </c>
      <c r="G22" s="63">
        <f t="shared" si="0"/>
        <v>0</v>
      </c>
      <c r="H22" s="63" t="e">
        <f t="shared" si="1"/>
        <v>#VALUE!</v>
      </c>
      <c r="I22" s="63">
        <f t="shared" si="2"/>
        <v>1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76">
        <v>48008121</v>
      </c>
      <c r="B23" s="176"/>
      <c r="C23" s="177">
        <v>1</v>
      </c>
      <c r="D23" s="177" t="s">
        <v>265</v>
      </c>
      <c r="E23" s="178" t="s">
        <v>280</v>
      </c>
      <c r="F23" s="178" t="s">
        <v>304</v>
      </c>
      <c r="G23" s="63">
        <f t="shared" si="0"/>
        <v>0</v>
      </c>
      <c r="H23" s="63" t="e">
        <f t="shared" si="1"/>
        <v>#VALUE!</v>
      </c>
      <c r="I23" s="63">
        <f t="shared" si="2"/>
        <v>1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76">
        <v>48008122</v>
      </c>
      <c r="B24" s="176"/>
      <c r="C24" s="177">
        <v>1</v>
      </c>
      <c r="D24" s="177" t="s">
        <v>265</v>
      </c>
      <c r="E24" s="178" t="s">
        <v>305</v>
      </c>
      <c r="F24" s="178" t="s">
        <v>306</v>
      </c>
      <c r="G24" s="63">
        <f t="shared" si="0"/>
        <v>0</v>
      </c>
      <c r="H24" s="63" t="e">
        <f t="shared" si="1"/>
        <v>#VALUE!</v>
      </c>
      <c r="I24" s="63">
        <f t="shared" si="2"/>
        <v>1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76">
        <v>48008123</v>
      </c>
      <c r="B25" s="176"/>
      <c r="C25" s="177">
        <v>1</v>
      </c>
      <c r="D25" s="177" t="s">
        <v>265</v>
      </c>
      <c r="E25" s="178" t="s">
        <v>284</v>
      </c>
      <c r="F25" s="178" t="s">
        <v>307</v>
      </c>
      <c r="G25" s="63">
        <f t="shared" si="0"/>
        <v>0</v>
      </c>
      <c r="H25" s="63" t="e">
        <f t="shared" si="1"/>
        <v>#VALUE!</v>
      </c>
      <c r="I25" s="63">
        <f t="shared" si="2"/>
        <v>1</v>
      </c>
      <c r="J25" s="63" t="e">
        <f t="shared" si="3"/>
        <v>#VALUE!</v>
      </c>
      <c r="K25" s="63" t="e">
        <f t="shared" si="4"/>
        <v>#VALUE!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none</v>
      </c>
      <c r="N25" s="48" t="str">
        <f>IFERROR(LEFT(M25,FIND("],",M25)+#REF!),M25)</f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76">
        <v>48008124</v>
      </c>
      <c r="B26" s="176"/>
      <c r="C26" s="177">
        <v>1</v>
      </c>
      <c r="D26" s="177" t="s">
        <v>265</v>
      </c>
      <c r="E26" s="178" t="s">
        <v>273</v>
      </c>
      <c r="F26" s="178" t="s">
        <v>308</v>
      </c>
      <c r="G26" s="63">
        <f t="shared" si="0"/>
        <v>0</v>
      </c>
      <c r="H26" s="63" t="e">
        <f t="shared" si="1"/>
        <v>#VALUE!</v>
      </c>
      <c r="I26" s="63">
        <f t="shared" si="2"/>
        <v>1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none</v>
      </c>
      <c r="N26" s="48" t="str">
        <f>IFERROR(LEFT(M26,FIND("],",M26)+#REF!),M26)</f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76">
        <v>48008125</v>
      </c>
      <c r="B27" s="176"/>
      <c r="C27" s="177">
        <v>1</v>
      </c>
      <c r="D27" s="177" t="s">
        <v>265</v>
      </c>
      <c r="E27" s="178" t="s">
        <v>305</v>
      </c>
      <c r="F27" s="178" t="s">
        <v>306</v>
      </c>
      <c r="G27" s="63">
        <f t="shared" si="0"/>
        <v>0</v>
      </c>
      <c r="H27" s="63" t="e">
        <f t="shared" si="1"/>
        <v>#VALUE!</v>
      </c>
      <c r="I27" s="63">
        <f t="shared" si="2"/>
        <v>1</v>
      </c>
      <c r="J27" s="63" t="e">
        <f t="shared" si="3"/>
        <v>#VALUE!</v>
      </c>
      <c r="K27" s="63" t="e">
        <f t="shared" si="4"/>
        <v>#VALUE!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none</v>
      </c>
      <c r="N27" s="48" t="str">
        <f>IFERROR(LEFT(M27,FIND("],",M27)+#REF!),M27)</f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76">
        <v>48008126</v>
      </c>
      <c r="B28" s="176"/>
      <c r="C28" s="177">
        <v>1</v>
      </c>
      <c r="D28" s="177" t="s">
        <v>265</v>
      </c>
      <c r="E28" s="178" t="s">
        <v>301</v>
      </c>
      <c r="F28" s="178" t="s">
        <v>290</v>
      </c>
      <c r="G28" s="63">
        <f t="shared" si="0"/>
        <v>0</v>
      </c>
      <c r="H28" s="63" t="e">
        <f t="shared" si="1"/>
        <v>#VALUE!</v>
      </c>
      <c r="I28" s="63">
        <f t="shared" si="2"/>
        <v>1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5"/>
        <v>none</v>
      </c>
      <c r="N28" s="48" t="str">
        <f>IFERROR(LEFT(M28,FIND("],",M28)+#REF!),M28)</f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48008201</v>
      </c>
      <c r="B29" s="47"/>
      <c r="C29" s="50">
        <v>1</v>
      </c>
      <c r="D29" s="50" t="s">
        <v>265</v>
      </c>
      <c r="E29" s="51" t="s">
        <v>309</v>
      </c>
      <c r="F29" s="51"/>
      <c r="G29" s="63">
        <f t="shared" ref="G29:G32" si="16">IFERROR(LEFT(B29,FIND("],",B29)),B29)</f>
        <v>0</v>
      </c>
      <c r="H29" s="63" t="e">
        <f t="shared" si="1"/>
        <v>#VALUE!</v>
      </c>
      <c r="I29" s="63">
        <f t="shared" ref="I29:I32" si="17">IFERROR(FIND(",",G29),LEN(G29))</f>
        <v>1</v>
      </c>
      <c r="J29" s="63" t="e">
        <f t="shared" ref="J29:J32" si="18">FIND("target:",G29)+7</f>
        <v>#VALUE!</v>
      </c>
      <c r="K29" s="63" t="e">
        <f t="shared" ref="K29:K32" si="19">FIND(",",G29,I29+1)</f>
        <v>#VALUE!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ref="M29:M32" si="20">IFERROR(RIGHT(B29,LEN(B29)-FIND("],",B29)-1),"none")</f>
        <v>none</v>
      </c>
      <c r="N29" s="48" t="str">
        <f>IFERROR(LEFT(M29,FIND("],",M29)+#REF!),M29)</f>
        <v>none</v>
      </c>
      <c r="O29" s="63" t="e">
        <f t="shared" si="7"/>
        <v>#VALUE!</v>
      </c>
      <c r="P29" s="63">
        <f t="shared" ref="P29:P32" si="21">IFERROR(FIND(",",N29),LEN(N29))</f>
        <v>4</v>
      </c>
      <c r="Q29" s="63" t="e">
        <f t="shared" ref="Q29:Q32" si="22">FIND("target:",N29)+7</f>
        <v>#VALUE!</v>
      </c>
      <c r="R29" s="63" t="e">
        <f t="shared" ref="R29:R32" si="23">FIND(",",N29,P29+1)</f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ref="T29:T32" si="24">IFERROR(RIGHT(M29,LEN(M29)-FIND("],",M29)-1),"none")</f>
        <v>none</v>
      </c>
      <c r="U29" s="63" t="e">
        <f t="shared" si="12"/>
        <v>#VALUE!</v>
      </c>
      <c r="V29" s="63">
        <f t="shared" ref="V29:V32" si="25">IFERROR(FIND(",",T29),LEN(T29))</f>
        <v>4</v>
      </c>
      <c r="W29" s="63" t="e">
        <f t="shared" ref="W29:W32" si="26">FIND("target:",T29)+7</f>
        <v>#VALUE!</v>
      </c>
      <c r="X29" s="63" t="e">
        <f t="shared" ref="X29:X32" si="27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48008202</v>
      </c>
      <c r="B30" s="47"/>
      <c r="C30" s="50">
        <v>1</v>
      </c>
      <c r="D30" s="50" t="s">
        <v>265</v>
      </c>
      <c r="E30" s="51" t="s">
        <v>310</v>
      </c>
      <c r="F30" s="51"/>
      <c r="G30" s="63">
        <f t="shared" si="16"/>
        <v>0</v>
      </c>
      <c r="H30" s="63" t="e">
        <f t="shared" si="1"/>
        <v>#VALUE!</v>
      </c>
      <c r="I30" s="63">
        <f t="shared" si="17"/>
        <v>1</v>
      </c>
      <c r="J30" s="63" t="e">
        <f t="shared" si="18"/>
        <v>#VALUE!</v>
      </c>
      <c r="K30" s="63" t="e">
        <f t="shared" si="19"/>
        <v>#VALUE!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20"/>
        <v>none</v>
      </c>
      <c r="N30" s="48" t="str">
        <f>IFERROR(LEFT(M30,FIND("],",M30)+#REF!),M30)</f>
        <v>none</v>
      </c>
      <c r="O30" s="63" t="e">
        <f t="shared" si="7"/>
        <v>#VALUE!</v>
      </c>
      <c r="P30" s="63">
        <f t="shared" si="21"/>
        <v>4</v>
      </c>
      <c r="Q30" s="63" t="e">
        <f t="shared" si="22"/>
        <v>#VALUE!</v>
      </c>
      <c r="R30" s="63" t="e">
        <f t="shared" si="23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24"/>
        <v>none</v>
      </c>
      <c r="U30" s="63" t="e">
        <f t="shared" si="12"/>
        <v>#VALUE!</v>
      </c>
      <c r="V30" s="63">
        <f t="shared" si="25"/>
        <v>4</v>
      </c>
      <c r="W30" s="63" t="e">
        <f t="shared" si="26"/>
        <v>#VALUE!</v>
      </c>
      <c r="X30" s="63" t="e">
        <f t="shared" si="27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48008203</v>
      </c>
      <c r="B31" s="47"/>
      <c r="C31" s="50">
        <v>1</v>
      </c>
      <c r="D31" s="50" t="s">
        <v>265</v>
      </c>
      <c r="E31" s="51" t="s">
        <v>311</v>
      </c>
      <c r="F31" s="51"/>
      <c r="G31" s="63">
        <f t="shared" si="16"/>
        <v>0</v>
      </c>
      <c r="H31" s="63" t="e">
        <f t="shared" si="1"/>
        <v>#VALUE!</v>
      </c>
      <c r="I31" s="63">
        <f t="shared" si="17"/>
        <v>1</v>
      </c>
      <c r="J31" s="63" t="e">
        <f t="shared" si="18"/>
        <v>#VALUE!</v>
      </c>
      <c r="K31" s="63" t="e">
        <f t="shared" si="19"/>
        <v>#VALUE!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20"/>
        <v>none</v>
      </c>
      <c r="N31" s="48" t="str">
        <f>IFERROR(LEFT(M31,FIND("],",M31)+#REF!),M31)</f>
        <v>none</v>
      </c>
      <c r="O31" s="63" t="e">
        <f t="shared" si="7"/>
        <v>#VALUE!</v>
      </c>
      <c r="P31" s="63">
        <f t="shared" si="21"/>
        <v>4</v>
      </c>
      <c r="Q31" s="63" t="e">
        <f t="shared" si="22"/>
        <v>#VALUE!</v>
      </c>
      <c r="R31" s="63" t="e">
        <f t="shared" si="23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24"/>
        <v>none</v>
      </c>
      <c r="U31" s="63" t="e">
        <f t="shared" si="12"/>
        <v>#VALUE!</v>
      </c>
      <c r="V31" s="63">
        <f t="shared" si="25"/>
        <v>4</v>
      </c>
      <c r="W31" s="63" t="e">
        <f t="shared" si="26"/>
        <v>#VALUE!</v>
      </c>
      <c r="X31" s="63" t="e">
        <f t="shared" si="27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48008204</v>
      </c>
      <c r="B32" s="47"/>
      <c r="C32" s="50">
        <v>1</v>
      </c>
      <c r="D32" s="50" t="s">
        <v>265</v>
      </c>
      <c r="E32" s="51" t="s">
        <v>312</v>
      </c>
      <c r="F32" s="51"/>
      <c r="G32" s="63">
        <f t="shared" si="16"/>
        <v>0</v>
      </c>
      <c r="H32" s="63" t="e">
        <f t="shared" si="1"/>
        <v>#VALUE!</v>
      </c>
      <c r="I32" s="63">
        <f t="shared" si="17"/>
        <v>1</v>
      </c>
      <c r="J32" s="63" t="e">
        <f t="shared" si="18"/>
        <v>#VALUE!</v>
      </c>
      <c r="K32" s="63" t="e">
        <f t="shared" si="19"/>
        <v>#VALUE!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20"/>
        <v>none</v>
      </c>
      <c r="N32" s="48" t="str">
        <f>IFERROR(LEFT(M32,FIND("],",M32)+S35),M32)</f>
        <v>none</v>
      </c>
      <c r="O32" s="63" t="e">
        <f t="shared" si="7"/>
        <v>#VALUE!</v>
      </c>
      <c r="P32" s="63">
        <f t="shared" si="21"/>
        <v>4</v>
      </c>
      <c r="Q32" s="63" t="e">
        <f t="shared" si="22"/>
        <v>#VALUE!</v>
      </c>
      <c r="R32" s="63" t="e">
        <f t="shared" si="23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24"/>
        <v>none</v>
      </c>
      <c r="U32" s="63" t="e">
        <f t="shared" si="12"/>
        <v>#VALUE!</v>
      </c>
      <c r="V32" s="63">
        <f t="shared" si="25"/>
        <v>4</v>
      </c>
      <c r="W32" s="63" t="e">
        <f t="shared" si="26"/>
        <v>#VALUE!</v>
      </c>
      <c r="X32" s="63" t="e">
        <f t="shared" si="27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48008205</v>
      </c>
      <c r="B33" s="47"/>
      <c r="C33" s="50">
        <v>1</v>
      </c>
      <c r="D33" s="50" t="s">
        <v>265</v>
      </c>
      <c r="E33" s="51" t="s">
        <v>313</v>
      </c>
      <c r="F33" s="51"/>
      <c r="G33" s="63">
        <f t="shared" ref="G33:G34" si="28">IFERROR(LEFT(B33,FIND("],",B33)),B33)</f>
        <v>0</v>
      </c>
      <c r="H33" s="63" t="e">
        <f t="shared" si="1"/>
        <v>#VALUE!</v>
      </c>
      <c r="I33" s="63">
        <f t="shared" ref="I33:I34" si="29">IFERROR(FIND(",",G33),LEN(G33))</f>
        <v>1</v>
      </c>
      <c r="J33" s="63" t="e">
        <f t="shared" ref="J33:J34" si="30">FIND("target:",G33)+7</f>
        <v>#VALUE!</v>
      </c>
      <c r="K33" s="63" t="e">
        <f t="shared" ref="K33:K34" si="31">FIND(",",G33,I33+1)</f>
        <v>#VALUE!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ref="M33:M34" si="32">IFERROR(RIGHT(B33,LEN(B33)-FIND("],",B33)-1),"none")</f>
        <v>none</v>
      </c>
      <c r="N33" s="48" t="str">
        <f>IFERROR(LEFT(M33,FIND("],",M33)+S36),M33)</f>
        <v>none</v>
      </c>
      <c r="O33" s="63" t="e">
        <f t="shared" si="7"/>
        <v>#VALUE!</v>
      </c>
      <c r="P33" s="63">
        <f t="shared" ref="P33:P34" si="33">IFERROR(FIND(",",N33),LEN(N33))</f>
        <v>4</v>
      </c>
      <c r="Q33" s="63" t="e">
        <f t="shared" ref="Q33:Q34" si="34">FIND("target:",N33)+7</f>
        <v>#VALUE!</v>
      </c>
      <c r="R33" s="63" t="e">
        <f t="shared" ref="R33:R34" si="35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34" si="36">IFERROR(RIGHT(M33,LEN(M33)-FIND("],",M33)-1),"none")</f>
        <v>none</v>
      </c>
      <c r="U33" s="63" t="e">
        <f t="shared" si="12"/>
        <v>#VALUE!</v>
      </c>
      <c r="V33" s="63">
        <f t="shared" ref="V33:V34" si="37">IFERROR(FIND(",",T33),LEN(T33))</f>
        <v>4</v>
      </c>
      <c r="W33" s="63" t="e">
        <f t="shared" ref="W33:W34" si="38">FIND("target:",T33)+7</f>
        <v>#VALUE!</v>
      </c>
      <c r="X33" s="63" t="e">
        <f t="shared" ref="X33:X34" si="39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48008206</v>
      </c>
      <c r="B34" s="47"/>
      <c r="C34" s="50">
        <v>1</v>
      </c>
      <c r="D34" s="50" t="s">
        <v>265</v>
      </c>
      <c r="E34" s="51" t="s">
        <v>314</v>
      </c>
      <c r="F34" s="51"/>
      <c r="G34" s="63">
        <f t="shared" si="28"/>
        <v>0</v>
      </c>
      <c r="H34" s="63" t="e">
        <f t="shared" si="1"/>
        <v>#VALUE!</v>
      </c>
      <c r="I34" s="63">
        <f t="shared" si="29"/>
        <v>1</v>
      </c>
      <c r="J34" s="63" t="e">
        <f t="shared" si="30"/>
        <v>#VALUE!</v>
      </c>
      <c r="K34" s="63" t="e">
        <f t="shared" si="31"/>
        <v>#VALUE!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32"/>
        <v>none</v>
      </c>
      <c r="N34" s="48" t="str">
        <f>IFERROR(LEFT(M34,FIND("],",M34)+S37),M34)</f>
        <v>none</v>
      </c>
      <c r="O34" s="63" t="e">
        <f t="shared" si="7"/>
        <v>#VALUE!</v>
      </c>
      <c r="P34" s="63">
        <f t="shared" si="33"/>
        <v>4</v>
      </c>
      <c r="Q34" s="63" t="e">
        <f t="shared" si="34"/>
        <v>#VALUE!</v>
      </c>
      <c r="R34" s="63" t="e">
        <f t="shared" si="35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36"/>
        <v>none</v>
      </c>
      <c r="U34" s="63" t="e">
        <f t="shared" si="12"/>
        <v>#VALUE!</v>
      </c>
      <c r="V34" s="63">
        <f t="shared" si="37"/>
        <v>4</v>
      </c>
      <c r="W34" s="63" t="e">
        <f t="shared" si="38"/>
        <v>#VALUE!</v>
      </c>
      <c r="X34" s="63" t="e">
        <f t="shared" si="39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4"/>
  <sheetViews>
    <sheetView showGridLines="0" zoomScale="116" zoomScaleNormal="116" zoomScalePageLayoutView="116" workbookViewId="0">
      <pane ySplit="1" topLeftCell="A2" activePane="bottomLeft" state="frozenSplit"/>
      <selection pane="bottomLeft" activeCell="F42" sqref="F4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48008100</v>
      </c>
      <c r="B2" s="47">
        <v>1</v>
      </c>
      <c r="C2" s="47">
        <v>100</v>
      </c>
      <c r="D2" s="47">
        <v>100</v>
      </c>
      <c r="E2" s="47" t="s">
        <v>53</v>
      </c>
      <c r="F2" s="47" t="s">
        <v>277</v>
      </c>
      <c r="G2" s="47">
        <v>1</v>
      </c>
      <c r="H2" s="47">
        <v>0</v>
      </c>
      <c r="I2" s="47" t="s">
        <v>278</v>
      </c>
      <c r="J2" s="48">
        <f t="shared" ref="J2:J34" si="0">D2</f>
        <v>100</v>
      </c>
    </row>
    <row r="3" spans="1:11" ht="21" customHeight="1" x14ac:dyDescent="0.15">
      <c r="A3" s="47">
        <v>48008101</v>
      </c>
      <c r="B3" s="47">
        <v>1</v>
      </c>
      <c r="C3" s="47">
        <v>100</v>
      </c>
      <c r="D3" s="47">
        <v>100</v>
      </c>
      <c r="E3" s="47" t="s">
        <v>53</v>
      </c>
      <c r="F3" s="47" t="s">
        <v>277</v>
      </c>
      <c r="G3" s="47">
        <v>1</v>
      </c>
      <c r="H3" s="47">
        <v>0</v>
      </c>
      <c r="I3" s="47" t="s">
        <v>278</v>
      </c>
      <c r="J3" s="48">
        <f t="shared" si="0"/>
        <v>100</v>
      </c>
    </row>
    <row r="4" spans="1:11" ht="21" customHeight="1" x14ac:dyDescent="0.15">
      <c r="A4" s="47">
        <v>48008102</v>
      </c>
      <c r="B4" s="47">
        <v>1</v>
      </c>
      <c r="C4" s="47">
        <v>100</v>
      </c>
      <c r="D4" s="47">
        <v>100</v>
      </c>
      <c r="E4" s="47" t="s">
        <v>53</v>
      </c>
      <c r="F4" s="47" t="s">
        <v>277</v>
      </c>
      <c r="G4" s="47">
        <v>1</v>
      </c>
      <c r="H4" s="47">
        <v>0</v>
      </c>
      <c r="I4" s="47" t="s">
        <v>278</v>
      </c>
      <c r="J4" s="48">
        <f t="shared" si="0"/>
        <v>100</v>
      </c>
    </row>
    <row r="5" spans="1:11" ht="21" customHeight="1" x14ac:dyDescent="0.15">
      <c r="A5" s="47">
        <v>48008103</v>
      </c>
      <c r="B5" s="47">
        <v>1</v>
      </c>
      <c r="C5" s="47">
        <v>100</v>
      </c>
      <c r="D5" s="47">
        <v>100</v>
      </c>
      <c r="E5" s="47" t="s">
        <v>53</v>
      </c>
      <c r="F5" s="47" t="s">
        <v>277</v>
      </c>
      <c r="G5" s="47">
        <v>1</v>
      </c>
      <c r="H5" s="47">
        <v>0</v>
      </c>
      <c r="I5" s="47" t="s">
        <v>278</v>
      </c>
      <c r="J5" s="48">
        <f t="shared" si="0"/>
        <v>100</v>
      </c>
    </row>
    <row r="6" spans="1:11" ht="21" customHeight="1" x14ac:dyDescent="0.15">
      <c r="A6" s="47">
        <v>48008104</v>
      </c>
      <c r="B6" s="47">
        <v>1</v>
      </c>
      <c r="C6" s="47">
        <v>100</v>
      </c>
      <c r="D6" s="47">
        <v>100</v>
      </c>
      <c r="E6" s="47" t="s">
        <v>53</v>
      </c>
      <c r="F6" s="47" t="s">
        <v>277</v>
      </c>
      <c r="G6" s="47">
        <v>1</v>
      </c>
      <c r="H6" s="47">
        <v>0</v>
      </c>
      <c r="I6" s="47" t="s">
        <v>278</v>
      </c>
      <c r="J6" s="48">
        <f t="shared" si="0"/>
        <v>100</v>
      </c>
    </row>
    <row r="7" spans="1:11" ht="21" customHeight="1" x14ac:dyDescent="0.15">
      <c r="A7" s="47">
        <v>48008105</v>
      </c>
      <c r="B7" s="47">
        <v>1</v>
      </c>
      <c r="C7" s="47">
        <v>100</v>
      </c>
      <c r="D7" s="47">
        <v>100</v>
      </c>
      <c r="E7" s="47" t="s">
        <v>53</v>
      </c>
      <c r="F7" s="47" t="s">
        <v>277</v>
      </c>
      <c r="G7" s="47">
        <v>1</v>
      </c>
      <c r="H7" s="47">
        <v>0</v>
      </c>
      <c r="I7" s="47" t="s">
        <v>278</v>
      </c>
      <c r="J7" s="48">
        <f t="shared" si="0"/>
        <v>100</v>
      </c>
    </row>
    <row r="8" spans="1:11" ht="21" customHeight="1" x14ac:dyDescent="0.15">
      <c r="A8" s="47">
        <v>48008106</v>
      </c>
      <c r="B8" s="47">
        <v>1</v>
      </c>
      <c r="C8" s="47">
        <v>100</v>
      </c>
      <c r="D8" s="47">
        <v>100</v>
      </c>
      <c r="E8" s="47" t="s">
        <v>53</v>
      </c>
      <c r="F8" s="47" t="s">
        <v>277</v>
      </c>
      <c r="G8" s="47">
        <v>1</v>
      </c>
      <c r="H8" s="47">
        <v>0</v>
      </c>
      <c r="I8" s="47" t="s">
        <v>278</v>
      </c>
      <c r="J8" s="48">
        <f t="shared" si="0"/>
        <v>100</v>
      </c>
    </row>
    <row r="9" spans="1:11" ht="21" customHeight="1" x14ac:dyDescent="0.15">
      <c r="A9" s="47">
        <v>48008107</v>
      </c>
      <c r="B9" s="47">
        <v>1</v>
      </c>
      <c r="C9" s="47">
        <v>100</v>
      </c>
      <c r="D9" s="47">
        <v>100</v>
      </c>
      <c r="E9" s="47" t="s">
        <v>53</v>
      </c>
      <c r="F9" s="47" t="s">
        <v>277</v>
      </c>
      <c r="G9" s="47">
        <v>1</v>
      </c>
      <c r="H9" s="47">
        <v>0</v>
      </c>
      <c r="I9" s="47" t="s">
        <v>278</v>
      </c>
      <c r="J9" s="48">
        <f t="shared" si="0"/>
        <v>100</v>
      </c>
    </row>
    <row r="10" spans="1:11" ht="21" customHeight="1" x14ac:dyDescent="0.15">
      <c r="A10" s="47">
        <v>48008108</v>
      </c>
      <c r="B10" s="47">
        <v>1</v>
      </c>
      <c r="C10" s="47">
        <v>100</v>
      </c>
      <c r="D10" s="47">
        <v>100</v>
      </c>
      <c r="E10" s="47" t="s">
        <v>53</v>
      </c>
      <c r="F10" s="47" t="s">
        <v>277</v>
      </c>
      <c r="G10" s="47">
        <v>1</v>
      </c>
      <c r="H10" s="47">
        <v>0</v>
      </c>
      <c r="I10" s="47" t="s">
        <v>278</v>
      </c>
      <c r="J10" s="48">
        <f t="shared" si="0"/>
        <v>100</v>
      </c>
    </row>
    <row r="11" spans="1:11" ht="21" customHeight="1" x14ac:dyDescent="0.15">
      <c r="A11" s="47">
        <v>48008109</v>
      </c>
      <c r="B11" s="47">
        <v>1</v>
      </c>
      <c r="C11" s="47">
        <v>100</v>
      </c>
      <c r="D11" s="47">
        <v>100</v>
      </c>
      <c r="E11" s="47" t="s">
        <v>53</v>
      </c>
      <c r="F11" s="47" t="s">
        <v>277</v>
      </c>
      <c r="G11" s="47">
        <v>1</v>
      </c>
      <c r="H11" s="47">
        <v>0</v>
      </c>
      <c r="I11" s="47" t="s">
        <v>278</v>
      </c>
      <c r="J11" s="48">
        <f t="shared" si="0"/>
        <v>100</v>
      </c>
    </row>
    <row r="12" spans="1:11" ht="21" customHeight="1" x14ac:dyDescent="0.15">
      <c r="A12" s="47">
        <v>48008110</v>
      </c>
      <c r="B12" s="47">
        <v>1</v>
      </c>
      <c r="C12" s="47">
        <v>100</v>
      </c>
      <c r="D12" s="47">
        <v>100</v>
      </c>
      <c r="E12" s="47" t="s">
        <v>53</v>
      </c>
      <c r="F12" s="47" t="s">
        <v>277</v>
      </c>
      <c r="G12" s="47">
        <v>1</v>
      </c>
      <c r="H12" s="47">
        <v>0</v>
      </c>
      <c r="I12" s="47" t="s">
        <v>278</v>
      </c>
      <c r="J12" s="48">
        <f t="shared" si="0"/>
        <v>100</v>
      </c>
    </row>
    <row r="13" spans="1:11" ht="21" customHeight="1" x14ac:dyDescent="0.15">
      <c r="A13" s="47">
        <v>48008111</v>
      </c>
      <c r="B13" s="47">
        <v>1</v>
      </c>
      <c r="C13" s="47">
        <v>100</v>
      </c>
      <c r="D13" s="47">
        <v>100</v>
      </c>
      <c r="E13" s="47" t="s">
        <v>53</v>
      </c>
      <c r="F13" s="47" t="s">
        <v>277</v>
      </c>
      <c r="G13" s="47">
        <v>1</v>
      </c>
      <c r="H13" s="47">
        <v>0</v>
      </c>
      <c r="I13" s="47" t="s">
        <v>278</v>
      </c>
      <c r="J13" s="48">
        <f t="shared" si="0"/>
        <v>100</v>
      </c>
    </row>
    <row r="14" spans="1:11" ht="21" customHeight="1" x14ac:dyDescent="0.15">
      <c r="A14" s="47">
        <v>48008112</v>
      </c>
      <c r="B14" s="47">
        <v>1</v>
      </c>
      <c r="C14" s="47">
        <v>100</v>
      </c>
      <c r="D14" s="47">
        <v>100</v>
      </c>
      <c r="E14" s="47" t="s">
        <v>53</v>
      </c>
      <c r="F14" s="47" t="s">
        <v>277</v>
      </c>
      <c r="G14" s="47">
        <v>1</v>
      </c>
      <c r="H14" s="47">
        <v>0</v>
      </c>
      <c r="I14" s="47" t="s">
        <v>278</v>
      </c>
      <c r="J14" s="48">
        <f t="shared" si="0"/>
        <v>100</v>
      </c>
    </row>
    <row r="15" spans="1:11" ht="21" customHeight="1" x14ac:dyDescent="0.15">
      <c r="A15" s="47">
        <v>48008113</v>
      </c>
      <c r="B15" s="47">
        <v>1</v>
      </c>
      <c r="C15" s="47">
        <v>100</v>
      </c>
      <c r="D15" s="47">
        <v>100</v>
      </c>
      <c r="E15" s="47" t="s">
        <v>53</v>
      </c>
      <c r="F15" s="47" t="s">
        <v>277</v>
      </c>
      <c r="G15" s="47">
        <v>1</v>
      </c>
      <c r="H15" s="47">
        <v>0</v>
      </c>
      <c r="I15" s="47" t="s">
        <v>278</v>
      </c>
      <c r="J15" s="48">
        <f t="shared" si="0"/>
        <v>100</v>
      </c>
    </row>
    <row r="16" spans="1:11" ht="21" customHeight="1" x14ac:dyDescent="0.15">
      <c r="A16" s="47">
        <v>48008114</v>
      </c>
      <c r="B16" s="47">
        <v>1</v>
      </c>
      <c r="C16" s="47">
        <v>100</v>
      </c>
      <c r="D16" s="47">
        <v>100</v>
      </c>
      <c r="E16" s="47" t="s">
        <v>53</v>
      </c>
      <c r="F16" s="47" t="s">
        <v>277</v>
      </c>
      <c r="G16" s="47">
        <v>1</v>
      </c>
      <c r="H16" s="47">
        <v>0</v>
      </c>
      <c r="I16" s="47" t="s">
        <v>278</v>
      </c>
      <c r="J16" s="48">
        <f t="shared" si="0"/>
        <v>100</v>
      </c>
    </row>
    <row r="17" spans="1:10" ht="21" customHeight="1" x14ac:dyDescent="0.15">
      <c r="A17" s="47">
        <v>48008115</v>
      </c>
      <c r="B17" s="47">
        <v>1</v>
      </c>
      <c r="C17" s="47">
        <v>100</v>
      </c>
      <c r="D17" s="47">
        <v>100</v>
      </c>
      <c r="E17" s="47" t="s">
        <v>53</v>
      </c>
      <c r="F17" s="47" t="s">
        <v>277</v>
      </c>
      <c r="G17" s="47">
        <v>1</v>
      </c>
      <c r="H17" s="47">
        <v>0</v>
      </c>
      <c r="I17" s="47" t="s">
        <v>278</v>
      </c>
      <c r="J17" s="48">
        <f t="shared" si="0"/>
        <v>100</v>
      </c>
    </row>
    <row r="18" spans="1:10" ht="21" customHeight="1" x14ac:dyDescent="0.15">
      <c r="A18" s="47">
        <v>48008116</v>
      </c>
      <c r="B18" s="47">
        <v>1</v>
      </c>
      <c r="C18" s="47">
        <v>100</v>
      </c>
      <c r="D18" s="47">
        <v>100</v>
      </c>
      <c r="E18" s="47" t="s">
        <v>53</v>
      </c>
      <c r="F18" s="47" t="s">
        <v>277</v>
      </c>
      <c r="G18" s="47">
        <v>1</v>
      </c>
      <c r="H18" s="47">
        <v>0</v>
      </c>
      <c r="I18" s="47" t="s">
        <v>278</v>
      </c>
      <c r="J18" s="48">
        <f t="shared" si="0"/>
        <v>100</v>
      </c>
    </row>
    <row r="19" spans="1:10" ht="21" customHeight="1" x14ac:dyDescent="0.15">
      <c r="A19" s="47">
        <v>48008117</v>
      </c>
      <c r="B19" s="47">
        <v>1</v>
      </c>
      <c r="C19" s="47">
        <v>100</v>
      </c>
      <c r="D19" s="47">
        <v>100</v>
      </c>
      <c r="E19" s="47" t="s">
        <v>53</v>
      </c>
      <c r="F19" s="47" t="s">
        <v>277</v>
      </c>
      <c r="G19" s="47">
        <v>1</v>
      </c>
      <c r="H19" s="47">
        <v>0</v>
      </c>
      <c r="I19" s="47" t="s">
        <v>278</v>
      </c>
      <c r="J19" s="48">
        <f t="shared" si="0"/>
        <v>100</v>
      </c>
    </row>
    <row r="20" spans="1:10" ht="21" customHeight="1" x14ac:dyDescent="0.15">
      <c r="A20" s="47">
        <v>48008118</v>
      </c>
      <c r="B20" s="47">
        <v>1</v>
      </c>
      <c r="C20" s="47">
        <v>100</v>
      </c>
      <c r="D20" s="47">
        <v>100</v>
      </c>
      <c r="E20" s="47" t="s">
        <v>53</v>
      </c>
      <c r="F20" s="47" t="s">
        <v>277</v>
      </c>
      <c r="G20" s="47">
        <v>1</v>
      </c>
      <c r="H20" s="47">
        <v>0</v>
      </c>
      <c r="I20" s="47" t="s">
        <v>278</v>
      </c>
      <c r="J20" s="48">
        <f t="shared" si="0"/>
        <v>100</v>
      </c>
    </row>
    <row r="21" spans="1:10" ht="21" customHeight="1" x14ac:dyDescent="0.15">
      <c r="A21" s="47">
        <v>48008119</v>
      </c>
      <c r="B21" s="47">
        <v>1</v>
      </c>
      <c r="C21" s="47">
        <v>100</v>
      </c>
      <c r="D21" s="47">
        <v>100</v>
      </c>
      <c r="E21" s="47" t="s">
        <v>53</v>
      </c>
      <c r="F21" s="47" t="s">
        <v>277</v>
      </c>
      <c r="G21" s="47">
        <v>1</v>
      </c>
      <c r="H21" s="47">
        <v>0</v>
      </c>
      <c r="I21" s="47" t="s">
        <v>278</v>
      </c>
      <c r="J21" s="48">
        <f t="shared" si="0"/>
        <v>100</v>
      </c>
    </row>
    <row r="22" spans="1:10" ht="21" customHeight="1" x14ac:dyDescent="0.15">
      <c r="A22" s="47">
        <v>48008120</v>
      </c>
      <c r="B22" s="47">
        <v>1</v>
      </c>
      <c r="C22" s="47">
        <v>100</v>
      </c>
      <c r="D22" s="47">
        <v>100</v>
      </c>
      <c r="E22" s="47" t="s">
        <v>53</v>
      </c>
      <c r="F22" s="47" t="s">
        <v>277</v>
      </c>
      <c r="G22" s="47">
        <v>1</v>
      </c>
      <c r="H22" s="47">
        <v>0</v>
      </c>
      <c r="I22" s="47" t="s">
        <v>278</v>
      </c>
      <c r="J22" s="48">
        <f t="shared" si="0"/>
        <v>100</v>
      </c>
    </row>
    <row r="23" spans="1:10" ht="21" customHeight="1" x14ac:dyDescent="0.15">
      <c r="A23" s="47">
        <v>48008121</v>
      </c>
      <c r="B23" s="47">
        <v>1</v>
      </c>
      <c r="C23" s="47">
        <v>100</v>
      </c>
      <c r="D23" s="47">
        <v>100</v>
      </c>
      <c r="E23" s="47" t="s">
        <v>53</v>
      </c>
      <c r="F23" s="47" t="s">
        <v>277</v>
      </c>
      <c r="G23" s="47">
        <v>1</v>
      </c>
      <c r="H23" s="47">
        <v>0</v>
      </c>
      <c r="I23" s="47" t="s">
        <v>278</v>
      </c>
      <c r="J23" s="48">
        <f t="shared" si="0"/>
        <v>100</v>
      </c>
    </row>
    <row r="24" spans="1:10" ht="21" customHeight="1" x14ac:dyDescent="0.15">
      <c r="A24" s="47">
        <v>48008122</v>
      </c>
      <c r="B24" s="47">
        <v>1</v>
      </c>
      <c r="C24" s="47">
        <v>100</v>
      </c>
      <c r="D24" s="47">
        <v>100</v>
      </c>
      <c r="E24" s="47" t="s">
        <v>53</v>
      </c>
      <c r="F24" s="47" t="s">
        <v>277</v>
      </c>
      <c r="G24" s="47">
        <v>1</v>
      </c>
      <c r="H24" s="47">
        <v>0</v>
      </c>
      <c r="I24" s="47" t="s">
        <v>278</v>
      </c>
      <c r="J24" s="48">
        <f t="shared" si="0"/>
        <v>100</v>
      </c>
    </row>
    <row r="25" spans="1:10" ht="21" customHeight="1" x14ac:dyDescent="0.15">
      <c r="A25" s="47">
        <v>48008123</v>
      </c>
      <c r="B25" s="47">
        <v>1</v>
      </c>
      <c r="C25" s="47">
        <v>100</v>
      </c>
      <c r="D25" s="47">
        <v>100</v>
      </c>
      <c r="E25" s="47" t="s">
        <v>53</v>
      </c>
      <c r="F25" s="47" t="s">
        <v>277</v>
      </c>
      <c r="G25" s="47">
        <v>1</v>
      </c>
      <c r="H25" s="47">
        <v>0</v>
      </c>
      <c r="I25" s="47" t="s">
        <v>278</v>
      </c>
      <c r="J25" s="48">
        <f t="shared" si="0"/>
        <v>100</v>
      </c>
    </row>
    <row r="26" spans="1:10" ht="21" customHeight="1" x14ac:dyDescent="0.15">
      <c r="A26" s="47">
        <v>48008124</v>
      </c>
      <c r="B26" s="47">
        <v>1</v>
      </c>
      <c r="C26" s="47">
        <v>100</v>
      </c>
      <c r="D26" s="47">
        <v>100</v>
      </c>
      <c r="E26" s="47" t="s">
        <v>53</v>
      </c>
      <c r="F26" s="47" t="s">
        <v>277</v>
      </c>
      <c r="G26" s="47">
        <v>1</v>
      </c>
      <c r="H26" s="47">
        <v>0</v>
      </c>
      <c r="I26" s="47" t="s">
        <v>278</v>
      </c>
      <c r="J26" s="48">
        <f t="shared" si="0"/>
        <v>100</v>
      </c>
    </row>
    <row r="27" spans="1:10" ht="21" customHeight="1" x14ac:dyDescent="0.15">
      <c r="A27" s="47">
        <v>48008125</v>
      </c>
      <c r="B27" s="47">
        <v>1</v>
      </c>
      <c r="C27" s="47">
        <v>100</v>
      </c>
      <c r="D27" s="47">
        <v>100</v>
      </c>
      <c r="E27" s="47" t="s">
        <v>53</v>
      </c>
      <c r="F27" s="47" t="s">
        <v>277</v>
      </c>
      <c r="G27" s="47">
        <v>1</v>
      </c>
      <c r="H27" s="47">
        <v>0</v>
      </c>
      <c r="I27" s="47" t="s">
        <v>278</v>
      </c>
      <c r="J27" s="48">
        <f t="shared" si="0"/>
        <v>100</v>
      </c>
    </row>
    <row r="28" spans="1:10" ht="21" customHeight="1" x14ac:dyDescent="0.15">
      <c r="A28" s="47">
        <v>48008126</v>
      </c>
      <c r="B28" s="47">
        <v>1</v>
      </c>
      <c r="C28" s="47">
        <v>100</v>
      </c>
      <c r="D28" s="47">
        <v>100</v>
      </c>
      <c r="E28" s="47" t="s">
        <v>53</v>
      </c>
      <c r="F28" s="47" t="s">
        <v>277</v>
      </c>
      <c r="G28" s="47">
        <v>1</v>
      </c>
      <c r="H28" s="47">
        <v>0</v>
      </c>
      <c r="I28" s="47" t="s">
        <v>278</v>
      </c>
      <c r="J28" s="48">
        <f t="shared" si="0"/>
        <v>100</v>
      </c>
    </row>
    <row r="29" spans="1:10" ht="21" customHeight="1" x14ac:dyDescent="0.15">
      <c r="A29" s="47">
        <v>48008201</v>
      </c>
      <c r="B29" s="47">
        <v>1</v>
      </c>
      <c r="C29" s="47">
        <v>100</v>
      </c>
      <c r="D29" s="47">
        <v>100</v>
      </c>
      <c r="E29" s="47" t="s">
        <v>53</v>
      </c>
      <c r="F29" s="47" t="s">
        <v>277</v>
      </c>
      <c r="G29" s="47">
        <v>1</v>
      </c>
      <c r="H29" s="47">
        <v>0</v>
      </c>
      <c r="I29" s="47" t="s">
        <v>278</v>
      </c>
      <c r="J29" s="48">
        <f t="shared" si="0"/>
        <v>100</v>
      </c>
    </row>
    <row r="30" spans="1:10" ht="21" customHeight="1" x14ac:dyDescent="0.15">
      <c r="A30" s="47">
        <v>48008202</v>
      </c>
      <c r="B30" s="47">
        <v>1</v>
      </c>
      <c r="C30" s="47">
        <v>100</v>
      </c>
      <c r="D30" s="47">
        <v>100</v>
      </c>
      <c r="E30" s="47" t="s">
        <v>53</v>
      </c>
      <c r="F30" s="47" t="s">
        <v>277</v>
      </c>
      <c r="G30" s="47">
        <v>1</v>
      </c>
      <c r="H30" s="47">
        <v>0</v>
      </c>
      <c r="I30" s="47" t="s">
        <v>278</v>
      </c>
      <c r="J30" s="48">
        <f t="shared" si="0"/>
        <v>100</v>
      </c>
    </row>
    <row r="31" spans="1:10" ht="21" customHeight="1" x14ac:dyDescent="0.15">
      <c r="A31" s="47">
        <v>48008203</v>
      </c>
      <c r="B31" s="47">
        <v>1</v>
      </c>
      <c r="C31" s="47">
        <v>100</v>
      </c>
      <c r="D31" s="47">
        <v>100</v>
      </c>
      <c r="E31" s="47" t="s">
        <v>53</v>
      </c>
      <c r="F31" s="47" t="s">
        <v>277</v>
      </c>
      <c r="G31" s="47">
        <v>1</v>
      </c>
      <c r="H31" s="47">
        <v>0</v>
      </c>
      <c r="I31" s="47" t="s">
        <v>278</v>
      </c>
      <c r="J31" s="48">
        <f t="shared" si="0"/>
        <v>100</v>
      </c>
    </row>
    <row r="32" spans="1:10" ht="21" customHeight="1" x14ac:dyDescent="0.15">
      <c r="A32" s="47">
        <v>48008204</v>
      </c>
      <c r="B32" s="47">
        <v>1</v>
      </c>
      <c r="C32" s="47">
        <v>100</v>
      </c>
      <c r="D32" s="47">
        <v>100</v>
      </c>
      <c r="E32" s="47" t="s">
        <v>53</v>
      </c>
      <c r="F32" s="47" t="s">
        <v>277</v>
      </c>
      <c r="G32" s="47">
        <v>1</v>
      </c>
      <c r="H32" s="47">
        <v>0</v>
      </c>
      <c r="I32" s="47" t="s">
        <v>278</v>
      </c>
      <c r="J32" s="48">
        <f t="shared" si="0"/>
        <v>100</v>
      </c>
    </row>
    <row r="33" spans="1:10" ht="21" customHeight="1" x14ac:dyDescent="0.15">
      <c r="A33" s="47">
        <v>48008205</v>
      </c>
      <c r="B33" s="47">
        <v>1</v>
      </c>
      <c r="C33" s="47">
        <v>100</v>
      </c>
      <c r="D33" s="47">
        <v>100</v>
      </c>
      <c r="E33" s="47" t="s">
        <v>53</v>
      </c>
      <c r="F33" s="47" t="s">
        <v>277</v>
      </c>
      <c r="G33" s="47">
        <v>1</v>
      </c>
      <c r="H33" s="47">
        <v>0</v>
      </c>
      <c r="I33" s="47" t="s">
        <v>278</v>
      </c>
      <c r="J33" s="48">
        <f t="shared" si="0"/>
        <v>100</v>
      </c>
    </row>
    <row r="34" spans="1:10" ht="21" customHeight="1" x14ac:dyDescent="0.15">
      <c r="A34" s="47">
        <v>48008206</v>
      </c>
      <c r="B34" s="47">
        <v>1</v>
      </c>
      <c r="C34" s="47">
        <v>100</v>
      </c>
      <c r="D34" s="47">
        <v>100</v>
      </c>
      <c r="E34" s="47" t="s">
        <v>53</v>
      </c>
      <c r="F34" s="47" t="s">
        <v>277</v>
      </c>
      <c r="G34" s="47">
        <v>1</v>
      </c>
      <c r="H34" s="47">
        <v>0</v>
      </c>
      <c r="I34" s="47" t="s">
        <v>278</v>
      </c>
      <c r="J34" s="48">
        <f t="shared" si="0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H17" sqref="H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148</v>
      </c>
      <c r="B1" s="64" t="s">
        <v>149</v>
      </c>
      <c r="C1" s="65" t="s">
        <v>150</v>
      </c>
      <c r="D1" s="72" t="s">
        <v>151</v>
      </c>
      <c r="E1" s="66" t="s">
        <v>152</v>
      </c>
      <c r="F1" s="64" t="s">
        <v>153</v>
      </c>
      <c r="G1" s="64" t="s">
        <v>154</v>
      </c>
      <c r="H1" s="64" t="s">
        <v>155</v>
      </c>
      <c r="I1" s="64" t="s">
        <v>156</v>
      </c>
      <c r="J1" s="64" t="s">
        <v>157</v>
      </c>
      <c r="K1" s="64" t="s">
        <v>158</v>
      </c>
      <c r="L1" s="64" t="s">
        <v>159</v>
      </c>
      <c r="M1" s="64" t="s">
        <v>160</v>
      </c>
      <c r="N1" s="64" t="s">
        <v>161</v>
      </c>
      <c r="O1" s="64" t="s">
        <v>162</v>
      </c>
      <c r="P1" s="64" t="s">
        <v>163</v>
      </c>
      <c r="Q1" s="64" t="s">
        <v>164</v>
      </c>
      <c r="R1" s="64" t="s">
        <v>165</v>
      </c>
    </row>
    <row r="2" spans="1:18" x14ac:dyDescent="0.15">
      <c r="A2" s="57">
        <v>48008</v>
      </c>
      <c r="B2" s="57">
        <v>1</v>
      </c>
      <c r="C2" s="71" t="str">
        <f>A2&amp; "_"&amp;B2</f>
        <v>48008_1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166</v>
      </c>
      <c r="G2" s="57">
        <v>40000</v>
      </c>
      <c r="H2" s="57" t="s">
        <v>257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167</v>
      </c>
      <c r="R2" s="57" t="s">
        <v>168</v>
      </c>
    </row>
    <row r="3" spans="1:18" x14ac:dyDescent="0.15">
      <c r="A3" s="57">
        <v>48008</v>
      </c>
      <c r="B3" s="57">
        <v>1</v>
      </c>
      <c r="C3" s="71" t="str">
        <f t="shared" ref="C3:C18" si="0">A3&amp; "_"&amp;B3</f>
        <v>48008_1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258</v>
      </c>
      <c r="G3" s="57">
        <v>30</v>
      </c>
      <c r="H3" s="57" t="s">
        <v>254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167</v>
      </c>
      <c r="R3" s="57" t="s">
        <v>168</v>
      </c>
    </row>
    <row r="4" spans="1:18" x14ac:dyDescent="0.15">
      <c r="A4" s="57">
        <v>48008</v>
      </c>
      <c r="B4" s="57">
        <v>1</v>
      </c>
      <c r="C4" s="71" t="str">
        <f t="shared" si="0"/>
        <v>48008_1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259</v>
      </c>
      <c r="G4" s="57">
        <v>333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167</v>
      </c>
      <c r="R4" s="57" t="s">
        <v>168</v>
      </c>
    </row>
    <row r="5" spans="1:18" x14ac:dyDescent="0.15">
      <c r="A5" s="57">
        <v>48008</v>
      </c>
      <c r="B5" s="57">
        <v>1</v>
      </c>
      <c r="C5" s="71" t="str">
        <f t="shared" si="0"/>
        <v>48008_1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259</v>
      </c>
      <c r="G5" s="57">
        <v>334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167</v>
      </c>
      <c r="R5" s="57" t="s">
        <v>168</v>
      </c>
    </row>
    <row r="6" spans="1:18" x14ac:dyDescent="0.15">
      <c r="A6" s="57">
        <v>48008</v>
      </c>
      <c r="B6" s="57">
        <v>1</v>
      </c>
      <c r="C6" s="71" t="str">
        <f t="shared" si="0"/>
        <v>48008_1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259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167</v>
      </c>
      <c r="R6" s="57" t="s">
        <v>168</v>
      </c>
    </row>
    <row r="7" spans="1:18" x14ac:dyDescent="0.15">
      <c r="A7" s="57">
        <v>48008</v>
      </c>
      <c r="B7" s="57">
        <v>1</v>
      </c>
      <c r="C7" s="71" t="str">
        <f t="shared" si="0"/>
        <v>48008_1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259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167</v>
      </c>
      <c r="R7" s="57" t="s">
        <v>168</v>
      </c>
    </row>
    <row r="8" spans="1:18" x14ac:dyDescent="0.15">
      <c r="A8" s="57">
        <v>48008</v>
      </c>
      <c r="B8" s="57">
        <v>1</v>
      </c>
      <c r="C8" s="71" t="str">
        <f t="shared" si="0"/>
        <v>48008_1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259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167</v>
      </c>
      <c r="R8" s="57" t="s">
        <v>168</v>
      </c>
    </row>
    <row r="9" spans="1:18" x14ac:dyDescent="0.15">
      <c r="A9" s="57">
        <v>48008</v>
      </c>
      <c r="B9" s="57">
        <v>1</v>
      </c>
      <c r="C9" s="71" t="str">
        <f t="shared" si="0"/>
        <v>48008_1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259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167</v>
      </c>
      <c r="R9" s="57" t="s">
        <v>168</v>
      </c>
    </row>
    <row r="10" spans="1:18" x14ac:dyDescent="0.15">
      <c r="A10" s="57">
        <v>48008</v>
      </c>
      <c r="B10" s="57">
        <v>1</v>
      </c>
      <c r="C10" s="71" t="str">
        <f t="shared" si="0"/>
        <v>48008_1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259</v>
      </c>
      <c r="G10" s="57">
        <v>8037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167</v>
      </c>
      <c r="R10" s="57" t="s">
        <v>168</v>
      </c>
    </row>
    <row r="11" spans="1:18" ht="16" thickBot="1" x14ac:dyDescent="0.2">
      <c r="A11" s="144">
        <v>48008</v>
      </c>
      <c r="B11" s="144">
        <v>1</v>
      </c>
      <c r="C11" s="145" t="str">
        <f t="shared" si="0"/>
        <v>48008_1</v>
      </c>
      <c r="D11" s="14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44">
        <v>10</v>
      </c>
      <c r="F11" s="144" t="s">
        <v>259</v>
      </c>
      <c r="G11" s="144">
        <v>348</v>
      </c>
      <c r="H11" s="144">
        <v>1</v>
      </c>
      <c r="I11" s="144">
        <v>1</v>
      </c>
      <c r="J11" s="144">
        <v>1</v>
      </c>
      <c r="K11" s="144">
        <v>0</v>
      </c>
      <c r="L11" s="144">
        <v>0</v>
      </c>
      <c r="M11" s="144">
        <v>0</v>
      </c>
      <c r="N11" s="144">
        <v>0</v>
      </c>
      <c r="O11" s="144">
        <v>1</v>
      </c>
      <c r="P11" s="144">
        <v>150</v>
      </c>
      <c r="Q11" s="144" t="s">
        <v>167</v>
      </c>
      <c r="R11" s="144" t="s">
        <v>168</v>
      </c>
    </row>
    <row r="12" spans="1:18" x14ac:dyDescent="0.15">
      <c r="A12" s="156">
        <v>48008</v>
      </c>
      <c r="B12" s="147">
        <v>2</v>
      </c>
      <c r="C12" s="148" t="str">
        <f t="shared" si="0"/>
        <v>48008_2</v>
      </c>
      <c r="D12" s="149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57">
        <v>1</v>
      </c>
      <c r="F12" s="157" t="s">
        <v>226</v>
      </c>
      <c r="G12" s="157">
        <v>334</v>
      </c>
      <c r="H12" s="157">
        <v>1</v>
      </c>
      <c r="I12" s="157">
        <v>1</v>
      </c>
      <c r="J12" s="157">
        <v>1</v>
      </c>
      <c r="K12" s="157">
        <v>0</v>
      </c>
      <c r="L12" s="157">
        <v>0</v>
      </c>
      <c r="M12" s="157">
        <v>0</v>
      </c>
      <c r="N12" s="157">
        <v>0</v>
      </c>
      <c r="O12" s="157">
        <v>1</v>
      </c>
      <c r="P12" s="147">
        <v>50</v>
      </c>
      <c r="Q12" s="147" t="s">
        <v>167</v>
      </c>
      <c r="R12" s="150" t="s">
        <v>168</v>
      </c>
    </row>
    <row r="13" spans="1:18" x14ac:dyDescent="0.15">
      <c r="A13" s="158">
        <v>48008</v>
      </c>
      <c r="B13" s="57">
        <v>2</v>
      </c>
      <c r="C13" s="71" t="str">
        <f t="shared" si="0"/>
        <v>48008_2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1">
        <v>2</v>
      </c>
      <c r="F13" s="81" t="s">
        <v>226</v>
      </c>
      <c r="G13" s="81">
        <v>348</v>
      </c>
      <c r="H13" s="81">
        <v>1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57">
        <v>120</v>
      </c>
      <c r="Q13" s="57" t="s">
        <v>167</v>
      </c>
      <c r="R13" s="151" t="s">
        <v>168</v>
      </c>
    </row>
    <row r="14" spans="1:18" x14ac:dyDescent="0.15">
      <c r="A14" s="158">
        <v>48008</v>
      </c>
      <c r="B14" s="57">
        <v>2</v>
      </c>
      <c r="C14" s="71" t="str">
        <f t="shared" si="0"/>
        <v>48008_2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1">
        <v>3</v>
      </c>
      <c r="F14" s="81" t="s">
        <v>226</v>
      </c>
      <c r="G14" s="81">
        <v>607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57">
        <v>100</v>
      </c>
      <c r="Q14" s="57" t="s">
        <v>167</v>
      </c>
      <c r="R14" s="151" t="s">
        <v>168</v>
      </c>
    </row>
    <row r="15" spans="1:18" x14ac:dyDescent="0.15">
      <c r="A15" s="158">
        <v>48008</v>
      </c>
      <c r="B15" s="57">
        <v>2</v>
      </c>
      <c r="C15" s="71" t="str">
        <f t="shared" si="0"/>
        <v>48008_2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1">
        <v>4</v>
      </c>
      <c r="F15" s="81" t="s">
        <v>226</v>
      </c>
      <c r="G15" s="81">
        <v>608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57">
        <v>100</v>
      </c>
      <c r="Q15" s="57" t="s">
        <v>167</v>
      </c>
      <c r="R15" s="151" t="s">
        <v>168</v>
      </c>
    </row>
    <row r="16" spans="1:18" x14ac:dyDescent="0.15">
      <c r="A16" s="158">
        <v>48008</v>
      </c>
      <c r="B16" s="57">
        <v>2</v>
      </c>
      <c r="C16" s="71" t="str">
        <f t="shared" si="0"/>
        <v>48008_2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1">
        <v>5</v>
      </c>
      <c r="F16" s="81" t="s">
        <v>226</v>
      </c>
      <c r="G16" s="81">
        <v>609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57">
        <v>100</v>
      </c>
      <c r="Q16" s="57" t="s">
        <v>167</v>
      </c>
      <c r="R16" s="151" t="s">
        <v>168</v>
      </c>
    </row>
    <row r="17" spans="1:18" x14ac:dyDescent="0.15">
      <c r="A17" s="158">
        <v>48008</v>
      </c>
      <c r="B17" s="57">
        <v>2</v>
      </c>
      <c r="C17" s="71" t="str">
        <f t="shared" si="0"/>
        <v>48008_2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1">
        <v>6</v>
      </c>
      <c r="F17" s="81" t="s">
        <v>226</v>
      </c>
      <c r="G17" s="81">
        <v>125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57">
        <v>30</v>
      </c>
      <c r="Q17" s="57" t="s">
        <v>167</v>
      </c>
      <c r="R17" s="151" t="s">
        <v>168</v>
      </c>
    </row>
    <row r="18" spans="1:18" ht="16" thickBot="1" x14ac:dyDescent="0.2">
      <c r="A18" s="159">
        <v>48008</v>
      </c>
      <c r="B18" s="152">
        <v>2</v>
      </c>
      <c r="C18" s="153" t="str">
        <f t="shared" si="0"/>
        <v>48008_2</v>
      </c>
      <c r="D18" s="15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0">
        <v>7</v>
      </c>
      <c r="F18" s="160" t="s">
        <v>226</v>
      </c>
      <c r="G18" s="160">
        <v>8037</v>
      </c>
      <c r="H18" s="160">
        <v>1</v>
      </c>
      <c r="I18" s="160">
        <v>1</v>
      </c>
      <c r="J18" s="160">
        <v>1</v>
      </c>
      <c r="K18" s="160">
        <v>0</v>
      </c>
      <c r="L18" s="160">
        <v>0</v>
      </c>
      <c r="M18" s="160">
        <v>0</v>
      </c>
      <c r="N18" s="160">
        <v>0</v>
      </c>
      <c r="O18" s="160">
        <v>1</v>
      </c>
      <c r="P18" s="152">
        <v>500</v>
      </c>
      <c r="Q18" s="152" t="s">
        <v>167</v>
      </c>
      <c r="R18" s="155" t="s">
        <v>168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B19" sqref="B1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185</v>
      </c>
      <c r="B1" s="73" t="s">
        <v>186</v>
      </c>
      <c r="C1" s="77" t="s">
        <v>187</v>
      </c>
      <c r="D1" s="77" t="s">
        <v>33</v>
      </c>
      <c r="E1" s="73" t="s">
        <v>188</v>
      </c>
      <c r="F1" s="77" t="s">
        <v>189</v>
      </c>
      <c r="G1" s="77" t="s">
        <v>33</v>
      </c>
      <c r="H1" s="73" t="s">
        <v>190</v>
      </c>
      <c r="I1" s="91" t="s">
        <v>192</v>
      </c>
      <c r="J1" s="79" t="s">
        <v>125</v>
      </c>
      <c r="K1" s="78" t="s">
        <v>184</v>
      </c>
      <c r="L1" s="92" t="s">
        <v>183</v>
      </c>
      <c r="M1" s="80" t="s">
        <v>193</v>
      </c>
    </row>
    <row r="2" spans="1:13" x14ac:dyDescent="0.15">
      <c r="A2" s="81" t="s">
        <v>198</v>
      </c>
      <c r="B2" s="82">
        <f>floors!$C$2</f>
        <v>48008</v>
      </c>
      <c r="C2" s="83" t="str">
        <f ca="1">VLOOKUP($B2,OFFSET([2]quests!$A$1,0,0,COUNTA([2]quests!$A:$A),MATCH(C$1,[2]quests!$1:$1,0)-MATCH($B$1,[2]quests!$1:$1,0)+1),MATCH(C$1,[2]quests!$1:$1,0)-MATCH($B$1,[2]quests!$1:$1,0)+1,FALSE)</f>
        <v>紀昌襲来！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台湾版降臨9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【超絶級】紀昌襲来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台湾版降臨9</v>
      </c>
      <c r="H2" s="85">
        <v>0</v>
      </c>
      <c r="I2">
        <v>12</v>
      </c>
      <c r="J2" s="84" t="s">
        <v>195</v>
      </c>
      <c r="K2" s="93" t="str">
        <f>VLOOKUP(I2,[7]stage_hints!$A:$C,3,FALSE)</f>
        <v>ユニットのお気に入り登録</v>
      </c>
      <c r="L2" s="94" t="str">
        <f>VLOOKUP(I2,[7]stage_hints!$A:$D,4,FALSE)</f>
        <v>大事なユニットを誤って消さないように_x000D_フォルダから「お気に入り登録」しましょう</v>
      </c>
      <c r="M2" s="57" t="s">
        <v>208</v>
      </c>
    </row>
    <row r="3" spans="1:13" x14ac:dyDescent="0.15">
      <c r="A3" s="81" t="s">
        <v>198</v>
      </c>
      <c r="B3" s="82">
        <f>floors!$C$2</f>
        <v>48008</v>
      </c>
      <c r="C3" s="83" t="str">
        <f ca="1">VLOOKUP($B3,OFFSET([2]quests!$A$1,0,0,COUNTA([2]quests!$A:$A),MATCH(C$1,[2]quests!$1:$1,0)-MATCH($B$1,[2]quests!$1:$1,0)+1),MATCH(C$1,[2]quests!$1:$1,0)-MATCH($B$1,[2]quests!$1:$1,0)+1,FALSE)</f>
        <v>紀昌襲来！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台湾版降臨9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【超絶級】紀昌襲来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台湾版降臨9</v>
      </c>
      <c r="H3" s="85">
        <v>0</v>
      </c>
      <c r="I3">
        <v>17</v>
      </c>
      <c r="J3" s="84" t="s">
        <v>195</v>
      </c>
      <c r="K3" s="93" t="str">
        <f>VLOOKUP(I3,[7]stage_hints!$A:$C,3,FALSE)</f>
        <v>リンクガチャ</v>
      </c>
      <c r="L3" s="94" t="str">
        <f>VLOOKUP(I3,[7]stage_hints!$A:$D,4,FALSE)</f>
        <v>無料のリンクガチャを回して_x000D_経験値素材や売却素材を獲得しましょう</v>
      </c>
      <c r="M3" s="57" t="s">
        <v>208</v>
      </c>
    </row>
    <row r="4" spans="1:13" x14ac:dyDescent="0.15">
      <c r="A4" s="81" t="s">
        <v>198</v>
      </c>
      <c r="B4" s="82">
        <f>floors!$C$2</f>
        <v>48008</v>
      </c>
      <c r="C4" s="83" t="str">
        <f ca="1">VLOOKUP($B4,OFFSET([2]quests!$A$1,0,0,COUNTA([2]quests!$A:$A),MATCH(C$1,[2]quests!$1:$1,0)-MATCH($B$1,[2]quests!$1:$1,0)+1),MATCH(C$1,[2]quests!$1:$1,0)-MATCH($B$1,[2]quests!$1:$1,0)+1,FALSE)</f>
        <v>紀昌襲来！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台湾版降臨9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【超絶級】紀昌襲来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台湾版降臨9</v>
      </c>
      <c r="H4" s="85">
        <v>0</v>
      </c>
      <c r="I4">
        <v>19</v>
      </c>
      <c r="J4" s="84" t="s">
        <v>195</v>
      </c>
      <c r="K4" s="93" t="str">
        <f>VLOOKUP(I4,[7]stage_hints!$A:$C,3,FALSE)</f>
        <v>ソロ専用タワーオブザクイーン</v>
      </c>
      <c r="L4" s="94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7" t="s">
        <v>208</v>
      </c>
    </row>
    <row r="5" spans="1:13" x14ac:dyDescent="0.15">
      <c r="A5" s="81" t="s">
        <v>198</v>
      </c>
      <c r="B5" s="82">
        <f>floors!$C$2</f>
        <v>48008</v>
      </c>
      <c r="C5" s="83" t="str">
        <f ca="1">VLOOKUP($B5,OFFSET([2]quests!$A$1,0,0,COUNTA([2]quests!$A:$A),MATCH(C$1,[2]quests!$1:$1,0)-MATCH($B$1,[2]quests!$1:$1,0)+1),MATCH(C$1,[2]quests!$1:$1,0)-MATCH($B$1,[2]quests!$1:$1,0)+1,FALSE)</f>
        <v>紀昌襲来！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台湾版降臨9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【超絶級】紀昌襲来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台湾版降臨9</v>
      </c>
      <c r="H5" s="85">
        <v>0</v>
      </c>
      <c r="I5">
        <v>21</v>
      </c>
      <c r="J5" s="84" t="s">
        <v>195</v>
      </c>
      <c r="K5" s="93" t="str">
        <f>VLOOKUP(I5,[7]stage_hints!$A:$C,3,FALSE)</f>
        <v>スキルを有効に</v>
      </c>
      <c r="L5" s="94" t="str">
        <f>VLOOKUP(I5,[7]stage_hints!$A:$D,4,FALSE)</f>
        <v>ターン経過でユニットのスキルが使えます_x000D_強力スキルでバトルを有利に進めましょう</v>
      </c>
      <c r="M5" s="57" t="s">
        <v>208</v>
      </c>
    </row>
    <row r="6" spans="1:13" x14ac:dyDescent="0.15">
      <c r="A6" s="81" t="s">
        <v>198</v>
      </c>
      <c r="B6" s="82">
        <f>floors!$C$2</f>
        <v>48008</v>
      </c>
      <c r="C6" s="83" t="str">
        <f ca="1">VLOOKUP($B6,OFFSET([2]quests!$A$1,0,0,COUNTA([2]quests!$A:$A),MATCH(C$1,[2]quests!$1:$1,0)-MATCH($B$1,[2]quests!$1:$1,0)+1),MATCH(C$1,[2]quests!$1:$1,0)-MATCH($B$1,[2]quests!$1:$1,0)+1,FALSE)</f>
        <v>紀昌襲来！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台湾版降臨9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【超絶級】紀昌襲来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台湾版降臨9</v>
      </c>
      <c r="H6" s="85">
        <v>0</v>
      </c>
      <c r="I6">
        <v>29</v>
      </c>
      <c r="J6" s="84" t="s">
        <v>195</v>
      </c>
      <c r="K6" s="93" t="str">
        <f>VLOOKUP(I6,[7]stage_hints!$A:$C,3,FALSE)</f>
        <v>「バグ」のメリット</v>
      </c>
      <c r="L6" s="94" t="str">
        <f>VLOOKUP(I6,[7]stage_hints!$A:$D,4,FALSE)</f>
        <v>ユニットの「バグ」を増やすと_x000D_報酬をもらえる確率がアップします</v>
      </c>
      <c r="M6" s="57" t="s">
        <v>208</v>
      </c>
    </row>
    <row r="7" spans="1:13" x14ac:dyDescent="0.15">
      <c r="A7" s="81" t="s">
        <v>198</v>
      </c>
      <c r="B7" s="82">
        <f>floors!$C$2</f>
        <v>48008</v>
      </c>
      <c r="C7" s="83" t="str">
        <f ca="1">VLOOKUP($B7,OFFSET([2]quests!$A$1,0,0,COUNTA([2]quests!$A:$A),MATCH(C$1,[2]quests!$1:$1,0)-MATCH($B$1,[2]quests!$1:$1,0)+1),MATCH(C$1,[2]quests!$1:$1,0)-MATCH($B$1,[2]quests!$1:$1,0)+1,FALSE)</f>
        <v>紀昌襲来！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台湾版降臨9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【超絶級】紀昌襲来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台湾版降臨9</v>
      </c>
      <c r="H7" s="85">
        <v>0</v>
      </c>
      <c r="I7">
        <v>30</v>
      </c>
      <c r="J7" s="84" t="s">
        <v>195</v>
      </c>
      <c r="K7" s="93" t="str">
        <f>VLOOKUP(I7,[7]stage_hints!$A:$C,3,FALSE)</f>
        <v>「バグ」の増やし方</v>
      </c>
      <c r="L7" s="94" t="str">
        <f>VLOOKUP(I7,[7]stage_hints!$A:$D,4,FALSE)</f>
        <v>同じユニット同士を強化で合成すると_x000D_「バグ」を増やすことができます</v>
      </c>
      <c r="M7" s="57" t="s">
        <v>208</v>
      </c>
    </row>
    <row r="8" spans="1:13" x14ac:dyDescent="0.15">
      <c r="A8" s="81" t="s">
        <v>198</v>
      </c>
      <c r="B8" s="82">
        <f>floors!$C$2</f>
        <v>48008</v>
      </c>
      <c r="C8" s="83" t="str">
        <f ca="1">VLOOKUP($B8,OFFSET([2]quests!$A$1,0,0,COUNTA([2]quests!$A:$A),MATCH(C$1,[2]quests!$1:$1,0)-MATCH($B$1,[2]quests!$1:$1,0)+1),MATCH(C$1,[2]quests!$1:$1,0)-MATCH($B$1,[2]quests!$1:$1,0)+1,FALSE)</f>
        <v>紀昌襲来！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台湾版降臨9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【超絶級】紀昌襲来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台湾版降臨9</v>
      </c>
      <c r="H8" s="85">
        <v>0</v>
      </c>
      <c r="I8">
        <v>32</v>
      </c>
      <c r="J8" s="84" t="s">
        <v>195</v>
      </c>
      <c r="K8" s="93" t="str">
        <f>VLOOKUP(I8,[7]stage_hints!$A:$C,3,FALSE)</f>
        <v>敵の連続攻撃には</v>
      </c>
      <c r="L8" s="94" t="str">
        <f>VLOOKUP(I8,[7]stage_hints!$A:$D,4,FALSE)</f>
        <v>カウンタースキルを持つユニットがいれば_x000D_ダメージ回数分の反撃ができます</v>
      </c>
      <c r="M8" s="57" t="s">
        <v>208</v>
      </c>
    </row>
    <row r="9" spans="1:13" x14ac:dyDescent="0.15">
      <c r="A9" s="81" t="s">
        <v>198</v>
      </c>
      <c r="B9" s="82">
        <f>floors!$C$2</f>
        <v>48008</v>
      </c>
      <c r="C9" s="83" t="str">
        <f ca="1">VLOOKUP($B9,OFFSET([2]quests!$A$1,0,0,COUNTA([2]quests!$A:$A),MATCH(C$1,[2]quests!$1:$1,0)-MATCH($B$1,[2]quests!$1:$1,0)+1),MATCH(C$1,[2]quests!$1:$1,0)-MATCH($B$1,[2]quests!$1:$1,0)+1,FALSE)</f>
        <v>紀昌襲来！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台湾版降臨9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【超絶級】紀昌襲来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台湾版降臨9</v>
      </c>
      <c r="H9" s="85">
        <v>0</v>
      </c>
      <c r="I9">
        <v>33</v>
      </c>
      <c r="J9" s="84" t="s">
        <v>195</v>
      </c>
      <c r="K9" s="93" t="str">
        <f>VLOOKUP(I9,[7]stage_hints!$A:$C,3,FALSE)</f>
        <v>敵のカウンター攻撃には</v>
      </c>
      <c r="L9" s="94" t="str">
        <f>VLOOKUP(I9,[7]stage_hints!$A:$D,4,FALSE)</f>
        <v>カウンターブレイクスキルを持っていれば_x000D_敵のカウンターを解除して攻撃ができます</v>
      </c>
      <c r="M9" s="57" t="s">
        <v>208</v>
      </c>
    </row>
    <row r="10" spans="1:13" x14ac:dyDescent="0.15">
      <c r="A10" s="81" t="s">
        <v>198</v>
      </c>
      <c r="B10" s="82">
        <f>floors!$C$2</f>
        <v>48008</v>
      </c>
      <c r="C10" s="83" t="str">
        <f ca="1">VLOOKUP($B10,OFFSET([2]quests!$A$1,0,0,COUNTA([2]quests!$A:$A),MATCH(C$1,[2]quests!$1:$1,0)-MATCH($B$1,[2]quests!$1:$1,0)+1),MATCH(C$1,[2]quests!$1:$1,0)-MATCH($B$1,[2]quests!$1:$1,0)+1,FALSE)</f>
        <v>紀昌襲来！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台湾版降臨9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【超絶級】紀昌襲来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台湾版降臨9</v>
      </c>
      <c r="H10" s="85">
        <v>0</v>
      </c>
      <c r="I10">
        <v>34</v>
      </c>
      <c r="J10" s="84" t="s">
        <v>195</v>
      </c>
      <c r="K10" s="93" t="str">
        <f>VLOOKUP(I10,[7]stage_hints!$A:$C,3,FALSE)</f>
        <v>ステータスをスキルで下げられたら</v>
      </c>
      <c r="L10" s="94" t="str">
        <f>VLOOKUP(I10,[7]stage_hints!$A:$D,4,FALSE)</f>
        <v>ステータスダウンのスキルを受けたら_x000D_ステータスアップスキルで上書きしましょう</v>
      </c>
      <c r="M10" s="57" t="s">
        <v>208</v>
      </c>
    </row>
    <row r="11" spans="1:13" x14ac:dyDescent="0.15">
      <c r="A11" s="81" t="s">
        <v>198</v>
      </c>
      <c r="B11" s="82">
        <f>floors!$C$2</f>
        <v>48008</v>
      </c>
      <c r="C11" s="83" t="str">
        <f ca="1">VLOOKUP($B11,OFFSET([2]quests!$A$1,0,0,COUNTA([2]quests!$A:$A),MATCH(C$1,[2]quests!$1:$1,0)-MATCH($B$1,[2]quests!$1:$1,0)+1),MATCH(C$1,[2]quests!$1:$1,0)-MATCH($B$1,[2]quests!$1:$1,0)+1,FALSE)</f>
        <v>紀昌襲来！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台湾版降臨9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【超絶級】紀昌襲来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台湾版降臨9</v>
      </c>
      <c r="H11" s="85">
        <v>0</v>
      </c>
      <c r="I11">
        <v>35</v>
      </c>
      <c r="J11" s="84" t="s">
        <v>195</v>
      </c>
      <c r="K11" s="93" t="str">
        <f>VLOOKUP(I11,[7]stage_hints!$A:$C,3,FALSE)</f>
        <v>敵のステータスがスキルで上がったら</v>
      </c>
      <c r="L11" s="94" t="str">
        <f>VLOOKUP(I11,[7]stage_hints!$A:$D,4,FALSE)</f>
        <v>敵のステータスがスキルでアップしたときは_x000D_ステータスダウンスキルで上書きしましょう</v>
      </c>
      <c r="M11" s="57" t="s">
        <v>208</v>
      </c>
    </row>
    <row r="12" spans="1:13" x14ac:dyDescent="0.15">
      <c r="A12" s="81" t="s">
        <v>198</v>
      </c>
      <c r="B12" s="82">
        <f>floors!$C$2</f>
        <v>48008</v>
      </c>
      <c r="C12" s="83" t="str">
        <f ca="1">VLOOKUP($B12,OFFSET([2]quests!$A$1,0,0,COUNTA([2]quests!$A:$A),MATCH(C$1,[2]quests!$1:$1,0)-MATCH($B$1,[2]quests!$1:$1,0)+1),MATCH(C$1,[2]quests!$1:$1,0)-MATCH($B$1,[2]quests!$1:$1,0)+1,FALSE)</f>
        <v>紀昌襲来！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台湾版降臨9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【超絶級】紀昌襲来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台湾版降臨9</v>
      </c>
      <c r="H12" s="85">
        <v>0</v>
      </c>
      <c r="I12">
        <v>36</v>
      </c>
      <c r="J12" s="84" t="s">
        <v>195</v>
      </c>
      <c r="K12" s="93" t="str">
        <f>VLOOKUP(I12,[7]stage_hints!$A:$C,3,FALSE)</f>
        <v>タワーオブザクイーンのボス</v>
      </c>
      <c r="L12" s="94" t="str">
        <f>VLOOKUP(I12,[7]stage_hints!$A:$D,4,FALSE)</f>
        <v>「タワーオブザクイーン」最上階のボスは_x000D_15階の初回クリア報酬で獲得できるほか_x000D_その階にて低確率でドロップもします</v>
      </c>
      <c r="M12" s="57" t="s">
        <v>208</v>
      </c>
    </row>
    <row r="13" spans="1:13" x14ac:dyDescent="0.15">
      <c r="A13" s="81" t="s">
        <v>198</v>
      </c>
      <c r="B13" s="82">
        <f>floors!$C$2</f>
        <v>48008</v>
      </c>
      <c r="C13" s="83" t="str">
        <f ca="1">VLOOKUP($B13,OFFSET([2]quests!$A$1,0,0,COUNTA([2]quests!$A:$A),MATCH(C$1,[2]quests!$1:$1,0)-MATCH($B$1,[2]quests!$1:$1,0)+1),MATCH(C$1,[2]quests!$1:$1,0)-MATCH($B$1,[2]quests!$1:$1,0)+1,FALSE)</f>
        <v>紀昌襲来！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台湾版降臨9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【超絶級】紀昌襲来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台湾版降臨9</v>
      </c>
      <c r="H13" s="85">
        <v>0</v>
      </c>
      <c r="I13">
        <v>37</v>
      </c>
      <c r="J13" s="84" t="s">
        <v>195</v>
      </c>
      <c r="K13" s="93" t="str">
        <f>VLOOKUP(I13,[7]stage_hints!$A:$C,3,FALSE)</f>
        <v>限界突破値の引き継ぎ</v>
      </c>
      <c r="L13" s="94" t="str">
        <f>VLOOKUP(I13,[7]stage_hints!$A:$D,4,FALSE)</f>
        <v>同じユニットを強化で合成すると_x000D_限界突破値を引き継げます（覚醒前後も可）</v>
      </c>
      <c r="M13" s="57" t="s">
        <v>208</v>
      </c>
    </row>
    <row r="14" spans="1:13" x14ac:dyDescent="0.15">
      <c r="A14" s="81" t="s">
        <v>198</v>
      </c>
      <c r="B14" s="82">
        <f>floors!$C$2</f>
        <v>48008</v>
      </c>
      <c r="C14" s="83" t="str">
        <f ca="1">VLOOKUP($B14,OFFSET([2]quests!$A$1,0,0,COUNTA([2]quests!$A:$A),MATCH(C$1,[2]quests!$1:$1,0)-MATCH($B$1,[2]quests!$1:$1,0)+1),MATCH(C$1,[2]quests!$1:$1,0)-MATCH($B$1,[2]quests!$1:$1,0)+1,FALSE)</f>
        <v>紀昌襲来！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台湾版降臨9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【超絶級】紀昌襲来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台湾版降臨9</v>
      </c>
      <c r="H14" s="85">
        <v>0</v>
      </c>
      <c r="I14">
        <v>39</v>
      </c>
      <c r="J14" s="84" t="s">
        <v>195</v>
      </c>
      <c r="K14" s="93" t="str">
        <f>VLOOKUP(I14,[7]stage_hints!$A:$C,3,FALSE)</f>
        <v>システム適合者を確認</v>
      </c>
      <c r="L14" s="94" t="str">
        <f>VLOOKUP(I14,[7]stage_hints!$A:$D,4,FALSE)</f>
        <v>ALICEが 「アナタ」を呼んでいます</v>
      </c>
      <c r="M14" s="57" t="s">
        <v>208</v>
      </c>
    </row>
    <row r="15" spans="1:13" x14ac:dyDescent="0.15">
      <c r="A15" s="81" t="s">
        <v>198</v>
      </c>
      <c r="B15" s="82">
        <f>floors!$C$2</f>
        <v>48008</v>
      </c>
      <c r="C15" s="83" t="str">
        <f ca="1">VLOOKUP($B15,OFFSET([2]quests!$A$1,0,0,COUNTA([2]quests!$A:$A),MATCH(C$1,[2]quests!$1:$1,0)-MATCH($B$1,[2]quests!$1:$1,0)+1),MATCH(C$1,[2]quests!$1:$1,0)-MATCH($B$1,[2]quests!$1:$1,0)+1,FALSE)</f>
        <v>紀昌襲来！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台湾版降臨9</v>
      </c>
      <c r="E15" s="87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【ウィザード級】紀昌襲来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台湾版降臨9</v>
      </c>
      <c r="H15" s="85">
        <v>0</v>
      </c>
      <c r="I15">
        <v>12</v>
      </c>
      <c r="J15" s="84" t="s">
        <v>195</v>
      </c>
      <c r="K15" s="93" t="str">
        <f>VLOOKUP(I15,[7]stage_hints!$A:$C,3,FALSE)</f>
        <v>ユニットのお気に入り登録</v>
      </c>
      <c r="L15" s="94" t="str">
        <f>VLOOKUP(I15,[7]stage_hints!$A:$D,4,FALSE)</f>
        <v>大事なユニットを誤って消さないように_x000D_フォルダから「お気に入り登録」しましょう</v>
      </c>
      <c r="M15" s="57" t="s">
        <v>208</v>
      </c>
    </row>
    <row r="16" spans="1:13" x14ac:dyDescent="0.15">
      <c r="A16" s="81" t="s">
        <v>198</v>
      </c>
      <c r="B16" s="82">
        <f>floors!$C$2</f>
        <v>48008</v>
      </c>
      <c r="C16" s="83" t="str">
        <f ca="1">VLOOKUP($B16,OFFSET([2]quests!$A$1,0,0,COUNTA([2]quests!$A:$A),MATCH(C$1,[2]quests!$1:$1,0)-MATCH($B$1,[2]quests!$1:$1,0)+1),MATCH(C$1,[2]quests!$1:$1,0)-MATCH($B$1,[2]quests!$1:$1,0)+1,FALSE)</f>
        <v>紀昌襲来！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台湾版降臨9</v>
      </c>
      <c r="E16" s="87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【ウィザード級】紀昌襲来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台湾版降臨9</v>
      </c>
      <c r="H16" s="85">
        <v>0</v>
      </c>
      <c r="I16">
        <v>17</v>
      </c>
      <c r="J16" s="84" t="s">
        <v>195</v>
      </c>
      <c r="K16" s="93" t="str">
        <f>VLOOKUP(I16,[7]stage_hints!$A:$C,3,FALSE)</f>
        <v>リンクガチャ</v>
      </c>
      <c r="L16" s="94" t="str">
        <f>VLOOKUP(I16,[7]stage_hints!$A:$D,4,FALSE)</f>
        <v>無料のリンクガチャを回して_x000D_経験値素材や売却素材を獲得しましょう</v>
      </c>
      <c r="M16" s="57" t="s">
        <v>208</v>
      </c>
    </row>
    <row r="17" spans="1:13" x14ac:dyDescent="0.15">
      <c r="A17" s="81" t="s">
        <v>198</v>
      </c>
      <c r="B17" s="82">
        <f>floors!$C$2</f>
        <v>48008</v>
      </c>
      <c r="C17" s="83" t="str">
        <f ca="1">VLOOKUP($B17,OFFSET([2]quests!$A$1,0,0,COUNTA([2]quests!$A:$A),MATCH(C$1,[2]quests!$1:$1,0)-MATCH($B$1,[2]quests!$1:$1,0)+1),MATCH(C$1,[2]quests!$1:$1,0)-MATCH($B$1,[2]quests!$1:$1,0)+1,FALSE)</f>
        <v>紀昌襲来！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台湾版降臨9</v>
      </c>
      <c r="E17" s="87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【ウィザード級】紀昌襲来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台湾版降臨9</v>
      </c>
      <c r="H17" s="85">
        <v>0</v>
      </c>
      <c r="I17">
        <v>19</v>
      </c>
      <c r="J17" s="84" t="s">
        <v>195</v>
      </c>
      <c r="K17" s="93" t="str">
        <f>VLOOKUP(I17,[7]stage_hints!$A:$C,3,FALSE)</f>
        <v>ソロ専用タワーオブザクイーン</v>
      </c>
      <c r="L17" s="94" t="str">
        <f>VLOOKUP(I17,[7]stage_hints!$A:$D,4,FALSE)</f>
        <v>ソロ専用の「タワーオブザクイーン」は_x000D_期間限定で定期的に開催されます_x000D_ここでしか獲得できない報酬もあるようです</v>
      </c>
      <c r="M17" s="57" t="s">
        <v>208</v>
      </c>
    </row>
    <row r="18" spans="1:13" x14ac:dyDescent="0.15">
      <c r="A18" s="81" t="s">
        <v>198</v>
      </c>
      <c r="B18" s="82">
        <f>floors!$C$2</f>
        <v>48008</v>
      </c>
      <c r="C18" s="83" t="str">
        <f ca="1">VLOOKUP($B18,OFFSET([2]quests!$A$1,0,0,COUNTA([2]quests!$A:$A),MATCH(C$1,[2]quests!$1:$1,0)-MATCH($B$1,[2]quests!$1:$1,0)+1),MATCH(C$1,[2]quests!$1:$1,0)-MATCH($B$1,[2]quests!$1:$1,0)+1,FALSE)</f>
        <v>紀昌襲来！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台湾版降臨9</v>
      </c>
      <c r="E18" s="87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【ウィザード級】紀昌襲来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台湾版降臨9</v>
      </c>
      <c r="H18" s="85">
        <v>0</v>
      </c>
      <c r="I18">
        <v>21</v>
      </c>
      <c r="J18" s="84" t="s">
        <v>195</v>
      </c>
      <c r="K18" s="93" t="str">
        <f>VLOOKUP(I18,[7]stage_hints!$A:$C,3,FALSE)</f>
        <v>スキルを有効に</v>
      </c>
      <c r="L18" s="94" t="str">
        <f>VLOOKUP(I18,[7]stage_hints!$A:$D,4,FALSE)</f>
        <v>ターン経過でユニットのスキルが使えます_x000D_強力スキルでバトルを有利に進めましょう</v>
      </c>
      <c r="M18" s="57" t="s">
        <v>208</v>
      </c>
    </row>
    <row r="19" spans="1:13" x14ac:dyDescent="0.15">
      <c r="A19" s="81" t="s">
        <v>198</v>
      </c>
      <c r="B19" s="82">
        <f>floors!$C$2</f>
        <v>48008</v>
      </c>
      <c r="C19" s="83" t="str">
        <f ca="1">VLOOKUP($B19,OFFSET([2]quests!$A$1,0,0,COUNTA([2]quests!$A:$A),MATCH(C$1,[2]quests!$1:$1,0)-MATCH($B$1,[2]quests!$1:$1,0)+1),MATCH(C$1,[2]quests!$1:$1,0)-MATCH($B$1,[2]quests!$1:$1,0)+1,FALSE)</f>
        <v>紀昌襲来！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台湾版降臨9</v>
      </c>
      <c r="E19" s="87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【ウィザード級】紀昌襲来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台湾版降臨9</v>
      </c>
      <c r="H19" s="85">
        <v>0</v>
      </c>
      <c r="I19">
        <v>29</v>
      </c>
      <c r="J19" s="84" t="s">
        <v>195</v>
      </c>
      <c r="K19" s="93" t="str">
        <f>VLOOKUP(I19,[7]stage_hints!$A:$C,3,FALSE)</f>
        <v>「バグ」のメリット</v>
      </c>
      <c r="L19" s="94" t="str">
        <f>VLOOKUP(I19,[7]stage_hints!$A:$D,4,FALSE)</f>
        <v>ユニットの「バグ」を増やすと_x000D_報酬をもらえる確率がアップします</v>
      </c>
      <c r="M19" s="57" t="s">
        <v>208</v>
      </c>
    </row>
    <row r="20" spans="1:13" x14ac:dyDescent="0.15">
      <c r="A20" s="81" t="s">
        <v>198</v>
      </c>
      <c r="B20" s="82">
        <f>floors!$C$2</f>
        <v>48008</v>
      </c>
      <c r="C20" s="83" t="str">
        <f ca="1">VLOOKUP($B20,OFFSET([2]quests!$A$1,0,0,COUNTA([2]quests!$A:$A),MATCH(C$1,[2]quests!$1:$1,0)-MATCH($B$1,[2]quests!$1:$1,0)+1),MATCH(C$1,[2]quests!$1:$1,0)-MATCH($B$1,[2]quests!$1:$1,0)+1,FALSE)</f>
        <v>紀昌襲来！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台湾版降臨9</v>
      </c>
      <c r="E20" s="87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【ウィザード級】紀昌襲来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台湾版降臨9</v>
      </c>
      <c r="H20" s="85">
        <v>0</v>
      </c>
      <c r="I20">
        <v>30</v>
      </c>
      <c r="J20" s="84" t="s">
        <v>195</v>
      </c>
      <c r="K20" s="93" t="str">
        <f>VLOOKUP(I20,[7]stage_hints!$A:$C,3,FALSE)</f>
        <v>「バグ」の増やし方</v>
      </c>
      <c r="L20" s="94" t="str">
        <f>VLOOKUP(I20,[7]stage_hints!$A:$D,4,FALSE)</f>
        <v>同じユニット同士を強化で合成すると_x000D_「バグ」を増やすことができます</v>
      </c>
      <c r="M20" s="57" t="s">
        <v>208</v>
      </c>
    </row>
    <row r="21" spans="1:13" x14ac:dyDescent="0.15">
      <c r="A21" s="81" t="s">
        <v>198</v>
      </c>
      <c r="B21" s="82">
        <f>floors!$C$2</f>
        <v>48008</v>
      </c>
      <c r="C21" s="83" t="str">
        <f ca="1">VLOOKUP($B21,OFFSET([2]quests!$A$1,0,0,COUNTA([2]quests!$A:$A),MATCH(C$1,[2]quests!$1:$1,0)-MATCH($B$1,[2]quests!$1:$1,0)+1),MATCH(C$1,[2]quests!$1:$1,0)-MATCH($B$1,[2]quests!$1:$1,0)+1,FALSE)</f>
        <v>紀昌襲来！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台湾版降臨9</v>
      </c>
      <c r="E21" s="87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【ウィザード級】紀昌襲来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台湾版降臨9</v>
      </c>
      <c r="H21" s="85">
        <v>0</v>
      </c>
      <c r="I21">
        <v>32</v>
      </c>
      <c r="J21" s="84" t="s">
        <v>195</v>
      </c>
      <c r="K21" s="93" t="str">
        <f>VLOOKUP(I21,[7]stage_hints!$A:$C,3,FALSE)</f>
        <v>敵の連続攻撃には</v>
      </c>
      <c r="L21" s="94" t="str">
        <f>VLOOKUP(I21,[7]stage_hints!$A:$D,4,FALSE)</f>
        <v>カウンタースキルを持つユニットがいれば_x000D_ダメージ回数分の反撃ができます</v>
      </c>
      <c r="M21" s="57" t="s">
        <v>208</v>
      </c>
    </row>
    <row r="22" spans="1:13" x14ac:dyDescent="0.15">
      <c r="A22" s="81" t="s">
        <v>198</v>
      </c>
      <c r="B22" s="82">
        <f>floors!$C$2</f>
        <v>48008</v>
      </c>
      <c r="C22" s="83" t="str">
        <f ca="1">VLOOKUP($B22,OFFSET([2]quests!$A$1,0,0,COUNTA([2]quests!$A:$A),MATCH(C$1,[2]quests!$1:$1,0)-MATCH($B$1,[2]quests!$1:$1,0)+1),MATCH(C$1,[2]quests!$1:$1,0)-MATCH($B$1,[2]quests!$1:$1,0)+1,FALSE)</f>
        <v>紀昌襲来！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台湾版降臨9</v>
      </c>
      <c r="E22" s="87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【ウィザード級】紀昌襲来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台湾版降臨9</v>
      </c>
      <c r="H22" s="85">
        <v>0</v>
      </c>
      <c r="I22">
        <v>33</v>
      </c>
      <c r="J22" s="84" t="s">
        <v>195</v>
      </c>
      <c r="K22" s="93" t="str">
        <f>VLOOKUP(I22,[7]stage_hints!$A:$C,3,FALSE)</f>
        <v>敵のカウンター攻撃には</v>
      </c>
      <c r="L22" s="94" t="str">
        <f>VLOOKUP(I22,[7]stage_hints!$A:$D,4,FALSE)</f>
        <v>カウンターブレイクスキルを持っていれば_x000D_敵のカウンターを解除して攻撃ができます</v>
      </c>
      <c r="M22" s="57" t="s">
        <v>208</v>
      </c>
    </row>
    <row r="23" spans="1:13" x14ac:dyDescent="0.15">
      <c r="A23" s="81" t="s">
        <v>198</v>
      </c>
      <c r="B23" s="82">
        <f>floors!$C$2</f>
        <v>48008</v>
      </c>
      <c r="C23" s="83" t="str">
        <f ca="1">VLOOKUP($B23,OFFSET([2]quests!$A$1,0,0,COUNTA([2]quests!$A:$A),MATCH(C$1,[2]quests!$1:$1,0)-MATCH($B$1,[2]quests!$1:$1,0)+1),MATCH(C$1,[2]quests!$1:$1,0)-MATCH($B$1,[2]quests!$1:$1,0)+1,FALSE)</f>
        <v>紀昌襲来！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台湾版降臨9</v>
      </c>
      <c r="E23" s="87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【ウィザード級】紀昌襲来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台湾版降臨9</v>
      </c>
      <c r="H23" s="85">
        <v>0</v>
      </c>
      <c r="I23">
        <v>34</v>
      </c>
      <c r="J23" s="84" t="s">
        <v>195</v>
      </c>
      <c r="K23" s="93" t="str">
        <f>VLOOKUP(I23,[7]stage_hints!$A:$C,3,FALSE)</f>
        <v>ステータスをスキルで下げられたら</v>
      </c>
      <c r="L23" s="94" t="str">
        <f>VLOOKUP(I23,[7]stage_hints!$A:$D,4,FALSE)</f>
        <v>ステータスダウンのスキルを受けたら_x000D_ステータスアップスキルで上書きしましょう</v>
      </c>
      <c r="M23" s="57" t="s">
        <v>208</v>
      </c>
    </row>
    <row r="24" spans="1:13" x14ac:dyDescent="0.15">
      <c r="A24" s="81" t="s">
        <v>198</v>
      </c>
      <c r="B24" s="82">
        <f>floors!$C$2</f>
        <v>48008</v>
      </c>
      <c r="C24" s="83" t="str">
        <f ca="1">VLOOKUP($B24,OFFSET([2]quests!$A$1,0,0,COUNTA([2]quests!$A:$A),MATCH(C$1,[2]quests!$1:$1,0)-MATCH($B$1,[2]quests!$1:$1,0)+1),MATCH(C$1,[2]quests!$1:$1,0)-MATCH($B$1,[2]quests!$1:$1,0)+1,FALSE)</f>
        <v>紀昌襲来！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台湾版降臨9</v>
      </c>
      <c r="E24" s="87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【ウィザード級】紀昌襲来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台湾版降臨9</v>
      </c>
      <c r="H24" s="85">
        <v>0</v>
      </c>
      <c r="I24">
        <v>35</v>
      </c>
      <c r="J24" s="84" t="s">
        <v>195</v>
      </c>
      <c r="K24" s="93" t="str">
        <f>VLOOKUP(I24,[7]stage_hints!$A:$C,3,FALSE)</f>
        <v>敵のステータスがスキルで上がったら</v>
      </c>
      <c r="L24" s="94" t="str">
        <f>VLOOKUP(I24,[7]stage_hints!$A:$D,4,FALSE)</f>
        <v>敵のステータスがスキルでアップしたときは_x000D_ステータスダウンスキルで上書きしましょう</v>
      </c>
      <c r="M24" s="57" t="s">
        <v>208</v>
      </c>
    </row>
    <row r="25" spans="1:13" x14ac:dyDescent="0.15">
      <c r="A25" s="81" t="s">
        <v>198</v>
      </c>
      <c r="B25" s="82">
        <f>floors!$C$2</f>
        <v>48008</v>
      </c>
      <c r="C25" s="83" t="str">
        <f ca="1">VLOOKUP($B25,OFFSET([2]quests!$A$1,0,0,COUNTA([2]quests!$A:$A),MATCH(C$1,[2]quests!$1:$1,0)-MATCH($B$1,[2]quests!$1:$1,0)+1),MATCH(C$1,[2]quests!$1:$1,0)-MATCH($B$1,[2]quests!$1:$1,0)+1,FALSE)</f>
        <v>紀昌襲来！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台湾版降臨9</v>
      </c>
      <c r="E25" s="87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【ウィザード級】紀昌襲来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台湾版降臨9</v>
      </c>
      <c r="H25" s="85">
        <v>0</v>
      </c>
      <c r="I25">
        <v>36</v>
      </c>
      <c r="J25" s="84" t="s">
        <v>195</v>
      </c>
      <c r="K25" s="93" t="str">
        <f>VLOOKUP(I25,[7]stage_hints!$A:$C,3,FALSE)</f>
        <v>タワーオブザクイーンのボス</v>
      </c>
      <c r="L25" s="94" t="str">
        <f>VLOOKUP(I25,[7]stage_hints!$A:$D,4,FALSE)</f>
        <v>「タワーオブザクイーン」最上階のボスは_x000D_15階の初回クリア報酬で獲得できるほか_x000D_その階にて低確率でドロップもします</v>
      </c>
      <c r="M25" s="57" t="s">
        <v>208</v>
      </c>
    </row>
    <row r="26" spans="1:13" x14ac:dyDescent="0.15">
      <c r="A26" s="81" t="s">
        <v>198</v>
      </c>
      <c r="B26" s="82">
        <f>floors!$C$2</f>
        <v>48008</v>
      </c>
      <c r="C26" s="83" t="str">
        <f ca="1">VLOOKUP($B26,OFFSET([2]quests!$A$1,0,0,COUNTA([2]quests!$A:$A),MATCH(C$1,[2]quests!$1:$1,0)-MATCH($B$1,[2]quests!$1:$1,0)+1),MATCH(C$1,[2]quests!$1:$1,0)-MATCH($B$1,[2]quests!$1:$1,0)+1,FALSE)</f>
        <v>紀昌襲来！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台湾版降臨9</v>
      </c>
      <c r="E26" s="87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【ウィザード級】紀昌襲来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台湾版降臨9</v>
      </c>
      <c r="H26" s="85">
        <v>0</v>
      </c>
      <c r="I26">
        <v>37</v>
      </c>
      <c r="J26" s="84" t="s">
        <v>195</v>
      </c>
      <c r="K26" s="93" t="str">
        <f>VLOOKUP(I26,[7]stage_hints!$A:$C,3,FALSE)</f>
        <v>限界突破値の引き継ぎ</v>
      </c>
      <c r="L26" s="94" t="str">
        <f>VLOOKUP(I26,[7]stage_hints!$A:$D,4,FALSE)</f>
        <v>同じユニットを強化で合成すると_x000D_限界突破値を引き継げます（覚醒前後も可）</v>
      </c>
      <c r="M26" s="57" t="s">
        <v>208</v>
      </c>
    </row>
    <row r="27" spans="1:13" x14ac:dyDescent="0.15">
      <c r="A27" s="81" t="s">
        <v>198</v>
      </c>
      <c r="B27" s="82">
        <f>floors!$C$2</f>
        <v>48008</v>
      </c>
      <c r="C27" s="83" t="str">
        <f ca="1">VLOOKUP($B27,OFFSET([2]quests!$A$1,0,0,COUNTA([2]quests!$A:$A),MATCH(C$1,[2]quests!$1:$1,0)-MATCH($B$1,[2]quests!$1:$1,0)+1),MATCH(C$1,[2]quests!$1:$1,0)-MATCH($B$1,[2]quests!$1:$1,0)+1,FALSE)</f>
        <v>紀昌襲来！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台湾版降臨9</v>
      </c>
      <c r="E27" s="87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【ウィザード級】紀昌襲来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台湾版降臨9</v>
      </c>
      <c r="H27" s="85">
        <v>0</v>
      </c>
      <c r="I27">
        <v>39</v>
      </c>
      <c r="J27" s="84" t="s">
        <v>195</v>
      </c>
      <c r="K27" s="93" t="str">
        <f>VLOOKUP(I27,[7]stage_hints!$A:$C,3,FALSE)</f>
        <v>システム適合者を確認</v>
      </c>
      <c r="L27" s="94" t="str">
        <f>VLOOKUP(I27,[7]stage_hints!$A:$D,4,FALSE)</f>
        <v>ALICEが 「アナタ」を呼んでいます</v>
      </c>
      <c r="M27" s="57" t="s">
        <v>208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185</v>
      </c>
      <c r="B1" s="73" t="s">
        <v>148</v>
      </c>
      <c r="C1" s="77" t="s">
        <v>187</v>
      </c>
      <c r="D1" s="77" t="s">
        <v>33</v>
      </c>
      <c r="E1" s="73" t="s">
        <v>188</v>
      </c>
      <c r="F1" s="77" t="s">
        <v>18</v>
      </c>
      <c r="G1" s="77" t="s">
        <v>33</v>
      </c>
      <c r="H1" s="73" t="s">
        <v>190</v>
      </c>
      <c r="I1" s="89" t="s">
        <v>191</v>
      </c>
      <c r="J1" s="91" t="s">
        <v>192</v>
      </c>
      <c r="K1" s="79" t="s">
        <v>125</v>
      </c>
      <c r="L1" s="78" t="s">
        <v>184</v>
      </c>
      <c r="M1" s="92" t="s">
        <v>183</v>
      </c>
      <c r="N1" s="80" t="s">
        <v>193</v>
      </c>
    </row>
    <row r="2" spans="1:14" x14ac:dyDescent="0.15">
      <c r="A2" s="81" t="s">
        <v>194</v>
      </c>
      <c r="B2" s="82">
        <f>floors!$C$2</f>
        <v>48008</v>
      </c>
      <c r="C2" s="83" t="str">
        <f ca="1">VLOOKUP($B2,OFFSET([2]quests!$A$1,0,0,COUNTA([2]quests!$A:$A),MATCH(C$1,[2]quests!$1:$1,0)-MATCH($B$1,[2]quests!$1:$1,0)+1),MATCH(C$1,[2]quests!$1:$1,0)-MATCH($B$1,[2]quests!$1:$1,0)+1,FALSE)</f>
        <v>紀昌襲来！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台湾版降臨9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【超絶級】紀昌襲来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台湾版降臨9</v>
      </c>
      <c r="H2" s="85">
        <v>1</v>
      </c>
      <c r="I2" s="90">
        <f>ROW()-1</f>
        <v>1</v>
      </c>
      <c r="J2" s="86" t="str">
        <f>B2&amp;TEXT(I2,"00")</f>
        <v>4800801</v>
      </c>
      <c r="K2" s="84" t="s">
        <v>265</v>
      </c>
      <c r="L2" s="87" t="s">
        <v>196</v>
      </c>
      <c r="M2" s="143"/>
      <c r="N2" s="57" t="s">
        <v>197</v>
      </c>
    </row>
    <row r="3" spans="1:14" x14ac:dyDescent="0.15">
      <c r="A3" s="81" t="s">
        <v>194</v>
      </c>
      <c r="B3" s="82">
        <f>floors!$C$2</f>
        <v>48008</v>
      </c>
      <c r="C3" s="83" t="str">
        <f ca="1">VLOOKUP($B3,OFFSET([2]quests!$A$1,0,0,COUNTA([2]quests!$A:$A),MATCH(C$1,[2]quests!$1:$1,0)-MATCH($B$1,[2]quests!$1:$1,0)+1),MATCH(C$1,[2]quests!$1:$1,0)-MATCH($B$1,[2]quests!$1:$1,0)+1,FALSE)</f>
        <v>紀昌襲来！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台湾版降臨9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【超絶級】紀昌襲来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台湾版降臨9</v>
      </c>
      <c r="H3" s="85">
        <v>2</v>
      </c>
      <c r="I3" s="90">
        <f t="shared" ref="I3:I13" si="0">ROW()-1</f>
        <v>2</v>
      </c>
      <c r="J3" s="86" t="str">
        <f t="shared" ref="J3:J7" si="1">B3&amp;TEXT(I3,"00")</f>
        <v>4800802</v>
      </c>
      <c r="K3" s="84" t="s">
        <v>265</v>
      </c>
      <c r="L3" s="87" t="s">
        <v>196</v>
      </c>
      <c r="M3" s="143"/>
      <c r="N3" s="57" t="s">
        <v>197</v>
      </c>
    </row>
    <row r="4" spans="1:14" x14ac:dyDescent="0.15">
      <c r="A4" s="81" t="s">
        <v>194</v>
      </c>
      <c r="B4" s="82">
        <f>floors!$C$2</f>
        <v>48008</v>
      </c>
      <c r="C4" s="83" t="str">
        <f ca="1">VLOOKUP($B4,OFFSET([2]quests!$A$1,0,0,COUNTA([2]quests!$A:$A),MATCH(C$1,[2]quests!$1:$1,0)-MATCH($B$1,[2]quests!$1:$1,0)+1),MATCH(C$1,[2]quests!$1:$1,0)-MATCH($B$1,[2]quests!$1:$1,0)+1,FALSE)</f>
        <v>紀昌襲来！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台湾版降臨9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【超絶級】紀昌襲来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台湾版降臨9</v>
      </c>
      <c r="H4" s="85">
        <v>3</v>
      </c>
      <c r="I4" s="90">
        <f t="shared" si="0"/>
        <v>3</v>
      </c>
      <c r="J4" s="86" t="str">
        <f t="shared" si="1"/>
        <v>4800803</v>
      </c>
      <c r="K4" s="84" t="s">
        <v>265</v>
      </c>
      <c r="L4" s="87" t="s">
        <v>196</v>
      </c>
      <c r="M4" s="143"/>
      <c r="N4" s="57" t="s">
        <v>197</v>
      </c>
    </row>
    <row r="5" spans="1:14" x14ac:dyDescent="0.15">
      <c r="A5" s="81" t="s">
        <v>194</v>
      </c>
      <c r="B5" s="82">
        <f>floors!$C$2</f>
        <v>48008</v>
      </c>
      <c r="C5" s="83" t="str">
        <f ca="1">VLOOKUP($B5,OFFSET([2]quests!$A$1,0,0,COUNTA([2]quests!$A:$A),MATCH(C$1,[2]quests!$1:$1,0)-MATCH($B$1,[2]quests!$1:$1,0)+1),MATCH(C$1,[2]quests!$1:$1,0)-MATCH($B$1,[2]quests!$1:$1,0)+1,FALSE)</f>
        <v>紀昌襲来！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台湾版降臨9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【超絶級】紀昌襲来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台湾版降臨9</v>
      </c>
      <c r="H5" s="85">
        <v>3</v>
      </c>
      <c r="I5" s="90">
        <f t="shared" si="0"/>
        <v>4</v>
      </c>
      <c r="J5" s="86" t="str">
        <f t="shared" si="1"/>
        <v>4800804</v>
      </c>
      <c r="K5" s="84" t="s">
        <v>265</v>
      </c>
      <c r="L5" s="87" t="s">
        <v>196</v>
      </c>
      <c r="M5" s="143"/>
      <c r="N5" s="57" t="s">
        <v>197</v>
      </c>
    </row>
    <row r="6" spans="1:14" x14ac:dyDescent="0.15">
      <c r="A6" s="81" t="s">
        <v>194</v>
      </c>
      <c r="B6" s="82">
        <f>floors!$C$2</f>
        <v>48008</v>
      </c>
      <c r="C6" s="83" t="str">
        <f ca="1">VLOOKUP($B6,OFFSET([2]quests!$A$1,0,0,COUNTA([2]quests!$A:$A),MATCH(C$1,[2]quests!$1:$1,0)-MATCH($B$1,[2]quests!$1:$1,0)+1),MATCH(C$1,[2]quests!$1:$1,0)-MATCH($B$1,[2]quests!$1:$1,0)+1,FALSE)</f>
        <v>紀昌襲来！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台湾版降臨9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【超絶級】紀昌襲来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台湾版降臨9</v>
      </c>
      <c r="H6" s="85">
        <v>4</v>
      </c>
      <c r="I6" s="90">
        <f t="shared" si="0"/>
        <v>5</v>
      </c>
      <c r="J6" s="86" t="str">
        <f t="shared" si="1"/>
        <v>4800805</v>
      </c>
      <c r="K6" s="84" t="s">
        <v>265</v>
      </c>
      <c r="L6" s="87" t="s">
        <v>196</v>
      </c>
      <c r="M6" s="143"/>
      <c r="N6" s="57" t="s">
        <v>197</v>
      </c>
    </row>
    <row r="7" spans="1:14" x14ac:dyDescent="0.15">
      <c r="A7" s="81" t="s">
        <v>194</v>
      </c>
      <c r="B7" s="82">
        <f>floors!$C$2</f>
        <v>48008</v>
      </c>
      <c r="C7" s="83" t="str">
        <f ca="1">VLOOKUP($B7,OFFSET([2]quests!$A$1,0,0,COUNTA([2]quests!$A:$A),MATCH(C$1,[2]quests!$1:$1,0)-MATCH($B$1,[2]quests!$1:$1,0)+1),MATCH(C$1,[2]quests!$1:$1,0)-MATCH($B$1,[2]quests!$1:$1,0)+1,FALSE)</f>
        <v>紀昌襲来！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台湾版降臨9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【超絶級】紀昌襲来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台湾版降臨9</v>
      </c>
      <c r="H7" s="85">
        <v>4</v>
      </c>
      <c r="I7" s="90">
        <f t="shared" si="0"/>
        <v>6</v>
      </c>
      <c r="J7" s="86" t="str">
        <f t="shared" si="1"/>
        <v>4800806</v>
      </c>
      <c r="K7" s="84" t="s">
        <v>265</v>
      </c>
      <c r="L7" s="87" t="s">
        <v>196</v>
      </c>
      <c r="M7" s="143"/>
      <c r="N7" s="57" t="s">
        <v>197</v>
      </c>
    </row>
    <row r="8" spans="1:14" x14ac:dyDescent="0.15">
      <c r="A8" s="81" t="s">
        <v>194</v>
      </c>
      <c r="B8" s="82">
        <f>floors!$C$2</f>
        <v>48008</v>
      </c>
      <c r="C8" s="83" t="str">
        <f ca="1">VLOOKUP($B8,OFFSET([2]quests!$A$1,0,0,COUNTA([2]quests!$A:$A),MATCH(C$1,[2]quests!$1:$1,0)-MATCH($B$1,[2]quests!$1:$1,0)+1),MATCH(C$1,[2]quests!$1:$1,0)-MATCH($B$1,[2]quests!$1:$1,0)+1,FALSE)</f>
        <v>紀昌襲来！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台湾版降臨9</v>
      </c>
      <c r="E8" s="84">
        <v>2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【ウィザード級】紀昌襲来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台湾版降臨9</v>
      </c>
      <c r="H8" s="85">
        <v>1</v>
      </c>
      <c r="I8" s="90">
        <f>ROW()-1</f>
        <v>7</v>
      </c>
      <c r="J8" s="86" t="str">
        <f>B8&amp;TEXT(I8,"00")</f>
        <v>4800807</v>
      </c>
      <c r="K8" s="84" t="s">
        <v>265</v>
      </c>
      <c r="L8" s="87" t="s">
        <v>196</v>
      </c>
      <c r="M8" s="143"/>
      <c r="N8" s="57" t="s">
        <v>197</v>
      </c>
    </row>
    <row r="9" spans="1:14" x14ac:dyDescent="0.15">
      <c r="A9" s="81" t="s">
        <v>194</v>
      </c>
      <c r="B9" s="82">
        <f>floors!$C$2</f>
        <v>48008</v>
      </c>
      <c r="C9" s="83" t="str">
        <f ca="1">VLOOKUP($B9,OFFSET([2]quests!$A$1,0,0,COUNTA([2]quests!$A:$A),MATCH(C$1,[2]quests!$1:$1,0)-MATCH($B$1,[2]quests!$1:$1,0)+1),MATCH(C$1,[2]quests!$1:$1,0)-MATCH($B$1,[2]quests!$1:$1,0)+1,FALSE)</f>
        <v>紀昌襲来！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台湾版降臨9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【ウィザード級】紀昌襲来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台湾版降臨9</v>
      </c>
      <c r="H9" s="85">
        <v>2</v>
      </c>
      <c r="I9" s="90">
        <f t="shared" si="0"/>
        <v>8</v>
      </c>
      <c r="J9" s="86" t="str">
        <f t="shared" ref="J9:J13" si="2">B9&amp;TEXT(I9,"00")</f>
        <v>4800808</v>
      </c>
      <c r="K9" s="84" t="s">
        <v>265</v>
      </c>
      <c r="L9" s="87" t="s">
        <v>196</v>
      </c>
      <c r="M9" s="143"/>
      <c r="N9" s="57" t="s">
        <v>197</v>
      </c>
    </row>
    <row r="10" spans="1:14" x14ac:dyDescent="0.15">
      <c r="A10" s="81" t="s">
        <v>194</v>
      </c>
      <c r="B10" s="82">
        <f>floors!$C$2</f>
        <v>48008</v>
      </c>
      <c r="C10" s="83" t="str">
        <f ca="1">VLOOKUP($B10,OFFSET([2]quests!$A$1,0,0,COUNTA([2]quests!$A:$A),MATCH(C$1,[2]quests!$1:$1,0)-MATCH($B$1,[2]quests!$1:$1,0)+1),MATCH(C$1,[2]quests!$1:$1,0)-MATCH($B$1,[2]quests!$1:$1,0)+1,FALSE)</f>
        <v>紀昌襲来！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台湾版降臨9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【ウィザード級】紀昌襲来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台湾版降臨9</v>
      </c>
      <c r="H10" s="85">
        <v>3</v>
      </c>
      <c r="I10" s="90">
        <f t="shared" si="0"/>
        <v>9</v>
      </c>
      <c r="J10" s="86" t="str">
        <f t="shared" si="2"/>
        <v>4800809</v>
      </c>
      <c r="K10" s="84" t="s">
        <v>265</v>
      </c>
      <c r="L10" s="87" t="s">
        <v>196</v>
      </c>
      <c r="M10" s="143"/>
      <c r="N10" s="57" t="s">
        <v>197</v>
      </c>
    </row>
    <row r="11" spans="1:14" x14ac:dyDescent="0.15">
      <c r="A11" s="81" t="s">
        <v>194</v>
      </c>
      <c r="B11" s="82">
        <f>floors!$C$2</f>
        <v>48008</v>
      </c>
      <c r="C11" s="83" t="str">
        <f ca="1">VLOOKUP($B11,OFFSET([2]quests!$A$1,0,0,COUNTA([2]quests!$A:$A),MATCH(C$1,[2]quests!$1:$1,0)-MATCH($B$1,[2]quests!$1:$1,0)+1),MATCH(C$1,[2]quests!$1:$1,0)-MATCH($B$1,[2]quests!$1:$1,0)+1,FALSE)</f>
        <v>紀昌襲来！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台湾版降臨9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【ウィザード級】紀昌襲来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台湾版降臨9</v>
      </c>
      <c r="H11" s="85">
        <v>3</v>
      </c>
      <c r="I11" s="90">
        <f t="shared" si="0"/>
        <v>10</v>
      </c>
      <c r="J11" s="86" t="str">
        <f t="shared" si="2"/>
        <v>4800810</v>
      </c>
      <c r="K11" s="84" t="s">
        <v>265</v>
      </c>
      <c r="L11" s="87" t="s">
        <v>196</v>
      </c>
      <c r="M11" s="143"/>
      <c r="N11" s="57" t="s">
        <v>197</v>
      </c>
    </row>
    <row r="12" spans="1:14" x14ac:dyDescent="0.15">
      <c r="A12" s="81" t="s">
        <v>194</v>
      </c>
      <c r="B12" s="82">
        <f>floors!$C$2</f>
        <v>48008</v>
      </c>
      <c r="C12" s="83" t="str">
        <f ca="1">VLOOKUP($B12,OFFSET([2]quests!$A$1,0,0,COUNTA([2]quests!$A:$A),MATCH(C$1,[2]quests!$1:$1,0)-MATCH($B$1,[2]quests!$1:$1,0)+1),MATCH(C$1,[2]quests!$1:$1,0)-MATCH($B$1,[2]quests!$1:$1,0)+1,FALSE)</f>
        <v>紀昌襲来！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台湾版降臨9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【ウィザード級】紀昌襲来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台湾版降臨9</v>
      </c>
      <c r="H12" s="85">
        <v>4</v>
      </c>
      <c r="I12" s="90">
        <f t="shared" si="0"/>
        <v>11</v>
      </c>
      <c r="J12" s="86" t="str">
        <f t="shared" si="2"/>
        <v>4800811</v>
      </c>
      <c r="K12" s="84" t="s">
        <v>265</v>
      </c>
      <c r="L12" s="87" t="s">
        <v>196</v>
      </c>
      <c r="M12" s="143"/>
      <c r="N12" s="57" t="s">
        <v>197</v>
      </c>
    </row>
    <row r="13" spans="1:14" x14ac:dyDescent="0.15">
      <c r="A13" s="81" t="s">
        <v>194</v>
      </c>
      <c r="B13" s="82">
        <f>floors!$C$2</f>
        <v>48008</v>
      </c>
      <c r="C13" s="83" t="str">
        <f ca="1">VLOOKUP($B13,OFFSET([2]quests!$A$1,0,0,COUNTA([2]quests!$A:$A),MATCH(C$1,[2]quests!$1:$1,0)-MATCH($B$1,[2]quests!$1:$1,0)+1),MATCH(C$1,[2]quests!$1:$1,0)-MATCH($B$1,[2]quests!$1:$1,0)+1,FALSE)</f>
        <v>紀昌襲来！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台湾版降臨9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【ウィザード級】紀昌襲来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台湾版降臨9</v>
      </c>
      <c r="H13" s="85">
        <v>4</v>
      </c>
      <c r="I13" s="90">
        <f t="shared" si="0"/>
        <v>12</v>
      </c>
      <c r="J13" s="86" t="str">
        <f t="shared" si="2"/>
        <v>4800812</v>
      </c>
      <c r="K13" s="84" t="s">
        <v>265</v>
      </c>
      <c r="L13" s="87" t="s">
        <v>196</v>
      </c>
      <c r="M13" s="143"/>
      <c r="N13" s="57" t="s">
        <v>197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I16" sqref="I1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211</v>
      </c>
      <c r="B1" s="97" t="s">
        <v>212</v>
      </c>
      <c r="C1" s="77" t="s">
        <v>213</v>
      </c>
      <c r="D1" s="77" t="s">
        <v>33</v>
      </c>
      <c r="E1" s="97" t="s">
        <v>214</v>
      </c>
      <c r="F1" s="77" t="s">
        <v>215</v>
      </c>
      <c r="G1" s="77" t="s">
        <v>33</v>
      </c>
      <c r="H1" s="97" t="s">
        <v>216</v>
      </c>
      <c r="I1" s="97" t="s">
        <v>217</v>
      </c>
      <c r="J1" s="97" t="s">
        <v>218</v>
      </c>
      <c r="K1" s="73" t="s">
        <v>219</v>
      </c>
      <c r="L1" s="73" t="s">
        <v>220</v>
      </c>
      <c r="M1" s="73" t="s">
        <v>154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8" t="str">
        <f>B2&amp;"_"&amp;E2&amp;"_"&amp;H2&amp;"_"&amp;I2&amp;"_"&amp;J2</f>
        <v>48008_2_everyone_no_continue_1</v>
      </c>
      <c r="B2" s="82">
        <v>48008</v>
      </c>
      <c r="C2" s="83" t="str">
        <f ca="1">VLOOKUP($B2,OFFSET([2]quests!$A$1,0,0,COUNTA([2]quests!$A:$A),MATCH(C$1,[2]quests!$1:$1,0)-MATCH($B$1,[2]quests!$1:$1,0)+1),MATCH(C$1,[2]quests!$1:$1,0)-MATCH($B$1,[2]quests!$1:$1,0)+1,FALSE)</f>
        <v>紀昌襲来！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台湾版降臨9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【ウィザード級】紀昌襲来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台湾版降臨9</v>
      </c>
      <c r="H2" s="85" t="s">
        <v>225</v>
      </c>
      <c r="I2" s="84" t="s">
        <v>229</v>
      </c>
      <c r="J2" s="84">
        <v>1</v>
      </c>
      <c r="K2" s="84">
        <v>100</v>
      </c>
      <c r="L2" s="84" t="s">
        <v>226</v>
      </c>
      <c r="M2" s="20">
        <v>8037</v>
      </c>
      <c r="N2" s="9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紀昌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0" t="s">
        <v>227</v>
      </c>
      <c r="X2" s="101" t="s">
        <v>228</v>
      </c>
    </row>
    <row r="3" spans="1:24" x14ac:dyDescent="0.15">
      <c r="A3" s="98" t="str">
        <f>B3&amp;"_"&amp;E3&amp;"_"&amp;H3&amp;"_"&amp;I3&amp;"_"&amp;J3</f>
        <v>48008_2_everyone_full_member_1</v>
      </c>
      <c r="B3" s="82">
        <v>48008</v>
      </c>
      <c r="C3" s="83" t="str">
        <f ca="1">VLOOKUP($B3,OFFSET([2]quests!$A$1,0,0,COUNTA([2]quests!$A:$A),MATCH(C$1,[2]quests!$1:$1,0)-MATCH($B$1,[2]quests!$1:$1,0)+1),MATCH(C$1,[2]quests!$1:$1,0)-MATCH($B$1,[2]quests!$1:$1,0)+1,FALSE)</f>
        <v>紀昌襲来！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台湾版降臨9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【ウィザード級】紀昌襲来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台湾版降臨9</v>
      </c>
      <c r="H3" s="85" t="s">
        <v>225</v>
      </c>
      <c r="I3" s="84" t="s">
        <v>260</v>
      </c>
      <c r="J3" s="84">
        <v>1</v>
      </c>
      <c r="K3" s="84">
        <v>100</v>
      </c>
      <c r="L3" s="84" t="s">
        <v>226</v>
      </c>
      <c r="M3" s="20">
        <v>8037</v>
      </c>
      <c r="N3" s="9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紀昌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0" t="s">
        <v>227</v>
      </c>
      <c r="X3" s="101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2016-11-17T11:30:10Z</dcterms:modified>
</cp:coreProperties>
</file>