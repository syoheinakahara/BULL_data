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3"/>
  </bookViews>
  <sheets>
    <sheet name="floors_drop_2_4" sheetId="2" r:id="rId1"/>
    <sheet name="enemy_habitats_drop_2_4" sheetId="1" r:id="rId2"/>
    <sheet name="floors_drop_2_4.tmp" sheetId="5" r:id="rId3"/>
    <sheet name="enemy_habitats_drop_2_4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enemy_habitats_drop_2_4!$B$1:$AE$38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6" i="6" l="1"/>
  <c r="R39" i="6"/>
  <c r="R15" i="6"/>
  <c r="AB38" i="1"/>
  <c r="AA38" i="1"/>
  <c r="Z38" i="1"/>
  <c r="AB37" i="1"/>
  <c r="AA37" i="1"/>
  <c r="Z37" i="1"/>
  <c r="AB36" i="1"/>
  <c r="AA36" i="1"/>
  <c r="Z36" i="1"/>
  <c r="AB35" i="1"/>
  <c r="AA35" i="1"/>
  <c r="Z35" i="1"/>
  <c r="AB34" i="1"/>
  <c r="AA34" i="1"/>
  <c r="Z34" i="1"/>
  <c r="AB33" i="1"/>
  <c r="AA33" i="1"/>
  <c r="Z33" i="1"/>
  <c r="AB32" i="1"/>
  <c r="AA32" i="1"/>
  <c r="Z32" i="1"/>
  <c r="AB31" i="1"/>
  <c r="AA31" i="1"/>
  <c r="Z31" i="1"/>
  <c r="AB30" i="1"/>
  <c r="AA30" i="1"/>
  <c r="Z30" i="1"/>
  <c r="AB29" i="1"/>
  <c r="AA29" i="1"/>
  <c r="Z29" i="1"/>
  <c r="AB28" i="1"/>
  <c r="AA28" i="1"/>
  <c r="Z28" i="1"/>
  <c r="AB27" i="1"/>
  <c r="AA27" i="1"/>
  <c r="Z27" i="1"/>
  <c r="AB26" i="1"/>
  <c r="AA26" i="1"/>
  <c r="Z26" i="1"/>
  <c r="AB25" i="1"/>
  <c r="AA25" i="1"/>
  <c r="Z25" i="1"/>
  <c r="AB24" i="1"/>
  <c r="AA24" i="1"/>
  <c r="Z24" i="1"/>
  <c r="AB23" i="1"/>
  <c r="AA23" i="1"/>
  <c r="Z23" i="1"/>
  <c r="AB22" i="1"/>
  <c r="AA22" i="1"/>
  <c r="Z22" i="1"/>
  <c r="AB21" i="1"/>
  <c r="AA21" i="1"/>
  <c r="Z21" i="1"/>
  <c r="AB20" i="1"/>
  <c r="AA20" i="1"/>
  <c r="Z20" i="1"/>
  <c r="AB19" i="1"/>
  <c r="AA19" i="1"/>
  <c r="Z19" i="1"/>
  <c r="AB18" i="1"/>
  <c r="AA18" i="1"/>
  <c r="Z18" i="1"/>
  <c r="AB17" i="1"/>
  <c r="AA17" i="1"/>
  <c r="Z17" i="1"/>
  <c r="AB16" i="1"/>
  <c r="AA16" i="1"/>
  <c r="Z16" i="1"/>
  <c r="AB15" i="1"/>
  <c r="AA15" i="1"/>
  <c r="Z15" i="1"/>
  <c r="AB14" i="1"/>
  <c r="AA14" i="1"/>
  <c r="Z14" i="1"/>
  <c r="AB13" i="1"/>
  <c r="AA13" i="1"/>
  <c r="Z13" i="1"/>
  <c r="AB12" i="1"/>
  <c r="AA12" i="1"/>
  <c r="Z12" i="1"/>
  <c r="AB11" i="1"/>
  <c r="AA11" i="1"/>
  <c r="Z11" i="1"/>
  <c r="AB10" i="1"/>
  <c r="AA10" i="1"/>
  <c r="Z10" i="1"/>
  <c r="AB9" i="1"/>
  <c r="AA9" i="1"/>
  <c r="Z9" i="1"/>
  <c r="AB8" i="1"/>
  <c r="AA8" i="1"/>
  <c r="Z8" i="1"/>
  <c r="AB7" i="1"/>
  <c r="AA7" i="1"/>
  <c r="Z7" i="1"/>
  <c r="AB6" i="1"/>
  <c r="AA6" i="1"/>
  <c r="Z6" i="1"/>
  <c r="AB5" i="1"/>
  <c r="AA5" i="1"/>
  <c r="Z5" i="1"/>
  <c r="AB4" i="1"/>
  <c r="AA4" i="1"/>
  <c r="Z4" i="1"/>
  <c r="AB3" i="1"/>
  <c r="AA3" i="1"/>
  <c r="Z3" i="1"/>
  <c r="AB2" i="1"/>
  <c r="AA2" i="1"/>
  <c r="Z2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X3" i="1"/>
  <c r="X2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T4" i="1"/>
  <c r="S4" i="1"/>
  <c r="T3" i="1"/>
  <c r="S3" i="1"/>
  <c r="T2" i="1"/>
  <c r="S2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19" i="1"/>
  <c r="J19" i="1"/>
  <c r="N18" i="1"/>
  <c r="M18" i="1"/>
  <c r="L18" i="1"/>
  <c r="K18" i="1"/>
  <c r="J18" i="1"/>
  <c r="N17" i="1"/>
  <c r="M17" i="1"/>
  <c r="L17" i="1"/>
  <c r="K17" i="1"/>
  <c r="J17" i="1"/>
  <c r="N16" i="1"/>
  <c r="M16" i="1"/>
  <c r="L16" i="1"/>
  <c r="K16" i="1"/>
  <c r="J16" i="1"/>
  <c r="N15" i="1"/>
  <c r="M15" i="1"/>
  <c r="L15" i="1"/>
  <c r="K15" i="1"/>
  <c r="J15" i="1"/>
  <c r="N14" i="1"/>
  <c r="M14" i="1"/>
  <c r="L14" i="1"/>
  <c r="K14" i="1"/>
  <c r="J14" i="1"/>
  <c r="N13" i="1"/>
  <c r="M13" i="1"/>
  <c r="L13" i="1"/>
  <c r="K13" i="1"/>
  <c r="J13" i="1"/>
  <c r="N12" i="1"/>
  <c r="M12" i="1"/>
  <c r="L12" i="1"/>
  <c r="K12" i="1"/>
  <c r="J12" i="1"/>
  <c r="N11" i="1"/>
  <c r="M11" i="1"/>
  <c r="L11" i="1"/>
  <c r="K11" i="1"/>
  <c r="J11" i="1"/>
  <c r="N10" i="1"/>
  <c r="M10" i="1"/>
  <c r="L10" i="1"/>
  <c r="K10" i="1"/>
  <c r="J10" i="1"/>
  <c r="N9" i="1"/>
  <c r="M9" i="1"/>
  <c r="L9" i="1"/>
  <c r="K9" i="1"/>
  <c r="J9" i="1"/>
  <c r="N8" i="1"/>
  <c r="M8" i="1"/>
  <c r="L8" i="1"/>
  <c r="K8" i="1"/>
  <c r="J8" i="1"/>
  <c r="N7" i="1"/>
  <c r="M7" i="1"/>
  <c r="L7" i="1"/>
  <c r="K7" i="1"/>
  <c r="J7" i="1"/>
  <c r="N6" i="1"/>
  <c r="M6" i="1"/>
  <c r="L6" i="1"/>
  <c r="K6" i="1"/>
  <c r="J6" i="1"/>
  <c r="N5" i="1"/>
  <c r="M5" i="1"/>
  <c r="L5" i="1"/>
  <c r="K5" i="1"/>
  <c r="J5" i="1"/>
  <c r="N4" i="1"/>
  <c r="M4" i="1"/>
  <c r="L4" i="1"/>
  <c r="K4" i="1"/>
  <c r="J4" i="1"/>
  <c r="N3" i="1"/>
  <c r="M3" i="1"/>
  <c r="L3" i="1"/>
  <c r="K3" i="1"/>
  <c r="J3" i="1"/>
  <c r="N2" i="1"/>
  <c r="M2" i="1"/>
  <c r="L2" i="1"/>
  <c r="K2" i="1"/>
  <c r="J2" i="1"/>
  <c r="C1" i="6"/>
  <c r="A1" i="6"/>
  <c r="A38" i="1"/>
  <c r="A39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B1" i="6"/>
  <c r="W39" i="6"/>
  <c r="V39" i="6"/>
  <c r="U39" i="6"/>
  <c r="T39" i="6"/>
  <c r="S39" i="6"/>
  <c r="AD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D37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D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D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D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D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D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D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D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D29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D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D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D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AD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D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D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D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D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D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D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D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D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D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D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AD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D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D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D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D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D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D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D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D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D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C1" i="5"/>
  <c r="A1" i="5"/>
  <c r="A14" i="5"/>
  <c r="B1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G13" i="2"/>
  <c r="A13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B13" i="2"/>
  <c r="D13" i="2"/>
  <c r="E13" i="2"/>
  <c r="H13" i="2"/>
  <c r="D20" i="1"/>
  <c r="F20" i="1"/>
  <c r="E20" i="1"/>
  <c r="D33" i="1"/>
  <c r="F33" i="1"/>
  <c r="E33" i="1"/>
  <c r="S38" i="1"/>
  <c r="D38" i="1"/>
  <c r="F38" i="1"/>
  <c r="E38" i="1"/>
  <c r="D37" i="1"/>
  <c r="F37" i="1"/>
  <c r="E37" i="1"/>
  <c r="D36" i="1"/>
  <c r="F36" i="1"/>
  <c r="E36" i="1"/>
  <c r="D35" i="1"/>
  <c r="F35" i="1"/>
  <c r="E35" i="1"/>
  <c r="D34" i="1"/>
  <c r="F34" i="1"/>
  <c r="E34" i="1"/>
  <c r="D32" i="1"/>
  <c r="F32" i="1"/>
  <c r="E32" i="1"/>
  <c r="D31" i="1"/>
  <c r="F31" i="1"/>
  <c r="E31" i="1"/>
  <c r="D30" i="1"/>
  <c r="F30" i="1"/>
  <c r="E30" i="1"/>
  <c r="D29" i="1"/>
  <c r="F29" i="1"/>
  <c r="E29" i="1"/>
  <c r="D28" i="1"/>
  <c r="F28" i="1"/>
  <c r="E28" i="1"/>
  <c r="D27" i="1"/>
  <c r="F27" i="1"/>
  <c r="E27" i="1"/>
  <c r="D26" i="1"/>
  <c r="F26" i="1"/>
  <c r="E26" i="1"/>
  <c r="S25" i="1"/>
  <c r="D25" i="1"/>
  <c r="F25" i="1"/>
  <c r="E25" i="1"/>
  <c r="D24" i="1"/>
  <c r="F24" i="1"/>
  <c r="E24" i="1"/>
  <c r="D23" i="1"/>
  <c r="F23" i="1"/>
  <c r="E23" i="1"/>
  <c r="D22" i="1"/>
  <c r="F22" i="1"/>
  <c r="E22" i="1"/>
  <c r="D21" i="1"/>
  <c r="F21" i="1"/>
  <c r="E21" i="1"/>
  <c r="D19" i="1"/>
  <c r="F19" i="1"/>
  <c r="E19" i="1"/>
  <c r="D18" i="1"/>
  <c r="F18" i="1"/>
  <c r="E18" i="1"/>
  <c r="D17" i="1"/>
  <c r="F17" i="1"/>
  <c r="E17" i="1"/>
  <c r="D16" i="1"/>
  <c r="F16" i="1"/>
  <c r="E16" i="1"/>
  <c r="D15" i="1"/>
  <c r="F15" i="1"/>
  <c r="E15" i="1"/>
  <c r="S14" i="1"/>
  <c r="D14" i="1"/>
  <c r="F14" i="1"/>
  <c r="E14" i="1"/>
  <c r="D13" i="1"/>
  <c r="F13" i="1"/>
  <c r="E13" i="1"/>
  <c r="D12" i="1"/>
  <c r="F12" i="1"/>
  <c r="E12" i="1"/>
  <c r="D11" i="1"/>
  <c r="F11" i="1"/>
  <c r="E11" i="1"/>
  <c r="D10" i="1"/>
  <c r="F10" i="1"/>
  <c r="E10" i="1"/>
  <c r="D9" i="1"/>
  <c r="F9" i="1"/>
  <c r="E9" i="1"/>
  <c r="D8" i="1"/>
  <c r="F8" i="1"/>
  <c r="E8" i="1"/>
  <c r="D7" i="1"/>
  <c r="F7" i="1"/>
  <c r="E7" i="1"/>
  <c r="D6" i="1"/>
  <c r="F6" i="1"/>
  <c r="E6" i="1"/>
  <c r="D5" i="1"/>
  <c r="F5" i="1"/>
  <c r="E5" i="1"/>
  <c r="D4" i="1"/>
  <c r="F4" i="1"/>
  <c r="E4" i="1"/>
  <c r="D3" i="1"/>
  <c r="F3" i="1"/>
  <c r="E3" i="1"/>
  <c r="G12" i="2"/>
  <c r="H12" i="2"/>
  <c r="E12" i="2"/>
  <c r="D12" i="2"/>
  <c r="A12" i="2"/>
  <c r="B12" i="2"/>
  <c r="G11" i="2"/>
  <c r="H11" i="2"/>
  <c r="E11" i="2"/>
  <c r="D11" i="2"/>
  <c r="A11" i="2"/>
  <c r="B11" i="2"/>
  <c r="G10" i="2"/>
  <c r="H10" i="2"/>
  <c r="E10" i="2"/>
  <c r="D10" i="2"/>
  <c r="A10" i="2"/>
  <c r="B10" i="2"/>
  <c r="G6" i="2"/>
  <c r="A6" i="2"/>
  <c r="G9" i="2"/>
  <c r="H9" i="2"/>
  <c r="E9" i="2"/>
  <c r="D9" i="2"/>
  <c r="A9" i="2"/>
  <c r="B9" i="2"/>
  <c r="G8" i="2"/>
  <c r="H8" i="2"/>
  <c r="E8" i="2"/>
  <c r="D8" i="2"/>
  <c r="A8" i="2"/>
  <c r="B8" i="2"/>
  <c r="G7" i="2"/>
  <c r="H7" i="2"/>
  <c r="E7" i="2"/>
  <c r="D7" i="2"/>
  <c r="A7" i="2"/>
  <c r="B7" i="2"/>
  <c r="H6" i="2"/>
  <c r="E6" i="2"/>
  <c r="D6" i="2"/>
  <c r="B6" i="2"/>
  <c r="G5" i="2"/>
  <c r="H5" i="2"/>
  <c r="E5" i="2"/>
  <c r="D5" i="2"/>
  <c r="A5" i="2"/>
  <c r="B5" i="2"/>
  <c r="G4" i="2"/>
  <c r="H4" i="2"/>
  <c r="E4" i="2"/>
  <c r="D4" i="2"/>
  <c r="A4" i="2"/>
  <c r="B4" i="2"/>
  <c r="G3" i="2"/>
  <c r="H3" i="2"/>
  <c r="E3" i="2"/>
  <c r="D3" i="2"/>
  <c r="A3" i="2"/>
  <c r="B3" i="2"/>
  <c r="A3" i="6"/>
  <c r="I3" i="6"/>
  <c r="H3" i="6"/>
  <c r="G3" i="6"/>
  <c r="D2" i="1"/>
  <c r="F2" i="1"/>
  <c r="G2" i="2"/>
  <c r="H2" i="2"/>
  <c r="W3" i="6"/>
  <c r="V3" i="6"/>
  <c r="U3" i="6"/>
  <c r="T3" i="6"/>
  <c r="S3" i="6"/>
  <c r="AD2" i="1"/>
  <c r="A2" i="2"/>
  <c r="B2" i="2"/>
  <c r="E2" i="2"/>
  <c r="D2" i="2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<sst xmlns="http://schemas.openxmlformats.org/spreadsheetml/2006/main" count="76" uniqueCount="55">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</sst>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601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>
      <alignment vertical="center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" xfId="416" applyFont="1" applyFill="1" applyBorder="1" applyAlignment="1">
      <alignment horizontal="right" vertical="center"/>
    </xf>
    <xf numFmtId="0" fontId="2" fillId="0" borderId="7" xfId="416" applyFont="1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0" borderId="11" xfId="416" applyFont="1" applyFill="1" applyBorder="1" applyAlignment="1">
      <alignment horizontal="right" vertical="center"/>
    </xf>
    <xf numFmtId="0" fontId="4" fillId="5" borderId="11" xfId="0" applyFont="1" applyFill="1" applyBorder="1" applyAlignment="1">
      <alignment vertical="center"/>
    </xf>
    <xf numFmtId="0" fontId="6" fillId="0" borderId="12" xfId="0" applyFont="1" applyBorder="1" applyAlignment="1">
      <alignment vertical="center"/>
    </xf>
    <xf numFmtId="178" fontId="6" fillId="0" borderId="12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11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10" fillId="8" borderId="14" xfId="0" applyFont="1" applyFill="1" applyBorder="1" applyAlignment="1">
      <alignment vertical="center"/>
    </xf>
    <xf numFmtId="0" fontId="2" fillId="0" borderId="16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vertical="center"/>
    </xf>
    <xf numFmtId="0" fontId="2" fillId="10" borderId="16" xfId="0" applyFont="1" applyFill="1" applyBorder="1" applyAlignment="1">
      <alignment horizontal="center" vertical="center"/>
    </xf>
    <xf numFmtId="0" fontId="2" fillId="0" borderId="16" xfId="416" applyFont="1" applyFill="1" applyBorder="1" applyAlignment="1">
      <alignment horizontal="right" vertical="center"/>
    </xf>
    <xf numFmtId="0" fontId="4" fillId="5" borderId="17" xfId="0" applyFont="1" applyFill="1" applyBorder="1" applyAlignment="1">
      <alignment vertical="center"/>
    </xf>
    <xf numFmtId="0" fontId="4" fillId="5" borderId="16" xfId="0" applyFont="1" applyFill="1" applyBorder="1" applyAlignment="1">
      <alignment vertical="center"/>
    </xf>
    <xf numFmtId="0" fontId="6" fillId="0" borderId="18" xfId="0" applyFont="1" applyBorder="1" applyAlignment="1">
      <alignment vertical="center"/>
    </xf>
    <xf numFmtId="178" fontId="6" fillId="0" borderId="18" xfId="0" applyNumberFormat="1" applyFont="1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16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9" borderId="11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2" fillId="10" borderId="21" xfId="0" applyFont="1" applyFill="1" applyBorder="1" applyAlignment="1">
      <alignment horizontal="center" vertical="center"/>
    </xf>
    <xf numFmtId="0" fontId="2" fillId="0" borderId="21" xfId="416" applyFont="1" applyFill="1" applyBorder="1" applyAlignment="1">
      <alignment horizontal="right" vertical="center"/>
    </xf>
    <xf numFmtId="0" fontId="6" fillId="0" borderId="15" xfId="0" applyFont="1" applyBorder="1" applyAlignment="1">
      <alignment vertical="center"/>
    </xf>
    <xf numFmtId="178" fontId="6" fillId="0" borderId="15" xfId="0" applyNumberFormat="1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2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0" borderId="22" xfId="0" applyFont="1" applyBorder="1" applyAlignment="1">
      <alignment vertical="center"/>
    </xf>
    <xf numFmtId="0" fontId="4" fillId="11" borderId="15" xfId="0" applyFont="1" applyFill="1" applyBorder="1" applyAlignment="1">
      <alignment vertical="center"/>
    </xf>
    <xf numFmtId="0" fontId="2" fillId="12" borderId="1" xfId="0" applyFont="1" applyFill="1" applyBorder="1" applyAlignment="1">
      <alignment horizontal="center" vertical="center"/>
    </xf>
    <xf numFmtId="0" fontId="2" fillId="12" borderId="11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vertical="center"/>
    </xf>
    <xf numFmtId="0" fontId="4" fillId="5" borderId="24" xfId="0" applyFont="1" applyFill="1" applyBorder="1" applyAlignment="1">
      <alignment vertical="center"/>
    </xf>
  </cellXfs>
  <cellStyles count="601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標準" xfId="0" builtinId="0"/>
    <cellStyle name="標準 2 2" xfId="416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S13"/>
  <sheetViews>
    <sheetView showGridLines="0" workbookViewId="0">
      <pane ySplit="1" topLeftCell="A2" activePane="bottomLeft" state="frozen"/>
      <selection activeCell="V2" sqref="V2:X34"/>
      <selection pane="bottomLeft" activeCell="M12" sqref="M12"/>
    </sheetView>
  </sheetViews>
  <sheetFormatPr baseColWidth="12" defaultColWidth="13" defaultRowHeight="21" customHeight="1" outlineLevelCol="1" x14ac:dyDescent="0.15"/>
  <cols>
    <col min="1" max="1" width="8.83203125" style="25" bestFit="1" customWidth="1"/>
    <col min="2" max="2" width="5" style="25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5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9" ht="21" customHeight="1" x14ac:dyDescent="0.15">
      <c r="A1" s="20" t="s">
        <v>31</v>
      </c>
      <c r="B1" s="20" t="s">
        <v>38</v>
      </c>
      <c r="C1" s="1" t="s">
        <v>0</v>
      </c>
      <c r="D1" s="2" t="s">
        <v>18</v>
      </c>
      <c r="E1" s="19" t="s">
        <v>35</v>
      </c>
      <c r="F1" s="1" t="s">
        <v>1</v>
      </c>
      <c r="G1" s="28" t="s">
        <v>34</v>
      </c>
      <c r="H1" s="19" t="s">
        <v>36</v>
      </c>
      <c r="I1" s="1" t="s">
        <v>13</v>
      </c>
      <c r="J1" s="1" t="s">
        <v>14</v>
      </c>
      <c r="K1" s="1" t="s">
        <v>15</v>
      </c>
    </row>
    <row r="2" spans="1:19" ht="21" customHeight="1" x14ac:dyDescent="0.15">
      <c r="A2" s="20" t="str">
        <f ca="1">G2&amp;"-"&amp;I2</f>
        <v>20008_1-1</v>
      </c>
      <c r="B2" s="20" t="str">
        <f ca="1">IF(COUNTIF(enemy_habitats_drop_2_4!$H:$H,A2),"OK","NG")</f>
        <v>OK</v>
      </c>
      <c r="C2" s="7">
        <v>20008</v>
      </c>
      <c r="D2" s="11" t="str">
        <f ca="1">VLOOKUP($C2,OFFSET([1]quests!$A$1,0,0,COUNTA([1]quests!$A:$A),MATCH(D$1,[1]quests!$1:$1,0)-MATCH($C$1,[1]quests!$1:$1,0)+1),MATCH(D$1,[1]quests!$1:$1,0)-MATCH($C$1,[1]quests!$1:$1,0)+1,FALSE)</f>
        <v>天翔ける金轟機龍</v>
      </c>
      <c r="E2" s="24" t="str">
        <f ca="1">VLOOKUP($C2,OFFSET([1]quests!$A$1,0,0,COUNTA([1]quests!$A:$A),MATCH(E$1,[1]quests!$1:$1,0)-MATCH($C$1,[1]quests!$1:$1,0)+1),MATCH(E$1,[1]quests!$1:$1,0)-MATCH($C$1,[1]quests!$1:$1,0)+1,FALSE)</f>
        <v>ドロップイベント2-4</v>
      </c>
      <c r="F2" s="26">
        <v>1</v>
      </c>
      <c r="G2" s="28" t="str">
        <f ca="1">C2&amp;"_"&amp;F2</f>
        <v>20008_1</v>
      </c>
      <c r="H2" s="19" t="str">
        <f ca="1">VLOOKUP($G2,OFFSET([1]stages!$A$1,0,0,COUNTA([1]stages!$A:$A),MATCH(H$1,[1]stages!$2:$2,0)-MATCH($G$1,[1]stages!$2:$2,0)+1),MATCH(H$1,[1]stages!$2:$2,0)-MATCH($G$1,[1]stages!$2:$2,0)+1,FALSE)</f>
        <v>【初級】天翔ける金轟機龍</v>
      </c>
      <c r="I2" s="26">
        <v>1</v>
      </c>
      <c r="J2" s="12">
        <v>30</v>
      </c>
      <c r="K2" s="12">
        <v>30</v>
      </c>
    </row>
    <row r="3" spans="1:19" ht="21" customHeight="1" x14ac:dyDescent="0.15">
      <c r="A3" s="20" t="str">
        <f t="shared" ref="A3:A6" ca="1" si="0">G3&amp;"-"&amp;I3</f>
        <v>20008_1-2</v>
      </c>
      <c r="B3" s="20" t="str">
        <f ca="1">IF(COUNTIF(enemy_habitats_drop_2_4!$H:$H,A3),"OK","NG")</f>
        <v>OK</v>
      </c>
      <c r="C3" s="7">
        <v>20008</v>
      </c>
      <c r="D3" s="11" t="str">
        <f ca="1">VLOOKUP($C3,OFFSET([1]quests!$A$1,0,0,COUNTA([1]quests!$A:$A),MATCH(D$1,[1]quests!$1:$1,0)-MATCH($C$1,[1]quests!$1:$1,0)+1),MATCH(D$1,[1]quests!$1:$1,0)-MATCH($C$1,[1]quests!$1:$1,0)+1,FALSE)</f>
        <v>天翔ける金轟機龍</v>
      </c>
      <c r="E3" s="24" t="str">
        <f ca="1">VLOOKUP($C3,OFFSET([1]quests!$A$1,0,0,COUNTA([1]quests!$A:$A),MATCH(E$1,[1]quests!$1:$1,0)-MATCH($C$1,[1]quests!$1:$1,0)+1),MATCH(E$1,[1]quests!$1:$1,0)-MATCH($C$1,[1]quests!$1:$1,0)+1,FALSE)</f>
        <v>ドロップイベント2-4</v>
      </c>
      <c r="F3" s="26">
        <v>1</v>
      </c>
      <c r="G3" s="28" t="str">
        <f t="shared" ref="G3:G5" ca="1" si="1">C3&amp;"_"&amp;F3</f>
        <v>20008_1</v>
      </c>
      <c r="H3" s="19" t="str">
        <f ca="1">VLOOKUP($G3,OFFSET([1]stages!$A$1,0,0,COUNTA([1]stages!$A:$A),MATCH(H$1,[1]stages!$2:$2,0)-MATCH($G$1,[1]stages!$2:$2,0)+1),MATCH(H$1,[1]stages!$2:$2,0)-MATCH($G$1,[1]stages!$2:$2,0)+1,FALSE)</f>
        <v>【初級】天翔ける金轟機龍</v>
      </c>
      <c r="I3" s="26">
        <v>2</v>
      </c>
      <c r="J3" s="12">
        <v>45</v>
      </c>
      <c r="K3" s="12">
        <v>45</v>
      </c>
    </row>
    <row r="4" spans="1:19" ht="21" customHeight="1" x14ac:dyDescent="0.15">
      <c r="A4" s="20" t="str">
        <f t="shared" ca="1" si="0"/>
        <v>20008_1-3</v>
      </c>
      <c r="B4" s="20" t="str">
        <f ca="1">IF(COUNTIF(enemy_habitats_drop_2_4!$H:$H,A4),"OK","NG")</f>
        <v>OK</v>
      </c>
      <c r="C4" s="7">
        <v>20008</v>
      </c>
      <c r="D4" s="11" t="str">
        <f ca="1">VLOOKUP($C4,OFFSET([1]quests!$A$1,0,0,COUNTA([1]quests!$A:$A),MATCH(D$1,[1]quests!$1:$1,0)-MATCH($C$1,[1]quests!$1:$1,0)+1),MATCH(D$1,[1]quests!$1:$1,0)-MATCH($C$1,[1]quests!$1:$1,0)+1,FALSE)</f>
        <v>天翔ける金轟機龍</v>
      </c>
      <c r="E4" s="24" t="str">
        <f ca="1">VLOOKUP($C4,OFFSET([1]quests!$A$1,0,0,COUNTA([1]quests!$A:$A),MATCH(E$1,[1]quests!$1:$1,0)-MATCH($C$1,[1]quests!$1:$1,0)+1),MATCH(E$1,[1]quests!$1:$1,0)-MATCH($C$1,[1]quests!$1:$1,0)+1,FALSE)</f>
        <v>ドロップイベント2-4</v>
      </c>
      <c r="F4" s="26">
        <v>1</v>
      </c>
      <c r="G4" s="28" t="str">
        <f t="shared" ca="1" si="1"/>
        <v>20008_1</v>
      </c>
      <c r="H4" s="19" t="str">
        <f ca="1">VLOOKUP($G4,OFFSET([1]stages!$A$1,0,0,COUNTA([1]stages!$A:$A),MATCH(H$1,[1]stages!$2:$2,0)-MATCH($G$1,[1]stages!$2:$2,0)+1),MATCH(H$1,[1]stages!$2:$2,0)-MATCH($G$1,[1]stages!$2:$2,0)+1,FALSE)</f>
        <v>【初級】天翔ける金轟機龍</v>
      </c>
      <c r="I4" s="26">
        <v>3</v>
      </c>
      <c r="J4" s="12">
        <v>45</v>
      </c>
      <c r="K4" s="12">
        <v>45</v>
      </c>
    </row>
    <row r="5" spans="1:19" ht="21" customHeight="1" x14ac:dyDescent="0.15">
      <c r="A5" s="20" t="str">
        <f t="shared" ca="1" si="0"/>
        <v>20008_1-4</v>
      </c>
      <c r="B5" s="20" t="str">
        <f ca="1">IF(COUNTIF(enemy_habitats_drop_2_4!$H:$H,A5),"OK","NG")</f>
        <v>OK</v>
      </c>
      <c r="C5" s="7">
        <v>20008</v>
      </c>
      <c r="D5" s="11" t="str">
        <f ca="1">VLOOKUP($C5,OFFSET([1]quests!$A$1,0,0,COUNTA([1]quests!$A:$A),MATCH(D$1,[1]quests!$1:$1,0)-MATCH($C$1,[1]quests!$1:$1,0)+1),MATCH(D$1,[1]quests!$1:$1,0)-MATCH($C$1,[1]quests!$1:$1,0)+1,FALSE)</f>
        <v>天翔ける金轟機龍</v>
      </c>
      <c r="E5" s="24" t="str">
        <f ca="1">VLOOKUP($C5,OFFSET([1]quests!$A$1,0,0,COUNTA([1]quests!$A:$A),MATCH(E$1,[1]quests!$1:$1,0)-MATCH($C$1,[1]quests!$1:$1,0)+1),MATCH(E$1,[1]quests!$1:$1,0)-MATCH($C$1,[1]quests!$1:$1,0)+1,FALSE)</f>
        <v>ドロップイベント2-4</v>
      </c>
      <c r="F5" s="26">
        <v>1</v>
      </c>
      <c r="G5" s="28" t="str">
        <f t="shared" ca="1" si="1"/>
        <v>20008_1</v>
      </c>
      <c r="H5" s="19" t="str">
        <f ca="1">VLOOKUP($G5,OFFSET([1]stages!$A$1,0,0,COUNTA([1]stages!$A:$A),MATCH(H$1,[1]stages!$2:$2,0)-MATCH($G$1,[1]stages!$2:$2,0)+1),MATCH(H$1,[1]stages!$2:$2,0)-MATCH($G$1,[1]stages!$2:$2,0)+1,FALSE)</f>
        <v>【初級】天翔ける金轟機龍</v>
      </c>
      <c r="I5" s="26">
        <v>4</v>
      </c>
      <c r="J5" s="12">
        <v>20</v>
      </c>
      <c r="K5" s="12">
        <v>20</v>
      </c>
    </row>
    <row r="6" spans="1:19" ht="21" customHeight="1" x14ac:dyDescent="0.15">
      <c r="A6" s="20" t="str">
        <f t="shared" ca="1" si="0"/>
        <v>20008_2-1</v>
      </c>
      <c r="B6" s="20" t="str">
        <f ca="1">IF(COUNTIF(enemy_habitats_drop_2_4!$H:$H,A6),"OK","NG")</f>
        <v>OK</v>
      </c>
      <c r="C6" s="7">
        <v>20008</v>
      </c>
      <c r="D6" s="11" t="str">
        <f ca="1">VLOOKUP($C6,OFFSET([1]quests!$A$1,0,0,COUNTA([1]quests!$A:$A),MATCH(D$1,[1]quests!$1:$1,0)-MATCH($C$1,[1]quests!$1:$1,0)+1),MATCH(D$1,[1]quests!$1:$1,0)-MATCH($C$1,[1]quests!$1:$1,0)+1,FALSE)</f>
        <v>天翔ける金轟機龍</v>
      </c>
      <c r="E6" s="24" t="str">
        <f ca="1">VLOOKUP($C6,OFFSET([1]quests!$A$1,0,0,COUNTA([1]quests!$A:$A),MATCH(E$1,[1]quests!$1:$1,0)-MATCH($C$1,[1]quests!$1:$1,0)+1),MATCH(E$1,[1]quests!$1:$1,0)-MATCH($C$1,[1]quests!$1:$1,0)+1,FALSE)</f>
        <v>ドロップイベント2-4</v>
      </c>
      <c r="F6" s="26">
        <v>2</v>
      </c>
      <c r="G6" s="28" t="str">
        <f ca="1">C6&amp;"_"&amp;F6</f>
        <v>20008_2</v>
      </c>
      <c r="H6" s="19" t="str">
        <f ca="1">VLOOKUP($G6,OFFSET([1]stages!$A$1,0,0,COUNTA([1]stages!$A:$A),MATCH(H$1,[1]stages!$2:$2,0)-MATCH($G$1,[1]stages!$2:$2,0)+1),MATCH(H$1,[1]stages!$2:$2,0)-MATCH($G$1,[1]stages!$2:$2,0)+1,FALSE)</f>
        <v>【中級】天翔ける金轟機龍</v>
      </c>
      <c r="I6" s="26">
        <v>1</v>
      </c>
      <c r="J6" s="12">
        <v>30</v>
      </c>
      <c r="K6" s="12">
        <v>30</v>
      </c>
    </row>
    <row r="7" spans="1:19" ht="21" customHeight="1" x14ac:dyDescent="0.15">
      <c r="A7" s="20" t="str">
        <f t="shared" ref="A7:A10" ca="1" si="2">G7&amp;"-"&amp;I7</f>
        <v>20008_2-2</v>
      </c>
      <c r="B7" s="20" t="str">
        <f ca="1">IF(COUNTIF(enemy_habitats_drop_2_4!$H:$H,A7),"OK","NG")</f>
        <v>OK</v>
      </c>
      <c r="C7" s="7">
        <v>20008</v>
      </c>
      <c r="D7" s="11" t="str">
        <f ca="1">VLOOKUP($C7,OFFSET([1]quests!$A$1,0,0,COUNTA([1]quests!$A:$A),MATCH(D$1,[1]quests!$1:$1,0)-MATCH($C$1,[1]quests!$1:$1,0)+1),MATCH(D$1,[1]quests!$1:$1,0)-MATCH($C$1,[1]quests!$1:$1,0)+1,FALSE)</f>
        <v>天翔ける金轟機龍</v>
      </c>
      <c r="E7" s="24" t="str">
        <f ca="1">VLOOKUP($C7,OFFSET([1]quests!$A$1,0,0,COUNTA([1]quests!$A:$A),MATCH(E$1,[1]quests!$1:$1,0)-MATCH($C$1,[1]quests!$1:$1,0)+1),MATCH(E$1,[1]quests!$1:$1,0)-MATCH($C$1,[1]quests!$1:$1,0)+1,FALSE)</f>
        <v>ドロップイベント2-4</v>
      </c>
      <c r="F7" s="26">
        <v>2</v>
      </c>
      <c r="G7" s="28" t="str">
        <f t="shared" ref="G7:G9" ca="1" si="3">C7&amp;"_"&amp;F7</f>
        <v>20008_2</v>
      </c>
      <c r="H7" s="19" t="str">
        <f ca="1">VLOOKUP($G7,OFFSET([1]stages!$A$1,0,0,COUNTA([1]stages!$A:$A),MATCH(H$1,[1]stages!$2:$2,0)-MATCH($G$1,[1]stages!$2:$2,0)+1),MATCH(H$1,[1]stages!$2:$2,0)-MATCH($G$1,[1]stages!$2:$2,0)+1,FALSE)</f>
        <v>【中級】天翔ける金轟機龍</v>
      </c>
      <c r="I7" s="26">
        <v>2</v>
      </c>
      <c r="J7" s="12">
        <v>55</v>
      </c>
      <c r="K7" s="12">
        <v>55</v>
      </c>
    </row>
    <row r="8" spans="1:19" ht="21" customHeight="1" x14ac:dyDescent="0.15">
      <c r="A8" s="20" t="str">
        <f t="shared" ca="1" si="2"/>
        <v>20008_2-3</v>
      </c>
      <c r="B8" s="20" t="str">
        <f ca="1">IF(COUNTIF(enemy_habitats_drop_2_4!$H:$H,A8),"OK","NG")</f>
        <v>OK</v>
      </c>
      <c r="C8" s="7">
        <v>20008</v>
      </c>
      <c r="D8" s="11" t="str">
        <f ca="1">VLOOKUP($C8,OFFSET([1]quests!$A$1,0,0,COUNTA([1]quests!$A:$A),MATCH(D$1,[1]quests!$1:$1,0)-MATCH($C$1,[1]quests!$1:$1,0)+1),MATCH(D$1,[1]quests!$1:$1,0)-MATCH($C$1,[1]quests!$1:$1,0)+1,FALSE)</f>
        <v>天翔ける金轟機龍</v>
      </c>
      <c r="E8" s="24" t="str">
        <f ca="1">VLOOKUP($C8,OFFSET([1]quests!$A$1,0,0,COUNTA([1]quests!$A:$A),MATCH(E$1,[1]quests!$1:$1,0)-MATCH($C$1,[1]quests!$1:$1,0)+1),MATCH(E$1,[1]quests!$1:$1,0)-MATCH($C$1,[1]quests!$1:$1,0)+1,FALSE)</f>
        <v>ドロップイベント2-4</v>
      </c>
      <c r="F8" s="26">
        <v>2</v>
      </c>
      <c r="G8" s="28" t="str">
        <f t="shared" ca="1" si="3"/>
        <v>20008_2</v>
      </c>
      <c r="H8" s="19" t="str">
        <f ca="1">VLOOKUP($G8,OFFSET([1]stages!$A$1,0,0,COUNTA([1]stages!$A:$A),MATCH(H$1,[1]stages!$2:$2,0)-MATCH($G$1,[1]stages!$2:$2,0)+1),MATCH(H$1,[1]stages!$2:$2,0)-MATCH($G$1,[1]stages!$2:$2,0)+1,FALSE)</f>
        <v>【中級】天翔ける金轟機龍</v>
      </c>
      <c r="I8" s="26">
        <v>3</v>
      </c>
      <c r="J8" s="12">
        <v>45</v>
      </c>
      <c r="K8" s="12">
        <v>45</v>
      </c>
      <c r="S8" s="3">
        <v>3</v>
      </c>
    </row>
    <row r="9" spans="1:19" ht="21" customHeight="1" x14ac:dyDescent="0.15">
      <c r="A9" s="20" t="str">
        <f t="shared" ca="1" si="2"/>
        <v>20008_2-4</v>
      </c>
      <c r="B9" s="20" t="str">
        <f ca="1">IF(COUNTIF(enemy_habitats_drop_2_4!$H:$H,A9),"OK","NG")</f>
        <v>OK</v>
      </c>
      <c r="C9" s="7">
        <v>20008</v>
      </c>
      <c r="D9" s="11" t="str">
        <f ca="1">VLOOKUP($C9,OFFSET([1]quests!$A$1,0,0,COUNTA([1]quests!$A:$A),MATCH(D$1,[1]quests!$1:$1,0)-MATCH($C$1,[1]quests!$1:$1,0)+1),MATCH(D$1,[1]quests!$1:$1,0)-MATCH($C$1,[1]quests!$1:$1,0)+1,FALSE)</f>
        <v>天翔ける金轟機龍</v>
      </c>
      <c r="E9" s="24" t="str">
        <f ca="1">VLOOKUP($C9,OFFSET([1]quests!$A$1,0,0,COUNTA([1]quests!$A:$A),MATCH(E$1,[1]quests!$1:$1,0)-MATCH($C$1,[1]quests!$1:$1,0)+1),MATCH(E$1,[1]quests!$1:$1,0)-MATCH($C$1,[1]quests!$1:$1,0)+1,FALSE)</f>
        <v>ドロップイベント2-4</v>
      </c>
      <c r="F9" s="26">
        <v>2</v>
      </c>
      <c r="G9" s="28" t="str">
        <f t="shared" ca="1" si="3"/>
        <v>20008_2</v>
      </c>
      <c r="H9" s="19" t="str">
        <f ca="1">VLOOKUP($G9,OFFSET([1]stages!$A$1,0,0,COUNTA([1]stages!$A:$A),MATCH(H$1,[1]stages!$2:$2,0)-MATCH($G$1,[1]stages!$2:$2,0)+1),MATCH(H$1,[1]stages!$2:$2,0)-MATCH($G$1,[1]stages!$2:$2,0)+1,FALSE)</f>
        <v>【中級】天翔ける金轟機龍</v>
      </c>
      <c r="I9" s="26">
        <v>4</v>
      </c>
      <c r="J9" s="12">
        <v>20</v>
      </c>
      <c r="K9" s="12">
        <v>20</v>
      </c>
    </row>
    <row r="10" spans="1:19" ht="21" customHeight="1" x14ac:dyDescent="0.15">
      <c r="A10" s="20" t="str">
        <f t="shared" ca="1" si="2"/>
        <v>20008_3-1</v>
      </c>
      <c r="B10" s="20" t="str">
        <f ca="1">IF(COUNTIF(enemy_habitats_drop_2_4!$H:$H,A10),"OK","NG")</f>
        <v>OK</v>
      </c>
      <c r="C10" s="7">
        <v>20008</v>
      </c>
      <c r="D10" s="11" t="str">
        <f ca="1">VLOOKUP($C10,OFFSET([1]quests!$A$1,0,0,COUNTA([1]quests!$A:$A),MATCH(D$1,[1]quests!$1:$1,0)-MATCH($C$1,[1]quests!$1:$1,0)+1),MATCH(D$1,[1]quests!$1:$1,0)-MATCH($C$1,[1]quests!$1:$1,0)+1,FALSE)</f>
        <v>天翔ける金轟機龍</v>
      </c>
      <c r="E10" s="24" t="str">
        <f ca="1">VLOOKUP($C10,OFFSET([1]quests!$A$1,0,0,COUNTA([1]quests!$A:$A),MATCH(E$1,[1]quests!$1:$1,0)-MATCH($C$1,[1]quests!$1:$1,0)+1),MATCH(E$1,[1]quests!$1:$1,0)-MATCH($C$1,[1]quests!$1:$1,0)+1,FALSE)</f>
        <v>ドロップイベント2-4</v>
      </c>
      <c r="F10" s="26">
        <v>3</v>
      </c>
      <c r="G10" s="28" t="str">
        <f ca="1">C10&amp;"_"&amp;F10</f>
        <v>20008_3</v>
      </c>
      <c r="H10" s="19" t="str">
        <f ca="1">VLOOKUP($G10,OFFSET([1]stages!$A$1,0,0,COUNTA([1]stages!$A:$A),MATCH(H$1,[1]stages!$2:$2,0)-MATCH($G$1,[1]stages!$2:$2,0)+1),MATCH(H$1,[1]stages!$2:$2,0)-MATCH($G$1,[1]stages!$2:$2,0)+1,FALSE)</f>
        <v>【上級】天翔ける金轟機龍</v>
      </c>
      <c r="I10" s="26">
        <v>1</v>
      </c>
      <c r="J10" s="12">
        <v>30</v>
      </c>
      <c r="K10" s="12">
        <v>30</v>
      </c>
    </row>
    <row r="11" spans="1:19" ht="21" customHeight="1" x14ac:dyDescent="0.15">
      <c r="A11" s="20" t="str">
        <f t="shared" ref="A11:A13" ca="1" si="4">G11&amp;"-"&amp;I11</f>
        <v>20008_3-2</v>
      </c>
      <c r="B11" s="20" t="str">
        <f ca="1">IF(COUNTIF(enemy_habitats_drop_2_4!$H:$H,A11),"OK","NG")</f>
        <v>OK</v>
      </c>
      <c r="C11" s="7">
        <v>20008</v>
      </c>
      <c r="D11" s="11" t="str">
        <f ca="1">VLOOKUP($C11,OFFSET([1]quests!$A$1,0,0,COUNTA([1]quests!$A:$A),MATCH(D$1,[1]quests!$1:$1,0)-MATCH($C$1,[1]quests!$1:$1,0)+1),MATCH(D$1,[1]quests!$1:$1,0)-MATCH($C$1,[1]quests!$1:$1,0)+1,FALSE)</f>
        <v>天翔ける金轟機龍</v>
      </c>
      <c r="E11" s="24" t="str">
        <f ca="1">VLOOKUP($C11,OFFSET([1]quests!$A$1,0,0,COUNTA([1]quests!$A:$A),MATCH(E$1,[1]quests!$1:$1,0)-MATCH($C$1,[1]quests!$1:$1,0)+1),MATCH(E$1,[1]quests!$1:$1,0)-MATCH($C$1,[1]quests!$1:$1,0)+1,FALSE)</f>
        <v>ドロップイベント2-4</v>
      </c>
      <c r="F11" s="26">
        <v>3</v>
      </c>
      <c r="G11" s="28" t="str">
        <f t="shared" ref="G11:G13" ca="1" si="5">C11&amp;"_"&amp;F11</f>
        <v>20008_3</v>
      </c>
      <c r="H11" s="19" t="str">
        <f ca="1">VLOOKUP($G11,OFFSET([1]stages!$A$1,0,0,COUNTA([1]stages!$A:$A),MATCH(H$1,[1]stages!$2:$2,0)-MATCH($G$1,[1]stages!$2:$2,0)+1),MATCH(H$1,[1]stages!$2:$2,0)-MATCH($G$1,[1]stages!$2:$2,0)+1,FALSE)</f>
        <v>【上級】天翔ける金轟機龍</v>
      </c>
      <c r="I11" s="26">
        <v>2</v>
      </c>
      <c r="J11" s="12">
        <v>55</v>
      </c>
      <c r="K11" s="12">
        <v>55</v>
      </c>
    </row>
    <row r="12" spans="1:19" ht="21" customHeight="1" x14ac:dyDescent="0.15">
      <c r="A12" s="20" t="str">
        <f t="shared" ca="1" si="4"/>
        <v>20008_3-3</v>
      </c>
      <c r="B12" s="20" t="str">
        <f ca="1">IF(COUNTIF(enemy_habitats_drop_2_4!$H:$H,A12),"OK","NG")</f>
        <v>OK</v>
      </c>
      <c r="C12" s="7">
        <v>20008</v>
      </c>
      <c r="D12" s="11" t="str">
        <f ca="1">VLOOKUP($C12,OFFSET([1]quests!$A$1,0,0,COUNTA([1]quests!$A:$A),MATCH(D$1,[1]quests!$1:$1,0)-MATCH($C$1,[1]quests!$1:$1,0)+1),MATCH(D$1,[1]quests!$1:$1,0)-MATCH($C$1,[1]quests!$1:$1,0)+1,FALSE)</f>
        <v>天翔ける金轟機龍</v>
      </c>
      <c r="E12" s="24" t="str">
        <f ca="1">VLOOKUP($C12,OFFSET([1]quests!$A$1,0,0,COUNTA([1]quests!$A:$A),MATCH(E$1,[1]quests!$1:$1,0)-MATCH($C$1,[1]quests!$1:$1,0)+1),MATCH(E$1,[1]quests!$1:$1,0)-MATCH($C$1,[1]quests!$1:$1,0)+1,FALSE)</f>
        <v>ドロップイベント2-4</v>
      </c>
      <c r="F12" s="26">
        <v>3</v>
      </c>
      <c r="G12" s="28" t="str">
        <f t="shared" ca="1" si="5"/>
        <v>20008_3</v>
      </c>
      <c r="H12" s="19" t="str">
        <f ca="1">VLOOKUP($G12,OFFSET([1]stages!$A$1,0,0,COUNTA([1]stages!$A:$A),MATCH(H$1,[1]stages!$2:$2,0)-MATCH($G$1,[1]stages!$2:$2,0)+1),MATCH(H$1,[1]stages!$2:$2,0)-MATCH($G$1,[1]stages!$2:$2,0)+1,FALSE)</f>
        <v>【上級】天翔ける金轟機龍</v>
      </c>
      <c r="I12" s="26">
        <v>3</v>
      </c>
      <c r="J12" s="12">
        <v>45</v>
      </c>
      <c r="K12" s="12">
        <v>45</v>
      </c>
    </row>
    <row r="13" spans="1:19" ht="21" customHeight="1" x14ac:dyDescent="0.15">
      <c r="A13" s="20" t="str">
        <f t="shared" ca="1" si="4"/>
        <v>20008_3-4</v>
      </c>
      <c r="B13" s="20" t="str">
        <f ca="1">IF(COUNTIF(enemy_habitats_drop_2_4!$H:$H,A13),"OK","NG")</f>
        <v>OK</v>
      </c>
      <c r="C13" s="7">
        <v>20008</v>
      </c>
      <c r="D13" s="11" t="str">
        <f ca="1">VLOOKUP($C13,OFFSET([1]quests!$A$1,0,0,COUNTA([1]quests!$A:$A),MATCH(D$1,[1]quests!$1:$1,0)-MATCH($C$1,[1]quests!$1:$1,0)+1),MATCH(D$1,[1]quests!$1:$1,0)-MATCH($C$1,[1]quests!$1:$1,0)+1,FALSE)</f>
        <v>天翔ける金轟機龍</v>
      </c>
      <c r="E13" s="24" t="str">
        <f ca="1">VLOOKUP($C13,OFFSET([1]quests!$A$1,0,0,COUNTA([1]quests!$A:$A),MATCH(E$1,[1]quests!$1:$1,0)-MATCH($C$1,[1]quests!$1:$1,0)+1),MATCH(E$1,[1]quests!$1:$1,0)-MATCH($C$1,[1]quests!$1:$1,0)+1,FALSE)</f>
        <v>ドロップイベント2-4</v>
      </c>
      <c r="F13" s="26">
        <v>3</v>
      </c>
      <c r="G13" s="28" t="str">
        <f t="shared" ca="1" si="5"/>
        <v>20008_3</v>
      </c>
      <c r="H13" s="19" t="str">
        <f ca="1">VLOOKUP($G13,OFFSET([1]stages!$A$1,0,0,COUNTA([1]stages!$A:$A),MATCH(H$1,[1]stages!$2:$2,0)-MATCH($G$1,[1]stages!$2:$2,0)+1),MATCH(H$1,[1]stages!$2:$2,0)-MATCH($G$1,[1]stages!$2:$2,0)+1,FALSE)</f>
        <v>【上級】天翔ける金轟機龍</v>
      </c>
      <c r="I13" s="26">
        <v>4</v>
      </c>
      <c r="J13" s="12">
        <v>30</v>
      </c>
      <c r="K13" s="12">
        <v>30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38"/>
  <sheetViews>
    <sheetView showGridLines="0" zoomScale="75" zoomScaleNormal="75" zoomScalePageLayoutView="75" workbookViewId="0">
      <pane xSplit="14" ySplit="1" topLeftCell="O3" activePane="bottomRight" state="frozen"/>
      <selection pane="topRight" activeCell="N1" sqref="N1"/>
      <selection pane="bottomLeft" activeCell="A2" sqref="A2"/>
      <selection pane="bottomRight" activeCell="AE26" sqref="AE26"/>
    </sheetView>
  </sheetViews>
  <sheetFormatPr baseColWidth="12" defaultColWidth="13" defaultRowHeight="21" customHeight="1" outlineLevelCol="1" x14ac:dyDescent="0.15"/>
  <cols>
    <col min="1" max="1" width="12.5" style="25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8" width="12.33203125" style="3" bestFit="1" customWidth="1" outlineLevel="1"/>
    <col min="9" max="9" width="13.5" style="9" bestFit="1" customWidth="1"/>
    <col min="10" max="10" width="9.33203125" style="3" customWidth="1" outlineLevel="1"/>
    <col min="11" max="11" width="8.6640625" style="3" bestFit="1" customWidth="1" outlineLevel="1"/>
    <col min="12" max="12" width="12" style="3" bestFit="1" customWidth="1" outlineLevel="1"/>
    <col min="13" max="13" width="21" style="3" bestFit="1" customWidth="1" outlineLevel="1"/>
    <col min="14" max="14" width="8" style="3" bestFit="1" customWidth="1" outlineLevel="1"/>
    <col min="15" max="15" width="8.33203125" style="3" bestFit="1" customWidth="1"/>
    <col min="16" max="16" width="14.83203125" style="3" bestFit="1" customWidth="1"/>
    <col min="17" max="17" width="17.5" style="3" bestFit="1" customWidth="1"/>
    <col min="18" max="18" width="18.33203125" style="3" bestFit="1" customWidth="1"/>
    <col min="19" max="19" width="10" style="3" bestFit="1" customWidth="1"/>
    <col min="20" max="20" width="12.1640625" style="3" bestFit="1" customWidth="1" outlineLevel="1"/>
    <col min="21" max="21" width="11.33203125" style="3" bestFit="1" customWidth="1"/>
    <col min="22" max="22" width="11.6640625" style="3" bestFit="1" customWidth="1"/>
    <col min="23" max="23" width="10.6640625" style="3" bestFit="1" customWidth="1"/>
    <col min="24" max="24" width="9.33203125" style="3" bestFit="1" customWidth="1"/>
    <col min="25" max="25" width="13" style="3" bestFit="1" customWidth="1"/>
    <col min="26" max="26" width="8.83203125" style="13" bestFit="1" customWidth="1" outlineLevel="1"/>
    <col min="27" max="27" width="8" style="14" bestFit="1" customWidth="1" outlineLevel="1"/>
    <col min="28" max="28" width="12" style="14" bestFit="1" customWidth="1" outlineLevel="1"/>
    <col min="29" max="29" width="15" style="10" bestFit="1" customWidth="1" collapsed="1"/>
    <col min="30" max="31" width="14.83203125" style="3" bestFit="1" customWidth="1"/>
    <col min="32" max="32" width="6.6640625" style="3" bestFit="1" customWidth="1"/>
    <col min="33" max="33" width="9.33203125" style="3" bestFit="1" customWidth="1"/>
    <col min="34" max="34" width="10.33203125" style="3" bestFit="1" customWidth="1"/>
    <col min="35" max="35" width="7.6640625" style="3" bestFit="1" customWidth="1"/>
    <col min="36" max="36" width="4" style="3" bestFit="1" customWidth="1"/>
    <col min="37" max="16384" width="13" style="3"/>
  </cols>
  <sheetData>
    <row r="1" spans="1:36" s="40" customFormat="1" ht="21" customHeight="1" x14ac:dyDescent="0.15">
      <c r="A1" s="32" t="s">
        <v>29</v>
      </c>
      <c r="B1" s="33" t="s">
        <v>0</v>
      </c>
      <c r="C1" s="33" t="s">
        <v>1</v>
      </c>
      <c r="D1" s="34" t="s">
        <v>28</v>
      </c>
      <c r="E1" s="35" t="s">
        <v>20</v>
      </c>
      <c r="F1" s="35" t="s">
        <v>20</v>
      </c>
      <c r="G1" s="33" t="s">
        <v>19</v>
      </c>
      <c r="H1" s="34" t="s">
        <v>37</v>
      </c>
      <c r="I1" s="33" t="s">
        <v>2</v>
      </c>
      <c r="J1" s="36" t="s">
        <v>21</v>
      </c>
      <c r="K1" s="34" t="s">
        <v>24</v>
      </c>
      <c r="L1" s="34" t="s">
        <v>23</v>
      </c>
      <c r="M1" s="37" t="s">
        <v>26</v>
      </c>
      <c r="N1" s="35" t="s">
        <v>25</v>
      </c>
      <c r="O1" s="33" t="s">
        <v>3</v>
      </c>
      <c r="P1" s="31" t="s">
        <v>50</v>
      </c>
      <c r="Q1" s="31" t="s">
        <v>52</v>
      </c>
      <c r="R1" s="31" t="s">
        <v>54</v>
      </c>
      <c r="S1" s="34" t="s">
        <v>33</v>
      </c>
      <c r="T1" s="33" t="s">
        <v>4</v>
      </c>
      <c r="U1" s="33" t="s">
        <v>5</v>
      </c>
      <c r="V1" s="33" t="s">
        <v>6</v>
      </c>
      <c r="W1" s="33" t="s">
        <v>7</v>
      </c>
      <c r="X1" s="33" t="s">
        <v>8</v>
      </c>
      <c r="Y1" s="38" t="s">
        <v>9</v>
      </c>
      <c r="Z1" s="39" t="s">
        <v>16</v>
      </c>
      <c r="AA1" s="39" t="s">
        <v>17</v>
      </c>
      <c r="AB1" s="39" t="s">
        <v>27</v>
      </c>
      <c r="AC1" s="38" t="s">
        <v>10</v>
      </c>
      <c r="AD1" s="33" t="s">
        <v>11</v>
      </c>
      <c r="AE1" s="33" t="s">
        <v>12</v>
      </c>
      <c r="AF1" s="33" t="s">
        <v>40</v>
      </c>
      <c r="AG1" s="33" t="s">
        <v>42</v>
      </c>
      <c r="AH1" s="33" t="s">
        <v>44</v>
      </c>
      <c r="AI1" s="33" t="s">
        <v>46</v>
      </c>
      <c r="AJ1" s="33" t="s">
        <v>48</v>
      </c>
    </row>
    <row r="2" spans="1:36" ht="21" customHeight="1" x14ac:dyDescent="0.15">
      <c r="A2" s="20" t="str">
        <f ca="1">B2&amp;"_"&amp;C2&amp;"-"&amp;G2&amp;"/"&amp;I2&amp;"&lt;lv"&amp;O2&amp;"&gt;s"&amp;X2</f>
        <v>20008_1-1/7&lt;lv16&gt;s2</v>
      </c>
      <c r="B2" s="27">
        <v>20008</v>
      </c>
      <c r="C2" s="26">
        <v>1</v>
      </c>
      <c r="D2" s="2" t="str">
        <f>B2&amp;"_"&amp;C2</f>
        <v>20008_1</v>
      </c>
      <c r="E2" s="4" t="str">
        <f ca="1">VLOOKUP($B2,OFFSET([1]quests!$A$1,0,0,COUNTA([1]quests!$A:$A),MATCH(E$1,[1]quests!$1:$1,0)-MATCH($B$1,[1]quests!$1:$1,0)+1),MATCH(E$1,[1]quests!$1:$1,0)-MATCH($B$1,[1]quests!$1:$1,0)+1,FALSE)</f>
        <v>天翔ける金轟機龍</v>
      </c>
      <c r="F2" s="4" t="str">
        <f ca="1">VLOOKUP($D2,OFFSET([1]stages!$A$1,0,0,COUNTA([1]stages!$A:$A),MATCH(F$1,[1]stages!$2:$2,0)-MATCH($D$1,[1]stages!$2:$2,0)+1),MATCH(F$1,[1]stages!$2:$2,0)-MATCH($D$1,[1]stages!$2:$2,0)+1,FALSE)</f>
        <v>【初級】天翔ける金轟機龍</v>
      </c>
      <c r="G2" s="26">
        <v>1</v>
      </c>
      <c r="H2" s="19" t="str">
        <f ca="1">B2&amp;"_"&amp;C2&amp;"-"&amp;G2</f>
        <v>20008_1-1</v>
      </c>
      <c r="I2" s="41">
        <v>7</v>
      </c>
      <c r="J2" s="23" t="str">
        <f ca="1">VLOOKUP($I2,OFFSET([2]enemies!$A$1,0,0,COUNTA([2]enemies!$A:$A),MATCH(J$1,[2]enemies!$1:$1,0)-MATCH($I$1,[2]enemies!$1:$1,0)+1),MATCH(J$1,[2]enemies!$1:$1,0)-MATCH($I$1,[2]enemies!$1:$1,0)+1,FALSE)</f>
        <v>エレキポット</v>
      </c>
      <c r="K2" s="23" t="str">
        <f ca="1">VLOOKUP($I2,OFFSET([2]enemies!$A$1,0,0,COUNTA([2]enemies!$A:$A),MATCH(K$1,[2]enemies!$1:$1,0)-MATCH($I$1,[2]enemies!$1:$1,0)+1),MATCH(K$1,[2]enemies!$1:$1,0)-MATCH($I$1,[2]enemies!$1:$1,0)+1,FALSE)</f>
        <v>yellow</v>
      </c>
      <c r="L2" s="24" t="str">
        <f ca="1">VLOOKUP(I2,[3]characters!$A:$J,10,FALSE)</f>
        <v>Drop1T</v>
      </c>
      <c r="M2" s="23" t="str">
        <f ca="1">VLOOKUP($I2,OFFSET([2]enemies!$A$1,0,0,COUNTA([2]enemies!$A:$A),MATCH(M$1,[2]enemies!$1:$1,0)-MATCH($I$1,[2]enemies!$1:$1,0)+1),MATCH(M$1,[2]enemies!$1:$1,0)-MATCH($I$1,[2]enemies!$1:$1,0)+1,FALSE)</f>
        <v>unknown</v>
      </c>
      <c r="N2" s="23">
        <f ca="1">VLOOKUP($I2,OFFSET([2]enemies!$A$1,0,0,COUNTA([2]enemies!$A:$A),MATCH(N$1,[2]enemies!$1:$1,0)-MATCH($I$1,[2]enemies!$1:$1,0)+1),MATCH(N$1,[2]enemies!$1:$1,0)-MATCH($I$1,[2]enemies!$1:$1,0)+1,FALSE)</f>
        <v>15</v>
      </c>
      <c r="O2" s="5">
        <v>16</v>
      </c>
      <c r="P2" s="30">
        <v>1.1000000000000001</v>
      </c>
      <c r="Q2" s="30">
        <v>0.9</v>
      </c>
      <c r="R2" s="5">
        <v>0</v>
      </c>
      <c r="S2" s="4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23">
        <f ca="1">VLOOKUP($I2,OFFSET([2]enemies!$A$1,0,0,COUNTA([2]enemies!$A:$A),MATCH(T$1,[2]enemies!$1:$1,0)-MATCH($I$1,[2]enemies!$1:$1,0)+1),MATCH(T$1,[2]enemies!$1:$1,0)-MATCH($I$1,[2]enemies!$1:$1,0)+1,FALSE)</f>
        <v>0</v>
      </c>
      <c r="U2" s="6">
        <v>0</v>
      </c>
      <c r="V2" s="6">
        <v>100</v>
      </c>
      <c r="W2" s="6">
        <v>0</v>
      </c>
      <c r="X2" s="23">
        <f ca="1">VLOOKUP($I2,OFFSET([2]enemies!$A$1,0,0,COUNTA([2]enemies!$A:$A),MATCH(X$1,[2]enemies!$1:$1,0)-MATCH($I$1,[2]enemies!$1:$1,0)+1),MATCH(X$1,[2]enemies!$1:$1,0)-MATCH($I$1,[2]enemies!$1:$1,0)+1,FALSE)</f>
        <v>2</v>
      </c>
      <c r="Y2" s="41">
        <v>7</v>
      </c>
      <c r="Z2" s="4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エレキポット</v>
      </c>
      <c r="AA2" s="4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4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2" s="7">
        <v>1</v>
      </c>
      <c r="AD2" s="29">
        <f ca="1">AA2</f>
        <v>1</v>
      </c>
      <c r="AE2" s="8">
        <v>26</v>
      </c>
      <c r="AF2" s="7">
        <v>0</v>
      </c>
      <c r="AG2" s="7">
        <v>0</v>
      </c>
      <c r="AH2" s="7">
        <v>0</v>
      </c>
      <c r="AI2" s="7">
        <v>0</v>
      </c>
      <c r="AJ2" s="7">
        <v>1</v>
      </c>
    </row>
    <row r="3" spans="1:36" ht="21" customHeight="1" x14ac:dyDescent="0.15">
      <c r="A3" s="20" t="str">
        <f t="shared" ref="A3:A5" ca="1" si="0">B3&amp;"_"&amp;C3&amp;"-"&amp;G3&amp;"/"&amp;I3&amp;"&lt;lv"&amp;O3&amp;"&gt;s"&amp;X3</f>
        <v>20008_1-1/19&lt;lv16&gt;s3</v>
      </c>
      <c r="B3" s="27">
        <v>20008</v>
      </c>
      <c r="C3" s="26">
        <v>1</v>
      </c>
      <c r="D3" s="2" t="str">
        <f t="shared" ref="D3:D5" ca="1" si="1">B3&amp;"_"&amp;C3</f>
        <v>20008_1</v>
      </c>
      <c r="E3" s="4" t="str">
        <f ca="1">VLOOKUP($B3,OFFSET([1]quests!$A$1,0,0,COUNTA([1]quests!$A:$A),MATCH(E$1,[1]quests!$1:$1,0)-MATCH($B$1,[1]quests!$1:$1,0)+1),MATCH(E$1,[1]quests!$1:$1,0)-MATCH($B$1,[1]quests!$1:$1,0)+1,FALSE)</f>
        <v>天翔ける金轟機龍</v>
      </c>
      <c r="F3" s="4" t="str">
        <f ca="1">VLOOKUP($D3,OFFSET([1]stages!$A$1,0,0,COUNTA([1]stages!$A:$A),MATCH(F$1,[1]stages!$2:$2,0)-MATCH($D$1,[1]stages!$2:$2,0)+1),MATCH(F$1,[1]stages!$2:$2,0)-MATCH($D$1,[1]stages!$2:$2,0)+1,FALSE)</f>
        <v>【初級】天翔ける金轟機龍</v>
      </c>
      <c r="G3" s="26">
        <v>1</v>
      </c>
      <c r="H3" s="19" t="str">
        <f t="shared" ref="H3:H5" ca="1" si="2">B3&amp;"_"&amp;C3&amp;"-"&amp;G3</f>
        <v>20008_1-1</v>
      </c>
      <c r="I3" s="42">
        <v>19</v>
      </c>
      <c r="J3" s="23" t="str">
        <f ca="1">VLOOKUP($I3,OFFSET([2]enemies!$A$1,0,0,COUNTA([2]enemies!$A:$A),MATCH(J$1,[2]enemies!$1:$1,0)-MATCH($I$1,[2]enemies!$1:$1,0)+1),MATCH(J$1,[2]enemies!$1:$1,0)-MATCH($I$1,[2]enemies!$1:$1,0)+1,FALSE)</f>
        <v>ティンク</v>
      </c>
      <c r="K3" s="23" t="str">
        <f ca="1">VLOOKUP($I3,OFFSET([2]enemies!$A$1,0,0,COUNTA([2]enemies!$A:$A),MATCH(K$1,[2]enemies!$1:$1,0)-MATCH($I$1,[2]enemies!$1:$1,0)+1),MATCH(K$1,[2]enemies!$1:$1,0)-MATCH($I$1,[2]enemies!$1:$1,0)+1,FALSE)</f>
        <v>yellow</v>
      </c>
      <c r="L3" s="24" t="str">
        <f ca="1">VLOOKUP(I3,[3]characters!$A:$J,10,FALSE)</f>
        <v>Drop1W</v>
      </c>
      <c r="M3" s="23" t="str">
        <f ca="1">VLOOKUP($I3,OFFSET([2]enemies!$A$1,0,0,COUNTA([2]enemies!$A:$A),MATCH(M$1,[2]enemies!$1:$1,0)-MATCH($I$1,[2]enemies!$1:$1,0)+1),MATCH(M$1,[2]enemies!$1:$1,0)-MATCH($I$1,[2]enemies!$1:$1,0)+1,FALSE)</f>
        <v>human</v>
      </c>
      <c r="N3" s="23">
        <f ca="1">VLOOKUP($I3,OFFSET([2]enemies!$A$1,0,0,COUNTA([2]enemies!$A:$A),MATCH(N$1,[2]enemies!$1:$1,0)-MATCH($I$1,[2]enemies!$1:$1,0)+1),MATCH(N$1,[2]enemies!$1:$1,0)-MATCH($I$1,[2]enemies!$1:$1,0)+1,FALSE)</f>
        <v>15</v>
      </c>
      <c r="O3" s="5">
        <v>16</v>
      </c>
      <c r="P3" s="30">
        <v>1.1000000000000001</v>
      </c>
      <c r="Q3" s="30">
        <v>0.9</v>
      </c>
      <c r="R3" s="5">
        <v>0</v>
      </c>
      <c r="S3" s="4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23">
        <f ca="1">VLOOKUP($I3,OFFSET([2]enemies!$A$1,0,0,COUNTA([2]enemies!$A:$A),MATCH(T$1,[2]enemies!$1:$1,0)-MATCH($I$1,[2]enemies!$1:$1,0)+1),MATCH(T$1,[2]enemies!$1:$1,0)-MATCH($I$1,[2]enemies!$1:$1,0)+1,FALSE)</f>
        <v>0</v>
      </c>
      <c r="U3" s="6">
        <v>0</v>
      </c>
      <c r="V3" s="6">
        <v>100</v>
      </c>
      <c r="W3" s="6">
        <v>0</v>
      </c>
      <c r="X3" s="23">
        <f ca="1">VLOOKUP($I3,OFFSET([2]enemies!$A$1,0,0,COUNTA([2]enemies!$A:$A),MATCH(X$1,[2]enemies!$1:$1,0)-MATCH($I$1,[2]enemies!$1:$1,0)+1),MATCH(X$1,[2]enemies!$1:$1,0)-MATCH($I$1,[2]enemies!$1:$1,0)+1,FALSE)</f>
        <v>3</v>
      </c>
      <c r="Y3" s="42">
        <v>19</v>
      </c>
      <c r="Z3" s="4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3" s="4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4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7">
        <v>1</v>
      </c>
      <c r="AD3" s="29">
        <f t="shared" ref="AD3:AD5" ca="1" si="3">AA3</f>
        <v>1</v>
      </c>
      <c r="AE3" s="8">
        <v>26</v>
      </c>
      <c r="AF3" s="7">
        <v>0</v>
      </c>
      <c r="AG3" s="7">
        <v>0</v>
      </c>
      <c r="AH3" s="7">
        <v>0</v>
      </c>
      <c r="AI3" s="7">
        <v>0</v>
      </c>
      <c r="AJ3" s="7">
        <v>1</v>
      </c>
    </row>
    <row r="4" spans="1:36" ht="21" customHeight="1" x14ac:dyDescent="0.15">
      <c r="A4" s="20" t="str">
        <f t="shared" ca="1" si="0"/>
        <v>20008_1-1/31&lt;lv16&gt;s2</v>
      </c>
      <c r="B4" s="27">
        <v>20008</v>
      </c>
      <c r="C4" s="26">
        <v>1</v>
      </c>
      <c r="D4" s="2" t="str">
        <f t="shared" ca="1" si="1"/>
        <v>20008_1</v>
      </c>
      <c r="E4" s="4" t="str">
        <f ca="1">VLOOKUP($B4,OFFSET([1]quests!$A$1,0,0,COUNTA([1]quests!$A:$A),MATCH(E$1,[1]quests!$1:$1,0)-MATCH($B$1,[1]quests!$1:$1,0)+1),MATCH(E$1,[1]quests!$1:$1,0)-MATCH($B$1,[1]quests!$1:$1,0)+1,FALSE)</f>
        <v>天翔ける金轟機龍</v>
      </c>
      <c r="F4" s="4" t="str">
        <f ca="1">VLOOKUP($D4,OFFSET([1]stages!$A$1,0,0,COUNTA([1]stages!$A:$A),MATCH(F$1,[1]stages!$2:$2,0)-MATCH($D$1,[1]stages!$2:$2,0)+1),MATCH(F$1,[1]stages!$2:$2,0)-MATCH($D$1,[1]stages!$2:$2,0)+1,FALSE)</f>
        <v>【初級】天翔ける金轟機龍</v>
      </c>
      <c r="G4" s="26">
        <v>1</v>
      </c>
      <c r="H4" s="19" t="str">
        <f t="shared" ca="1" si="2"/>
        <v>20008_1-1</v>
      </c>
      <c r="I4" s="42">
        <v>31</v>
      </c>
      <c r="J4" s="23" t="str">
        <f ca="1">VLOOKUP($I4,OFFSET([2]enemies!$A$1,0,0,COUNTA([2]enemies!$A:$A),MATCH(J$1,[2]enemies!$1:$1,0)-MATCH($I$1,[2]enemies!$1:$1,0)+1),MATCH(J$1,[2]enemies!$1:$1,0)-MATCH($I$1,[2]enemies!$1:$1,0)+1,FALSE)</f>
        <v>マービー</v>
      </c>
      <c r="K4" s="23" t="str">
        <f ca="1">VLOOKUP($I4,OFFSET([2]enemies!$A$1,0,0,COUNTA([2]enemies!$A:$A),MATCH(K$1,[2]enemies!$1:$1,0)-MATCH($I$1,[2]enemies!$1:$1,0)+1),MATCH(K$1,[2]enemies!$1:$1,0)-MATCH($I$1,[2]enemies!$1:$1,0)+1,FALSE)</f>
        <v>yellow</v>
      </c>
      <c r="L4" s="24" t="str">
        <f ca="1">VLOOKUP(I4,[3]characters!$A:$J,10,FALSE)</f>
        <v>Drop1N</v>
      </c>
      <c r="M4" s="23" t="str">
        <f ca="1">VLOOKUP($I4,OFFSET([2]enemies!$A$1,0,0,COUNTA([2]enemies!$A:$A),MATCH(M$1,[2]enemies!$1:$1,0)-MATCH($I$1,[2]enemies!$1:$1,0)+1),MATCH(M$1,[2]enemies!$1:$1,0)-MATCH($I$1,[2]enemies!$1:$1,0)+1,FALSE)</f>
        <v>machine</v>
      </c>
      <c r="N4" s="23">
        <f ca="1">VLOOKUP($I4,OFFSET([2]enemies!$A$1,0,0,COUNTA([2]enemies!$A:$A),MATCH(N$1,[2]enemies!$1:$1,0)-MATCH($I$1,[2]enemies!$1:$1,0)+1),MATCH(N$1,[2]enemies!$1:$1,0)-MATCH($I$1,[2]enemies!$1:$1,0)+1,FALSE)</f>
        <v>15</v>
      </c>
      <c r="O4" s="5">
        <v>16</v>
      </c>
      <c r="P4" s="30">
        <v>1.1000000000000001</v>
      </c>
      <c r="Q4" s="30">
        <v>0.9</v>
      </c>
      <c r="R4" s="5">
        <v>0</v>
      </c>
      <c r="S4" s="4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23">
        <f ca="1">VLOOKUP($I4,OFFSET([2]enemies!$A$1,0,0,COUNTA([2]enemies!$A:$A),MATCH(T$1,[2]enemies!$1:$1,0)-MATCH($I$1,[2]enemies!$1:$1,0)+1),MATCH(T$1,[2]enemies!$1:$1,0)-MATCH($I$1,[2]enemies!$1:$1,0)+1,FALSE)</f>
        <v>0</v>
      </c>
      <c r="U4" s="6">
        <v>0</v>
      </c>
      <c r="V4" s="6">
        <v>100</v>
      </c>
      <c r="W4" s="6">
        <v>0</v>
      </c>
      <c r="X4" s="23">
        <f ca="1">VLOOKUP($I4,OFFSET([2]enemies!$A$1,0,0,COUNTA([2]enemies!$A:$A),MATCH(X$1,[2]enemies!$1:$1,0)-MATCH($I$1,[2]enemies!$1:$1,0)+1),MATCH(X$1,[2]enemies!$1:$1,0)-MATCH($I$1,[2]enemies!$1:$1,0)+1,FALSE)</f>
        <v>2</v>
      </c>
      <c r="Y4" s="42">
        <v>31</v>
      </c>
      <c r="Z4" s="4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4" s="4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4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" s="7">
        <v>1</v>
      </c>
      <c r="AD4" s="29">
        <f t="shared" ca="1" si="3"/>
        <v>1</v>
      </c>
      <c r="AE4" s="8">
        <v>26</v>
      </c>
      <c r="AF4" s="7">
        <v>0</v>
      </c>
      <c r="AG4" s="7">
        <v>0</v>
      </c>
      <c r="AH4" s="7">
        <v>0</v>
      </c>
      <c r="AI4" s="7">
        <v>0</v>
      </c>
      <c r="AJ4" s="7">
        <v>1</v>
      </c>
    </row>
    <row r="5" spans="1:36" ht="21" customHeight="1" x14ac:dyDescent="0.15">
      <c r="A5" s="20" t="str">
        <f t="shared" ca="1" si="0"/>
        <v>20008_1-1/47&lt;lv16&gt;s1</v>
      </c>
      <c r="B5" s="27">
        <v>20008</v>
      </c>
      <c r="C5" s="26">
        <v>1</v>
      </c>
      <c r="D5" s="2" t="str">
        <f t="shared" ca="1" si="1"/>
        <v>20008_1</v>
      </c>
      <c r="E5" s="4" t="str">
        <f ca="1">VLOOKUP($B5,OFFSET([1]quests!$A$1,0,0,COUNTA([1]quests!$A:$A),MATCH(E$1,[1]quests!$1:$1,0)-MATCH($B$1,[1]quests!$1:$1,0)+1),MATCH(E$1,[1]quests!$1:$1,0)-MATCH($B$1,[1]quests!$1:$1,0)+1,FALSE)</f>
        <v>天翔ける金轟機龍</v>
      </c>
      <c r="F5" s="4" t="str">
        <f ca="1">VLOOKUP($D5,OFFSET([1]stages!$A$1,0,0,COUNTA([1]stages!$A:$A),MATCH(F$1,[1]stages!$2:$2,0)-MATCH($D$1,[1]stages!$2:$2,0)+1),MATCH(F$1,[1]stages!$2:$2,0)-MATCH($D$1,[1]stages!$2:$2,0)+1,FALSE)</f>
        <v>【初級】天翔ける金轟機龍</v>
      </c>
      <c r="G5" s="26">
        <v>1</v>
      </c>
      <c r="H5" s="19" t="str">
        <f t="shared" ca="1" si="2"/>
        <v>20008_1-1</v>
      </c>
      <c r="I5" s="42">
        <v>47</v>
      </c>
      <c r="J5" s="23" t="str">
        <f ca="1">VLOOKUP($I5,OFFSET([2]enemies!$A$1,0,0,COUNTA([2]enemies!$A:$A),MATCH(J$1,[2]enemies!$1:$1,0)-MATCH($I$1,[2]enemies!$1:$1,0)+1),MATCH(J$1,[2]enemies!$1:$1,0)-MATCH($I$1,[2]enemies!$1:$1,0)+1,FALSE)</f>
        <v>ヒロ</v>
      </c>
      <c r="K5" s="23" t="str">
        <f ca="1">VLOOKUP($I5,OFFSET([2]enemies!$A$1,0,0,COUNTA([2]enemies!$A:$A),MATCH(K$1,[2]enemies!$1:$1,0)-MATCH($I$1,[2]enemies!$1:$1,0)+1),MATCH(K$1,[2]enemies!$1:$1,0)-MATCH($I$1,[2]enemies!$1:$1,0)+1,FALSE)</f>
        <v>yellow</v>
      </c>
      <c r="L5" s="24" t="str">
        <f ca="1">VLOOKUP(I5,[3]characters!$A:$J,10,FALSE)</f>
        <v>Drop1N</v>
      </c>
      <c r="M5" s="23" t="str">
        <f ca="1">VLOOKUP($I5,OFFSET([2]enemies!$A$1,0,0,COUNTA([2]enemies!$A:$A),MATCH(M$1,[2]enemies!$1:$1,0)-MATCH($I$1,[2]enemies!$1:$1,0)+1),MATCH(M$1,[2]enemies!$1:$1,0)-MATCH($I$1,[2]enemies!$1:$1,0)+1,FALSE)</f>
        <v>animal</v>
      </c>
      <c r="N5" s="23">
        <f ca="1">VLOOKUP($I5,OFFSET([2]enemies!$A$1,0,0,COUNTA([2]enemies!$A:$A),MATCH(N$1,[2]enemies!$1:$1,0)-MATCH($I$1,[2]enemies!$1:$1,0)+1),MATCH(N$1,[2]enemies!$1:$1,0)-MATCH($I$1,[2]enemies!$1:$1,0)+1,FALSE)</f>
        <v>15</v>
      </c>
      <c r="O5" s="5">
        <v>16</v>
      </c>
      <c r="P5" s="30">
        <v>1.1000000000000001</v>
      </c>
      <c r="Q5" s="30">
        <v>0.9</v>
      </c>
      <c r="R5" s="5">
        <v>0</v>
      </c>
      <c r="S5" s="4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23">
        <f ca="1">VLOOKUP($I5,OFFSET([2]enemies!$A$1,0,0,COUNTA([2]enemies!$A:$A),MATCH(T$1,[2]enemies!$1:$1,0)-MATCH($I$1,[2]enemies!$1:$1,0)+1),MATCH(T$1,[2]enemies!$1:$1,0)-MATCH($I$1,[2]enemies!$1:$1,0)+1,FALSE)</f>
        <v>0</v>
      </c>
      <c r="U5" s="6">
        <v>0</v>
      </c>
      <c r="V5" s="6">
        <v>100</v>
      </c>
      <c r="W5" s="6">
        <v>0</v>
      </c>
      <c r="X5" s="23">
        <f ca="1">VLOOKUP($I5,OFFSET([2]enemies!$A$1,0,0,COUNTA([2]enemies!$A:$A),MATCH(X$1,[2]enemies!$1:$1,0)-MATCH($I$1,[2]enemies!$1:$1,0)+1),MATCH(X$1,[2]enemies!$1:$1,0)-MATCH($I$1,[2]enemies!$1:$1,0)+1,FALSE)</f>
        <v>1</v>
      </c>
      <c r="Y5" s="42">
        <v>47</v>
      </c>
      <c r="Z5" s="4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5" s="4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2</v>
      </c>
      <c r="AB5" s="4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" s="7">
        <v>1</v>
      </c>
      <c r="AD5" s="29">
        <f t="shared" ca="1" si="3"/>
        <v>2</v>
      </c>
      <c r="AE5" s="8">
        <v>26</v>
      </c>
      <c r="AF5" s="7">
        <v>0</v>
      </c>
      <c r="AG5" s="7">
        <v>0</v>
      </c>
      <c r="AH5" s="7">
        <v>0</v>
      </c>
      <c r="AI5" s="7">
        <v>0</v>
      </c>
      <c r="AJ5" s="7">
        <v>1</v>
      </c>
    </row>
    <row r="6" spans="1:36" ht="21" customHeight="1" x14ac:dyDescent="0.15">
      <c r="A6" s="20" t="str">
        <f ca="1">B6&amp;"_"&amp;C6&amp;"-"&amp;G6&amp;"/"&amp;I6&amp;"&lt;lv"&amp;O6&amp;"&gt;s"&amp;X6</f>
        <v>20008_1-2/7&lt;lv16&gt;s2</v>
      </c>
      <c r="B6" s="27">
        <v>20008</v>
      </c>
      <c r="C6" s="26">
        <v>1</v>
      </c>
      <c r="D6" s="2" t="str">
        <f ca="1">B6&amp;"_"&amp;C6</f>
        <v>20008_1</v>
      </c>
      <c r="E6" s="4" t="str">
        <f ca="1">VLOOKUP($B6,OFFSET([1]quests!$A$1,0,0,COUNTA([1]quests!$A:$A),MATCH(E$1,[1]quests!$1:$1,0)-MATCH($B$1,[1]quests!$1:$1,0)+1),MATCH(E$1,[1]quests!$1:$1,0)-MATCH($B$1,[1]quests!$1:$1,0)+1,FALSE)</f>
        <v>天翔ける金轟機龍</v>
      </c>
      <c r="F6" s="4" t="str">
        <f ca="1">VLOOKUP($D6,OFFSET([1]stages!$A$1,0,0,COUNTA([1]stages!$A:$A),MATCH(F$1,[1]stages!$2:$2,0)-MATCH($D$1,[1]stages!$2:$2,0)+1),MATCH(F$1,[1]stages!$2:$2,0)-MATCH($D$1,[1]stages!$2:$2,0)+1,FALSE)</f>
        <v>【初級】天翔ける金轟機龍</v>
      </c>
      <c r="G6" s="43">
        <v>2</v>
      </c>
      <c r="H6" s="19" t="str">
        <f ca="1">B6&amp;"_"&amp;C6&amp;"-"&amp;G6</f>
        <v>20008_1-2</v>
      </c>
      <c r="I6" s="41">
        <v>7</v>
      </c>
      <c r="J6" s="23" t="str">
        <f ca="1">VLOOKUP($I6,OFFSET([2]enemies!$A$1,0,0,COUNTA([2]enemies!$A:$A),MATCH(J$1,[2]enemies!$1:$1,0)-MATCH($I$1,[2]enemies!$1:$1,0)+1),MATCH(J$1,[2]enemies!$1:$1,0)-MATCH($I$1,[2]enemies!$1:$1,0)+1,FALSE)</f>
        <v>エレキポット</v>
      </c>
      <c r="K6" s="23" t="str">
        <f ca="1">VLOOKUP($I6,OFFSET([2]enemies!$A$1,0,0,COUNTA([2]enemies!$A:$A),MATCH(K$1,[2]enemies!$1:$1,0)-MATCH($I$1,[2]enemies!$1:$1,0)+1),MATCH(K$1,[2]enemies!$1:$1,0)-MATCH($I$1,[2]enemies!$1:$1,0)+1,FALSE)</f>
        <v>yellow</v>
      </c>
      <c r="L6" s="24" t="str">
        <f ca="1">VLOOKUP(I6,[3]characters!$A:$J,10,FALSE)</f>
        <v>Drop1T</v>
      </c>
      <c r="M6" s="23" t="str">
        <f ca="1">VLOOKUP($I6,OFFSET([2]enemies!$A$1,0,0,COUNTA([2]enemies!$A:$A),MATCH(M$1,[2]enemies!$1:$1,0)-MATCH($I$1,[2]enemies!$1:$1,0)+1),MATCH(M$1,[2]enemies!$1:$1,0)-MATCH($I$1,[2]enemies!$1:$1,0)+1,FALSE)</f>
        <v>unknown</v>
      </c>
      <c r="N6" s="23">
        <f ca="1">VLOOKUP($I6,OFFSET([2]enemies!$A$1,0,0,COUNTA([2]enemies!$A:$A),MATCH(N$1,[2]enemies!$1:$1,0)-MATCH($I$1,[2]enemies!$1:$1,0)+1),MATCH(N$1,[2]enemies!$1:$1,0)-MATCH($I$1,[2]enemies!$1:$1,0)+1,FALSE)</f>
        <v>15</v>
      </c>
      <c r="O6" s="5">
        <v>16</v>
      </c>
      <c r="P6" s="30">
        <v>1.1000000000000001</v>
      </c>
      <c r="Q6" s="30">
        <v>0.9</v>
      </c>
      <c r="R6" s="5">
        <v>0</v>
      </c>
      <c r="S6" s="4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23">
        <f ca="1">VLOOKUP($I6,OFFSET([2]enemies!$A$1,0,0,COUNTA([2]enemies!$A:$A),MATCH(T$1,[2]enemies!$1:$1,0)-MATCH($I$1,[2]enemies!$1:$1,0)+1),MATCH(T$1,[2]enemies!$1:$1,0)-MATCH($I$1,[2]enemies!$1:$1,0)+1,FALSE)</f>
        <v>0</v>
      </c>
      <c r="U6" s="6">
        <v>0</v>
      </c>
      <c r="V6" s="6">
        <v>100</v>
      </c>
      <c r="W6" s="6">
        <v>0</v>
      </c>
      <c r="X6" s="23">
        <f ca="1">VLOOKUP($I6,OFFSET([2]enemies!$A$1,0,0,COUNTA([2]enemies!$A:$A),MATCH(X$1,[2]enemies!$1:$1,0)-MATCH($I$1,[2]enemies!$1:$1,0)+1),MATCH(X$1,[2]enemies!$1:$1,0)-MATCH($I$1,[2]enemies!$1:$1,0)+1,FALSE)</f>
        <v>2</v>
      </c>
      <c r="Y6" s="41">
        <v>7</v>
      </c>
      <c r="Z6" s="4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エレキポット</v>
      </c>
      <c r="AA6" s="4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1</v>
      </c>
      <c r="AB6" s="4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6" s="7">
        <v>1</v>
      </c>
      <c r="AD6" s="29">
        <f ca="1">AA6</f>
        <v>1</v>
      </c>
      <c r="AE6" s="8">
        <v>26</v>
      </c>
      <c r="AF6" s="7">
        <v>0</v>
      </c>
      <c r="AG6" s="7">
        <v>0</v>
      </c>
      <c r="AH6" s="7">
        <v>0</v>
      </c>
      <c r="AI6" s="7">
        <v>0</v>
      </c>
      <c r="AJ6" s="7">
        <v>1</v>
      </c>
    </row>
    <row r="7" spans="1:36" ht="21" customHeight="1" x14ac:dyDescent="0.15">
      <c r="A7" s="20" t="str">
        <f t="shared" ref="A7:A9" ca="1" si="4">B7&amp;"_"&amp;C7&amp;"-"&amp;G7&amp;"/"&amp;I7&amp;"&lt;lv"&amp;O7&amp;"&gt;s"&amp;X7</f>
        <v>20008_1-2/19&lt;lv16&gt;s3</v>
      </c>
      <c r="B7" s="27">
        <v>20008</v>
      </c>
      <c r="C7" s="26">
        <v>1</v>
      </c>
      <c r="D7" s="2" t="str">
        <f t="shared" ref="D7:D9" ca="1" si="5">B7&amp;"_"&amp;C7</f>
        <v>20008_1</v>
      </c>
      <c r="E7" s="4" t="str">
        <f ca="1">VLOOKUP($B7,OFFSET([1]quests!$A$1,0,0,COUNTA([1]quests!$A:$A),MATCH(E$1,[1]quests!$1:$1,0)-MATCH($B$1,[1]quests!$1:$1,0)+1),MATCH(E$1,[1]quests!$1:$1,0)-MATCH($B$1,[1]quests!$1:$1,0)+1,FALSE)</f>
        <v>天翔ける金轟機龍</v>
      </c>
      <c r="F7" s="4" t="str">
        <f ca="1">VLOOKUP($D7,OFFSET([1]stages!$A$1,0,0,COUNTA([1]stages!$A:$A),MATCH(F$1,[1]stages!$2:$2,0)-MATCH($D$1,[1]stages!$2:$2,0)+1),MATCH(F$1,[1]stages!$2:$2,0)-MATCH($D$1,[1]stages!$2:$2,0)+1,FALSE)</f>
        <v>【初級】天翔ける金轟機龍</v>
      </c>
      <c r="G7" s="43">
        <v>2</v>
      </c>
      <c r="H7" s="19" t="str">
        <f t="shared" ref="H7:H9" ca="1" si="6">B7&amp;"_"&amp;C7&amp;"-"&amp;G7</f>
        <v>20008_1-2</v>
      </c>
      <c r="I7" s="42">
        <v>19</v>
      </c>
      <c r="J7" s="23" t="str">
        <f ca="1">VLOOKUP($I7,OFFSET([2]enemies!$A$1,0,0,COUNTA([2]enemies!$A:$A),MATCH(J$1,[2]enemies!$1:$1,0)-MATCH($I$1,[2]enemies!$1:$1,0)+1),MATCH(J$1,[2]enemies!$1:$1,0)-MATCH($I$1,[2]enemies!$1:$1,0)+1,FALSE)</f>
        <v>ティンク</v>
      </c>
      <c r="K7" s="23" t="str">
        <f ca="1">VLOOKUP($I7,OFFSET([2]enemies!$A$1,0,0,COUNTA([2]enemies!$A:$A),MATCH(K$1,[2]enemies!$1:$1,0)-MATCH($I$1,[2]enemies!$1:$1,0)+1),MATCH(K$1,[2]enemies!$1:$1,0)-MATCH($I$1,[2]enemies!$1:$1,0)+1,FALSE)</f>
        <v>yellow</v>
      </c>
      <c r="L7" s="24" t="str">
        <f ca="1">VLOOKUP(I7,[3]characters!$A:$J,10,FALSE)</f>
        <v>Drop1W</v>
      </c>
      <c r="M7" s="23" t="str">
        <f ca="1">VLOOKUP($I7,OFFSET([2]enemies!$A$1,0,0,COUNTA([2]enemies!$A:$A),MATCH(M$1,[2]enemies!$1:$1,0)-MATCH($I$1,[2]enemies!$1:$1,0)+1),MATCH(M$1,[2]enemies!$1:$1,0)-MATCH($I$1,[2]enemies!$1:$1,0)+1,FALSE)</f>
        <v>human</v>
      </c>
      <c r="N7" s="23">
        <f ca="1">VLOOKUP($I7,OFFSET([2]enemies!$A$1,0,0,COUNTA([2]enemies!$A:$A),MATCH(N$1,[2]enemies!$1:$1,0)-MATCH($I$1,[2]enemies!$1:$1,0)+1),MATCH(N$1,[2]enemies!$1:$1,0)-MATCH($I$1,[2]enemies!$1:$1,0)+1,FALSE)</f>
        <v>15</v>
      </c>
      <c r="O7" s="5">
        <v>16</v>
      </c>
      <c r="P7" s="30">
        <v>1.1000000000000001</v>
      </c>
      <c r="Q7" s="30">
        <v>0.9</v>
      </c>
      <c r="R7" s="5">
        <v>0</v>
      </c>
      <c r="S7" s="4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23">
        <f ca="1">VLOOKUP($I7,OFFSET([2]enemies!$A$1,0,0,COUNTA([2]enemies!$A:$A),MATCH(T$1,[2]enemies!$1:$1,0)-MATCH($I$1,[2]enemies!$1:$1,0)+1),MATCH(T$1,[2]enemies!$1:$1,0)-MATCH($I$1,[2]enemies!$1:$1,0)+1,FALSE)</f>
        <v>0</v>
      </c>
      <c r="U7" s="6">
        <v>0</v>
      </c>
      <c r="V7" s="6">
        <v>100</v>
      </c>
      <c r="W7" s="6">
        <v>0</v>
      </c>
      <c r="X7" s="23">
        <f ca="1">VLOOKUP($I7,OFFSET([2]enemies!$A$1,0,0,COUNTA([2]enemies!$A:$A),MATCH(X$1,[2]enemies!$1:$1,0)-MATCH($I$1,[2]enemies!$1:$1,0)+1),MATCH(X$1,[2]enemies!$1:$1,0)-MATCH($I$1,[2]enemies!$1:$1,0)+1,FALSE)</f>
        <v>3</v>
      </c>
      <c r="Y7" s="42">
        <v>19</v>
      </c>
      <c r="Z7" s="4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7" s="4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4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7" s="7">
        <v>1</v>
      </c>
      <c r="AD7" s="29">
        <f t="shared" ref="AD7:AD9" ca="1" si="7">AA7</f>
        <v>1</v>
      </c>
      <c r="AE7" s="8">
        <v>26</v>
      </c>
      <c r="AF7" s="7">
        <v>0</v>
      </c>
      <c r="AG7" s="7">
        <v>0</v>
      </c>
      <c r="AH7" s="7">
        <v>0</v>
      </c>
      <c r="AI7" s="7">
        <v>0</v>
      </c>
      <c r="AJ7" s="7">
        <v>1</v>
      </c>
    </row>
    <row r="8" spans="1:36" ht="21" customHeight="1" x14ac:dyDescent="0.15">
      <c r="A8" s="20" t="str">
        <f t="shared" ca="1" si="4"/>
        <v>20008_1-2/31&lt;lv16&gt;s2</v>
      </c>
      <c r="B8" s="27">
        <v>20008</v>
      </c>
      <c r="C8" s="26">
        <v>1</v>
      </c>
      <c r="D8" s="2" t="str">
        <f t="shared" ca="1" si="5"/>
        <v>20008_1</v>
      </c>
      <c r="E8" s="4" t="str">
        <f ca="1">VLOOKUP($B8,OFFSET([1]quests!$A$1,0,0,COUNTA([1]quests!$A:$A),MATCH(E$1,[1]quests!$1:$1,0)-MATCH($B$1,[1]quests!$1:$1,0)+1),MATCH(E$1,[1]quests!$1:$1,0)-MATCH($B$1,[1]quests!$1:$1,0)+1,FALSE)</f>
        <v>天翔ける金轟機龍</v>
      </c>
      <c r="F8" s="4" t="str">
        <f ca="1">VLOOKUP($D8,OFFSET([1]stages!$A$1,0,0,COUNTA([1]stages!$A:$A),MATCH(F$1,[1]stages!$2:$2,0)-MATCH($D$1,[1]stages!$2:$2,0)+1),MATCH(F$1,[1]stages!$2:$2,0)-MATCH($D$1,[1]stages!$2:$2,0)+1,FALSE)</f>
        <v>【初級】天翔ける金轟機龍</v>
      </c>
      <c r="G8" s="43">
        <v>2</v>
      </c>
      <c r="H8" s="19" t="str">
        <f t="shared" ca="1" si="6"/>
        <v>20008_1-2</v>
      </c>
      <c r="I8" s="42">
        <v>31</v>
      </c>
      <c r="J8" s="23" t="str">
        <f ca="1">VLOOKUP($I8,OFFSET([2]enemies!$A$1,0,0,COUNTA([2]enemies!$A:$A),MATCH(J$1,[2]enemies!$1:$1,0)-MATCH($I$1,[2]enemies!$1:$1,0)+1),MATCH(J$1,[2]enemies!$1:$1,0)-MATCH($I$1,[2]enemies!$1:$1,0)+1,FALSE)</f>
        <v>マービー</v>
      </c>
      <c r="K8" s="23" t="str">
        <f ca="1">VLOOKUP($I8,OFFSET([2]enemies!$A$1,0,0,COUNTA([2]enemies!$A:$A),MATCH(K$1,[2]enemies!$1:$1,0)-MATCH($I$1,[2]enemies!$1:$1,0)+1),MATCH(K$1,[2]enemies!$1:$1,0)-MATCH($I$1,[2]enemies!$1:$1,0)+1,FALSE)</f>
        <v>yellow</v>
      </c>
      <c r="L8" s="24" t="str">
        <f ca="1">VLOOKUP(I8,[3]characters!$A:$J,10,FALSE)</f>
        <v>Drop1N</v>
      </c>
      <c r="M8" s="23" t="str">
        <f ca="1">VLOOKUP($I8,OFFSET([2]enemies!$A$1,0,0,COUNTA([2]enemies!$A:$A),MATCH(M$1,[2]enemies!$1:$1,0)-MATCH($I$1,[2]enemies!$1:$1,0)+1),MATCH(M$1,[2]enemies!$1:$1,0)-MATCH($I$1,[2]enemies!$1:$1,0)+1,FALSE)</f>
        <v>machine</v>
      </c>
      <c r="N8" s="23">
        <f ca="1">VLOOKUP($I8,OFFSET([2]enemies!$A$1,0,0,COUNTA([2]enemies!$A:$A),MATCH(N$1,[2]enemies!$1:$1,0)-MATCH($I$1,[2]enemies!$1:$1,0)+1),MATCH(N$1,[2]enemies!$1:$1,0)-MATCH($I$1,[2]enemies!$1:$1,0)+1,FALSE)</f>
        <v>15</v>
      </c>
      <c r="O8" s="5">
        <v>16</v>
      </c>
      <c r="P8" s="30">
        <v>1.1000000000000001</v>
      </c>
      <c r="Q8" s="30">
        <v>0.9</v>
      </c>
      <c r="R8" s="5">
        <v>0</v>
      </c>
      <c r="S8" s="4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23">
        <f ca="1">VLOOKUP($I8,OFFSET([2]enemies!$A$1,0,0,COUNTA([2]enemies!$A:$A),MATCH(T$1,[2]enemies!$1:$1,0)-MATCH($I$1,[2]enemies!$1:$1,0)+1),MATCH(T$1,[2]enemies!$1:$1,0)-MATCH($I$1,[2]enemies!$1:$1,0)+1,FALSE)</f>
        <v>0</v>
      </c>
      <c r="U8" s="6">
        <v>0</v>
      </c>
      <c r="V8" s="6">
        <v>100</v>
      </c>
      <c r="W8" s="6">
        <v>0</v>
      </c>
      <c r="X8" s="23">
        <f ca="1">VLOOKUP($I8,OFFSET([2]enemies!$A$1,0,0,COUNTA([2]enemies!$A:$A),MATCH(X$1,[2]enemies!$1:$1,0)-MATCH($I$1,[2]enemies!$1:$1,0)+1),MATCH(X$1,[2]enemies!$1:$1,0)-MATCH($I$1,[2]enemies!$1:$1,0)+1,FALSE)</f>
        <v>2</v>
      </c>
      <c r="Y8" s="42">
        <v>31</v>
      </c>
      <c r="Z8" s="4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8" s="4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4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8" s="7">
        <v>1</v>
      </c>
      <c r="AD8" s="29">
        <f t="shared" ca="1" si="7"/>
        <v>1</v>
      </c>
      <c r="AE8" s="8">
        <v>26</v>
      </c>
      <c r="AF8" s="7">
        <v>0</v>
      </c>
      <c r="AG8" s="7">
        <v>0</v>
      </c>
      <c r="AH8" s="7">
        <v>0</v>
      </c>
      <c r="AI8" s="7">
        <v>0</v>
      </c>
      <c r="AJ8" s="7">
        <v>1</v>
      </c>
    </row>
    <row r="9" spans="1:36" ht="21" customHeight="1" x14ac:dyDescent="0.15">
      <c r="A9" s="20" t="str">
        <f t="shared" ca="1" si="4"/>
        <v>20008_1-2/47&lt;lv16&gt;s1</v>
      </c>
      <c r="B9" s="27">
        <v>20008</v>
      </c>
      <c r="C9" s="26">
        <v>1</v>
      </c>
      <c r="D9" s="2" t="str">
        <f t="shared" ca="1" si="5"/>
        <v>20008_1</v>
      </c>
      <c r="E9" s="4" t="str">
        <f ca="1">VLOOKUP($B9,OFFSET([1]quests!$A$1,0,0,COUNTA([1]quests!$A:$A),MATCH(E$1,[1]quests!$1:$1,0)-MATCH($B$1,[1]quests!$1:$1,0)+1),MATCH(E$1,[1]quests!$1:$1,0)-MATCH($B$1,[1]quests!$1:$1,0)+1,FALSE)</f>
        <v>天翔ける金轟機龍</v>
      </c>
      <c r="F9" s="4" t="str">
        <f ca="1">VLOOKUP($D9,OFFSET([1]stages!$A$1,0,0,COUNTA([1]stages!$A:$A),MATCH(F$1,[1]stages!$2:$2,0)-MATCH($D$1,[1]stages!$2:$2,0)+1),MATCH(F$1,[1]stages!$2:$2,0)-MATCH($D$1,[1]stages!$2:$2,0)+1,FALSE)</f>
        <v>【初級】天翔ける金轟機龍</v>
      </c>
      <c r="G9" s="43">
        <v>2</v>
      </c>
      <c r="H9" s="19" t="str">
        <f t="shared" ca="1" si="6"/>
        <v>20008_1-2</v>
      </c>
      <c r="I9" s="42">
        <v>47</v>
      </c>
      <c r="J9" s="23" t="str">
        <f ca="1">VLOOKUP($I9,OFFSET([2]enemies!$A$1,0,0,COUNTA([2]enemies!$A:$A),MATCH(J$1,[2]enemies!$1:$1,0)-MATCH($I$1,[2]enemies!$1:$1,0)+1),MATCH(J$1,[2]enemies!$1:$1,0)-MATCH($I$1,[2]enemies!$1:$1,0)+1,FALSE)</f>
        <v>ヒロ</v>
      </c>
      <c r="K9" s="23" t="str">
        <f ca="1">VLOOKUP($I9,OFFSET([2]enemies!$A$1,0,0,COUNTA([2]enemies!$A:$A),MATCH(K$1,[2]enemies!$1:$1,0)-MATCH($I$1,[2]enemies!$1:$1,0)+1),MATCH(K$1,[2]enemies!$1:$1,0)-MATCH($I$1,[2]enemies!$1:$1,0)+1,FALSE)</f>
        <v>yellow</v>
      </c>
      <c r="L9" s="24" t="str">
        <f ca="1">VLOOKUP(I9,[3]characters!$A:$J,10,FALSE)</f>
        <v>Drop1N</v>
      </c>
      <c r="M9" s="23" t="str">
        <f ca="1">VLOOKUP($I9,OFFSET([2]enemies!$A$1,0,0,COUNTA([2]enemies!$A:$A),MATCH(M$1,[2]enemies!$1:$1,0)-MATCH($I$1,[2]enemies!$1:$1,0)+1),MATCH(M$1,[2]enemies!$1:$1,0)-MATCH($I$1,[2]enemies!$1:$1,0)+1,FALSE)</f>
        <v>animal</v>
      </c>
      <c r="N9" s="23">
        <f ca="1">VLOOKUP($I9,OFFSET([2]enemies!$A$1,0,0,COUNTA([2]enemies!$A:$A),MATCH(N$1,[2]enemies!$1:$1,0)-MATCH($I$1,[2]enemies!$1:$1,0)+1),MATCH(N$1,[2]enemies!$1:$1,0)-MATCH($I$1,[2]enemies!$1:$1,0)+1,FALSE)</f>
        <v>15</v>
      </c>
      <c r="O9" s="5">
        <v>16</v>
      </c>
      <c r="P9" s="30">
        <v>1.1000000000000001</v>
      </c>
      <c r="Q9" s="30">
        <v>0.9</v>
      </c>
      <c r="R9" s="5">
        <v>0</v>
      </c>
      <c r="S9" s="4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23">
        <f ca="1">VLOOKUP($I9,OFFSET([2]enemies!$A$1,0,0,COUNTA([2]enemies!$A:$A),MATCH(T$1,[2]enemies!$1:$1,0)-MATCH($I$1,[2]enemies!$1:$1,0)+1),MATCH(T$1,[2]enemies!$1:$1,0)-MATCH($I$1,[2]enemies!$1:$1,0)+1,FALSE)</f>
        <v>0</v>
      </c>
      <c r="U9" s="6">
        <v>0</v>
      </c>
      <c r="V9" s="6">
        <v>100</v>
      </c>
      <c r="W9" s="6">
        <v>0</v>
      </c>
      <c r="X9" s="23">
        <f ca="1">VLOOKUP($I9,OFFSET([2]enemies!$A$1,0,0,COUNTA([2]enemies!$A:$A),MATCH(X$1,[2]enemies!$1:$1,0)-MATCH($I$1,[2]enemies!$1:$1,0)+1),MATCH(X$1,[2]enemies!$1:$1,0)-MATCH($I$1,[2]enemies!$1:$1,0)+1,FALSE)</f>
        <v>1</v>
      </c>
      <c r="Y9" s="42">
        <v>47</v>
      </c>
      <c r="Z9" s="4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9" s="4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2</v>
      </c>
      <c r="AB9" s="4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9" s="7">
        <v>1</v>
      </c>
      <c r="AD9" s="29">
        <f t="shared" ca="1" si="7"/>
        <v>2</v>
      </c>
      <c r="AE9" s="8">
        <v>26</v>
      </c>
      <c r="AF9" s="7">
        <v>0</v>
      </c>
      <c r="AG9" s="7">
        <v>0</v>
      </c>
      <c r="AH9" s="7">
        <v>0</v>
      </c>
      <c r="AI9" s="7">
        <v>0</v>
      </c>
      <c r="AJ9" s="7">
        <v>1</v>
      </c>
    </row>
    <row r="10" spans="1:36" ht="21" customHeight="1" x14ac:dyDescent="0.15">
      <c r="A10" s="20" t="str">
        <f ca="1">B10&amp;"_"&amp;C10&amp;"-"&amp;G10&amp;"/"&amp;I10&amp;"&lt;lv"&amp;O10&amp;"&gt;s"&amp;X10</f>
        <v>20008_1-3/7&lt;lv16&gt;s2</v>
      </c>
      <c r="B10" s="27">
        <v>20008</v>
      </c>
      <c r="C10" s="26">
        <v>1</v>
      </c>
      <c r="D10" s="2" t="str">
        <f ca="1">B10&amp;"_"&amp;C10</f>
        <v>20008_1</v>
      </c>
      <c r="E10" s="4" t="str">
        <f ca="1">VLOOKUP($B10,OFFSET([1]quests!$A$1,0,0,COUNTA([1]quests!$A:$A),MATCH(E$1,[1]quests!$1:$1,0)-MATCH($B$1,[1]quests!$1:$1,0)+1),MATCH(E$1,[1]quests!$1:$1,0)-MATCH($B$1,[1]quests!$1:$1,0)+1,FALSE)</f>
        <v>天翔ける金轟機龍</v>
      </c>
      <c r="F10" s="4" t="str">
        <f ca="1">VLOOKUP($D10,OFFSET([1]stages!$A$1,0,0,COUNTA([1]stages!$A:$A),MATCH(F$1,[1]stages!$2:$2,0)-MATCH($D$1,[1]stages!$2:$2,0)+1),MATCH(F$1,[1]stages!$2:$2,0)-MATCH($D$1,[1]stages!$2:$2,0)+1,FALSE)</f>
        <v>【初級】天翔ける金轟機龍</v>
      </c>
      <c r="G10" s="26">
        <v>3</v>
      </c>
      <c r="H10" s="19" t="str">
        <f ca="1">B10&amp;"_"&amp;C10&amp;"-"&amp;G10</f>
        <v>20008_1-3</v>
      </c>
      <c r="I10" s="41">
        <v>7</v>
      </c>
      <c r="J10" s="23" t="str">
        <f ca="1">VLOOKUP($I10,OFFSET([2]enemies!$A$1,0,0,COUNTA([2]enemies!$A:$A),MATCH(J$1,[2]enemies!$1:$1,0)-MATCH($I$1,[2]enemies!$1:$1,0)+1),MATCH(J$1,[2]enemies!$1:$1,0)-MATCH($I$1,[2]enemies!$1:$1,0)+1,FALSE)</f>
        <v>エレキポット</v>
      </c>
      <c r="K10" s="23" t="str">
        <f ca="1">VLOOKUP($I10,OFFSET([2]enemies!$A$1,0,0,COUNTA([2]enemies!$A:$A),MATCH(K$1,[2]enemies!$1:$1,0)-MATCH($I$1,[2]enemies!$1:$1,0)+1),MATCH(K$1,[2]enemies!$1:$1,0)-MATCH($I$1,[2]enemies!$1:$1,0)+1,FALSE)</f>
        <v>yellow</v>
      </c>
      <c r="L10" s="24" t="str">
        <f ca="1">VLOOKUP(I10,[3]characters!$A:$J,10,FALSE)</f>
        <v>Drop1T</v>
      </c>
      <c r="M10" s="23" t="str">
        <f ca="1">VLOOKUP($I10,OFFSET([2]enemies!$A$1,0,0,COUNTA([2]enemies!$A:$A),MATCH(M$1,[2]enemies!$1:$1,0)-MATCH($I$1,[2]enemies!$1:$1,0)+1),MATCH(M$1,[2]enemies!$1:$1,0)-MATCH($I$1,[2]enemies!$1:$1,0)+1,FALSE)</f>
        <v>unknown</v>
      </c>
      <c r="N10" s="23">
        <f ca="1">VLOOKUP($I10,OFFSET([2]enemies!$A$1,0,0,COUNTA([2]enemies!$A:$A),MATCH(N$1,[2]enemies!$1:$1,0)-MATCH($I$1,[2]enemies!$1:$1,0)+1),MATCH(N$1,[2]enemies!$1:$1,0)-MATCH($I$1,[2]enemies!$1:$1,0)+1,FALSE)</f>
        <v>15</v>
      </c>
      <c r="O10" s="5">
        <v>16</v>
      </c>
      <c r="P10" s="30">
        <v>1.1000000000000001</v>
      </c>
      <c r="Q10" s="30">
        <v>0.9</v>
      </c>
      <c r="R10" s="5">
        <v>0</v>
      </c>
      <c r="S10" s="4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23">
        <f ca="1">VLOOKUP($I10,OFFSET([2]enemies!$A$1,0,0,COUNTA([2]enemies!$A:$A),MATCH(T$1,[2]enemies!$1:$1,0)-MATCH($I$1,[2]enemies!$1:$1,0)+1),MATCH(T$1,[2]enemies!$1:$1,0)-MATCH($I$1,[2]enemies!$1:$1,0)+1,FALSE)</f>
        <v>0</v>
      </c>
      <c r="U10" s="6">
        <v>0</v>
      </c>
      <c r="V10" s="6">
        <v>100</v>
      </c>
      <c r="W10" s="6">
        <v>0</v>
      </c>
      <c r="X10" s="23">
        <f ca="1">VLOOKUP($I10,OFFSET([2]enemies!$A$1,0,0,COUNTA([2]enemies!$A:$A),MATCH(X$1,[2]enemies!$1:$1,0)-MATCH($I$1,[2]enemies!$1:$1,0)+1),MATCH(X$1,[2]enemies!$1:$1,0)-MATCH($I$1,[2]enemies!$1:$1,0)+1,FALSE)</f>
        <v>2</v>
      </c>
      <c r="Y10" s="41">
        <v>7</v>
      </c>
      <c r="Z10" s="4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エレキポット</v>
      </c>
      <c r="AA10" s="4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1</v>
      </c>
      <c r="AB10" s="4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10" s="7">
        <v>3</v>
      </c>
      <c r="AD10" s="29">
        <f ca="1">AA10</f>
        <v>1</v>
      </c>
      <c r="AE10" s="8">
        <v>26</v>
      </c>
      <c r="AF10" s="7">
        <v>0</v>
      </c>
      <c r="AG10" s="7">
        <v>0</v>
      </c>
      <c r="AH10" s="7">
        <v>0</v>
      </c>
      <c r="AI10" s="7">
        <v>0</v>
      </c>
      <c r="AJ10" s="7">
        <v>1</v>
      </c>
    </row>
    <row r="11" spans="1:36" ht="21" customHeight="1" x14ac:dyDescent="0.15">
      <c r="A11" s="20" t="str">
        <f t="shared" ref="A11:A13" ca="1" si="8">B11&amp;"_"&amp;C11&amp;"-"&amp;G11&amp;"/"&amp;I11&amp;"&lt;lv"&amp;O11&amp;"&gt;s"&amp;X11</f>
        <v>20008_1-3/19&lt;lv16&gt;s3</v>
      </c>
      <c r="B11" s="27">
        <v>20008</v>
      </c>
      <c r="C11" s="26">
        <v>1</v>
      </c>
      <c r="D11" s="2" t="str">
        <f t="shared" ref="D11:D13" ca="1" si="9">B11&amp;"_"&amp;C11</f>
        <v>20008_1</v>
      </c>
      <c r="E11" s="4" t="str">
        <f ca="1">VLOOKUP($B11,OFFSET([1]quests!$A$1,0,0,COUNTA([1]quests!$A:$A),MATCH(E$1,[1]quests!$1:$1,0)-MATCH($B$1,[1]quests!$1:$1,0)+1),MATCH(E$1,[1]quests!$1:$1,0)-MATCH($B$1,[1]quests!$1:$1,0)+1,FALSE)</f>
        <v>天翔ける金轟機龍</v>
      </c>
      <c r="F11" s="4" t="str">
        <f ca="1">VLOOKUP($D11,OFFSET([1]stages!$A$1,0,0,COUNTA([1]stages!$A:$A),MATCH(F$1,[1]stages!$2:$2,0)-MATCH($D$1,[1]stages!$2:$2,0)+1),MATCH(F$1,[1]stages!$2:$2,0)-MATCH($D$1,[1]stages!$2:$2,0)+1,FALSE)</f>
        <v>【初級】天翔ける金轟機龍</v>
      </c>
      <c r="G11" s="26">
        <v>3</v>
      </c>
      <c r="H11" s="19" t="str">
        <f t="shared" ref="H11:H13" ca="1" si="10">B11&amp;"_"&amp;C11&amp;"-"&amp;G11</f>
        <v>20008_1-3</v>
      </c>
      <c r="I11" s="42">
        <v>19</v>
      </c>
      <c r="J11" s="23" t="str">
        <f ca="1">VLOOKUP($I11,OFFSET([2]enemies!$A$1,0,0,COUNTA([2]enemies!$A:$A),MATCH(J$1,[2]enemies!$1:$1,0)-MATCH($I$1,[2]enemies!$1:$1,0)+1),MATCH(J$1,[2]enemies!$1:$1,0)-MATCH($I$1,[2]enemies!$1:$1,0)+1,FALSE)</f>
        <v>ティンク</v>
      </c>
      <c r="K11" s="23" t="str">
        <f ca="1">VLOOKUP($I11,OFFSET([2]enemies!$A$1,0,0,COUNTA([2]enemies!$A:$A),MATCH(K$1,[2]enemies!$1:$1,0)-MATCH($I$1,[2]enemies!$1:$1,0)+1),MATCH(K$1,[2]enemies!$1:$1,0)-MATCH($I$1,[2]enemies!$1:$1,0)+1,FALSE)</f>
        <v>yellow</v>
      </c>
      <c r="L11" s="24" t="str">
        <f ca="1">VLOOKUP(I11,[3]characters!$A:$J,10,FALSE)</f>
        <v>Drop1W</v>
      </c>
      <c r="M11" s="23" t="str">
        <f ca="1">VLOOKUP($I11,OFFSET([2]enemies!$A$1,0,0,COUNTA([2]enemies!$A:$A),MATCH(M$1,[2]enemies!$1:$1,0)-MATCH($I$1,[2]enemies!$1:$1,0)+1),MATCH(M$1,[2]enemies!$1:$1,0)-MATCH($I$1,[2]enemies!$1:$1,0)+1,FALSE)</f>
        <v>human</v>
      </c>
      <c r="N11" s="23">
        <f ca="1">VLOOKUP($I11,OFFSET([2]enemies!$A$1,0,0,COUNTA([2]enemies!$A:$A),MATCH(N$1,[2]enemies!$1:$1,0)-MATCH($I$1,[2]enemies!$1:$1,0)+1),MATCH(N$1,[2]enemies!$1:$1,0)-MATCH($I$1,[2]enemies!$1:$1,0)+1,FALSE)</f>
        <v>15</v>
      </c>
      <c r="O11" s="5">
        <v>16</v>
      </c>
      <c r="P11" s="30">
        <v>1.1000000000000001</v>
      </c>
      <c r="Q11" s="30">
        <v>0.9</v>
      </c>
      <c r="R11" s="5">
        <v>0</v>
      </c>
      <c r="S11" s="4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23">
        <f ca="1">VLOOKUP($I11,OFFSET([2]enemies!$A$1,0,0,COUNTA([2]enemies!$A:$A),MATCH(T$1,[2]enemies!$1:$1,0)-MATCH($I$1,[2]enemies!$1:$1,0)+1),MATCH(T$1,[2]enemies!$1:$1,0)-MATCH($I$1,[2]enemies!$1:$1,0)+1,FALSE)</f>
        <v>0</v>
      </c>
      <c r="U11" s="6">
        <v>0</v>
      </c>
      <c r="V11" s="6">
        <v>100</v>
      </c>
      <c r="W11" s="6">
        <v>0</v>
      </c>
      <c r="X11" s="23">
        <f ca="1">VLOOKUP($I11,OFFSET([2]enemies!$A$1,0,0,COUNTA([2]enemies!$A:$A),MATCH(X$1,[2]enemies!$1:$1,0)-MATCH($I$1,[2]enemies!$1:$1,0)+1),MATCH(X$1,[2]enemies!$1:$1,0)-MATCH($I$1,[2]enemies!$1:$1,0)+1,FALSE)</f>
        <v>3</v>
      </c>
      <c r="Y11" s="42">
        <v>19</v>
      </c>
      <c r="Z11" s="4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11" s="4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1</v>
      </c>
      <c r="AB11" s="4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1" s="7">
        <v>1</v>
      </c>
      <c r="AD11" s="29">
        <f t="shared" ref="AD11:AD13" ca="1" si="11">AA11</f>
        <v>1</v>
      </c>
      <c r="AE11" s="8">
        <v>26</v>
      </c>
      <c r="AF11" s="7">
        <v>0</v>
      </c>
      <c r="AG11" s="7">
        <v>0</v>
      </c>
      <c r="AH11" s="7">
        <v>0</v>
      </c>
      <c r="AI11" s="7">
        <v>0</v>
      </c>
      <c r="AJ11" s="7">
        <v>1</v>
      </c>
    </row>
    <row r="12" spans="1:36" ht="21" customHeight="1" x14ac:dyDescent="0.15">
      <c r="A12" s="20" t="str">
        <f t="shared" ca="1" si="8"/>
        <v>20008_1-3/31&lt;lv16&gt;s2</v>
      </c>
      <c r="B12" s="27">
        <v>20008</v>
      </c>
      <c r="C12" s="26">
        <v>1</v>
      </c>
      <c r="D12" s="2" t="str">
        <f t="shared" ca="1" si="9"/>
        <v>20008_1</v>
      </c>
      <c r="E12" s="4" t="str">
        <f ca="1">VLOOKUP($B12,OFFSET([1]quests!$A$1,0,0,COUNTA([1]quests!$A:$A),MATCH(E$1,[1]quests!$1:$1,0)-MATCH($B$1,[1]quests!$1:$1,0)+1),MATCH(E$1,[1]quests!$1:$1,0)-MATCH($B$1,[1]quests!$1:$1,0)+1,FALSE)</f>
        <v>天翔ける金轟機龍</v>
      </c>
      <c r="F12" s="4" t="str">
        <f ca="1">VLOOKUP($D12,OFFSET([1]stages!$A$1,0,0,COUNTA([1]stages!$A:$A),MATCH(F$1,[1]stages!$2:$2,0)-MATCH($D$1,[1]stages!$2:$2,0)+1),MATCH(F$1,[1]stages!$2:$2,0)-MATCH($D$1,[1]stages!$2:$2,0)+1,FALSE)</f>
        <v>【初級】天翔ける金轟機龍</v>
      </c>
      <c r="G12" s="26">
        <v>3</v>
      </c>
      <c r="H12" s="19" t="str">
        <f t="shared" ca="1" si="10"/>
        <v>20008_1-3</v>
      </c>
      <c r="I12" s="42">
        <v>31</v>
      </c>
      <c r="J12" s="23" t="str">
        <f ca="1">VLOOKUP($I12,OFFSET([2]enemies!$A$1,0,0,COUNTA([2]enemies!$A:$A),MATCH(J$1,[2]enemies!$1:$1,0)-MATCH($I$1,[2]enemies!$1:$1,0)+1),MATCH(J$1,[2]enemies!$1:$1,0)-MATCH($I$1,[2]enemies!$1:$1,0)+1,FALSE)</f>
        <v>マービー</v>
      </c>
      <c r="K12" s="23" t="str">
        <f ca="1">VLOOKUP($I12,OFFSET([2]enemies!$A$1,0,0,COUNTA([2]enemies!$A:$A),MATCH(K$1,[2]enemies!$1:$1,0)-MATCH($I$1,[2]enemies!$1:$1,0)+1),MATCH(K$1,[2]enemies!$1:$1,0)-MATCH($I$1,[2]enemies!$1:$1,0)+1,FALSE)</f>
        <v>yellow</v>
      </c>
      <c r="L12" s="24" t="str">
        <f ca="1">VLOOKUP(I12,[3]characters!$A:$J,10,FALSE)</f>
        <v>Drop1N</v>
      </c>
      <c r="M12" s="23" t="str">
        <f ca="1">VLOOKUP($I12,OFFSET([2]enemies!$A$1,0,0,COUNTA([2]enemies!$A:$A),MATCH(M$1,[2]enemies!$1:$1,0)-MATCH($I$1,[2]enemies!$1:$1,0)+1),MATCH(M$1,[2]enemies!$1:$1,0)-MATCH($I$1,[2]enemies!$1:$1,0)+1,FALSE)</f>
        <v>machine</v>
      </c>
      <c r="N12" s="23">
        <f ca="1">VLOOKUP($I12,OFFSET([2]enemies!$A$1,0,0,COUNTA([2]enemies!$A:$A),MATCH(N$1,[2]enemies!$1:$1,0)-MATCH($I$1,[2]enemies!$1:$1,0)+1),MATCH(N$1,[2]enemies!$1:$1,0)-MATCH($I$1,[2]enemies!$1:$1,0)+1,FALSE)</f>
        <v>15</v>
      </c>
      <c r="O12" s="5">
        <v>16</v>
      </c>
      <c r="P12" s="30">
        <v>1.1000000000000001</v>
      </c>
      <c r="Q12" s="30">
        <v>0.9</v>
      </c>
      <c r="R12" s="5">
        <v>0</v>
      </c>
      <c r="S12" s="4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23">
        <f ca="1">VLOOKUP($I12,OFFSET([2]enemies!$A$1,0,0,COUNTA([2]enemies!$A:$A),MATCH(T$1,[2]enemies!$1:$1,0)-MATCH($I$1,[2]enemies!$1:$1,0)+1),MATCH(T$1,[2]enemies!$1:$1,0)-MATCH($I$1,[2]enemies!$1:$1,0)+1,FALSE)</f>
        <v>0</v>
      </c>
      <c r="U12" s="6">
        <v>0</v>
      </c>
      <c r="V12" s="6">
        <v>100</v>
      </c>
      <c r="W12" s="6">
        <v>0</v>
      </c>
      <c r="X12" s="23">
        <f ca="1">VLOOKUP($I12,OFFSET([2]enemies!$A$1,0,0,COUNTA([2]enemies!$A:$A),MATCH(X$1,[2]enemies!$1:$1,0)-MATCH($I$1,[2]enemies!$1:$1,0)+1),MATCH(X$1,[2]enemies!$1:$1,0)-MATCH($I$1,[2]enemies!$1:$1,0)+1,FALSE)</f>
        <v>2</v>
      </c>
      <c r="Y12" s="42">
        <v>31</v>
      </c>
      <c r="Z12" s="4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12" s="4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1</v>
      </c>
      <c r="AB12" s="4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2" s="7">
        <v>1</v>
      </c>
      <c r="AD12" s="29">
        <f t="shared" ca="1" si="11"/>
        <v>1</v>
      </c>
      <c r="AE12" s="8">
        <v>26</v>
      </c>
      <c r="AF12" s="7">
        <v>0</v>
      </c>
      <c r="AG12" s="7">
        <v>0</v>
      </c>
      <c r="AH12" s="7">
        <v>0</v>
      </c>
      <c r="AI12" s="7">
        <v>0</v>
      </c>
      <c r="AJ12" s="7">
        <v>1</v>
      </c>
    </row>
    <row r="13" spans="1:36" ht="21" customHeight="1" x14ac:dyDescent="0.15">
      <c r="A13" s="20" t="str">
        <f t="shared" ca="1" si="8"/>
        <v>20008_1-3/47&lt;lv16&gt;s1</v>
      </c>
      <c r="B13" s="27">
        <v>20008</v>
      </c>
      <c r="C13" s="26">
        <v>1</v>
      </c>
      <c r="D13" s="2" t="str">
        <f t="shared" ca="1" si="9"/>
        <v>20008_1</v>
      </c>
      <c r="E13" s="4" t="str">
        <f ca="1">VLOOKUP($B13,OFFSET([1]quests!$A$1,0,0,COUNTA([1]quests!$A:$A),MATCH(E$1,[1]quests!$1:$1,0)-MATCH($B$1,[1]quests!$1:$1,0)+1),MATCH(E$1,[1]quests!$1:$1,0)-MATCH($B$1,[1]quests!$1:$1,0)+1,FALSE)</f>
        <v>天翔ける金轟機龍</v>
      </c>
      <c r="F13" s="4" t="str">
        <f ca="1">VLOOKUP($D13,OFFSET([1]stages!$A$1,0,0,COUNTA([1]stages!$A:$A),MATCH(F$1,[1]stages!$2:$2,0)-MATCH($D$1,[1]stages!$2:$2,0)+1),MATCH(F$1,[1]stages!$2:$2,0)-MATCH($D$1,[1]stages!$2:$2,0)+1,FALSE)</f>
        <v>【初級】天翔ける金轟機龍</v>
      </c>
      <c r="G13" s="26">
        <v>3</v>
      </c>
      <c r="H13" s="19" t="str">
        <f t="shared" ca="1" si="10"/>
        <v>20008_1-3</v>
      </c>
      <c r="I13" s="42">
        <v>47</v>
      </c>
      <c r="J13" s="23" t="str">
        <f ca="1">VLOOKUP($I13,OFFSET([2]enemies!$A$1,0,0,COUNTA([2]enemies!$A:$A),MATCH(J$1,[2]enemies!$1:$1,0)-MATCH($I$1,[2]enemies!$1:$1,0)+1),MATCH(J$1,[2]enemies!$1:$1,0)-MATCH($I$1,[2]enemies!$1:$1,0)+1,FALSE)</f>
        <v>ヒロ</v>
      </c>
      <c r="K13" s="23" t="str">
        <f ca="1">VLOOKUP($I13,OFFSET([2]enemies!$A$1,0,0,COUNTA([2]enemies!$A:$A),MATCH(K$1,[2]enemies!$1:$1,0)-MATCH($I$1,[2]enemies!$1:$1,0)+1),MATCH(K$1,[2]enemies!$1:$1,0)-MATCH($I$1,[2]enemies!$1:$1,0)+1,FALSE)</f>
        <v>yellow</v>
      </c>
      <c r="L13" s="24" t="str">
        <f ca="1">VLOOKUP(I13,[3]characters!$A:$J,10,FALSE)</f>
        <v>Drop1N</v>
      </c>
      <c r="M13" s="23" t="str">
        <f ca="1">VLOOKUP($I13,OFFSET([2]enemies!$A$1,0,0,COUNTA([2]enemies!$A:$A),MATCH(M$1,[2]enemies!$1:$1,0)-MATCH($I$1,[2]enemies!$1:$1,0)+1),MATCH(M$1,[2]enemies!$1:$1,0)-MATCH($I$1,[2]enemies!$1:$1,0)+1,FALSE)</f>
        <v>animal</v>
      </c>
      <c r="N13" s="23">
        <f ca="1">VLOOKUP($I13,OFFSET([2]enemies!$A$1,0,0,COUNTA([2]enemies!$A:$A),MATCH(N$1,[2]enemies!$1:$1,0)-MATCH($I$1,[2]enemies!$1:$1,0)+1),MATCH(N$1,[2]enemies!$1:$1,0)-MATCH($I$1,[2]enemies!$1:$1,0)+1,FALSE)</f>
        <v>15</v>
      </c>
      <c r="O13" s="5">
        <v>16</v>
      </c>
      <c r="P13" s="30">
        <v>1.1000000000000001</v>
      </c>
      <c r="Q13" s="30">
        <v>0.9</v>
      </c>
      <c r="R13" s="5">
        <v>0</v>
      </c>
      <c r="S13" s="4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23">
        <f ca="1">VLOOKUP($I13,OFFSET([2]enemies!$A$1,0,0,COUNTA([2]enemies!$A:$A),MATCH(T$1,[2]enemies!$1:$1,0)-MATCH($I$1,[2]enemies!$1:$1,0)+1),MATCH(T$1,[2]enemies!$1:$1,0)-MATCH($I$1,[2]enemies!$1:$1,0)+1,FALSE)</f>
        <v>0</v>
      </c>
      <c r="U13" s="6">
        <v>0</v>
      </c>
      <c r="V13" s="6">
        <v>100</v>
      </c>
      <c r="W13" s="6">
        <v>0</v>
      </c>
      <c r="X13" s="23">
        <f ca="1">VLOOKUP($I13,OFFSET([2]enemies!$A$1,0,0,COUNTA([2]enemies!$A:$A),MATCH(X$1,[2]enemies!$1:$1,0)-MATCH($I$1,[2]enemies!$1:$1,0)+1),MATCH(X$1,[2]enemies!$1:$1,0)-MATCH($I$1,[2]enemies!$1:$1,0)+1,FALSE)</f>
        <v>1</v>
      </c>
      <c r="Y13" s="42">
        <v>47</v>
      </c>
      <c r="Z13" s="4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13" s="4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2</v>
      </c>
      <c r="AB13" s="4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3" s="7">
        <v>1</v>
      </c>
      <c r="AD13" s="29">
        <f t="shared" ca="1" si="11"/>
        <v>2</v>
      </c>
      <c r="AE13" s="8">
        <v>26</v>
      </c>
      <c r="AF13" s="7">
        <v>0</v>
      </c>
      <c r="AG13" s="7">
        <v>0</v>
      </c>
      <c r="AH13" s="7">
        <v>0</v>
      </c>
      <c r="AI13" s="7">
        <v>0</v>
      </c>
      <c r="AJ13" s="7">
        <v>1</v>
      </c>
    </row>
    <row r="14" spans="1:36" ht="21" customHeight="1" thickBot="1" x14ac:dyDescent="0.2">
      <c r="A14" s="54" t="str">
        <f t="shared" ref="A14" ca="1" si="12">B14&amp;"_"&amp;C14&amp;"-"&amp;G14&amp;"/"&amp;I14&amp;"&lt;lv"&amp;O14&amp;"&gt;s"&amp;X14</f>
        <v>20008_1-4/284&lt;lv20&gt;s2</v>
      </c>
      <c r="B14" s="27">
        <v>20008</v>
      </c>
      <c r="C14" s="69">
        <v>1</v>
      </c>
      <c r="D14" s="70" t="str">
        <f t="shared" ref="D14" ca="1" si="13">B14&amp;"_"&amp;C14</f>
        <v>20008_1</v>
      </c>
      <c r="E14" s="57" t="str">
        <f ca="1">VLOOKUP($B14,OFFSET([1]quests!$A$1,0,0,COUNTA([1]quests!$A:$A),MATCH(E$1,[1]quests!$1:$1,0)-MATCH($B$1,[1]quests!$1:$1,0)+1),MATCH(E$1,[1]quests!$1:$1,0)-MATCH($B$1,[1]quests!$1:$1,0)+1,FALSE)</f>
        <v>天翔ける金轟機龍</v>
      </c>
      <c r="F14" s="57" t="str">
        <f ca="1">VLOOKUP($D14,OFFSET([1]stages!$A$1,0,0,COUNTA([1]stages!$A:$A),MATCH(F$1,[1]stages!$2:$2,0)-MATCH($D$1,[1]stages!$2:$2,0)+1),MATCH(F$1,[1]stages!$2:$2,0)-MATCH($D$1,[1]stages!$2:$2,0)+1,FALSE)</f>
        <v>【初級】天翔ける金轟機龍</v>
      </c>
      <c r="G14" s="71">
        <v>4</v>
      </c>
      <c r="H14" s="70" t="str">
        <f t="shared" ref="H14" ca="1" si="14">B14&amp;"_"&amp;C14&amp;"-"&amp;G14</f>
        <v>20008_1-4</v>
      </c>
      <c r="I14" s="72">
        <v>284</v>
      </c>
      <c r="J14" s="83" t="str">
        <f ca="1">VLOOKUP($I14,OFFSET([2]enemies!$A$1,0,0,COUNTA([2]enemies!$A:$A),MATCH(J$1,[2]enemies!$1:$1,0)-MATCH($I$1,[2]enemies!$1:$1,0)+1),MATCH(J$1,[2]enemies!$1:$1,0)-MATCH($I$1,[2]enemies!$1:$1,0)+1,FALSE)</f>
        <v>フェルニゲシュ</v>
      </c>
      <c r="K14" s="60" t="str">
        <f ca="1">VLOOKUP($I14,OFFSET([2]enemies!$A$1,0,0,COUNTA([2]enemies!$A:$A),MATCH(K$1,[2]enemies!$1:$1,0)-MATCH($I$1,[2]enemies!$1:$1,0)+1),MATCH(K$1,[2]enemies!$1:$1,0)-MATCH($I$1,[2]enemies!$1:$1,0)+1,FALSE)</f>
        <v>yellow</v>
      </c>
      <c r="L14" s="61" t="str">
        <f ca="1">VLOOKUP(I14,[3]characters!$A:$J,10,FALSE)</f>
        <v>Drop2W</v>
      </c>
      <c r="M14" s="60" t="str">
        <f ca="1">VLOOKUP($I14,OFFSET([2]enemies!$A$1,0,0,COUNTA([2]enemies!$A:$A),MATCH(M$1,[2]enemies!$1:$1,0)-MATCH($I$1,[2]enemies!$1:$1,0)+1),MATCH(M$1,[2]enemies!$1:$1,0)-MATCH($I$1,[2]enemies!$1:$1,0)+1,FALSE)</f>
        <v>dragon</v>
      </c>
      <c r="N14" s="57">
        <f ca="1">VLOOKUP($I14,OFFSET([2]enemies!$A$1,0,0,COUNTA([2]enemies!$A:$A),MATCH(N$1,[2]enemies!$1:$1,0)-MATCH($I$1,[2]enemies!$1:$1,0)+1),MATCH(N$1,[2]enemies!$1:$1,0)-MATCH($I$1,[2]enemies!$1:$1,0)+1,FALSE)</f>
        <v>20</v>
      </c>
      <c r="O14" s="73">
        <v>20</v>
      </c>
      <c r="P14" s="74">
        <v>3.5</v>
      </c>
      <c r="Q14" s="74">
        <v>1.2</v>
      </c>
      <c r="R14" s="73">
        <v>0</v>
      </c>
      <c r="S14" s="57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1ターン緑パネルが使えない＋攻撃</v>
      </c>
      <c r="T14" s="79">
        <v>284</v>
      </c>
      <c r="U14" s="75">
        <v>1</v>
      </c>
      <c r="V14" s="75">
        <v>100</v>
      </c>
      <c r="W14" s="75">
        <v>1</v>
      </c>
      <c r="X14" s="60">
        <f ca="1">VLOOKUP($I14,OFFSET([2]enemies!$A$1,0,0,COUNTA([2]enemies!$A:$A),MATCH(X$1,[2]enemies!$1:$1,0)-MATCH($I$1,[2]enemies!$1:$1,0)+1),MATCH(X$1,[2]enemies!$1:$1,0)-MATCH($I$1,[2]enemies!$1:$1,0)+1,FALSE)</f>
        <v>2</v>
      </c>
      <c r="Y14" s="72">
        <v>284</v>
      </c>
      <c r="Z14" s="57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フェルニゲシュ</v>
      </c>
      <c r="AA14" s="57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3</v>
      </c>
      <c r="AB14" s="82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14" s="76">
        <v>1</v>
      </c>
      <c r="AD14" s="77">
        <f t="shared" ref="AD14" ca="1" si="15">AA14</f>
        <v>3</v>
      </c>
      <c r="AE14" s="78">
        <v>20</v>
      </c>
      <c r="AF14" s="76">
        <v>0</v>
      </c>
      <c r="AG14" s="76">
        <v>0</v>
      </c>
      <c r="AH14" s="76">
        <v>0</v>
      </c>
      <c r="AI14" s="76">
        <v>0</v>
      </c>
      <c r="AJ14" s="76">
        <v>1</v>
      </c>
    </row>
    <row r="15" spans="1:36" ht="21" customHeight="1" x14ac:dyDescent="0.15">
      <c r="A15" s="20" t="str">
        <f ca="1">B15&amp;"_"&amp;C15&amp;"-"&amp;G15&amp;"/"&amp;I15&amp;"&lt;lv"&amp;O15&amp;"&gt;s"&amp;X15</f>
        <v>20008_2-1/13&lt;lv19&gt;s2</v>
      </c>
      <c r="B15" s="27">
        <v>20008</v>
      </c>
      <c r="C15" s="44">
        <v>2</v>
      </c>
      <c r="D15" s="45" t="str">
        <f ca="1">B15&amp;"_"&amp;C15</f>
        <v>20008_2</v>
      </c>
      <c r="E15" s="4" t="str">
        <f ca="1">VLOOKUP($B15,OFFSET([1]quests!$A$1,0,0,COUNTA([1]quests!$A:$A),MATCH(E$1,[1]quests!$1:$1,0)-MATCH($B$1,[1]quests!$1:$1,0)+1),MATCH(E$1,[1]quests!$1:$1,0)-MATCH($B$1,[1]quests!$1:$1,0)+1,FALSE)</f>
        <v>天翔ける金轟機龍</v>
      </c>
      <c r="F15" s="4" t="str">
        <f ca="1">VLOOKUP($D15,OFFSET([1]stages!$A$1,0,0,COUNTA([1]stages!$A:$A),MATCH(F$1,[1]stages!$2:$2,0)-MATCH($D$1,[1]stages!$2:$2,0)+1),MATCH(F$1,[1]stages!$2:$2,0)-MATCH($D$1,[1]stages!$2:$2,0)+1,FALSE)</f>
        <v>【中級】天翔ける金轟機龍</v>
      </c>
      <c r="G15" s="44">
        <v>1</v>
      </c>
      <c r="H15" s="45" t="str">
        <f ca="1">B15&amp;"_"&amp;C15&amp;"-"&amp;G15</f>
        <v>20008_2-1</v>
      </c>
      <c r="I15" s="46">
        <v>13</v>
      </c>
      <c r="J15" s="23" t="str">
        <f ca="1">VLOOKUP($I15,OFFSET([2]enemies!$A$1,0,0,COUNTA([2]enemies!$A:$A),MATCH(J$1,[2]enemies!$1:$1,0)-MATCH($I$1,[2]enemies!$1:$1,0)+1),MATCH(J$1,[2]enemies!$1:$1,0)-MATCH($I$1,[2]enemies!$1:$1,0)+1,FALSE)</f>
        <v>ミミ</v>
      </c>
      <c r="K15" s="23" t="str">
        <f ca="1">VLOOKUP($I15,OFFSET([2]enemies!$A$1,0,0,COUNTA([2]enemies!$A:$A),MATCH(K$1,[2]enemies!$1:$1,0)-MATCH($I$1,[2]enemies!$1:$1,0)+1),MATCH(K$1,[2]enemies!$1:$1,0)-MATCH($I$1,[2]enemies!$1:$1,0)+1,FALSE)</f>
        <v>yellow</v>
      </c>
      <c r="L15" s="47" t="str">
        <f ca="1">VLOOKUP(I15,[3]characters!$A:$J,10,FALSE)</f>
        <v>Drop1W</v>
      </c>
      <c r="M15" s="23" t="str">
        <f ca="1">VLOOKUP($I15,OFFSET([2]enemies!$A$1,0,0,COUNTA([2]enemies!$A:$A),MATCH(M$1,[2]enemies!$1:$1,0)-MATCH($I$1,[2]enemies!$1:$1,0)+1),MATCH(M$1,[2]enemies!$1:$1,0)-MATCH($I$1,[2]enemies!$1:$1,0)+1,FALSE)</f>
        <v>animal</v>
      </c>
      <c r="N15" s="23">
        <f ca="1">VLOOKUP($I15,OFFSET([2]enemies!$A$1,0,0,COUNTA([2]enemies!$A:$A),MATCH(N$1,[2]enemies!$1:$1,0)-MATCH($I$1,[2]enemies!$1:$1,0)+1),MATCH(N$1,[2]enemies!$1:$1,0)-MATCH($I$1,[2]enemies!$1:$1,0)+1,FALSE)</f>
        <v>15</v>
      </c>
      <c r="O15" s="48">
        <v>19</v>
      </c>
      <c r="P15" s="49">
        <v>1.2</v>
      </c>
      <c r="Q15" s="49">
        <v>1</v>
      </c>
      <c r="R15" s="48">
        <v>0</v>
      </c>
      <c r="S15" s="4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23">
        <f ca="1">VLOOKUP($I15,OFFSET([2]enemies!$A$1,0,0,COUNTA([2]enemies!$A:$A),MATCH(T$1,[2]enemies!$1:$1,0)-MATCH($I$1,[2]enemies!$1:$1,0)+1),MATCH(T$1,[2]enemies!$1:$1,0)-MATCH($I$1,[2]enemies!$1:$1,0)+1,FALSE)</f>
        <v>0</v>
      </c>
      <c r="U15" s="50">
        <v>0</v>
      </c>
      <c r="V15" s="50">
        <v>100</v>
      </c>
      <c r="W15" s="50">
        <v>0</v>
      </c>
      <c r="X15" s="23">
        <f ca="1">VLOOKUP($I15,OFFSET([2]enemies!$A$1,0,0,COUNTA([2]enemies!$A:$A),MATCH(X$1,[2]enemies!$1:$1,0)-MATCH($I$1,[2]enemies!$1:$1,0)+1),MATCH(X$1,[2]enemies!$1:$1,0)-MATCH($I$1,[2]enemies!$1:$1,0)+1,FALSE)</f>
        <v>2</v>
      </c>
      <c r="Y15" s="46">
        <v>13</v>
      </c>
      <c r="Z15" s="4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15" s="4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1</v>
      </c>
      <c r="AB15" s="4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5" s="51">
        <v>4</v>
      </c>
      <c r="AD15" s="52">
        <f ca="1">AA15</f>
        <v>1</v>
      </c>
      <c r="AE15" s="53">
        <v>15</v>
      </c>
      <c r="AF15" s="51">
        <v>0</v>
      </c>
      <c r="AG15" s="51">
        <v>0</v>
      </c>
      <c r="AH15" s="51">
        <v>0</v>
      </c>
      <c r="AI15" s="51">
        <v>0</v>
      </c>
      <c r="AJ15" s="51">
        <v>1</v>
      </c>
    </row>
    <row r="16" spans="1:36" ht="21" customHeight="1" x14ac:dyDescent="0.15">
      <c r="A16" s="20" t="str">
        <f t="shared" ref="A16:A17" ca="1" si="16">B16&amp;"_"&amp;C16&amp;"-"&amp;G16&amp;"/"&amp;I16&amp;"&lt;lv"&amp;O16&amp;"&gt;s"&amp;X16</f>
        <v>20008_2-1/47&lt;lv19&gt;s1</v>
      </c>
      <c r="B16" s="27">
        <v>20008</v>
      </c>
      <c r="C16" s="26">
        <v>2</v>
      </c>
      <c r="D16" s="2" t="str">
        <f t="shared" ref="D16:D17" ca="1" si="17">B16&amp;"_"&amp;C16</f>
        <v>20008_2</v>
      </c>
      <c r="E16" s="4" t="str">
        <f ca="1">VLOOKUP($B16,OFFSET([1]quests!$A$1,0,0,COUNTA([1]quests!$A:$A),MATCH(E$1,[1]quests!$1:$1,0)-MATCH($B$1,[1]quests!$1:$1,0)+1),MATCH(E$1,[1]quests!$1:$1,0)-MATCH($B$1,[1]quests!$1:$1,0)+1,FALSE)</f>
        <v>天翔ける金轟機龍</v>
      </c>
      <c r="F16" s="4" t="str">
        <f ca="1">VLOOKUP($D16,OFFSET([1]stages!$A$1,0,0,COUNTA([1]stages!$A:$A),MATCH(F$1,[1]stages!$2:$2,0)-MATCH($D$1,[1]stages!$2:$2,0)+1),MATCH(F$1,[1]stages!$2:$2,0)-MATCH($D$1,[1]stages!$2:$2,0)+1,FALSE)</f>
        <v>【中級】天翔ける金轟機龍</v>
      </c>
      <c r="G16" s="26">
        <v>1</v>
      </c>
      <c r="H16" s="19" t="str">
        <f t="shared" ref="H16:H17" ca="1" si="18">B16&amp;"_"&amp;C16&amp;"-"&amp;G16</f>
        <v>20008_2-1</v>
      </c>
      <c r="I16" s="42">
        <v>47</v>
      </c>
      <c r="J16" s="23" t="str">
        <f ca="1">VLOOKUP($I16,OFFSET([2]enemies!$A$1,0,0,COUNTA([2]enemies!$A:$A),MATCH(J$1,[2]enemies!$1:$1,0)-MATCH($I$1,[2]enemies!$1:$1,0)+1),MATCH(J$1,[2]enemies!$1:$1,0)-MATCH($I$1,[2]enemies!$1:$1,0)+1,FALSE)</f>
        <v>ヒロ</v>
      </c>
      <c r="K16" s="23" t="str">
        <f ca="1">VLOOKUP($I16,OFFSET([2]enemies!$A$1,0,0,COUNTA([2]enemies!$A:$A),MATCH(K$1,[2]enemies!$1:$1,0)-MATCH($I$1,[2]enemies!$1:$1,0)+1),MATCH(K$1,[2]enemies!$1:$1,0)-MATCH($I$1,[2]enemies!$1:$1,0)+1,FALSE)</f>
        <v>yellow</v>
      </c>
      <c r="L16" s="24" t="str">
        <f ca="1">VLOOKUP(I16,[3]characters!$A:$J,10,FALSE)</f>
        <v>Drop1N</v>
      </c>
      <c r="M16" s="23" t="str">
        <f ca="1">VLOOKUP($I16,OFFSET([2]enemies!$A$1,0,0,COUNTA([2]enemies!$A:$A),MATCH(M$1,[2]enemies!$1:$1,0)-MATCH($I$1,[2]enemies!$1:$1,0)+1),MATCH(M$1,[2]enemies!$1:$1,0)-MATCH($I$1,[2]enemies!$1:$1,0)+1,FALSE)</f>
        <v>animal</v>
      </c>
      <c r="N16" s="23">
        <f ca="1">VLOOKUP($I16,OFFSET([2]enemies!$A$1,0,0,COUNTA([2]enemies!$A:$A),MATCH(N$1,[2]enemies!$1:$1,0)-MATCH($I$1,[2]enemies!$1:$1,0)+1),MATCH(N$1,[2]enemies!$1:$1,0)-MATCH($I$1,[2]enemies!$1:$1,0)+1,FALSE)</f>
        <v>15</v>
      </c>
      <c r="O16" s="48">
        <v>19</v>
      </c>
      <c r="P16" s="49">
        <v>1.2</v>
      </c>
      <c r="Q16" s="49">
        <v>1</v>
      </c>
      <c r="R16" s="5">
        <v>0</v>
      </c>
      <c r="S16" s="4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23">
        <f ca="1">VLOOKUP($I16,OFFSET([2]enemies!$A$1,0,0,COUNTA([2]enemies!$A:$A),MATCH(T$1,[2]enemies!$1:$1,0)-MATCH($I$1,[2]enemies!$1:$1,0)+1),MATCH(T$1,[2]enemies!$1:$1,0)-MATCH($I$1,[2]enemies!$1:$1,0)+1,FALSE)</f>
        <v>0</v>
      </c>
      <c r="U16" s="6">
        <v>0</v>
      </c>
      <c r="V16" s="6">
        <v>100</v>
      </c>
      <c r="W16" s="6">
        <v>0</v>
      </c>
      <c r="X16" s="23">
        <f ca="1">VLOOKUP($I16,OFFSET([2]enemies!$A$1,0,0,COUNTA([2]enemies!$A:$A),MATCH(X$1,[2]enemies!$1:$1,0)-MATCH($I$1,[2]enemies!$1:$1,0)+1),MATCH(X$1,[2]enemies!$1:$1,0)-MATCH($I$1,[2]enemies!$1:$1,0)+1,FALSE)</f>
        <v>1</v>
      </c>
      <c r="Y16" s="42">
        <v>47</v>
      </c>
      <c r="Z16" s="4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16" s="4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2</v>
      </c>
      <c r="AB16" s="4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6" s="7">
        <v>2</v>
      </c>
      <c r="AD16" s="29">
        <f t="shared" ref="AD16:AD17" ca="1" si="19">AA16</f>
        <v>2</v>
      </c>
      <c r="AE16" s="53">
        <v>15</v>
      </c>
      <c r="AF16" s="7">
        <v>0</v>
      </c>
      <c r="AG16" s="7">
        <v>0</v>
      </c>
      <c r="AH16" s="7">
        <v>0</v>
      </c>
      <c r="AI16" s="7">
        <v>0</v>
      </c>
      <c r="AJ16" s="7">
        <v>1</v>
      </c>
    </row>
    <row r="17" spans="1:36" ht="21" customHeight="1" x14ac:dyDescent="0.15">
      <c r="A17" s="20" t="str">
        <f t="shared" ca="1" si="16"/>
        <v>20008_2-1/63&lt;lv19&gt;s2</v>
      </c>
      <c r="B17" s="27">
        <v>20008</v>
      </c>
      <c r="C17" s="26">
        <v>2</v>
      </c>
      <c r="D17" s="2" t="str">
        <f t="shared" ca="1" si="17"/>
        <v>20008_2</v>
      </c>
      <c r="E17" s="4" t="str">
        <f ca="1">VLOOKUP($B17,OFFSET([1]quests!$A$1,0,0,COUNTA([1]quests!$A:$A),MATCH(E$1,[1]quests!$1:$1,0)-MATCH($B$1,[1]quests!$1:$1,0)+1),MATCH(E$1,[1]quests!$1:$1,0)-MATCH($B$1,[1]quests!$1:$1,0)+1,FALSE)</f>
        <v>天翔ける金轟機龍</v>
      </c>
      <c r="F17" s="4" t="str">
        <f ca="1">VLOOKUP($D17,OFFSET([1]stages!$A$1,0,0,COUNTA([1]stages!$A:$A),MATCH(F$1,[1]stages!$2:$2,0)-MATCH($D$1,[1]stages!$2:$2,0)+1),MATCH(F$1,[1]stages!$2:$2,0)-MATCH($D$1,[1]stages!$2:$2,0)+1,FALSE)</f>
        <v>【中級】天翔ける金轟機龍</v>
      </c>
      <c r="G17" s="26">
        <v>1</v>
      </c>
      <c r="H17" s="19" t="str">
        <f t="shared" ca="1" si="18"/>
        <v>20008_2-1</v>
      </c>
      <c r="I17" s="42">
        <v>63</v>
      </c>
      <c r="J17" s="23" t="str">
        <f ca="1">VLOOKUP($I17,OFFSET([2]enemies!$A$1,0,0,COUNTA([2]enemies!$A:$A),MATCH(J$1,[2]enemies!$1:$1,0)-MATCH($I$1,[2]enemies!$1:$1,0)+1),MATCH(J$1,[2]enemies!$1:$1,0)-MATCH($I$1,[2]enemies!$1:$1,0)+1,FALSE)</f>
        <v>トニー</v>
      </c>
      <c r="K17" s="23" t="str">
        <f ca="1">VLOOKUP($I17,OFFSET([2]enemies!$A$1,0,0,COUNTA([2]enemies!$A:$A),MATCH(K$1,[2]enemies!$1:$1,0)-MATCH($I$1,[2]enemies!$1:$1,0)+1),MATCH(K$1,[2]enemies!$1:$1,0)-MATCH($I$1,[2]enemies!$1:$1,0)+1,FALSE)</f>
        <v>yellow</v>
      </c>
      <c r="L17" s="24" t="str">
        <f ca="1">VLOOKUP(I17,[3]characters!$A:$J,10,FALSE)</f>
        <v>Drop1N</v>
      </c>
      <c r="M17" s="23" t="str">
        <f ca="1">VLOOKUP($I17,OFFSET([2]enemies!$A$1,0,0,COUNTA([2]enemies!$A:$A),MATCH(M$1,[2]enemies!$1:$1,0)-MATCH($I$1,[2]enemies!$1:$1,0)+1),MATCH(M$1,[2]enemies!$1:$1,0)-MATCH($I$1,[2]enemies!$1:$1,0)+1,FALSE)</f>
        <v>animal</v>
      </c>
      <c r="N17" s="23">
        <f ca="1">VLOOKUP($I17,OFFSET([2]enemies!$A$1,0,0,COUNTA([2]enemies!$A:$A),MATCH(N$1,[2]enemies!$1:$1,0)-MATCH($I$1,[2]enemies!$1:$1,0)+1),MATCH(N$1,[2]enemies!$1:$1,0)-MATCH($I$1,[2]enemies!$1:$1,0)+1,FALSE)</f>
        <v>15</v>
      </c>
      <c r="O17" s="48">
        <v>19</v>
      </c>
      <c r="P17" s="49">
        <v>1.2</v>
      </c>
      <c r="Q17" s="49">
        <v>1</v>
      </c>
      <c r="R17" s="5">
        <v>0</v>
      </c>
      <c r="S17" s="4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17" s="23">
        <f ca="1">VLOOKUP($I17,OFFSET([2]enemies!$A$1,0,0,COUNTA([2]enemies!$A:$A),MATCH(T$1,[2]enemies!$1:$1,0)-MATCH($I$1,[2]enemies!$1:$1,0)+1),MATCH(T$1,[2]enemies!$1:$1,0)-MATCH($I$1,[2]enemies!$1:$1,0)+1,FALSE)</f>
        <v>63</v>
      </c>
      <c r="U17" s="6">
        <v>0</v>
      </c>
      <c r="V17" s="6">
        <v>100</v>
      </c>
      <c r="W17" s="6">
        <v>0</v>
      </c>
      <c r="X17" s="23">
        <f ca="1">VLOOKUP($I17,OFFSET([2]enemies!$A$1,0,0,COUNTA([2]enemies!$A:$A),MATCH(X$1,[2]enemies!$1:$1,0)-MATCH($I$1,[2]enemies!$1:$1,0)+1),MATCH(X$1,[2]enemies!$1:$1,0)-MATCH($I$1,[2]enemies!$1:$1,0)+1,FALSE)</f>
        <v>2</v>
      </c>
      <c r="Y17" s="42">
        <v>63</v>
      </c>
      <c r="Z17" s="4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17" s="4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2</v>
      </c>
      <c r="AB17" s="4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7" s="7">
        <v>2</v>
      </c>
      <c r="AD17" s="29">
        <f t="shared" ca="1" si="19"/>
        <v>2</v>
      </c>
      <c r="AE17" s="53">
        <v>15</v>
      </c>
      <c r="AF17" s="7">
        <v>0</v>
      </c>
      <c r="AG17" s="7">
        <v>0</v>
      </c>
      <c r="AH17" s="7">
        <v>0</v>
      </c>
      <c r="AI17" s="7">
        <v>0</v>
      </c>
      <c r="AJ17" s="7">
        <v>1</v>
      </c>
    </row>
    <row r="18" spans="1:36" ht="21" customHeight="1" x14ac:dyDescent="0.15">
      <c r="A18" s="20" t="str">
        <f ca="1">B18&amp;"_"&amp;C18&amp;"-"&amp;G18&amp;"/"&amp;I18&amp;"&lt;lv"&amp;O18&amp;"&gt;s"&amp;X18</f>
        <v>20008_2-2/13&lt;lv19&gt;s2</v>
      </c>
      <c r="B18" s="27">
        <v>20008</v>
      </c>
      <c r="C18" s="44">
        <v>2</v>
      </c>
      <c r="D18" s="45" t="str">
        <f ca="1">B18&amp;"_"&amp;C18</f>
        <v>20008_2</v>
      </c>
      <c r="E18" s="4" t="str">
        <f ca="1">VLOOKUP($B18,OFFSET([1]quests!$A$1,0,0,COUNTA([1]quests!$A:$A),MATCH(E$1,[1]quests!$1:$1,0)-MATCH($B$1,[1]quests!$1:$1,0)+1),MATCH(E$1,[1]quests!$1:$1,0)-MATCH($B$1,[1]quests!$1:$1,0)+1,FALSE)</f>
        <v>天翔ける金轟機龍</v>
      </c>
      <c r="F18" s="4" t="str">
        <f ca="1">VLOOKUP($D18,OFFSET([1]stages!$A$1,0,0,COUNTA([1]stages!$A:$A),MATCH(F$1,[1]stages!$2:$2,0)-MATCH($D$1,[1]stages!$2:$2,0)+1),MATCH(F$1,[1]stages!$2:$2,0)-MATCH($D$1,[1]stages!$2:$2,0)+1,FALSE)</f>
        <v>【中級】天翔ける金轟機龍</v>
      </c>
      <c r="G18" s="68">
        <v>2</v>
      </c>
      <c r="H18" s="45" t="str">
        <f ca="1">B18&amp;"_"&amp;C18&amp;"-"&amp;G18</f>
        <v>20008_2-2</v>
      </c>
      <c r="I18" s="42">
        <v>13</v>
      </c>
      <c r="J18" s="23" t="str">
        <f ca="1">VLOOKUP($I18,OFFSET([2]enemies!$A$1,0,0,COUNTA([2]enemies!$A:$A),MATCH(J$1,[2]enemies!$1:$1,0)-MATCH($I$1,[2]enemies!$1:$1,0)+1),MATCH(J$1,[2]enemies!$1:$1,0)-MATCH($I$1,[2]enemies!$1:$1,0)+1,FALSE)</f>
        <v>ミミ</v>
      </c>
      <c r="K18" s="23" t="str">
        <f ca="1">VLOOKUP($I18,OFFSET([2]enemies!$A$1,0,0,COUNTA([2]enemies!$A:$A),MATCH(K$1,[2]enemies!$1:$1,0)-MATCH($I$1,[2]enemies!$1:$1,0)+1),MATCH(K$1,[2]enemies!$1:$1,0)-MATCH($I$1,[2]enemies!$1:$1,0)+1,FALSE)</f>
        <v>yellow</v>
      </c>
      <c r="L18" s="24" t="str">
        <f ca="1">VLOOKUP(I18,[3]characters!$A:$J,10,FALSE)</f>
        <v>Drop1W</v>
      </c>
      <c r="M18" s="23" t="str">
        <f ca="1">VLOOKUP($I18,OFFSET([2]enemies!$A$1,0,0,COUNTA([2]enemies!$A:$A),MATCH(M$1,[2]enemies!$1:$1,0)-MATCH($I$1,[2]enemies!$1:$1,0)+1),MATCH(M$1,[2]enemies!$1:$1,0)-MATCH($I$1,[2]enemies!$1:$1,0)+1,FALSE)</f>
        <v>animal</v>
      </c>
      <c r="N18" s="23">
        <f ca="1">VLOOKUP($I18,OFFSET([2]enemies!$A$1,0,0,COUNTA([2]enemies!$A:$A),MATCH(N$1,[2]enemies!$1:$1,0)-MATCH($I$1,[2]enemies!$1:$1,0)+1),MATCH(N$1,[2]enemies!$1:$1,0)-MATCH($I$1,[2]enemies!$1:$1,0)+1,FALSE)</f>
        <v>15</v>
      </c>
      <c r="O18" s="48">
        <v>19</v>
      </c>
      <c r="P18" s="49">
        <v>1.2</v>
      </c>
      <c r="Q18" s="49">
        <v>1</v>
      </c>
      <c r="R18" s="48">
        <v>0</v>
      </c>
      <c r="S18" s="4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23">
        <f ca="1">VLOOKUP($I18,OFFSET([2]enemies!$A$1,0,0,COUNTA([2]enemies!$A:$A),MATCH(T$1,[2]enemies!$1:$1,0)-MATCH($I$1,[2]enemies!$1:$1,0)+1),MATCH(T$1,[2]enemies!$1:$1,0)-MATCH($I$1,[2]enemies!$1:$1,0)+1,FALSE)</f>
        <v>0</v>
      </c>
      <c r="U18" s="50">
        <v>0</v>
      </c>
      <c r="V18" s="50">
        <v>100</v>
      </c>
      <c r="W18" s="50">
        <v>0</v>
      </c>
      <c r="X18" s="23">
        <f ca="1">VLOOKUP($I18,OFFSET([2]enemies!$A$1,0,0,COUNTA([2]enemies!$A:$A),MATCH(X$1,[2]enemies!$1:$1,0)-MATCH($I$1,[2]enemies!$1:$1,0)+1),MATCH(X$1,[2]enemies!$1:$1,0)-MATCH($I$1,[2]enemies!$1:$1,0)+1,FALSE)</f>
        <v>2</v>
      </c>
      <c r="Y18" s="42">
        <v>13</v>
      </c>
      <c r="Z18" s="4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18" s="4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1</v>
      </c>
      <c r="AB18" s="4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8" s="51">
        <v>4</v>
      </c>
      <c r="AD18" s="52">
        <f ca="1">AA18</f>
        <v>1</v>
      </c>
      <c r="AE18" s="53">
        <v>0</v>
      </c>
      <c r="AF18" s="51">
        <v>0</v>
      </c>
      <c r="AG18" s="51">
        <v>0</v>
      </c>
      <c r="AH18" s="51">
        <v>0</v>
      </c>
      <c r="AI18" s="51">
        <v>0</v>
      </c>
      <c r="AJ18" s="51">
        <v>1</v>
      </c>
    </row>
    <row r="19" spans="1:36" ht="21" customHeight="1" x14ac:dyDescent="0.15">
      <c r="A19" s="20" t="str">
        <f t="shared" ref="A19:A20" ca="1" si="20">B19&amp;"_"&amp;C19&amp;"-"&amp;G19&amp;"/"&amp;I19&amp;"&lt;lv"&amp;O19&amp;"&gt;s"&amp;X19</f>
        <v>20008_2-2/47&lt;lv19&gt;s1</v>
      </c>
      <c r="B19" s="27">
        <v>20008</v>
      </c>
      <c r="C19" s="26">
        <v>2</v>
      </c>
      <c r="D19" s="2" t="str">
        <f t="shared" ref="D19:D20" ca="1" si="21">B19&amp;"_"&amp;C19</f>
        <v>20008_2</v>
      </c>
      <c r="E19" s="4" t="str">
        <f ca="1">VLOOKUP($B19,OFFSET([1]quests!$A$1,0,0,COUNTA([1]quests!$A:$A),MATCH(E$1,[1]quests!$1:$1,0)-MATCH($B$1,[1]quests!$1:$1,0)+1),MATCH(E$1,[1]quests!$1:$1,0)-MATCH($B$1,[1]quests!$1:$1,0)+1,FALSE)</f>
        <v>天翔ける金轟機龍</v>
      </c>
      <c r="F19" s="4" t="str">
        <f ca="1">VLOOKUP($D19,OFFSET([1]stages!$A$1,0,0,COUNTA([1]stages!$A:$A),MATCH(F$1,[1]stages!$2:$2,0)-MATCH($D$1,[1]stages!$2:$2,0)+1),MATCH(F$1,[1]stages!$2:$2,0)-MATCH($D$1,[1]stages!$2:$2,0)+1,FALSE)</f>
        <v>【中級】天翔ける金轟機龍</v>
      </c>
      <c r="G19" s="68">
        <v>2</v>
      </c>
      <c r="H19" s="19" t="str">
        <f t="shared" ref="H19:H20" ca="1" si="22">B19&amp;"_"&amp;C19&amp;"-"&amp;G19</f>
        <v>20008_2-2</v>
      </c>
      <c r="I19" s="42">
        <v>47</v>
      </c>
      <c r="J19" s="23" t="str">
        <f ca="1">VLOOKUP($I19,OFFSET([2]enemies!$A$1,0,0,COUNTA([2]enemies!$A:$A),MATCH(J$1,[2]enemies!$1:$1,0)-MATCH($I$1,[2]enemies!$1:$1,0)+1),MATCH(J$1,[2]enemies!$1:$1,0)-MATCH($I$1,[2]enemies!$1:$1,0)+1,FALSE)</f>
        <v>ヒロ</v>
      </c>
      <c r="K19" s="23" t="str">
        <f ca="1">VLOOKUP($I19,OFFSET([2]enemies!$A$1,0,0,COUNTA([2]enemies!$A:$A),MATCH(K$1,[2]enemies!$1:$1,0)-MATCH($I$1,[2]enemies!$1:$1,0)+1),MATCH(K$1,[2]enemies!$1:$1,0)-MATCH($I$1,[2]enemies!$1:$1,0)+1,FALSE)</f>
        <v>yellow</v>
      </c>
      <c r="L19" s="24" t="str">
        <f ca="1">VLOOKUP(I19,[3]characters!$A:$J,10,FALSE)</f>
        <v>Drop1N</v>
      </c>
      <c r="M19" s="23" t="str">
        <f ca="1">VLOOKUP($I19,OFFSET([2]enemies!$A$1,0,0,COUNTA([2]enemies!$A:$A),MATCH(M$1,[2]enemies!$1:$1,0)-MATCH($I$1,[2]enemies!$1:$1,0)+1),MATCH(M$1,[2]enemies!$1:$1,0)-MATCH($I$1,[2]enemies!$1:$1,0)+1,FALSE)</f>
        <v>animal</v>
      </c>
      <c r="N19" s="23">
        <f ca="1">VLOOKUP($I19,OFFSET([2]enemies!$A$1,0,0,COUNTA([2]enemies!$A:$A),MATCH(N$1,[2]enemies!$1:$1,0)-MATCH($I$1,[2]enemies!$1:$1,0)+1),MATCH(N$1,[2]enemies!$1:$1,0)-MATCH($I$1,[2]enemies!$1:$1,0)+1,FALSE)</f>
        <v>15</v>
      </c>
      <c r="O19" s="48">
        <v>19</v>
      </c>
      <c r="P19" s="49">
        <v>1.2</v>
      </c>
      <c r="Q19" s="49">
        <v>1</v>
      </c>
      <c r="R19" s="5">
        <v>0</v>
      </c>
      <c r="S19" s="4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23">
        <f ca="1">VLOOKUP($I19,OFFSET([2]enemies!$A$1,0,0,COUNTA([2]enemies!$A:$A),MATCH(T$1,[2]enemies!$1:$1,0)-MATCH($I$1,[2]enemies!$1:$1,0)+1),MATCH(T$1,[2]enemies!$1:$1,0)-MATCH($I$1,[2]enemies!$1:$1,0)+1,FALSE)</f>
        <v>0</v>
      </c>
      <c r="U19" s="6">
        <v>0</v>
      </c>
      <c r="V19" s="6">
        <v>100</v>
      </c>
      <c r="W19" s="6">
        <v>0</v>
      </c>
      <c r="X19" s="23">
        <f ca="1">VLOOKUP($I19,OFFSET([2]enemies!$A$1,0,0,COUNTA([2]enemies!$A:$A),MATCH(X$1,[2]enemies!$1:$1,0)-MATCH($I$1,[2]enemies!$1:$1,0)+1),MATCH(X$1,[2]enemies!$1:$1,0)-MATCH($I$1,[2]enemies!$1:$1,0)+1,FALSE)</f>
        <v>1</v>
      </c>
      <c r="Y19" s="42">
        <v>47</v>
      </c>
      <c r="Z19" s="4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19" s="4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2</v>
      </c>
      <c r="AB19" s="4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9" s="7">
        <v>2</v>
      </c>
      <c r="AD19" s="29">
        <f t="shared" ref="AD19:AD20" ca="1" si="23">AA19</f>
        <v>2</v>
      </c>
      <c r="AE19" s="53">
        <v>0</v>
      </c>
      <c r="AF19" s="7">
        <v>0</v>
      </c>
      <c r="AG19" s="7">
        <v>0</v>
      </c>
      <c r="AH19" s="7">
        <v>0</v>
      </c>
      <c r="AI19" s="7">
        <v>0</v>
      </c>
      <c r="AJ19" s="7">
        <v>1</v>
      </c>
    </row>
    <row r="20" spans="1:36" ht="21" customHeight="1" x14ac:dyDescent="0.15">
      <c r="A20" s="20" t="str">
        <f t="shared" ca="1" si="20"/>
        <v>20008_2-2/346&lt;lv3&gt;s3</v>
      </c>
      <c r="B20" s="27">
        <v>20008</v>
      </c>
      <c r="C20" s="26">
        <v>2</v>
      </c>
      <c r="D20" s="2" t="str">
        <f t="shared" ca="1" si="21"/>
        <v>20008_2</v>
      </c>
      <c r="E20" s="4" t="str">
        <f ca="1">VLOOKUP($B20,OFFSET([1]quests!$A$1,0,0,COUNTA([1]quests!$A:$A),MATCH(E$1,[1]quests!$1:$1,0)-MATCH($B$1,[1]quests!$1:$1,0)+1),MATCH(E$1,[1]quests!$1:$1,0)-MATCH($B$1,[1]quests!$1:$1,0)+1,FALSE)</f>
        <v>天翔ける金轟機龍</v>
      </c>
      <c r="F20" s="4" t="str">
        <f ca="1">VLOOKUP($D20,OFFSET([1]stages!$A$1,0,0,COUNTA([1]stages!$A:$A),MATCH(F$1,[1]stages!$2:$2,0)-MATCH($D$1,[1]stages!$2:$2,0)+1),MATCH(F$1,[1]stages!$2:$2,0)-MATCH($D$1,[1]stages!$2:$2,0)+1,FALSE)</f>
        <v>【中級】天翔ける金轟機龍</v>
      </c>
      <c r="G20" s="68">
        <v>2</v>
      </c>
      <c r="H20" s="19" t="str">
        <f t="shared" ca="1" si="22"/>
        <v>20008_2-2</v>
      </c>
      <c r="I20" s="42">
        <v>346</v>
      </c>
      <c r="J20" s="23" t="str">
        <f ca="1">VLOOKUP($I20,OFFSET([2]enemies!$A$1,0,0,COUNTA([2]enemies!$A:$A),MATCH(J$1,[2]enemies!$1:$1,0)-MATCH($I$1,[2]enemies!$1:$1,0)+1),MATCH(J$1,[2]enemies!$1:$1,0)-MATCH($I$1,[2]enemies!$1:$1,0)+1,FALSE)</f>
        <v>雷のメタルダック</v>
      </c>
      <c r="K20" s="23" t="str">
        <f ca="1">VLOOKUP($I20,OFFSET([2]enemies!$A$1,0,0,COUNTA([2]enemies!$A:$A),MATCH(K$1,[2]enemies!$1:$1,0)-MATCH($I$1,[2]enemies!$1:$1,0)+1),MATCH(K$1,[2]enemies!$1:$1,0)-MATCH($I$1,[2]enemies!$1:$1,0)+1,FALSE)</f>
        <v>yellow</v>
      </c>
      <c r="L20" s="24" t="str">
        <f ca="1">VLOOKUP(I20,[3]characters!$A:$J,10,FALSE)</f>
        <v>Material</v>
      </c>
      <c r="M20" s="23" t="str">
        <f ca="1">VLOOKUP($I20,OFFSET([2]enemies!$A$1,0,0,COUNTA([2]enemies!$A:$A),MATCH(M$1,[2]enemies!$1:$1,0)-MATCH($I$1,[2]enemies!$1:$1,0)+1),MATCH(M$1,[2]enemies!$1:$1,0)-MATCH($I$1,[2]enemies!$1:$1,0)+1,FALSE)</f>
        <v>unknown</v>
      </c>
      <c r="N20" s="23">
        <f ca="1">VLOOKUP($I20,OFFSET([2]enemies!$A$1,0,0,COUNTA([2]enemies!$A:$A),MATCH(N$1,[2]enemies!$1:$1,0)-MATCH($I$1,[2]enemies!$1:$1,0)+1),MATCH(N$1,[2]enemies!$1:$1,0)-MATCH($I$1,[2]enemies!$1:$1,0)+1,FALSE)</f>
        <v>20</v>
      </c>
      <c r="O20" s="48">
        <v>3</v>
      </c>
      <c r="P20" s="49">
        <v>0.3</v>
      </c>
      <c r="Q20" s="49">
        <v>1</v>
      </c>
      <c r="R20" s="5">
        <v>0</v>
      </c>
      <c r="S20" s="4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23">
        <f ca="1">VLOOKUP($I20,OFFSET([2]enemies!$A$1,0,0,COUNTA([2]enemies!$A:$A),MATCH(T$1,[2]enemies!$1:$1,0)-MATCH($I$1,[2]enemies!$1:$1,0)+1),MATCH(T$1,[2]enemies!$1:$1,0)-MATCH($I$1,[2]enemies!$1:$1,0)+1,FALSE)</f>
        <v>0</v>
      </c>
      <c r="U20" s="6">
        <v>1</v>
      </c>
      <c r="V20" s="6">
        <v>100</v>
      </c>
      <c r="W20" s="6">
        <v>1</v>
      </c>
      <c r="X20" s="23">
        <f ca="1">VLOOKUP($I20,OFFSET([2]enemies!$A$1,0,0,COUNTA([2]enemies!$A:$A),MATCH(X$1,[2]enemies!$1:$1,0)-MATCH($I$1,[2]enemies!$1:$1,0)+1),MATCH(X$1,[2]enemies!$1:$1,0)-MATCH($I$1,[2]enemies!$1:$1,0)+1,FALSE)</f>
        <v>3</v>
      </c>
      <c r="Y20" s="42">
        <v>346</v>
      </c>
      <c r="Z20" s="4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雷のメタルダック</v>
      </c>
      <c r="AA20" s="4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5</v>
      </c>
      <c r="AB20" s="4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20" s="7">
        <v>1</v>
      </c>
      <c r="AD20" s="29">
        <f t="shared" ca="1" si="23"/>
        <v>5</v>
      </c>
      <c r="AE20" s="8">
        <v>10</v>
      </c>
      <c r="AF20" s="7">
        <v>0</v>
      </c>
      <c r="AG20" s="7">
        <v>0</v>
      </c>
      <c r="AH20" s="7">
        <v>0</v>
      </c>
      <c r="AI20" s="7">
        <v>0</v>
      </c>
      <c r="AJ20" s="7">
        <v>1</v>
      </c>
    </row>
    <row r="21" spans="1:36" ht="21" customHeight="1" x14ac:dyDescent="0.15">
      <c r="A21" s="20" t="str">
        <f ca="1">B21&amp;"_"&amp;C21&amp;"-"&amp;G21&amp;"/"&amp;I21&amp;"&lt;lv"&amp;O21&amp;"&gt;s"&amp;X21</f>
        <v>20008_2-3/13&lt;lv19&gt;s2</v>
      </c>
      <c r="B21" s="27">
        <v>20008</v>
      </c>
      <c r="C21" s="26">
        <v>2</v>
      </c>
      <c r="D21" s="2" t="str">
        <f ca="1">B21&amp;"_"&amp;C21</f>
        <v>20008_2</v>
      </c>
      <c r="E21" s="4" t="str">
        <f ca="1">VLOOKUP($B21,OFFSET([1]quests!$A$1,0,0,COUNTA([1]quests!$A:$A),MATCH(E$1,[1]quests!$1:$1,0)-MATCH($B$1,[1]quests!$1:$1,0)+1),MATCH(E$1,[1]quests!$1:$1,0)-MATCH($B$1,[1]quests!$1:$1,0)+1,FALSE)</f>
        <v>天翔ける金轟機龍</v>
      </c>
      <c r="F21" s="4" t="str">
        <f ca="1">VLOOKUP($D21,OFFSET([1]stages!$A$1,0,0,COUNTA([1]stages!$A:$A),MATCH(F$1,[1]stages!$2:$2,0)-MATCH($D$1,[1]stages!$2:$2,0)+1),MATCH(F$1,[1]stages!$2:$2,0)-MATCH($D$1,[1]stages!$2:$2,0)+1,FALSE)</f>
        <v>【中級】天翔ける金轟機龍</v>
      </c>
      <c r="G21" s="80">
        <v>3</v>
      </c>
      <c r="H21" s="19" t="str">
        <f ca="1">B21&amp;"_"&amp;C21&amp;"-"&amp;G21</f>
        <v>20008_2-3</v>
      </c>
      <c r="I21" s="42">
        <v>13</v>
      </c>
      <c r="J21" s="23" t="str">
        <f ca="1">VLOOKUP($I21,OFFSET([2]enemies!$A$1,0,0,COUNTA([2]enemies!$A:$A),MATCH(J$1,[2]enemies!$1:$1,0)-MATCH($I$1,[2]enemies!$1:$1,0)+1),MATCH(J$1,[2]enemies!$1:$1,0)-MATCH($I$1,[2]enemies!$1:$1,0)+1,FALSE)</f>
        <v>ミミ</v>
      </c>
      <c r="K21" s="23" t="str">
        <f ca="1">VLOOKUP($I21,OFFSET([2]enemies!$A$1,0,0,COUNTA([2]enemies!$A:$A),MATCH(K$1,[2]enemies!$1:$1,0)-MATCH($I$1,[2]enemies!$1:$1,0)+1),MATCH(K$1,[2]enemies!$1:$1,0)-MATCH($I$1,[2]enemies!$1:$1,0)+1,FALSE)</f>
        <v>yellow</v>
      </c>
      <c r="L21" s="24" t="str">
        <f ca="1">VLOOKUP(I21,[3]characters!$A:$J,10,FALSE)</f>
        <v>Drop1W</v>
      </c>
      <c r="M21" s="23" t="str">
        <f ca="1">VLOOKUP($I21,OFFSET([2]enemies!$A$1,0,0,COUNTA([2]enemies!$A:$A),MATCH(M$1,[2]enemies!$1:$1,0)-MATCH($I$1,[2]enemies!$1:$1,0)+1),MATCH(M$1,[2]enemies!$1:$1,0)-MATCH($I$1,[2]enemies!$1:$1,0)+1,FALSE)</f>
        <v>animal</v>
      </c>
      <c r="N21" s="23">
        <f ca="1">VLOOKUP($I21,OFFSET([2]enemies!$A$1,0,0,COUNTA([2]enemies!$A:$A),MATCH(N$1,[2]enemies!$1:$1,0)-MATCH($I$1,[2]enemies!$1:$1,0)+1),MATCH(N$1,[2]enemies!$1:$1,0)-MATCH($I$1,[2]enemies!$1:$1,0)+1,FALSE)</f>
        <v>15</v>
      </c>
      <c r="O21" s="48">
        <v>19</v>
      </c>
      <c r="P21" s="49">
        <v>1.2</v>
      </c>
      <c r="Q21" s="49">
        <v>1</v>
      </c>
      <c r="R21" s="5">
        <v>0</v>
      </c>
      <c r="S21" s="4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23">
        <f ca="1">VLOOKUP($I21,OFFSET([2]enemies!$A$1,0,0,COUNTA([2]enemies!$A:$A),MATCH(T$1,[2]enemies!$1:$1,0)-MATCH($I$1,[2]enemies!$1:$1,0)+1),MATCH(T$1,[2]enemies!$1:$1,0)-MATCH($I$1,[2]enemies!$1:$1,0)+1,FALSE)</f>
        <v>0</v>
      </c>
      <c r="U21" s="6">
        <v>0</v>
      </c>
      <c r="V21" s="6">
        <v>100</v>
      </c>
      <c r="W21" s="6">
        <v>0</v>
      </c>
      <c r="X21" s="23">
        <f ca="1">VLOOKUP($I21,OFFSET([2]enemies!$A$1,0,0,COUNTA([2]enemies!$A:$A),MATCH(X$1,[2]enemies!$1:$1,0)-MATCH($I$1,[2]enemies!$1:$1,0)+1),MATCH(X$1,[2]enemies!$1:$1,0)-MATCH($I$1,[2]enemies!$1:$1,0)+1,FALSE)</f>
        <v>2</v>
      </c>
      <c r="Y21" s="42">
        <v>13</v>
      </c>
      <c r="Z21" s="4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21" s="4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1</v>
      </c>
      <c r="AB21" s="4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1" s="51">
        <v>4</v>
      </c>
      <c r="AD21" s="29">
        <f ca="1">AA21</f>
        <v>1</v>
      </c>
      <c r="AE21" s="53">
        <v>15</v>
      </c>
      <c r="AF21" s="7">
        <v>0</v>
      </c>
      <c r="AG21" s="7">
        <v>0</v>
      </c>
      <c r="AH21" s="7">
        <v>0</v>
      </c>
      <c r="AI21" s="7">
        <v>0</v>
      </c>
      <c r="AJ21" s="7">
        <v>1</v>
      </c>
    </row>
    <row r="22" spans="1:36" ht="21" customHeight="1" x14ac:dyDescent="0.15">
      <c r="A22" s="20" t="str">
        <f t="shared" ref="A22:A25" ca="1" si="24">B22&amp;"_"&amp;C22&amp;"-"&amp;G22&amp;"/"&amp;I22&amp;"&lt;lv"&amp;O22&amp;"&gt;s"&amp;X22</f>
        <v>20008_2-3/39&lt;lv19&gt;s3</v>
      </c>
      <c r="B22" s="27">
        <v>20008</v>
      </c>
      <c r="C22" s="26">
        <v>2</v>
      </c>
      <c r="D22" s="2" t="str">
        <f t="shared" ref="D22:D25" ca="1" si="25">B22&amp;"_"&amp;C22</f>
        <v>20008_2</v>
      </c>
      <c r="E22" s="4" t="str">
        <f ca="1">VLOOKUP($B22,OFFSET([1]quests!$A$1,0,0,COUNTA([1]quests!$A:$A),MATCH(E$1,[1]quests!$1:$1,0)-MATCH($B$1,[1]quests!$1:$1,0)+1),MATCH(E$1,[1]quests!$1:$1,0)-MATCH($B$1,[1]quests!$1:$1,0)+1,FALSE)</f>
        <v>天翔ける金轟機龍</v>
      </c>
      <c r="F22" s="4" t="str">
        <f ca="1">VLOOKUP($D22,OFFSET([1]stages!$A$1,0,0,COUNTA([1]stages!$A:$A),MATCH(F$1,[1]stages!$2:$2,0)-MATCH($D$1,[1]stages!$2:$2,0)+1),MATCH(F$1,[1]stages!$2:$2,0)-MATCH($D$1,[1]stages!$2:$2,0)+1,FALSE)</f>
        <v>【中級】天翔ける金轟機龍</v>
      </c>
      <c r="G22" s="80">
        <v>3</v>
      </c>
      <c r="H22" s="19" t="str">
        <f t="shared" ref="H22:H25" ca="1" si="26">B22&amp;"_"&amp;C22&amp;"-"&amp;G22</f>
        <v>20008_2-3</v>
      </c>
      <c r="I22" s="42">
        <v>39</v>
      </c>
      <c r="J22" s="23" t="str">
        <f ca="1">VLOOKUP($I22,OFFSET([2]enemies!$A$1,0,0,COUNTA([2]enemies!$A:$A),MATCH(J$1,[2]enemies!$1:$1,0)-MATCH($I$1,[2]enemies!$1:$1,0)+1),MATCH(J$1,[2]enemies!$1:$1,0)-MATCH($I$1,[2]enemies!$1:$1,0)+1,FALSE)</f>
        <v>マーロン</v>
      </c>
      <c r="K22" s="23" t="str">
        <f ca="1">VLOOKUP($I22,OFFSET([2]enemies!$A$1,0,0,COUNTA([2]enemies!$A:$A),MATCH(K$1,[2]enemies!$1:$1,0)-MATCH($I$1,[2]enemies!$1:$1,0)+1),MATCH(K$1,[2]enemies!$1:$1,0)-MATCH($I$1,[2]enemies!$1:$1,0)+1,FALSE)</f>
        <v>yellow</v>
      </c>
      <c r="L22" s="24" t="str">
        <f ca="1">VLOOKUP(I22,[3]characters!$A:$J,10,FALSE)</f>
        <v>Drop1S</v>
      </c>
      <c r="M22" s="23" t="str">
        <f ca="1">VLOOKUP($I22,OFFSET([2]enemies!$A$1,0,0,COUNTA([2]enemies!$A:$A),MATCH(M$1,[2]enemies!$1:$1,0)-MATCH($I$1,[2]enemies!$1:$1,0)+1),MATCH(M$1,[2]enemies!$1:$1,0)-MATCH($I$1,[2]enemies!$1:$1,0)+1,FALSE)</f>
        <v>human</v>
      </c>
      <c r="N22" s="23">
        <f ca="1">VLOOKUP($I22,OFFSET([2]enemies!$A$1,0,0,COUNTA([2]enemies!$A:$A),MATCH(N$1,[2]enemies!$1:$1,0)-MATCH($I$1,[2]enemies!$1:$1,0)+1),MATCH(N$1,[2]enemies!$1:$1,0)-MATCH($I$1,[2]enemies!$1:$1,0)+1,FALSE)</f>
        <v>15</v>
      </c>
      <c r="O22" s="48">
        <v>19</v>
      </c>
      <c r="P22" s="49">
        <v>1.2</v>
      </c>
      <c r="Q22" s="49">
        <v>1</v>
      </c>
      <c r="R22" s="5">
        <v>0</v>
      </c>
      <c r="S22" s="4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22" s="23">
        <f ca="1">VLOOKUP($I22,OFFSET([2]enemies!$A$1,0,0,COUNTA([2]enemies!$A:$A),MATCH(T$1,[2]enemies!$1:$1,0)-MATCH($I$1,[2]enemies!$1:$1,0)+1),MATCH(T$1,[2]enemies!$1:$1,0)-MATCH($I$1,[2]enemies!$1:$1,0)+1,FALSE)</f>
        <v>39</v>
      </c>
      <c r="U22" s="6">
        <v>0</v>
      </c>
      <c r="V22" s="6">
        <v>50</v>
      </c>
      <c r="W22" s="6">
        <v>0</v>
      </c>
      <c r="X22" s="23">
        <f ca="1">VLOOKUP($I22,OFFSET([2]enemies!$A$1,0,0,COUNTA([2]enemies!$A:$A),MATCH(X$1,[2]enemies!$1:$1,0)-MATCH($I$1,[2]enemies!$1:$1,0)+1),MATCH(X$1,[2]enemies!$1:$1,0)-MATCH($I$1,[2]enemies!$1:$1,0)+1,FALSE)</f>
        <v>3</v>
      </c>
      <c r="Y22" s="42">
        <v>39</v>
      </c>
      <c r="Z22" s="4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マーロン</v>
      </c>
      <c r="AA22" s="4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2</v>
      </c>
      <c r="AB22" s="4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22" s="7">
        <v>1</v>
      </c>
      <c r="AD22" s="29">
        <f t="shared" ref="AD22:AD25" ca="1" si="27">AA22</f>
        <v>2</v>
      </c>
      <c r="AE22" s="53">
        <v>15</v>
      </c>
      <c r="AF22" s="7">
        <v>0</v>
      </c>
      <c r="AG22" s="7">
        <v>0</v>
      </c>
      <c r="AH22" s="7">
        <v>0</v>
      </c>
      <c r="AI22" s="7">
        <v>0</v>
      </c>
      <c r="AJ22" s="7">
        <v>1</v>
      </c>
    </row>
    <row r="23" spans="1:36" ht="21" customHeight="1" x14ac:dyDescent="0.15">
      <c r="A23" s="20" t="str">
        <f t="shared" ca="1" si="24"/>
        <v>20008_2-3/47&lt;lv19&gt;s1</v>
      </c>
      <c r="B23" s="27">
        <v>20008</v>
      </c>
      <c r="C23" s="26">
        <v>2</v>
      </c>
      <c r="D23" s="2" t="str">
        <f t="shared" ca="1" si="25"/>
        <v>20008_2</v>
      </c>
      <c r="E23" s="4" t="str">
        <f ca="1">VLOOKUP($B23,OFFSET([1]quests!$A$1,0,0,COUNTA([1]quests!$A:$A),MATCH(E$1,[1]quests!$1:$1,0)-MATCH($B$1,[1]quests!$1:$1,0)+1),MATCH(E$1,[1]quests!$1:$1,0)-MATCH($B$1,[1]quests!$1:$1,0)+1,FALSE)</f>
        <v>天翔ける金轟機龍</v>
      </c>
      <c r="F23" s="4" t="str">
        <f ca="1">VLOOKUP($D23,OFFSET([1]stages!$A$1,0,0,COUNTA([1]stages!$A:$A),MATCH(F$1,[1]stages!$2:$2,0)-MATCH($D$1,[1]stages!$2:$2,0)+1),MATCH(F$1,[1]stages!$2:$2,0)-MATCH($D$1,[1]stages!$2:$2,0)+1,FALSE)</f>
        <v>【中級】天翔ける金轟機龍</v>
      </c>
      <c r="G23" s="80">
        <v>3</v>
      </c>
      <c r="H23" s="19" t="str">
        <f t="shared" ca="1" si="26"/>
        <v>20008_2-3</v>
      </c>
      <c r="I23" s="42">
        <v>47</v>
      </c>
      <c r="J23" s="23" t="str">
        <f ca="1">VLOOKUP($I23,OFFSET([2]enemies!$A$1,0,0,COUNTA([2]enemies!$A:$A),MATCH(J$1,[2]enemies!$1:$1,0)-MATCH($I$1,[2]enemies!$1:$1,0)+1),MATCH(J$1,[2]enemies!$1:$1,0)-MATCH($I$1,[2]enemies!$1:$1,0)+1,FALSE)</f>
        <v>ヒロ</v>
      </c>
      <c r="K23" s="23" t="str">
        <f ca="1">VLOOKUP($I23,OFFSET([2]enemies!$A$1,0,0,COUNTA([2]enemies!$A:$A),MATCH(K$1,[2]enemies!$1:$1,0)-MATCH($I$1,[2]enemies!$1:$1,0)+1),MATCH(K$1,[2]enemies!$1:$1,0)-MATCH($I$1,[2]enemies!$1:$1,0)+1,FALSE)</f>
        <v>yellow</v>
      </c>
      <c r="L23" s="24" t="str">
        <f ca="1">VLOOKUP(I23,[3]characters!$A:$J,10,FALSE)</f>
        <v>Drop1N</v>
      </c>
      <c r="M23" s="23" t="str">
        <f ca="1">VLOOKUP($I23,OFFSET([2]enemies!$A$1,0,0,COUNTA([2]enemies!$A:$A),MATCH(M$1,[2]enemies!$1:$1,0)-MATCH($I$1,[2]enemies!$1:$1,0)+1),MATCH(M$1,[2]enemies!$1:$1,0)-MATCH($I$1,[2]enemies!$1:$1,0)+1,FALSE)</f>
        <v>animal</v>
      </c>
      <c r="N23" s="23">
        <f ca="1">VLOOKUP($I23,OFFSET([2]enemies!$A$1,0,0,COUNTA([2]enemies!$A:$A),MATCH(N$1,[2]enemies!$1:$1,0)-MATCH($I$1,[2]enemies!$1:$1,0)+1),MATCH(N$1,[2]enemies!$1:$1,0)-MATCH($I$1,[2]enemies!$1:$1,0)+1,FALSE)</f>
        <v>15</v>
      </c>
      <c r="O23" s="48">
        <v>19</v>
      </c>
      <c r="P23" s="49">
        <v>1.2</v>
      </c>
      <c r="Q23" s="49">
        <v>1</v>
      </c>
      <c r="R23" s="5">
        <v>0</v>
      </c>
      <c r="S23" s="4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23">
        <f ca="1">VLOOKUP($I23,OFFSET([2]enemies!$A$1,0,0,COUNTA([2]enemies!$A:$A),MATCH(T$1,[2]enemies!$1:$1,0)-MATCH($I$1,[2]enemies!$1:$1,0)+1),MATCH(T$1,[2]enemies!$1:$1,0)-MATCH($I$1,[2]enemies!$1:$1,0)+1,FALSE)</f>
        <v>0</v>
      </c>
      <c r="U23" s="6">
        <v>0</v>
      </c>
      <c r="V23" s="6">
        <v>50</v>
      </c>
      <c r="W23" s="6">
        <v>0</v>
      </c>
      <c r="X23" s="23">
        <f ca="1">VLOOKUP($I23,OFFSET([2]enemies!$A$1,0,0,COUNTA([2]enemies!$A:$A),MATCH(X$1,[2]enemies!$1:$1,0)-MATCH($I$1,[2]enemies!$1:$1,0)+1),MATCH(X$1,[2]enemies!$1:$1,0)-MATCH($I$1,[2]enemies!$1:$1,0)+1,FALSE)</f>
        <v>1</v>
      </c>
      <c r="Y23" s="42">
        <v>47</v>
      </c>
      <c r="Z23" s="4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23" s="4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2</v>
      </c>
      <c r="AB23" s="4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3" s="7">
        <v>2</v>
      </c>
      <c r="AD23" s="29">
        <f t="shared" ca="1" si="27"/>
        <v>2</v>
      </c>
      <c r="AE23" s="53">
        <v>15</v>
      </c>
      <c r="AF23" s="7">
        <v>0</v>
      </c>
      <c r="AG23" s="7">
        <v>0</v>
      </c>
      <c r="AH23" s="7">
        <v>0</v>
      </c>
      <c r="AI23" s="7">
        <v>0</v>
      </c>
      <c r="AJ23" s="7">
        <v>1</v>
      </c>
    </row>
    <row r="24" spans="1:36" ht="21" customHeight="1" x14ac:dyDescent="0.15">
      <c r="A24" s="20" t="str">
        <f t="shared" ca="1" si="24"/>
        <v>20008_2-3/63&lt;lv19&gt;s2</v>
      </c>
      <c r="B24" s="27">
        <v>20008</v>
      </c>
      <c r="C24" s="26">
        <v>2</v>
      </c>
      <c r="D24" s="2" t="str">
        <f t="shared" ca="1" si="25"/>
        <v>20008_2</v>
      </c>
      <c r="E24" s="4" t="str">
        <f ca="1">VLOOKUP($B24,OFFSET([1]quests!$A$1,0,0,COUNTA([1]quests!$A:$A),MATCH(E$1,[1]quests!$1:$1,0)-MATCH($B$1,[1]quests!$1:$1,0)+1),MATCH(E$1,[1]quests!$1:$1,0)-MATCH($B$1,[1]quests!$1:$1,0)+1,FALSE)</f>
        <v>天翔ける金轟機龍</v>
      </c>
      <c r="F24" s="4" t="str">
        <f ca="1">VLOOKUP($D24,OFFSET([1]stages!$A$1,0,0,COUNTA([1]stages!$A:$A),MATCH(F$1,[1]stages!$2:$2,0)-MATCH($D$1,[1]stages!$2:$2,0)+1),MATCH(F$1,[1]stages!$2:$2,0)-MATCH($D$1,[1]stages!$2:$2,0)+1,FALSE)</f>
        <v>【中級】天翔ける金轟機龍</v>
      </c>
      <c r="G24" s="80">
        <v>3</v>
      </c>
      <c r="H24" s="19" t="str">
        <f t="shared" ca="1" si="26"/>
        <v>20008_2-3</v>
      </c>
      <c r="I24" s="42">
        <v>63</v>
      </c>
      <c r="J24" s="23" t="str">
        <f ca="1">VLOOKUP($I24,OFFSET([2]enemies!$A$1,0,0,COUNTA([2]enemies!$A:$A),MATCH(J$1,[2]enemies!$1:$1,0)-MATCH($I$1,[2]enemies!$1:$1,0)+1),MATCH(J$1,[2]enemies!$1:$1,0)-MATCH($I$1,[2]enemies!$1:$1,0)+1,FALSE)</f>
        <v>トニー</v>
      </c>
      <c r="K24" s="23" t="str">
        <f ca="1">VLOOKUP($I24,OFFSET([2]enemies!$A$1,0,0,COUNTA([2]enemies!$A:$A),MATCH(K$1,[2]enemies!$1:$1,0)-MATCH($I$1,[2]enemies!$1:$1,0)+1),MATCH(K$1,[2]enemies!$1:$1,0)-MATCH($I$1,[2]enemies!$1:$1,0)+1,FALSE)</f>
        <v>yellow</v>
      </c>
      <c r="L24" s="24" t="str">
        <f ca="1">VLOOKUP(I24,[3]characters!$A:$J,10,FALSE)</f>
        <v>Drop1N</v>
      </c>
      <c r="M24" s="23" t="str">
        <f ca="1">VLOOKUP($I24,OFFSET([2]enemies!$A$1,0,0,COUNTA([2]enemies!$A:$A),MATCH(M$1,[2]enemies!$1:$1,0)-MATCH($I$1,[2]enemies!$1:$1,0)+1),MATCH(M$1,[2]enemies!$1:$1,0)-MATCH($I$1,[2]enemies!$1:$1,0)+1,FALSE)</f>
        <v>animal</v>
      </c>
      <c r="N24" s="23">
        <f ca="1">VLOOKUP($I24,OFFSET([2]enemies!$A$1,0,0,COUNTA([2]enemies!$A:$A),MATCH(N$1,[2]enemies!$1:$1,0)-MATCH($I$1,[2]enemies!$1:$1,0)+1),MATCH(N$1,[2]enemies!$1:$1,0)-MATCH($I$1,[2]enemies!$1:$1,0)+1,FALSE)</f>
        <v>15</v>
      </c>
      <c r="O24" s="48">
        <v>19</v>
      </c>
      <c r="P24" s="49">
        <v>1.2</v>
      </c>
      <c r="Q24" s="49">
        <v>1</v>
      </c>
      <c r="R24" s="5">
        <v>0</v>
      </c>
      <c r="S24" s="4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24" s="23">
        <f ca="1">VLOOKUP($I24,OFFSET([2]enemies!$A$1,0,0,COUNTA([2]enemies!$A:$A),MATCH(T$1,[2]enemies!$1:$1,0)-MATCH($I$1,[2]enemies!$1:$1,0)+1),MATCH(T$1,[2]enemies!$1:$1,0)-MATCH($I$1,[2]enemies!$1:$1,0)+1,FALSE)</f>
        <v>63</v>
      </c>
      <c r="U24" s="6">
        <v>0</v>
      </c>
      <c r="V24" s="6">
        <v>100</v>
      </c>
      <c r="W24" s="6">
        <v>0</v>
      </c>
      <c r="X24" s="23">
        <f ca="1">VLOOKUP($I24,OFFSET([2]enemies!$A$1,0,0,COUNTA([2]enemies!$A:$A),MATCH(X$1,[2]enemies!$1:$1,0)-MATCH($I$1,[2]enemies!$1:$1,0)+1),MATCH(X$1,[2]enemies!$1:$1,0)-MATCH($I$1,[2]enemies!$1:$1,0)+1,FALSE)</f>
        <v>2</v>
      </c>
      <c r="Y24" s="42">
        <v>63</v>
      </c>
      <c r="Z24" s="4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24" s="4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2</v>
      </c>
      <c r="AB24" s="4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4" s="7">
        <v>2</v>
      </c>
      <c r="AD24" s="29">
        <f t="shared" ca="1" si="27"/>
        <v>2</v>
      </c>
      <c r="AE24" s="53">
        <v>15</v>
      </c>
      <c r="AF24" s="7">
        <v>0</v>
      </c>
      <c r="AG24" s="7">
        <v>0</v>
      </c>
      <c r="AH24" s="7">
        <v>0</v>
      </c>
      <c r="AI24" s="7">
        <v>0</v>
      </c>
      <c r="AJ24" s="7">
        <v>1</v>
      </c>
    </row>
    <row r="25" spans="1:36" ht="21" customHeight="1" thickBot="1" x14ac:dyDescent="0.2">
      <c r="A25" s="54" t="str">
        <f t="shared" ca="1" si="24"/>
        <v>20008_2-4/284&lt;lv35&gt;s2</v>
      </c>
      <c r="B25" s="27">
        <v>20008</v>
      </c>
      <c r="C25" s="55">
        <v>2</v>
      </c>
      <c r="D25" s="56" t="str">
        <f t="shared" ca="1" si="25"/>
        <v>20008_2</v>
      </c>
      <c r="E25" s="57" t="str">
        <f ca="1">VLOOKUP($B25,OFFSET([1]quests!$A$1,0,0,COUNTA([1]quests!$A:$A),MATCH(E$1,[1]quests!$1:$1,0)-MATCH($B$1,[1]quests!$1:$1,0)+1),MATCH(E$1,[1]quests!$1:$1,0)-MATCH($B$1,[1]quests!$1:$1,0)+1,FALSE)</f>
        <v>天翔ける金轟機龍</v>
      </c>
      <c r="F25" s="57" t="str">
        <f ca="1">VLOOKUP($D25,OFFSET([1]stages!$A$1,0,0,COUNTA([1]stages!$A:$A),MATCH(F$1,[1]stages!$2:$2,0)-MATCH($D$1,[1]stages!$2:$2,0)+1),MATCH(F$1,[1]stages!$2:$2,0)-MATCH($D$1,[1]stages!$2:$2,0)+1,FALSE)</f>
        <v>【中級】天翔ける金轟機龍</v>
      </c>
      <c r="G25" s="58">
        <v>4</v>
      </c>
      <c r="H25" s="56" t="str">
        <f t="shared" ca="1" si="26"/>
        <v>20008_2-4</v>
      </c>
      <c r="I25" s="59">
        <v>284</v>
      </c>
      <c r="J25" s="83" t="str">
        <f ca="1">VLOOKUP($I25,OFFSET([2]enemies!$A$1,0,0,COUNTA([2]enemies!$A:$A),MATCH(J$1,[2]enemies!$1:$1,0)-MATCH($I$1,[2]enemies!$1:$1,0)+1),MATCH(J$1,[2]enemies!$1:$1,0)-MATCH($I$1,[2]enemies!$1:$1,0)+1,FALSE)</f>
        <v>フェルニゲシュ</v>
      </c>
      <c r="K25" s="60" t="str">
        <f ca="1">VLOOKUP($I25,OFFSET([2]enemies!$A$1,0,0,COUNTA([2]enemies!$A:$A),MATCH(K$1,[2]enemies!$1:$1,0)-MATCH($I$1,[2]enemies!$1:$1,0)+1),MATCH(K$1,[2]enemies!$1:$1,0)-MATCH($I$1,[2]enemies!$1:$1,0)+1,FALSE)</f>
        <v>yellow</v>
      </c>
      <c r="L25" s="61" t="str">
        <f ca="1">VLOOKUP(I25,[3]characters!$A:$J,10,FALSE)</f>
        <v>Drop2W</v>
      </c>
      <c r="M25" s="60" t="str">
        <f ca="1">VLOOKUP($I25,OFFSET([2]enemies!$A$1,0,0,COUNTA([2]enemies!$A:$A),MATCH(M$1,[2]enemies!$1:$1,0)-MATCH($I$1,[2]enemies!$1:$1,0)+1),MATCH(M$1,[2]enemies!$1:$1,0)-MATCH($I$1,[2]enemies!$1:$1,0)+1,FALSE)</f>
        <v>dragon</v>
      </c>
      <c r="N25" s="57">
        <f ca="1">VLOOKUP($I25,OFFSET([2]enemies!$A$1,0,0,COUNTA([2]enemies!$A:$A),MATCH(N$1,[2]enemies!$1:$1,0)-MATCH($I$1,[2]enemies!$1:$1,0)+1),MATCH(N$1,[2]enemies!$1:$1,0)-MATCH($I$1,[2]enemies!$1:$1,0)+1,FALSE)</f>
        <v>20</v>
      </c>
      <c r="O25" s="62">
        <v>35</v>
      </c>
      <c r="P25" s="63">
        <v>3.3</v>
      </c>
      <c r="Q25" s="63">
        <v>1</v>
      </c>
      <c r="R25" s="62">
        <v>0</v>
      </c>
      <c r="S25" s="57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1ターン緑パネルが使えない＋攻撃</v>
      </c>
      <c r="T25" s="79">
        <v>284</v>
      </c>
      <c r="U25" s="64">
        <v>1</v>
      </c>
      <c r="V25" s="64">
        <v>100</v>
      </c>
      <c r="W25" s="64">
        <v>1</v>
      </c>
      <c r="X25" s="60">
        <f ca="1">VLOOKUP($I25,OFFSET([2]enemies!$A$1,0,0,COUNTA([2]enemies!$A:$A),MATCH(X$1,[2]enemies!$1:$1,0)-MATCH($I$1,[2]enemies!$1:$1,0)+1),MATCH(X$1,[2]enemies!$1:$1,0)-MATCH($I$1,[2]enemies!$1:$1,0)+1,FALSE)</f>
        <v>2</v>
      </c>
      <c r="Y25" s="59">
        <v>284</v>
      </c>
      <c r="Z25" s="57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フェルニゲシュ</v>
      </c>
      <c r="AA25" s="57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3</v>
      </c>
      <c r="AB25" s="82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25" s="65">
        <v>1</v>
      </c>
      <c r="AD25" s="66">
        <f t="shared" ca="1" si="27"/>
        <v>3</v>
      </c>
      <c r="AE25" s="67">
        <v>50</v>
      </c>
      <c r="AF25" s="65">
        <v>0</v>
      </c>
      <c r="AG25" s="65">
        <v>0</v>
      </c>
      <c r="AH25" s="65">
        <v>0</v>
      </c>
      <c r="AI25" s="65">
        <v>0</v>
      </c>
      <c r="AJ25" s="65">
        <v>1</v>
      </c>
    </row>
    <row r="26" spans="1:36" ht="21" customHeight="1" x14ac:dyDescent="0.15">
      <c r="A26" s="20" t="str">
        <f ca="1">B26&amp;"_"&amp;C26&amp;"-"&amp;G26&amp;"/"&amp;I26&amp;"&lt;lv"&amp;O26&amp;"&gt;s"&amp;X26</f>
        <v>20008_3-1/31&lt;lv25&gt;s2</v>
      </c>
      <c r="B26" s="27">
        <v>20008</v>
      </c>
      <c r="C26" s="44">
        <v>3</v>
      </c>
      <c r="D26" s="45" t="str">
        <f ca="1">B26&amp;"_"&amp;C26</f>
        <v>20008_3</v>
      </c>
      <c r="E26" s="4" t="str">
        <f ca="1">VLOOKUP($B26,OFFSET([1]quests!$A$1,0,0,COUNTA([1]quests!$A:$A),MATCH(E$1,[1]quests!$1:$1,0)-MATCH($B$1,[1]quests!$1:$1,0)+1),MATCH(E$1,[1]quests!$1:$1,0)-MATCH($B$1,[1]quests!$1:$1,0)+1,FALSE)</f>
        <v>天翔ける金轟機龍</v>
      </c>
      <c r="F26" s="4" t="str">
        <f ca="1">VLOOKUP($D26,OFFSET([1]stages!$A$1,0,0,COUNTA([1]stages!$A:$A),MATCH(F$1,[1]stages!$2:$2,0)-MATCH($D$1,[1]stages!$2:$2,0)+1),MATCH(F$1,[1]stages!$2:$2,0)-MATCH($D$1,[1]stages!$2:$2,0)+1,FALSE)</f>
        <v>【上級】天翔ける金轟機龍</v>
      </c>
      <c r="G26" s="44">
        <v>1</v>
      </c>
      <c r="H26" s="45" t="str">
        <f ca="1">B26&amp;"_"&amp;C26&amp;"-"&amp;G26</f>
        <v>20008_3-1</v>
      </c>
      <c r="I26" s="42">
        <v>31</v>
      </c>
      <c r="J26" s="23" t="str">
        <f ca="1">VLOOKUP($I26,OFFSET([2]enemies!$A$1,0,0,COUNTA([2]enemies!$A:$A),MATCH(J$1,[2]enemies!$1:$1,0)-MATCH($I$1,[2]enemies!$1:$1,0)+1),MATCH(J$1,[2]enemies!$1:$1,0)-MATCH($I$1,[2]enemies!$1:$1,0)+1,FALSE)</f>
        <v>マービー</v>
      </c>
      <c r="K26" s="23" t="str">
        <f ca="1">VLOOKUP($I26,OFFSET([2]enemies!$A$1,0,0,COUNTA([2]enemies!$A:$A),MATCH(K$1,[2]enemies!$1:$1,0)-MATCH($I$1,[2]enemies!$1:$1,0)+1),MATCH(K$1,[2]enemies!$1:$1,0)-MATCH($I$1,[2]enemies!$1:$1,0)+1,FALSE)</f>
        <v>yellow</v>
      </c>
      <c r="L26" s="47" t="str">
        <f ca="1">VLOOKUP(I26,[3]characters!$A:$J,10,FALSE)</f>
        <v>Drop1N</v>
      </c>
      <c r="M26" s="23" t="str">
        <f ca="1">VLOOKUP($I26,OFFSET([2]enemies!$A$1,0,0,COUNTA([2]enemies!$A:$A),MATCH(M$1,[2]enemies!$1:$1,0)-MATCH($I$1,[2]enemies!$1:$1,0)+1),MATCH(M$1,[2]enemies!$1:$1,0)-MATCH($I$1,[2]enemies!$1:$1,0)+1,FALSE)</f>
        <v>machine</v>
      </c>
      <c r="N26" s="23">
        <f ca="1">VLOOKUP($I26,OFFSET([2]enemies!$A$1,0,0,COUNTA([2]enemies!$A:$A),MATCH(N$1,[2]enemies!$1:$1,0)-MATCH($I$1,[2]enemies!$1:$1,0)+1),MATCH(N$1,[2]enemies!$1:$1,0)-MATCH($I$1,[2]enemies!$1:$1,0)+1,FALSE)</f>
        <v>15</v>
      </c>
      <c r="O26" s="48">
        <v>25</v>
      </c>
      <c r="P26" s="49">
        <v>1.2</v>
      </c>
      <c r="Q26" s="49">
        <v>1</v>
      </c>
      <c r="R26" s="48">
        <v>0</v>
      </c>
      <c r="S26" s="4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23">
        <f ca="1">VLOOKUP($I26,OFFSET([2]enemies!$A$1,0,0,COUNTA([2]enemies!$A:$A),MATCH(T$1,[2]enemies!$1:$1,0)-MATCH($I$1,[2]enemies!$1:$1,0)+1),MATCH(T$1,[2]enemies!$1:$1,0)-MATCH($I$1,[2]enemies!$1:$1,0)+1,FALSE)</f>
        <v>0</v>
      </c>
      <c r="U26" s="50">
        <v>0</v>
      </c>
      <c r="V26" s="50">
        <v>100</v>
      </c>
      <c r="W26" s="50">
        <v>0</v>
      </c>
      <c r="X26" s="23">
        <f ca="1">VLOOKUP($I26,OFFSET([2]enemies!$A$1,0,0,COUNTA([2]enemies!$A:$A),MATCH(X$1,[2]enemies!$1:$1,0)-MATCH($I$1,[2]enemies!$1:$1,0)+1),MATCH(X$1,[2]enemies!$1:$1,0)-MATCH($I$1,[2]enemies!$1:$1,0)+1,FALSE)</f>
        <v>2</v>
      </c>
      <c r="Y26" s="46">
        <v>31</v>
      </c>
      <c r="Z26" s="4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26" s="4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1</v>
      </c>
      <c r="AB26" s="4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6" s="51">
        <v>5</v>
      </c>
      <c r="AD26" s="52">
        <f ca="1">AA26</f>
        <v>1</v>
      </c>
      <c r="AE26" s="53">
        <v>10</v>
      </c>
      <c r="AF26" s="51">
        <v>0</v>
      </c>
      <c r="AG26" s="51">
        <v>0</v>
      </c>
      <c r="AH26" s="51">
        <v>0</v>
      </c>
      <c r="AI26" s="51">
        <v>0</v>
      </c>
      <c r="AJ26" s="51">
        <v>1</v>
      </c>
    </row>
    <row r="27" spans="1:36" ht="21" customHeight="1" x14ac:dyDescent="0.15">
      <c r="A27" s="20" t="str">
        <f t="shared" ref="A27:A28" ca="1" si="28">B27&amp;"_"&amp;C27&amp;"-"&amp;G27&amp;"/"&amp;I27&amp;"&lt;lv"&amp;O27&amp;"&gt;s"&amp;X27</f>
        <v>20008_3-1/47&lt;lv25&gt;s1</v>
      </c>
      <c r="B27" s="27">
        <v>20008</v>
      </c>
      <c r="C27" s="44">
        <v>3</v>
      </c>
      <c r="D27" s="2" t="str">
        <f t="shared" ref="D27:D28" ca="1" si="29">B27&amp;"_"&amp;C27</f>
        <v>20008_3</v>
      </c>
      <c r="E27" s="4" t="str">
        <f ca="1">VLOOKUP($B27,OFFSET([1]quests!$A$1,0,0,COUNTA([1]quests!$A:$A),MATCH(E$1,[1]quests!$1:$1,0)-MATCH($B$1,[1]quests!$1:$1,0)+1),MATCH(E$1,[1]quests!$1:$1,0)-MATCH($B$1,[1]quests!$1:$1,0)+1,FALSE)</f>
        <v>天翔ける金轟機龍</v>
      </c>
      <c r="F27" s="4" t="str">
        <f ca="1">VLOOKUP($D27,OFFSET([1]stages!$A$1,0,0,COUNTA([1]stages!$A:$A),MATCH(F$1,[1]stages!$2:$2,0)-MATCH($D$1,[1]stages!$2:$2,0)+1),MATCH(F$1,[1]stages!$2:$2,0)-MATCH($D$1,[1]stages!$2:$2,0)+1,FALSE)</f>
        <v>【上級】天翔ける金轟機龍</v>
      </c>
      <c r="G27" s="26">
        <v>1</v>
      </c>
      <c r="H27" s="19" t="str">
        <f t="shared" ref="H27:H28" ca="1" si="30">B27&amp;"_"&amp;C27&amp;"-"&amp;G27</f>
        <v>20008_3-1</v>
      </c>
      <c r="I27" s="42">
        <v>47</v>
      </c>
      <c r="J27" s="23" t="str">
        <f ca="1">VLOOKUP($I27,OFFSET([2]enemies!$A$1,0,0,COUNTA([2]enemies!$A:$A),MATCH(J$1,[2]enemies!$1:$1,0)-MATCH($I$1,[2]enemies!$1:$1,0)+1),MATCH(J$1,[2]enemies!$1:$1,0)-MATCH($I$1,[2]enemies!$1:$1,0)+1,FALSE)</f>
        <v>ヒロ</v>
      </c>
      <c r="K27" s="23" t="str">
        <f ca="1">VLOOKUP($I27,OFFSET([2]enemies!$A$1,0,0,COUNTA([2]enemies!$A:$A),MATCH(K$1,[2]enemies!$1:$1,0)-MATCH($I$1,[2]enemies!$1:$1,0)+1),MATCH(K$1,[2]enemies!$1:$1,0)-MATCH($I$1,[2]enemies!$1:$1,0)+1,FALSE)</f>
        <v>yellow</v>
      </c>
      <c r="L27" s="24" t="str">
        <f ca="1">VLOOKUP(I27,[3]characters!$A:$J,10,FALSE)</f>
        <v>Drop1N</v>
      </c>
      <c r="M27" s="23" t="str">
        <f ca="1">VLOOKUP($I27,OFFSET([2]enemies!$A$1,0,0,COUNTA([2]enemies!$A:$A),MATCH(M$1,[2]enemies!$1:$1,0)-MATCH($I$1,[2]enemies!$1:$1,0)+1),MATCH(M$1,[2]enemies!$1:$1,0)-MATCH($I$1,[2]enemies!$1:$1,0)+1,FALSE)</f>
        <v>animal</v>
      </c>
      <c r="N27" s="23">
        <f ca="1">VLOOKUP($I27,OFFSET([2]enemies!$A$1,0,0,COUNTA([2]enemies!$A:$A),MATCH(N$1,[2]enemies!$1:$1,0)-MATCH($I$1,[2]enemies!$1:$1,0)+1),MATCH(N$1,[2]enemies!$1:$1,0)-MATCH($I$1,[2]enemies!$1:$1,0)+1,FALSE)</f>
        <v>15</v>
      </c>
      <c r="O27" s="48">
        <v>25</v>
      </c>
      <c r="P27" s="49">
        <v>1.2</v>
      </c>
      <c r="Q27" s="49">
        <v>1</v>
      </c>
      <c r="R27" s="5">
        <v>0</v>
      </c>
      <c r="S27" s="4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23">
        <f ca="1">VLOOKUP($I27,OFFSET([2]enemies!$A$1,0,0,COUNTA([2]enemies!$A:$A),MATCH(T$1,[2]enemies!$1:$1,0)-MATCH($I$1,[2]enemies!$1:$1,0)+1),MATCH(T$1,[2]enemies!$1:$1,0)-MATCH($I$1,[2]enemies!$1:$1,0)+1,FALSE)</f>
        <v>0</v>
      </c>
      <c r="U27" s="6">
        <v>0</v>
      </c>
      <c r="V27" s="6">
        <v>100</v>
      </c>
      <c r="W27" s="6">
        <v>0</v>
      </c>
      <c r="X27" s="23">
        <f ca="1">VLOOKUP($I27,OFFSET([2]enemies!$A$1,0,0,COUNTA([2]enemies!$A:$A),MATCH(X$1,[2]enemies!$1:$1,0)-MATCH($I$1,[2]enemies!$1:$1,0)+1),MATCH(X$1,[2]enemies!$1:$1,0)-MATCH($I$1,[2]enemies!$1:$1,0)+1,FALSE)</f>
        <v>1</v>
      </c>
      <c r="Y27" s="42">
        <v>47</v>
      </c>
      <c r="Z27" s="4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27" s="4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2</v>
      </c>
      <c r="AB27" s="4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7" s="51">
        <v>5</v>
      </c>
      <c r="AD27" s="29">
        <f t="shared" ref="AD27:AD28" ca="1" si="31">AA27</f>
        <v>2</v>
      </c>
      <c r="AE27" s="53">
        <v>10</v>
      </c>
      <c r="AF27" s="7">
        <v>0</v>
      </c>
      <c r="AG27" s="7">
        <v>0</v>
      </c>
      <c r="AH27" s="7">
        <v>0</v>
      </c>
      <c r="AI27" s="7">
        <v>0</v>
      </c>
      <c r="AJ27" s="7">
        <v>1</v>
      </c>
    </row>
    <row r="28" spans="1:36" ht="21" customHeight="1" x14ac:dyDescent="0.15">
      <c r="A28" s="20" t="str">
        <f t="shared" ca="1" si="28"/>
        <v>20008_3-1/63&lt;lv25&gt;s2</v>
      </c>
      <c r="B28" s="27">
        <v>20008</v>
      </c>
      <c r="C28" s="44">
        <v>3</v>
      </c>
      <c r="D28" s="2" t="str">
        <f t="shared" ca="1" si="29"/>
        <v>20008_3</v>
      </c>
      <c r="E28" s="4" t="str">
        <f ca="1">VLOOKUP($B28,OFFSET([1]quests!$A$1,0,0,COUNTA([1]quests!$A:$A),MATCH(E$1,[1]quests!$1:$1,0)-MATCH($B$1,[1]quests!$1:$1,0)+1),MATCH(E$1,[1]quests!$1:$1,0)-MATCH($B$1,[1]quests!$1:$1,0)+1,FALSE)</f>
        <v>天翔ける金轟機龍</v>
      </c>
      <c r="F28" s="4" t="str">
        <f ca="1">VLOOKUP($D28,OFFSET([1]stages!$A$1,0,0,COUNTA([1]stages!$A:$A),MATCH(F$1,[1]stages!$2:$2,0)-MATCH($D$1,[1]stages!$2:$2,0)+1),MATCH(F$1,[1]stages!$2:$2,0)-MATCH($D$1,[1]stages!$2:$2,0)+1,FALSE)</f>
        <v>【上級】天翔ける金轟機龍</v>
      </c>
      <c r="G28" s="26">
        <v>1</v>
      </c>
      <c r="H28" s="19" t="str">
        <f t="shared" ca="1" si="30"/>
        <v>20008_3-1</v>
      </c>
      <c r="I28" s="42">
        <v>63</v>
      </c>
      <c r="J28" s="23" t="str">
        <f ca="1">VLOOKUP($I28,OFFSET([2]enemies!$A$1,0,0,COUNTA([2]enemies!$A:$A),MATCH(J$1,[2]enemies!$1:$1,0)-MATCH($I$1,[2]enemies!$1:$1,0)+1),MATCH(J$1,[2]enemies!$1:$1,0)-MATCH($I$1,[2]enemies!$1:$1,0)+1,FALSE)</f>
        <v>トニー</v>
      </c>
      <c r="K28" s="23" t="str">
        <f ca="1">VLOOKUP($I28,OFFSET([2]enemies!$A$1,0,0,COUNTA([2]enemies!$A:$A),MATCH(K$1,[2]enemies!$1:$1,0)-MATCH($I$1,[2]enemies!$1:$1,0)+1),MATCH(K$1,[2]enemies!$1:$1,0)-MATCH($I$1,[2]enemies!$1:$1,0)+1,FALSE)</f>
        <v>yellow</v>
      </c>
      <c r="L28" s="24" t="str">
        <f ca="1">VLOOKUP(I28,[3]characters!$A:$J,10,FALSE)</f>
        <v>Drop1N</v>
      </c>
      <c r="M28" s="23" t="str">
        <f ca="1">VLOOKUP($I28,OFFSET([2]enemies!$A$1,0,0,COUNTA([2]enemies!$A:$A),MATCH(M$1,[2]enemies!$1:$1,0)-MATCH($I$1,[2]enemies!$1:$1,0)+1),MATCH(M$1,[2]enemies!$1:$1,0)-MATCH($I$1,[2]enemies!$1:$1,0)+1,FALSE)</f>
        <v>animal</v>
      </c>
      <c r="N28" s="23">
        <f ca="1">VLOOKUP($I28,OFFSET([2]enemies!$A$1,0,0,COUNTA([2]enemies!$A:$A),MATCH(N$1,[2]enemies!$1:$1,0)-MATCH($I$1,[2]enemies!$1:$1,0)+1),MATCH(N$1,[2]enemies!$1:$1,0)-MATCH($I$1,[2]enemies!$1:$1,0)+1,FALSE)</f>
        <v>15</v>
      </c>
      <c r="O28" s="48">
        <v>25</v>
      </c>
      <c r="P28" s="49">
        <v>1.2</v>
      </c>
      <c r="Q28" s="49">
        <v>1</v>
      </c>
      <c r="R28" s="5">
        <v>0</v>
      </c>
      <c r="S28" s="4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28" s="23">
        <f ca="1">VLOOKUP($I28,OFFSET([2]enemies!$A$1,0,0,COUNTA([2]enemies!$A:$A),MATCH(T$1,[2]enemies!$1:$1,0)-MATCH($I$1,[2]enemies!$1:$1,0)+1),MATCH(T$1,[2]enemies!$1:$1,0)-MATCH($I$1,[2]enemies!$1:$1,0)+1,FALSE)</f>
        <v>63</v>
      </c>
      <c r="U28" s="6">
        <v>0</v>
      </c>
      <c r="V28" s="6">
        <v>100</v>
      </c>
      <c r="W28" s="6">
        <v>0</v>
      </c>
      <c r="X28" s="23">
        <f ca="1">VLOOKUP($I28,OFFSET([2]enemies!$A$1,0,0,COUNTA([2]enemies!$A:$A),MATCH(X$1,[2]enemies!$1:$1,0)-MATCH($I$1,[2]enemies!$1:$1,0)+1),MATCH(X$1,[2]enemies!$1:$1,0)-MATCH($I$1,[2]enemies!$1:$1,0)+1,FALSE)</f>
        <v>2</v>
      </c>
      <c r="Y28" s="42">
        <v>63</v>
      </c>
      <c r="Z28" s="4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28" s="4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2</v>
      </c>
      <c r="AB28" s="4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8" s="51">
        <v>5</v>
      </c>
      <c r="AD28" s="29">
        <f t="shared" ca="1" si="31"/>
        <v>2</v>
      </c>
      <c r="AE28" s="53">
        <v>10</v>
      </c>
      <c r="AF28" s="7">
        <v>0</v>
      </c>
      <c r="AG28" s="7">
        <v>0</v>
      </c>
      <c r="AH28" s="7">
        <v>0</v>
      </c>
      <c r="AI28" s="7">
        <v>0</v>
      </c>
      <c r="AJ28" s="7">
        <v>1</v>
      </c>
    </row>
    <row r="29" spans="1:36" ht="21" customHeight="1" x14ac:dyDescent="0.15">
      <c r="A29" s="20" t="str">
        <f ca="1">B29&amp;"_"&amp;C29&amp;"-"&amp;G29&amp;"/"&amp;I29&amp;"&lt;lv"&amp;O29&amp;"&gt;s"&amp;X29</f>
        <v>20008_3-2/31&lt;lv25&gt;s2</v>
      </c>
      <c r="B29" s="27">
        <v>20008</v>
      </c>
      <c r="C29" s="44">
        <v>3</v>
      </c>
      <c r="D29" s="45" t="str">
        <f ca="1">B29&amp;"_"&amp;C29</f>
        <v>20008_3</v>
      </c>
      <c r="E29" s="4" t="str">
        <f ca="1">VLOOKUP($B29,OFFSET([1]quests!$A$1,0,0,COUNTA([1]quests!$A:$A),MATCH(E$1,[1]quests!$1:$1,0)-MATCH($B$1,[1]quests!$1:$1,0)+1),MATCH(E$1,[1]quests!$1:$1,0)-MATCH($B$1,[1]quests!$1:$1,0)+1,FALSE)</f>
        <v>天翔ける金轟機龍</v>
      </c>
      <c r="F29" s="4" t="str">
        <f ca="1">VLOOKUP($D29,OFFSET([1]stages!$A$1,0,0,COUNTA([1]stages!$A:$A),MATCH(F$1,[1]stages!$2:$2,0)-MATCH($D$1,[1]stages!$2:$2,0)+1),MATCH(F$1,[1]stages!$2:$2,0)-MATCH($D$1,[1]stages!$2:$2,0)+1,FALSE)</f>
        <v>【上級】天翔ける金轟機龍</v>
      </c>
      <c r="G29" s="68">
        <v>2</v>
      </c>
      <c r="H29" s="45" t="str">
        <f ca="1">B29&amp;"_"&amp;C29&amp;"-"&amp;G29</f>
        <v>20008_3-2</v>
      </c>
      <c r="I29" s="42">
        <v>31</v>
      </c>
      <c r="J29" s="23" t="str">
        <f ca="1">VLOOKUP($I29,OFFSET([2]enemies!$A$1,0,0,COUNTA([2]enemies!$A:$A),MATCH(J$1,[2]enemies!$1:$1,0)-MATCH($I$1,[2]enemies!$1:$1,0)+1),MATCH(J$1,[2]enemies!$1:$1,0)-MATCH($I$1,[2]enemies!$1:$1,0)+1,FALSE)</f>
        <v>マービー</v>
      </c>
      <c r="K29" s="23" t="str">
        <f ca="1">VLOOKUP($I29,OFFSET([2]enemies!$A$1,0,0,COUNTA([2]enemies!$A:$A),MATCH(K$1,[2]enemies!$1:$1,0)-MATCH($I$1,[2]enemies!$1:$1,0)+1),MATCH(K$1,[2]enemies!$1:$1,0)-MATCH($I$1,[2]enemies!$1:$1,0)+1,FALSE)</f>
        <v>yellow</v>
      </c>
      <c r="L29" s="24" t="str">
        <f ca="1">VLOOKUP(I29,[3]characters!$A:$J,10,FALSE)</f>
        <v>Drop1N</v>
      </c>
      <c r="M29" s="23" t="str">
        <f ca="1">VLOOKUP($I29,OFFSET([2]enemies!$A$1,0,0,COUNTA([2]enemies!$A:$A),MATCH(M$1,[2]enemies!$1:$1,0)-MATCH($I$1,[2]enemies!$1:$1,0)+1),MATCH(M$1,[2]enemies!$1:$1,0)-MATCH($I$1,[2]enemies!$1:$1,0)+1,FALSE)</f>
        <v>machine</v>
      </c>
      <c r="N29" s="23">
        <f ca="1">VLOOKUP($I29,OFFSET([2]enemies!$A$1,0,0,COUNTA([2]enemies!$A:$A),MATCH(N$1,[2]enemies!$1:$1,0)-MATCH($I$1,[2]enemies!$1:$1,0)+1),MATCH(N$1,[2]enemies!$1:$1,0)-MATCH($I$1,[2]enemies!$1:$1,0)+1,FALSE)</f>
        <v>15</v>
      </c>
      <c r="O29" s="48">
        <v>25</v>
      </c>
      <c r="P29" s="49">
        <v>1.2</v>
      </c>
      <c r="Q29" s="49">
        <v>1</v>
      </c>
      <c r="R29" s="48">
        <v>0</v>
      </c>
      <c r="S29" s="4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23">
        <f ca="1">VLOOKUP($I29,OFFSET([2]enemies!$A$1,0,0,COUNTA([2]enemies!$A:$A),MATCH(T$1,[2]enemies!$1:$1,0)-MATCH($I$1,[2]enemies!$1:$1,0)+1),MATCH(T$1,[2]enemies!$1:$1,0)-MATCH($I$1,[2]enemies!$1:$1,0)+1,FALSE)</f>
        <v>0</v>
      </c>
      <c r="U29" s="50">
        <v>0</v>
      </c>
      <c r="V29" s="50">
        <v>100</v>
      </c>
      <c r="W29" s="50">
        <v>0</v>
      </c>
      <c r="X29" s="23">
        <f ca="1">VLOOKUP($I29,OFFSET([2]enemies!$A$1,0,0,COUNTA([2]enemies!$A:$A),MATCH(X$1,[2]enemies!$1:$1,0)-MATCH($I$1,[2]enemies!$1:$1,0)+1),MATCH(X$1,[2]enemies!$1:$1,0)-MATCH($I$1,[2]enemies!$1:$1,0)+1,FALSE)</f>
        <v>2</v>
      </c>
      <c r="Y29" s="42">
        <v>31</v>
      </c>
      <c r="Z29" s="4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29" s="4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1</v>
      </c>
      <c r="AB29" s="4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9" s="51">
        <v>5</v>
      </c>
      <c r="AD29" s="52">
        <f ca="1">AA29</f>
        <v>1</v>
      </c>
      <c r="AE29" s="53">
        <v>0</v>
      </c>
      <c r="AF29" s="51">
        <v>0</v>
      </c>
      <c r="AG29" s="51">
        <v>0</v>
      </c>
      <c r="AH29" s="51">
        <v>0</v>
      </c>
      <c r="AI29" s="51">
        <v>0</v>
      </c>
      <c r="AJ29" s="51">
        <v>1</v>
      </c>
    </row>
    <row r="30" spans="1:36" ht="21" customHeight="1" x14ac:dyDescent="0.15">
      <c r="A30" s="20" t="str">
        <f t="shared" ref="A30:A33" ca="1" si="32">B30&amp;"_"&amp;C30&amp;"-"&amp;G30&amp;"/"&amp;I30&amp;"&lt;lv"&amp;O30&amp;"&gt;s"&amp;X30</f>
        <v>20008_3-2/47&lt;lv25&gt;s1</v>
      </c>
      <c r="B30" s="27">
        <v>20008</v>
      </c>
      <c r="C30" s="44">
        <v>3</v>
      </c>
      <c r="D30" s="2" t="str">
        <f t="shared" ref="D30:D33" ca="1" si="33">B30&amp;"_"&amp;C30</f>
        <v>20008_3</v>
      </c>
      <c r="E30" s="4" t="str">
        <f ca="1">VLOOKUP($B30,OFFSET([1]quests!$A$1,0,0,COUNTA([1]quests!$A:$A),MATCH(E$1,[1]quests!$1:$1,0)-MATCH($B$1,[1]quests!$1:$1,0)+1),MATCH(E$1,[1]quests!$1:$1,0)-MATCH($B$1,[1]quests!$1:$1,0)+1,FALSE)</f>
        <v>天翔ける金轟機龍</v>
      </c>
      <c r="F30" s="4" t="str">
        <f ca="1">VLOOKUP($D30,OFFSET([1]stages!$A$1,0,0,COUNTA([1]stages!$A:$A),MATCH(F$1,[1]stages!$2:$2,0)-MATCH($D$1,[1]stages!$2:$2,0)+1),MATCH(F$1,[1]stages!$2:$2,0)-MATCH($D$1,[1]stages!$2:$2,0)+1,FALSE)</f>
        <v>【上級】天翔ける金轟機龍</v>
      </c>
      <c r="G30" s="68">
        <v>2</v>
      </c>
      <c r="H30" s="19" t="str">
        <f t="shared" ref="H30:H33" ca="1" si="34">B30&amp;"_"&amp;C30&amp;"-"&amp;G30</f>
        <v>20008_3-2</v>
      </c>
      <c r="I30" s="42">
        <v>47</v>
      </c>
      <c r="J30" s="23" t="str">
        <f ca="1">VLOOKUP($I30,OFFSET([2]enemies!$A$1,0,0,COUNTA([2]enemies!$A:$A),MATCH(J$1,[2]enemies!$1:$1,0)-MATCH($I$1,[2]enemies!$1:$1,0)+1),MATCH(J$1,[2]enemies!$1:$1,0)-MATCH($I$1,[2]enemies!$1:$1,0)+1,FALSE)</f>
        <v>ヒロ</v>
      </c>
      <c r="K30" s="23" t="str">
        <f ca="1">VLOOKUP($I30,OFFSET([2]enemies!$A$1,0,0,COUNTA([2]enemies!$A:$A),MATCH(K$1,[2]enemies!$1:$1,0)-MATCH($I$1,[2]enemies!$1:$1,0)+1),MATCH(K$1,[2]enemies!$1:$1,0)-MATCH($I$1,[2]enemies!$1:$1,0)+1,FALSE)</f>
        <v>yellow</v>
      </c>
      <c r="L30" s="24" t="str">
        <f ca="1">VLOOKUP(I30,[3]characters!$A:$J,10,FALSE)</f>
        <v>Drop1N</v>
      </c>
      <c r="M30" s="23" t="str">
        <f ca="1">VLOOKUP($I30,OFFSET([2]enemies!$A$1,0,0,COUNTA([2]enemies!$A:$A),MATCH(M$1,[2]enemies!$1:$1,0)-MATCH($I$1,[2]enemies!$1:$1,0)+1),MATCH(M$1,[2]enemies!$1:$1,0)-MATCH($I$1,[2]enemies!$1:$1,0)+1,FALSE)</f>
        <v>animal</v>
      </c>
      <c r="N30" s="23">
        <f ca="1">VLOOKUP($I30,OFFSET([2]enemies!$A$1,0,0,COUNTA([2]enemies!$A:$A),MATCH(N$1,[2]enemies!$1:$1,0)-MATCH($I$1,[2]enemies!$1:$1,0)+1),MATCH(N$1,[2]enemies!$1:$1,0)-MATCH($I$1,[2]enemies!$1:$1,0)+1,FALSE)</f>
        <v>15</v>
      </c>
      <c r="O30" s="48">
        <v>25</v>
      </c>
      <c r="P30" s="49">
        <v>1.2</v>
      </c>
      <c r="Q30" s="49">
        <v>1</v>
      </c>
      <c r="R30" s="5">
        <v>0</v>
      </c>
      <c r="S30" s="4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23">
        <f ca="1">VLOOKUP($I30,OFFSET([2]enemies!$A$1,0,0,COUNTA([2]enemies!$A:$A),MATCH(T$1,[2]enemies!$1:$1,0)-MATCH($I$1,[2]enemies!$1:$1,0)+1),MATCH(T$1,[2]enemies!$1:$1,0)-MATCH($I$1,[2]enemies!$1:$1,0)+1,FALSE)</f>
        <v>0</v>
      </c>
      <c r="U30" s="6">
        <v>0</v>
      </c>
      <c r="V30" s="6">
        <v>100</v>
      </c>
      <c r="W30" s="6">
        <v>0</v>
      </c>
      <c r="X30" s="23">
        <f ca="1">VLOOKUP($I30,OFFSET([2]enemies!$A$1,0,0,COUNTA([2]enemies!$A:$A),MATCH(X$1,[2]enemies!$1:$1,0)-MATCH($I$1,[2]enemies!$1:$1,0)+1),MATCH(X$1,[2]enemies!$1:$1,0)-MATCH($I$1,[2]enemies!$1:$1,0)+1,FALSE)</f>
        <v>1</v>
      </c>
      <c r="Y30" s="42">
        <v>47</v>
      </c>
      <c r="Z30" s="4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30" s="4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2</v>
      </c>
      <c r="AB30" s="4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0" s="51">
        <v>5</v>
      </c>
      <c r="AD30" s="29">
        <f t="shared" ref="AD30:AD33" ca="1" si="35">AA30</f>
        <v>2</v>
      </c>
      <c r="AE30" s="53">
        <v>0</v>
      </c>
      <c r="AF30" s="7">
        <v>0</v>
      </c>
      <c r="AG30" s="7">
        <v>0</v>
      </c>
      <c r="AH30" s="7">
        <v>0</v>
      </c>
      <c r="AI30" s="7">
        <v>0</v>
      </c>
      <c r="AJ30" s="7">
        <v>1</v>
      </c>
    </row>
    <row r="31" spans="1:36" ht="21" customHeight="1" x14ac:dyDescent="0.15">
      <c r="A31" s="20" t="str">
        <f t="shared" ca="1" si="32"/>
        <v>20008_3-2/74&lt;lv25&gt;s3</v>
      </c>
      <c r="B31" s="27">
        <v>20008</v>
      </c>
      <c r="C31" s="44">
        <v>3</v>
      </c>
      <c r="D31" s="2" t="str">
        <f t="shared" ca="1" si="33"/>
        <v>20008_3</v>
      </c>
      <c r="E31" s="4" t="str">
        <f ca="1">VLOOKUP($B31,OFFSET([1]quests!$A$1,0,0,COUNTA([1]quests!$A:$A),MATCH(E$1,[1]quests!$1:$1,0)-MATCH($B$1,[1]quests!$1:$1,0)+1),MATCH(E$1,[1]quests!$1:$1,0)-MATCH($B$1,[1]quests!$1:$1,0)+1,FALSE)</f>
        <v>天翔ける金轟機龍</v>
      </c>
      <c r="F31" s="4" t="str">
        <f ca="1">VLOOKUP($D31,OFFSET([1]stages!$A$1,0,0,COUNTA([1]stages!$A:$A),MATCH(F$1,[1]stages!$2:$2,0)-MATCH($D$1,[1]stages!$2:$2,0)+1),MATCH(F$1,[1]stages!$2:$2,0)-MATCH($D$1,[1]stages!$2:$2,0)+1,FALSE)</f>
        <v>【上級】天翔ける金轟機龍</v>
      </c>
      <c r="G31" s="68">
        <v>2</v>
      </c>
      <c r="H31" s="19" t="str">
        <f t="shared" ca="1" si="34"/>
        <v>20008_3-2</v>
      </c>
      <c r="I31" s="42">
        <v>74</v>
      </c>
      <c r="J31" s="23" t="str">
        <f ca="1">VLOOKUP($I31,OFFSET([2]enemies!$A$1,0,0,COUNTA([2]enemies!$A:$A),MATCH(J$1,[2]enemies!$1:$1,0)-MATCH($I$1,[2]enemies!$1:$1,0)+1),MATCH(J$1,[2]enemies!$1:$1,0)-MATCH($I$1,[2]enemies!$1:$1,0)+1,FALSE)</f>
        <v>サンダーバード</v>
      </c>
      <c r="K31" s="23" t="str">
        <f ca="1">VLOOKUP($I31,OFFSET([2]enemies!$A$1,0,0,COUNTA([2]enemies!$A:$A),MATCH(K$1,[2]enemies!$1:$1,0)-MATCH($I$1,[2]enemies!$1:$1,0)+1),MATCH(K$1,[2]enemies!$1:$1,0)-MATCH($I$1,[2]enemies!$1:$1,0)+1,FALSE)</f>
        <v>yellow</v>
      </c>
      <c r="L31" s="24" t="str">
        <f ca="1">VLOOKUP(I31,[3]characters!$A:$J,10,FALSE)</f>
        <v>Drop1S</v>
      </c>
      <c r="M31" s="23" t="str">
        <f ca="1">VLOOKUP($I31,OFFSET([2]enemies!$A$1,0,0,COUNTA([2]enemies!$A:$A),MATCH(M$1,[2]enemies!$1:$1,0)-MATCH($I$1,[2]enemies!$1:$1,0)+1),MATCH(M$1,[2]enemies!$1:$1,0)-MATCH($I$1,[2]enemies!$1:$1,0)+1,FALSE)</f>
        <v>animal</v>
      </c>
      <c r="N31" s="23">
        <f ca="1">VLOOKUP($I31,OFFSET([2]enemies!$A$1,0,0,COUNTA([2]enemies!$A:$A),MATCH(N$1,[2]enemies!$1:$1,0)-MATCH($I$1,[2]enemies!$1:$1,0)+1),MATCH(N$1,[2]enemies!$1:$1,0)-MATCH($I$1,[2]enemies!$1:$1,0)+1,FALSE)</f>
        <v>15</v>
      </c>
      <c r="O31" s="48">
        <v>25</v>
      </c>
      <c r="P31" s="49">
        <v>1.2</v>
      </c>
      <c r="Q31" s="49">
        <v>1</v>
      </c>
      <c r="R31" s="5">
        <v>0</v>
      </c>
      <c r="S31" s="4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31" s="23">
        <f ca="1">VLOOKUP($I31,OFFSET([2]enemies!$A$1,0,0,COUNTA([2]enemies!$A:$A),MATCH(T$1,[2]enemies!$1:$1,0)-MATCH($I$1,[2]enemies!$1:$1,0)+1),MATCH(T$1,[2]enemies!$1:$1,0)-MATCH($I$1,[2]enemies!$1:$1,0)+1,FALSE)</f>
        <v>74</v>
      </c>
      <c r="U31" s="6">
        <v>0</v>
      </c>
      <c r="V31" s="6">
        <v>100</v>
      </c>
      <c r="W31" s="6">
        <v>0</v>
      </c>
      <c r="X31" s="23">
        <f ca="1">VLOOKUP($I31,OFFSET([2]enemies!$A$1,0,0,COUNTA([2]enemies!$A:$A),MATCH(X$1,[2]enemies!$1:$1,0)-MATCH($I$1,[2]enemies!$1:$1,0)+1),MATCH(X$1,[2]enemies!$1:$1,0)-MATCH($I$1,[2]enemies!$1:$1,0)+1,FALSE)</f>
        <v>3</v>
      </c>
      <c r="Y31" s="42">
        <v>74</v>
      </c>
      <c r="Z31" s="4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サンダーバード</v>
      </c>
      <c r="AA31" s="4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2</v>
      </c>
      <c r="AB31" s="4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31" s="51">
        <v>3</v>
      </c>
      <c r="AD31" s="29">
        <f t="shared" ca="1" si="35"/>
        <v>2</v>
      </c>
      <c r="AE31" s="53">
        <v>0</v>
      </c>
      <c r="AF31" s="7">
        <v>0</v>
      </c>
      <c r="AG31" s="7">
        <v>0</v>
      </c>
      <c r="AH31" s="7">
        <v>0</v>
      </c>
      <c r="AI31" s="7">
        <v>0</v>
      </c>
      <c r="AJ31" s="7">
        <v>1</v>
      </c>
    </row>
    <row r="32" spans="1:36" ht="21" customHeight="1" x14ac:dyDescent="0.15">
      <c r="A32" s="20" t="str">
        <f t="shared" ca="1" si="32"/>
        <v>20008_3-2/63&lt;lv25&gt;s2</v>
      </c>
      <c r="B32" s="27">
        <v>20008</v>
      </c>
      <c r="C32" s="44">
        <v>3</v>
      </c>
      <c r="D32" s="2" t="str">
        <f t="shared" ca="1" si="33"/>
        <v>20008_3</v>
      </c>
      <c r="E32" s="4" t="str">
        <f ca="1">VLOOKUP($B32,OFFSET([1]quests!$A$1,0,0,COUNTA([1]quests!$A:$A),MATCH(E$1,[1]quests!$1:$1,0)-MATCH($B$1,[1]quests!$1:$1,0)+1),MATCH(E$1,[1]quests!$1:$1,0)-MATCH($B$1,[1]quests!$1:$1,0)+1,FALSE)</f>
        <v>天翔ける金轟機龍</v>
      </c>
      <c r="F32" s="4" t="str">
        <f ca="1">VLOOKUP($D32,OFFSET([1]stages!$A$1,0,0,COUNTA([1]stages!$A:$A),MATCH(F$1,[1]stages!$2:$2,0)-MATCH($D$1,[1]stages!$2:$2,0)+1),MATCH(F$1,[1]stages!$2:$2,0)-MATCH($D$1,[1]stages!$2:$2,0)+1,FALSE)</f>
        <v>【上級】天翔ける金轟機龍</v>
      </c>
      <c r="G32" s="68">
        <v>2</v>
      </c>
      <c r="H32" s="19" t="str">
        <f t="shared" ca="1" si="34"/>
        <v>20008_3-2</v>
      </c>
      <c r="I32" s="42">
        <v>63</v>
      </c>
      <c r="J32" s="23" t="str">
        <f ca="1">VLOOKUP($I32,OFFSET([2]enemies!$A$1,0,0,COUNTA([2]enemies!$A:$A),MATCH(J$1,[2]enemies!$1:$1,0)-MATCH($I$1,[2]enemies!$1:$1,0)+1),MATCH(J$1,[2]enemies!$1:$1,0)-MATCH($I$1,[2]enemies!$1:$1,0)+1,FALSE)</f>
        <v>トニー</v>
      </c>
      <c r="K32" s="23" t="str">
        <f ca="1">VLOOKUP($I32,OFFSET([2]enemies!$A$1,0,0,COUNTA([2]enemies!$A:$A),MATCH(K$1,[2]enemies!$1:$1,0)-MATCH($I$1,[2]enemies!$1:$1,0)+1),MATCH(K$1,[2]enemies!$1:$1,0)-MATCH($I$1,[2]enemies!$1:$1,0)+1,FALSE)</f>
        <v>yellow</v>
      </c>
      <c r="L32" s="24" t="str">
        <f ca="1">VLOOKUP(I32,[3]characters!$A:$J,10,FALSE)</f>
        <v>Drop1N</v>
      </c>
      <c r="M32" s="23" t="str">
        <f ca="1">VLOOKUP($I32,OFFSET([2]enemies!$A$1,0,0,COUNTA([2]enemies!$A:$A),MATCH(M$1,[2]enemies!$1:$1,0)-MATCH($I$1,[2]enemies!$1:$1,0)+1),MATCH(M$1,[2]enemies!$1:$1,0)-MATCH($I$1,[2]enemies!$1:$1,0)+1,FALSE)</f>
        <v>animal</v>
      </c>
      <c r="N32" s="23">
        <f ca="1">VLOOKUP($I32,OFFSET([2]enemies!$A$1,0,0,COUNTA([2]enemies!$A:$A),MATCH(N$1,[2]enemies!$1:$1,0)-MATCH($I$1,[2]enemies!$1:$1,0)+1),MATCH(N$1,[2]enemies!$1:$1,0)-MATCH($I$1,[2]enemies!$1:$1,0)+1,FALSE)</f>
        <v>15</v>
      </c>
      <c r="O32" s="48">
        <v>25</v>
      </c>
      <c r="P32" s="49">
        <v>1.2</v>
      </c>
      <c r="Q32" s="49">
        <v>1</v>
      </c>
      <c r="R32" s="5">
        <v>0</v>
      </c>
      <c r="S32" s="4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2" s="23">
        <f ca="1">VLOOKUP($I32,OFFSET([2]enemies!$A$1,0,0,COUNTA([2]enemies!$A:$A),MATCH(T$1,[2]enemies!$1:$1,0)-MATCH($I$1,[2]enemies!$1:$1,0)+1),MATCH(T$1,[2]enemies!$1:$1,0)-MATCH($I$1,[2]enemies!$1:$1,0)+1,FALSE)</f>
        <v>63</v>
      </c>
      <c r="U32" s="6">
        <v>0</v>
      </c>
      <c r="V32" s="6">
        <v>100</v>
      </c>
      <c r="W32" s="6">
        <v>0</v>
      </c>
      <c r="X32" s="23">
        <f ca="1">VLOOKUP($I32,OFFSET([2]enemies!$A$1,0,0,COUNTA([2]enemies!$A:$A),MATCH(X$1,[2]enemies!$1:$1,0)-MATCH($I$1,[2]enemies!$1:$1,0)+1),MATCH(X$1,[2]enemies!$1:$1,0)-MATCH($I$1,[2]enemies!$1:$1,0)+1,FALSE)</f>
        <v>2</v>
      </c>
      <c r="Y32" s="42">
        <v>63</v>
      </c>
      <c r="Z32" s="4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32" s="4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2</v>
      </c>
      <c r="AB32" s="4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2" s="51">
        <v>5</v>
      </c>
      <c r="AD32" s="29">
        <f t="shared" ca="1" si="35"/>
        <v>2</v>
      </c>
      <c r="AE32" s="53">
        <v>0</v>
      </c>
      <c r="AF32" s="7">
        <v>0</v>
      </c>
      <c r="AG32" s="7">
        <v>0</v>
      </c>
      <c r="AH32" s="7">
        <v>0</v>
      </c>
      <c r="AI32" s="7">
        <v>0</v>
      </c>
      <c r="AJ32" s="7">
        <v>1</v>
      </c>
    </row>
    <row r="33" spans="1:36" ht="21" customHeight="1" x14ac:dyDescent="0.15">
      <c r="A33" s="20" t="str">
        <f t="shared" ca="1" si="32"/>
        <v>20008_3-2/346&lt;lv3&gt;s3</v>
      </c>
      <c r="B33" s="27">
        <v>20008</v>
      </c>
      <c r="C33" s="26">
        <v>3</v>
      </c>
      <c r="D33" s="2" t="str">
        <f t="shared" ca="1" si="33"/>
        <v>20008_3</v>
      </c>
      <c r="E33" s="4" t="str">
        <f ca="1">VLOOKUP($B33,OFFSET([1]quests!$A$1,0,0,COUNTA([1]quests!$A:$A),MATCH(E$1,[1]quests!$1:$1,0)-MATCH($B$1,[1]quests!$1:$1,0)+1),MATCH(E$1,[1]quests!$1:$1,0)-MATCH($B$1,[1]quests!$1:$1,0)+1,FALSE)</f>
        <v>天翔ける金轟機龍</v>
      </c>
      <c r="F33" s="4" t="str">
        <f ca="1">VLOOKUP($D33,OFFSET([1]stages!$A$1,0,0,COUNTA([1]stages!$A:$A),MATCH(F$1,[1]stages!$2:$2,0)-MATCH($D$1,[1]stages!$2:$2,0)+1),MATCH(F$1,[1]stages!$2:$2,0)-MATCH($D$1,[1]stages!$2:$2,0)+1,FALSE)</f>
        <v>【上級】天翔ける金轟機龍</v>
      </c>
      <c r="G33" s="68">
        <v>2</v>
      </c>
      <c r="H33" s="19" t="str">
        <f t="shared" ca="1" si="34"/>
        <v>20008_3-2</v>
      </c>
      <c r="I33" s="42">
        <v>346</v>
      </c>
      <c r="J33" s="23" t="str">
        <f ca="1">VLOOKUP($I33,OFFSET([2]enemies!$A$1,0,0,COUNTA([2]enemies!$A:$A),MATCH(J$1,[2]enemies!$1:$1,0)-MATCH($I$1,[2]enemies!$1:$1,0)+1),MATCH(J$1,[2]enemies!$1:$1,0)-MATCH($I$1,[2]enemies!$1:$1,0)+1,FALSE)</f>
        <v>雷のメタルダック</v>
      </c>
      <c r="K33" s="23" t="str">
        <f ca="1">VLOOKUP($I33,OFFSET([2]enemies!$A$1,0,0,COUNTA([2]enemies!$A:$A),MATCH(K$1,[2]enemies!$1:$1,0)-MATCH($I$1,[2]enemies!$1:$1,0)+1),MATCH(K$1,[2]enemies!$1:$1,0)-MATCH($I$1,[2]enemies!$1:$1,0)+1,FALSE)</f>
        <v>yellow</v>
      </c>
      <c r="L33" s="24" t="str">
        <f ca="1">VLOOKUP(I33,[3]characters!$A:$J,10,FALSE)</f>
        <v>Material</v>
      </c>
      <c r="M33" s="23" t="str">
        <f ca="1">VLOOKUP($I33,OFFSET([2]enemies!$A$1,0,0,COUNTA([2]enemies!$A:$A),MATCH(M$1,[2]enemies!$1:$1,0)-MATCH($I$1,[2]enemies!$1:$1,0)+1),MATCH(M$1,[2]enemies!$1:$1,0)-MATCH($I$1,[2]enemies!$1:$1,0)+1,FALSE)</f>
        <v>unknown</v>
      </c>
      <c r="N33" s="23">
        <f ca="1">VLOOKUP($I33,OFFSET([2]enemies!$A$1,0,0,COUNTA([2]enemies!$A:$A),MATCH(N$1,[2]enemies!$1:$1,0)-MATCH($I$1,[2]enemies!$1:$1,0)+1),MATCH(N$1,[2]enemies!$1:$1,0)-MATCH($I$1,[2]enemies!$1:$1,0)+1,FALSE)</f>
        <v>20</v>
      </c>
      <c r="O33" s="48">
        <v>3</v>
      </c>
      <c r="P33" s="49">
        <v>0.3</v>
      </c>
      <c r="Q33" s="49">
        <v>1</v>
      </c>
      <c r="R33" s="5">
        <v>0</v>
      </c>
      <c r="S33" s="4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23">
        <f ca="1">VLOOKUP($I33,OFFSET([2]enemies!$A$1,0,0,COUNTA([2]enemies!$A:$A),MATCH(T$1,[2]enemies!$1:$1,0)-MATCH($I$1,[2]enemies!$1:$1,0)+1),MATCH(T$1,[2]enemies!$1:$1,0)-MATCH($I$1,[2]enemies!$1:$1,0)+1,FALSE)</f>
        <v>0</v>
      </c>
      <c r="U33" s="6">
        <v>1</v>
      </c>
      <c r="V33" s="6">
        <v>100</v>
      </c>
      <c r="W33" s="6">
        <v>1</v>
      </c>
      <c r="X33" s="23">
        <f ca="1">VLOOKUP($I33,OFFSET([2]enemies!$A$1,0,0,COUNTA([2]enemies!$A:$A),MATCH(X$1,[2]enemies!$1:$1,0)-MATCH($I$1,[2]enemies!$1:$1,0)+1),MATCH(X$1,[2]enemies!$1:$1,0)-MATCH($I$1,[2]enemies!$1:$1,0)+1,FALSE)</f>
        <v>3</v>
      </c>
      <c r="Y33" s="42">
        <v>346</v>
      </c>
      <c r="Z33" s="4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雷のメタルダック</v>
      </c>
      <c r="AA33" s="4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5</v>
      </c>
      <c r="AB33" s="4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33" s="7">
        <v>1</v>
      </c>
      <c r="AD33" s="29">
        <f t="shared" ca="1" si="35"/>
        <v>5</v>
      </c>
      <c r="AE33" s="8">
        <v>20</v>
      </c>
      <c r="AF33" s="7">
        <v>0</v>
      </c>
      <c r="AG33" s="7">
        <v>0</v>
      </c>
      <c r="AH33" s="7">
        <v>0</v>
      </c>
      <c r="AI33" s="7">
        <v>0</v>
      </c>
      <c r="AJ33" s="7">
        <v>1</v>
      </c>
    </row>
    <row r="34" spans="1:36" ht="21" customHeight="1" x14ac:dyDescent="0.15">
      <c r="A34" s="20" t="str">
        <f ca="1">B34&amp;"_"&amp;C34&amp;"-"&amp;G34&amp;"/"&amp;I34&amp;"&lt;lv"&amp;O34&amp;"&gt;s"&amp;X34</f>
        <v>20008_3-3/31&lt;lv25&gt;s2</v>
      </c>
      <c r="B34" s="27">
        <v>20008</v>
      </c>
      <c r="C34" s="44">
        <v>3</v>
      </c>
      <c r="D34" s="45" t="str">
        <f ca="1">B34&amp;"_"&amp;C34</f>
        <v>20008_3</v>
      </c>
      <c r="E34" s="4" t="str">
        <f ca="1">VLOOKUP($B34,OFFSET([1]quests!$A$1,0,0,COUNTA([1]quests!$A:$A),MATCH(E$1,[1]quests!$1:$1,0)-MATCH($B$1,[1]quests!$1:$1,0)+1),MATCH(E$1,[1]quests!$1:$1,0)-MATCH($B$1,[1]quests!$1:$1,0)+1,FALSE)</f>
        <v>天翔ける金轟機龍</v>
      </c>
      <c r="F34" s="4" t="str">
        <f ca="1">VLOOKUP($D34,OFFSET([1]stages!$A$1,0,0,COUNTA([1]stages!$A:$A),MATCH(F$1,[1]stages!$2:$2,0)-MATCH($D$1,[1]stages!$2:$2,0)+1),MATCH(F$1,[1]stages!$2:$2,0)-MATCH($D$1,[1]stages!$2:$2,0)+1,FALSE)</f>
        <v>【上級】天翔ける金轟機龍</v>
      </c>
      <c r="G34" s="81">
        <v>3</v>
      </c>
      <c r="H34" s="45" t="str">
        <f ca="1">B34&amp;"_"&amp;C34&amp;"-"&amp;G34</f>
        <v>20008_3-3</v>
      </c>
      <c r="I34" s="42">
        <v>31</v>
      </c>
      <c r="J34" s="23" t="str">
        <f ca="1">VLOOKUP($I34,OFFSET([2]enemies!$A$1,0,0,COUNTA([2]enemies!$A:$A),MATCH(J$1,[2]enemies!$1:$1,0)-MATCH($I$1,[2]enemies!$1:$1,0)+1),MATCH(J$1,[2]enemies!$1:$1,0)-MATCH($I$1,[2]enemies!$1:$1,0)+1,FALSE)</f>
        <v>マービー</v>
      </c>
      <c r="K34" s="23" t="str">
        <f ca="1">VLOOKUP($I34,OFFSET([2]enemies!$A$1,0,0,COUNTA([2]enemies!$A:$A),MATCH(K$1,[2]enemies!$1:$1,0)-MATCH($I$1,[2]enemies!$1:$1,0)+1),MATCH(K$1,[2]enemies!$1:$1,0)-MATCH($I$1,[2]enemies!$1:$1,0)+1,FALSE)</f>
        <v>yellow</v>
      </c>
      <c r="L34" s="24" t="str">
        <f ca="1">VLOOKUP(I34,[3]characters!$A:$J,10,FALSE)</f>
        <v>Drop1N</v>
      </c>
      <c r="M34" s="23" t="str">
        <f ca="1">VLOOKUP($I34,OFFSET([2]enemies!$A$1,0,0,COUNTA([2]enemies!$A:$A),MATCH(M$1,[2]enemies!$1:$1,0)-MATCH($I$1,[2]enemies!$1:$1,0)+1),MATCH(M$1,[2]enemies!$1:$1,0)-MATCH($I$1,[2]enemies!$1:$1,0)+1,FALSE)</f>
        <v>machine</v>
      </c>
      <c r="N34" s="23">
        <f ca="1">VLOOKUP($I34,OFFSET([2]enemies!$A$1,0,0,COUNTA([2]enemies!$A:$A),MATCH(N$1,[2]enemies!$1:$1,0)-MATCH($I$1,[2]enemies!$1:$1,0)+1),MATCH(N$1,[2]enemies!$1:$1,0)-MATCH($I$1,[2]enemies!$1:$1,0)+1,FALSE)</f>
        <v>15</v>
      </c>
      <c r="O34" s="48">
        <v>25</v>
      </c>
      <c r="P34" s="49">
        <v>1.2</v>
      </c>
      <c r="Q34" s="49">
        <v>1</v>
      </c>
      <c r="R34" s="48">
        <v>0</v>
      </c>
      <c r="S34" s="4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23">
        <f ca="1">VLOOKUP($I34,OFFSET([2]enemies!$A$1,0,0,COUNTA([2]enemies!$A:$A),MATCH(T$1,[2]enemies!$1:$1,0)-MATCH($I$1,[2]enemies!$1:$1,0)+1),MATCH(T$1,[2]enemies!$1:$1,0)-MATCH($I$1,[2]enemies!$1:$1,0)+1,FALSE)</f>
        <v>0</v>
      </c>
      <c r="U34" s="50">
        <v>0</v>
      </c>
      <c r="V34" s="50">
        <v>100</v>
      </c>
      <c r="W34" s="50">
        <v>0</v>
      </c>
      <c r="X34" s="23">
        <f ca="1">VLOOKUP($I34,OFFSET([2]enemies!$A$1,0,0,COUNTA([2]enemies!$A:$A),MATCH(X$1,[2]enemies!$1:$1,0)-MATCH($I$1,[2]enemies!$1:$1,0)+1),MATCH(X$1,[2]enemies!$1:$1,0)-MATCH($I$1,[2]enemies!$1:$1,0)+1,FALSE)</f>
        <v>2</v>
      </c>
      <c r="Y34" s="42">
        <v>31</v>
      </c>
      <c r="Z34" s="4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34" s="4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1</v>
      </c>
      <c r="AB34" s="4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4" s="51">
        <v>5</v>
      </c>
      <c r="AD34" s="52">
        <f ca="1">AA34</f>
        <v>1</v>
      </c>
      <c r="AE34" s="53">
        <v>10</v>
      </c>
      <c r="AF34" s="51">
        <v>0</v>
      </c>
      <c r="AG34" s="51">
        <v>0</v>
      </c>
      <c r="AH34" s="51">
        <v>0</v>
      </c>
      <c r="AI34" s="51">
        <v>0</v>
      </c>
      <c r="AJ34" s="51">
        <v>1</v>
      </c>
    </row>
    <row r="35" spans="1:36" ht="21" customHeight="1" x14ac:dyDescent="0.15">
      <c r="A35" s="20" t="str">
        <f t="shared" ref="A35:A38" ca="1" si="36">B35&amp;"_"&amp;C35&amp;"-"&amp;G35&amp;"/"&amp;I35&amp;"&lt;lv"&amp;O35&amp;"&gt;s"&amp;X35</f>
        <v>20008_3-3/47&lt;lv25&gt;s1</v>
      </c>
      <c r="B35" s="27">
        <v>20008</v>
      </c>
      <c r="C35" s="44">
        <v>3</v>
      </c>
      <c r="D35" s="2" t="str">
        <f t="shared" ref="D35:D38" ca="1" si="37">B35&amp;"_"&amp;C35</f>
        <v>20008_3</v>
      </c>
      <c r="E35" s="4" t="str">
        <f ca="1">VLOOKUP($B35,OFFSET([1]quests!$A$1,0,0,COUNTA([1]quests!$A:$A),MATCH(E$1,[1]quests!$1:$1,0)-MATCH($B$1,[1]quests!$1:$1,0)+1),MATCH(E$1,[1]quests!$1:$1,0)-MATCH($B$1,[1]quests!$1:$1,0)+1,FALSE)</f>
        <v>天翔ける金轟機龍</v>
      </c>
      <c r="F35" s="4" t="str">
        <f ca="1">VLOOKUP($D35,OFFSET([1]stages!$A$1,0,0,COUNTA([1]stages!$A:$A),MATCH(F$1,[1]stages!$2:$2,0)-MATCH($D$1,[1]stages!$2:$2,0)+1),MATCH(F$1,[1]stages!$2:$2,0)-MATCH($D$1,[1]stages!$2:$2,0)+1,FALSE)</f>
        <v>【上級】天翔ける金轟機龍</v>
      </c>
      <c r="G35" s="81">
        <v>3</v>
      </c>
      <c r="H35" s="19" t="str">
        <f t="shared" ref="H35:H38" ca="1" si="38">B35&amp;"_"&amp;C35&amp;"-"&amp;G35</f>
        <v>20008_3-3</v>
      </c>
      <c r="I35" s="42">
        <v>47</v>
      </c>
      <c r="J35" s="23" t="str">
        <f ca="1">VLOOKUP($I35,OFFSET([2]enemies!$A$1,0,0,COUNTA([2]enemies!$A:$A),MATCH(J$1,[2]enemies!$1:$1,0)-MATCH($I$1,[2]enemies!$1:$1,0)+1),MATCH(J$1,[2]enemies!$1:$1,0)-MATCH($I$1,[2]enemies!$1:$1,0)+1,FALSE)</f>
        <v>ヒロ</v>
      </c>
      <c r="K35" s="23" t="str">
        <f ca="1">VLOOKUP($I35,OFFSET([2]enemies!$A$1,0,0,COUNTA([2]enemies!$A:$A),MATCH(K$1,[2]enemies!$1:$1,0)-MATCH($I$1,[2]enemies!$1:$1,0)+1),MATCH(K$1,[2]enemies!$1:$1,0)-MATCH($I$1,[2]enemies!$1:$1,0)+1,FALSE)</f>
        <v>yellow</v>
      </c>
      <c r="L35" s="24" t="str">
        <f ca="1">VLOOKUP(I35,[3]characters!$A:$J,10,FALSE)</f>
        <v>Drop1N</v>
      </c>
      <c r="M35" s="23" t="str">
        <f ca="1">VLOOKUP($I35,OFFSET([2]enemies!$A$1,0,0,COUNTA([2]enemies!$A:$A),MATCH(M$1,[2]enemies!$1:$1,0)-MATCH($I$1,[2]enemies!$1:$1,0)+1),MATCH(M$1,[2]enemies!$1:$1,0)-MATCH($I$1,[2]enemies!$1:$1,0)+1,FALSE)</f>
        <v>animal</v>
      </c>
      <c r="N35" s="23">
        <f ca="1">VLOOKUP($I35,OFFSET([2]enemies!$A$1,0,0,COUNTA([2]enemies!$A:$A),MATCH(N$1,[2]enemies!$1:$1,0)-MATCH($I$1,[2]enemies!$1:$1,0)+1),MATCH(N$1,[2]enemies!$1:$1,0)-MATCH($I$1,[2]enemies!$1:$1,0)+1,FALSE)</f>
        <v>15</v>
      </c>
      <c r="O35" s="48">
        <v>25</v>
      </c>
      <c r="P35" s="49">
        <v>1.2</v>
      </c>
      <c r="Q35" s="49">
        <v>1</v>
      </c>
      <c r="R35" s="5">
        <v>0</v>
      </c>
      <c r="S35" s="4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" s="23">
        <f ca="1">VLOOKUP($I35,OFFSET([2]enemies!$A$1,0,0,COUNTA([2]enemies!$A:$A),MATCH(T$1,[2]enemies!$1:$1,0)-MATCH($I$1,[2]enemies!$1:$1,0)+1),MATCH(T$1,[2]enemies!$1:$1,0)-MATCH($I$1,[2]enemies!$1:$1,0)+1,FALSE)</f>
        <v>0</v>
      </c>
      <c r="U35" s="6">
        <v>0</v>
      </c>
      <c r="V35" s="6">
        <v>50</v>
      </c>
      <c r="W35" s="6">
        <v>0</v>
      </c>
      <c r="X35" s="23">
        <f ca="1">VLOOKUP($I35,OFFSET([2]enemies!$A$1,0,0,COUNTA([2]enemies!$A:$A),MATCH(X$1,[2]enemies!$1:$1,0)-MATCH($I$1,[2]enemies!$1:$1,0)+1),MATCH(X$1,[2]enemies!$1:$1,0)-MATCH($I$1,[2]enemies!$1:$1,0)+1,FALSE)</f>
        <v>1</v>
      </c>
      <c r="Y35" s="42">
        <v>47</v>
      </c>
      <c r="Z35" s="4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35" s="4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2</v>
      </c>
      <c r="AB35" s="4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5" s="51">
        <v>5</v>
      </c>
      <c r="AD35" s="29">
        <f t="shared" ref="AD35:AD38" ca="1" si="39">AA35</f>
        <v>2</v>
      </c>
      <c r="AE35" s="53">
        <v>10</v>
      </c>
      <c r="AF35" s="7">
        <v>0</v>
      </c>
      <c r="AG35" s="7">
        <v>0</v>
      </c>
      <c r="AH35" s="7">
        <v>0</v>
      </c>
      <c r="AI35" s="7">
        <v>0</v>
      </c>
      <c r="AJ35" s="7">
        <v>1</v>
      </c>
    </row>
    <row r="36" spans="1:36" ht="21" customHeight="1" x14ac:dyDescent="0.15">
      <c r="A36" s="20" t="str">
        <f t="shared" ca="1" si="36"/>
        <v>20008_3-3/74&lt;lv25&gt;s3</v>
      </c>
      <c r="B36" s="27">
        <v>20008</v>
      </c>
      <c r="C36" s="44">
        <v>3</v>
      </c>
      <c r="D36" s="2" t="str">
        <f t="shared" ca="1" si="37"/>
        <v>20008_3</v>
      </c>
      <c r="E36" s="4" t="str">
        <f ca="1">VLOOKUP($B36,OFFSET([1]quests!$A$1,0,0,COUNTA([1]quests!$A:$A),MATCH(E$1,[1]quests!$1:$1,0)-MATCH($B$1,[1]quests!$1:$1,0)+1),MATCH(E$1,[1]quests!$1:$1,0)-MATCH($B$1,[1]quests!$1:$1,0)+1,FALSE)</f>
        <v>天翔ける金轟機龍</v>
      </c>
      <c r="F36" s="4" t="str">
        <f ca="1">VLOOKUP($D36,OFFSET([1]stages!$A$1,0,0,COUNTA([1]stages!$A:$A),MATCH(F$1,[1]stages!$2:$2,0)-MATCH($D$1,[1]stages!$2:$2,0)+1),MATCH(F$1,[1]stages!$2:$2,0)-MATCH($D$1,[1]stages!$2:$2,0)+1,FALSE)</f>
        <v>【上級】天翔ける金轟機龍</v>
      </c>
      <c r="G36" s="81">
        <v>3</v>
      </c>
      <c r="H36" s="19" t="str">
        <f t="shared" ca="1" si="38"/>
        <v>20008_3-3</v>
      </c>
      <c r="I36" s="42">
        <v>74</v>
      </c>
      <c r="J36" s="23" t="str">
        <f ca="1">VLOOKUP($I36,OFFSET([2]enemies!$A$1,0,0,COUNTA([2]enemies!$A:$A),MATCH(J$1,[2]enemies!$1:$1,0)-MATCH($I$1,[2]enemies!$1:$1,0)+1),MATCH(J$1,[2]enemies!$1:$1,0)-MATCH($I$1,[2]enemies!$1:$1,0)+1,FALSE)</f>
        <v>サンダーバード</v>
      </c>
      <c r="K36" s="23" t="str">
        <f ca="1">VLOOKUP($I36,OFFSET([2]enemies!$A$1,0,0,COUNTA([2]enemies!$A:$A),MATCH(K$1,[2]enemies!$1:$1,0)-MATCH($I$1,[2]enemies!$1:$1,0)+1),MATCH(K$1,[2]enemies!$1:$1,0)-MATCH($I$1,[2]enemies!$1:$1,0)+1,FALSE)</f>
        <v>yellow</v>
      </c>
      <c r="L36" s="24" t="str">
        <f ca="1">VLOOKUP(I36,[3]characters!$A:$J,10,FALSE)</f>
        <v>Drop1S</v>
      </c>
      <c r="M36" s="23" t="str">
        <f ca="1">VLOOKUP($I36,OFFSET([2]enemies!$A$1,0,0,COUNTA([2]enemies!$A:$A),MATCH(M$1,[2]enemies!$1:$1,0)-MATCH($I$1,[2]enemies!$1:$1,0)+1),MATCH(M$1,[2]enemies!$1:$1,0)-MATCH($I$1,[2]enemies!$1:$1,0)+1,FALSE)</f>
        <v>animal</v>
      </c>
      <c r="N36" s="23">
        <f ca="1">VLOOKUP($I36,OFFSET([2]enemies!$A$1,0,0,COUNTA([2]enemies!$A:$A),MATCH(N$1,[2]enemies!$1:$1,0)-MATCH($I$1,[2]enemies!$1:$1,0)+1),MATCH(N$1,[2]enemies!$1:$1,0)-MATCH($I$1,[2]enemies!$1:$1,0)+1,FALSE)</f>
        <v>15</v>
      </c>
      <c r="O36" s="48">
        <v>25</v>
      </c>
      <c r="P36" s="49">
        <v>1.2</v>
      </c>
      <c r="Q36" s="49">
        <v>1</v>
      </c>
      <c r="R36" s="5">
        <v>0</v>
      </c>
      <c r="S36" s="4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36" s="23">
        <f ca="1">VLOOKUP($I36,OFFSET([2]enemies!$A$1,0,0,COUNTA([2]enemies!$A:$A),MATCH(T$1,[2]enemies!$1:$1,0)-MATCH($I$1,[2]enemies!$1:$1,0)+1),MATCH(T$1,[2]enemies!$1:$1,0)-MATCH($I$1,[2]enemies!$1:$1,0)+1,FALSE)</f>
        <v>74</v>
      </c>
      <c r="U36" s="6">
        <v>0</v>
      </c>
      <c r="V36" s="6">
        <v>100</v>
      </c>
      <c r="W36" s="6">
        <v>0</v>
      </c>
      <c r="X36" s="23">
        <f ca="1">VLOOKUP($I36,OFFSET([2]enemies!$A$1,0,0,COUNTA([2]enemies!$A:$A),MATCH(X$1,[2]enemies!$1:$1,0)-MATCH($I$1,[2]enemies!$1:$1,0)+1),MATCH(X$1,[2]enemies!$1:$1,0)-MATCH($I$1,[2]enemies!$1:$1,0)+1,FALSE)</f>
        <v>3</v>
      </c>
      <c r="Y36" s="42">
        <v>74</v>
      </c>
      <c r="Z36" s="4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サンダーバード</v>
      </c>
      <c r="AA36" s="4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2</v>
      </c>
      <c r="AB36" s="4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36" s="51">
        <v>3</v>
      </c>
      <c r="AD36" s="29">
        <f t="shared" ca="1" si="39"/>
        <v>2</v>
      </c>
      <c r="AE36" s="53">
        <v>10</v>
      </c>
      <c r="AF36" s="7">
        <v>0</v>
      </c>
      <c r="AG36" s="7">
        <v>0</v>
      </c>
      <c r="AH36" s="7">
        <v>0</v>
      </c>
      <c r="AI36" s="7">
        <v>0</v>
      </c>
      <c r="AJ36" s="7">
        <v>1</v>
      </c>
    </row>
    <row r="37" spans="1:36" ht="21" customHeight="1" x14ac:dyDescent="0.15">
      <c r="A37" s="20" t="str">
        <f t="shared" ca="1" si="36"/>
        <v>20008_3-3/63&lt;lv25&gt;s2</v>
      </c>
      <c r="B37" s="27">
        <v>20008</v>
      </c>
      <c r="C37" s="44">
        <v>3</v>
      </c>
      <c r="D37" s="2" t="str">
        <f t="shared" ca="1" si="37"/>
        <v>20008_3</v>
      </c>
      <c r="E37" s="4" t="str">
        <f ca="1">VLOOKUP($B37,OFFSET([1]quests!$A$1,0,0,COUNTA([1]quests!$A:$A),MATCH(E$1,[1]quests!$1:$1,0)-MATCH($B$1,[1]quests!$1:$1,0)+1),MATCH(E$1,[1]quests!$1:$1,0)-MATCH($B$1,[1]quests!$1:$1,0)+1,FALSE)</f>
        <v>天翔ける金轟機龍</v>
      </c>
      <c r="F37" s="4" t="str">
        <f ca="1">VLOOKUP($D37,OFFSET([1]stages!$A$1,0,0,COUNTA([1]stages!$A:$A),MATCH(F$1,[1]stages!$2:$2,0)-MATCH($D$1,[1]stages!$2:$2,0)+1),MATCH(F$1,[1]stages!$2:$2,0)-MATCH($D$1,[1]stages!$2:$2,0)+1,FALSE)</f>
        <v>【上級】天翔ける金轟機龍</v>
      </c>
      <c r="G37" s="81">
        <v>3</v>
      </c>
      <c r="H37" s="19" t="str">
        <f t="shared" ca="1" si="38"/>
        <v>20008_3-3</v>
      </c>
      <c r="I37" s="42">
        <v>63</v>
      </c>
      <c r="J37" s="23" t="str">
        <f ca="1">VLOOKUP($I37,OFFSET([2]enemies!$A$1,0,0,COUNTA([2]enemies!$A:$A),MATCH(J$1,[2]enemies!$1:$1,0)-MATCH($I$1,[2]enemies!$1:$1,0)+1),MATCH(J$1,[2]enemies!$1:$1,0)-MATCH($I$1,[2]enemies!$1:$1,0)+1,FALSE)</f>
        <v>トニー</v>
      </c>
      <c r="K37" s="23" t="str">
        <f ca="1">VLOOKUP($I37,OFFSET([2]enemies!$A$1,0,0,COUNTA([2]enemies!$A:$A),MATCH(K$1,[2]enemies!$1:$1,0)-MATCH($I$1,[2]enemies!$1:$1,0)+1),MATCH(K$1,[2]enemies!$1:$1,0)-MATCH($I$1,[2]enemies!$1:$1,0)+1,FALSE)</f>
        <v>yellow</v>
      </c>
      <c r="L37" s="24" t="str">
        <f ca="1">VLOOKUP(I37,[3]characters!$A:$J,10,FALSE)</f>
        <v>Drop1N</v>
      </c>
      <c r="M37" s="23" t="str">
        <f ca="1">VLOOKUP($I37,OFFSET([2]enemies!$A$1,0,0,COUNTA([2]enemies!$A:$A),MATCH(M$1,[2]enemies!$1:$1,0)-MATCH($I$1,[2]enemies!$1:$1,0)+1),MATCH(M$1,[2]enemies!$1:$1,0)-MATCH($I$1,[2]enemies!$1:$1,0)+1,FALSE)</f>
        <v>animal</v>
      </c>
      <c r="N37" s="23">
        <f ca="1">VLOOKUP($I37,OFFSET([2]enemies!$A$1,0,0,COUNTA([2]enemies!$A:$A),MATCH(N$1,[2]enemies!$1:$1,0)-MATCH($I$1,[2]enemies!$1:$1,0)+1),MATCH(N$1,[2]enemies!$1:$1,0)-MATCH($I$1,[2]enemies!$1:$1,0)+1,FALSE)</f>
        <v>15</v>
      </c>
      <c r="O37" s="48">
        <v>25</v>
      </c>
      <c r="P37" s="49">
        <v>1.2</v>
      </c>
      <c r="Q37" s="49">
        <v>1</v>
      </c>
      <c r="R37" s="5">
        <v>0</v>
      </c>
      <c r="S37" s="4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7" s="23">
        <f ca="1">VLOOKUP($I37,OFFSET([2]enemies!$A$1,0,0,COUNTA([2]enemies!$A:$A),MATCH(T$1,[2]enemies!$1:$1,0)-MATCH($I$1,[2]enemies!$1:$1,0)+1),MATCH(T$1,[2]enemies!$1:$1,0)-MATCH($I$1,[2]enemies!$1:$1,0)+1,FALSE)</f>
        <v>63</v>
      </c>
      <c r="U37" s="6">
        <v>0</v>
      </c>
      <c r="V37" s="6">
        <v>100</v>
      </c>
      <c r="W37" s="6">
        <v>0</v>
      </c>
      <c r="X37" s="23">
        <f ca="1">VLOOKUP($I37,OFFSET([2]enemies!$A$1,0,0,COUNTA([2]enemies!$A:$A),MATCH(X$1,[2]enemies!$1:$1,0)-MATCH($I$1,[2]enemies!$1:$1,0)+1),MATCH(X$1,[2]enemies!$1:$1,0)-MATCH($I$1,[2]enemies!$1:$1,0)+1,FALSE)</f>
        <v>2</v>
      </c>
      <c r="Y37" s="42">
        <v>63</v>
      </c>
      <c r="Z37" s="4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37" s="4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2</v>
      </c>
      <c r="AB37" s="4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7" s="51">
        <v>5</v>
      </c>
      <c r="AD37" s="29">
        <f t="shared" ca="1" si="39"/>
        <v>2</v>
      </c>
      <c r="AE37" s="53">
        <v>10</v>
      </c>
      <c r="AF37" s="7">
        <v>0</v>
      </c>
      <c r="AG37" s="7">
        <v>0</v>
      </c>
      <c r="AH37" s="7">
        <v>0</v>
      </c>
      <c r="AI37" s="7">
        <v>0</v>
      </c>
      <c r="AJ37" s="7">
        <v>1</v>
      </c>
    </row>
    <row r="38" spans="1:36" ht="21" customHeight="1" thickBot="1" x14ac:dyDescent="0.2">
      <c r="A38" s="54" t="str">
        <f t="shared" ca="1" si="36"/>
        <v>20008_3-4/285&lt;lv40&gt;s2</v>
      </c>
      <c r="B38" s="27">
        <v>20008</v>
      </c>
      <c r="C38" s="55">
        <v>3</v>
      </c>
      <c r="D38" s="56" t="str">
        <f t="shared" ca="1" si="37"/>
        <v>20008_3</v>
      </c>
      <c r="E38" s="57" t="str">
        <f ca="1">VLOOKUP($B38,OFFSET([1]quests!$A$1,0,0,COUNTA([1]quests!$A:$A),MATCH(E$1,[1]quests!$1:$1,0)-MATCH($B$1,[1]quests!$1:$1,0)+1),MATCH(E$1,[1]quests!$1:$1,0)-MATCH($B$1,[1]quests!$1:$1,0)+1,FALSE)</f>
        <v>天翔ける金轟機龍</v>
      </c>
      <c r="F38" s="57" t="str">
        <f ca="1">VLOOKUP($D38,OFFSET([1]stages!$A$1,0,0,COUNTA([1]stages!$A:$A),MATCH(F$1,[1]stages!$2:$2,0)-MATCH($D$1,[1]stages!$2:$2,0)+1),MATCH(F$1,[1]stages!$2:$2,0)-MATCH($D$1,[1]stages!$2:$2,0)+1,FALSE)</f>
        <v>【上級】天翔ける金轟機龍</v>
      </c>
      <c r="G38" s="58">
        <v>4</v>
      </c>
      <c r="H38" s="56" t="str">
        <f t="shared" ca="1" si="38"/>
        <v>20008_3-4</v>
      </c>
      <c r="I38" s="59">
        <v>285</v>
      </c>
      <c r="J38" s="83" t="str">
        <f ca="1">VLOOKUP($I38,OFFSET([2]enemies!$A$1,0,0,COUNTA([2]enemies!$A:$A),MATCH(J$1,[2]enemies!$1:$1,0)-MATCH($I$1,[2]enemies!$1:$1,0)+1),MATCH(J$1,[2]enemies!$1:$1,0)-MATCH($I$1,[2]enemies!$1:$1,0)+1,FALSE)</f>
        <v>フェルニゲシュ・オーバードライヴ</v>
      </c>
      <c r="K38" s="60" t="str">
        <f ca="1">VLOOKUP($I38,OFFSET([2]enemies!$A$1,0,0,COUNTA([2]enemies!$A:$A),MATCH(K$1,[2]enemies!$1:$1,0)-MATCH($I$1,[2]enemies!$1:$1,0)+1),MATCH(K$1,[2]enemies!$1:$1,0)-MATCH($I$1,[2]enemies!$1:$1,0)+1,FALSE)</f>
        <v>yellow</v>
      </c>
      <c r="L38" s="61" t="str">
        <f ca="1">VLOOKUP(I38,[3]characters!$A:$J,10,FALSE)</f>
        <v>DropWizW</v>
      </c>
      <c r="M38" s="60" t="str">
        <f ca="1">VLOOKUP($I38,OFFSET([2]enemies!$A$1,0,0,COUNTA([2]enemies!$A:$A),MATCH(M$1,[2]enemies!$1:$1,0)-MATCH($I$1,[2]enemies!$1:$1,0)+1),MATCH(M$1,[2]enemies!$1:$1,0)-MATCH($I$1,[2]enemies!$1:$1,0)+1,FALSE)</f>
        <v>dragon</v>
      </c>
      <c r="N38" s="57">
        <f ca="1">VLOOKUP($I38,OFFSET([2]enemies!$A$1,0,0,COUNTA([2]enemies!$A:$A),MATCH(N$1,[2]enemies!$1:$1,0)-MATCH($I$1,[2]enemies!$1:$1,0)+1),MATCH(N$1,[2]enemies!$1:$1,0)-MATCH($I$1,[2]enemies!$1:$1,0)+1,FALSE)</f>
        <v>30</v>
      </c>
      <c r="O38" s="62">
        <v>40</v>
      </c>
      <c r="P38" s="63">
        <v>3.3</v>
      </c>
      <c r="Q38" s="63">
        <v>1.3</v>
      </c>
      <c r="R38" s="62">
        <v>0</v>
      </c>
      <c r="S38" s="57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1ターン緑パネルが使えない＋攻撃</v>
      </c>
      <c r="T38" s="79">
        <v>284</v>
      </c>
      <c r="U38" s="64">
        <v>1</v>
      </c>
      <c r="V38" s="64">
        <v>100</v>
      </c>
      <c r="W38" s="64">
        <v>1</v>
      </c>
      <c r="X38" s="60">
        <f ca="1">VLOOKUP($I38,OFFSET([2]enemies!$A$1,0,0,COUNTA([2]enemies!$A:$A),MATCH(X$1,[2]enemies!$1:$1,0)-MATCH($I$1,[2]enemies!$1:$1,0)+1),MATCH(X$1,[2]enemies!$1:$1,0)-MATCH($I$1,[2]enemies!$1:$1,0)+1,FALSE)</f>
        <v>2</v>
      </c>
      <c r="Y38" s="59">
        <v>284</v>
      </c>
      <c r="Z38" s="57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フェルニゲシュ</v>
      </c>
      <c r="AA38" s="57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3</v>
      </c>
      <c r="AB38" s="82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38" s="65">
        <v>1</v>
      </c>
      <c r="AD38" s="66">
        <f t="shared" ca="1" si="39"/>
        <v>3</v>
      </c>
      <c r="AE38" s="67">
        <v>100</v>
      </c>
      <c r="AF38" s="65">
        <v>0</v>
      </c>
      <c r="AG38" s="65">
        <v>0</v>
      </c>
      <c r="AH38" s="65">
        <v>0</v>
      </c>
      <c r="AI38" s="65">
        <v>0</v>
      </c>
      <c r="AJ38" s="65">
        <v>1</v>
      </c>
    </row>
  </sheetData>
  <sheetProtection selectLockedCells="1" selectUnlockedCells="1"/>
  <autoFilter ref="B1:AE38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7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5" x14ac:dyDescent="0.15"/>
  <cols>
    <col min="1" max="1" width="10.1640625" style="21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floors_drop_2_4</v>
      </c>
    </row>
    <row r="2" spans="1:6" s="17" customFormat="1" x14ac:dyDescent="0.15">
      <c r="A2" s="21" t="s">
        <v>32</v>
      </c>
      <c r="B2" s="17" t="s">
        <v>0</v>
      </c>
      <c r="C2" s="17" t="s">
        <v>1</v>
      </c>
      <c r="D2" s="17" t="s">
        <v>13</v>
      </c>
      <c r="E2" s="17" t="s">
        <v>14</v>
      </c>
      <c r="F2" s="17" t="s">
        <v>15</v>
      </c>
    </row>
    <row r="3" spans="1:6" x14ac:dyDescent="0.15">
      <c r="A3" s="22" t="str">
        <f t="shared" ref="A3:A14" si="0">INDIRECT(ADDRESS(ROW()+$A$1,COLUMN(),1,TRUE,$C$1))</f>
        <v>20008_1-1</v>
      </c>
      <c r="B3" s="18">
        <f t="shared" ref="B3:F14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20008</v>
      </c>
      <c r="C3" s="18">
        <f t="shared" si="1"/>
        <v>1</v>
      </c>
      <c r="D3" s="18">
        <f t="shared" si="1"/>
        <v>1</v>
      </c>
      <c r="E3" s="18">
        <f t="shared" si="1"/>
        <v>30</v>
      </c>
      <c r="F3" s="18">
        <f t="shared" si="1"/>
        <v>30</v>
      </c>
    </row>
    <row r="4" spans="1:6" x14ac:dyDescent="0.15">
      <c r="A4" s="22" t="str">
        <f t="shared" si="0"/>
        <v>20008_1-2</v>
      </c>
      <c r="B4" s="18">
        <f t="shared" si="1"/>
        <v>20008</v>
      </c>
      <c r="C4" s="18">
        <f t="shared" si="1"/>
        <v>1</v>
      </c>
      <c r="D4" s="18">
        <f t="shared" si="1"/>
        <v>2</v>
      </c>
      <c r="E4" s="18">
        <f t="shared" si="1"/>
        <v>45</v>
      </c>
      <c r="F4" s="18">
        <f t="shared" si="1"/>
        <v>45</v>
      </c>
    </row>
    <row r="5" spans="1:6" x14ac:dyDescent="0.15">
      <c r="A5" s="22" t="str">
        <f t="shared" si="0"/>
        <v>20008_1-3</v>
      </c>
      <c r="B5" s="18">
        <f t="shared" si="1"/>
        <v>20008</v>
      </c>
      <c r="C5" s="18">
        <f t="shared" si="1"/>
        <v>1</v>
      </c>
      <c r="D5" s="18">
        <f t="shared" si="1"/>
        <v>3</v>
      </c>
      <c r="E5" s="18">
        <f t="shared" si="1"/>
        <v>45</v>
      </c>
      <c r="F5" s="18">
        <f t="shared" si="1"/>
        <v>45</v>
      </c>
    </row>
    <row r="6" spans="1:6" x14ac:dyDescent="0.15">
      <c r="A6" s="22" t="str">
        <f t="shared" si="0"/>
        <v>20008_1-4</v>
      </c>
      <c r="B6" s="18">
        <f t="shared" si="1"/>
        <v>20008</v>
      </c>
      <c r="C6" s="18">
        <f t="shared" si="1"/>
        <v>1</v>
      </c>
      <c r="D6" s="18">
        <f t="shared" si="1"/>
        <v>4</v>
      </c>
      <c r="E6" s="18">
        <f t="shared" si="1"/>
        <v>20</v>
      </c>
      <c r="F6" s="18">
        <f t="shared" si="1"/>
        <v>20</v>
      </c>
    </row>
    <row r="7" spans="1:6" x14ac:dyDescent="0.15">
      <c r="A7" s="22" t="str">
        <f t="shared" si="0"/>
        <v>20008_2-1</v>
      </c>
      <c r="B7" s="18">
        <f t="shared" si="1"/>
        <v>20008</v>
      </c>
      <c r="C7" s="18">
        <f t="shared" si="1"/>
        <v>2</v>
      </c>
      <c r="D7" s="18">
        <f t="shared" si="1"/>
        <v>1</v>
      </c>
      <c r="E7" s="18">
        <f t="shared" si="1"/>
        <v>30</v>
      </c>
      <c r="F7" s="18">
        <f t="shared" si="1"/>
        <v>30</v>
      </c>
    </row>
    <row r="8" spans="1:6" x14ac:dyDescent="0.15">
      <c r="A8" s="22" t="str">
        <f t="shared" si="0"/>
        <v>20008_2-2</v>
      </c>
      <c r="B8" s="18">
        <f t="shared" si="1"/>
        <v>20008</v>
      </c>
      <c r="C8" s="18">
        <f t="shared" si="1"/>
        <v>2</v>
      </c>
      <c r="D8" s="18">
        <f t="shared" si="1"/>
        <v>2</v>
      </c>
      <c r="E8" s="18">
        <f t="shared" si="1"/>
        <v>55</v>
      </c>
      <c r="F8" s="18">
        <f t="shared" si="1"/>
        <v>55</v>
      </c>
    </row>
    <row r="9" spans="1:6" x14ac:dyDescent="0.15">
      <c r="A9" s="22" t="str">
        <f t="shared" si="0"/>
        <v>20008_2-3</v>
      </c>
      <c r="B9" s="18">
        <f t="shared" si="1"/>
        <v>20008</v>
      </c>
      <c r="C9" s="18">
        <f t="shared" si="1"/>
        <v>2</v>
      </c>
      <c r="D9" s="18">
        <f t="shared" si="1"/>
        <v>3</v>
      </c>
      <c r="E9" s="18">
        <f t="shared" si="1"/>
        <v>45</v>
      </c>
      <c r="F9" s="18">
        <f t="shared" si="1"/>
        <v>45</v>
      </c>
    </row>
    <row r="10" spans="1:6" x14ac:dyDescent="0.15">
      <c r="A10" s="22" t="str">
        <f t="shared" si="0"/>
        <v>20008_2-4</v>
      </c>
      <c r="B10" s="18">
        <f t="shared" si="1"/>
        <v>20008</v>
      </c>
      <c r="C10" s="18">
        <f t="shared" si="1"/>
        <v>2</v>
      </c>
      <c r="D10" s="18">
        <f t="shared" si="1"/>
        <v>4</v>
      </c>
      <c r="E10" s="18">
        <f t="shared" si="1"/>
        <v>20</v>
      </c>
      <c r="F10" s="18">
        <f t="shared" si="1"/>
        <v>20</v>
      </c>
    </row>
    <row r="11" spans="1:6" x14ac:dyDescent="0.15">
      <c r="A11" s="22" t="str">
        <f t="shared" si="0"/>
        <v>20008_3-1</v>
      </c>
      <c r="B11" s="18">
        <f t="shared" si="1"/>
        <v>20008</v>
      </c>
      <c r="C11" s="18">
        <f t="shared" si="1"/>
        <v>3</v>
      </c>
      <c r="D11" s="18">
        <f t="shared" si="1"/>
        <v>1</v>
      </c>
      <c r="E11" s="18">
        <f t="shared" si="1"/>
        <v>30</v>
      </c>
      <c r="F11" s="18">
        <f t="shared" si="1"/>
        <v>30</v>
      </c>
    </row>
    <row r="12" spans="1:6" x14ac:dyDescent="0.15">
      <c r="A12" s="22" t="str">
        <f t="shared" si="0"/>
        <v>20008_3-2</v>
      </c>
      <c r="B12" s="18">
        <f t="shared" si="1"/>
        <v>20008</v>
      </c>
      <c r="C12" s="18">
        <f t="shared" si="1"/>
        <v>3</v>
      </c>
      <c r="D12" s="18">
        <f t="shared" si="1"/>
        <v>2</v>
      </c>
      <c r="E12" s="18">
        <f t="shared" si="1"/>
        <v>55</v>
      </c>
      <c r="F12" s="18">
        <f t="shared" si="1"/>
        <v>55</v>
      </c>
    </row>
    <row r="13" spans="1:6" x14ac:dyDescent="0.15">
      <c r="A13" s="22" t="str">
        <f t="shared" si="0"/>
        <v>20008_3-3</v>
      </c>
      <c r="B13" s="18">
        <f t="shared" si="1"/>
        <v>20008</v>
      </c>
      <c r="C13" s="18">
        <f t="shared" si="1"/>
        <v>3</v>
      </c>
      <c r="D13" s="18">
        <f t="shared" si="1"/>
        <v>3</v>
      </c>
      <c r="E13" s="18">
        <f t="shared" si="1"/>
        <v>45</v>
      </c>
      <c r="F13" s="18">
        <f t="shared" si="1"/>
        <v>45</v>
      </c>
    </row>
    <row r="14" spans="1:6" x14ac:dyDescent="0.15">
      <c r="A14" s="22" t="str">
        <f t="shared" si="0"/>
        <v>20008_3-4</v>
      </c>
      <c r="B14" s="18">
        <f t="shared" si="1"/>
        <v>20008</v>
      </c>
      <c r="C14" s="18">
        <f t="shared" si="1"/>
        <v>3</v>
      </c>
      <c r="D14" s="18">
        <f t="shared" si="1"/>
        <v>4</v>
      </c>
      <c r="E14" s="18">
        <f t="shared" si="1"/>
        <v>30</v>
      </c>
      <c r="F14" s="18">
        <f t="shared" si="1"/>
        <v>30</v>
      </c>
    </row>
    <row r="15" spans="1:6" x14ac:dyDescent="0.15">
      <c r="A15"/>
    </row>
    <row r="16" spans="1:6" x14ac:dyDescent="0.15">
      <c r="A16"/>
    </row>
    <row r="17" spans="1:1" x14ac:dyDescent="0.15">
      <c r="A17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53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40" sqref="C40"/>
    </sheetView>
  </sheetViews>
  <sheetFormatPr baseColWidth="12" defaultRowHeight="15" x14ac:dyDescent="0.15"/>
  <cols>
    <col min="1" max="1" width="13.5" style="21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enemy_habitats_drop_2_4</v>
      </c>
    </row>
    <row r="2" spans="1:23" s="17" customFormat="1" x14ac:dyDescent="0.15">
      <c r="A2" s="21" t="s">
        <v>30</v>
      </c>
      <c r="B2" s="17" t="s">
        <v>0</v>
      </c>
      <c r="C2" s="17" t="s">
        <v>1</v>
      </c>
      <c r="D2" s="17" t="s">
        <v>13</v>
      </c>
      <c r="E2" s="17" t="s">
        <v>2</v>
      </c>
      <c r="F2" s="17" t="s">
        <v>3</v>
      </c>
      <c r="G2" s="17" t="s">
        <v>49</v>
      </c>
      <c r="H2" s="17" t="s">
        <v>51</v>
      </c>
      <c r="I2" s="17" t="s">
        <v>53</v>
      </c>
      <c r="J2" s="17" t="s">
        <v>22</v>
      </c>
      <c r="K2" s="17" t="s">
        <v>5</v>
      </c>
      <c r="L2" s="17" t="s">
        <v>6</v>
      </c>
      <c r="M2" s="17" t="s">
        <v>7</v>
      </c>
      <c r="N2" s="17" t="s">
        <v>8</v>
      </c>
      <c r="O2" s="17" t="s">
        <v>9</v>
      </c>
      <c r="P2" s="17" t="s">
        <v>10</v>
      </c>
      <c r="Q2" s="17" t="s">
        <v>11</v>
      </c>
      <c r="R2" s="17" t="s">
        <v>12</v>
      </c>
      <c r="S2" s="17" t="s">
        <v>39</v>
      </c>
      <c r="T2" s="17" t="s">
        <v>41</v>
      </c>
      <c r="U2" s="17" t="s">
        <v>43</v>
      </c>
      <c r="V2" s="17" t="s">
        <v>45</v>
      </c>
      <c r="W2" s="17" t="s">
        <v>47</v>
      </c>
    </row>
    <row r="3" spans="1:23" x14ac:dyDescent="0.15">
      <c r="A3" s="22" t="str">
        <f>INDIRECT(ADDRESS(ROW()+$A$1,COLUMN(),1,TRUE,$C$1))</f>
        <v>20008_1-1/7&lt;lv16&gt;s2</v>
      </c>
      <c r="B3" s="18">
        <f t="shared" ref="B3:W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20008</v>
      </c>
      <c r="C3" s="18">
        <f t="shared" si="0"/>
        <v>1</v>
      </c>
      <c r="D3" s="18">
        <f t="shared" si="0"/>
        <v>1</v>
      </c>
      <c r="E3" s="18">
        <f t="shared" si="0"/>
        <v>7</v>
      </c>
      <c r="F3" s="18">
        <f t="shared" si="0"/>
        <v>16</v>
      </c>
      <c r="G3" s="18">
        <f t="shared" si="0"/>
        <v>1.1000000000000001</v>
      </c>
      <c r="H3" s="18">
        <f t="shared" si="0"/>
        <v>0.9</v>
      </c>
      <c r="I3" s="18">
        <f t="shared" si="0"/>
        <v>0</v>
      </c>
      <c r="J3" s="18">
        <f t="shared" si="0"/>
        <v>0</v>
      </c>
      <c r="K3" s="18">
        <f t="shared" si="0"/>
        <v>0</v>
      </c>
      <c r="L3" s="18">
        <f t="shared" si="0"/>
        <v>100</v>
      </c>
      <c r="M3" s="18">
        <f t="shared" si="0"/>
        <v>0</v>
      </c>
      <c r="N3" s="18">
        <f t="shared" si="0"/>
        <v>2</v>
      </c>
      <c r="O3" s="18">
        <f t="shared" si="0"/>
        <v>7</v>
      </c>
      <c r="P3" s="18">
        <f t="shared" si="0"/>
        <v>1</v>
      </c>
      <c r="Q3" s="18">
        <f t="shared" si="0"/>
        <v>1</v>
      </c>
      <c r="R3" s="18">
        <f t="shared" si="0"/>
        <v>26</v>
      </c>
      <c r="S3" s="18">
        <f t="shared" si="0"/>
        <v>0</v>
      </c>
      <c r="T3" s="18">
        <f t="shared" si="0"/>
        <v>0</v>
      </c>
      <c r="U3" s="18">
        <f t="shared" si="0"/>
        <v>0</v>
      </c>
      <c r="V3" s="18">
        <f t="shared" si="0"/>
        <v>0</v>
      </c>
      <c r="W3" s="18">
        <f t="shared" si="0"/>
        <v>1</v>
      </c>
    </row>
    <row r="4" spans="1:23" x14ac:dyDescent="0.15">
      <c r="A4" s="22" t="str">
        <f t="shared" ref="A4:A39" si="1">INDIRECT(ADDRESS(ROW()+$A$1,COLUMN(),1,TRUE,$C$1))</f>
        <v>20008_1-1/19&lt;lv16&gt;s3</v>
      </c>
      <c r="B4" s="18">
        <f t="shared" si="0"/>
        <v>20008</v>
      </c>
      <c r="C4" s="18">
        <f t="shared" si="0"/>
        <v>1</v>
      </c>
      <c r="D4" s="18">
        <f t="shared" si="0"/>
        <v>1</v>
      </c>
      <c r="E4" s="18">
        <f t="shared" si="0"/>
        <v>19</v>
      </c>
      <c r="F4" s="18">
        <f t="shared" si="0"/>
        <v>16</v>
      </c>
      <c r="G4" s="18">
        <f t="shared" si="0"/>
        <v>1.1000000000000001</v>
      </c>
      <c r="H4" s="18">
        <f t="shared" si="0"/>
        <v>0.9</v>
      </c>
      <c r="I4" s="18">
        <f t="shared" si="0"/>
        <v>0</v>
      </c>
      <c r="J4" s="18">
        <f t="shared" si="0"/>
        <v>0</v>
      </c>
      <c r="K4" s="18">
        <f t="shared" si="0"/>
        <v>0</v>
      </c>
      <c r="L4" s="18">
        <f t="shared" si="0"/>
        <v>100</v>
      </c>
      <c r="M4" s="18">
        <f t="shared" si="0"/>
        <v>0</v>
      </c>
      <c r="N4" s="18">
        <f t="shared" si="0"/>
        <v>3</v>
      </c>
      <c r="O4" s="18">
        <f t="shared" si="0"/>
        <v>19</v>
      </c>
      <c r="P4" s="18">
        <f t="shared" si="0"/>
        <v>1</v>
      </c>
      <c r="Q4" s="18">
        <f t="shared" si="0"/>
        <v>1</v>
      </c>
      <c r="R4" s="18">
        <f t="shared" si="0"/>
        <v>26</v>
      </c>
      <c r="S4" s="18">
        <f t="shared" si="0"/>
        <v>0</v>
      </c>
      <c r="T4" s="18">
        <f t="shared" si="0"/>
        <v>0</v>
      </c>
      <c r="U4" s="18">
        <f t="shared" si="0"/>
        <v>0</v>
      </c>
      <c r="V4" s="18">
        <f t="shared" si="0"/>
        <v>0</v>
      </c>
      <c r="W4" s="18">
        <f t="shared" si="0"/>
        <v>1</v>
      </c>
    </row>
    <row r="5" spans="1:23" x14ac:dyDescent="0.15">
      <c r="A5" s="22" t="str">
        <f t="shared" si="1"/>
        <v>20008_1-1/31&lt;lv16&gt;s2</v>
      </c>
      <c r="B5" s="18">
        <f t="shared" si="0"/>
        <v>20008</v>
      </c>
      <c r="C5" s="18">
        <f t="shared" si="0"/>
        <v>1</v>
      </c>
      <c r="D5" s="18">
        <f t="shared" si="0"/>
        <v>1</v>
      </c>
      <c r="E5" s="18">
        <f t="shared" si="0"/>
        <v>31</v>
      </c>
      <c r="F5" s="18">
        <f t="shared" si="0"/>
        <v>16</v>
      </c>
      <c r="G5" s="18">
        <f t="shared" si="0"/>
        <v>1.1000000000000001</v>
      </c>
      <c r="H5" s="18">
        <f t="shared" si="0"/>
        <v>0.9</v>
      </c>
      <c r="I5" s="18">
        <f t="shared" si="0"/>
        <v>0</v>
      </c>
      <c r="J5" s="18">
        <f t="shared" si="0"/>
        <v>0</v>
      </c>
      <c r="K5" s="18">
        <f t="shared" si="0"/>
        <v>0</v>
      </c>
      <c r="L5" s="18">
        <f t="shared" si="0"/>
        <v>100</v>
      </c>
      <c r="M5" s="18">
        <f t="shared" si="0"/>
        <v>0</v>
      </c>
      <c r="N5" s="18">
        <f t="shared" si="0"/>
        <v>2</v>
      </c>
      <c r="O5" s="18">
        <f t="shared" si="0"/>
        <v>31</v>
      </c>
      <c r="P5" s="18">
        <f t="shared" si="0"/>
        <v>1</v>
      </c>
      <c r="Q5" s="18">
        <f t="shared" si="0"/>
        <v>1</v>
      </c>
      <c r="R5" s="18">
        <f t="shared" si="0"/>
        <v>26</v>
      </c>
      <c r="S5" s="18">
        <f t="shared" si="0"/>
        <v>0</v>
      </c>
      <c r="T5" s="18">
        <f t="shared" si="0"/>
        <v>0</v>
      </c>
      <c r="U5" s="18">
        <f t="shared" si="0"/>
        <v>0</v>
      </c>
      <c r="V5" s="18">
        <f t="shared" si="0"/>
        <v>0</v>
      </c>
      <c r="W5" s="18">
        <f t="shared" si="0"/>
        <v>1</v>
      </c>
    </row>
    <row r="6" spans="1:23" x14ac:dyDescent="0.15">
      <c r="A6" s="22" t="str">
        <f t="shared" si="1"/>
        <v>20008_1-1/47&lt;lv16&gt;s1</v>
      </c>
      <c r="B6" s="18">
        <f t="shared" si="0"/>
        <v>20008</v>
      </c>
      <c r="C6" s="18">
        <f t="shared" si="0"/>
        <v>1</v>
      </c>
      <c r="D6" s="18">
        <f t="shared" si="0"/>
        <v>1</v>
      </c>
      <c r="E6" s="18">
        <f t="shared" si="0"/>
        <v>47</v>
      </c>
      <c r="F6" s="18">
        <f t="shared" si="0"/>
        <v>16</v>
      </c>
      <c r="G6" s="18">
        <f t="shared" si="0"/>
        <v>1.1000000000000001</v>
      </c>
      <c r="H6" s="18">
        <f t="shared" si="0"/>
        <v>0.9</v>
      </c>
      <c r="I6" s="18">
        <f t="shared" si="0"/>
        <v>0</v>
      </c>
      <c r="J6" s="18">
        <f t="shared" si="0"/>
        <v>0</v>
      </c>
      <c r="K6" s="18">
        <f t="shared" si="0"/>
        <v>0</v>
      </c>
      <c r="L6" s="18">
        <f t="shared" si="0"/>
        <v>100</v>
      </c>
      <c r="M6" s="18">
        <f t="shared" si="0"/>
        <v>0</v>
      </c>
      <c r="N6" s="18">
        <f t="shared" si="0"/>
        <v>1</v>
      </c>
      <c r="O6" s="18">
        <f t="shared" si="0"/>
        <v>47</v>
      </c>
      <c r="P6" s="18">
        <f t="shared" si="0"/>
        <v>1</v>
      </c>
      <c r="Q6" s="18">
        <f t="shared" si="0"/>
        <v>2</v>
      </c>
      <c r="R6" s="18">
        <f t="shared" si="0"/>
        <v>26</v>
      </c>
      <c r="S6" s="18">
        <f t="shared" si="0"/>
        <v>0</v>
      </c>
      <c r="T6" s="18">
        <f t="shared" si="0"/>
        <v>0</v>
      </c>
      <c r="U6" s="18">
        <f t="shared" si="0"/>
        <v>0</v>
      </c>
      <c r="V6" s="18">
        <f t="shared" si="0"/>
        <v>0</v>
      </c>
      <c r="W6" s="18">
        <f t="shared" si="0"/>
        <v>1</v>
      </c>
    </row>
    <row r="7" spans="1:23" x14ac:dyDescent="0.15">
      <c r="A7" s="22" t="str">
        <f t="shared" si="1"/>
        <v>20008_1-2/7&lt;lv16&gt;s2</v>
      </c>
      <c r="B7" s="18">
        <f t="shared" si="0"/>
        <v>20008</v>
      </c>
      <c r="C7" s="18">
        <f t="shared" si="0"/>
        <v>1</v>
      </c>
      <c r="D7" s="18">
        <f t="shared" si="0"/>
        <v>2</v>
      </c>
      <c r="E7" s="18">
        <f t="shared" si="0"/>
        <v>7</v>
      </c>
      <c r="F7" s="18">
        <f t="shared" si="0"/>
        <v>16</v>
      </c>
      <c r="G7" s="18">
        <f t="shared" si="0"/>
        <v>1.1000000000000001</v>
      </c>
      <c r="H7" s="18">
        <f t="shared" si="0"/>
        <v>0.9</v>
      </c>
      <c r="I7" s="18">
        <f t="shared" si="0"/>
        <v>0</v>
      </c>
      <c r="J7" s="18">
        <f t="shared" si="0"/>
        <v>0</v>
      </c>
      <c r="K7" s="18">
        <f t="shared" si="0"/>
        <v>0</v>
      </c>
      <c r="L7" s="18">
        <f t="shared" si="0"/>
        <v>100</v>
      </c>
      <c r="M7" s="18">
        <f t="shared" si="0"/>
        <v>0</v>
      </c>
      <c r="N7" s="18">
        <f t="shared" si="0"/>
        <v>2</v>
      </c>
      <c r="O7" s="18">
        <f t="shared" si="0"/>
        <v>7</v>
      </c>
      <c r="P7" s="18">
        <f t="shared" si="0"/>
        <v>1</v>
      </c>
      <c r="Q7" s="18">
        <f t="shared" si="0"/>
        <v>1</v>
      </c>
      <c r="R7" s="18">
        <f t="shared" si="0"/>
        <v>26</v>
      </c>
      <c r="S7" s="18">
        <f t="shared" si="0"/>
        <v>0</v>
      </c>
      <c r="T7" s="18">
        <f t="shared" si="0"/>
        <v>0</v>
      </c>
      <c r="U7" s="18">
        <f t="shared" si="0"/>
        <v>0</v>
      </c>
      <c r="V7" s="18">
        <f t="shared" si="0"/>
        <v>0</v>
      </c>
      <c r="W7" s="18">
        <f t="shared" si="0"/>
        <v>1</v>
      </c>
    </row>
    <row r="8" spans="1:23" x14ac:dyDescent="0.15">
      <c r="A8" s="22" t="str">
        <f t="shared" si="1"/>
        <v>20008_1-2/19&lt;lv16&gt;s3</v>
      </c>
      <c r="B8" s="18">
        <f t="shared" si="0"/>
        <v>20008</v>
      </c>
      <c r="C8" s="18">
        <f t="shared" si="0"/>
        <v>1</v>
      </c>
      <c r="D8" s="18">
        <f t="shared" si="0"/>
        <v>2</v>
      </c>
      <c r="E8" s="18">
        <f t="shared" si="0"/>
        <v>19</v>
      </c>
      <c r="F8" s="18">
        <f t="shared" si="0"/>
        <v>16</v>
      </c>
      <c r="G8" s="18">
        <f t="shared" si="0"/>
        <v>1.1000000000000001</v>
      </c>
      <c r="H8" s="18">
        <f t="shared" si="0"/>
        <v>0.9</v>
      </c>
      <c r="I8" s="18">
        <f t="shared" si="0"/>
        <v>0</v>
      </c>
      <c r="J8" s="18">
        <f t="shared" si="0"/>
        <v>0</v>
      </c>
      <c r="K8" s="18">
        <f t="shared" si="0"/>
        <v>0</v>
      </c>
      <c r="L8" s="18">
        <f t="shared" si="0"/>
        <v>100</v>
      </c>
      <c r="M8" s="18">
        <f t="shared" si="0"/>
        <v>0</v>
      </c>
      <c r="N8" s="18">
        <f t="shared" si="0"/>
        <v>3</v>
      </c>
      <c r="O8" s="18">
        <f t="shared" si="0"/>
        <v>19</v>
      </c>
      <c r="P8" s="18">
        <f t="shared" si="0"/>
        <v>1</v>
      </c>
      <c r="Q8" s="18">
        <f t="shared" si="0"/>
        <v>1</v>
      </c>
      <c r="R8" s="18">
        <f t="shared" si="0"/>
        <v>26</v>
      </c>
      <c r="S8" s="18">
        <f t="shared" si="0"/>
        <v>0</v>
      </c>
      <c r="T8" s="18">
        <f t="shared" si="0"/>
        <v>0</v>
      </c>
      <c r="U8" s="18">
        <f t="shared" si="0"/>
        <v>0</v>
      </c>
      <c r="V8" s="18">
        <f t="shared" si="0"/>
        <v>0</v>
      </c>
      <c r="W8" s="18">
        <f t="shared" si="0"/>
        <v>1</v>
      </c>
    </row>
    <row r="9" spans="1:23" x14ac:dyDescent="0.15">
      <c r="A9" s="22" t="str">
        <f t="shared" si="1"/>
        <v>20008_1-2/31&lt;lv16&gt;s2</v>
      </c>
      <c r="B9" s="18">
        <f t="shared" si="0"/>
        <v>20008</v>
      </c>
      <c r="C9" s="18">
        <f t="shared" si="0"/>
        <v>1</v>
      </c>
      <c r="D9" s="18">
        <f t="shared" si="0"/>
        <v>2</v>
      </c>
      <c r="E9" s="18">
        <f t="shared" si="0"/>
        <v>31</v>
      </c>
      <c r="F9" s="18">
        <f t="shared" si="0"/>
        <v>16</v>
      </c>
      <c r="G9" s="18">
        <f t="shared" si="0"/>
        <v>1.1000000000000001</v>
      </c>
      <c r="H9" s="18">
        <f t="shared" si="0"/>
        <v>0.9</v>
      </c>
      <c r="I9" s="18">
        <f t="shared" si="0"/>
        <v>0</v>
      </c>
      <c r="J9" s="18">
        <f t="shared" si="0"/>
        <v>0</v>
      </c>
      <c r="K9" s="18">
        <f t="shared" si="0"/>
        <v>0</v>
      </c>
      <c r="L9" s="18">
        <f t="shared" si="0"/>
        <v>100</v>
      </c>
      <c r="M9" s="18">
        <f t="shared" si="0"/>
        <v>0</v>
      </c>
      <c r="N9" s="18">
        <f t="shared" si="0"/>
        <v>2</v>
      </c>
      <c r="O9" s="18">
        <f t="shared" si="0"/>
        <v>31</v>
      </c>
      <c r="P9" s="18">
        <f t="shared" si="0"/>
        <v>1</v>
      </c>
      <c r="Q9" s="18">
        <f t="shared" si="0"/>
        <v>1</v>
      </c>
      <c r="R9" s="18">
        <f t="shared" si="0"/>
        <v>26</v>
      </c>
      <c r="S9" s="18">
        <f t="shared" si="0"/>
        <v>0</v>
      </c>
      <c r="T9" s="18">
        <f t="shared" si="0"/>
        <v>0</v>
      </c>
      <c r="U9" s="18">
        <f t="shared" si="0"/>
        <v>0</v>
      </c>
      <c r="V9" s="18">
        <f t="shared" si="0"/>
        <v>0</v>
      </c>
      <c r="W9" s="18">
        <f t="shared" si="0"/>
        <v>1</v>
      </c>
    </row>
    <row r="10" spans="1:23" x14ac:dyDescent="0.15">
      <c r="A10" s="22" t="str">
        <f t="shared" si="1"/>
        <v>20008_1-2/47&lt;lv16&gt;s1</v>
      </c>
      <c r="B10" s="18">
        <f t="shared" si="0"/>
        <v>20008</v>
      </c>
      <c r="C10" s="18">
        <f t="shared" si="0"/>
        <v>1</v>
      </c>
      <c r="D10" s="18">
        <f t="shared" si="0"/>
        <v>2</v>
      </c>
      <c r="E10" s="18">
        <f t="shared" si="0"/>
        <v>47</v>
      </c>
      <c r="F10" s="18">
        <f t="shared" si="0"/>
        <v>16</v>
      </c>
      <c r="G10" s="18">
        <f t="shared" si="0"/>
        <v>1.1000000000000001</v>
      </c>
      <c r="H10" s="18">
        <f t="shared" si="0"/>
        <v>0.9</v>
      </c>
      <c r="I10" s="18">
        <f t="shared" si="0"/>
        <v>0</v>
      </c>
      <c r="J10" s="18">
        <f t="shared" si="0"/>
        <v>0</v>
      </c>
      <c r="K10" s="18">
        <f t="shared" si="0"/>
        <v>0</v>
      </c>
      <c r="L10" s="18">
        <f t="shared" si="0"/>
        <v>100</v>
      </c>
      <c r="M10" s="18">
        <f t="shared" si="0"/>
        <v>0</v>
      </c>
      <c r="N10" s="18">
        <f t="shared" si="0"/>
        <v>1</v>
      </c>
      <c r="O10" s="18">
        <f t="shared" si="0"/>
        <v>47</v>
      </c>
      <c r="P10" s="18">
        <f t="shared" si="0"/>
        <v>1</v>
      </c>
      <c r="Q10" s="18">
        <f t="shared" si="0"/>
        <v>2</v>
      </c>
      <c r="R10" s="18">
        <f t="shared" si="0"/>
        <v>26</v>
      </c>
      <c r="S10" s="18">
        <f t="shared" si="0"/>
        <v>0</v>
      </c>
      <c r="T10" s="18">
        <f t="shared" si="0"/>
        <v>0</v>
      </c>
      <c r="U10" s="18">
        <f t="shared" si="0"/>
        <v>0</v>
      </c>
      <c r="V10" s="18">
        <f t="shared" si="0"/>
        <v>0</v>
      </c>
      <c r="W10" s="18">
        <f t="shared" si="0"/>
        <v>1</v>
      </c>
    </row>
    <row r="11" spans="1:23" x14ac:dyDescent="0.15">
      <c r="A11" s="22" t="str">
        <f t="shared" si="1"/>
        <v>20008_1-3/7&lt;lv16&gt;s2</v>
      </c>
      <c r="B11" s="18">
        <f t="shared" si="0"/>
        <v>20008</v>
      </c>
      <c r="C11" s="18">
        <f t="shared" si="0"/>
        <v>1</v>
      </c>
      <c r="D11" s="18">
        <f t="shared" si="0"/>
        <v>3</v>
      </c>
      <c r="E11" s="18">
        <f t="shared" si="0"/>
        <v>7</v>
      </c>
      <c r="F11" s="18">
        <f t="shared" si="0"/>
        <v>16</v>
      </c>
      <c r="G11" s="18">
        <f t="shared" si="0"/>
        <v>1.1000000000000001</v>
      </c>
      <c r="H11" s="18">
        <f t="shared" si="0"/>
        <v>0.9</v>
      </c>
      <c r="I11" s="18">
        <f t="shared" si="0"/>
        <v>0</v>
      </c>
      <c r="J11" s="18">
        <f t="shared" si="0"/>
        <v>0</v>
      </c>
      <c r="K11" s="18">
        <f t="shared" si="0"/>
        <v>0</v>
      </c>
      <c r="L11" s="18">
        <f t="shared" si="0"/>
        <v>100</v>
      </c>
      <c r="M11" s="18">
        <f t="shared" si="0"/>
        <v>0</v>
      </c>
      <c r="N11" s="18">
        <f t="shared" si="0"/>
        <v>2</v>
      </c>
      <c r="O11" s="18">
        <f t="shared" si="0"/>
        <v>7</v>
      </c>
      <c r="P11" s="18">
        <f t="shared" si="0"/>
        <v>3</v>
      </c>
      <c r="Q11" s="18">
        <f t="shared" si="0"/>
        <v>1</v>
      </c>
      <c r="R11" s="18">
        <f t="shared" si="0"/>
        <v>26</v>
      </c>
      <c r="S11" s="18">
        <f t="shared" si="0"/>
        <v>0</v>
      </c>
      <c r="T11" s="18">
        <f t="shared" si="0"/>
        <v>0</v>
      </c>
      <c r="U11" s="18">
        <f t="shared" si="0"/>
        <v>0</v>
      </c>
      <c r="V11" s="18">
        <f t="shared" si="0"/>
        <v>0</v>
      </c>
      <c r="W11" s="18">
        <f t="shared" si="0"/>
        <v>1</v>
      </c>
    </row>
    <row r="12" spans="1:23" x14ac:dyDescent="0.15">
      <c r="A12" s="22" t="str">
        <f t="shared" si="1"/>
        <v>20008_1-3/19&lt;lv16&gt;s3</v>
      </c>
      <c r="B12" s="18">
        <f t="shared" si="0"/>
        <v>20008</v>
      </c>
      <c r="C12" s="18">
        <f t="shared" si="0"/>
        <v>1</v>
      </c>
      <c r="D12" s="18">
        <f t="shared" si="0"/>
        <v>3</v>
      </c>
      <c r="E12" s="18">
        <f t="shared" si="0"/>
        <v>19</v>
      </c>
      <c r="F12" s="18">
        <f t="shared" si="0"/>
        <v>16</v>
      </c>
      <c r="G12" s="18">
        <f t="shared" si="0"/>
        <v>1.1000000000000001</v>
      </c>
      <c r="H12" s="18">
        <f t="shared" si="0"/>
        <v>0.9</v>
      </c>
      <c r="I12" s="18">
        <f t="shared" si="0"/>
        <v>0</v>
      </c>
      <c r="J12" s="18">
        <f t="shared" si="0"/>
        <v>0</v>
      </c>
      <c r="K12" s="18">
        <f t="shared" si="0"/>
        <v>0</v>
      </c>
      <c r="L12" s="18">
        <f t="shared" si="0"/>
        <v>100</v>
      </c>
      <c r="M12" s="18">
        <f t="shared" si="0"/>
        <v>0</v>
      </c>
      <c r="N12" s="18">
        <f t="shared" si="0"/>
        <v>3</v>
      </c>
      <c r="O12" s="18">
        <f t="shared" si="0"/>
        <v>19</v>
      </c>
      <c r="P12" s="18">
        <f t="shared" si="0"/>
        <v>1</v>
      </c>
      <c r="Q12" s="18">
        <f t="shared" si="0"/>
        <v>1</v>
      </c>
      <c r="R12" s="18">
        <f t="shared" si="0"/>
        <v>26</v>
      </c>
      <c r="S12" s="18">
        <f t="shared" si="0"/>
        <v>0</v>
      </c>
      <c r="T12" s="18">
        <f t="shared" si="0"/>
        <v>0</v>
      </c>
      <c r="U12" s="18">
        <f t="shared" si="0"/>
        <v>0</v>
      </c>
      <c r="V12" s="18">
        <f t="shared" si="0"/>
        <v>0</v>
      </c>
      <c r="W12" s="18">
        <f t="shared" si="0"/>
        <v>1</v>
      </c>
    </row>
    <row r="13" spans="1:23" x14ac:dyDescent="0.15">
      <c r="A13" s="22" t="str">
        <f t="shared" si="1"/>
        <v>20008_1-3/31&lt;lv16&gt;s2</v>
      </c>
      <c r="B13" s="18">
        <f t="shared" si="0"/>
        <v>20008</v>
      </c>
      <c r="C13" s="18">
        <f t="shared" si="0"/>
        <v>1</v>
      </c>
      <c r="D13" s="18">
        <f t="shared" si="0"/>
        <v>3</v>
      </c>
      <c r="E13" s="18">
        <f t="shared" si="0"/>
        <v>31</v>
      </c>
      <c r="F13" s="18">
        <f t="shared" si="0"/>
        <v>16</v>
      </c>
      <c r="G13" s="18">
        <f t="shared" si="0"/>
        <v>1.1000000000000001</v>
      </c>
      <c r="H13" s="18">
        <f t="shared" si="0"/>
        <v>0.9</v>
      </c>
      <c r="I13" s="18">
        <f t="shared" si="0"/>
        <v>0</v>
      </c>
      <c r="J13" s="18">
        <f t="shared" si="0"/>
        <v>0</v>
      </c>
      <c r="K13" s="18">
        <f t="shared" si="0"/>
        <v>0</v>
      </c>
      <c r="L13" s="18">
        <f t="shared" si="0"/>
        <v>100</v>
      </c>
      <c r="M13" s="18">
        <f t="shared" si="0"/>
        <v>0</v>
      </c>
      <c r="N13" s="18">
        <f t="shared" si="0"/>
        <v>2</v>
      </c>
      <c r="O13" s="18">
        <f t="shared" si="0"/>
        <v>31</v>
      </c>
      <c r="P13" s="18">
        <f t="shared" si="0"/>
        <v>1</v>
      </c>
      <c r="Q13" s="18">
        <f t="shared" si="0"/>
        <v>1</v>
      </c>
      <c r="R13" s="18">
        <f t="shared" si="0"/>
        <v>26</v>
      </c>
      <c r="S13" s="18">
        <f t="shared" si="0"/>
        <v>0</v>
      </c>
      <c r="T13" s="18">
        <f t="shared" si="0"/>
        <v>0</v>
      </c>
      <c r="U13" s="18">
        <f t="shared" si="0"/>
        <v>0</v>
      </c>
      <c r="V13" s="18">
        <f t="shared" si="0"/>
        <v>0</v>
      </c>
      <c r="W13" s="18">
        <f t="shared" si="0"/>
        <v>1</v>
      </c>
    </row>
    <row r="14" spans="1:23" x14ac:dyDescent="0.15">
      <c r="A14" s="22" t="str">
        <f t="shared" si="1"/>
        <v>20008_1-3/47&lt;lv16&gt;s1</v>
      </c>
      <c r="B14" s="18">
        <f t="shared" si="0"/>
        <v>20008</v>
      </c>
      <c r="C14" s="18">
        <f t="shared" si="0"/>
        <v>1</v>
      </c>
      <c r="D14" s="18">
        <f t="shared" si="0"/>
        <v>3</v>
      </c>
      <c r="E14" s="18">
        <f t="shared" si="0"/>
        <v>47</v>
      </c>
      <c r="F14" s="18">
        <f t="shared" si="0"/>
        <v>16</v>
      </c>
      <c r="G14" s="18">
        <f t="shared" si="0"/>
        <v>1.1000000000000001</v>
      </c>
      <c r="H14" s="18">
        <f t="shared" si="0"/>
        <v>0.9</v>
      </c>
      <c r="I14" s="18">
        <f t="shared" si="0"/>
        <v>0</v>
      </c>
      <c r="J14" s="18">
        <f t="shared" si="0"/>
        <v>0</v>
      </c>
      <c r="K14" s="18">
        <f t="shared" si="0"/>
        <v>0</v>
      </c>
      <c r="L14" s="18">
        <f t="shared" si="0"/>
        <v>100</v>
      </c>
      <c r="M14" s="18">
        <f t="shared" si="0"/>
        <v>0</v>
      </c>
      <c r="N14" s="18">
        <f t="shared" si="0"/>
        <v>1</v>
      </c>
      <c r="O14" s="18">
        <f t="shared" ref="O14:W29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47</v>
      </c>
      <c r="P14" s="18">
        <f t="shared" si="2"/>
        <v>1</v>
      </c>
      <c r="Q14" s="18">
        <f t="shared" si="2"/>
        <v>2</v>
      </c>
      <c r="R14" s="18">
        <f t="shared" si="2"/>
        <v>26</v>
      </c>
      <c r="S14" s="18">
        <f t="shared" si="2"/>
        <v>0</v>
      </c>
      <c r="T14" s="18">
        <f t="shared" si="2"/>
        <v>0</v>
      </c>
      <c r="U14" s="18">
        <f t="shared" si="2"/>
        <v>0</v>
      </c>
      <c r="V14" s="18">
        <f t="shared" si="2"/>
        <v>0</v>
      </c>
      <c r="W14" s="18">
        <f t="shared" si="2"/>
        <v>1</v>
      </c>
    </row>
    <row r="15" spans="1:23" x14ac:dyDescent="0.15">
      <c r="A15" s="22" t="str">
        <f t="shared" si="1"/>
        <v>20008_1-4/284&lt;lv20&gt;s2</v>
      </c>
      <c r="B15" s="18">
        <f t="shared" ref="B15:Q30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20008</v>
      </c>
      <c r="C15" s="18">
        <f t="shared" si="3"/>
        <v>1</v>
      </c>
      <c r="D15" s="18">
        <f t="shared" si="3"/>
        <v>4</v>
      </c>
      <c r="E15" s="18">
        <f t="shared" si="3"/>
        <v>284</v>
      </c>
      <c r="F15" s="18">
        <f t="shared" si="3"/>
        <v>20</v>
      </c>
      <c r="G15" s="18">
        <f t="shared" si="3"/>
        <v>3.5</v>
      </c>
      <c r="H15" s="18">
        <f t="shared" si="3"/>
        <v>1.2</v>
      </c>
      <c r="I15" s="18">
        <f t="shared" si="3"/>
        <v>0</v>
      </c>
      <c r="J15" s="18">
        <f t="shared" si="3"/>
        <v>284</v>
      </c>
      <c r="K15" s="18">
        <f t="shared" si="3"/>
        <v>1</v>
      </c>
      <c r="L15" s="18">
        <f t="shared" si="3"/>
        <v>100</v>
      </c>
      <c r="M15" s="18">
        <f t="shared" si="3"/>
        <v>1</v>
      </c>
      <c r="N15" s="18">
        <f t="shared" si="3"/>
        <v>2</v>
      </c>
      <c r="O15" s="18">
        <f t="shared" si="3"/>
        <v>284</v>
      </c>
      <c r="P15" s="18">
        <f t="shared" si="3"/>
        <v>1</v>
      </c>
      <c r="Q15" s="18">
        <f t="shared" si="3"/>
        <v>3</v>
      </c>
      <c r="R15" s="18">
        <f ca="1">VLOOKUP($A15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1</v>
      </c>
    </row>
    <row r="16" spans="1:23" x14ac:dyDescent="0.15">
      <c r="A16" s="22" t="str">
        <f t="shared" si="1"/>
        <v>20008_2-1/13&lt;lv19&gt;s2</v>
      </c>
      <c r="B16" s="18">
        <f t="shared" si="3"/>
        <v>20008</v>
      </c>
      <c r="C16" s="18">
        <f t="shared" si="3"/>
        <v>2</v>
      </c>
      <c r="D16" s="18">
        <f t="shared" si="3"/>
        <v>1</v>
      </c>
      <c r="E16" s="18">
        <f t="shared" si="3"/>
        <v>13</v>
      </c>
      <c r="F16" s="18">
        <f t="shared" si="3"/>
        <v>19</v>
      </c>
      <c r="G16" s="18">
        <f t="shared" si="3"/>
        <v>1.2</v>
      </c>
      <c r="H16" s="18">
        <f t="shared" si="3"/>
        <v>1</v>
      </c>
      <c r="I16" s="18">
        <f t="shared" si="3"/>
        <v>0</v>
      </c>
      <c r="J16" s="18">
        <f t="shared" si="3"/>
        <v>0</v>
      </c>
      <c r="K16" s="18">
        <f t="shared" si="3"/>
        <v>0</v>
      </c>
      <c r="L16" s="18">
        <f t="shared" si="3"/>
        <v>100</v>
      </c>
      <c r="M16" s="18">
        <f t="shared" si="3"/>
        <v>0</v>
      </c>
      <c r="N16" s="18">
        <f t="shared" si="3"/>
        <v>2</v>
      </c>
      <c r="O16" s="18">
        <f t="shared" si="3"/>
        <v>13</v>
      </c>
      <c r="P16" s="18">
        <f t="shared" si="3"/>
        <v>4</v>
      </c>
      <c r="Q16" s="18">
        <f t="shared" si="3"/>
        <v>1</v>
      </c>
      <c r="R16" s="18">
        <f t="shared" si="2"/>
        <v>15</v>
      </c>
      <c r="S16" s="18">
        <f t="shared" si="2"/>
        <v>0</v>
      </c>
      <c r="T16" s="18">
        <f t="shared" si="2"/>
        <v>0</v>
      </c>
      <c r="U16" s="18">
        <f t="shared" si="2"/>
        <v>0</v>
      </c>
      <c r="V16" s="18">
        <f t="shared" si="2"/>
        <v>0</v>
      </c>
      <c r="W16" s="18">
        <f t="shared" si="2"/>
        <v>1</v>
      </c>
    </row>
    <row r="17" spans="1:23" x14ac:dyDescent="0.15">
      <c r="A17" s="22" t="str">
        <f t="shared" si="1"/>
        <v>20008_2-1/47&lt;lv19&gt;s1</v>
      </c>
      <c r="B17" s="18">
        <f t="shared" si="3"/>
        <v>20008</v>
      </c>
      <c r="C17" s="18">
        <f t="shared" si="3"/>
        <v>2</v>
      </c>
      <c r="D17" s="18">
        <f t="shared" si="3"/>
        <v>1</v>
      </c>
      <c r="E17" s="18">
        <f t="shared" si="3"/>
        <v>47</v>
      </c>
      <c r="F17" s="18">
        <f t="shared" si="3"/>
        <v>19</v>
      </c>
      <c r="G17" s="18">
        <f t="shared" si="3"/>
        <v>1.2</v>
      </c>
      <c r="H17" s="18">
        <f t="shared" si="3"/>
        <v>1</v>
      </c>
      <c r="I17" s="18">
        <f t="shared" si="3"/>
        <v>0</v>
      </c>
      <c r="J17" s="18">
        <f t="shared" si="3"/>
        <v>0</v>
      </c>
      <c r="K17" s="18">
        <f t="shared" si="3"/>
        <v>0</v>
      </c>
      <c r="L17" s="18">
        <f t="shared" si="3"/>
        <v>100</v>
      </c>
      <c r="M17" s="18">
        <f t="shared" si="3"/>
        <v>0</v>
      </c>
      <c r="N17" s="18">
        <f t="shared" si="3"/>
        <v>1</v>
      </c>
      <c r="O17" s="18">
        <f t="shared" si="3"/>
        <v>47</v>
      </c>
      <c r="P17" s="18">
        <f t="shared" si="3"/>
        <v>2</v>
      </c>
      <c r="Q17" s="18">
        <f t="shared" si="3"/>
        <v>2</v>
      </c>
      <c r="R17" s="18">
        <f t="shared" si="2"/>
        <v>15</v>
      </c>
      <c r="S17" s="18">
        <f t="shared" si="2"/>
        <v>0</v>
      </c>
      <c r="T17" s="18">
        <f t="shared" si="2"/>
        <v>0</v>
      </c>
      <c r="U17" s="18">
        <f t="shared" si="2"/>
        <v>0</v>
      </c>
      <c r="V17" s="18">
        <f t="shared" si="2"/>
        <v>0</v>
      </c>
      <c r="W17" s="18">
        <f t="shared" si="2"/>
        <v>1</v>
      </c>
    </row>
    <row r="18" spans="1:23" x14ac:dyDescent="0.15">
      <c r="A18" s="22" t="str">
        <f t="shared" si="1"/>
        <v>20008_2-1/63&lt;lv19&gt;s2</v>
      </c>
      <c r="B18" s="18">
        <f t="shared" si="3"/>
        <v>20008</v>
      </c>
      <c r="C18" s="18">
        <f t="shared" si="3"/>
        <v>2</v>
      </c>
      <c r="D18" s="18">
        <f t="shared" si="3"/>
        <v>1</v>
      </c>
      <c r="E18" s="18">
        <f t="shared" si="3"/>
        <v>63</v>
      </c>
      <c r="F18" s="18">
        <f t="shared" si="3"/>
        <v>19</v>
      </c>
      <c r="G18" s="18">
        <f t="shared" si="3"/>
        <v>1.2</v>
      </c>
      <c r="H18" s="18">
        <f t="shared" si="3"/>
        <v>1</v>
      </c>
      <c r="I18" s="18">
        <f t="shared" si="3"/>
        <v>0</v>
      </c>
      <c r="J18" s="18">
        <f t="shared" si="3"/>
        <v>63</v>
      </c>
      <c r="K18" s="18">
        <f t="shared" si="3"/>
        <v>0</v>
      </c>
      <c r="L18" s="18">
        <f t="shared" si="3"/>
        <v>100</v>
      </c>
      <c r="M18" s="18">
        <f t="shared" si="3"/>
        <v>0</v>
      </c>
      <c r="N18" s="18">
        <f t="shared" si="3"/>
        <v>2</v>
      </c>
      <c r="O18" s="18">
        <f t="shared" si="3"/>
        <v>63</v>
      </c>
      <c r="P18" s="18">
        <f t="shared" si="3"/>
        <v>2</v>
      </c>
      <c r="Q18" s="18">
        <f t="shared" si="3"/>
        <v>2</v>
      </c>
      <c r="R18" s="18">
        <f t="shared" si="2"/>
        <v>15</v>
      </c>
      <c r="S18" s="18">
        <f t="shared" si="2"/>
        <v>0</v>
      </c>
      <c r="T18" s="18">
        <f t="shared" si="2"/>
        <v>0</v>
      </c>
      <c r="U18" s="18">
        <f t="shared" si="2"/>
        <v>0</v>
      </c>
      <c r="V18" s="18">
        <f t="shared" si="2"/>
        <v>0</v>
      </c>
      <c r="W18" s="18">
        <f t="shared" si="2"/>
        <v>1</v>
      </c>
    </row>
    <row r="19" spans="1:23" x14ac:dyDescent="0.15">
      <c r="A19" s="22" t="str">
        <f t="shared" si="1"/>
        <v>20008_2-2/13&lt;lv19&gt;s2</v>
      </c>
      <c r="B19" s="18">
        <f t="shared" si="3"/>
        <v>20008</v>
      </c>
      <c r="C19" s="18">
        <f t="shared" si="3"/>
        <v>2</v>
      </c>
      <c r="D19" s="18">
        <f t="shared" si="3"/>
        <v>2</v>
      </c>
      <c r="E19" s="18">
        <f t="shared" si="3"/>
        <v>13</v>
      </c>
      <c r="F19" s="18">
        <f t="shared" si="3"/>
        <v>19</v>
      </c>
      <c r="G19" s="18">
        <f t="shared" si="3"/>
        <v>1.2</v>
      </c>
      <c r="H19" s="18">
        <f t="shared" si="3"/>
        <v>1</v>
      </c>
      <c r="I19" s="18">
        <f t="shared" si="3"/>
        <v>0</v>
      </c>
      <c r="J19" s="18">
        <f t="shared" si="3"/>
        <v>0</v>
      </c>
      <c r="K19" s="18">
        <f t="shared" si="3"/>
        <v>0</v>
      </c>
      <c r="L19" s="18">
        <f t="shared" si="3"/>
        <v>100</v>
      </c>
      <c r="M19" s="18">
        <f t="shared" si="3"/>
        <v>0</v>
      </c>
      <c r="N19" s="18">
        <f t="shared" si="3"/>
        <v>2</v>
      </c>
      <c r="O19" s="18">
        <f t="shared" si="3"/>
        <v>13</v>
      </c>
      <c r="P19" s="18">
        <f t="shared" si="3"/>
        <v>4</v>
      </c>
      <c r="Q19" s="18">
        <f t="shared" si="3"/>
        <v>1</v>
      </c>
      <c r="R19" s="18">
        <f t="shared" si="2"/>
        <v>0</v>
      </c>
      <c r="S19" s="18">
        <f t="shared" si="2"/>
        <v>0</v>
      </c>
      <c r="T19" s="18">
        <f t="shared" si="2"/>
        <v>0</v>
      </c>
      <c r="U19" s="18">
        <f t="shared" si="2"/>
        <v>0</v>
      </c>
      <c r="V19" s="18">
        <f t="shared" si="2"/>
        <v>0</v>
      </c>
      <c r="W19" s="18">
        <f t="shared" si="2"/>
        <v>1</v>
      </c>
    </row>
    <row r="20" spans="1:23" x14ac:dyDescent="0.15">
      <c r="A20" s="22" t="str">
        <f t="shared" si="1"/>
        <v>20008_2-2/47&lt;lv19&gt;s1</v>
      </c>
      <c r="B20" s="18">
        <f t="shared" si="3"/>
        <v>20008</v>
      </c>
      <c r="C20" s="18">
        <f t="shared" si="3"/>
        <v>2</v>
      </c>
      <c r="D20" s="18">
        <f t="shared" si="3"/>
        <v>2</v>
      </c>
      <c r="E20" s="18">
        <f t="shared" si="3"/>
        <v>47</v>
      </c>
      <c r="F20" s="18">
        <f t="shared" si="3"/>
        <v>19</v>
      </c>
      <c r="G20" s="18">
        <f t="shared" si="3"/>
        <v>1.2</v>
      </c>
      <c r="H20" s="18">
        <f t="shared" si="3"/>
        <v>1</v>
      </c>
      <c r="I20" s="18">
        <f t="shared" si="3"/>
        <v>0</v>
      </c>
      <c r="J20" s="18">
        <f t="shared" si="3"/>
        <v>0</v>
      </c>
      <c r="K20" s="18">
        <f t="shared" si="3"/>
        <v>0</v>
      </c>
      <c r="L20" s="18">
        <f t="shared" si="3"/>
        <v>100</v>
      </c>
      <c r="M20" s="18">
        <f t="shared" si="3"/>
        <v>0</v>
      </c>
      <c r="N20" s="18">
        <f t="shared" si="3"/>
        <v>1</v>
      </c>
      <c r="O20" s="18">
        <f t="shared" si="3"/>
        <v>47</v>
      </c>
      <c r="P20" s="18">
        <f t="shared" si="3"/>
        <v>2</v>
      </c>
      <c r="Q20" s="18">
        <f t="shared" si="3"/>
        <v>2</v>
      </c>
      <c r="R20" s="18">
        <f t="shared" si="2"/>
        <v>0</v>
      </c>
      <c r="S20" s="18">
        <f t="shared" si="2"/>
        <v>0</v>
      </c>
      <c r="T20" s="18">
        <f t="shared" si="2"/>
        <v>0</v>
      </c>
      <c r="U20" s="18">
        <f t="shared" si="2"/>
        <v>0</v>
      </c>
      <c r="V20" s="18">
        <f t="shared" si="2"/>
        <v>0</v>
      </c>
      <c r="W20" s="18">
        <f t="shared" si="2"/>
        <v>1</v>
      </c>
    </row>
    <row r="21" spans="1:23" x14ac:dyDescent="0.15">
      <c r="A21" s="22" t="str">
        <f t="shared" si="1"/>
        <v>20008_2-2/346&lt;lv3&gt;s3</v>
      </c>
      <c r="B21" s="18">
        <f t="shared" si="3"/>
        <v>20008</v>
      </c>
      <c r="C21" s="18">
        <f t="shared" si="3"/>
        <v>2</v>
      </c>
      <c r="D21" s="18">
        <f t="shared" si="3"/>
        <v>2</v>
      </c>
      <c r="E21" s="18">
        <f t="shared" si="3"/>
        <v>346</v>
      </c>
      <c r="F21" s="18">
        <f t="shared" si="3"/>
        <v>3</v>
      </c>
      <c r="G21" s="18">
        <f t="shared" si="3"/>
        <v>0.3</v>
      </c>
      <c r="H21" s="18">
        <f t="shared" si="3"/>
        <v>1</v>
      </c>
      <c r="I21" s="18">
        <f t="shared" si="3"/>
        <v>0</v>
      </c>
      <c r="J21" s="18">
        <f t="shared" si="3"/>
        <v>0</v>
      </c>
      <c r="K21" s="18">
        <f t="shared" si="3"/>
        <v>1</v>
      </c>
      <c r="L21" s="18">
        <f t="shared" si="3"/>
        <v>100</v>
      </c>
      <c r="M21" s="18">
        <f t="shared" si="3"/>
        <v>1</v>
      </c>
      <c r="N21" s="18">
        <f t="shared" si="3"/>
        <v>3</v>
      </c>
      <c r="O21" s="18">
        <f t="shared" si="3"/>
        <v>346</v>
      </c>
      <c r="P21" s="18">
        <f t="shared" si="3"/>
        <v>1</v>
      </c>
      <c r="Q21" s="18">
        <f t="shared" si="3"/>
        <v>5</v>
      </c>
      <c r="R21" s="18">
        <f t="shared" si="2"/>
        <v>10</v>
      </c>
      <c r="S21" s="18">
        <f t="shared" si="2"/>
        <v>0</v>
      </c>
      <c r="T21" s="18">
        <f t="shared" si="2"/>
        <v>0</v>
      </c>
      <c r="U21" s="18">
        <f t="shared" si="2"/>
        <v>0</v>
      </c>
      <c r="V21" s="18">
        <f t="shared" si="2"/>
        <v>0</v>
      </c>
      <c r="W21" s="18">
        <f t="shared" si="2"/>
        <v>1</v>
      </c>
    </row>
    <row r="22" spans="1:23" x14ac:dyDescent="0.15">
      <c r="A22" s="22" t="str">
        <f t="shared" si="1"/>
        <v>20008_2-3/13&lt;lv19&gt;s2</v>
      </c>
      <c r="B22" s="18">
        <f t="shared" si="3"/>
        <v>20008</v>
      </c>
      <c r="C22" s="18">
        <f t="shared" si="3"/>
        <v>2</v>
      </c>
      <c r="D22" s="18">
        <f t="shared" si="3"/>
        <v>3</v>
      </c>
      <c r="E22" s="18">
        <f t="shared" si="3"/>
        <v>13</v>
      </c>
      <c r="F22" s="18">
        <f t="shared" si="3"/>
        <v>19</v>
      </c>
      <c r="G22" s="18">
        <f t="shared" si="3"/>
        <v>1.2</v>
      </c>
      <c r="H22" s="18">
        <f t="shared" si="3"/>
        <v>1</v>
      </c>
      <c r="I22" s="18">
        <f t="shared" si="3"/>
        <v>0</v>
      </c>
      <c r="J22" s="18">
        <f t="shared" si="3"/>
        <v>0</v>
      </c>
      <c r="K22" s="18">
        <f t="shared" si="3"/>
        <v>0</v>
      </c>
      <c r="L22" s="18">
        <f t="shared" si="3"/>
        <v>100</v>
      </c>
      <c r="M22" s="18">
        <f t="shared" si="3"/>
        <v>0</v>
      </c>
      <c r="N22" s="18">
        <f t="shared" si="3"/>
        <v>2</v>
      </c>
      <c r="O22" s="18">
        <f t="shared" si="3"/>
        <v>13</v>
      </c>
      <c r="P22" s="18">
        <f t="shared" si="3"/>
        <v>4</v>
      </c>
      <c r="Q22" s="18">
        <f t="shared" si="3"/>
        <v>1</v>
      </c>
      <c r="R22" s="18">
        <f t="shared" si="2"/>
        <v>15</v>
      </c>
      <c r="S22" s="18">
        <f t="shared" si="2"/>
        <v>0</v>
      </c>
      <c r="T22" s="18">
        <f t="shared" si="2"/>
        <v>0</v>
      </c>
      <c r="U22" s="18">
        <f t="shared" si="2"/>
        <v>0</v>
      </c>
      <c r="V22" s="18">
        <f t="shared" si="2"/>
        <v>0</v>
      </c>
      <c r="W22" s="18">
        <f t="shared" si="2"/>
        <v>1</v>
      </c>
    </row>
    <row r="23" spans="1:23" x14ac:dyDescent="0.15">
      <c r="A23" s="22" t="str">
        <f t="shared" si="1"/>
        <v>20008_2-3/39&lt;lv19&gt;s3</v>
      </c>
      <c r="B23" s="18">
        <f t="shared" si="3"/>
        <v>20008</v>
      </c>
      <c r="C23" s="18">
        <f t="shared" si="3"/>
        <v>2</v>
      </c>
      <c r="D23" s="18">
        <f t="shared" si="3"/>
        <v>3</v>
      </c>
      <c r="E23" s="18">
        <f t="shared" si="3"/>
        <v>39</v>
      </c>
      <c r="F23" s="18">
        <f t="shared" si="3"/>
        <v>19</v>
      </c>
      <c r="G23" s="18">
        <f t="shared" si="3"/>
        <v>1.2</v>
      </c>
      <c r="H23" s="18">
        <f t="shared" si="3"/>
        <v>1</v>
      </c>
      <c r="I23" s="18">
        <f t="shared" si="3"/>
        <v>0</v>
      </c>
      <c r="J23" s="18">
        <f t="shared" si="3"/>
        <v>39</v>
      </c>
      <c r="K23" s="18">
        <f t="shared" si="3"/>
        <v>0</v>
      </c>
      <c r="L23" s="18">
        <f t="shared" si="3"/>
        <v>50</v>
      </c>
      <c r="M23" s="18">
        <f t="shared" si="3"/>
        <v>0</v>
      </c>
      <c r="N23" s="18">
        <f t="shared" si="3"/>
        <v>3</v>
      </c>
      <c r="O23" s="18">
        <f t="shared" si="3"/>
        <v>39</v>
      </c>
      <c r="P23" s="18">
        <f t="shared" si="3"/>
        <v>1</v>
      </c>
      <c r="Q23" s="18">
        <f t="shared" si="3"/>
        <v>2</v>
      </c>
      <c r="R23" s="18">
        <f t="shared" si="2"/>
        <v>15</v>
      </c>
      <c r="S23" s="18">
        <f t="shared" si="2"/>
        <v>0</v>
      </c>
      <c r="T23" s="18">
        <f t="shared" si="2"/>
        <v>0</v>
      </c>
      <c r="U23" s="18">
        <f t="shared" si="2"/>
        <v>0</v>
      </c>
      <c r="V23" s="18">
        <f t="shared" si="2"/>
        <v>0</v>
      </c>
      <c r="W23" s="18">
        <f t="shared" si="2"/>
        <v>1</v>
      </c>
    </row>
    <row r="24" spans="1:23" x14ac:dyDescent="0.15">
      <c r="A24" s="22" t="str">
        <f t="shared" si="1"/>
        <v>20008_2-3/47&lt;lv19&gt;s1</v>
      </c>
      <c r="B24" s="18">
        <f t="shared" si="3"/>
        <v>20008</v>
      </c>
      <c r="C24" s="18">
        <f t="shared" si="3"/>
        <v>2</v>
      </c>
      <c r="D24" s="18">
        <f t="shared" si="3"/>
        <v>3</v>
      </c>
      <c r="E24" s="18">
        <f t="shared" si="3"/>
        <v>47</v>
      </c>
      <c r="F24" s="18">
        <f t="shared" si="3"/>
        <v>19</v>
      </c>
      <c r="G24" s="18">
        <f t="shared" si="3"/>
        <v>1.2</v>
      </c>
      <c r="H24" s="18">
        <f t="shared" si="3"/>
        <v>1</v>
      </c>
      <c r="I24" s="18">
        <f t="shared" si="3"/>
        <v>0</v>
      </c>
      <c r="J24" s="18">
        <f t="shared" si="3"/>
        <v>0</v>
      </c>
      <c r="K24" s="18">
        <f t="shared" si="3"/>
        <v>0</v>
      </c>
      <c r="L24" s="18">
        <f t="shared" si="3"/>
        <v>50</v>
      </c>
      <c r="M24" s="18">
        <f t="shared" si="3"/>
        <v>0</v>
      </c>
      <c r="N24" s="18">
        <f t="shared" si="3"/>
        <v>1</v>
      </c>
      <c r="O24" s="18">
        <f t="shared" si="3"/>
        <v>47</v>
      </c>
      <c r="P24" s="18">
        <f t="shared" si="3"/>
        <v>2</v>
      </c>
      <c r="Q24" s="18">
        <f t="shared" si="3"/>
        <v>2</v>
      </c>
      <c r="R24" s="18">
        <f t="shared" si="2"/>
        <v>15</v>
      </c>
      <c r="S24" s="18">
        <f t="shared" si="2"/>
        <v>0</v>
      </c>
      <c r="T24" s="18">
        <f t="shared" si="2"/>
        <v>0</v>
      </c>
      <c r="U24" s="18">
        <f t="shared" si="2"/>
        <v>0</v>
      </c>
      <c r="V24" s="18">
        <f t="shared" si="2"/>
        <v>0</v>
      </c>
      <c r="W24" s="18">
        <f t="shared" si="2"/>
        <v>1</v>
      </c>
    </row>
    <row r="25" spans="1:23" x14ac:dyDescent="0.15">
      <c r="A25" s="22" t="str">
        <f t="shared" si="1"/>
        <v>20008_2-3/63&lt;lv19&gt;s2</v>
      </c>
      <c r="B25" s="18">
        <f t="shared" si="3"/>
        <v>20008</v>
      </c>
      <c r="C25" s="18">
        <f t="shared" si="3"/>
        <v>2</v>
      </c>
      <c r="D25" s="18">
        <f t="shared" si="3"/>
        <v>3</v>
      </c>
      <c r="E25" s="18">
        <f t="shared" si="3"/>
        <v>63</v>
      </c>
      <c r="F25" s="18">
        <f t="shared" si="3"/>
        <v>19</v>
      </c>
      <c r="G25" s="18">
        <f t="shared" si="3"/>
        <v>1.2</v>
      </c>
      <c r="H25" s="18">
        <f t="shared" si="3"/>
        <v>1</v>
      </c>
      <c r="I25" s="18">
        <f t="shared" si="3"/>
        <v>0</v>
      </c>
      <c r="J25" s="18">
        <f t="shared" si="3"/>
        <v>63</v>
      </c>
      <c r="K25" s="18">
        <f t="shared" si="3"/>
        <v>0</v>
      </c>
      <c r="L25" s="18">
        <f t="shared" si="3"/>
        <v>100</v>
      </c>
      <c r="M25" s="18">
        <f t="shared" si="3"/>
        <v>0</v>
      </c>
      <c r="N25" s="18">
        <f t="shared" si="3"/>
        <v>2</v>
      </c>
      <c r="O25" s="18">
        <f t="shared" si="3"/>
        <v>63</v>
      </c>
      <c r="P25" s="18">
        <f t="shared" si="3"/>
        <v>2</v>
      </c>
      <c r="Q25" s="18">
        <f t="shared" si="3"/>
        <v>2</v>
      </c>
      <c r="R25" s="18">
        <f t="shared" si="2"/>
        <v>15</v>
      </c>
      <c r="S25" s="18">
        <f t="shared" si="2"/>
        <v>0</v>
      </c>
      <c r="T25" s="18">
        <f t="shared" si="2"/>
        <v>0</v>
      </c>
      <c r="U25" s="18">
        <f t="shared" si="2"/>
        <v>0</v>
      </c>
      <c r="V25" s="18">
        <f t="shared" si="2"/>
        <v>0</v>
      </c>
      <c r="W25" s="18">
        <f t="shared" si="2"/>
        <v>1</v>
      </c>
    </row>
    <row r="26" spans="1:23" x14ac:dyDescent="0.15">
      <c r="A26" s="22" t="str">
        <f t="shared" si="1"/>
        <v>20008_2-4/284&lt;lv35&gt;s2</v>
      </c>
      <c r="B26" s="18">
        <f t="shared" si="3"/>
        <v>20008</v>
      </c>
      <c r="C26" s="18">
        <f t="shared" si="3"/>
        <v>2</v>
      </c>
      <c r="D26" s="18">
        <f t="shared" si="3"/>
        <v>4</v>
      </c>
      <c r="E26" s="18">
        <f t="shared" si="3"/>
        <v>284</v>
      </c>
      <c r="F26" s="18">
        <f t="shared" si="3"/>
        <v>35</v>
      </c>
      <c r="G26" s="18">
        <f t="shared" si="3"/>
        <v>3.3</v>
      </c>
      <c r="H26" s="18">
        <f t="shared" si="3"/>
        <v>1</v>
      </c>
      <c r="I26" s="18">
        <f t="shared" si="3"/>
        <v>0</v>
      </c>
      <c r="J26" s="18">
        <f t="shared" si="3"/>
        <v>284</v>
      </c>
      <c r="K26" s="18">
        <f t="shared" si="3"/>
        <v>1</v>
      </c>
      <c r="L26" s="18">
        <f t="shared" si="3"/>
        <v>100</v>
      </c>
      <c r="M26" s="18">
        <f t="shared" si="3"/>
        <v>1</v>
      </c>
      <c r="N26" s="18">
        <f t="shared" si="3"/>
        <v>2</v>
      </c>
      <c r="O26" s="18">
        <f t="shared" si="3"/>
        <v>284</v>
      </c>
      <c r="P26" s="18">
        <f t="shared" si="3"/>
        <v>1</v>
      </c>
      <c r="Q26" s="18">
        <f t="shared" si="3"/>
        <v>3</v>
      </c>
      <c r="R26" s="18">
        <f ca="1">VLOOKUP($A26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26" s="18">
        <f t="shared" si="2"/>
        <v>0</v>
      </c>
      <c r="T26" s="18">
        <f t="shared" si="2"/>
        <v>0</v>
      </c>
      <c r="U26" s="18">
        <f t="shared" si="2"/>
        <v>0</v>
      </c>
      <c r="V26" s="18">
        <f t="shared" si="2"/>
        <v>0</v>
      </c>
      <c r="W26" s="18">
        <f t="shared" si="2"/>
        <v>1</v>
      </c>
    </row>
    <row r="27" spans="1:23" x14ac:dyDescent="0.15">
      <c r="A27" s="22" t="str">
        <f t="shared" si="1"/>
        <v>20008_3-1/31&lt;lv25&gt;s2</v>
      </c>
      <c r="B27" s="18">
        <f t="shared" si="3"/>
        <v>20008</v>
      </c>
      <c r="C27" s="18">
        <f t="shared" si="3"/>
        <v>3</v>
      </c>
      <c r="D27" s="18">
        <f t="shared" si="3"/>
        <v>1</v>
      </c>
      <c r="E27" s="18">
        <f t="shared" si="3"/>
        <v>31</v>
      </c>
      <c r="F27" s="18">
        <f t="shared" si="3"/>
        <v>25</v>
      </c>
      <c r="G27" s="18">
        <f t="shared" si="3"/>
        <v>1.2</v>
      </c>
      <c r="H27" s="18">
        <f t="shared" si="3"/>
        <v>1</v>
      </c>
      <c r="I27" s="18">
        <f t="shared" si="3"/>
        <v>0</v>
      </c>
      <c r="J27" s="18">
        <f t="shared" si="3"/>
        <v>0</v>
      </c>
      <c r="K27" s="18">
        <f t="shared" si="3"/>
        <v>0</v>
      </c>
      <c r="L27" s="18">
        <f t="shared" si="3"/>
        <v>100</v>
      </c>
      <c r="M27" s="18">
        <f t="shared" si="3"/>
        <v>0</v>
      </c>
      <c r="N27" s="18">
        <f t="shared" si="3"/>
        <v>2</v>
      </c>
      <c r="O27" s="18">
        <f t="shared" si="3"/>
        <v>31</v>
      </c>
      <c r="P27" s="18">
        <f t="shared" si="3"/>
        <v>5</v>
      </c>
      <c r="Q27" s="18">
        <f t="shared" si="3"/>
        <v>1</v>
      </c>
      <c r="R27" s="18">
        <f t="shared" si="2"/>
        <v>10</v>
      </c>
      <c r="S27" s="18">
        <f t="shared" si="2"/>
        <v>0</v>
      </c>
      <c r="T27" s="18">
        <f t="shared" si="2"/>
        <v>0</v>
      </c>
      <c r="U27" s="18">
        <f t="shared" si="2"/>
        <v>0</v>
      </c>
      <c r="V27" s="18">
        <f t="shared" si="2"/>
        <v>0</v>
      </c>
      <c r="W27" s="18">
        <f t="shared" si="2"/>
        <v>1</v>
      </c>
    </row>
    <row r="28" spans="1:23" x14ac:dyDescent="0.15">
      <c r="A28" s="22" t="str">
        <f t="shared" si="1"/>
        <v>20008_3-1/47&lt;lv25&gt;s1</v>
      </c>
      <c r="B28" s="18">
        <f t="shared" si="3"/>
        <v>20008</v>
      </c>
      <c r="C28" s="18">
        <f t="shared" si="3"/>
        <v>3</v>
      </c>
      <c r="D28" s="18">
        <f t="shared" si="3"/>
        <v>1</v>
      </c>
      <c r="E28" s="18">
        <f t="shared" si="3"/>
        <v>47</v>
      </c>
      <c r="F28" s="18">
        <f t="shared" si="3"/>
        <v>25</v>
      </c>
      <c r="G28" s="18">
        <f t="shared" si="3"/>
        <v>1.2</v>
      </c>
      <c r="H28" s="18">
        <f t="shared" si="3"/>
        <v>1</v>
      </c>
      <c r="I28" s="18">
        <f t="shared" si="3"/>
        <v>0</v>
      </c>
      <c r="J28" s="18">
        <f t="shared" si="3"/>
        <v>0</v>
      </c>
      <c r="K28" s="18">
        <f t="shared" si="3"/>
        <v>0</v>
      </c>
      <c r="L28" s="18">
        <f t="shared" si="3"/>
        <v>100</v>
      </c>
      <c r="M28" s="18">
        <f t="shared" si="3"/>
        <v>0</v>
      </c>
      <c r="N28" s="18">
        <f t="shared" si="3"/>
        <v>1</v>
      </c>
      <c r="O28" s="18">
        <f t="shared" si="3"/>
        <v>47</v>
      </c>
      <c r="P28" s="18">
        <f t="shared" si="3"/>
        <v>5</v>
      </c>
      <c r="Q28" s="18">
        <f t="shared" si="3"/>
        <v>2</v>
      </c>
      <c r="R28" s="18">
        <f t="shared" si="2"/>
        <v>10</v>
      </c>
      <c r="S28" s="18">
        <f t="shared" si="2"/>
        <v>0</v>
      </c>
      <c r="T28" s="18">
        <f t="shared" si="2"/>
        <v>0</v>
      </c>
      <c r="U28" s="18">
        <f t="shared" si="2"/>
        <v>0</v>
      </c>
      <c r="V28" s="18">
        <f t="shared" si="2"/>
        <v>0</v>
      </c>
      <c r="W28" s="18">
        <f t="shared" si="2"/>
        <v>1</v>
      </c>
    </row>
    <row r="29" spans="1:23" x14ac:dyDescent="0.15">
      <c r="A29" s="22" t="str">
        <f t="shared" si="1"/>
        <v>20008_3-1/63&lt;lv25&gt;s2</v>
      </c>
      <c r="B29" s="18">
        <f t="shared" si="3"/>
        <v>20008</v>
      </c>
      <c r="C29" s="18">
        <f t="shared" si="3"/>
        <v>3</v>
      </c>
      <c r="D29" s="18">
        <f t="shared" si="3"/>
        <v>1</v>
      </c>
      <c r="E29" s="18">
        <f t="shared" si="3"/>
        <v>63</v>
      </c>
      <c r="F29" s="18">
        <f t="shared" si="3"/>
        <v>25</v>
      </c>
      <c r="G29" s="18">
        <f t="shared" si="3"/>
        <v>1.2</v>
      </c>
      <c r="H29" s="18">
        <f t="shared" si="3"/>
        <v>1</v>
      </c>
      <c r="I29" s="18">
        <f t="shared" si="3"/>
        <v>0</v>
      </c>
      <c r="J29" s="18">
        <f t="shared" si="3"/>
        <v>63</v>
      </c>
      <c r="K29" s="18">
        <f t="shared" si="3"/>
        <v>0</v>
      </c>
      <c r="L29" s="18">
        <f t="shared" si="3"/>
        <v>100</v>
      </c>
      <c r="M29" s="18">
        <f t="shared" si="3"/>
        <v>0</v>
      </c>
      <c r="N29" s="18">
        <f t="shared" si="3"/>
        <v>2</v>
      </c>
      <c r="O29" s="18">
        <f t="shared" si="3"/>
        <v>63</v>
      </c>
      <c r="P29" s="18">
        <f t="shared" si="3"/>
        <v>5</v>
      </c>
      <c r="Q29" s="18">
        <f t="shared" si="3"/>
        <v>2</v>
      </c>
      <c r="R29" s="18">
        <f t="shared" si="2"/>
        <v>10</v>
      </c>
      <c r="S29" s="18">
        <f t="shared" si="2"/>
        <v>0</v>
      </c>
      <c r="T29" s="18">
        <f t="shared" si="2"/>
        <v>0</v>
      </c>
      <c r="U29" s="18">
        <f t="shared" si="2"/>
        <v>0</v>
      </c>
      <c r="V29" s="18">
        <f t="shared" si="2"/>
        <v>0</v>
      </c>
      <c r="W29" s="18">
        <f t="shared" si="2"/>
        <v>1</v>
      </c>
    </row>
    <row r="30" spans="1:23" x14ac:dyDescent="0.15">
      <c r="A30" s="22" t="str">
        <f t="shared" si="1"/>
        <v>20008_3-2/31&lt;lv25&gt;s2</v>
      </c>
      <c r="B30" s="18">
        <f t="shared" si="3"/>
        <v>20008</v>
      </c>
      <c r="C30" s="18">
        <f t="shared" si="3"/>
        <v>3</v>
      </c>
      <c r="D30" s="18">
        <f t="shared" si="3"/>
        <v>2</v>
      </c>
      <c r="E30" s="18">
        <f t="shared" si="3"/>
        <v>31</v>
      </c>
      <c r="F30" s="18">
        <f t="shared" si="3"/>
        <v>25</v>
      </c>
      <c r="G30" s="18">
        <f t="shared" si="3"/>
        <v>1.2</v>
      </c>
      <c r="H30" s="18">
        <f t="shared" si="3"/>
        <v>1</v>
      </c>
      <c r="I30" s="18">
        <f t="shared" si="3"/>
        <v>0</v>
      </c>
      <c r="J30" s="18">
        <f t="shared" si="3"/>
        <v>0</v>
      </c>
      <c r="K30" s="18">
        <f t="shared" si="3"/>
        <v>0</v>
      </c>
      <c r="L30" s="18">
        <f t="shared" si="3"/>
        <v>100</v>
      </c>
      <c r="M30" s="18">
        <f t="shared" si="3"/>
        <v>0</v>
      </c>
      <c r="N30" s="18">
        <f t="shared" si="3"/>
        <v>2</v>
      </c>
      <c r="O30" s="18">
        <f t="shared" si="3"/>
        <v>31</v>
      </c>
      <c r="P30" s="18">
        <f t="shared" si="3"/>
        <v>5</v>
      </c>
      <c r="Q30" s="18">
        <f t="shared" ref="Q30:W39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30" s="18">
        <f t="shared" si="4"/>
        <v>0</v>
      </c>
      <c r="S30" s="18">
        <f t="shared" si="4"/>
        <v>0</v>
      </c>
      <c r="T30" s="18">
        <f t="shared" si="4"/>
        <v>0</v>
      </c>
      <c r="U30" s="18">
        <f t="shared" si="4"/>
        <v>0</v>
      </c>
      <c r="V30" s="18">
        <f t="shared" si="4"/>
        <v>0</v>
      </c>
      <c r="W30" s="18">
        <f t="shared" si="4"/>
        <v>1</v>
      </c>
    </row>
    <row r="31" spans="1:23" x14ac:dyDescent="0.15">
      <c r="A31" s="22" t="str">
        <f t="shared" si="1"/>
        <v>20008_3-2/47&lt;lv25&gt;s1</v>
      </c>
      <c r="B31" s="18">
        <f t="shared" ref="B31:Q39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20008</v>
      </c>
      <c r="C31" s="18">
        <f t="shared" si="5"/>
        <v>3</v>
      </c>
      <c r="D31" s="18">
        <f t="shared" si="5"/>
        <v>2</v>
      </c>
      <c r="E31" s="18">
        <f t="shared" si="5"/>
        <v>47</v>
      </c>
      <c r="F31" s="18">
        <f t="shared" si="5"/>
        <v>25</v>
      </c>
      <c r="G31" s="18">
        <f t="shared" si="5"/>
        <v>1.2</v>
      </c>
      <c r="H31" s="18">
        <f t="shared" si="5"/>
        <v>1</v>
      </c>
      <c r="I31" s="18">
        <f t="shared" si="5"/>
        <v>0</v>
      </c>
      <c r="J31" s="18">
        <f t="shared" si="5"/>
        <v>0</v>
      </c>
      <c r="K31" s="18">
        <f t="shared" si="5"/>
        <v>0</v>
      </c>
      <c r="L31" s="18">
        <f t="shared" si="5"/>
        <v>100</v>
      </c>
      <c r="M31" s="18">
        <f t="shared" si="5"/>
        <v>0</v>
      </c>
      <c r="N31" s="18">
        <f t="shared" si="5"/>
        <v>1</v>
      </c>
      <c r="O31" s="18">
        <f t="shared" si="5"/>
        <v>47</v>
      </c>
      <c r="P31" s="18">
        <f t="shared" si="5"/>
        <v>5</v>
      </c>
      <c r="Q31" s="18">
        <f t="shared" si="5"/>
        <v>2</v>
      </c>
      <c r="R31" s="18">
        <f t="shared" si="4"/>
        <v>0</v>
      </c>
      <c r="S31" s="18">
        <f t="shared" si="4"/>
        <v>0</v>
      </c>
      <c r="T31" s="18">
        <f t="shared" si="4"/>
        <v>0</v>
      </c>
      <c r="U31" s="18">
        <f t="shared" si="4"/>
        <v>0</v>
      </c>
      <c r="V31" s="18">
        <f t="shared" si="4"/>
        <v>0</v>
      </c>
      <c r="W31" s="18">
        <f t="shared" si="4"/>
        <v>1</v>
      </c>
    </row>
    <row r="32" spans="1:23" x14ac:dyDescent="0.15">
      <c r="A32" s="22" t="str">
        <f t="shared" si="1"/>
        <v>20008_3-2/74&lt;lv25&gt;s3</v>
      </c>
      <c r="B32" s="18">
        <f t="shared" si="5"/>
        <v>20008</v>
      </c>
      <c r="C32" s="18">
        <f t="shared" si="5"/>
        <v>3</v>
      </c>
      <c r="D32" s="18">
        <f t="shared" si="5"/>
        <v>2</v>
      </c>
      <c r="E32" s="18">
        <f t="shared" si="5"/>
        <v>74</v>
      </c>
      <c r="F32" s="18">
        <f t="shared" si="5"/>
        <v>25</v>
      </c>
      <c r="G32" s="18">
        <f t="shared" si="5"/>
        <v>1.2</v>
      </c>
      <c r="H32" s="18">
        <f t="shared" si="5"/>
        <v>1</v>
      </c>
      <c r="I32" s="18">
        <f t="shared" si="5"/>
        <v>0</v>
      </c>
      <c r="J32" s="18">
        <f t="shared" si="5"/>
        <v>74</v>
      </c>
      <c r="K32" s="18">
        <f t="shared" si="5"/>
        <v>0</v>
      </c>
      <c r="L32" s="18">
        <f t="shared" si="5"/>
        <v>100</v>
      </c>
      <c r="M32" s="18">
        <f t="shared" si="5"/>
        <v>0</v>
      </c>
      <c r="N32" s="18">
        <f t="shared" si="5"/>
        <v>3</v>
      </c>
      <c r="O32" s="18">
        <f t="shared" si="5"/>
        <v>74</v>
      </c>
      <c r="P32" s="18">
        <f t="shared" si="5"/>
        <v>3</v>
      </c>
      <c r="Q32" s="18">
        <f t="shared" si="5"/>
        <v>2</v>
      </c>
      <c r="R32" s="18">
        <f t="shared" si="4"/>
        <v>0</v>
      </c>
      <c r="S32" s="18">
        <f t="shared" si="4"/>
        <v>0</v>
      </c>
      <c r="T32" s="18">
        <f t="shared" si="4"/>
        <v>0</v>
      </c>
      <c r="U32" s="18">
        <f t="shared" si="4"/>
        <v>0</v>
      </c>
      <c r="V32" s="18">
        <f t="shared" si="4"/>
        <v>0</v>
      </c>
      <c r="W32" s="18">
        <f t="shared" si="4"/>
        <v>1</v>
      </c>
    </row>
    <row r="33" spans="1:23" x14ac:dyDescent="0.15">
      <c r="A33" s="22" t="str">
        <f t="shared" si="1"/>
        <v>20008_3-2/63&lt;lv25&gt;s2</v>
      </c>
      <c r="B33" s="18">
        <f t="shared" si="5"/>
        <v>20008</v>
      </c>
      <c r="C33" s="18">
        <f t="shared" si="5"/>
        <v>3</v>
      </c>
      <c r="D33" s="18">
        <f t="shared" si="5"/>
        <v>2</v>
      </c>
      <c r="E33" s="18">
        <f t="shared" si="5"/>
        <v>63</v>
      </c>
      <c r="F33" s="18">
        <f t="shared" si="5"/>
        <v>25</v>
      </c>
      <c r="G33" s="18">
        <f t="shared" si="5"/>
        <v>1.2</v>
      </c>
      <c r="H33" s="18">
        <f t="shared" si="5"/>
        <v>1</v>
      </c>
      <c r="I33" s="18">
        <f t="shared" si="5"/>
        <v>0</v>
      </c>
      <c r="J33" s="18">
        <f t="shared" si="5"/>
        <v>63</v>
      </c>
      <c r="K33" s="18">
        <f t="shared" si="5"/>
        <v>0</v>
      </c>
      <c r="L33" s="18">
        <f t="shared" si="5"/>
        <v>100</v>
      </c>
      <c r="M33" s="18">
        <f t="shared" si="5"/>
        <v>0</v>
      </c>
      <c r="N33" s="18">
        <f t="shared" si="5"/>
        <v>2</v>
      </c>
      <c r="O33" s="18">
        <f t="shared" si="5"/>
        <v>63</v>
      </c>
      <c r="P33" s="18">
        <f t="shared" si="5"/>
        <v>5</v>
      </c>
      <c r="Q33" s="18">
        <f t="shared" si="5"/>
        <v>2</v>
      </c>
      <c r="R33" s="18">
        <f t="shared" si="4"/>
        <v>0</v>
      </c>
      <c r="S33" s="18">
        <f t="shared" si="4"/>
        <v>0</v>
      </c>
      <c r="T33" s="18">
        <f t="shared" si="4"/>
        <v>0</v>
      </c>
      <c r="U33" s="18">
        <f t="shared" si="4"/>
        <v>0</v>
      </c>
      <c r="V33" s="18">
        <f t="shared" si="4"/>
        <v>0</v>
      </c>
      <c r="W33" s="18">
        <f t="shared" si="4"/>
        <v>1</v>
      </c>
    </row>
    <row r="34" spans="1:23" x14ac:dyDescent="0.15">
      <c r="A34" s="22" t="str">
        <f t="shared" si="1"/>
        <v>20008_3-2/346&lt;lv3&gt;s3</v>
      </c>
      <c r="B34" s="18">
        <f t="shared" si="5"/>
        <v>20008</v>
      </c>
      <c r="C34" s="18">
        <f t="shared" si="5"/>
        <v>3</v>
      </c>
      <c r="D34" s="18">
        <f t="shared" si="5"/>
        <v>2</v>
      </c>
      <c r="E34" s="18">
        <f t="shared" si="5"/>
        <v>346</v>
      </c>
      <c r="F34" s="18">
        <f t="shared" si="5"/>
        <v>3</v>
      </c>
      <c r="G34" s="18">
        <f t="shared" si="5"/>
        <v>0.3</v>
      </c>
      <c r="H34" s="18">
        <f t="shared" si="5"/>
        <v>1</v>
      </c>
      <c r="I34" s="18">
        <f t="shared" si="5"/>
        <v>0</v>
      </c>
      <c r="J34" s="18">
        <f t="shared" si="5"/>
        <v>0</v>
      </c>
      <c r="K34" s="18">
        <f t="shared" si="5"/>
        <v>1</v>
      </c>
      <c r="L34" s="18">
        <f t="shared" si="5"/>
        <v>100</v>
      </c>
      <c r="M34" s="18">
        <f t="shared" si="5"/>
        <v>1</v>
      </c>
      <c r="N34" s="18">
        <f t="shared" si="5"/>
        <v>3</v>
      </c>
      <c r="O34" s="18">
        <f t="shared" si="5"/>
        <v>346</v>
      </c>
      <c r="P34" s="18">
        <f t="shared" si="5"/>
        <v>1</v>
      </c>
      <c r="Q34" s="18">
        <f t="shared" si="5"/>
        <v>5</v>
      </c>
      <c r="R34" s="18">
        <f t="shared" si="4"/>
        <v>20</v>
      </c>
      <c r="S34" s="18">
        <f t="shared" si="4"/>
        <v>0</v>
      </c>
      <c r="T34" s="18">
        <f t="shared" si="4"/>
        <v>0</v>
      </c>
      <c r="U34" s="18">
        <f t="shared" si="4"/>
        <v>0</v>
      </c>
      <c r="V34" s="18">
        <f t="shared" si="4"/>
        <v>0</v>
      </c>
      <c r="W34" s="18">
        <f t="shared" si="4"/>
        <v>1</v>
      </c>
    </row>
    <row r="35" spans="1:23" x14ac:dyDescent="0.15">
      <c r="A35" s="22" t="str">
        <f t="shared" si="1"/>
        <v>20008_3-3/31&lt;lv25&gt;s2</v>
      </c>
      <c r="B35" s="18">
        <f t="shared" si="5"/>
        <v>20008</v>
      </c>
      <c r="C35" s="18">
        <f t="shared" si="5"/>
        <v>3</v>
      </c>
      <c r="D35" s="18">
        <f t="shared" si="5"/>
        <v>3</v>
      </c>
      <c r="E35" s="18">
        <f t="shared" si="5"/>
        <v>31</v>
      </c>
      <c r="F35" s="18">
        <f t="shared" si="5"/>
        <v>25</v>
      </c>
      <c r="G35" s="18">
        <f t="shared" si="5"/>
        <v>1.2</v>
      </c>
      <c r="H35" s="18">
        <f t="shared" si="5"/>
        <v>1</v>
      </c>
      <c r="I35" s="18">
        <f t="shared" si="5"/>
        <v>0</v>
      </c>
      <c r="J35" s="18">
        <f t="shared" si="5"/>
        <v>0</v>
      </c>
      <c r="K35" s="18">
        <f t="shared" si="5"/>
        <v>0</v>
      </c>
      <c r="L35" s="18">
        <f t="shared" si="5"/>
        <v>100</v>
      </c>
      <c r="M35" s="18">
        <f t="shared" si="5"/>
        <v>0</v>
      </c>
      <c r="N35" s="18">
        <f t="shared" si="5"/>
        <v>2</v>
      </c>
      <c r="O35" s="18">
        <f t="shared" si="5"/>
        <v>31</v>
      </c>
      <c r="P35" s="18">
        <f t="shared" si="5"/>
        <v>5</v>
      </c>
      <c r="Q35" s="18">
        <f t="shared" si="5"/>
        <v>1</v>
      </c>
      <c r="R35" s="18">
        <f t="shared" si="4"/>
        <v>10</v>
      </c>
      <c r="S35" s="18">
        <f t="shared" si="4"/>
        <v>0</v>
      </c>
      <c r="T35" s="18">
        <f t="shared" si="4"/>
        <v>0</v>
      </c>
      <c r="U35" s="18">
        <f t="shared" si="4"/>
        <v>0</v>
      </c>
      <c r="V35" s="18">
        <f t="shared" si="4"/>
        <v>0</v>
      </c>
      <c r="W35" s="18">
        <f t="shared" si="4"/>
        <v>1</v>
      </c>
    </row>
    <row r="36" spans="1:23" x14ac:dyDescent="0.15">
      <c r="A36" s="22" t="str">
        <f t="shared" si="1"/>
        <v>20008_3-3/47&lt;lv25&gt;s1</v>
      </c>
      <c r="B36" s="18">
        <f t="shared" si="5"/>
        <v>20008</v>
      </c>
      <c r="C36" s="18">
        <f t="shared" si="5"/>
        <v>3</v>
      </c>
      <c r="D36" s="18">
        <f t="shared" si="5"/>
        <v>3</v>
      </c>
      <c r="E36" s="18">
        <f t="shared" si="5"/>
        <v>47</v>
      </c>
      <c r="F36" s="18">
        <f t="shared" si="5"/>
        <v>25</v>
      </c>
      <c r="G36" s="18">
        <f t="shared" si="5"/>
        <v>1.2</v>
      </c>
      <c r="H36" s="18">
        <f t="shared" si="5"/>
        <v>1</v>
      </c>
      <c r="I36" s="18">
        <f t="shared" si="5"/>
        <v>0</v>
      </c>
      <c r="J36" s="18">
        <f t="shared" si="5"/>
        <v>0</v>
      </c>
      <c r="K36" s="18">
        <f t="shared" si="5"/>
        <v>0</v>
      </c>
      <c r="L36" s="18">
        <f t="shared" si="5"/>
        <v>50</v>
      </c>
      <c r="M36" s="18">
        <f t="shared" si="5"/>
        <v>0</v>
      </c>
      <c r="N36" s="18">
        <f t="shared" si="5"/>
        <v>1</v>
      </c>
      <c r="O36" s="18">
        <f t="shared" si="5"/>
        <v>47</v>
      </c>
      <c r="P36" s="18">
        <f t="shared" si="5"/>
        <v>5</v>
      </c>
      <c r="Q36" s="18">
        <f t="shared" si="5"/>
        <v>2</v>
      </c>
      <c r="R36" s="18">
        <f t="shared" si="4"/>
        <v>10</v>
      </c>
      <c r="S36" s="18">
        <f t="shared" si="4"/>
        <v>0</v>
      </c>
      <c r="T36" s="18">
        <f t="shared" si="4"/>
        <v>0</v>
      </c>
      <c r="U36" s="18">
        <f t="shared" si="4"/>
        <v>0</v>
      </c>
      <c r="V36" s="18">
        <f t="shared" si="4"/>
        <v>0</v>
      </c>
      <c r="W36" s="18">
        <f t="shared" si="4"/>
        <v>1</v>
      </c>
    </row>
    <row r="37" spans="1:23" x14ac:dyDescent="0.15">
      <c r="A37" s="22" t="str">
        <f t="shared" si="1"/>
        <v>20008_3-3/74&lt;lv25&gt;s3</v>
      </c>
      <c r="B37" s="18">
        <f t="shared" si="5"/>
        <v>20008</v>
      </c>
      <c r="C37" s="18">
        <f t="shared" si="5"/>
        <v>3</v>
      </c>
      <c r="D37" s="18">
        <f t="shared" si="5"/>
        <v>3</v>
      </c>
      <c r="E37" s="18">
        <f t="shared" si="5"/>
        <v>74</v>
      </c>
      <c r="F37" s="18">
        <f t="shared" si="5"/>
        <v>25</v>
      </c>
      <c r="G37" s="18">
        <f t="shared" si="5"/>
        <v>1.2</v>
      </c>
      <c r="H37" s="18">
        <f t="shared" si="5"/>
        <v>1</v>
      </c>
      <c r="I37" s="18">
        <f t="shared" si="5"/>
        <v>0</v>
      </c>
      <c r="J37" s="18">
        <f t="shared" si="5"/>
        <v>74</v>
      </c>
      <c r="K37" s="18">
        <f t="shared" si="5"/>
        <v>0</v>
      </c>
      <c r="L37" s="18">
        <f t="shared" si="5"/>
        <v>100</v>
      </c>
      <c r="M37" s="18">
        <f t="shared" si="5"/>
        <v>0</v>
      </c>
      <c r="N37" s="18">
        <f t="shared" si="5"/>
        <v>3</v>
      </c>
      <c r="O37" s="18">
        <f t="shared" si="5"/>
        <v>74</v>
      </c>
      <c r="P37" s="18">
        <f t="shared" si="5"/>
        <v>3</v>
      </c>
      <c r="Q37" s="18">
        <f t="shared" si="5"/>
        <v>2</v>
      </c>
      <c r="R37" s="18">
        <f t="shared" si="4"/>
        <v>10</v>
      </c>
      <c r="S37" s="18">
        <f t="shared" si="4"/>
        <v>0</v>
      </c>
      <c r="T37" s="18">
        <f t="shared" si="4"/>
        <v>0</v>
      </c>
      <c r="U37" s="18">
        <f t="shared" si="4"/>
        <v>0</v>
      </c>
      <c r="V37" s="18">
        <f t="shared" si="4"/>
        <v>0</v>
      </c>
      <c r="W37" s="18">
        <f t="shared" si="4"/>
        <v>1</v>
      </c>
    </row>
    <row r="38" spans="1:23" x14ac:dyDescent="0.15">
      <c r="A38" s="22" t="str">
        <f t="shared" si="1"/>
        <v>20008_3-3/63&lt;lv25&gt;s2</v>
      </c>
      <c r="B38" s="18">
        <f t="shared" si="5"/>
        <v>20008</v>
      </c>
      <c r="C38" s="18">
        <f t="shared" si="5"/>
        <v>3</v>
      </c>
      <c r="D38" s="18">
        <f t="shared" si="5"/>
        <v>3</v>
      </c>
      <c r="E38" s="18">
        <f t="shared" si="5"/>
        <v>63</v>
      </c>
      <c r="F38" s="18">
        <f t="shared" si="5"/>
        <v>25</v>
      </c>
      <c r="G38" s="18">
        <f t="shared" si="5"/>
        <v>1.2</v>
      </c>
      <c r="H38" s="18">
        <f t="shared" si="5"/>
        <v>1</v>
      </c>
      <c r="I38" s="18">
        <f t="shared" si="5"/>
        <v>0</v>
      </c>
      <c r="J38" s="18">
        <f t="shared" si="5"/>
        <v>63</v>
      </c>
      <c r="K38" s="18">
        <f t="shared" si="5"/>
        <v>0</v>
      </c>
      <c r="L38" s="18">
        <f t="shared" si="5"/>
        <v>100</v>
      </c>
      <c r="M38" s="18">
        <f t="shared" si="5"/>
        <v>0</v>
      </c>
      <c r="N38" s="18">
        <f t="shared" si="5"/>
        <v>2</v>
      </c>
      <c r="O38" s="18">
        <f t="shared" si="5"/>
        <v>63</v>
      </c>
      <c r="P38" s="18">
        <f t="shared" si="5"/>
        <v>5</v>
      </c>
      <c r="Q38" s="18">
        <f t="shared" si="5"/>
        <v>2</v>
      </c>
      <c r="R38" s="18">
        <f t="shared" si="4"/>
        <v>10</v>
      </c>
      <c r="S38" s="18">
        <f t="shared" si="4"/>
        <v>0</v>
      </c>
      <c r="T38" s="18">
        <f t="shared" si="4"/>
        <v>0</v>
      </c>
      <c r="U38" s="18">
        <f t="shared" si="4"/>
        <v>0</v>
      </c>
      <c r="V38" s="18">
        <f t="shared" si="4"/>
        <v>0</v>
      </c>
      <c r="W38" s="18">
        <f t="shared" si="4"/>
        <v>1</v>
      </c>
    </row>
    <row r="39" spans="1:23" x14ac:dyDescent="0.15">
      <c r="A39" s="22" t="str">
        <f t="shared" si="1"/>
        <v>20008_3-4/285&lt;lv40&gt;s2</v>
      </c>
      <c r="B39" s="18">
        <f t="shared" si="5"/>
        <v>20008</v>
      </c>
      <c r="C39" s="18">
        <f t="shared" si="5"/>
        <v>3</v>
      </c>
      <c r="D39" s="18">
        <f t="shared" si="5"/>
        <v>4</v>
      </c>
      <c r="E39" s="18">
        <f t="shared" si="5"/>
        <v>285</v>
      </c>
      <c r="F39" s="18">
        <f t="shared" si="5"/>
        <v>40</v>
      </c>
      <c r="G39" s="18">
        <f t="shared" si="5"/>
        <v>3.3</v>
      </c>
      <c r="H39" s="18">
        <f t="shared" si="5"/>
        <v>1.3</v>
      </c>
      <c r="I39" s="18">
        <f t="shared" si="5"/>
        <v>0</v>
      </c>
      <c r="J39" s="18">
        <f t="shared" si="5"/>
        <v>284</v>
      </c>
      <c r="K39" s="18">
        <f t="shared" si="5"/>
        <v>1</v>
      </c>
      <c r="L39" s="18">
        <f t="shared" si="5"/>
        <v>100</v>
      </c>
      <c r="M39" s="18">
        <f t="shared" si="5"/>
        <v>1</v>
      </c>
      <c r="N39" s="18">
        <f t="shared" si="5"/>
        <v>2</v>
      </c>
      <c r="O39" s="18">
        <f t="shared" si="5"/>
        <v>284</v>
      </c>
      <c r="P39" s="18">
        <f t="shared" si="5"/>
        <v>1</v>
      </c>
      <c r="Q39" s="18">
        <f t="shared" si="5"/>
        <v>3</v>
      </c>
      <c r="R39" s="18">
        <f ca="1">VLOOKUP($A39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39" s="18">
        <f t="shared" si="4"/>
        <v>0</v>
      </c>
      <c r="T39" s="18">
        <f t="shared" si="4"/>
        <v>0</v>
      </c>
      <c r="U39" s="18">
        <f t="shared" si="4"/>
        <v>0</v>
      </c>
      <c r="V39" s="18">
        <f t="shared" si="4"/>
        <v>0</v>
      </c>
      <c r="W39" s="18">
        <f t="shared" si="4"/>
        <v>1</v>
      </c>
    </row>
    <row r="40" spans="1:23" x14ac:dyDescent="0.15">
      <c r="A40"/>
    </row>
    <row r="41" spans="1:23" x14ac:dyDescent="0.15">
      <c r="A41"/>
    </row>
    <row r="42" spans="1:23" x14ac:dyDescent="0.15">
      <c r="A42"/>
    </row>
    <row r="43" spans="1:23" x14ac:dyDescent="0.15">
      <c r="A43"/>
    </row>
    <row r="44" spans="1:23" x14ac:dyDescent="0.15">
      <c r="A44"/>
    </row>
    <row r="45" spans="1:23" x14ac:dyDescent="0.15">
      <c r="A45"/>
    </row>
    <row r="46" spans="1:23" x14ac:dyDescent="0.15">
      <c r="A46"/>
    </row>
    <row r="47" spans="1:23" x14ac:dyDescent="0.15">
      <c r="A47"/>
    </row>
    <row r="48" spans="1:23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floors_drop_2_4</vt:lpstr>
      <vt:lpstr>enemy_habitats_drop_2_4</vt:lpstr>
      <vt:lpstr>floors_drop_2_4.tmp</vt:lpstr>
      <vt:lpstr>enemy_habitats_drop_2_4.tmp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2017-03-08T04:10:50Z</dcterms:modified>
</cp:coreProperties>
</file>