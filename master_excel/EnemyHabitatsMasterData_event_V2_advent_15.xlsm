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1860" yWindow="460" windowWidth="32240" windowHeight="2076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enemy_habitat_S!$B$1:$AA$1</definedName>
    <definedName name="_xlnm._FilterDatabase" localSheetId="2" hidden="1">enemy_habitats!$B$1:$AJ$1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stage_hints_failure!$B$1:$M$1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3" i="21" l="1"/>
  <c r="J13" i="21"/>
  <c r="G13" i="21"/>
  <c r="F13" i="21"/>
  <c r="D13" i="21"/>
  <c r="C13" i="21"/>
  <c r="I12" i="21"/>
  <c r="J12" i="21"/>
  <c r="G12" i="21"/>
  <c r="F12" i="21"/>
  <c r="D12" i="21"/>
  <c r="C12" i="21"/>
  <c r="I11" i="21"/>
  <c r="J11" i="21"/>
  <c r="G11" i="21"/>
  <c r="F11" i="21"/>
  <c r="D11" i="21"/>
  <c r="C11" i="21"/>
  <c r="I10" i="21"/>
  <c r="J10" i="21"/>
  <c r="G10" i="21"/>
  <c r="F10" i="21"/>
  <c r="D10" i="21"/>
  <c r="C10" i="21"/>
  <c r="I9" i="21"/>
  <c r="J9" i="21"/>
  <c r="G9" i="21"/>
  <c r="F9" i="21"/>
  <c r="D9" i="21"/>
  <c r="C9" i="21"/>
  <c r="I8" i="21"/>
  <c r="J8" i="21"/>
  <c r="G8" i="21"/>
  <c r="F8" i="21"/>
  <c r="D8" i="21"/>
  <c r="C8" i="21"/>
  <c r="I7" i="21"/>
  <c r="J7" i="21"/>
  <c r="G7" i="21"/>
  <c r="F7" i="21"/>
  <c r="D7" i="21"/>
  <c r="C7" i="21"/>
  <c r="I6" i="21"/>
  <c r="J6" i="21"/>
  <c r="G6" i="21"/>
  <c r="F6" i="21"/>
  <c r="D6" i="21"/>
  <c r="C6" i="21"/>
  <c r="I5" i="21"/>
  <c r="J5" i="21"/>
  <c r="G5" i="21"/>
  <c r="F5" i="21"/>
  <c r="D5" i="21"/>
  <c r="C5" i="21"/>
  <c r="I4" i="21"/>
  <c r="J4" i="21"/>
  <c r="G4" i="21"/>
  <c r="F4" i="21"/>
  <c r="D4" i="21"/>
  <c r="C4" i="21"/>
  <c r="I3" i="21"/>
  <c r="J3" i="21"/>
  <c r="G3" i="21"/>
  <c r="F3" i="21"/>
  <c r="D3" i="21"/>
  <c r="C3" i="21"/>
  <c r="I2" i="21"/>
  <c r="J2" i="21"/>
  <c r="G2" i="21"/>
  <c r="F2" i="21"/>
  <c r="D2" i="21"/>
  <c r="C2" i="21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O119" i="9"/>
  <c r="N119" i="9"/>
  <c r="M119" i="9"/>
  <c r="L119" i="9"/>
  <c r="K119" i="9"/>
  <c r="J119" i="9"/>
  <c r="I119" i="9"/>
  <c r="H119" i="9"/>
  <c r="G119" i="9"/>
  <c r="E119" i="9"/>
  <c r="D119" i="9"/>
  <c r="A119" i="9"/>
  <c r="O118" i="9"/>
  <c r="N118" i="9"/>
  <c r="M118" i="9"/>
  <c r="L118" i="9"/>
  <c r="K118" i="9"/>
  <c r="J118" i="9"/>
  <c r="I118" i="9"/>
  <c r="H118" i="9"/>
  <c r="G118" i="9"/>
  <c r="E118" i="9"/>
  <c r="D118" i="9"/>
  <c r="A118" i="9"/>
  <c r="M116" i="10"/>
  <c r="T116" i="10"/>
  <c r="W116" i="10"/>
  <c r="V116" i="10"/>
  <c r="X116" i="10"/>
  <c r="U116" i="10"/>
  <c r="Y116" i="10"/>
  <c r="N116" i="10"/>
  <c r="Q116" i="10"/>
  <c r="P116" i="10"/>
  <c r="R116" i="10"/>
  <c r="O116" i="10"/>
  <c r="S116" i="10"/>
  <c r="G116" i="10"/>
  <c r="J116" i="10"/>
  <c r="I116" i="10"/>
  <c r="K116" i="10"/>
  <c r="H116" i="10"/>
  <c r="L116" i="10"/>
  <c r="M115" i="10"/>
  <c r="T115" i="10"/>
  <c r="W115" i="10"/>
  <c r="V115" i="10"/>
  <c r="X115" i="10"/>
  <c r="U115" i="10"/>
  <c r="Y115" i="10"/>
  <c r="N115" i="10"/>
  <c r="Q115" i="10"/>
  <c r="P115" i="10"/>
  <c r="R115" i="10"/>
  <c r="O115" i="10"/>
  <c r="S115" i="10"/>
  <c r="G115" i="10"/>
  <c r="J115" i="10"/>
  <c r="I115" i="10"/>
  <c r="K115" i="10"/>
  <c r="H115" i="10"/>
  <c r="L115" i="10"/>
  <c r="M114" i="10"/>
  <c r="T114" i="10"/>
  <c r="W114" i="10"/>
  <c r="V114" i="10"/>
  <c r="X114" i="10"/>
  <c r="U114" i="10"/>
  <c r="Y114" i="10"/>
  <c r="N114" i="10"/>
  <c r="Q114" i="10"/>
  <c r="P114" i="10"/>
  <c r="R114" i="10"/>
  <c r="O114" i="10"/>
  <c r="S114" i="10"/>
  <c r="G114" i="10"/>
  <c r="J114" i="10"/>
  <c r="I114" i="10"/>
  <c r="K114" i="10"/>
  <c r="H114" i="10"/>
  <c r="L114" i="10"/>
  <c r="M113" i="10"/>
  <c r="T113" i="10"/>
  <c r="W113" i="10"/>
  <c r="V113" i="10"/>
  <c r="X113" i="10"/>
  <c r="U113" i="10"/>
  <c r="Y113" i="10"/>
  <c r="N113" i="10"/>
  <c r="Q113" i="10"/>
  <c r="P113" i="10"/>
  <c r="R113" i="10"/>
  <c r="O113" i="10"/>
  <c r="S113" i="10"/>
  <c r="G113" i="10"/>
  <c r="J113" i="10"/>
  <c r="I113" i="10"/>
  <c r="K113" i="10"/>
  <c r="H113" i="10"/>
  <c r="L113" i="10"/>
  <c r="O101" i="9"/>
  <c r="N101" i="9"/>
  <c r="M101" i="9"/>
  <c r="L101" i="9"/>
  <c r="K101" i="9"/>
  <c r="J101" i="9"/>
  <c r="I101" i="9"/>
  <c r="H101" i="9"/>
  <c r="G101" i="9"/>
  <c r="E101" i="9"/>
  <c r="D101" i="9"/>
  <c r="A101" i="9"/>
  <c r="O98" i="9"/>
  <c r="N98" i="9"/>
  <c r="M98" i="9"/>
  <c r="L98" i="9"/>
  <c r="K98" i="9"/>
  <c r="J98" i="9"/>
  <c r="I98" i="9"/>
  <c r="H98" i="9"/>
  <c r="G98" i="9"/>
  <c r="E98" i="9"/>
  <c r="D98" i="9"/>
  <c r="A98" i="9"/>
  <c r="O95" i="9"/>
  <c r="N95" i="9"/>
  <c r="M95" i="9"/>
  <c r="L95" i="9"/>
  <c r="K95" i="9"/>
  <c r="J95" i="9"/>
  <c r="I95" i="9"/>
  <c r="H95" i="9"/>
  <c r="G95" i="9"/>
  <c r="E95" i="9"/>
  <c r="D95" i="9"/>
  <c r="A95" i="9"/>
  <c r="O67" i="9"/>
  <c r="N67" i="9"/>
  <c r="M67" i="9"/>
  <c r="L67" i="9"/>
  <c r="K67" i="9"/>
  <c r="J67" i="9"/>
  <c r="I67" i="9"/>
  <c r="H67" i="9"/>
  <c r="G67" i="9"/>
  <c r="E67" i="9"/>
  <c r="D67" i="9"/>
  <c r="A67" i="9"/>
  <c r="O64" i="9"/>
  <c r="N64" i="9"/>
  <c r="M64" i="9"/>
  <c r="L64" i="9"/>
  <c r="K64" i="9"/>
  <c r="J64" i="9"/>
  <c r="I64" i="9"/>
  <c r="H64" i="9"/>
  <c r="G64" i="9"/>
  <c r="E64" i="9"/>
  <c r="D64" i="9"/>
  <c r="A64" i="9"/>
  <c r="M112" i="10"/>
  <c r="T112" i="10"/>
  <c r="W112" i="10"/>
  <c r="V112" i="10"/>
  <c r="X112" i="10"/>
  <c r="U112" i="10"/>
  <c r="Y112" i="10"/>
  <c r="N112" i="10"/>
  <c r="Q112" i="10"/>
  <c r="P112" i="10"/>
  <c r="R112" i="10"/>
  <c r="O112" i="10"/>
  <c r="S112" i="10"/>
  <c r="G112" i="10"/>
  <c r="J112" i="10"/>
  <c r="I112" i="10"/>
  <c r="K112" i="10"/>
  <c r="H112" i="10"/>
  <c r="L112" i="10"/>
  <c r="M111" i="10"/>
  <c r="T111" i="10"/>
  <c r="W111" i="10"/>
  <c r="V111" i="10"/>
  <c r="X111" i="10"/>
  <c r="U111" i="10"/>
  <c r="Y111" i="10"/>
  <c r="N111" i="10"/>
  <c r="Q111" i="10"/>
  <c r="P111" i="10"/>
  <c r="R111" i="10"/>
  <c r="O111" i="10"/>
  <c r="S111" i="10"/>
  <c r="G111" i="10"/>
  <c r="J111" i="10"/>
  <c r="I111" i="10"/>
  <c r="K111" i="10"/>
  <c r="H111" i="10"/>
  <c r="L111" i="10"/>
  <c r="M110" i="10"/>
  <c r="T110" i="10"/>
  <c r="W110" i="10"/>
  <c r="V110" i="10"/>
  <c r="X110" i="10"/>
  <c r="U110" i="10"/>
  <c r="Y110" i="10"/>
  <c r="N110" i="10"/>
  <c r="Q110" i="10"/>
  <c r="P110" i="10"/>
  <c r="R110" i="10"/>
  <c r="O110" i="10"/>
  <c r="S110" i="10"/>
  <c r="G110" i="10"/>
  <c r="J110" i="10"/>
  <c r="I110" i="10"/>
  <c r="K110" i="10"/>
  <c r="H110" i="10"/>
  <c r="L110" i="10"/>
  <c r="O61" i="9"/>
  <c r="N61" i="9"/>
  <c r="M61" i="9"/>
  <c r="L61" i="9"/>
  <c r="K61" i="9"/>
  <c r="J61" i="9"/>
  <c r="I61" i="9"/>
  <c r="H61" i="9"/>
  <c r="G61" i="9"/>
  <c r="E61" i="9"/>
  <c r="D61" i="9"/>
  <c r="A61" i="9"/>
  <c r="M109" i="10"/>
  <c r="T109" i="10"/>
  <c r="W109" i="10"/>
  <c r="V109" i="10"/>
  <c r="X109" i="10"/>
  <c r="U109" i="10"/>
  <c r="Y109" i="10"/>
  <c r="N109" i="10"/>
  <c r="Q109" i="10"/>
  <c r="P109" i="10"/>
  <c r="R109" i="10"/>
  <c r="O109" i="10"/>
  <c r="S109" i="10"/>
  <c r="G109" i="10"/>
  <c r="J109" i="10"/>
  <c r="I109" i="10"/>
  <c r="K109" i="10"/>
  <c r="H109" i="10"/>
  <c r="L109" i="10"/>
  <c r="O41" i="9"/>
  <c r="N41" i="9"/>
  <c r="M41" i="9"/>
  <c r="L41" i="9"/>
  <c r="K41" i="9"/>
  <c r="J41" i="9"/>
  <c r="I41" i="9"/>
  <c r="H41" i="9"/>
  <c r="G41" i="9"/>
  <c r="E41" i="9"/>
  <c r="D41" i="9"/>
  <c r="A41" i="9"/>
  <c r="M108" i="10"/>
  <c r="T108" i="10"/>
  <c r="W108" i="10"/>
  <c r="V108" i="10"/>
  <c r="X108" i="10"/>
  <c r="U108" i="10"/>
  <c r="Y108" i="10"/>
  <c r="N108" i="10"/>
  <c r="Q108" i="10"/>
  <c r="P108" i="10"/>
  <c r="R108" i="10"/>
  <c r="O108" i="10"/>
  <c r="S108" i="10"/>
  <c r="G108" i="10"/>
  <c r="J108" i="10"/>
  <c r="I108" i="10"/>
  <c r="K108" i="10"/>
  <c r="H108" i="10"/>
  <c r="L108" i="10"/>
  <c r="O38" i="9"/>
  <c r="N38" i="9"/>
  <c r="M38" i="9"/>
  <c r="L38" i="9"/>
  <c r="K38" i="9"/>
  <c r="J38" i="9"/>
  <c r="I38" i="9"/>
  <c r="H38" i="9"/>
  <c r="G38" i="9"/>
  <c r="E38" i="9"/>
  <c r="D38" i="9"/>
  <c r="A38" i="9"/>
  <c r="M107" i="10"/>
  <c r="T107" i="10"/>
  <c r="W107" i="10"/>
  <c r="V107" i="10"/>
  <c r="X107" i="10"/>
  <c r="U107" i="10"/>
  <c r="Y107" i="10"/>
  <c r="N107" i="10"/>
  <c r="Q107" i="10"/>
  <c r="P107" i="10"/>
  <c r="R107" i="10"/>
  <c r="O107" i="10"/>
  <c r="S107" i="10"/>
  <c r="G107" i="10"/>
  <c r="J107" i="10"/>
  <c r="I107" i="10"/>
  <c r="K107" i="10"/>
  <c r="H107" i="10"/>
  <c r="L107" i="10"/>
  <c r="O35" i="9"/>
  <c r="N35" i="9"/>
  <c r="M35" i="9"/>
  <c r="L35" i="9"/>
  <c r="K35" i="9"/>
  <c r="J35" i="9"/>
  <c r="I35" i="9"/>
  <c r="H35" i="9"/>
  <c r="G35" i="9"/>
  <c r="E35" i="9"/>
  <c r="D35" i="9"/>
  <c r="A35" i="9"/>
  <c r="J113" i="11"/>
  <c r="G105" i="10"/>
  <c r="G106" i="10"/>
  <c r="O8" i="9"/>
  <c r="N8" i="9"/>
  <c r="M8" i="9"/>
  <c r="L8" i="9"/>
  <c r="K8" i="9"/>
  <c r="J8" i="9"/>
  <c r="I8" i="9"/>
  <c r="H8" i="9"/>
  <c r="G8" i="9"/>
  <c r="E8" i="9"/>
  <c r="D8" i="9"/>
  <c r="A8" i="9"/>
  <c r="J112" i="11"/>
  <c r="O11" i="9"/>
  <c r="N11" i="9"/>
  <c r="M11" i="9"/>
  <c r="L11" i="9"/>
  <c r="K11" i="9"/>
  <c r="J11" i="9"/>
  <c r="I11" i="9"/>
  <c r="H11" i="9"/>
  <c r="G11" i="9"/>
  <c r="E11" i="9"/>
  <c r="D11" i="9"/>
  <c r="A11" i="9"/>
  <c r="J81" i="11"/>
  <c r="J80" i="11"/>
  <c r="J79" i="11"/>
  <c r="J78" i="11"/>
  <c r="J77" i="11"/>
  <c r="J76" i="11"/>
  <c r="J75" i="11"/>
  <c r="J74" i="11"/>
  <c r="J73" i="11"/>
  <c r="J72" i="11"/>
  <c r="J71" i="11"/>
  <c r="J70" i="11"/>
  <c r="J69" i="11"/>
  <c r="J68" i="11"/>
  <c r="J67" i="11"/>
  <c r="J66" i="11"/>
  <c r="J65" i="11"/>
  <c r="J64" i="11"/>
  <c r="J63" i="11"/>
  <c r="J62" i="11"/>
  <c r="J61" i="11"/>
  <c r="J60" i="11"/>
  <c r="J59" i="11"/>
  <c r="J58" i="11"/>
  <c r="J57" i="11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G2" i="9"/>
  <c r="H2" i="9"/>
  <c r="I2" i="9"/>
  <c r="J2" i="9"/>
  <c r="K2" i="9"/>
  <c r="L2" i="9"/>
  <c r="M2" i="9"/>
  <c r="N2" i="9"/>
  <c r="O2" i="9"/>
  <c r="G3" i="9"/>
  <c r="H3" i="9"/>
  <c r="I3" i="9"/>
  <c r="J3" i="9"/>
  <c r="K3" i="9"/>
  <c r="L3" i="9"/>
  <c r="M3" i="9"/>
  <c r="N3" i="9"/>
  <c r="O3" i="9"/>
  <c r="G4" i="9"/>
  <c r="H4" i="9"/>
  <c r="I4" i="9"/>
  <c r="J4" i="9"/>
  <c r="K4" i="9"/>
  <c r="L4" i="9"/>
  <c r="M4" i="9"/>
  <c r="N4" i="9"/>
  <c r="O4" i="9"/>
  <c r="G5" i="9"/>
  <c r="H5" i="9"/>
  <c r="I5" i="9"/>
  <c r="J5" i="9"/>
  <c r="K5" i="9"/>
  <c r="L5" i="9"/>
  <c r="M5" i="9"/>
  <c r="N5" i="9"/>
  <c r="O5" i="9"/>
  <c r="G6" i="9"/>
  <c r="H6" i="9"/>
  <c r="I6" i="9"/>
  <c r="J6" i="9"/>
  <c r="K6" i="9"/>
  <c r="L6" i="9"/>
  <c r="M6" i="9"/>
  <c r="N6" i="9"/>
  <c r="O6" i="9"/>
  <c r="G7" i="9"/>
  <c r="H7" i="9"/>
  <c r="I7" i="9"/>
  <c r="J7" i="9"/>
  <c r="K7" i="9"/>
  <c r="L7" i="9"/>
  <c r="M7" i="9"/>
  <c r="N7" i="9"/>
  <c r="O7" i="9"/>
  <c r="G9" i="9"/>
  <c r="H9" i="9"/>
  <c r="I9" i="9"/>
  <c r="J9" i="9"/>
  <c r="K9" i="9"/>
  <c r="L9" i="9"/>
  <c r="M9" i="9"/>
  <c r="N9" i="9"/>
  <c r="O9" i="9"/>
  <c r="G10" i="9"/>
  <c r="H10" i="9"/>
  <c r="I10" i="9"/>
  <c r="J10" i="9"/>
  <c r="K10" i="9"/>
  <c r="L10" i="9"/>
  <c r="M10" i="9"/>
  <c r="N10" i="9"/>
  <c r="O10" i="9"/>
  <c r="G12" i="9"/>
  <c r="H12" i="9"/>
  <c r="I12" i="9"/>
  <c r="J12" i="9"/>
  <c r="K12" i="9"/>
  <c r="L12" i="9"/>
  <c r="M12" i="9"/>
  <c r="N12" i="9"/>
  <c r="O12" i="9"/>
  <c r="G13" i="9"/>
  <c r="H13" i="9"/>
  <c r="I13" i="9"/>
  <c r="J13" i="9"/>
  <c r="K13" i="9"/>
  <c r="L13" i="9"/>
  <c r="M13" i="9"/>
  <c r="N13" i="9"/>
  <c r="O13" i="9"/>
  <c r="G14" i="9"/>
  <c r="H14" i="9"/>
  <c r="I14" i="9"/>
  <c r="J14" i="9"/>
  <c r="K14" i="9"/>
  <c r="L14" i="9"/>
  <c r="M14" i="9"/>
  <c r="N14" i="9"/>
  <c r="O14" i="9"/>
  <c r="G15" i="9"/>
  <c r="H15" i="9"/>
  <c r="I15" i="9"/>
  <c r="J15" i="9"/>
  <c r="K15" i="9"/>
  <c r="L15" i="9"/>
  <c r="M15" i="9"/>
  <c r="N15" i="9"/>
  <c r="O15" i="9"/>
  <c r="G16" i="9"/>
  <c r="H16" i="9"/>
  <c r="I16" i="9"/>
  <c r="J16" i="9"/>
  <c r="K16" i="9"/>
  <c r="L16" i="9"/>
  <c r="M16" i="9"/>
  <c r="N16" i="9"/>
  <c r="O16" i="9"/>
  <c r="G17" i="9"/>
  <c r="H17" i="9"/>
  <c r="I17" i="9"/>
  <c r="J17" i="9"/>
  <c r="K17" i="9"/>
  <c r="L17" i="9"/>
  <c r="M17" i="9"/>
  <c r="N17" i="9"/>
  <c r="O17" i="9"/>
  <c r="G18" i="9"/>
  <c r="H18" i="9"/>
  <c r="I18" i="9"/>
  <c r="J18" i="9"/>
  <c r="K18" i="9"/>
  <c r="L18" i="9"/>
  <c r="M18" i="9"/>
  <c r="N18" i="9"/>
  <c r="O18" i="9"/>
  <c r="G19" i="9"/>
  <c r="H19" i="9"/>
  <c r="I19" i="9"/>
  <c r="J19" i="9"/>
  <c r="K19" i="9"/>
  <c r="L19" i="9"/>
  <c r="M19" i="9"/>
  <c r="N19" i="9"/>
  <c r="O19" i="9"/>
  <c r="G20" i="9"/>
  <c r="H20" i="9"/>
  <c r="I20" i="9"/>
  <c r="J20" i="9"/>
  <c r="K20" i="9"/>
  <c r="L20" i="9"/>
  <c r="M20" i="9"/>
  <c r="N20" i="9"/>
  <c r="O20" i="9"/>
  <c r="G21" i="9"/>
  <c r="H21" i="9"/>
  <c r="I21" i="9"/>
  <c r="J21" i="9"/>
  <c r="K21" i="9"/>
  <c r="L21" i="9"/>
  <c r="M21" i="9"/>
  <c r="N21" i="9"/>
  <c r="O21" i="9"/>
  <c r="G22" i="9"/>
  <c r="H22" i="9"/>
  <c r="I22" i="9"/>
  <c r="J22" i="9"/>
  <c r="K22" i="9"/>
  <c r="L22" i="9"/>
  <c r="M22" i="9"/>
  <c r="N22" i="9"/>
  <c r="O22" i="9"/>
  <c r="G23" i="9"/>
  <c r="H23" i="9"/>
  <c r="I23" i="9"/>
  <c r="J23" i="9"/>
  <c r="K23" i="9"/>
  <c r="L23" i="9"/>
  <c r="M23" i="9"/>
  <c r="N23" i="9"/>
  <c r="O23" i="9"/>
  <c r="G24" i="9"/>
  <c r="H24" i="9"/>
  <c r="I24" i="9"/>
  <c r="J24" i="9"/>
  <c r="K24" i="9"/>
  <c r="L24" i="9"/>
  <c r="M24" i="9"/>
  <c r="N24" i="9"/>
  <c r="O24" i="9"/>
  <c r="G25" i="9"/>
  <c r="H25" i="9"/>
  <c r="I25" i="9"/>
  <c r="J25" i="9"/>
  <c r="K25" i="9"/>
  <c r="L25" i="9"/>
  <c r="M25" i="9"/>
  <c r="N25" i="9"/>
  <c r="O25" i="9"/>
  <c r="G26" i="9"/>
  <c r="H26" i="9"/>
  <c r="I26" i="9"/>
  <c r="J26" i="9"/>
  <c r="K26" i="9"/>
  <c r="L26" i="9"/>
  <c r="M26" i="9"/>
  <c r="N26" i="9"/>
  <c r="O26" i="9"/>
  <c r="G27" i="9"/>
  <c r="H27" i="9"/>
  <c r="I27" i="9"/>
  <c r="J27" i="9"/>
  <c r="K27" i="9"/>
  <c r="L27" i="9"/>
  <c r="M27" i="9"/>
  <c r="N27" i="9"/>
  <c r="O27" i="9"/>
  <c r="G28" i="9"/>
  <c r="H28" i="9"/>
  <c r="I28" i="9"/>
  <c r="J28" i="9"/>
  <c r="K28" i="9"/>
  <c r="L28" i="9"/>
  <c r="M28" i="9"/>
  <c r="N28" i="9"/>
  <c r="O28" i="9"/>
  <c r="G29" i="9"/>
  <c r="H29" i="9"/>
  <c r="I29" i="9"/>
  <c r="J29" i="9"/>
  <c r="K29" i="9"/>
  <c r="L29" i="9"/>
  <c r="M29" i="9"/>
  <c r="N29" i="9"/>
  <c r="O29" i="9"/>
  <c r="G30" i="9"/>
  <c r="H30" i="9"/>
  <c r="I30" i="9"/>
  <c r="J30" i="9"/>
  <c r="K30" i="9"/>
  <c r="L30" i="9"/>
  <c r="M30" i="9"/>
  <c r="N30" i="9"/>
  <c r="O30" i="9"/>
  <c r="G31" i="9"/>
  <c r="H31" i="9"/>
  <c r="I31" i="9"/>
  <c r="J31" i="9"/>
  <c r="K31" i="9"/>
  <c r="L31" i="9"/>
  <c r="M31" i="9"/>
  <c r="N31" i="9"/>
  <c r="O31" i="9"/>
  <c r="G32" i="9"/>
  <c r="H32" i="9"/>
  <c r="I32" i="9"/>
  <c r="J32" i="9"/>
  <c r="K32" i="9"/>
  <c r="L32" i="9"/>
  <c r="M32" i="9"/>
  <c r="N32" i="9"/>
  <c r="O32" i="9"/>
  <c r="G33" i="9"/>
  <c r="H33" i="9"/>
  <c r="I33" i="9"/>
  <c r="J33" i="9"/>
  <c r="K33" i="9"/>
  <c r="L33" i="9"/>
  <c r="M33" i="9"/>
  <c r="N33" i="9"/>
  <c r="O33" i="9"/>
  <c r="G34" i="9"/>
  <c r="H34" i="9"/>
  <c r="I34" i="9"/>
  <c r="J34" i="9"/>
  <c r="K34" i="9"/>
  <c r="L34" i="9"/>
  <c r="M34" i="9"/>
  <c r="N34" i="9"/>
  <c r="O34" i="9"/>
  <c r="G36" i="9"/>
  <c r="H36" i="9"/>
  <c r="I36" i="9"/>
  <c r="J36" i="9"/>
  <c r="K36" i="9"/>
  <c r="L36" i="9"/>
  <c r="M36" i="9"/>
  <c r="N36" i="9"/>
  <c r="O36" i="9"/>
  <c r="G37" i="9"/>
  <c r="H37" i="9"/>
  <c r="I37" i="9"/>
  <c r="J37" i="9"/>
  <c r="K37" i="9"/>
  <c r="L37" i="9"/>
  <c r="M37" i="9"/>
  <c r="N37" i="9"/>
  <c r="O37" i="9"/>
  <c r="G39" i="9"/>
  <c r="H39" i="9"/>
  <c r="I39" i="9"/>
  <c r="J39" i="9"/>
  <c r="K39" i="9"/>
  <c r="L39" i="9"/>
  <c r="M39" i="9"/>
  <c r="N39" i="9"/>
  <c r="O39" i="9"/>
  <c r="G40" i="9"/>
  <c r="H40" i="9"/>
  <c r="I40" i="9"/>
  <c r="J40" i="9"/>
  <c r="K40" i="9"/>
  <c r="L40" i="9"/>
  <c r="M40" i="9"/>
  <c r="N40" i="9"/>
  <c r="O40" i="9"/>
  <c r="G42" i="9"/>
  <c r="H42" i="9"/>
  <c r="I42" i="9"/>
  <c r="J42" i="9"/>
  <c r="K42" i="9"/>
  <c r="L42" i="9"/>
  <c r="M42" i="9"/>
  <c r="N42" i="9"/>
  <c r="O42" i="9"/>
  <c r="G43" i="9"/>
  <c r="H43" i="9"/>
  <c r="I43" i="9"/>
  <c r="J43" i="9"/>
  <c r="K43" i="9"/>
  <c r="L43" i="9"/>
  <c r="M43" i="9"/>
  <c r="N43" i="9"/>
  <c r="O43" i="9"/>
  <c r="G44" i="9"/>
  <c r="H44" i="9"/>
  <c r="I44" i="9"/>
  <c r="J44" i="9"/>
  <c r="K44" i="9"/>
  <c r="L44" i="9"/>
  <c r="M44" i="9"/>
  <c r="N44" i="9"/>
  <c r="O44" i="9"/>
  <c r="G45" i="9"/>
  <c r="H45" i="9"/>
  <c r="I45" i="9"/>
  <c r="J45" i="9"/>
  <c r="K45" i="9"/>
  <c r="L45" i="9"/>
  <c r="M45" i="9"/>
  <c r="N45" i="9"/>
  <c r="O45" i="9"/>
  <c r="G46" i="9"/>
  <c r="H46" i="9"/>
  <c r="I46" i="9"/>
  <c r="J46" i="9"/>
  <c r="K46" i="9"/>
  <c r="L46" i="9"/>
  <c r="M46" i="9"/>
  <c r="N46" i="9"/>
  <c r="O46" i="9"/>
  <c r="G47" i="9"/>
  <c r="H47" i="9"/>
  <c r="I47" i="9"/>
  <c r="J47" i="9"/>
  <c r="K47" i="9"/>
  <c r="L47" i="9"/>
  <c r="M47" i="9"/>
  <c r="N47" i="9"/>
  <c r="O47" i="9"/>
  <c r="G48" i="9"/>
  <c r="H48" i="9"/>
  <c r="I48" i="9"/>
  <c r="J48" i="9"/>
  <c r="K48" i="9"/>
  <c r="L48" i="9"/>
  <c r="M48" i="9"/>
  <c r="N48" i="9"/>
  <c r="O48" i="9"/>
  <c r="G49" i="9"/>
  <c r="H49" i="9"/>
  <c r="I49" i="9"/>
  <c r="J49" i="9"/>
  <c r="K49" i="9"/>
  <c r="L49" i="9"/>
  <c r="M49" i="9"/>
  <c r="N49" i="9"/>
  <c r="O49" i="9"/>
  <c r="G50" i="9"/>
  <c r="H50" i="9"/>
  <c r="I50" i="9"/>
  <c r="J50" i="9"/>
  <c r="K50" i="9"/>
  <c r="L50" i="9"/>
  <c r="M50" i="9"/>
  <c r="N50" i="9"/>
  <c r="O50" i="9"/>
  <c r="G51" i="9"/>
  <c r="H51" i="9"/>
  <c r="I51" i="9"/>
  <c r="J51" i="9"/>
  <c r="K51" i="9"/>
  <c r="L51" i="9"/>
  <c r="M51" i="9"/>
  <c r="N51" i="9"/>
  <c r="O51" i="9"/>
  <c r="G52" i="9"/>
  <c r="H52" i="9"/>
  <c r="I52" i="9"/>
  <c r="J52" i="9"/>
  <c r="K52" i="9"/>
  <c r="L52" i="9"/>
  <c r="M52" i="9"/>
  <c r="N52" i="9"/>
  <c r="O52" i="9"/>
  <c r="G53" i="9"/>
  <c r="H53" i="9"/>
  <c r="I53" i="9"/>
  <c r="J53" i="9"/>
  <c r="K53" i="9"/>
  <c r="L53" i="9"/>
  <c r="M53" i="9"/>
  <c r="N53" i="9"/>
  <c r="O53" i="9"/>
  <c r="G54" i="9"/>
  <c r="H54" i="9"/>
  <c r="I54" i="9"/>
  <c r="J54" i="9"/>
  <c r="K54" i="9"/>
  <c r="L54" i="9"/>
  <c r="M54" i="9"/>
  <c r="N54" i="9"/>
  <c r="O54" i="9"/>
  <c r="G55" i="9"/>
  <c r="H55" i="9"/>
  <c r="I55" i="9"/>
  <c r="J55" i="9"/>
  <c r="K55" i="9"/>
  <c r="L55" i="9"/>
  <c r="M55" i="9"/>
  <c r="N55" i="9"/>
  <c r="O55" i="9"/>
  <c r="G56" i="9"/>
  <c r="H56" i="9"/>
  <c r="I56" i="9"/>
  <c r="J56" i="9"/>
  <c r="K56" i="9"/>
  <c r="L56" i="9"/>
  <c r="M56" i="9"/>
  <c r="N56" i="9"/>
  <c r="O56" i="9"/>
  <c r="G57" i="9"/>
  <c r="H57" i="9"/>
  <c r="I57" i="9"/>
  <c r="J57" i="9"/>
  <c r="K57" i="9"/>
  <c r="L57" i="9"/>
  <c r="M57" i="9"/>
  <c r="N57" i="9"/>
  <c r="O57" i="9"/>
  <c r="G58" i="9"/>
  <c r="H58" i="9"/>
  <c r="I58" i="9"/>
  <c r="J58" i="9"/>
  <c r="K58" i="9"/>
  <c r="L58" i="9"/>
  <c r="M58" i="9"/>
  <c r="N58" i="9"/>
  <c r="O58" i="9"/>
  <c r="G59" i="9"/>
  <c r="H59" i="9"/>
  <c r="I59" i="9"/>
  <c r="J59" i="9"/>
  <c r="K59" i="9"/>
  <c r="L59" i="9"/>
  <c r="M59" i="9"/>
  <c r="N59" i="9"/>
  <c r="O59" i="9"/>
  <c r="G60" i="9"/>
  <c r="H60" i="9"/>
  <c r="I60" i="9"/>
  <c r="J60" i="9"/>
  <c r="K60" i="9"/>
  <c r="L60" i="9"/>
  <c r="M60" i="9"/>
  <c r="N60" i="9"/>
  <c r="O60" i="9"/>
  <c r="G62" i="9"/>
  <c r="H62" i="9"/>
  <c r="I62" i="9"/>
  <c r="J62" i="9"/>
  <c r="K62" i="9"/>
  <c r="L62" i="9"/>
  <c r="M62" i="9"/>
  <c r="N62" i="9"/>
  <c r="O62" i="9"/>
  <c r="G63" i="9"/>
  <c r="H63" i="9"/>
  <c r="I63" i="9"/>
  <c r="J63" i="9"/>
  <c r="K63" i="9"/>
  <c r="L63" i="9"/>
  <c r="M63" i="9"/>
  <c r="N63" i="9"/>
  <c r="O63" i="9"/>
  <c r="G65" i="9"/>
  <c r="H65" i="9"/>
  <c r="I65" i="9"/>
  <c r="J65" i="9"/>
  <c r="K65" i="9"/>
  <c r="L65" i="9"/>
  <c r="M65" i="9"/>
  <c r="N65" i="9"/>
  <c r="O65" i="9"/>
  <c r="G66" i="9"/>
  <c r="H66" i="9"/>
  <c r="I66" i="9"/>
  <c r="J66" i="9"/>
  <c r="K66" i="9"/>
  <c r="L66" i="9"/>
  <c r="M66" i="9"/>
  <c r="N66" i="9"/>
  <c r="O66" i="9"/>
  <c r="G68" i="9"/>
  <c r="H68" i="9"/>
  <c r="I68" i="9"/>
  <c r="J68" i="9"/>
  <c r="K68" i="9"/>
  <c r="L68" i="9"/>
  <c r="M68" i="9"/>
  <c r="N68" i="9"/>
  <c r="O68" i="9"/>
  <c r="G69" i="9"/>
  <c r="H69" i="9"/>
  <c r="I69" i="9"/>
  <c r="J69" i="9"/>
  <c r="K69" i="9"/>
  <c r="L69" i="9"/>
  <c r="M69" i="9"/>
  <c r="N69" i="9"/>
  <c r="O69" i="9"/>
  <c r="G70" i="9"/>
  <c r="H70" i="9"/>
  <c r="I70" i="9"/>
  <c r="J70" i="9"/>
  <c r="K70" i="9"/>
  <c r="L70" i="9"/>
  <c r="M70" i="9"/>
  <c r="N70" i="9"/>
  <c r="O70" i="9"/>
  <c r="G71" i="9"/>
  <c r="H71" i="9"/>
  <c r="I71" i="9"/>
  <c r="J71" i="9"/>
  <c r="K71" i="9"/>
  <c r="L71" i="9"/>
  <c r="M71" i="9"/>
  <c r="N71" i="9"/>
  <c r="O71" i="9"/>
  <c r="G72" i="9"/>
  <c r="H72" i="9"/>
  <c r="I72" i="9"/>
  <c r="J72" i="9"/>
  <c r="K72" i="9"/>
  <c r="L72" i="9"/>
  <c r="M72" i="9"/>
  <c r="N72" i="9"/>
  <c r="O72" i="9"/>
  <c r="G73" i="9"/>
  <c r="H73" i="9"/>
  <c r="I73" i="9"/>
  <c r="J73" i="9"/>
  <c r="K73" i="9"/>
  <c r="L73" i="9"/>
  <c r="M73" i="9"/>
  <c r="N73" i="9"/>
  <c r="O73" i="9"/>
  <c r="G74" i="9"/>
  <c r="H74" i="9"/>
  <c r="I74" i="9"/>
  <c r="J74" i="9"/>
  <c r="K74" i="9"/>
  <c r="L74" i="9"/>
  <c r="M74" i="9"/>
  <c r="N74" i="9"/>
  <c r="O74" i="9"/>
  <c r="G75" i="9"/>
  <c r="H75" i="9"/>
  <c r="I75" i="9"/>
  <c r="J75" i="9"/>
  <c r="K75" i="9"/>
  <c r="L75" i="9"/>
  <c r="M75" i="9"/>
  <c r="N75" i="9"/>
  <c r="O75" i="9"/>
  <c r="G76" i="9"/>
  <c r="H76" i="9"/>
  <c r="I76" i="9"/>
  <c r="J76" i="9"/>
  <c r="K76" i="9"/>
  <c r="L76" i="9"/>
  <c r="M76" i="9"/>
  <c r="N76" i="9"/>
  <c r="O76" i="9"/>
  <c r="G77" i="9"/>
  <c r="H77" i="9"/>
  <c r="I77" i="9"/>
  <c r="J77" i="9"/>
  <c r="K77" i="9"/>
  <c r="L77" i="9"/>
  <c r="M77" i="9"/>
  <c r="N77" i="9"/>
  <c r="O77" i="9"/>
  <c r="G78" i="9"/>
  <c r="H78" i="9"/>
  <c r="I78" i="9"/>
  <c r="J78" i="9"/>
  <c r="K78" i="9"/>
  <c r="L78" i="9"/>
  <c r="M78" i="9"/>
  <c r="N78" i="9"/>
  <c r="O78" i="9"/>
  <c r="G79" i="9"/>
  <c r="H79" i="9"/>
  <c r="I79" i="9"/>
  <c r="J79" i="9"/>
  <c r="K79" i="9"/>
  <c r="L79" i="9"/>
  <c r="M79" i="9"/>
  <c r="N79" i="9"/>
  <c r="O79" i="9"/>
  <c r="G80" i="9"/>
  <c r="H80" i="9"/>
  <c r="I80" i="9"/>
  <c r="J80" i="9"/>
  <c r="K80" i="9"/>
  <c r="L80" i="9"/>
  <c r="M80" i="9"/>
  <c r="N80" i="9"/>
  <c r="O80" i="9"/>
  <c r="G81" i="9"/>
  <c r="H81" i="9"/>
  <c r="I81" i="9"/>
  <c r="J81" i="9"/>
  <c r="K81" i="9"/>
  <c r="L81" i="9"/>
  <c r="M81" i="9"/>
  <c r="N81" i="9"/>
  <c r="O81" i="9"/>
  <c r="G82" i="9"/>
  <c r="H82" i="9"/>
  <c r="I82" i="9"/>
  <c r="J82" i="9"/>
  <c r="K82" i="9"/>
  <c r="L82" i="9"/>
  <c r="M82" i="9"/>
  <c r="N82" i="9"/>
  <c r="O82" i="9"/>
  <c r="G83" i="9"/>
  <c r="H83" i="9"/>
  <c r="I83" i="9"/>
  <c r="J83" i="9"/>
  <c r="K83" i="9"/>
  <c r="L83" i="9"/>
  <c r="M83" i="9"/>
  <c r="N83" i="9"/>
  <c r="O83" i="9"/>
  <c r="G84" i="9"/>
  <c r="H84" i="9"/>
  <c r="I84" i="9"/>
  <c r="J84" i="9"/>
  <c r="K84" i="9"/>
  <c r="L84" i="9"/>
  <c r="M84" i="9"/>
  <c r="N84" i="9"/>
  <c r="O84" i="9"/>
  <c r="G85" i="9"/>
  <c r="H85" i="9"/>
  <c r="I85" i="9"/>
  <c r="J85" i="9"/>
  <c r="K85" i="9"/>
  <c r="L85" i="9"/>
  <c r="M85" i="9"/>
  <c r="N85" i="9"/>
  <c r="O85" i="9"/>
  <c r="G86" i="9"/>
  <c r="H86" i="9"/>
  <c r="I86" i="9"/>
  <c r="J86" i="9"/>
  <c r="K86" i="9"/>
  <c r="L86" i="9"/>
  <c r="M86" i="9"/>
  <c r="N86" i="9"/>
  <c r="O86" i="9"/>
  <c r="G87" i="9"/>
  <c r="H87" i="9"/>
  <c r="I87" i="9"/>
  <c r="J87" i="9"/>
  <c r="K87" i="9"/>
  <c r="L87" i="9"/>
  <c r="M87" i="9"/>
  <c r="N87" i="9"/>
  <c r="O87" i="9"/>
  <c r="G88" i="9"/>
  <c r="H88" i="9"/>
  <c r="I88" i="9"/>
  <c r="J88" i="9"/>
  <c r="K88" i="9"/>
  <c r="L88" i="9"/>
  <c r="M88" i="9"/>
  <c r="N88" i="9"/>
  <c r="O88" i="9"/>
  <c r="G89" i="9"/>
  <c r="H89" i="9"/>
  <c r="I89" i="9"/>
  <c r="J89" i="9"/>
  <c r="K89" i="9"/>
  <c r="L89" i="9"/>
  <c r="M89" i="9"/>
  <c r="N89" i="9"/>
  <c r="O89" i="9"/>
  <c r="G90" i="9"/>
  <c r="H90" i="9"/>
  <c r="I90" i="9"/>
  <c r="J90" i="9"/>
  <c r="K90" i="9"/>
  <c r="L90" i="9"/>
  <c r="M90" i="9"/>
  <c r="N90" i="9"/>
  <c r="O90" i="9"/>
  <c r="G91" i="9"/>
  <c r="H91" i="9"/>
  <c r="I91" i="9"/>
  <c r="J91" i="9"/>
  <c r="K91" i="9"/>
  <c r="L91" i="9"/>
  <c r="M91" i="9"/>
  <c r="N91" i="9"/>
  <c r="O91" i="9"/>
  <c r="G92" i="9"/>
  <c r="H92" i="9"/>
  <c r="I92" i="9"/>
  <c r="J92" i="9"/>
  <c r="K92" i="9"/>
  <c r="L92" i="9"/>
  <c r="M92" i="9"/>
  <c r="N92" i="9"/>
  <c r="O92" i="9"/>
  <c r="G93" i="9"/>
  <c r="H93" i="9"/>
  <c r="I93" i="9"/>
  <c r="J93" i="9"/>
  <c r="K93" i="9"/>
  <c r="L93" i="9"/>
  <c r="M93" i="9"/>
  <c r="N93" i="9"/>
  <c r="O93" i="9"/>
  <c r="G94" i="9"/>
  <c r="H94" i="9"/>
  <c r="I94" i="9"/>
  <c r="J94" i="9"/>
  <c r="K94" i="9"/>
  <c r="L94" i="9"/>
  <c r="M94" i="9"/>
  <c r="N94" i="9"/>
  <c r="O94" i="9"/>
  <c r="G96" i="9"/>
  <c r="H96" i="9"/>
  <c r="I96" i="9"/>
  <c r="J96" i="9"/>
  <c r="K96" i="9"/>
  <c r="L96" i="9"/>
  <c r="M96" i="9"/>
  <c r="N96" i="9"/>
  <c r="O96" i="9"/>
  <c r="G97" i="9"/>
  <c r="H97" i="9"/>
  <c r="I97" i="9"/>
  <c r="J97" i="9"/>
  <c r="K97" i="9"/>
  <c r="L97" i="9"/>
  <c r="M97" i="9"/>
  <c r="N97" i="9"/>
  <c r="O97" i="9"/>
  <c r="G99" i="9"/>
  <c r="H99" i="9"/>
  <c r="I99" i="9"/>
  <c r="J99" i="9"/>
  <c r="K99" i="9"/>
  <c r="L99" i="9"/>
  <c r="M99" i="9"/>
  <c r="N99" i="9"/>
  <c r="O99" i="9"/>
  <c r="G100" i="9"/>
  <c r="H100" i="9"/>
  <c r="I100" i="9"/>
  <c r="J100" i="9"/>
  <c r="K100" i="9"/>
  <c r="L100" i="9"/>
  <c r="M100" i="9"/>
  <c r="N100" i="9"/>
  <c r="O100" i="9"/>
  <c r="G102" i="9"/>
  <c r="H102" i="9"/>
  <c r="I102" i="9"/>
  <c r="J102" i="9"/>
  <c r="K102" i="9"/>
  <c r="L102" i="9"/>
  <c r="M102" i="9"/>
  <c r="N102" i="9"/>
  <c r="O102" i="9"/>
  <c r="G103" i="9"/>
  <c r="H103" i="9"/>
  <c r="I103" i="9"/>
  <c r="J103" i="9"/>
  <c r="K103" i="9"/>
  <c r="L103" i="9"/>
  <c r="M103" i="9"/>
  <c r="N103" i="9"/>
  <c r="O103" i="9"/>
  <c r="G104" i="9"/>
  <c r="H104" i="9"/>
  <c r="I104" i="9"/>
  <c r="J104" i="9"/>
  <c r="K104" i="9"/>
  <c r="L104" i="9"/>
  <c r="M104" i="9"/>
  <c r="N104" i="9"/>
  <c r="O104" i="9"/>
  <c r="G105" i="9"/>
  <c r="H105" i="9"/>
  <c r="I105" i="9"/>
  <c r="J105" i="9"/>
  <c r="K105" i="9"/>
  <c r="L105" i="9"/>
  <c r="M105" i="9"/>
  <c r="N105" i="9"/>
  <c r="O105" i="9"/>
  <c r="G106" i="9"/>
  <c r="H106" i="9"/>
  <c r="I106" i="9"/>
  <c r="J106" i="9"/>
  <c r="K106" i="9"/>
  <c r="L106" i="9"/>
  <c r="M106" i="9"/>
  <c r="N106" i="9"/>
  <c r="O106" i="9"/>
  <c r="G107" i="9"/>
  <c r="H107" i="9"/>
  <c r="I107" i="9"/>
  <c r="J107" i="9"/>
  <c r="K107" i="9"/>
  <c r="L107" i="9"/>
  <c r="M107" i="9"/>
  <c r="N107" i="9"/>
  <c r="O107" i="9"/>
  <c r="G108" i="9"/>
  <c r="H108" i="9"/>
  <c r="I108" i="9"/>
  <c r="J108" i="9"/>
  <c r="K108" i="9"/>
  <c r="L108" i="9"/>
  <c r="M108" i="9"/>
  <c r="N108" i="9"/>
  <c r="O108" i="9"/>
  <c r="G109" i="9"/>
  <c r="H109" i="9"/>
  <c r="I109" i="9"/>
  <c r="J109" i="9"/>
  <c r="K109" i="9"/>
  <c r="L109" i="9"/>
  <c r="M109" i="9"/>
  <c r="N109" i="9"/>
  <c r="O109" i="9"/>
  <c r="G110" i="9"/>
  <c r="H110" i="9"/>
  <c r="I110" i="9"/>
  <c r="J110" i="9"/>
  <c r="K110" i="9"/>
  <c r="L110" i="9"/>
  <c r="M110" i="9"/>
  <c r="N110" i="9"/>
  <c r="O110" i="9"/>
  <c r="G111" i="9"/>
  <c r="H111" i="9"/>
  <c r="I111" i="9"/>
  <c r="J111" i="9"/>
  <c r="K111" i="9"/>
  <c r="L111" i="9"/>
  <c r="M111" i="9"/>
  <c r="N111" i="9"/>
  <c r="O111" i="9"/>
  <c r="G112" i="9"/>
  <c r="H112" i="9"/>
  <c r="I112" i="9"/>
  <c r="J112" i="9"/>
  <c r="K112" i="9"/>
  <c r="L112" i="9"/>
  <c r="M112" i="9"/>
  <c r="N112" i="9"/>
  <c r="O112" i="9"/>
  <c r="G113" i="9"/>
  <c r="H113" i="9"/>
  <c r="I113" i="9"/>
  <c r="J113" i="9"/>
  <c r="K113" i="9"/>
  <c r="L113" i="9"/>
  <c r="M113" i="9"/>
  <c r="N113" i="9"/>
  <c r="O113" i="9"/>
  <c r="G114" i="9"/>
  <c r="H114" i="9"/>
  <c r="I114" i="9"/>
  <c r="J114" i="9"/>
  <c r="K114" i="9"/>
  <c r="L114" i="9"/>
  <c r="M114" i="9"/>
  <c r="N114" i="9"/>
  <c r="O114" i="9"/>
  <c r="G115" i="9"/>
  <c r="H115" i="9"/>
  <c r="I115" i="9"/>
  <c r="J115" i="9"/>
  <c r="K115" i="9"/>
  <c r="L115" i="9"/>
  <c r="M115" i="9"/>
  <c r="N115" i="9"/>
  <c r="O115" i="9"/>
  <c r="G116" i="9"/>
  <c r="H116" i="9"/>
  <c r="I116" i="9"/>
  <c r="J116" i="9"/>
  <c r="K116" i="9"/>
  <c r="L116" i="9"/>
  <c r="M116" i="9"/>
  <c r="N116" i="9"/>
  <c r="O116" i="9"/>
  <c r="G117" i="9"/>
  <c r="H117" i="9"/>
  <c r="I117" i="9"/>
  <c r="J117" i="9"/>
  <c r="K117" i="9"/>
  <c r="L117" i="9"/>
  <c r="M117" i="9"/>
  <c r="N117" i="9"/>
  <c r="O117" i="9"/>
  <c r="D2" i="9"/>
  <c r="E2" i="9"/>
  <c r="D3" i="9"/>
  <c r="E3" i="9"/>
  <c r="D4" i="9"/>
  <c r="E4" i="9"/>
  <c r="D5" i="9"/>
  <c r="E5" i="9"/>
  <c r="D6" i="9"/>
  <c r="E6" i="9"/>
  <c r="D7" i="9"/>
  <c r="E7" i="9"/>
  <c r="D9" i="9"/>
  <c r="E9" i="9"/>
  <c r="D10" i="9"/>
  <c r="E10" i="9"/>
  <c r="D12" i="9"/>
  <c r="E12" i="9"/>
  <c r="D13" i="9"/>
  <c r="E13" i="9"/>
  <c r="D14" i="9"/>
  <c r="E14" i="9"/>
  <c r="D15" i="9"/>
  <c r="E15" i="9"/>
  <c r="D16" i="9"/>
  <c r="E16" i="9"/>
  <c r="D17" i="9"/>
  <c r="E17" i="9"/>
  <c r="D18" i="9"/>
  <c r="E18" i="9"/>
  <c r="D19" i="9"/>
  <c r="E19" i="9"/>
  <c r="D20" i="9"/>
  <c r="E20" i="9"/>
  <c r="D21" i="9"/>
  <c r="E21" i="9"/>
  <c r="D22" i="9"/>
  <c r="E22" i="9"/>
  <c r="D23" i="9"/>
  <c r="E23" i="9"/>
  <c r="D24" i="9"/>
  <c r="E24" i="9"/>
  <c r="D25" i="9"/>
  <c r="E25" i="9"/>
  <c r="D26" i="9"/>
  <c r="E26" i="9"/>
  <c r="D27" i="9"/>
  <c r="E27" i="9"/>
  <c r="D28" i="9"/>
  <c r="E28" i="9"/>
  <c r="D29" i="9"/>
  <c r="E29" i="9"/>
  <c r="D30" i="9"/>
  <c r="E30" i="9"/>
  <c r="D31" i="9"/>
  <c r="E31" i="9"/>
  <c r="D32" i="9"/>
  <c r="E32" i="9"/>
  <c r="D33" i="9"/>
  <c r="E33" i="9"/>
  <c r="D34" i="9"/>
  <c r="E34" i="9"/>
  <c r="D36" i="9"/>
  <c r="E36" i="9"/>
  <c r="D37" i="9"/>
  <c r="E37" i="9"/>
  <c r="D39" i="9"/>
  <c r="E39" i="9"/>
  <c r="D40" i="9"/>
  <c r="E40" i="9"/>
  <c r="D42" i="9"/>
  <c r="E42" i="9"/>
  <c r="D43" i="9"/>
  <c r="E43" i="9"/>
  <c r="D44" i="9"/>
  <c r="E44" i="9"/>
  <c r="D45" i="9"/>
  <c r="E45" i="9"/>
  <c r="D46" i="9"/>
  <c r="E46" i="9"/>
  <c r="D47" i="9"/>
  <c r="E47" i="9"/>
  <c r="D48" i="9"/>
  <c r="E48" i="9"/>
  <c r="D49" i="9"/>
  <c r="E49" i="9"/>
  <c r="D50" i="9"/>
  <c r="E50" i="9"/>
  <c r="D51" i="9"/>
  <c r="E51" i="9"/>
  <c r="D52" i="9"/>
  <c r="E52" i="9"/>
  <c r="D53" i="9"/>
  <c r="E53" i="9"/>
  <c r="D54" i="9"/>
  <c r="E54" i="9"/>
  <c r="D55" i="9"/>
  <c r="E55" i="9"/>
  <c r="D56" i="9"/>
  <c r="E56" i="9"/>
  <c r="D57" i="9"/>
  <c r="E57" i="9"/>
  <c r="D58" i="9"/>
  <c r="E58" i="9"/>
  <c r="D59" i="9"/>
  <c r="E59" i="9"/>
  <c r="D60" i="9"/>
  <c r="E60" i="9"/>
  <c r="D62" i="9"/>
  <c r="E62" i="9"/>
  <c r="D63" i="9"/>
  <c r="E63" i="9"/>
  <c r="D65" i="9"/>
  <c r="E65" i="9"/>
  <c r="D66" i="9"/>
  <c r="E66" i="9"/>
  <c r="D68" i="9"/>
  <c r="E68" i="9"/>
  <c r="D69" i="9"/>
  <c r="E69" i="9"/>
  <c r="D70" i="9"/>
  <c r="E70" i="9"/>
  <c r="D71" i="9"/>
  <c r="E71" i="9"/>
  <c r="D72" i="9"/>
  <c r="E72" i="9"/>
  <c r="D73" i="9"/>
  <c r="E73" i="9"/>
  <c r="D74" i="9"/>
  <c r="E74" i="9"/>
  <c r="D75" i="9"/>
  <c r="E75" i="9"/>
  <c r="D76" i="9"/>
  <c r="E76" i="9"/>
  <c r="D77" i="9"/>
  <c r="E77" i="9"/>
  <c r="D78" i="9"/>
  <c r="E78" i="9"/>
  <c r="D79" i="9"/>
  <c r="E79" i="9"/>
  <c r="D80" i="9"/>
  <c r="E80" i="9"/>
  <c r="D81" i="9"/>
  <c r="E81" i="9"/>
  <c r="D82" i="9"/>
  <c r="E82" i="9"/>
  <c r="D83" i="9"/>
  <c r="E83" i="9"/>
  <c r="D84" i="9"/>
  <c r="E84" i="9"/>
  <c r="D85" i="9"/>
  <c r="E85" i="9"/>
  <c r="D86" i="9"/>
  <c r="E86" i="9"/>
  <c r="D87" i="9"/>
  <c r="E87" i="9"/>
  <c r="D88" i="9"/>
  <c r="E88" i="9"/>
  <c r="D89" i="9"/>
  <c r="E89" i="9"/>
  <c r="D90" i="9"/>
  <c r="E90" i="9"/>
  <c r="D91" i="9"/>
  <c r="E91" i="9"/>
  <c r="D92" i="9"/>
  <c r="E92" i="9"/>
  <c r="D93" i="9"/>
  <c r="E93" i="9"/>
  <c r="D94" i="9"/>
  <c r="E94" i="9"/>
  <c r="D96" i="9"/>
  <c r="E96" i="9"/>
  <c r="D97" i="9"/>
  <c r="E97" i="9"/>
  <c r="D99" i="9"/>
  <c r="E99" i="9"/>
  <c r="D100" i="9"/>
  <c r="E100" i="9"/>
  <c r="D102" i="9"/>
  <c r="E102" i="9"/>
  <c r="D103" i="9"/>
  <c r="E103" i="9"/>
  <c r="D104" i="9"/>
  <c r="E104" i="9"/>
  <c r="D105" i="9"/>
  <c r="E105" i="9"/>
  <c r="D106" i="9"/>
  <c r="E106" i="9"/>
  <c r="D107" i="9"/>
  <c r="E107" i="9"/>
  <c r="D108" i="9"/>
  <c r="E108" i="9"/>
  <c r="D109" i="9"/>
  <c r="E109" i="9"/>
  <c r="D110" i="9"/>
  <c r="E110" i="9"/>
  <c r="D111" i="9"/>
  <c r="E111" i="9"/>
  <c r="D112" i="9"/>
  <c r="E112" i="9"/>
  <c r="D113" i="9"/>
  <c r="E113" i="9"/>
  <c r="D114" i="9"/>
  <c r="E114" i="9"/>
  <c r="D115" i="9"/>
  <c r="E115" i="9"/>
  <c r="D116" i="9"/>
  <c r="E116" i="9"/>
  <c r="D117" i="9"/>
  <c r="E117" i="9"/>
  <c r="A117" i="9"/>
  <c r="A116" i="9"/>
  <c r="A115" i="9"/>
  <c r="A114" i="9"/>
  <c r="A113" i="9"/>
  <c r="A112" i="9"/>
  <c r="A111" i="9"/>
  <c r="A110" i="9"/>
  <c r="A109" i="9"/>
  <c r="A108" i="9"/>
  <c r="A107" i="9"/>
  <c r="A106" i="9"/>
  <c r="A105" i="9"/>
  <c r="A104" i="9"/>
  <c r="A103" i="9"/>
  <c r="A102" i="9"/>
  <c r="A100" i="9"/>
  <c r="A99" i="9"/>
  <c r="A97" i="9"/>
  <c r="A96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6" i="9"/>
  <c r="A65" i="9"/>
  <c r="A63" i="9"/>
  <c r="A62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0" i="9"/>
  <c r="A39" i="9"/>
  <c r="A37" i="9"/>
  <c r="A36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0" i="9"/>
  <c r="A9" i="9"/>
  <c r="A7" i="9"/>
  <c r="A6" i="9"/>
  <c r="A5" i="9"/>
  <c r="A4" i="9"/>
  <c r="A3" i="9"/>
  <c r="A2" i="9"/>
  <c r="M104" i="10"/>
  <c r="T104" i="10"/>
  <c r="W104" i="10"/>
  <c r="V104" i="10"/>
  <c r="X104" i="10"/>
  <c r="U104" i="10"/>
  <c r="Y104" i="10"/>
  <c r="N104" i="10"/>
  <c r="Q104" i="10"/>
  <c r="P104" i="10"/>
  <c r="R104" i="10"/>
  <c r="O104" i="10"/>
  <c r="S104" i="10"/>
  <c r="G104" i="10"/>
  <c r="J104" i="10"/>
  <c r="I104" i="10"/>
  <c r="K104" i="10"/>
  <c r="H104" i="10"/>
  <c r="L104" i="10"/>
  <c r="M103" i="10"/>
  <c r="T103" i="10"/>
  <c r="W103" i="10"/>
  <c r="V103" i="10"/>
  <c r="X103" i="10"/>
  <c r="U103" i="10"/>
  <c r="Y103" i="10"/>
  <c r="N103" i="10"/>
  <c r="Q103" i="10"/>
  <c r="P103" i="10"/>
  <c r="R103" i="10"/>
  <c r="O103" i="10"/>
  <c r="S103" i="10"/>
  <c r="G103" i="10"/>
  <c r="J103" i="10"/>
  <c r="I103" i="10"/>
  <c r="K103" i="10"/>
  <c r="H103" i="10"/>
  <c r="L103" i="10"/>
  <c r="M102" i="10"/>
  <c r="T102" i="10"/>
  <c r="W102" i="10"/>
  <c r="V102" i="10"/>
  <c r="X102" i="10"/>
  <c r="U102" i="10"/>
  <c r="Y102" i="10"/>
  <c r="N102" i="10"/>
  <c r="Q102" i="10"/>
  <c r="P102" i="10"/>
  <c r="R102" i="10"/>
  <c r="O102" i="10"/>
  <c r="S102" i="10"/>
  <c r="G102" i="10"/>
  <c r="J102" i="10"/>
  <c r="I102" i="10"/>
  <c r="K102" i="10"/>
  <c r="H102" i="10"/>
  <c r="L102" i="10"/>
  <c r="M101" i="10"/>
  <c r="T101" i="10"/>
  <c r="W101" i="10"/>
  <c r="V101" i="10"/>
  <c r="X101" i="10"/>
  <c r="U101" i="10"/>
  <c r="Y101" i="10"/>
  <c r="N101" i="10"/>
  <c r="Q101" i="10"/>
  <c r="P101" i="10"/>
  <c r="R101" i="10"/>
  <c r="O101" i="10"/>
  <c r="S101" i="10"/>
  <c r="G101" i="10"/>
  <c r="J101" i="10"/>
  <c r="I101" i="10"/>
  <c r="K101" i="10"/>
  <c r="H101" i="10"/>
  <c r="L101" i="10"/>
  <c r="M100" i="10"/>
  <c r="T100" i="10"/>
  <c r="W100" i="10"/>
  <c r="V100" i="10"/>
  <c r="X100" i="10"/>
  <c r="U100" i="10"/>
  <c r="Y100" i="10"/>
  <c r="N100" i="10"/>
  <c r="Q100" i="10"/>
  <c r="P100" i="10"/>
  <c r="R100" i="10"/>
  <c r="O100" i="10"/>
  <c r="S100" i="10"/>
  <c r="G100" i="10"/>
  <c r="J100" i="10"/>
  <c r="I100" i="10"/>
  <c r="K100" i="10"/>
  <c r="H100" i="10"/>
  <c r="L100" i="10"/>
  <c r="M99" i="10"/>
  <c r="T99" i="10"/>
  <c r="W99" i="10"/>
  <c r="V99" i="10"/>
  <c r="X99" i="10"/>
  <c r="U99" i="10"/>
  <c r="Y99" i="10"/>
  <c r="N99" i="10"/>
  <c r="Q99" i="10"/>
  <c r="P99" i="10"/>
  <c r="R99" i="10"/>
  <c r="O99" i="10"/>
  <c r="S99" i="10"/>
  <c r="G99" i="10"/>
  <c r="J99" i="10"/>
  <c r="I99" i="10"/>
  <c r="K99" i="10"/>
  <c r="H99" i="10"/>
  <c r="L99" i="10"/>
  <c r="M98" i="10"/>
  <c r="T98" i="10"/>
  <c r="W98" i="10"/>
  <c r="V98" i="10"/>
  <c r="X98" i="10"/>
  <c r="U98" i="10"/>
  <c r="Y98" i="10"/>
  <c r="N98" i="10"/>
  <c r="Q98" i="10"/>
  <c r="P98" i="10"/>
  <c r="R98" i="10"/>
  <c r="O98" i="10"/>
  <c r="S98" i="10"/>
  <c r="G98" i="10"/>
  <c r="J98" i="10"/>
  <c r="I98" i="10"/>
  <c r="K98" i="10"/>
  <c r="H98" i="10"/>
  <c r="L98" i="10"/>
  <c r="M97" i="10"/>
  <c r="T97" i="10"/>
  <c r="W97" i="10"/>
  <c r="V97" i="10"/>
  <c r="X97" i="10"/>
  <c r="U97" i="10"/>
  <c r="Y97" i="10"/>
  <c r="N97" i="10"/>
  <c r="Q97" i="10"/>
  <c r="P97" i="10"/>
  <c r="R97" i="10"/>
  <c r="O97" i="10"/>
  <c r="S97" i="10"/>
  <c r="G97" i="10"/>
  <c r="J97" i="10"/>
  <c r="I97" i="10"/>
  <c r="K97" i="10"/>
  <c r="H97" i="10"/>
  <c r="L97" i="10"/>
  <c r="M96" i="10"/>
  <c r="T96" i="10"/>
  <c r="W96" i="10"/>
  <c r="V96" i="10"/>
  <c r="X96" i="10"/>
  <c r="U96" i="10"/>
  <c r="Y96" i="10"/>
  <c r="N96" i="10"/>
  <c r="Q96" i="10"/>
  <c r="P96" i="10"/>
  <c r="R96" i="10"/>
  <c r="O96" i="10"/>
  <c r="S96" i="10"/>
  <c r="G96" i="10"/>
  <c r="J96" i="10"/>
  <c r="I96" i="10"/>
  <c r="K96" i="10"/>
  <c r="H96" i="10"/>
  <c r="L96" i="10"/>
  <c r="M95" i="10"/>
  <c r="T95" i="10"/>
  <c r="W95" i="10"/>
  <c r="V95" i="10"/>
  <c r="X95" i="10"/>
  <c r="U95" i="10"/>
  <c r="Y95" i="10"/>
  <c r="N95" i="10"/>
  <c r="Q95" i="10"/>
  <c r="P95" i="10"/>
  <c r="R95" i="10"/>
  <c r="O95" i="10"/>
  <c r="S95" i="10"/>
  <c r="G95" i="10"/>
  <c r="J95" i="10"/>
  <c r="I95" i="10"/>
  <c r="K95" i="10"/>
  <c r="H95" i="10"/>
  <c r="L95" i="10"/>
  <c r="M94" i="10"/>
  <c r="T94" i="10"/>
  <c r="W94" i="10"/>
  <c r="V94" i="10"/>
  <c r="X94" i="10"/>
  <c r="U94" i="10"/>
  <c r="Y94" i="10"/>
  <c r="N94" i="10"/>
  <c r="Q94" i="10"/>
  <c r="P94" i="10"/>
  <c r="R94" i="10"/>
  <c r="O94" i="10"/>
  <c r="S94" i="10"/>
  <c r="G94" i="10"/>
  <c r="J94" i="10"/>
  <c r="I94" i="10"/>
  <c r="K94" i="10"/>
  <c r="H94" i="10"/>
  <c r="L94" i="10"/>
  <c r="M93" i="10"/>
  <c r="T93" i="10"/>
  <c r="W93" i="10"/>
  <c r="V93" i="10"/>
  <c r="X93" i="10"/>
  <c r="U93" i="10"/>
  <c r="Y93" i="10"/>
  <c r="N93" i="10"/>
  <c r="Q93" i="10"/>
  <c r="P93" i="10"/>
  <c r="R93" i="10"/>
  <c r="O93" i="10"/>
  <c r="S93" i="10"/>
  <c r="G93" i="10"/>
  <c r="J93" i="10"/>
  <c r="I93" i="10"/>
  <c r="K93" i="10"/>
  <c r="H93" i="10"/>
  <c r="L93" i="10"/>
  <c r="M92" i="10"/>
  <c r="T92" i="10"/>
  <c r="W92" i="10"/>
  <c r="V92" i="10"/>
  <c r="X92" i="10"/>
  <c r="U92" i="10"/>
  <c r="Y92" i="10"/>
  <c r="N92" i="10"/>
  <c r="Q92" i="10"/>
  <c r="P92" i="10"/>
  <c r="R92" i="10"/>
  <c r="O92" i="10"/>
  <c r="S92" i="10"/>
  <c r="G92" i="10"/>
  <c r="J92" i="10"/>
  <c r="I92" i="10"/>
  <c r="K92" i="10"/>
  <c r="H92" i="10"/>
  <c r="L92" i="10"/>
  <c r="M91" i="10"/>
  <c r="T91" i="10"/>
  <c r="W91" i="10"/>
  <c r="V91" i="10"/>
  <c r="X91" i="10"/>
  <c r="U91" i="10"/>
  <c r="Y91" i="10"/>
  <c r="N91" i="10"/>
  <c r="Q91" i="10"/>
  <c r="P91" i="10"/>
  <c r="R91" i="10"/>
  <c r="O91" i="10"/>
  <c r="S91" i="10"/>
  <c r="G91" i="10"/>
  <c r="J91" i="10"/>
  <c r="I91" i="10"/>
  <c r="K91" i="10"/>
  <c r="H91" i="10"/>
  <c r="L91" i="10"/>
  <c r="M90" i="10"/>
  <c r="T90" i="10"/>
  <c r="W90" i="10"/>
  <c r="V90" i="10"/>
  <c r="X90" i="10"/>
  <c r="U90" i="10"/>
  <c r="Y90" i="10"/>
  <c r="N90" i="10"/>
  <c r="Q90" i="10"/>
  <c r="P90" i="10"/>
  <c r="R90" i="10"/>
  <c r="O90" i="10"/>
  <c r="S90" i="10"/>
  <c r="G90" i="10"/>
  <c r="J90" i="10"/>
  <c r="I90" i="10"/>
  <c r="K90" i="10"/>
  <c r="H90" i="10"/>
  <c r="L90" i="10"/>
  <c r="M89" i="10"/>
  <c r="T89" i="10"/>
  <c r="W89" i="10"/>
  <c r="V89" i="10"/>
  <c r="X89" i="10"/>
  <c r="U89" i="10"/>
  <c r="Y89" i="10"/>
  <c r="N89" i="10"/>
  <c r="Q89" i="10"/>
  <c r="P89" i="10"/>
  <c r="R89" i="10"/>
  <c r="O89" i="10"/>
  <c r="S89" i="10"/>
  <c r="G89" i="10"/>
  <c r="J89" i="10"/>
  <c r="I89" i="10"/>
  <c r="K89" i="10"/>
  <c r="H89" i="10"/>
  <c r="L89" i="10"/>
  <c r="M88" i="10"/>
  <c r="T88" i="10"/>
  <c r="W88" i="10"/>
  <c r="V88" i="10"/>
  <c r="X88" i="10"/>
  <c r="U88" i="10"/>
  <c r="Y88" i="10"/>
  <c r="N88" i="10"/>
  <c r="Q88" i="10"/>
  <c r="P88" i="10"/>
  <c r="R88" i="10"/>
  <c r="O88" i="10"/>
  <c r="S88" i="10"/>
  <c r="G88" i="10"/>
  <c r="J88" i="10"/>
  <c r="I88" i="10"/>
  <c r="K88" i="10"/>
  <c r="H88" i="10"/>
  <c r="L88" i="10"/>
  <c r="M87" i="10"/>
  <c r="T87" i="10"/>
  <c r="W87" i="10"/>
  <c r="V87" i="10"/>
  <c r="X87" i="10"/>
  <c r="U87" i="10"/>
  <c r="Y87" i="10"/>
  <c r="N87" i="10"/>
  <c r="Q87" i="10"/>
  <c r="P87" i="10"/>
  <c r="R87" i="10"/>
  <c r="O87" i="10"/>
  <c r="S87" i="10"/>
  <c r="G87" i="10"/>
  <c r="J87" i="10"/>
  <c r="I87" i="10"/>
  <c r="K87" i="10"/>
  <c r="H87" i="10"/>
  <c r="L87" i="10"/>
  <c r="M86" i="10"/>
  <c r="T86" i="10"/>
  <c r="W86" i="10"/>
  <c r="V86" i="10"/>
  <c r="X86" i="10"/>
  <c r="U86" i="10"/>
  <c r="Y86" i="10"/>
  <c r="N86" i="10"/>
  <c r="Q86" i="10"/>
  <c r="P86" i="10"/>
  <c r="R86" i="10"/>
  <c r="O86" i="10"/>
  <c r="S86" i="10"/>
  <c r="G86" i="10"/>
  <c r="J86" i="10"/>
  <c r="I86" i="10"/>
  <c r="K86" i="10"/>
  <c r="H86" i="10"/>
  <c r="L86" i="10"/>
  <c r="M85" i="10"/>
  <c r="T85" i="10"/>
  <c r="W85" i="10"/>
  <c r="V85" i="10"/>
  <c r="X85" i="10"/>
  <c r="U85" i="10"/>
  <c r="Y85" i="10"/>
  <c r="N85" i="10"/>
  <c r="Q85" i="10"/>
  <c r="P85" i="10"/>
  <c r="R85" i="10"/>
  <c r="O85" i="10"/>
  <c r="S85" i="10"/>
  <c r="G85" i="10"/>
  <c r="J85" i="10"/>
  <c r="I85" i="10"/>
  <c r="K85" i="10"/>
  <c r="H85" i="10"/>
  <c r="L85" i="10"/>
  <c r="M84" i="10"/>
  <c r="T84" i="10"/>
  <c r="W84" i="10"/>
  <c r="V84" i="10"/>
  <c r="X84" i="10"/>
  <c r="U84" i="10"/>
  <c r="Y84" i="10"/>
  <c r="N84" i="10"/>
  <c r="Q84" i="10"/>
  <c r="P84" i="10"/>
  <c r="R84" i="10"/>
  <c r="O84" i="10"/>
  <c r="S84" i="10"/>
  <c r="G84" i="10"/>
  <c r="J84" i="10"/>
  <c r="I84" i="10"/>
  <c r="K84" i="10"/>
  <c r="H84" i="10"/>
  <c r="L84" i="10"/>
  <c r="M83" i="10"/>
  <c r="T83" i="10"/>
  <c r="W83" i="10"/>
  <c r="V83" i="10"/>
  <c r="X83" i="10"/>
  <c r="U83" i="10"/>
  <c r="Y83" i="10"/>
  <c r="N83" i="10"/>
  <c r="Q83" i="10"/>
  <c r="P83" i="10"/>
  <c r="R83" i="10"/>
  <c r="O83" i="10"/>
  <c r="S83" i="10"/>
  <c r="G83" i="10"/>
  <c r="J83" i="10"/>
  <c r="I83" i="10"/>
  <c r="K83" i="10"/>
  <c r="H83" i="10"/>
  <c r="L83" i="10"/>
  <c r="M82" i="10"/>
  <c r="T82" i="10"/>
  <c r="W82" i="10"/>
  <c r="V82" i="10"/>
  <c r="X82" i="10"/>
  <c r="U82" i="10"/>
  <c r="Y82" i="10"/>
  <c r="N82" i="10"/>
  <c r="Q82" i="10"/>
  <c r="P82" i="10"/>
  <c r="R82" i="10"/>
  <c r="O82" i="10"/>
  <c r="S82" i="10"/>
  <c r="G82" i="10"/>
  <c r="J82" i="10"/>
  <c r="I82" i="10"/>
  <c r="K82" i="10"/>
  <c r="H82" i="10"/>
  <c r="L82" i="10"/>
  <c r="M81" i="10"/>
  <c r="T81" i="10"/>
  <c r="W81" i="10"/>
  <c r="V81" i="10"/>
  <c r="X81" i="10"/>
  <c r="U81" i="10"/>
  <c r="Y81" i="10"/>
  <c r="N81" i="10"/>
  <c r="Q81" i="10"/>
  <c r="P81" i="10"/>
  <c r="R81" i="10"/>
  <c r="O81" i="10"/>
  <c r="S81" i="10"/>
  <c r="G81" i="10"/>
  <c r="J81" i="10"/>
  <c r="I81" i="10"/>
  <c r="K81" i="10"/>
  <c r="H81" i="10"/>
  <c r="L81" i="10"/>
  <c r="M80" i="10"/>
  <c r="T80" i="10"/>
  <c r="W80" i="10"/>
  <c r="V80" i="10"/>
  <c r="X80" i="10"/>
  <c r="U80" i="10"/>
  <c r="Y80" i="10"/>
  <c r="N80" i="10"/>
  <c r="Q80" i="10"/>
  <c r="P80" i="10"/>
  <c r="R80" i="10"/>
  <c r="O80" i="10"/>
  <c r="S80" i="10"/>
  <c r="G80" i="10"/>
  <c r="J80" i="10"/>
  <c r="I80" i="10"/>
  <c r="K80" i="10"/>
  <c r="H80" i="10"/>
  <c r="L80" i="10"/>
  <c r="M79" i="10"/>
  <c r="T79" i="10"/>
  <c r="W79" i="10"/>
  <c r="V79" i="10"/>
  <c r="X79" i="10"/>
  <c r="U79" i="10"/>
  <c r="Y79" i="10"/>
  <c r="N79" i="10"/>
  <c r="Q79" i="10"/>
  <c r="P79" i="10"/>
  <c r="R79" i="10"/>
  <c r="O79" i="10"/>
  <c r="S79" i="10"/>
  <c r="G79" i="10"/>
  <c r="J79" i="10"/>
  <c r="I79" i="10"/>
  <c r="K79" i="10"/>
  <c r="H79" i="10"/>
  <c r="L79" i="10"/>
  <c r="M78" i="10"/>
  <c r="T78" i="10"/>
  <c r="W78" i="10"/>
  <c r="V78" i="10"/>
  <c r="X78" i="10"/>
  <c r="U78" i="10"/>
  <c r="Y78" i="10"/>
  <c r="N78" i="10"/>
  <c r="Q78" i="10"/>
  <c r="P78" i="10"/>
  <c r="R78" i="10"/>
  <c r="O78" i="10"/>
  <c r="S78" i="10"/>
  <c r="G78" i="10"/>
  <c r="J78" i="10"/>
  <c r="I78" i="10"/>
  <c r="K78" i="10"/>
  <c r="H78" i="10"/>
  <c r="L78" i="10"/>
  <c r="M77" i="10"/>
  <c r="T77" i="10"/>
  <c r="W77" i="10"/>
  <c r="V77" i="10"/>
  <c r="X77" i="10"/>
  <c r="U77" i="10"/>
  <c r="Y77" i="10"/>
  <c r="N77" i="10"/>
  <c r="Q77" i="10"/>
  <c r="P77" i="10"/>
  <c r="R77" i="10"/>
  <c r="O77" i="10"/>
  <c r="S77" i="10"/>
  <c r="G77" i="10"/>
  <c r="J77" i="10"/>
  <c r="I77" i="10"/>
  <c r="K77" i="10"/>
  <c r="H77" i="10"/>
  <c r="L77" i="10"/>
  <c r="M76" i="10"/>
  <c r="T76" i="10"/>
  <c r="W76" i="10"/>
  <c r="V76" i="10"/>
  <c r="X76" i="10"/>
  <c r="U76" i="10"/>
  <c r="Y76" i="10"/>
  <c r="N76" i="10"/>
  <c r="Q76" i="10"/>
  <c r="P76" i="10"/>
  <c r="R76" i="10"/>
  <c r="O76" i="10"/>
  <c r="S76" i="10"/>
  <c r="G76" i="10"/>
  <c r="J76" i="10"/>
  <c r="I76" i="10"/>
  <c r="K76" i="10"/>
  <c r="H76" i="10"/>
  <c r="L76" i="10"/>
  <c r="M75" i="10"/>
  <c r="T75" i="10"/>
  <c r="W75" i="10"/>
  <c r="V75" i="10"/>
  <c r="X75" i="10"/>
  <c r="U75" i="10"/>
  <c r="Y75" i="10"/>
  <c r="N75" i="10"/>
  <c r="Q75" i="10"/>
  <c r="P75" i="10"/>
  <c r="R75" i="10"/>
  <c r="O75" i="10"/>
  <c r="S75" i="10"/>
  <c r="G75" i="10"/>
  <c r="J75" i="10"/>
  <c r="I75" i="10"/>
  <c r="K75" i="10"/>
  <c r="H75" i="10"/>
  <c r="L75" i="10"/>
  <c r="M72" i="10"/>
  <c r="T72" i="10"/>
  <c r="W72" i="10"/>
  <c r="V72" i="10"/>
  <c r="X72" i="10"/>
  <c r="U72" i="10"/>
  <c r="Y72" i="10"/>
  <c r="N72" i="10"/>
  <c r="Q72" i="10"/>
  <c r="P72" i="10"/>
  <c r="R72" i="10"/>
  <c r="O72" i="10"/>
  <c r="S72" i="10"/>
  <c r="G72" i="10"/>
  <c r="J72" i="10"/>
  <c r="I72" i="10"/>
  <c r="K72" i="10"/>
  <c r="H72" i="10"/>
  <c r="L72" i="10"/>
  <c r="M71" i="10"/>
  <c r="T71" i="10"/>
  <c r="W71" i="10"/>
  <c r="V71" i="10"/>
  <c r="X71" i="10"/>
  <c r="U71" i="10"/>
  <c r="Y71" i="10"/>
  <c r="N71" i="10"/>
  <c r="Q71" i="10"/>
  <c r="P71" i="10"/>
  <c r="R71" i="10"/>
  <c r="O71" i="10"/>
  <c r="S71" i="10"/>
  <c r="G71" i="10"/>
  <c r="J71" i="10"/>
  <c r="I71" i="10"/>
  <c r="K71" i="10"/>
  <c r="H71" i="10"/>
  <c r="L71" i="10"/>
  <c r="M70" i="10"/>
  <c r="T70" i="10"/>
  <c r="W70" i="10"/>
  <c r="V70" i="10"/>
  <c r="X70" i="10"/>
  <c r="U70" i="10"/>
  <c r="Y70" i="10"/>
  <c r="N70" i="10"/>
  <c r="Q70" i="10"/>
  <c r="P70" i="10"/>
  <c r="R70" i="10"/>
  <c r="O70" i="10"/>
  <c r="S70" i="10"/>
  <c r="G70" i="10"/>
  <c r="J70" i="10"/>
  <c r="I70" i="10"/>
  <c r="K70" i="10"/>
  <c r="H70" i="10"/>
  <c r="L70" i="10"/>
  <c r="M69" i="10"/>
  <c r="T69" i="10"/>
  <c r="W69" i="10"/>
  <c r="V69" i="10"/>
  <c r="X69" i="10"/>
  <c r="U69" i="10"/>
  <c r="Y69" i="10"/>
  <c r="N69" i="10"/>
  <c r="Q69" i="10"/>
  <c r="P69" i="10"/>
  <c r="R69" i="10"/>
  <c r="O69" i="10"/>
  <c r="S69" i="10"/>
  <c r="G69" i="10"/>
  <c r="J69" i="10"/>
  <c r="I69" i="10"/>
  <c r="K69" i="10"/>
  <c r="H69" i="10"/>
  <c r="L69" i="10"/>
  <c r="M68" i="10"/>
  <c r="T68" i="10"/>
  <c r="W68" i="10"/>
  <c r="V68" i="10"/>
  <c r="X68" i="10"/>
  <c r="U68" i="10"/>
  <c r="Y68" i="10"/>
  <c r="N68" i="10"/>
  <c r="Q68" i="10"/>
  <c r="P68" i="10"/>
  <c r="R68" i="10"/>
  <c r="O68" i="10"/>
  <c r="S68" i="10"/>
  <c r="G68" i="10"/>
  <c r="J68" i="10"/>
  <c r="I68" i="10"/>
  <c r="K68" i="10"/>
  <c r="H68" i="10"/>
  <c r="L68" i="10"/>
  <c r="M67" i="10"/>
  <c r="T67" i="10"/>
  <c r="W67" i="10"/>
  <c r="V67" i="10"/>
  <c r="X67" i="10"/>
  <c r="U67" i="10"/>
  <c r="Y67" i="10"/>
  <c r="N67" i="10"/>
  <c r="Q67" i="10"/>
  <c r="P67" i="10"/>
  <c r="R67" i="10"/>
  <c r="O67" i="10"/>
  <c r="S67" i="10"/>
  <c r="G67" i="10"/>
  <c r="J67" i="10"/>
  <c r="I67" i="10"/>
  <c r="K67" i="10"/>
  <c r="H67" i="10"/>
  <c r="L67" i="10"/>
  <c r="M66" i="10"/>
  <c r="T66" i="10"/>
  <c r="W66" i="10"/>
  <c r="V66" i="10"/>
  <c r="X66" i="10"/>
  <c r="U66" i="10"/>
  <c r="Y66" i="10"/>
  <c r="N66" i="10"/>
  <c r="Q66" i="10"/>
  <c r="P66" i="10"/>
  <c r="R66" i="10"/>
  <c r="O66" i="10"/>
  <c r="S66" i="10"/>
  <c r="G66" i="10"/>
  <c r="J66" i="10"/>
  <c r="I66" i="10"/>
  <c r="K66" i="10"/>
  <c r="H66" i="10"/>
  <c r="L66" i="10"/>
  <c r="M65" i="10"/>
  <c r="T65" i="10"/>
  <c r="W65" i="10"/>
  <c r="V65" i="10"/>
  <c r="X65" i="10"/>
  <c r="U65" i="10"/>
  <c r="Y65" i="10"/>
  <c r="N65" i="10"/>
  <c r="Q65" i="10"/>
  <c r="P65" i="10"/>
  <c r="R65" i="10"/>
  <c r="O65" i="10"/>
  <c r="S65" i="10"/>
  <c r="G65" i="10"/>
  <c r="J65" i="10"/>
  <c r="I65" i="10"/>
  <c r="K65" i="10"/>
  <c r="H65" i="10"/>
  <c r="L65" i="10"/>
  <c r="M64" i="10"/>
  <c r="T64" i="10"/>
  <c r="W64" i="10"/>
  <c r="V64" i="10"/>
  <c r="X64" i="10"/>
  <c r="U64" i="10"/>
  <c r="Y64" i="10"/>
  <c r="N64" i="10"/>
  <c r="Q64" i="10"/>
  <c r="P64" i="10"/>
  <c r="R64" i="10"/>
  <c r="O64" i="10"/>
  <c r="S64" i="10"/>
  <c r="G64" i="10"/>
  <c r="J64" i="10"/>
  <c r="I64" i="10"/>
  <c r="K64" i="10"/>
  <c r="H64" i="10"/>
  <c r="L64" i="10"/>
  <c r="M63" i="10"/>
  <c r="T63" i="10"/>
  <c r="W63" i="10"/>
  <c r="V63" i="10"/>
  <c r="X63" i="10"/>
  <c r="U63" i="10"/>
  <c r="Y63" i="10"/>
  <c r="N63" i="10"/>
  <c r="Q63" i="10"/>
  <c r="P63" i="10"/>
  <c r="R63" i="10"/>
  <c r="O63" i="10"/>
  <c r="S63" i="10"/>
  <c r="G63" i="10"/>
  <c r="J63" i="10"/>
  <c r="I63" i="10"/>
  <c r="K63" i="10"/>
  <c r="H63" i="10"/>
  <c r="L63" i="10"/>
  <c r="M62" i="10"/>
  <c r="T62" i="10"/>
  <c r="W62" i="10"/>
  <c r="V62" i="10"/>
  <c r="X62" i="10"/>
  <c r="U62" i="10"/>
  <c r="Y62" i="10"/>
  <c r="N62" i="10"/>
  <c r="Q62" i="10"/>
  <c r="P62" i="10"/>
  <c r="R62" i="10"/>
  <c r="O62" i="10"/>
  <c r="S62" i="10"/>
  <c r="G62" i="10"/>
  <c r="J62" i="10"/>
  <c r="I62" i="10"/>
  <c r="K62" i="10"/>
  <c r="H62" i="10"/>
  <c r="L62" i="10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G2" i="10"/>
  <c r="J2" i="10"/>
  <c r="I2" i="10"/>
  <c r="K2" i="10"/>
  <c r="H2" i="10"/>
  <c r="L2" i="10"/>
  <c r="W9" i="7"/>
  <c r="U9" i="7"/>
  <c r="R9" i="7"/>
  <c r="Q9" i="7"/>
  <c r="P9" i="7"/>
  <c r="O9" i="7"/>
  <c r="N9" i="7"/>
  <c r="H9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J9" i="7"/>
  <c r="I9" i="7"/>
  <c r="D9" i="7"/>
  <c r="F9" i="7"/>
  <c r="E9" i="7"/>
  <c r="A9" i="7"/>
  <c r="W8" i="7"/>
  <c r="U8" i="7"/>
  <c r="R8" i="7"/>
  <c r="Q8" i="7"/>
  <c r="P8" i="7"/>
  <c r="O8" i="7"/>
  <c r="N8" i="7"/>
  <c r="H8" i="7"/>
  <c r="J8" i="7"/>
  <c r="I8" i="7"/>
  <c r="D8" i="7"/>
  <c r="F8" i="7"/>
  <c r="E8" i="7"/>
  <c r="A8" i="7"/>
  <c r="W7" i="7"/>
  <c r="U7" i="7"/>
  <c r="R7" i="7"/>
  <c r="Q7" i="7"/>
  <c r="P7" i="7"/>
  <c r="O7" i="7"/>
  <c r="N7" i="7"/>
  <c r="H7" i="7"/>
  <c r="J7" i="7"/>
  <c r="I7" i="7"/>
  <c r="D7" i="7"/>
  <c r="F7" i="7"/>
  <c r="E7" i="7"/>
  <c r="A7" i="7"/>
  <c r="W6" i="7"/>
  <c r="U6" i="7"/>
  <c r="R6" i="7"/>
  <c r="Q6" i="7"/>
  <c r="P6" i="7"/>
  <c r="O6" i="7"/>
  <c r="N6" i="7"/>
  <c r="H6" i="7"/>
  <c r="J6" i="7"/>
  <c r="I6" i="7"/>
  <c r="D6" i="7"/>
  <c r="F6" i="7"/>
  <c r="E6" i="7"/>
  <c r="A6" i="7"/>
  <c r="U2" i="7"/>
  <c r="U3" i="7"/>
  <c r="U4" i="7"/>
  <c r="U5" i="7"/>
  <c r="W2" i="7"/>
  <c r="W3" i="7"/>
  <c r="W4" i="7"/>
  <c r="W5" i="7"/>
  <c r="H2" i="7"/>
  <c r="J2" i="7"/>
  <c r="H3" i="7"/>
  <c r="J3" i="7"/>
  <c r="H4" i="7"/>
  <c r="J4" i="7"/>
  <c r="H5" i="7"/>
  <c r="J5" i="7"/>
  <c r="I2" i="7"/>
  <c r="I3" i="7"/>
  <c r="I4" i="7"/>
  <c r="I5" i="7"/>
  <c r="R5" i="7"/>
  <c r="Q5" i="7"/>
  <c r="P5" i="7"/>
  <c r="O5" i="7"/>
  <c r="N5" i="7"/>
  <c r="D5" i="7"/>
  <c r="F5" i="7"/>
  <c r="E5" i="7"/>
  <c r="A5" i="7"/>
  <c r="R4" i="7"/>
  <c r="Q4" i="7"/>
  <c r="P4" i="7"/>
  <c r="O4" i="7"/>
  <c r="N4" i="7"/>
  <c r="D4" i="7"/>
  <c r="F4" i="7"/>
  <c r="E4" i="7"/>
  <c r="A4" i="7"/>
  <c r="R3" i="7"/>
  <c r="Q3" i="7"/>
  <c r="P3" i="7"/>
  <c r="O3" i="7"/>
  <c r="N3" i="7"/>
  <c r="D3" i="7"/>
  <c r="F3" i="7"/>
  <c r="E3" i="7"/>
  <c r="A3" i="7"/>
  <c r="R2" i="7"/>
  <c r="Q2" i="7"/>
  <c r="P2" i="7"/>
  <c r="O2" i="7"/>
  <c r="N2" i="7"/>
  <c r="D2" i="7"/>
  <c r="F2" i="7"/>
  <c r="E2" i="7"/>
  <c r="A2" i="7"/>
  <c r="AF15" i="1"/>
  <c r="AI15" i="1"/>
  <c r="AG15" i="1"/>
  <c r="AE15" i="1"/>
  <c r="X15" i="1"/>
  <c r="V15" i="1"/>
  <c r="T15" i="1"/>
  <c r="Q15" i="1"/>
  <c r="P15" i="1"/>
  <c r="O15" i="1"/>
  <c r="N15" i="1"/>
  <c r="M15" i="1"/>
  <c r="H15" i="1"/>
  <c r="J15" i="1"/>
  <c r="I15" i="1"/>
  <c r="D15" i="1"/>
  <c r="F15" i="1"/>
  <c r="E15" i="1"/>
  <c r="A15" i="1"/>
  <c r="AD14" i="1"/>
  <c r="AF14" i="1"/>
  <c r="AI14" i="1"/>
  <c r="AG14" i="1"/>
  <c r="AE14" i="1"/>
  <c r="X14" i="1"/>
  <c r="V14" i="1"/>
  <c r="T14" i="1"/>
  <c r="Q14" i="1"/>
  <c r="P14" i="1"/>
  <c r="O14" i="1"/>
  <c r="N14" i="1"/>
  <c r="M14" i="1"/>
  <c r="H14" i="1"/>
  <c r="J14" i="1"/>
  <c r="I14" i="1"/>
  <c r="D14" i="1"/>
  <c r="F14" i="1"/>
  <c r="E14" i="1"/>
  <c r="A14" i="1"/>
  <c r="AD13" i="1"/>
  <c r="AF13" i="1"/>
  <c r="AI13" i="1"/>
  <c r="AG13" i="1"/>
  <c r="AE13" i="1"/>
  <c r="X13" i="1"/>
  <c r="V13" i="1"/>
  <c r="T13" i="1"/>
  <c r="Q13" i="1"/>
  <c r="P13" i="1"/>
  <c r="O13" i="1"/>
  <c r="N13" i="1"/>
  <c r="M13" i="1"/>
  <c r="H13" i="1"/>
  <c r="J13" i="1"/>
  <c r="I13" i="1"/>
  <c r="D13" i="1"/>
  <c r="F13" i="1"/>
  <c r="E13" i="1"/>
  <c r="A13" i="1"/>
  <c r="AD12" i="1"/>
  <c r="AF12" i="1"/>
  <c r="AI12" i="1"/>
  <c r="AG12" i="1"/>
  <c r="AE12" i="1"/>
  <c r="X12" i="1"/>
  <c r="V12" i="1"/>
  <c r="T12" i="1"/>
  <c r="Q12" i="1"/>
  <c r="P12" i="1"/>
  <c r="O12" i="1"/>
  <c r="N12" i="1"/>
  <c r="M12" i="1"/>
  <c r="H12" i="1"/>
  <c r="J12" i="1"/>
  <c r="I12" i="1"/>
  <c r="D12" i="1"/>
  <c r="F12" i="1"/>
  <c r="E12" i="1"/>
  <c r="A12" i="1"/>
  <c r="AD11" i="1"/>
  <c r="AF11" i="1"/>
  <c r="AI11" i="1"/>
  <c r="AG11" i="1"/>
  <c r="AE11" i="1"/>
  <c r="X11" i="1"/>
  <c r="V11" i="1"/>
  <c r="T11" i="1"/>
  <c r="Q11" i="1"/>
  <c r="P11" i="1"/>
  <c r="O11" i="1"/>
  <c r="N11" i="1"/>
  <c r="M11" i="1"/>
  <c r="H11" i="1"/>
  <c r="J11" i="1"/>
  <c r="I11" i="1"/>
  <c r="D11" i="1"/>
  <c r="F11" i="1"/>
  <c r="E11" i="1"/>
  <c r="A11" i="1"/>
  <c r="AD10" i="1"/>
  <c r="AF10" i="1"/>
  <c r="AI10" i="1"/>
  <c r="AG10" i="1"/>
  <c r="AE10" i="1"/>
  <c r="X10" i="1"/>
  <c r="V10" i="1"/>
  <c r="T10" i="1"/>
  <c r="Q10" i="1"/>
  <c r="P10" i="1"/>
  <c r="O10" i="1"/>
  <c r="N10" i="1"/>
  <c r="M10" i="1"/>
  <c r="H10" i="1"/>
  <c r="J10" i="1"/>
  <c r="I10" i="1"/>
  <c r="D10" i="1"/>
  <c r="F10" i="1"/>
  <c r="E10" i="1"/>
  <c r="A10" i="1"/>
  <c r="AD9" i="1"/>
  <c r="AF9" i="1"/>
  <c r="AI9" i="1"/>
  <c r="AG9" i="1"/>
  <c r="AE9" i="1"/>
  <c r="X9" i="1"/>
  <c r="V9" i="1"/>
  <c r="T9" i="1"/>
  <c r="Q9" i="1"/>
  <c r="P9" i="1"/>
  <c r="O9" i="1"/>
  <c r="N9" i="1"/>
  <c r="M9" i="1"/>
  <c r="H9" i="1"/>
  <c r="J9" i="1"/>
  <c r="I9" i="1"/>
  <c r="D9" i="1"/>
  <c r="F9" i="1"/>
  <c r="E9" i="1"/>
  <c r="A9" i="1"/>
  <c r="AD2" i="1"/>
  <c r="AF2" i="1"/>
  <c r="AD3" i="1"/>
  <c r="AF3" i="1"/>
  <c r="AD4" i="1"/>
  <c r="AF4" i="1"/>
  <c r="AD5" i="1"/>
  <c r="AF5" i="1"/>
  <c r="AD6" i="1"/>
  <c r="AF6" i="1"/>
  <c r="AD7" i="1"/>
  <c r="AF7" i="1"/>
  <c r="AF8" i="1"/>
  <c r="AE2" i="1"/>
  <c r="AE3" i="1"/>
  <c r="AE4" i="1"/>
  <c r="AE5" i="1"/>
  <c r="AE6" i="1"/>
  <c r="AE7" i="1"/>
  <c r="AE8" i="1"/>
  <c r="X2" i="1"/>
  <c r="X3" i="1"/>
  <c r="X4" i="1"/>
  <c r="X5" i="1"/>
  <c r="X6" i="1"/>
  <c r="X7" i="1"/>
  <c r="X8" i="1"/>
  <c r="T2" i="1"/>
  <c r="T3" i="1"/>
  <c r="T4" i="1"/>
  <c r="T5" i="1"/>
  <c r="T6" i="1"/>
  <c r="T7" i="1"/>
  <c r="T8" i="1"/>
  <c r="V2" i="1"/>
  <c r="V3" i="1"/>
  <c r="V4" i="1"/>
  <c r="V5" i="1"/>
  <c r="V6" i="1"/>
  <c r="V7" i="1"/>
  <c r="V8" i="1"/>
  <c r="H2" i="1"/>
  <c r="J2" i="1"/>
  <c r="H3" i="1"/>
  <c r="J3" i="1"/>
  <c r="H4" i="1"/>
  <c r="J4" i="1"/>
  <c r="H5" i="1"/>
  <c r="J5" i="1"/>
  <c r="H6" i="1"/>
  <c r="J6" i="1"/>
  <c r="H7" i="1"/>
  <c r="J7" i="1"/>
  <c r="H8" i="1"/>
  <c r="J8" i="1"/>
  <c r="I2" i="1"/>
  <c r="I3" i="1"/>
  <c r="I4" i="1"/>
  <c r="I5" i="1"/>
  <c r="I6" i="1"/>
  <c r="I7" i="1"/>
  <c r="I8" i="1"/>
  <c r="AI8" i="1"/>
  <c r="AG8" i="1"/>
  <c r="Q8" i="1"/>
  <c r="P8" i="1"/>
  <c r="O8" i="1"/>
  <c r="N8" i="1"/>
  <c r="M8" i="1"/>
  <c r="D8" i="1"/>
  <c r="F8" i="1"/>
  <c r="E8" i="1"/>
  <c r="A8" i="1"/>
  <c r="AI7" i="1"/>
  <c r="AG7" i="1"/>
  <c r="Q7" i="1"/>
  <c r="P7" i="1"/>
  <c r="O7" i="1"/>
  <c r="N7" i="1"/>
  <c r="M7" i="1"/>
  <c r="D7" i="1"/>
  <c r="F7" i="1"/>
  <c r="E7" i="1"/>
  <c r="A7" i="1"/>
  <c r="AI6" i="1"/>
  <c r="AG6" i="1"/>
  <c r="Q6" i="1"/>
  <c r="P6" i="1"/>
  <c r="O6" i="1"/>
  <c r="N6" i="1"/>
  <c r="M6" i="1"/>
  <c r="D6" i="1"/>
  <c r="F6" i="1"/>
  <c r="E6" i="1"/>
  <c r="A6" i="1"/>
  <c r="AI5" i="1"/>
  <c r="AG5" i="1"/>
  <c r="Q5" i="1"/>
  <c r="P5" i="1"/>
  <c r="O5" i="1"/>
  <c r="N5" i="1"/>
  <c r="M5" i="1"/>
  <c r="D5" i="1"/>
  <c r="F5" i="1"/>
  <c r="E5" i="1"/>
  <c r="A5" i="1"/>
  <c r="AI4" i="1"/>
  <c r="AG4" i="1"/>
  <c r="Q4" i="1"/>
  <c r="P4" i="1"/>
  <c r="O4" i="1"/>
  <c r="N4" i="1"/>
  <c r="M4" i="1"/>
  <c r="D4" i="1"/>
  <c r="F4" i="1"/>
  <c r="E4" i="1"/>
  <c r="A4" i="1"/>
  <c r="AI3" i="1"/>
  <c r="AG3" i="1"/>
  <c r="Q3" i="1"/>
  <c r="P3" i="1"/>
  <c r="O3" i="1"/>
  <c r="N3" i="1"/>
  <c r="M3" i="1"/>
  <c r="D3" i="1"/>
  <c r="F3" i="1"/>
  <c r="E3" i="1"/>
  <c r="A3" i="1"/>
  <c r="AI2" i="1"/>
  <c r="AG2" i="1"/>
  <c r="Q2" i="1"/>
  <c r="P2" i="1"/>
  <c r="O2" i="1"/>
  <c r="N2" i="1"/>
  <c r="M2" i="1"/>
  <c r="D2" i="1"/>
  <c r="F2" i="1"/>
  <c r="E2" i="1"/>
  <c r="A2" i="1"/>
  <c r="H9" i="2"/>
  <c r="E9" i="2"/>
  <c r="D9" i="2"/>
  <c r="B9" i="2"/>
  <c r="H8" i="2"/>
  <c r="E8" i="2"/>
  <c r="D8" i="2"/>
  <c r="B8" i="2"/>
  <c r="H7" i="2"/>
  <c r="E7" i="2"/>
  <c r="D7" i="2"/>
  <c r="B7" i="2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N2" i="22"/>
  <c r="G2" i="22"/>
  <c r="F2" i="22"/>
  <c r="D2" i="22"/>
  <c r="C2" i="22"/>
  <c r="A2" i="22"/>
  <c r="C13" i="16"/>
  <c r="E13" i="16"/>
  <c r="C16" i="19"/>
  <c r="D16" i="19"/>
  <c r="F16" i="19"/>
  <c r="G16" i="19"/>
  <c r="C17" i="19"/>
  <c r="D17" i="19"/>
  <c r="F17" i="19"/>
  <c r="G17" i="19"/>
  <c r="C18" i="19"/>
  <c r="D18" i="19"/>
  <c r="F18" i="19"/>
  <c r="G18" i="19"/>
  <c r="C19" i="19"/>
  <c r="D19" i="19"/>
  <c r="F19" i="19"/>
  <c r="G19" i="19"/>
  <c r="C20" i="19"/>
  <c r="D20" i="19"/>
  <c r="F20" i="19"/>
  <c r="G20" i="19"/>
  <c r="C21" i="19"/>
  <c r="D21" i="19"/>
  <c r="F21" i="19"/>
  <c r="G21" i="19"/>
  <c r="C22" i="19"/>
  <c r="D22" i="19"/>
  <c r="F22" i="19"/>
  <c r="G22" i="19"/>
  <c r="C23" i="19"/>
  <c r="D23" i="19"/>
  <c r="F23" i="19"/>
  <c r="G23" i="19"/>
  <c r="C24" i="19"/>
  <c r="D24" i="19"/>
  <c r="F24" i="19"/>
  <c r="G24" i="19"/>
  <c r="C25" i="19"/>
  <c r="D25" i="19"/>
  <c r="F25" i="19"/>
  <c r="G25" i="19"/>
  <c r="C26" i="19"/>
  <c r="D26" i="19"/>
  <c r="F26" i="19"/>
  <c r="G26" i="19"/>
  <c r="C27" i="19"/>
  <c r="D27" i="19"/>
  <c r="F27" i="19"/>
  <c r="G27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7" i="19"/>
  <c r="L27" i="19"/>
  <c r="C15" i="19"/>
  <c r="D15" i="19"/>
  <c r="F15" i="19"/>
  <c r="G15" i="19"/>
  <c r="C3" i="19"/>
  <c r="D3" i="19"/>
  <c r="F3" i="19"/>
  <c r="G3" i="19"/>
  <c r="C4" i="19"/>
  <c r="D4" i="19"/>
  <c r="F4" i="19"/>
  <c r="G4" i="19"/>
  <c r="C5" i="19"/>
  <c r="D5" i="19"/>
  <c r="F5" i="19"/>
  <c r="G5" i="19"/>
  <c r="C6" i="19"/>
  <c r="D6" i="19"/>
  <c r="F6" i="19"/>
  <c r="G6" i="19"/>
  <c r="C7" i="19"/>
  <c r="D7" i="19"/>
  <c r="F7" i="19"/>
  <c r="G7" i="19"/>
  <c r="C8" i="19"/>
  <c r="D8" i="19"/>
  <c r="F8" i="19"/>
  <c r="G8" i="19"/>
  <c r="C9" i="19"/>
  <c r="D9" i="19"/>
  <c r="F9" i="19"/>
  <c r="G9" i="19"/>
  <c r="C10" i="19"/>
  <c r="D10" i="19"/>
  <c r="F10" i="19"/>
  <c r="G10" i="19"/>
  <c r="C11" i="19"/>
  <c r="D11" i="19"/>
  <c r="F11" i="19"/>
  <c r="G11" i="19"/>
  <c r="C12" i="19"/>
  <c r="D12" i="19"/>
  <c r="F12" i="19"/>
  <c r="G12" i="19"/>
  <c r="C13" i="19"/>
  <c r="D13" i="19"/>
  <c r="F13" i="19"/>
  <c r="G13" i="19"/>
  <c r="C14" i="19"/>
  <c r="D14" i="19"/>
  <c r="F14" i="19"/>
  <c r="G14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C2" i="19"/>
  <c r="D2" i="19"/>
  <c r="F2" i="19"/>
  <c r="G2" i="19"/>
  <c r="C12" i="16"/>
  <c r="E12" i="16"/>
  <c r="C10" i="16"/>
  <c r="C11" i="16"/>
  <c r="E11" i="16"/>
  <c r="E10" i="16"/>
  <c r="C4" i="16"/>
  <c r="C5" i="16"/>
  <c r="C6" i="16"/>
  <c r="C7" i="16"/>
  <c r="C8" i="16"/>
  <c r="C9" i="16"/>
  <c r="C3" i="16"/>
  <c r="E9" i="16"/>
  <c r="E8" i="16"/>
  <c r="E7" i="16"/>
  <c r="E6" i="16"/>
  <c r="E5" i="16"/>
  <c r="E4" i="16"/>
  <c r="E3" i="16"/>
  <c r="E2" i="16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<sst xmlns="http://schemas.openxmlformats.org/spreadsheetml/2006/main" count="1447" uniqueCount="484">
  <si>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</si>
  <si>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</si>
  <si>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</si>
  <si>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</si>
  <si>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</si>
  <si>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</si>
  <si>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</si>
  <si>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</si>
  <si>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</si>
  <si>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</si>
  <si>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</si>
  <si>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</si>
  <si>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</si>
  <si>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</si>
  <si>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</si>
  <si>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</si>
  <si>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</si>
  <si>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</si>
  <si>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</si>
  <si>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</si>
  <si>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</si>
  <si>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</si>
  <si>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</si>
  <si>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</si>
  <si>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</si>
  <si>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</si>
  <si>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</si>
  <si>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</si>
  <si>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</si>
  <si>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</si>
  <si>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</si>
  <si>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</si>
  <si>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</si>
  <si>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</si>
  <si>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</si>
  <si>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</si>
  <si>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</si>
  <si>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</si>
  <si>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</si>
  <si>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</si>
  <si>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</si>
  <si>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</si>
  <si>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</si>
  <si>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</si>
  <si>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</si>
  <si>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</si>
  <si>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</si>
  <si>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</si>
  <si>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</si>
  <si>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</si>
  <si>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</si>
  <si>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</si>
  <si>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</si>
  <si>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</si>
  <si>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</si>
  <si>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</si>
  <si>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</si>
  <si>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</si>
  <si>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</si>
  <si>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</si>
  <si>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</si>
  <si>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</si>
  <si>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</si>
  <si>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</si>
  <si>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</si>
  <si>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</si>
  <si>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</si>
  <si>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</si>
  <si>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</si>
  <si>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</si>
  <si>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</si>
  <si>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</si>
  <si>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</si>
  <si>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</si>
  <si>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</si>
  <si>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</si>
  <si>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</si>
  <si>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</si>
  <si>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</si>
  <si>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</si>
  <si>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</si>
  <si>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</si>
  <si>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</si>
  <si>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</si>
  <si>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</si>
  <si>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</si>
  <si>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</si>
  <si>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</si>
  <si>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</si>
  <si>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</si>
  <si>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</si>
  <si>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</si>
  <si>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</si>
  <si>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</si>
  <si>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</si>
  <si>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</si>
  <si>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</si>
  <si>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</si>
  <si>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</si>
  <si>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</si>
  <si>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</si>
  <si>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</si>
  <si>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</si>
  <si>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</si>
  <si>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</si>
  <si>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</si>
  <si>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</si>
  <si>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</si>
  <si>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</si>
  <si>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</si>
  <si>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</si>
  <si>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</si>
  <si>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</si>
  <si>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</si>
  <si>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</si>
  <si>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</si>
  <si>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</si>
  <si>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</si>
  <si>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</si>
  <si>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</si>
  <si>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</si>
  <si>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</si>
  <si>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</si>
  <si>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</si>
  <si>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</si>
  <si>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</si>
  <si>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</si>
  <si>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</si>
  <si>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</si>
  <si>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</si>
  <si>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</si>
  <si>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</si>
  <si>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</si>
  <si>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</si>
  <si>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</si>
  <si>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</si>
  <si>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</si>
  <si>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</si>
  <si>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</si>
  <si>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</si>
  <si>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</si>
  <si>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</si>
  <si>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</si>
  <si>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</si>
  <si>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</si>
  <si>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</si>
  <si>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</si>
  <si>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</si>
  <si>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</si>
  <si>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</si>
  <si>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</si>
  <si>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</si>
  <si>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</si>
  <si>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</si>
  <si>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</si>
  <si>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</si>
  <si>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</si>
  <si>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</si>
  <si>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</si>
  <si>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</si>
  <si>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</si>
  <si>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</si>
  <si>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</si>
  <si>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</si>
  <si>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</si>
  <si>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</si>
  <si>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</si>
  <si>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</si>
  <si>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</si>
  <si>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</si>
  <si>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</si>
  <si>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</si>
  <si>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</si>
  <si>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</si>
  <si>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</si>
  <si>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</si>
  <si>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</si>
  <si>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</si>
  <si>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</si>
  <si>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</si>
  <si>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</si>
  <si>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</si>
  <si>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</si>
  <si>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</si>
  <si>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</si>
  <si>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</si>
  <si>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</si>
  <si>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</si>
  <si>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</si>
  <si>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</si>
  <si>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</si>
  <si>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</si>
  <si>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</si>
  <si>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</si>
  <si>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</si>
  <si>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</si>
  <si>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</si>
  <si>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</si>
  <si>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</si>
  <si>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</si>
  <si>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</si>
  <si>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</si>
  <si>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</si>
  <si>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</si>
  <si>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</si>
  <si>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</si>
  <si>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</si>
  <si>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</si>
  <si>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</si>
  <si>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</si>
  <si>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</si>
  <si>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</si>
  <si>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</si>
  <si>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</si>
  <si>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</si>
  <si>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</si>
  <si>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</si>
  <si>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</si>
  <si>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</si>
  <si>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</si>
  <si>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</si>
  <si>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</si>
  <si>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</si>
  <si>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</si>
  <si>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</si>
  <si>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</si>
  <si>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</si>
  <si>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</si>
  <si>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</si>
  <si>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</si>
  <si>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</si>
  <si>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</si>
  <si>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</si>
  <si>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</si>
  <si>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</si>
  <si>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</si>
  <si>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</si>
  <si>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</si>
  <si>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</si>
  <si>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</si>
  <si>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</si>
  <si>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</si>
  <si>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</si>
  <si>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</si>
  <si>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</si>
  <si>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</si>
  <si>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</si>
  <si>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</si>
  <si>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</si>
  <si>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</si>
  <si>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</si>
  <si>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</si>
  <si>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</si>
  <si>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null</t>
    <phoneticPr fontId="5"/>
  </si>
  <si>
    <t>[effect:enhance_enemy, target:enemy_yellow, turn:-1, status:attack, val:0.1, animation:enemy_enhance_attack],[effect:suicide, val:1, dead_type:escape, target:myself]</t>
    <phoneticPr fontId="5"/>
  </si>
  <si>
    <t>ja</t>
    <phoneticPr fontId="5"/>
  </si>
  <si>
    <t>契約の力…確かに渡したよ</t>
    <rPh sb="0" eb="2">
      <t>ケイヤク</t>
    </rPh>
    <rPh sb="3" eb="4">
      <t>チカラ</t>
    </rPh>
    <rPh sb="5" eb="6">
      <t>タシ</t>
    </rPh>
    <rPh sb="8" eb="9">
      <t>ワタ</t>
    </rPh>
    <phoneticPr fontId="5"/>
  </si>
  <si>
    <t>何者かが足早に去っていった</t>
    <rPh sb="0" eb="2">
      <t>ナニモノ</t>
    </rPh>
    <rPh sb="4" eb="6">
      <t>アシバヤ</t>
    </rPh>
    <rPh sb="7" eb="8">
      <t>サ</t>
    </rPh>
    <phoneticPr fontId="5"/>
  </si>
  <si>
    <t>[effect:nothing]</t>
    <phoneticPr fontId="5"/>
  </si>
  <si>
    <t>クク…これさえあれば…</t>
    <phoneticPr fontId="5"/>
  </si>
  <si>
    <t>この力があれば　俺様がナンバーワンだ！</t>
    <rPh sb="2" eb="3">
      <t>チカラ</t>
    </rPh>
    <rPh sb="8" eb="10">
      <t>オレサマ</t>
    </rPh>
    <phoneticPr fontId="5"/>
  </si>
  <si>
    <t>[effect:rush, count:2, val:0.65]</t>
    <phoneticPr fontId="5"/>
  </si>
  <si>
    <t>この攻撃を受けてみろ！</t>
    <rPh sb="2" eb="4">
      <t>コウゲキ</t>
    </rPh>
    <rPh sb="5" eb="6">
      <t>ウ</t>
    </rPh>
    <phoneticPr fontId="5"/>
  </si>
  <si>
    <t>2回連続攻撃</t>
    <rPh sb="1" eb="2">
      <t>カイ</t>
    </rPh>
    <rPh sb="2" eb="4">
      <t>レンゾク</t>
    </rPh>
    <rPh sb="4" eb="6">
      <t>コウゲキ</t>
    </rPh>
    <phoneticPr fontId="5"/>
  </si>
  <si>
    <t>[effect:spread, val:0.35]</t>
    <phoneticPr fontId="5"/>
  </si>
  <si>
    <t>ja</t>
    <phoneticPr fontId="5"/>
  </si>
  <si>
    <t>うおおぉぉ！！</t>
    <phoneticPr fontId="5"/>
  </si>
  <si>
    <t>全体攻撃</t>
    <rPh sb="0" eb="2">
      <t>ゼンタイ</t>
    </rPh>
    <rPh sb="2" eb="4">
      <t>コウゲキ</t>
    </rPh>
    <phoneticPr fontId="5"/>
  </si>
  <si>
    <t>[effect:suicide, val:0.5, dead_type:suicide, target:myself, animation:enemy_suicide]</t>
    <phoneticPr fontId="5"/>
  </si>
  <si>
    <t>グッ…なんだ…体が…！</t>
    <rPh sb="7" eb="8">
      <t>カラダ</t>
    </rPh>
    <phoneticPr fontId="5"/>
  </si>
  <si>
    <t>なにやら様子がおかしい！</t>
    <rPh sb="4" eb="6">
      <t>ヨウス</t>
    </rPh>
    <phoneticPr fontId="5"/>
  </si>
  <si>
    <t>[effect:fix_speed, target:myself, turn:1]</t>
    <phoneticPr fontId="5"/>
  </si>
  <si>
    <t>[effect:fix_speed, target:myself, turn:1]</t>
    <phoneticPr fontId="5"/>
  </si>
  <si>
    <t>ja</t>
    <phoneticPr fontId="5"/>
  </si>
  <si>
    <t>ヤメロ…俺様は違う…！</t>
    <rPh sb="4" eb="6">
      <t>オレサマ</t>
    </rPh>
    <rPh sb="7" eb="8">
      <t>チガ</t>
    </rPh>
    <phoneticPr fontId="5"/>
  </si>
  <si>
    <t>言うことを聞キヤガレれェッ…！！</t>
    <rPh sb="0" eb="1">
      <t>イ</t>
    </rPh>
    <rPh sb="5" eb="6">
      <t>キ</t>
    </rPh>
    <phoneticPr fontId="5"/>
  </si>
  <si>
    <t>[effect:enhance_enemy, target:enemy_yellow, turn:-1, status:attack, val:0.1, animation:enemy_enhance_attack]</t>
    <phoneticPr fontId="5"/>
  </si>
  <si>
    <t>ja</t>
  </si>
  <si>
    <t>クソ…ランスロットォォォ…！</t>
    <phoneticPr fontId="5"/>
  </si>
  <si>
    <t>クソ…ランスロットォォォ…！</t>
    <phoneticPr fontId="5"/>
  </si>
  <si>
    <t>俺様ハ…貴様より強いンダァァ！！</t>
    <rPh sb="0" eb="2">
      <t>オレサマ</t>
    </rPh>
    <rPh sb="4" eb="6">
      <t>キサマ</t>
    </rPh>
    <rPh sb="8" eb="9">
      <t>ツヨ</t>
    </rPh>
    <phoneticPr fontId="5"/>
  </si>
  <si>
    <t>[effect:heal, target:enemy_one, val:0.1, animation:enemy_heal]</t>
  </si>
  <si>
    <t>敵単体に / 回復</t>
  </si>
  <si>
    <t>none</t>
  </si>
  <si>
    <t>- / -</t>
  </si>
  <si>
    <t>[effect:nothing]</t>
    <phoneticPr fontId="5"/>
  </si>
  <si>
    <t>アーサー…ィ…様…</t>
    <rPh sb="7" eb="8">
      <t>サマ</t>
    </rPh>
    <phoneticPr fontId="5"/>
  </si>
  <si>
    <t>キ危険…デス…逃ゲ…</t>
    <rPh sb="1" eb="3">
      <t>キケン</t>
    </rPh>
    <rPh sb="7" eb="8">
      <t>ニ</t>
    </rPh>
    <phoneticPr fontId="5"/>
  </si>
  <si>
    <t>[effect:rush, count:6, val:0.2],[effect:suicide, val:0.05, dead_type:suicide, target:myself, animation:enemy_suicide]</t>
    <phoneticPr fontId="5"/>
  </si>
  <si>
    <t>ja</t>
    <phoneticPr fontId="5"/>
  </si>
  <si>
    <t>フハッ…フハハハッ！！</t>
    <phoneticPr fontId="5"/>
  </si>
  <si>
    <t>残りHPの5%消費して6回連続攻撃</t>
    <rPh sb="7" eb="9">
      <t>ショウヒ</t>
    </rPh>
    <rPh sb="12" eb="13">
      <t>カイ</t>
    </rPh>
    <rPh sb="13" eb="17">
      <t>レンゾクコウゲキ</t>
    </rPh>
    <phoneticPr fontId="5"/>
  </si>
  <si>
    <t>[effect:spread, val:0.35],[effect:suicide, val:0.1, dead_type:suicide, target:myself, animation:enemy_suicide]</t>
    <phoneticPr fontId="5"/>
  </si>
  <si>
    <t>ja</t>
    <phoneticPr fontId="5"/>
  </si>
  <si>
    <t>砕ケ散レェッエエ！！</t>
    <rPh sb="0" eb="1">
      <t>クダ</t>
    </rPh>
    <rPh sb="2" eb="3">
      <t>チ</t>
    </rPh>
    <phoneticPr fontId="5"/>
  </si>
  <si>
    <t>残りHPの10%消費して全体攻撃</t>
    <rPh sb="8" eb="10">
      <t>ショウヒ</t>
    </rPh>
    <rPh sb="12" eb="16">
      <t>ゼンタイコウゲキ</t>
    </rPh>
    <phoneticPr fontId="5"/>
  </si>
  <si>
    <t>[effect:suicide, val:0.2, dead_type:suicide, target:myself, animation:enemy_suicide]</t>
    <phoneticPr fontId="5"/>
  </si>
  <si>
    <t>ja</t>
    <phoneticPr fontId="5"/>
  </si>
  <si>
    <t>ヒ…ヒヒヒヒヒッ…</t>
    <phoneticPr fontId="5"/>
  </si>
  <si>
    <t>凄まじいエネルギーを感じる</t>
    <rPh sb="0" eb="1">
      <t>スサ</t>
    </rPh>
    <rPh sb="10" eb="11">
      <t>カン</t>
    </rPh>
    <phoneticPr fontId="5"/>
  </si>
  <si>
    <t>[effect:critical, val:2.4],[effect:suicide, val:0.5, dead_type:suicide, target:myself, animation:enemy_suicide]</t>
    <phoneticPr fontId="5"/>
  </si>
  <si>
    <t>ja</t>
    <phoneticPr fontId="5"/>
  </si>
  <si>
    <t>オレ様ナンバーワァァン！！</t>
    <rPh sb="2" eb="3">
      <t>サマ</t>
    </rPh>
    <phoneticPr fontId="5"/>
  </si>
  <si>
    <t>残りHPの50%を消費して強力な一撃！</t>
    <rPh sb="0" eb="1">
      <t>ノコr</t>
    </rPh>
    <rPh sb="9" eb="11">
      <t>ショウヒ</t>
    </rPh>
    <rPh sb="13" eb="15">
      <t>キョウリョク</t>
    </rPh>
    <rPh sb="16" eb="18">
      <t>イチゲキ</t>
    </rPh>
    <phoneticPr fontId="5"/>
  </si>
  <si>
    <t>[effect:nothing]</t>
    <phoneticPr fontId="5"/>
  </si>
  <si>
    <t>ja</t>
    <phoneticPr fontId="5"/>
  </si>
  <si>
    <t>……アッ</t>
    <phoneticPr fontId="5"/>
  </si>
  <si>
    <t>ライオネルは固まっている</t>
    <rPh sb="6" eb="7">
      <t>カタ</t>
    </rPh>
    <phoneticPr fontId="5"/>
  </si>
  <si>
    <t>[effect:fix_speed, target:enemy_all, turn:8]</t>
    <phoneticPr fontId="5"/>
  </si>
  <si>
    <t>ソウルチェイン！</t>
    <phoneticPr fontId="5"/>
  </si>
  <si>
    <t>このフロアの果実は連鎖的に自爆する！</t>
    <rPh sb="6" eb="8">
      <t>カジツ</t>
    </rPh>
    <rPh sb="9" eb="12">
      <t>レンサテキ</t>
    </rPh>
    <rPh sb="13" eb="15">
      <t>ジバク</t>
    </rPh>
    <phoneticPr fontId="5"/>
  </si>
  <si>
    <t>[effect:kamikaze, val:0.25]</t>
    <phoneticPr fontId="5"/>
  </si>
  <si>
    <t>チェインブレイク！</t>
    <phoneticPr fontId="5"/>
  </si>
  <si>
    <t>仲間を追って爆ぜていった…</t>
    <rPh sb="0" eb="2">
      <t>ナカマ</t>
    </rPh>
    <rPh sb="3" eb="4">
      <t>オ</t>
    </rPh>
    <rPh sb="6" eb="7">
      <t>ハ</t>
    </rPh>
    <phoneticPr fontId="5"/>
  </si>
  <si>
    <t>[effect:crash_growth, count:-1, val:-41, animation:change_block]</t>
    <phoneticPr fontId="5"/>
  </si>
  <si>
    <t>大咆哮</t>
    <rPh sb="0" eb="3">
      <t>ダイホウコウ</t>
    </rPh>
    <phoneticPr fontId="5"/>
  </si>
  <si>
    <t>出現しているCパネル激烈縮小</t>
    <rPh sb="0" eb="2">
      <t>シュツゲン</t>
    </rPh>
    <rPh sb="10" eb="12">
      <t>ゲキレツ</t>
    </rPh>
    <rPh sb="12" eb="14">
      <t>シュクショウ</t>
    </rPh>
    <phoneticPr fontId="5"/>
  </si>
  <si>
    <t>[effect:critical, val:1.5]</t>
    <phoneticPr fontId="5"/>
  </si>
  <si>
    <t>鋭い爪の一撃</t>
    <rPh sb="0" eb="1">
      <t>スルド</t>
    </rPh>
    <rPh sb="2" eb="3">
      <t>ツメ</t>
    </rPh>
    <rPh sb="4" eb="6">
      <t>イチゲキ</t>
    </rPh>
    <phoneticPr fontId="5"/>
  </si>
  <si>
    <t>クリティカル！</t>
    <phoneticPr fontId="5"/>
  </si>
  <si>
    <t>炎球の蓄熱</t>
    <rPh sb="0" eb="1">
      <t>ホノオ</t>
    </rPh>
    <rPh sb="1" eb="2">
      <t>タマ</t>
    </rPh>
    <rPh sb="3" eb="5">
      <t>チクネツ</t>
    </rPh>
    <phoneticPr fontId="5"/>
  </si>
  <si>
    <t>1ターン攻撃力特大UP＋次の攻撃頻度が1にUP</t>
    <rPh sb="4" eb="7">
      <t>コウゲキリョク</t>
    </rPh>
    <rPh sb="7" eb="9">
      <t>トクダイ</t>
    </rPh>
    <rPh sb="12" eb="13">
      <t>ツギ</t>
    </rPh>
    <rPh sb="14" eb="18">
      <t>コウゲキヒンド</t>
    </rPh>
    <phoneticPr fontId="5"/>
  </si>
  <si>
    <t>ja</t>
    <phoneticPr fontId="5"/>
  </si>
  <si>
    <t>炎球の排熱</t>
    <rPh sb="0" eb="1">
      <t>ホノオ</t>
    </rPh>
    <rPh sb="1" eb="2">
      <t>タマ</t>
    </rPh>
    <rPh sb="3" eb="5">
      <t>ハイネツ</t>
    </rPh>
    <phoneticPr fontId="5"/>
  </si>
  <si>
    <t>[effect:remove_enhancement, target:unit_all, target_effect:all, target_type:buff, animation:frozen_wave],[effect:spread, val:0.4]</t>
    <phoneticPr fontId="5"/>
  </si>
  <si>
    <t>灼熱衝撃波</t>
    <rPh sb="0" eb="2">
      <t>シャクネツ</t>
    </rPh>
    <rPh sb="2" eb="5">
      <t>ショウゲキハ</t>
    </rPh>
    <phoneticPr fontId="5"/>
  </si>
  <si>
    <t>全てのプラス効果を解除＋全体攻撃</t>
    <rPh sb="0" eb="1">
      <t>スベ</t>
    </rPh>
    <rPh sb="6" eb="8">
      <t>コウカ</t>
    </rPh>
    <rPh sb="9" eb="11">
      <t>カイジョ</t>
    </rPh>
    <rPh sb="12" eb="14">
      <t>ゼンタイ</t>
    </rPh>
    <rPh sb="14" eb="16">
      <t>コウゲキ</t>
    </rPh>
    <phoneticPr fontId="5"/>
  </si>
  <si>
    <t>……（大きく息を吸い込んだ！）</t>
    <rPh sb="3" eb="4">
      <t>オオ</t>
    </rPh>
    <rPh sb="6" eb="7">
      <t>イキ</t>
    </rPh>
    <rPh sb="8" eb="9">
      <t>ス</t>
    </rPh>
    <rPh sb="10" eb="11">
      <t>コ</t>
    </rPh>
    <phoneticPr fontId="5"/>
  </si>
  <si>
    <t>次のターン強力な攻撃</t>
    <rPh sb="0" eb="1">
      <t>ツギ</t>
    </rPh>
    <rPh sb="5" eb="7">
      <t>キョウリョク</t>
    </rPh>
    <rPh sb="8" eb="10">
      <t>コウゲキ</t>
    </rPh>
    <phoneticPr fontId="5"/>
  </si>
  <si>
    <t>イグナイトブレス</t>
    <phoneticPr fontId="5"/>
  </si>
  <si>
    <t>2ターン全属性ダメージ軽減
＋次のターン青・緑パネルを吸収して大攻撃</t>
    <rPh sb="4" eb="7">
      <t>ゼンゾクセイ</t>
    </rPh>
    <rPh sb="11" eb="13">
      <t>ケイゲン</t>
    </rPh>
    <rPh sb="15" eb="16">
      <t>ツギ</t>
    </rPh>
    <rPh sb="20" eb="21">
      <t>アオ</t>
    </rPh>
    <rPh sb="22" eb="23">
      <t>ミドリ</t>
    </rPh>
    <rPh sb="27" eb="29">
      <t>キュウシュウ</t>
    </rPh>
    <rPh sb="31" eb="32">
      <t>ダイ</t>
    </rPh>
    <rPh sb="32" eb="34">
      <t>コウゲキ</t>
    </rPh>
    <phoneticPr fontId="5"/>
  </si>
  <si>
    <t>[effect:break_enchance_enemy, val:0.04, lowest_val:0.05, count :5, status:attack, turn:5, block:block_blue, target:myself, calc:mul, animation:enemy_enhance_attack],[effect:break_attack, val:0.08, lowest_val:1000, count:5, block:block_green, target:unit_all]</t>
    <phoneticPr fontId="5"/>
  </si>
  <si>
    <t>イグナイトブレイバー</t>
    <phoneticPr fontId="5"/>
  </si>
  <si>
    <t>青パネル吸収攻撃力UP＋緑パネル吸収攻撃</t>
    <rPh sb="16" eb="18">
      <t>キュウシュウ</t>
    </rPh>
    <phoneticPr fontId="5"/>
  </si>
  <si>
    <t>[effect:tolerance, target:myself, turn:-1, tolerance_effect:hungup, count:-1, animation:enemy_tolerance]</t>
    <phoneticPr fontId="5"/>
  </si>
  <si>
    <t>ja</t>
    <phoneticPr fontId="5"/>
  </si>
  <si>
    <t>僕は正義のために戦う</t>
    <rPh sb="0" eb="1">
      <t>ボク</t>
    </rPh>
    <rPh sb="2" eb="4">
      <t>セイギ</t>
    </rPh>
    <rPh sb="8" eb="9">
      <t>タタカ</t>
    </rPh>
    <phoneticPr fontId="5"/>
  </si>
  <si>
    <t>さて…キミは何のために戦う？</t>
    <rPh sb="6" eb="7">
      <t>ナン</t>
    </rPh>
    <rPh sb="11" eb="12">
      <t>タタカ</t>
    </rPh>
    <phoneticPr fontId="5"/>
  </si>
  <si>
    <t>[effect:tolerance, target:myself, turn:-1, tolerance_effect:hungup, count:-1, animation:enemy_tolerance]</t>
    <phoneticPr fontId="5"/>
  </si>
  <si>
    <t>アーサー、どうしてここに？</t>
    <phoneticPr fontId="5"/>
  </si>
  <si>
    <t>なんてね…僕を止めに来たんだろ？</t>
    <rPh sb="5" eb="6">
      <t>ボク</t>
    </rPh>
    <rPh sb="7" eb="8">
      <t>ト</t>
    </rPh>
    <rPh sb="10" eb="11">
      <t>キ</t>
    </rPh>
    <phoneticPr fontId="5"/>
  </si>
  <si>
    <t>…ランス、なぜだ？</t>
    <phoneticPr fontId="5"/>
  </si>
  <si>
    <t>彼の右腕だったキミが…なぜ彼を裏切った！</t>
    <phoneticPr fontId="5"/>
  </si>
  <si>
    <t>モルド…残念だよ</t>
    <phoneticPr fontId="5"/>
  </si>
  <si>
    <t>キミは彼と敵対する邪道を選んだ…！</t>
    <rPh sb="3" eb="4">
      <t>カレ</t>
    </rPh>
    <rPh sb="5" eb="7">
      <t>テキタイ</t>
    </rPh>
    <rPh sb="9" eb="11">
      <t>ジャドウ</t>
    </rPh>
    <rPh sb="12" eb="13">
      <t>エラ</t>
    </rPh>
    <phoneticPr fontId="5"/>
  </si>
  <si>
    <t>ガウェイン…老…</t>
    <rPh sb="6" eb="7">
      <t>ロウジン</t>
    </rPh>
    <phoneticPr fontId="5"/>
  </si>
  <si>
    <t>貴方の言葉でも…こればかりは譲れません</t>
    <rPh sb="0" eb="2">
      <t>アナタ</t>
    </rPh>
    <rPh sb="3" eb="5">
      <t>コトバ</t>
    </rPh>
    <rPh sb="14" eb="15">
      <t>ユズ</t>
    </rPh>
    <phoneticPr fontId="5"/>
  </si>
  <si>
    <t>[effect:tolerance, target:myself, turn:-1, tolerance_effect:hungup, count:-1, animation:enemy_tolerance]</t>
    <phoneticPr fontId="5"/>
  </si>
  <si>
    <t>ja</t>
    <phoneticPr fontId="5"/>
  </si>
  <si>
    <t>トリス…キミは「未定」だろ？</t>
    <rPh sb="8" eb="10">
      <t>ミテイ</t>
    </rPh>
    <phoneticPr fontId="5"/>
  </si>
  <si>
    <t>信じるものもなく戦っちゃダメだ…帰りな</t>
    <rPh sb="0" eb="1">
      <t>シン</t>
    </rPh>
    <rPh sb="8" eb="9">
      <t>タタカ</t>
    </rPh>
    <rPh sb="16" eb="17">
      <t>カエ</t>
    </rPh>
    <phoneticPr fontId="5"/>
  </si>
  <si>
    <t>パーシ、まだ揺れてるのか？</t>
    <rPh sb="6" eb="7">
      <t>ユ</t>
    </rPh>
    <phoneticPr fontId="5"/>
  </si>
  <si>
    <t>それがキミの弱さだって…知ってるはずだぜ</t>
    <rPh sb="6" eb="7">
      <t>ヨワ</t>
    </rPh>
    <rPh sb="12" eb="13">
      <t>シ</t>
    </rPh>
    <phoneticPr fontId="5"/>
  </si>
  <si>
    <t>へぇ…ライオネル…</t>
    <phoneticPr fontId="5"/>
  </si>
  <si>
    <t>やっぱりキミの覚悟はその程度だったか</t>
    <rPh sb="7" eb="9">
      <t>カクゴ</t>
    </rPh>
    <rPh sb="12" eb="14">
      <t>テイド</t>
    </rPh>
    <phoneticPr fontId="5"/>
  </si>
  <si>
    <t>[effect:virus, turn:3, rate:1, val:0.08, animation:enemy_virus],[effect:rush, count:1, val:0.8]</t>
    <phoneticPr fontId="5"/>
  </si>
  <si>
    <t>デスクリーブ</t>
    <phoneticPr fontId="5"/>
  </si>
  <si>
    <t>3ターンウィルス＋攻撃</t>
    <rPh sb="9" eb="11">
      <t>コウゲキ</t>
    </rPh>
    <phoneticPr fontId="5"/>
  </si>
  <si>
    <t>[effect:spread, val:0.3]</t>
    <phoneticPr fontId="5"/>
  </si>
  <si>
    <t>サイクロンソード</t>
    <phoneticPr fontId="5"/>
  </si>
  <si>
    <t>全体攻撃</t>
    <rPh sb="0" eb="4">
      <t>ゼンタイコウゲキ</t>
    </rPh>
    <phoneticPr fontId="5"/>
  </si>
  <si>
    <t>[effect:damage_anti_tribe, target:unit_one, tribe:dragon, val1:1.75, val2:1]</t>
    <phoneticPr fontId="5"/>
  </si>
  <si>
    <t>シューティングスター</t>
    <phoneticPr fontId="5"/>
  </si>
  <si>
    <t>種族ドラゴンのユニットに大ダメージ</t>
    <rPh sb="0" eb="2">
      <t>シュゾク</t>
    </rPh>
    <rPh sb="12" eb="13">
      <t>ダイ</t>
    </rPh>
    <phoneticPr fontId="5"/>
  </si>
  <si>
    <t>[effect:enhance_enemy, target:myself, turn:5, status:attack, val:0.3, animation:enemy_enhance_attack]</t>
    <phoneticPr fontId="5"/>
  </si>
  <si>
    <t>ブリリアント</t>
    <phoneticPr fontId="5"/>
  </si>
  <si>
    <t>5ターン自身の攻撃力をUP</t>
    <rPh sb="4" eb="6">
      <t>ジシン</t>
    </rPh>
    <rPh sb="7" eb="10">
      <t>コウゲキリョク</t>
    </rPh>
    <phoneticPr fontId="5"/>
  </si>
  <si>
    <t>[effect:crash_condition, target:unit_all, val:11, turn:10, animation:crash_panel_reduce04]</t>
    <phoneticPr fontId="5"/>
  </si>
  <si>
    <t>クラッシュフォール</t>
    <phoneticPr fontId="5"/>
  </si>
  <si>
    <t>10ターンCパネル生成激烈延長</t>
    <rPh sb="9" eb="11">
      <t>セイセイ</t>
    </rPh>
    <rPh sb="11" eb="15">
      <t>ゲキレツエンチョウ</t>
    </rPh>
    <phoneticPr fontId="5"/>
  </si>
  <si>
    <t>[effect:tolerance, target:myself, turn:-1, tolerance_effect:hungup, count:-1, animation:enemy_tolerance],[effect:fix_speed, target:myself, turn:1]</t>
    <phoneticPr fontId="5"/>
  </si>
  <si>
    <t>不義の輩を排除すること</t>
    <rPh sb="0" eb="2">
      <t>フギ</t>
    </rPh>
    <rPh sb="3" eb="4">
      <t>ヤカラ</t>
    </rPh>
    <rPh sb="5" eb="7">
      <t>ハイジョ</t>
    </rPh>
    <phoneticPr fontId="5"/>
  </si>
  <si>
    <t>それが正義に属する者の使命だ</t>
    <rPh sb="3" eb="5">
      <t>セイギ</t>
    </rPh>
    <rPh sb="6" eb="7">
      <t>ゾク</t>
    </rPh>
    <rPh sb="9" eb="10">
      <t>モノ</t>
    </rPh>
    <rPh sb="11" eb="13">
      <t>シメイ</t>
    </rPh>
    <phoneticPr fontId="5"/>
  </si>
  <si>
    <t>…キミのそういう所が好きだよ</t>
    <rPh sb="8" eb="9">
      <t>トコロ</t>
    </rPh>
    <rPh sb="10" eb="11">
      <t>ス</t>
    </rPh>
    <phoneticPr fontId="5"/>
  </si>
  <si>
    <t>だからこそ…僕はキミの刃になると決めたんだ</t>
    <rPh sb="6" eb="7">
      <t>ボク</t>
    </rPh>
    <rPh sb="11" eb="12">
      <t>ヤイバ</t>
    </rPh>
    <rPh sb="16" eb="17">
      <t>キ</t>
    </rPh>
    <phoneticPr fontId="5"/>
  </si>
  <si>
    <t>[effect:tolerance, target:myself, turn:-1, tolerance_effect:hungup, count:-1, animation:enemy_tolerance],[effect:fix_speed, target:myself, turn:1]</t>
    <phoneticPr fontId="5"/>
  </si>
  <si>
    <t>正直、僕は幻滅している</t>
    <rPh sb="0" eb="2">
      <t>ショウジキ</t>
    </rPh>
    <rPh sb="3" eb="4">
      <t>ボク</t>
    </rPh>
    <rPh sb="5" eb="7">
      <t>ゲンメツ</t>
    </rPh>
    <phoneticPr fontId="5"/>
  </si>
  <si>
    <t>キミが一番　彼の信頼を得ていたのに…！</t>
    <rPh sb="3" eb="5">
      <t>イチバン</t>
    </rPh>
    <rPh sb="6" eb="7">
      <t>カレ</t>
    </rPh>
    <rPh sb="8" eb="10">
      <t>シンライ</t>
    </rPh>
    <rPh sb="11" eb="12">
      <t>エ</t>
    </rPh>
    <phoneticPr fontId="5"/>
  </si>
  <si>
    <t>違う…彼は何も変わってない</t>
    <rPh sb="0" eb="1">
      <t>チガ</t>
    </rPh>
    <rPh sb="3" eb="4">
      <t>カレ</t>
    </rPh>
    <rPh sb="5" eb="6">
      <t>ナニ</t>
    </rPh>
    <rPh sb="7" eb="8">
      <t>カ</t>
    </rPh>
    <phoneticPr fontId="5"/>
  </si>
  <si>
    <t>変わったのは　キミの志のほうだ…！</t>
    <rPh sb="0" eb="1">
      <t>カ</t>
    </rPh>
    <rPh sb="10" eb="11">
      <t>ココロザシ</t>
    </rPh>
    <phoneticPr fontId="5"/>
  </si>
  <si>
    <t>貴方も分かっているはずだ</t>
    <rPh sb="0" eb="2">
      <t>アナタ</t>
    </rPh>
    <rPh sb="3" eb="4">
      <t>ワ</t>
    </rPh>
    <phoneticPr fontId="5"/>
  </si>
  <si>
    <t>理想のため　誰かが動かねばならないと！</t>
    <rPh sb="0" eb="2">
      <t>リソウ</t>
    </rPh>
    <rPh sb="6" eb="7">
      <t>ダレ</t>
    </rPh>
    <rPh sb="9" eb="10">
      <t>ウゴ</t>
    </rPh>
    <phoneticPr fontId="5"/>
  </si>
  <si>
    <t>どうした…なぜ帰らない？</t>
    <rPh sb="7" eb="8">
      <t>カエ</t>
    </rPh>
    <phoneticPr fontId="5"/>
  </si>
  <si>
    <t>キミが僕を止める理由は無いはずだ</t>
    <rPh sb="3" eb="4">
      <t>ボク</t>
    </rPh>
    <rPh sb="5" eb="6">
      <t>ト</t>
    </rPh>
    <rPh sb="8" eb="10">
      <t>リユウ</t>
    </rPh>
    <rPh sb="11" eb="12">
      <t>ナ</t>
    </rPh>
    <phoneticPr fontId="5"/>
  </si>
  <si>
    <t>悩みってヤツは2種類ある</t>
    <rPh sb="0" eb="1">
      <t>ナヤ</t>
    </rPh>
    <rPh sb="7" eb="10">
      <t>ニシュルイ</t>
    </rPh>
    <phoneticPr fontId="5"/>
  </si>
  <si>
    <t>キミのは　自分を誤魔化してるだけさ</t>
    <rPh sb="5" eb="7">
      <t>ジブン</t>
    </rPh>
    <rPh sb="8" eb="11">
      <t>ゴマカ</t>
    </rPh>
    <phoneticPr fontId="5"/>
  </si>
  <si>
    <t>もう何を言っても無駄だ</t>
    <rPh sb="2" eb="3">
      <t>ナニ</t>
    </rPh>
    <rPh sb="4" eb="5">
      <t>イ</t>
    </rPh>
    <rPh sb="8" eb="10">
      <t>ムダ</t>
    </rPh>
    <phoneticPr fontId="5"/>
  </si>
  <si>
    <t>意見がコロコロ変わるのに信用できねーよ</t>
    <rPh sb="0" eb="2">
      <t>イケン</t>
    </rPh>
    <rPh sb="7" eb="8">
      <t>カ</t>
    </rPh>
    <rPh sb="12" eb="14">
      <t>シンヨウ</t>
    </rPh>
    <phoneticPr fontId="5"/>
  </si>
  <si>
    <t>[effect:rush, count:4, val:0.2]</t>
    <phoneticPr fontId="5"/>
  </si>
  <si>
    <t>エクスイレイザーTHI</t>
    <phoneticPr fontId="5"/>
  </si>
  <si>
    <t>4回連続攻撃</t>
    <rPh sb="1" eb="2">
      <t>カイ</t>
    </rPh>
    <rPh sb="2" eb="4">
      <t>レンゾク</t>
    </rPh>
    <rPh sb="4" eb="6">
      <t>コウゲキ</t>
    </rPh>
    <phoneticPr fontId="5"/>
  </si>
  <si>
    <t>4回連続攻撃</t>
    <phoneticPr fontId="5"/>
  </si>
  <si>
    <t>[effect:degrade_unit, target:unit_all, turn:3, status:attack, val:0.5]</t>
    <phoneticPr fontId="5"/>
  </si>
  <si>
    <t>カースオブマジック</t>
    <phoneticPr fontId="5"/>
  </si>
  <si>
    <t>3ターン攻撃力50%DOWN</t>
    <rPh sb="4" eb="7">
      <t>コウゲキリョク</t>
    </rPh>
    <phoneticPr fontId="5"/>
  </si>
  <si>
    <t>[effect:remove_enhancement, target:unit_all, target_effect:counter, target_type:buff],[effect:remove_enhancement, target:unit_all, target_effect:counter_new, target_type:buff, animation:frozen_wave],[effect:rush, count:8, val:0.14]</t>
    <phoneticPr fontId="5"/>
  </si>
  <si>
    <t>ja</t>
    <phoneticPr fontId="5"/>
  </si>
  <si>
    <t>エクスイレイザーSEC</t>
    <phoneticPr fontId="5"/>
  </si>
  <si>
    <t>エクスイレイザーSEC</t>
    <phoneticPr fontId="5"/>
  </si>
  <si>
    <t>カウンター解除＋8回連続攻撃</t>
    <phoneticPr fontId="5"/>
  </si>
  <si>
    <t>[effect:remove_enhancement, target:unit_all, target_effect:counter, target_type:buff],[effect:remove_enhancement, target:unit_all, target_effect:counter_new, target_type:buff, animation:frozen_wave],[effect:rush, count:8, val:0.14]</t>
    <phoneticPr fontId="5"/>
  </si>
  <si>
    <t>カウンター解除＋8回連続攻撃</t>
    <phoneticPr fontId="5"/>
  </si>
  <si>
    <t>[effect:remove_enhancement, target:unit_all, target_effect:counter, target_type:buff],[effect:remove_enhancement, target:unit_all, target_effect:counter_new, target_type:buff, animation:frozen_wave],[effect:spread, val:0.12],[effect:rush, count:8, val:0.12]</t>
    <phoneticPr fontId="5"/>
  </si>
  <si>
    <t>エクスイレイザーFIR</t>
    <phoneticPr fontId="5"/>
  </si>
  <si>
    <t>カウンター解除＋強力な連続攻撃</t>
    <rPh sb="5" eb="7">
      <t>カイジョ</t>
    </rPh>
    <rPh sb="8" eb="10">
      <t>キョウリョク</t>
    </rPh>
    <rPh sb="11" eb="13">
      <t>レンゾク</t>
    </rPh>
    <rPh sb="13" eb="15">
      <t>コウゲキ</t>
    </rPh>
    <phoneticPr fontId="5"/>
  </si>
  <si>
    <t>[effect:remove_enhancement, target:unit_all, target_effect:counter, target_type:buff],[effect:remove_enhancement, target:unit_all, target_effect:counter_new, target_type:buff, animation:frozen_wave],[effect:spread, val:0.12],[effect:rush, count:8, val:0.12]</t>
    <phoneticPr fontId="5"/>
  </si>
  <si>
    <t>エクスイレイザーFIR</t>
    <phoneticPr fontId="5"/>
  </si>
  <si>
    <t>[effect:remove_enhancement, target:unit_all, target_effect:counter, target_type:buff],[effect:remove_enhancement, target:unit_all, target_effect:counter_new, target_type:buff, animation:frozen_wave],[effect:spread, val:0.12],[effect:rush, count:8, val:0.12]</t>
    <phoneticPr fontId="5"/>
  </si>
  <si>
    <t>[effect:remove_enhancement, target:unit_all, target_effect:all, target_type:buff, animation:frozen_wave],[effect:spread, val:0.1],[effect:spread, val:0.1],[effect:spread, val:0.1],[effect:spread, val:0.1],[effect:spread, val:0.1],[effect:spread, val:0.1]</t>
    <phoneticPr fontId="5"/>
  </si>
  <si>
    <t>エクスイレイザーABS</t>
    <phoneticPr fontId="5"/>
  </si>
  <si>
    <t>全てのプラス効果を解除＋致命的な連続攻撃</t>
    <rPh sb="0" eb="1">
      <t>スベ</t>
    </rPh>
    <rPh sb="6" eb="8">
      <t>コウカ</t>
    </rPh>
    <rPh sb="9" eb="11">
      <t>カイジョ</t>
    </rPh>
    <rPh sb="12" eb="15">
      <t>チメイテキ</t>
    </rPh>
    <rPh sb="16" eb="18">
      <t>レンゾク</t>
    </rPh>
    <rPh sb="18" eb="20">
      <t>コウゲキ</t>
    </rPh>
    <phoneticPr fontId="5"/>
  </si>
  <si>
    <t>[effect:reduction, target:myself, turn:3, color:red, val:0.5, animation:reduction_one04],[effect:reduction, target:myself, turn:3, color:green, val:0.5],[effect:reduction, target:myself, turn:3, color:blue, val:0.5]</t>
    <phoneticPr fontId="5"/>
  </si>
  <si>
    <t>RGBリフレクション</t>
    <phoneticPr fontId="5"/>
  </si>
  <si>
    <t>3ターン赤・緑・青属性のダメージを50%軽減</t>
    <rPh sb="4" eb="5">
      <t>アカ</t>
    </rPh>
    <rPh sb="6" eb="11">
      <t>ミドリゾクセイ</t>
    </rPh>
    <rPh sb="20" eb="22">
      <t>ケイゲン</t>
    </rPh>
    <phoneticPr fontId="5"/>
  </si>
  <si>
    <t>10ターンCパネル生成激烈延長</t>
    <phoneticPr fontId="5"/>
  </si>
  <si>
    <t>教えてやるよ…</t>
    <rPh sb="0" eb="1">
      <t>オシ</t>
    </rPh>
    <phoneticPr fontId="5"/>
  </si>
  <si>
    <t>正義にやりすぎが無いって事をね
【！】次のターン即死攻撃発動【！】</t>
    <rPh sb="0" eb="2">
      <t>セイギ</t>
    </rPh>
    <rPh sb="8" eb="9">
      <t>ナ</t>
    </rPh>
    <rPh sb="12" eb="13">
      <t>コト</t>
    </rPh>
    <phoneticPr fontId="5"/>
  </si>
  <si>
    <t>優しすぎるキミの代わりに</t>
    <rPh sb="0" eb="1">
      <t>ヤサ</t>
    </rPh>
    <rPh sb="8" eb="9">
      <t>カ</t>
    </rPh>
    <phoneticPr fontId="5"/>
  </si>
  <si>
    <t>僕が理想を実現してあげるよ…！！
【！】次のターン即死攻撃発動【！】</t>
    <rPh sb="0" eb="1">
      <t>ボク</t>
    </rPh>
    <rPh sb="2" eb="4">
      <t>リソウ</t>
    </rPh>
    <rPh sb="5" eb="7">
      <t>ジツゲン</t>
    </rPh>
    <phoneticPr fontId="5"/>
  </si>
  <si>
    <t>ja</t>
    <phoneticPr fontId="5"/>
  </si>
  <si>
    <t>何を言っても今更か…</t>
    <rPh sb="0" eb="1">
      <t>ナニ</t>
    </rPh>
    <rPh sb="2" eb="3">
      <t>イ</t>
    </rPh>
    <rPh sb="6" eb="8">
      <t>イマサラ</t>
    </rPh>
    <phoneticPr fontId="5"/>
  </si>
  <si>
    <t>せめてキミを倒して　僕が彼の一番になる…！
【！】次のターン即死攻撃発動【！】</t>
    <rPh sb="6" eb="7">
      <t>タオ</t>
    </rPh>
    <rPh sb="10" eb="11">
      <t>ボク</t>
    </rPh>
    <rPh sb="12" eb="13">
      <t>カレ</t>
    </rPh>
    <rPh sb="14" eb="16">
      <t>イチバン</t>
    </rPh>
    <phoneticPr fontId="5"/>
  </si>
  <si>
    <t>ja</t>
    <phoneticPr fontId="5"/>
  </si>
  <si>
    <t>ここで葬り去ってやる</t>
    <rPh sb="3" eb="4">
      <t>ホウム</t>
    </rPh>
    <rPh sb="5" eb="6">
      <t>サ</t>
    </rPh>
    <phoneticPr fontId="5"/>
  </si>
  <si>
    <t>キミの存在が…彼の正義を鈍らせる前にね
【！】次のターン即死攻撃発動【！】</t>
    <rPh sb="3" eb="5">
      <t>ソンザイ</t>
    </rPh>
    <rPh sb="7" eb="8">
      <t>カレ</t>
    </rPh>
    <rPh sb="9" eb="11">
      <t>セイギ</t>
    </rPh>
    <rPh sb="12" eb="13">
      <t>ニブ</t>
    </rPh>
    <rPh sb="16" eb="17">
      <t>マエ</t>
    </rPh>
    <phoneticPr fontId="5"/>
  </si>
  <si>
    <t>…何を笑っているのです</t>
    <rPh sb="1" eb="2">
      <t>ナニ</t>
    </rPh>
    <rPh sb="3" eb="4">
      <t>ワラ</t>
    </rPh>
    <phoneticPr fontId="5"/>
  </si>
  <si>
    <t>これ以上やり合えば　命の保証はしませんよ
【！】次のターン即死攻撃発動【！】</t>
    <rPh sb="2" eb="4">
      <t>イジョウ</t>
    </rPh>
    <rPh sb="6" eb="7">
      <t>ア</t>
    </rPh>
    <rPh sb="10" eb="11">
      <t>イノチ</t>
    </rPh>
    <rPh sb="12" eb="14">
      <t>ホショウ</t>
    </rPh>
    <phoneticPr fontId="5"/>
  </si>
  <si>
    <t>そうか…ようやくキミも…</t>
    <phoneticPr fontId="5"/>
  </si>
  <si>
    <t>そうか…ようやくキミも…</t>
    <phoneticPr fontId="5"/>
  </si>
  <si>
    <t>失礼　ならば全霊をかけてキミを倒そう
【！】次のターン即死攻撃発動【！】</t>
    <rPh sb="0" eb="2">
      <t>シツレイ</t>
    </rPh>
    <rPh sb="6" eb="8">
      <t>ゼンレイ</t>
    </rPh>
    <rPh sb="15" eb="16">
      <t>タオ</t>
    </rPh>
    <phoneticPr fontId="5"/>
  </si>
  <si>
    <t>それでも背負っていくのなら</t>
    <rPh sb="4" eb="6">
      <t>セオ</t>
    </rPh>
    <phoneticPr fontId="5"/>
  </si>
  <si>
    <t>僕の信念とどちらが上か…試してやるよ
【！】次のターン即死攻撃発動【！】</t>
    <rPh sb="0" eb="1">
      <t>ボク</t>
    </rPh>
    <rPh sb="2" eb="4">
      <t>シンネン</t>
    </rPh>
    <rPh sb="9" eb="10">
      <t>ウエ</t>
    </rPh>
    <rPh sb="12" eb="13">
      <t>タメ</t>
    </rPh>
    <phoneticPr fontId="5"/>
  </si>
  <si>
    <t>腕っ節だけは立派だな</t>
    <rPh sb="0" eb="1">
      <t>ウデ</t>
    </rPh>
    <rPh sb="2" eb="3">
      <t>プシ</t>
    </rPh>
    <rPh sb="6" eb="8">
      <t>リッパ</t>
    </rPh>
    <phoneticPr fontId="5"/>
  </si>
  <si>
    <t>だが最後に勝つのは…いつだって正義だ
【！】次のターン即死攻撃発動【！】</t>
    <rPh sb="2" eb="4">
      <t>サイゴ</t>
    </rPh>
    <rPh sb="5" eb="6">
      <t>カ</t>
    </rPh>
    <rPh sb="15" eb="17">
      <t>セイギ</t>
    </rPh>
    <phoneticPr fontId="5"/>
  </si>
  <si>
    <t>…何度やっても</t>
    <rPh sb="1" eb="3">
      <t>ナンド</t>
    </rPh>
    <phoneticPr fontId="5"/>
  </si>
  <si>
    <t>結果は変わらないと思うぜ？
【！】次のターン即死攻撃発動【！】</t>
    <rPh sb="0" eb="2">
      <t>ケッカ</t>
    </rPh>
    <rPh sb="3" eb="4">
      <t>カ</t>
    </rPh>
    <rPh sb="9" eb="10">
      <t>オモ</t>
    </rPh>
    <rPh sb="17" eb="18">
      <t>ツギ</t>
    </rPh>
    <rPh sb="22" eb="26">
      <t>ソクシコウゲキ</t>
    </rPh>
    <rPh sb="26" eb="28">
      <t>ハツドウ</t>
    </rPh>
    <phoneticPr fontId="5"/>
  </si>
  <si>
    <t>[effect:remove_enhancement, target:unit_all, target_effect:all, target_type:buff, animation:frozen_wave],[effect:damage_fix_absolute, target:unit_all, val:11111]</t>
    <phoneticPr fontId="5"/>
  </si>
  <si>
    <t>ユートピア</t>
    <phoneticPr fontId="5"/>
  </si>
  <si>
    <t>…いずれキミも理解できるさ</t>
    <rPh sb="7" eb="9">
      <t>リカイ</t>
    </rPh>
    <phoneticPr fontId="5"/>
  </si>
  <si>
    <t>[effect:remove_enhancement, target:unit_all, target_effect:all, target_type:buff, animation:frozen_wave],[effect:damage_fix_absolute, target:unit_all, val:11111],[effect:fix_speed, target:myself, turn:1]</t>
    <phoneticPr fontId="5"/>
  </si>
  <si>
    <t>これが世界の　あるべき姿だ！</t>
    <rPh sb="3" eb="5">
      <t>セカイ</t>
    </rPh>
    <rPh sb="11" eb="12">
      <t>スガタ</t>
    </rPh>
    <phoneticPr fontId="5"/>
  </si>
  <si>
    <t>アーサー、どうしてここに？</t>
    <phoneticPr fontId="5"/>
  </si>
  <si>
    <t>なんてね…僕を止めに来たんだろ？</t>
    <phoneticPr fontId="5"/>
  </si>
  <si>
    <t>彼の右腕だったキミが…なぜ彼を裏切った！</t>
    <rPh sb="13" eb="14">
      <t>カレ</t>
    </rPh>
    <rPh sb="15" eb="17">
      <t>ウラギ</t>
    </rPh>
    <phoneticPr fontId="5"/>
  </si>
  <si>
    <t>[effect:tolerance, target:myself, turn:-1, tolerance_effect:hungup, count:-1, animation:enemy_tolerance]</t>
  </si>
  <si>
    <t>[effect:tolerance, target:myself, turn:-1, tolerance_effect:hungup, count:-1, animation:enemy_tolerance],[effect:fix_speed, target:myself, turn:1]</t>
    <phoneticPr fontId="5"/>
  </si>
  <si>
    <t>ja</t>
    <phoneticPr fontId="5"/>
  </si>
  <si>
    <t>キミが一番　彼の信頼を得ていたのに…！</t>
    <phoneticPr fontId="5"/>
  </si>
  <si>
    <t>違う…彼は何も変わってない</t>
    <phoneticPr fontId="5"/>
  </si>
  <si>
    <t>[effect:tolerance, target:myself, turn:-1, tolerance_effect:hungup, count:-1, animation:enemy_tolerance],[effect:fix_speed, target:myself, turn:1]</t>
    <phoneticPr fontId="5"/>
  </si>
  <si>
    <t>ja</t>
    <phoneticPr fontId="5"/>
  </si>
  <si>
    <t>僕が理想を実現してあげるよ…！！
【！】次のターン即死攻撃発動【！】</t>
    <phoneticPr fontId="5"/>
  </si>
  <si>
    <t>何を言っても今更か…</t>
    <phoneticPr fontId="5"/>
  </si>
  <si>
    <t>せめてキミを倒して　僕が彼の一番になる…！
【！】次のターン即死攻撃発動【！】</t>
    <phoneticPr fontId="5"/>
  </si>
  <si>
    <t>失礼　ならば全霊をかけてキミを倒そう
【！】次のターン即死攻撃発動【！】</t>
    <phoneticPr fontId="5"/>
  </si>
  <si>
    <t>それでも背負っていくのなら</t>
    <phoneticPr fontId="5"/>
  </si>
  <si>
    <t>ja</t>
    <phoneticPr fontId="5"/>
  </si>
  <si>
    <t>null</t>
    <phoneticPr fontId="5"/>
  </si>
  <si>
    <t>null</t>
  </si>
  <si>
    <t>old</t>
  </si>
  <si>
    <t>link</t>
  </si>
  <si>
    <t>unit</t>
  </si>
  <si>
    <t>ja</t>
    <phoneticPr fontId="5"/>
  </si>
  <si>
    <t>ライオネルの攻撃はかなり威力が高く
油断するとあっという間にピンチに陥ります
防御力UPなど準備をしておくと良いでしょう</t>
    <rPh sb="6" eb="8">
      <t>コウゲキ</t>
    </rPh>
    <rPh sb="12" eb="14">
      <t>イリョク</t>
    </rPh>
    <rPh sb="15" eb="16">
      <t>タカ</t>
    </rPh>
    <rPh sb="18" eb="20">
      <t>ユダン</t>
    </rPh>
    <rPh sb="28" eb="29">
      <t>マ</t>
    </rPh>
    <rPh sb="34" eb="35">
      <t>オチイ</t>
    </rPh>
    <rPh sb="40" eb="43">
      <t>ボウギョリョク</t>
    </rPh>
    <rPh sb="47" eb="49">
      <t>ジュンビ</t>
    </rPh>
    <rPh sb="55" eb="56">
      <t>ヨ</t>
    </rPh>
    <phoneticPr fontId="5"/>
  </si>
  <si>
    <t>NULL</t>
    <phoneticPr fontId="5"/>
  </si>
  <si>
    <t>このフロアの果実は1体倒した時点で
他の果実が連鎖自爆を浴びせてきます
同じターンで一斉に撃破すれば回避可能です</t>
    <rPh sb="6" eb="8">
      <t>カジツ</t>
    </rPh>
    <rPh sb="10" eb="11">
      <t>カラダ</t>
    </rPh>
    <rPh sb="11" eb="12">
      <t>タオ</t>
    </rPh>
    <rPh sb="14" eb="16">
      <t>ジテン</t>
    </rPh>
    <rPh sb="18" eb="19">
      <t>ホカ</t>
    </rPh>
    <rPh sb="20" eb="22">
      <t>カジツ</t>
    </rPh>
    <rPh sb="23" eb="25">
      <t>レンサ</t>
    </rPh>
    <rPh sb="25" eb="27">
      <t>ジバク</t>
    </rPh>
    <rPh sb="28" eb="29">
      <t>ア</t>
    </rPh>
    <rPh sb="37" eb="38">
      <t>オナ</t>
    </rPh>
    <rPh sb="43" eb="45">
      <t>イッセイ</t>
    </rPh>
    <rPh sb="46" eb="48">
      <t>ゲキハ</t>
    </rPh>
    <rPh sb="51" eb="53">
      <t>カイヒ</t>
    </rPh>
    <rPh sb="53" eb="55">
      <t>カノウ</t>
    </rPh>
    <phoneticPr fontId="5"/>
  </si>
  <si>
    <t>ランドラグが大きく息を吸い込んだら
次のターン強力な攻撃を放ってくる合図です
状況に応じて適切な対処を行いましょう</t>
    <rPh sb="6" eb="7">
      <t>オオ</t>
    </rPh>
    <rPh sb="9" eb="10">
      <t>イキ</t>
    </rPh>
    <rPh sb="11" eb="12">
      <t>ス</t>
    </rPh>
    <rPh sb="13" eb="14">
      <t>コ</t>
    </rPh>
    <rPh sb="18" eb="19">
      <t>ツギ</t>
    </rPh>
    <rPh sb="23" eb="25">
      <t>キョウリョク</t>
    </rPh>
    <rPh sb="26" eb="28">
      <t>コウゲキ</t>
    </rPh>
    <rPh sb="29" eb="30">
      <t>ハナ</t>
    </rPh>
    <rPh sb="34" eb="36">
      <t>アイズ</t>
    </rPh>
    <rPh sb="40" eb="42">
      <t>ジョウキョウ</t>
    </rPh>
    <rPh sb="43" eb="44">
      <t>オウ</t>
    </rPh>
    <rPh sb="46" eb="48">
      <t>テキセツ</t>
    </rPh>
    <rPh sb="49" eb="51">
      <t>タイショ</t>
    </rPh>
    <rPh sb="52" eb="53">
      <t>オコナ</t>
    </rPh>
    <phoneticPr fontId="5"/>
  </si>
  <si>
    <t>ja</t>
    <phoneticPr fontId="5"/>
  </si>
  <si>
    <t>ガレスは戦闘を開始してすぐに
自身の攻撃力をUPするスキルを使用します
効果持続中はHPを高く保って備えましょう</t>
    <rPh sb="4" eb="6">
      <t>セントウ</t>
    </rPh>
    <rPh sb="7" eb="9">
      <t>カイシ</t>
    </rPh>
    <rPh sb="15" eb="17">
      <t>ジシン</t>
    </rPh>
    <rPh sb="18" eb="21">
      <t>コウゲキリョク</t>
    </rPh>
    <rPh sb="30" eb="32">
      <t>シヨウ</t>
    </rPh>
    <rPh sb="37" eb="39">
      <t>コウカ</t>
    </rPh>
    <rPh sb="39" eb="42">
      <t>ジゾクチュウ</t>
    </rPh>
    <rPh sb="46" eb="47">
      <t>タカ</t>
    </rPh>
    <rPh sb="48" eb="49">
      <t>タモ</t>
    </rPh>
    <rPh sb="51" eb="52">
      <t>ソナ</t>
    </rPh>
    <phoneticPr fontId="5"/>
  </si>
  <si>
    <t>NULL</t>
    <phoneticPr fontId="5"/>
  </si>
  <si>
    <t>ガレスは特定の条件下で
致命的な攻撃を放つので注意が必要です
継続してダメージを与える事で回避できます</t>
    <rPh sb="4" eb="6">
      <t>トクテイ</t>
    </rPh>
    <rPh sb="7" eb="9">
      <t>ジョウケン</t>
    </rPh>
    <rPh sb="9" eb="10">
      <t>ジョウキョウカ</t>
    </rPh>
    <rPh sb="12" eb="15">
      <t>チメイテキ</t>
    </rPh>
    <rPh sb="16" eb="18">
      <t>コウゲキ</t>
    </rPh>
    <rPh sb="19" eb="20">
      <t>ハナ</t>
    </rPh>
    <rPh sb="23" eb="25">
      <t>チュウイ</t>
    </rPh>
    <rPh sb="26" eb="28">
      <t>ヒツヨウ</t>
    </rPh>
    <rPh sb="32" eb="34">
      <t>ケイゾク</t>
    </rPh>
    <rPh sb="41" eb="42">
      <t>アタ</t>
    </rPh>
    <rPh sb="44" eb="45">
      <t>コト</t>
    </rPh>
    <rPh sb="46" eb="48">
      <t>カイヒ</t>
    </rPh>
    <phoneticPr fontId="5"/>
  </si>
  <si>
    <t>ガレスが即死攻撃を宣言したら
全ての力を注いで一気に倒しきりましょう
種族特攻のCパネルがあると非常に有効です</t>
    <rPh sb="4" eb="6">
      <t>ソクシ</t>
    </rPh>
    <rPh sb="6" eb="8">
      <t>コウゲキ</t>
    </rPh>
    <rPh sb="9" eb="11">
      <t>センゲン</t>
    </rPh>
    <rPh sb="15" eb="16">
      <t>スベ</t>
    </rPh>
    <rPh sb="18" eb="19">
      <t>チカラ</t>
    </rPh>
    <rPh sb="20" eb="21">
      <t>ソソ</t>
    </rPh>
    <rPh sb="23" eb="25">
      <t>イッキ</t>
    </rPh>
    <rPh sb="26" eb="27">
      <t>タオ</t>
    </rPh>
    <rPh sb="36" eb="38">
      <t>シュゾク</t>
    </rPh>
    <rPh sb="38" eb="40">
      <t>トッコウ</t>
    </rPh>
    <rPh sb="49" eb="51">
      <t>ヒジョウ</t>
    </rPh>
    <rPh sb="52" eb="54">
      <t>ユウコウ</t>
    </rPh>
    <phoneticPr fontId="5"/>
  </si>
  <si>
    <t>[effect:fix_speed, target:enemy_all, turn:6]</t>
    <phoneticPr fontId="5"/>
  </si>
  <si>
    <t>全体攻撃＋時限式ダメージパネル大量生成</t>
    <rPh sb="0" eb="2">
      <t>ゼンタイ</t>
    </rPh>
    <rPh sb="2" eb="4">
      <t>コウゲキ</t>
    </rPh>
    <rPh sb="5" eb="8">
      <t>ジゲンシキ</t>
    </rPh>
    <rPh sb="15" eb="17">
      <t>タイリョウ</t>
    </rPh>
    <rPh sb="17" eb="19">
      <t>セイセイ</t>
    </rPh>
    <phoneticPr fontId="5"/>
  </si>
  <si>
    <t>[effect:enemy_message, val1:1, val2:2.6],[effect:reduction, target:myself, turn:2, color:all, val:0.9, animation:reduction_one04]</t>
    <phoneticPr fontId="5"/>
  </si>
  <si>
    <t>[effect:enemy_message, val1:1, val2:2.6],[effect:tolerance, target:myself, turn:-1, tolerance_effect:all, count:-1, animation:enemy_tolerance],[effect:fix_speed, target:myself, turn:4]</t>
    <phoneticPr fontId="5"/>
  </si>
  <si>
    <t>[effect:enemy_message, val1:1, val2:2.6],[effect:tolerance, target:myself, turn:-1, tolerance_effect:all, count:-1, animation:enemy_tolerance],[effect:fix_speed, target:myself, turn:4]</t>
    <phoneticPr fontId="5"/>
  </si>
  <si>
    <t>[effect:enemy_message, val1:1, val2:2.4]</t>
    <phoneticPr fontId="5"/>
  </si>
  <si>
    <t>[effect:enemy_message, val1:1, val2:2.6],[effect:tolerance, target:myself, turn:-1, tolerance_effect:all, count:-1, animation:enemy_tolerance],[effect:fix_speed, target:myself, turn:4]</t>
    <phoneticPr fontId="5"/>
  </si>
  <si>
    <t>[effect:critical, val:1.8]</t>
    <phoneticPr fontId="5"/>
  </si>
  <si>
    <t>ハートパネルを赤パネルに変換＋単体攻撃
＋次の攻撃頻度が1にUP</t>
    <rPh sb="7" eb="8">
      <t>アカ</t>
    </rPh>
    <rPh sb="12" eb="14">
      <t>ヘンカン</t>
    </rPh>
    <rPh sb="15" eb="17">
      <t>タンタイ</t>
    </rPh>
    <rPh sb="17" eb="19">
      <t>コウゲキ</t>
    </rPh>
    <rPh sb="21" eb="22">
      <t>ツギ</t>
    </rPh>
    <rPh sb="23" eb="27">
      <t>コウゲキヒンド</t>
    </rPh>
    <phoneticPr fontId="5"/>
  </si>
  <si>
    <t>[effect:enemy_message, val1:1, val2:2.2],[effect:force_change_block, new_block:block_red, target:block_heart, count:0, val:0, animation:change_block],[effect:rush, count:1, val:0.75],[effect:freq_turn, target:myself, turn:1, val:1]</t>
    <phoneticPr fontId="5"/>
  </si>
  <si>
    <t>[effect:spread, val:0.6],[effect:force_change_block, new_block:time_bomb, target:block_all, ignore01:block_positive, ignore02:block_negative, count:15, val:0.2, min_time_count:2, max_time_count:2],[effect:fix_speed, target:myself, turn:2]</t>
    <phoneticPr fontId="5"/>
  </si>
  <si>
    <t>[effect:enhance_enemy, target:myself, turn:1, status:attack, val:0.5, animation:enemy_enhance_attack],[effect:freq_turn, target:myself, turn:1, val:1]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</si>
</sst>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5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FF"/>
      <name val="ＭＳ Ｐゴシック"/>
      <family val="3"/>
      <charset val="128"/>
      <scheme val="minor"/>
    </font>
    <font>
      <sz val="10"/>
      <color rgb="FFFF0000"/>
      <name val="ＭＳ Ｐゴシック"/>
      <family val="3"/>
      <charset val="128"/>
      <scheme val="minor"/>
    </font>
  </fonts>
  <fills count="4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8168889431442"/>
        <bgColor indexed="24"/>
      </patternFill>
    </fill>
    <fill>
      <patternFill patternType="solid">
        <fgColor rgb="FFFFFF00"/>
        <bgColor indexed="2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79998168889431442"/>
        <bgColor indexed="2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rgb="FF63AAFE"/>
      </patternFill>
    </fill>
    <fill>
      <patternFill patternType="solid">
        <fgColor rgb="FFD9D9D9"/>
        <bgColor rgb="FF000000"/>
      </patternFill>
    </fill>
    <fill>
      <patternFill patternType="solid">
        <fgColor rgb="FFE1FDFF"/>
        <bgColor indexed="64"/>
      </patternFill>
    </fill>
    <fill>
      <patternFill patternType="solid">
        <fgColor rgb="FFE1FDFF"/>
        <bgColor rgb="FF000000"/>
      </patternFill>
    </fill>
  </fills>
  <borders count="4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8"/>
      </left>
      <right/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/>
      <bottom style="medium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medium">
        <color auto="1"/>
      </top>
      <bottom style="thin">
        <color rgb="FF000000"/>
      </bottom>
      <diagonal/>
    </border>
    <border>
      <left style="thin">
        <color indexed="8"/>
      </left>
      <right style="thin">
        <color auto="1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auto="1"/>
      </bottom>
      <diagonal/>
    </border>
  </borders>
  <cellStyleXfs count="700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218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11" fillId="0" borderId="7" xfId="0" applyFont="1" applyBorder="1" applyAlignment="1">
      <alignment vertical="center"/>
    </xf>
    <xf numFmtId="0" fontId="4" fillId="32" borderId="7" xfId="0" applyFont="1" applyFill="1" applyBorder="1" applyAlignment="1">
      <alignment horizontal="center" vertical="center"/>
    </xf>
    <xf numFmtId="0" fontId="4" fillId="33" borderId="7" xfId="0" applyFont="1" applyFill="1" applyBorder="1" applyAlignment="1">
      <alignment horizontal="center" vertical="center"/>
    </xf>
    <xf numFmtId="0" fontId="6" fillId="34" borderId="3" xfId="0" applyFont="1" applyFill="1" applyBorder="1" applyAlignment="1">
      <alignment vertical="center"/>
    </xf>
    <xf numFmtId="0" fontId="6" fillId="33" borderId="7" xfId="0" applyFont="1" applyFill="1" applyBorder="1" applyAlignment="1">
      <alignment vertical="center"/>
    </xf>
    <xf numFmtId="0" fontId="8" fillId="33" borderId="4" xfId="0" applyFont="1" applyFill="1" applyBorder="1" applyAlignment="1">
      <alignment vertical="center"/>
    </xf>
    <xf numFmtId="177" fontId="8" fillId="33" borderId="4" xfId="0" applyNumberFormat="1" applyFont="1" applyFill="1" applyBorder="1" applyAlignment="1">
      <alignment vertical="center"/>
    </xf>
    <xf numFmtId="0" fontId="6" fillId="35" borderId="3" xfId="0" applyFont="1" applyFill="1" applyBorder="1" applyAlignment="1">
      <alignment vertical="center"/>
    </xf>
    <xf numFmtId="0" fontId="4" fillId="33" borderId="5" xfId="0" applyFont="1" applyFill="1" applyBorder="1" applyAlignment="1">
      <alignment vertical="center"/>
    </xf>
    <xf numFmtId="0" fontId="6" fillId="35" borderId="9" xfId="0" applyFont="1" applyFill="1" applyBorder="1" applyAlignment="1">
      <alignment vertical="center"/>
    </xf>
    <xf numFmtId="0" fontId="4" fillId="3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4" fillId="36" borderId="7" xfId="0" applyFont="1" applyFill="1" applyBorder="1" applyAlignment="1">
      <alignment horizontal="center" vertical="center"/>
    </xf>
    <xf numFmtId="0" fontId="6" fillId="37" borderId="3" xfId="0" applyFont="1" applyFill="1" applyBorder="1" applyAlignment="1">
      <alignment vertical="center"/>
    </xf>
    <xf numFmtId="0" fontId="6" fillId="36" borderId="7" xfId="0" applyFont="1" applyFill="1" applyBorder="1" applyAlignment="1">
      <alignment vertical="center"/>
    </xf>
    <xf numFmtId="0" fontId="8" fillId="36" borderId="4" xfId="0" applyFont="1" applyFill="1" applyBorder="1" applyAlignment="1">
      <alignment vertical="center"/>
    </xf>
    <xf numFmtId="177" fontId="8" fillId="36" borderId="4" xfId="0" applyNumberFormat="1" applyFont="1" applyFill="1" applyBorder="1" applyAlignment="1">
      <alignment vertical="center"/>
    </xf>
    <xf numFmtId="0" fontId="4" fillId="36" borderId="5" xfId="0" applyFont="1" applyFill="1" applyBorder="1" applyAlignment="1">
      <alignment vertical="center"/>
    </xf>
    <xf numFmtId="0" fontId="4" fillId="6" borderId="7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vertical="center"/>
    </xf>
    <xf numFmtId="0" fontId="8" fillId="6" borderId="4" xfId="0" applyFont="1" applyFill="1" applyBorder="1" applyAlignment="1">
      <alignment vertical="center"/>
    </xf>
    <xf numFmtId="177" fontId="8" fillId="6" borderId="4" xfId="0" applyNumberFormat="1" applyFont="1" applyFill="1" applyBorder="1" applyAlignment="1">
      <alignment vertical="center"/>
    </xf>
    <xf numFmtId="0" fontId="4" fillId="6" borderId="5" xfId="0" applyFont="1" applyFill="1" applyBorder="1" applyAlignment="1">
      <alignment vertical="center"/>
    </xf>
    <xf numFmtId="0" fontId="4" fillId="13" borderId="7" xfId="0" applyFont="1" applyFill="1" applyBorder="1" applyAlignment="1">
      <alignment vertical="center"/>
    </xf>
    <xf numFmtId="0" fontId="4" fillId="13" borderId="6" xfId="0" applyFont="1" applyFill="1" applyBorder="1" applyAlignment="1">
      <alignment vertical="center"/>
    </xf>
    <xf numFmtId="0" fontId="4" fillId="38" borderId="7" xfId="0" applyFont="1" applyFill="1" applyBorder="1" applyAlignment="1">
      <alignment horizontal="center" vertical="center"/>
    </xf>
    <xf numFmtId="0" fontId="12" fillId="7" borderId="23" xfId="0" applyFont="1" applyFill="1" applyBorder="1" applyAlignment="1">
      <alignment vertical="center"/>
    </xf>
    <xf numFmtId="176" fontId="4" fillId="0" borderId="24" xfId="0" applyNumberFormat="1" applyFont="1" applyFill="1" applyBorder="1" applyAlignment="1">
      <alignment horizontal="center" vertical="center"/>
    </xf>
    <xf numFmtId="0" fontId="4" fillId="32" borderId="25" xfId="0" applyFont="1" applyFill="1" applyBorder="1" applyAlignment="1">
      <alignment horizontal="center" vertical="center"/>
    </xf>
    <xf numFmtId="0" fontId="4" fillId="3" borderId="25" xfId="0" applyFont="1" applyFill="1" applyBorder="1" applyAlignment="1">
      <alignment horizontal="center" vertical="center"/>
    </xf>
    <xf numFmtId="0" fontId="6" fillId="5" borderId="24" xfId="0" applyFont="1" applyFill="1" applyBorder="1" applyAlignment="1">
      <alignment vertical="center"/>
    </xf>
    <xf numFmtId="0" fontId="4" fillId="6" borderId="25" xfId="0" applyFont="1" applyFill="1" applyBorder="1" applyAlignment="1">
      <alignment horizontal="center" vertical="center"/>
    </xf>
    <xf numFmtId="0" fontId="6" fillId="6" borderId="25" xfId="0" applyFont="1" applyFill="1" applyBorder="1" applyAlignment="1">
      <alignment vertical="center"/>
    </xf>
    <xf numFmtId="0" fontId="6" fillId="5" borderId="26" xfId="0" applyFont="1" applyFill="1" applyBorder="1" applyAlignment="1">
      <alignment vertical="center"/>
    </xf>
    <xf numFmtId="0" fontId="8" fillId="6" borderId="27" xfId="0" applyFont="1" applyFill="1" applyBorder="1" applyAlignment="1">
      <alignment vertical="center"/>
    </xf>
    <xf numFmtId="177" fontId="8" fillId="6" borderId="27" xfId="0" applyNumberFormat="1" applyFont="1" applyFill="1" applyBorder="1" applyAlignment="1">
      <alignment vertical="center"/>
    </xf>
    <xf numFmtId="1" fontId="32" fillId="31" borderId="25" xfId="0" applyNumberFormat="1" applyFont="1" applyFill="1" applyBorder="1" applyAlignment="1">
      <alignment vertical="center"/>
    </xf>
    <xf numFmtId="0" fontId="6" fillId="35" borderId="24" xfId="0" applyFont="1" applyFill="1" applyBorder="1" applyAlignment="1">
      <alignment vertical="center"/>
    </xf>
    <xf numFmtId="0" fontId="4" fillId="6" borderId="28" xfId="0" applyFont="1" applyFill="1" applyBorder="1" applyAlignment="1">
      <alignment vertical="center"/>
    </xf>
    <xf numFmtId="0" fontId="6" fillId="35" borderId="26" xfId="0" applyFont="1" applyFill="1" applyBorder="1" applyAlignment="1">
      <alignment vertical="center"/>
    </xf>
    <xf numFmtId="0" fontId="4" fillId="13" borderId="25" xfId="0" applyFont="1" applyFill="1" applyBorder="1" applyAlignment="1">
      <alignment vertical="center"/>
    </xf>
    <xf numFmtId="0" fontId="4" fillId="0" borderId="25" xfId="0" applyFont="1" applyFill="1" applyBorder="1" applyAlignment="1">
      <alignment vertical="center"/>
    </xf>
    <xf numFmtId="0" fontId="4" fillId="3" borderId="25" xfId="0" applyFont="1" applyFill="1" applyBorder="1" applyAlignment="1">
      <alignment vertical="center"/>
    </xf>
    <xf numFmtId="0" fontId="4" fillId="13" borderId="29" xfId="0" applyFont="1" applyFill="1" applyBorder="1" applyAlignment="1">
      <alignment vertical="center"/>
    </xf>
    <xf numFmtId="0" fontId="4" fillId="0" borderId="25" xfId="0" applyFont="1" applyBorder="1" applyAlignment="1">
      <alignment vertical="center"/>
    </xf>
    <xf numFmtId="0" fontId="12" fillId="7" borderId="30" xfId="0" applyFont="1" applyFill="1" applyBorder="1" applyAlignment="1">
      <alignment vertical="center"/>
    </xf>
    <xf numFmtId="176" fontId="4" fillId="0" borderId="31" xfId="0" applyNumberFormat="1" applyFont="1" applyFill="1" applyBorder="1" applyAlignment="1">
      <alignment horizontal="center" vertical="center"/>
    </xf>
    <xf numFmtId="0" fontId="4" fillId="38" borderId="32" xfId="0" applyFont="1" applyFill="1" applyBorder="1" applyAlignment="1">
      <alignment horizontal="center" vertical="center"/>
    </xf>
    <xf numFmtId="0" fontId="4" fillId="33" borderId="32" xfId="0" applyFont="1" applyFill="1" applyBorder="1" applyAlignment="1">
      <alignment horizontal="center" vertical="center"/>
    </xf>
    <xf numFmtId="0" fontId="6" fillId="34" borderId="31" xfId="0" applyFont="1" applyFill="1" applyBorder="1" applyAlignment="1">
      <alignment vertical="center"/>
    </xf>
    <xf numFmtId="0" fontId="4" fillId="3" borderId="32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vertical="center"/>
    </xf>
    <xf numFmtId="0" fontId="6" fillId="33" borderId="32" xfId="0" applyFont="1" applyFill="1" applyBorder="1" applyAlignment="1">
      <alignment vertical="center"/>
    </xf>
    <xf numFmtId="0" fontId="6" fillId="5" borderId="33" xfId="0" applyFont="1" applyFill="1" applyBorder="1" applyAlignment="1">
      <alignment vertical="center"/>
    </xf>
    <xf numFmtId="0" fontId="8" fillId="33" borderId="34" xfId="0" applyFont="1" applyFill="1" applyBorder="1" applyAlignment="1">
      <alignment vertical="center"/>
    </xf>
    <xf numFmtId="177" fontId="8" fillId="33" borderId="34" xfId="0" applyNumberFormat="1" applyFont="1" applyFill="1" applyBorder="1" applyAlignment="1">
      <alignment vertical="center"/>
    </xf>
    <xf numFmtId="1" fontId="32" fillId="31" borderId="32" xfId="0" applyNumberFormat="1" applyFont="1" applyFill="1" applyBorder="1" applyAlignment="1">
      <alignment vertical="center"/>
    </xf>
    <xf numFmtId="0" fontId="4" fillId="33" borderId="31" xfId="0" applyFont="1" applyFill="1" applyBorder="1" applyAlignment="1">
      <alignment vertical="center"/>
    </xf>
    <xf numFmtId="0" fontId="6" fillId="35" borderId="33" xfId="0" applyFont="1" applyFill="1" applyBorder="1" applyAlignment="1">
      <alignment vertical="center"/>
    </xf>
    <xf numFmtId="0" fontId="4" fillId="3" borderId="32" xfId="0" applyFont="1" applyFill="1" applyBorder="1" applyAlignment="1">
      <alignment vertical="center"/>
    </xf>
    <xf numFmtId="0" fontId="4" fillId="0" borderId="32" xfId="0" applyFont="1" applyFill="1" applyBorder="1" applyAlignment="1">
      <alignment vertical="center"/>
    </xf>
    <xf numFmtId="0" fontId="4" fillId="0" borderId="35" xfId="0" applyFont="1" applyBorder="1" applyAlignment="1">
      <alignment vertical="center"/>
    </xf>
    <xf numFmtId="0" fontId="4" fillId="0" borderId="32" xfId="0" applyFont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52" fillId="39" borderId="36" xfId="0" applyFont="1" applyFill="1" applyBorder="1" applyAlignment="1">
      <alignment vertical="center"/>
    </xf>
    <xf numFmtId="0" fontId="6" fillId="35" borderId="11" xfId="0" applyFont="1" applyFill="1" applyBorder="1" applyAlignment="1">
      <alignment vertical="center"/>
    </xf>
    <xf numFmtId="0" fontId="11" fillId="0" borderId="10" xfId="0" applyFont="1" applyBorder="1" applyAlignment="1">
      <alignment horizontal="left" vertical="center"/>
    </xf>
    <xf numFmtId="0" fontId="11" fillId="0" borderId="10" xfId="0" applyFont="1" applyBorder="1" applyAlignment="1">
      <alignment horizontal="left" vertical="center" wrapText="1"/>
    </xf>
    <xf numFmtId="0" fontId="11" fillId="40" borderId="10" xfId="0" applyFont="1" applyFill="1" applyBorder="1" applyAlignment="1">
      <alignment horizontal="left" vertical="center" wrapText="1"/>
    </xf>
    <xf numFmtId="0" fontId="11" fillId="40" borderId="10" xfId="0" applyFont="1" applyFill="1" applyBorder="1" applyAlignment="1">
      <alignment vertical="center"/>
    </xf>
    <xf numFmtId="14" fontId="11" fillId="0" borderId="10" xfId="0" applyNumberFormat="1" applyFont="1" applyBorder="1" applyAlignment="1">
      <alignment horizontal="left" vertical="center"/>
    </xf>
    <xf numFmtId="0" fontId="16" fillId="32" borderId="7" xfId="0" applyFont="1" applyFill="1" applyBorder="1" applyAlignment="1">
      <alignment vertical="center"/>
    </xf>
    <xf numFmtId="0" fontId="16" fillId="32" borderId="7" xfId="0" applyFont="1" applyFill="1" applyBorder="1" applyAlignment="1">
      <alignment horizontal="left" vertical="center"/>
    </xf>
    <xf numFmtId="0" fontId="16" fillId="32" borderId="7" xfId="0" applyFont="1" applyFill="1" applyBorder="1" applyAlignment="1">
      <alignment horizontal="left" vertical="center" wrapText="1"/>
    </xf>
    <xf numFmtId="0" fontId="53" fillId="32" borderId="7" xfId="0" applyFont="1" applyFill="1" applyBorder="1" applyAlignment="1">
      <alignment horizontal="left" vertical="center" wrapText="1"/>
    </xf>
    <xf numFmtId="0" fontId="11" fillId="32" borderId="7" xfId="0" applyFont="1" applyFill="1" applyBorder="1" applyAlignment="1">
      <alignment horizontal="left" vertical="center" wrapText="1"/>
    </xf>
    <xf numFmtId="0" fontId="16" fillId="41" borderId="7" xfId="0" applyFont="1" applyFill="1" applyBorder="1" applyAlignment="1">
      <alignment vertical="center"/>
    </xf>
    <xf numFmtId="0" fontId="16" fillId="41" borderId="7" xfId="0" applyFont="1" applyFill="1" applyBorder="1" applyAlignment="1">
      <alignment horizontal="left" vertical="center"/>
    </xf>
    <xf numFmtId="0" fontId="16" fillId="41" borderId="7" xfId="0" applyFont="1" applyFill="1" applyBorder="1" applyAlignment="1">
      <alignment horizontal="left" vertical="center" wrapText="1"/>
    </xf>
    <xf numFmtId="0" fontId="53" fillId="41" borderId="7" xfId="0" applyFont="1" applyFill="1" applyBorder="1" applyAlignment="1">
      <alignment horizontal="left" vertical="center" wrapText="1"/>
    </xf>
    <xf numFmtId="0" fontId="11" fillId="42" borderId="7" xfId="0" applyFont="1" applyFill="1" applyBorder="1" applyAlignment="1">
      <alignment horizontal="left" vertical="center" wrapText="1"/>
    </xf>
    <xf numFmtId="0" fontId="11" fillId="41" borderId="7" xfId="0" applyFont="1" applyFill="1" applyBorder="1" applyAlignment="1">
      <alignment horizontal="left" vertical="center" wrapText="1"/>
    </xf>
    <xf numFmtId="0" fontId="53" fillId="0" borderId="7" xfId="0" applyFont="1" applyFill="1" applyBorder="1" applyAlignment="1">
      <alignment horizontal="left" vertical="center" wrapText="1"/>
    </xf>
    <xf numFmtId="0" fontId="54" fillId="0" borderId="7" xfId="0" applyFont="1" applyFill="1" applyBorder="1" applyAlignment="1">
      <alignment horizontal="left" vertical="center" wrapText="1"/>
    </xf>
    <xf numFmtId="0" fontId="16" fillId="0" borderId="25" xfId="0" applyFont="1" applyFill="1" applyBorder="1" applyAlignment="1">
      <alignment vertical="center"/>
    </xf>
    <xf numFmtId="0" fontId="16" fillId="0" borderId="25" xfId="0" applyFont="1" applyFill="1" applyBorder="1" applyAlignment="1">
      <alignment horizontal="left" vertical="center"/>
    </xf>
    <xf numFmtId="0" fontId="53" fillId="0" borderId="25" xfId="0" applyFont="1" applyFill="1" applyBorder="1" applyAlignment="1">
      <alignment horizontal="left" vertical="center" wrapText="1"/>
    </xf>
    <xf numFmtId="0" fontId="16" fillId="3" borderId="25" xfId="0" applyFont="1" applyFill="1" applyBorder="1" applyAlignment="1">
      <alignment horizontal="left" vertical="center" wrapText="1"/>
    </xf>
    <xf numFmtId="0" fontId="16" fillId="3" borderId="25" xfId="0" applyFont="1" applyFill="1" applyBorder="1" applyAlignment="1">
      <alignment vertical="center"/>
    </xf>
    <xf numFmtId="14" fontId="16" fillId="0" borderId="25" xfId="0" applyNumberFormat="1" applyFont="1" applyFill="1" applyBorder="1" applyAlignment="1">
      <alignment horizontal="left" vertical="center"/>
    </xf>
    <xf numFmtId="0" fontId="16" fillId="0" borderId="23" xfId="0" applyFont="1" applyFill="1" applyBorder="1" applyAlignment="1">
      <alignment vertical="center"/>
    </xf>
    <xf numFmtId="0" fontId="54" fillId="0" borderId="7" xfId="0" applyFont="1" applyFill="1" applyBorder="1" applyAlignment="1">
      <alignment vertical="center"/>
    </xf>
    <xf numFmtId="0" fontId="52" fillId="0" borderId="7" xfId="0" applyFont="1" applyFill="1" applyBorder="1" applyAlignment="1">
      <alignment vertical="center"/>
    </xf>
    <xf numFmtId="0" fontId="11" fillId="0" borderId="10" xfId="0" applyFont="1" applyBorder="1" applyAlignment="1">
      <alignment vertical="center"/>
    </xf>
    <xf numFmtId="0" fontId="11" fillId="0" borderId="37" xfId="0" applyFont="1" applyBorder="1" applyAlignment="1">
      <alignment vertical="center"/>
    </xf>
    <xf numFmtId="0" fontId="11" fillId="40" borderId="37" xfId="0" applyFont="1" applyFill="1" applyBorder="1" applyAlignment="1">
      <alignment vertical="center"/>
    </xf>
    <xf numFmtId="0" fontId="11" fillId="0" borderId="12" xfId="0" applyFont="1" applyBorder="1" applyAlignment="1">
      <alignment vertical="center"/>
    </xf>
    <xf numFmtId="0" fontId="4" fillId="0" borderId="25" xfId="0" applyFont="1" applyFill="1" applyBorder="1" applyAlignment="1">
      <alignment horizontal="center" vertical="center"/>
    </xf>
    <xf numFmtId="0" fontId="6" fillId="0" borderId="25" xfId="0" applyFont="1" applyFill="1" applyBorder="1" applyAlignment="1">
      <alignment vertical="center"/>
    </xf>
    <xf numFmtId="0" fontId="4" fillId="0" borderId="25" xfId="0" applyFont="1" applyBorder="1" applyAlignment="1">
      <alignment horizontal="center" vertical="center"/>
    </xf>
    <xf numFmtId="0" fontId="8" fillId="0" borderId="27" xfId="0" applyFont="1" applyBorder="1" applyAlignment="1">
      <alignment vertical="center"/>
    </xf>
    <xf numFmtId="177" fontId="8" fillId="0" borderId="27" xfId="0" applyNumberFormat="1" applyFont="1" applyBorder="1" applyAlignment="1">
      <alignment vertical="center"/>
    </xf>
    <xf numFmtId="0" fontId="52" fillId="39" borderId="38" xfId="0" applyFont="1" applyFill="1" applyBorder="1" applyAlignment="1">
      <alignment vertical="center"/>
    </xf>
    <xf numFmtId="0" fontId="6" fillId="35" borderId="39" xfId="0" applyFont="1" applyFill="1" applyBorder="1" applyAlignment="1">
      <alignment vertical="center"/>
    </xf>
    <xf numFmtId="0" fontId="4" fillId="0" borderId="32" xfId="0" applyFont="1" applyFill="1" applyBorder="1" applyAlignment="1">
      <alignment horizontal="center" vertical="center"/>
    </xf>
    <xf numFmtId="0" fontId="6" fillId="0" borderId="32" xfId="0" applyFont="1" applyFill="1" applyBorder="1" applyAlignment="1">
      <alignment vertical="center"/>
    </xf>
    <xf numFmtId="0" fontId="4" fillId="0" borderId="32" xfId="0" applyFont="1" applyBorder="1" applyAlignment="1">
      <alignment horizontal="center" vertical="center"/>
    </xf>
    <xf numFmtId="0" fontId="8" fillId="0" borderId="34" xfId="0" applyFont="1" applyBorder="1" applyAlignment="1">
      <alignment vertical="center"/>
    </xf>
    <xf numFmtId="177" fontId="8" fillId="0" borderId="34" xfId="0" applyNumberFormat="1" applyFont="1" applyBorder="1" applyAlignment="1">
      <alignment vertical="center"/>
    </xf>
    <xf numFmtId="0" fontId="52" fillId="39" borderId="40" xfId="0" applyFont="1" applyFill="1" applyBorder="1" applyAlignment="1">
      <alignment vertical="center"/>
    </xf>
    <xf numFmtId="0" fontId="6" fillId="35" borderId="41" xfId="0" applyFont="1" applyFill="1" applyBorder="1" applyAlignment="1">
      <alignment vertical="center"/>
    </xf>
    <xf numFmtId="0" fontId="6" fillId="35" borderId="42" xfId="0" applyFont="1" applyFill="1" applyBorder="1" applyAlignment="1">
      <alignment vertical="center"/>
    </xf>
    <xf numFmtId="0" fontId="52" fillId="3" borderId="7" xfId="0" applyFont="1" applyFill="1" applyBorder="1" applyAlignment="1">
      <alignment horizontal="left" vertical="center"/>
    </xf>
    <xf numFmtId="38" fontId="16" fillId="0" borderId="7" xfId="628" applyFont="1" applyFill="1" applyBorder="1" applyAlignment="1">
      <alignment wrapText="1"/>
    </xf>
  </cellXfs>
  <cellStyles count="700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赤字強調" xfId="431"/>
    <cellStyle name="青字強調" xfId="430"/>
  </cellStyles>
  <dxfs count="2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39001</v>
          </cell>
        </row>
        <row r="183">
          <cell r="A183">
            <v>39002</v>
          </cell>
        </row>
        <row r="184">
          <cell r="A184">
            <v>39003</v>
          </cell>
        </row>
        <row r="185">
          <cell r="A185">
            <v>39004</v>
          </cell>
        </row>
        <row r="186">
          <cell r="A186">
            <v>39005</v>
          </cell>
        </row>
        <row r="187">
          <cell r="A187">
            <v>39006</v>
          </cell>
        </row>
        <row r="188">
          <cell r="A188">
            <v>39007</v>
          </cell>
        </row>
        <row r="189">
          <cell r="A189">
            <v>39008</v>
          </cell>
        </row>
        <row r="190">
          <cell r="A190">
            <v>39009</v>
          </cell>
        </row>
        <row r="191">
          <cell r="A191">
            <v>39010</v>
          </cell>
        </row>
        <row r="192">
          <cell r="A192">
            <v>39011</v>
          </cell>
        </row>
        <row r="193">
          <cell r="A193">
            <v>39012</v>
          </cell>
        </row>
        <row r="194">
          <cell r="A194">
            <v>40001</v>
          </cell>
        </row>
        <row r="195">
          <cell r="A195">
            <v>40002</v>
          </cell>
        </row>
        <row r="196">
          <cell r="A196">
            <v>40003</v>
          </cell>
        </row>
        <row r="197">
          <cell r="A197">
            <v>40004</v>
          </cell>
        </row>
        <row r="198">
          <cell r="A198">
            <v>40005</v>
          </cell>
        </row>
        <row r="199">
          <cell r="A199">
            <v>40006</v>
          </cell>
        </row>
        <row r="200">
          <cell r="A200">
            <v>40007</v>
          </cell>
        </row>
        <row r="201">
          <cell r="A201">
            <v>40008</v>
          </cell>
        </row>
        <row r="202">
          <cell r="A202">
            <v>40009</v>
          </cell>
        </row>
        <row r="203">
          <cell r="A203">
            <v>40010</v>
          </cell>
        </row>
        <row r="204">
          <cell r="A204">
            <v>40011</v>
          </cell>
        </row>
        <row r="205">
          <cell r="A205">
            <v>40012</v>
          </cell>
        </row>
        <row r="206">
          <cell r="A206">
            <v>40013</v>
          </cell>
        </row>
        <row r="207">
          <cell r="A207">
            <v>40014</v>
          </cell>
        </row>
        <row r="208">
          <cell r="A208">
            <v>40015</v>
          </cell>
        </row>
        <row r="209">
          <cell r="A209">
            <v>40016</v>
          </cell>
        </row>
        <row r="210">
          <cell r="A210">
            <v>40017</v>
          </cell>
        </row>
        <row r="211">
          <cell r="A211">
            <v>40018</v>
          </cell>
        </row>
        <row r="212">
          <cell r="A212">
            <v>40019</v>
          </cell>
        </row>
        <row r="213">
          <cell r="A213">
            <v>40021</v>
          </cell>
        </row>
        <row r="214">
          <cell r="A214">
            <v>40022</v>
          </cell>
        </row>
        <row r="215">
          <cell r="A215">
            <v>40023</v>
          </cell>
        </row>
        <row r="216">
          <cell r="A216">
            <v>40024</v>
          </cell>
        </row>
        <row r="217">
          <cell r="A217">
            <v>40025</v>
          </cell>
        </row>
        <row r="218">
          <cell r="A218">
            <v>40026</v>
          </cell>
        </row>
        <row r="219">
          <cell r="A219">
            <v>40027</v>
          </cell>
        </row>
        <row r="220">
          <cell r="A220">
            <v>40028</v>
          </cell>
        </row>
        <row r="221">
          <cell r="A221">
            <v>40029</v>
          </cell>
        </row>
        <row r="222">
          <cell r="A222">
            <v>40030</v>
          </cell>
        </row>
        <row r="223">
          <cell r="A223">
            <v>40031</v>
          </cell>
        </row>
        <row r="224">
          <cell r="A224">
            <v>40032</v>
          </cell>
        </row>
        <row r="225">
          <cell r="A225">
            <v>40033</v>
          </cell>
        </row>
        <row r="226">
          <cell r="A226">
            <v>40034</v>
          </cell>
        </row>
        <row r="227">
          <cell r="A227">
            <v>40035</v>
          </cell>
        </row>
        <row r="228">
          <cell r="A228">
            <v>40036</v>
          </cell>
        </row>
        <row r="229">
          <cell r="A229">
            <v>40037</v>
          </cell>
        </row>
        <row r="230">
          <cell r="A230">
            <v>40038</v>
          </cell>
        </row>
        <row r="231">
          <cell r="A231">
            <v>40039</v>
          </cell>
        </row>
        <row r="232">
          <cell r="A232">
            <v>40040</v>
          </cell>
        </row>
        <row r="233">
          <cell r="A233">
            <v>40041</v>
          </cell>
        </row>
        <row r="234">
          <cell r="A234">
            <v>40042</v>
          </cell>
        </row>
        <row r="235">
          <cell r="A235">
            <v>40043</v>
          </cell>
        </row>
        <row r="236">
          <cell r="A236">
            <v>40044</v>
          </cell>
        </row>
        <row r="237">
          <cell r="A237">
            <v>40045</v>
          </cell>
        </row>
        <row r="238">
          <cell r="A238">
            <v>48001</v>
          </cell>
        </row>
        <row r="239">
          <cell r="A239">
            <v>48002</v>
          </cell>
        </row>
        <row r="240">
          <cell r="A240">
            <v>48003</v>
          </cell>
        </row>
        <row r="241">
          <cell r="A241">
            <v>48004</v>
          </cell>
        </row>
        <row r="242">
          <cell r="A242">
            <v>48005</v>
          </cell>
        </row>
        <row r="243">
          <cell r="A243">
            <v>48006</v>
          </cell>
        </row>
        <row r="244">
          <cell r="A244">
            <v>48007</v>
          </cell>
        </row>
        <row r="245">
          <cell r="A245">
            <v>48008</v>
          </cell>
        </row>
        <row r="246">
          <cell r="A246">
            <v>48009</v>
          </cell>
        </row>
        <row r="247">
          <cell r="A247">
            <v>48010</v>
          </cell>
        </row>
        <row r="248">
          <cell r="A248">
            <v>48011</v>
          </cell>
        </row>
        <row r="249">
          <cell r="A249">
            <v>48012</v>
          </cell>
        </row>
        <row r="250">
          <cell r="A250">
            <v>48501</v>
          </cell>
        </row>
        <row r="251">
          <cell r="A251">
            <v>48502</v>
          </cell>
        </row>
        <row r="252">
          <cell r="A252">
            <v>48701</v>
          </cell>
        </row>
        <row r="253">
          <cell r="A253">
            <v>48702</v>
          </cell>
        </row>
        <row r="254">
          <cell r="A254">
            <v>41001</v>
          </cell>
        </row>
        <row r="255">
          <cell r="A255">
            <v>41002</v>
          </cell>
        </row>
        <row r="256">
          <cell r="A256">
            <v>41003</v>
          </cell>
        </row>
        <row r="257">
          <cell r="A257">
            <v>41004</v>
          </cell>
        </row>
        <row r="258">
          <cell r="A258">
            <v>41005</v>
          </cell>
        </row>
        <row r="259">
          <cell r="A259">
            <v>41006</v>
          </cell>
        </row>
        <row r="260">
          <cell r="A260">
            <v>41007</v>
          </cell>
        </row>
        <row r="261">
          <cell r="A261">
            <v>41008</v>
          </cell>
        </row>
        <row r="262">
          <cell r="A262">
            <v>41009</v>
          </cell>
        </row>
        <row r="263">
          <cell r="A263">
            <v>41010</v>
          </cell>
        </row>
        <row r="264">
          <cell r="A264">
            <v>41011</v>
          </cell>
        </row>
        <row r="265">
          <cell r="A265">
            <v>41012</v>
          </cell>
        </row>
        <row r="266">
          <cell r="A266">
            <v>41013</v>
          </cell>
        </row>
        <row r="267">
          <cell r="A267">
            <v>41014</v>
          </cell>
        </row>
        <row r="268">
          <cell r="A268">
            <v>41015</v>
          </cell>
        </row>
        <row r="269">
          <cell r="A269">
            <v>47001</v>
          </cell>
        </row>
        <row r="270">
          <cell r="A270">
            <v>47002</v>
          </cell>
        </row>
        <row r="271">
          <cell r="A271">
            <v>47003</v>
          </cell>
        </row>
        <row r="272">
          <cell r="A272">
            <v>47004</v>
          </cell>
        </row>
        <row r="273">
          <cell r="A273">
            <v>47005</v>
          </cell>
        </row>
        <row r="274">
          <cell r="A274">
            <v>47006</v>
          </cell>
        </row>
        <row r="275">
          <cell r="A275">
            <v>47007</v>
          </cell>
        </row>
        <row r="276">
          <cell r="A276">
            <v>47008</v>
          </cell>
        </row>
        <row r="277">
          <cell r="A277">
            <v>47009</v>
          </cell>
        </row>
        <row r="278">
          <cell r="A278">
            <v>47010</v>
          </cell>
        </row>
        <row r="279">
          <cell r="A279">
            <v>47011</v>
          </cell>
        </row>
        <row r="280">
          <cell r="A280">
            <v>47012</v>
          </cell>
        </row>
        <row r="281">
          <cell r="A281">
            <v>49001</v>
          </cell>
        </row>
        <row r="282">
          <cell r="A282">
            <v>49002</v>
          </cell>
        </row>
        <row r="283">
          <cell r="A283">
            <v>49003</v>
          </cell>
        </row>
        <row r="284">
          <cell r="A284">
            <v>49004</v>
          </cell>
        </row>
        <row r="285">
          <cell r="A285">
            <v>49005</v>
          </cell>
        </row>
        <row r="286">
          <cell r="A286">
            <v>49006</v>
          </cell>
        </row>
        <row r="287">
          <cell r="A287">
            <v>49007</v>
          </cell>
        </row>
        <row r="288">
          <cell r="A288">
            <v>49008</v>
          </cell>
        </row>
        <row r="289">
          <cell r="A289">
            <v>49009</v>
          </cell>
        </row>
        <row r="290">
          <cell r="A290">
            <v>49010</v>
          </cell>
        </row>
        <row r="291">
          <cell r="A291">
            <v>49011</v>
          </cell>
        </row>
        <row r="292">
          <cell r="A292">
            <v>49012</v>
          </cell>
        </row>
        <row r="293">
          <cell r="A293">
            <v>49013</v>
          </cell>
        </row>
        <row r="294">
          <cell r="A294">
            <v>49014</v>
          </cell>
        </row>
        <row r="295">
          <cell r="A295">
            <v>49015</v>
          </cell>
        </row>
        <row r="296">
          <cell r="A296">
            <v>50001</v>
          </cell>
        </row>
        <row r="297">
          <cell r="A297">
            <v>50002</v>
          </cell>
        </row>
        <row r="298">
          <cell r="A298">
            <v>50003</v>
          </cell>
        </row>
        <row r="299">
          <cell r="A299">
            <v>50004</v>
          </cell>
        </row>
        <row r="300">
          <cell r="A300">
            <v>50005</v>
          </cell>
        </row>
        <row r="301">
          <cell r="A301">
            <v>50006</v>
          </cell>
        </row>
        <row r="302">
          <cell r="A302">
            <v>50007</v>
          </cell>
        </row>
        <row r="303">
          <cell r="A303">
            <v>50008</v>
          </cell>
        </row>
        <row r="304">
          <cell r="A304">
            <v>50009</v>
          </cell>
        </row>
        <row r="305">
          <cell r="A305">
            <v>50010</v>
          </cell>
        </row>
        <row r="306">
          <cell r="A306">
            <v>50011</v>
          </cell>
        </row>
        <row r="307">
          <cell r="A307">
            <v>50012</v>
          </cell>
        </row>
        <row r="308">
          <cell r="A308">
            <v>50013</v>
          </cell>
        </row>
        <row r="309">
          <cell r="A309">
            <v>50014</v>
          </cell>
        </row>
        <row r="310">
          <cell r="A310">
            <v>50015</v>
          </cell>
        </row>
        <row r="311">
          <cell r="A311">
            <v>51001</v>
          </cell>
        </row>
        <row r="312">
          <cell r="A312">
            <v>51002</v>
          </cell>
        </row>
        <row r="313">
          <cell r="A313">
            <v>58001</v>
          </cell>
        </row>
        <row r="314">
          <cell r="A314">
            <v>59001</v>
          </cell>
        </row>
        <row r="315">
          <cell r="A315">
            <v>59002</v>
          </cell>
        </row>
        <row r="316">
          <cell r="A316">
            <v>60001</v>
          </cell>
        </row>
        <row r="317">
          <cell r="A317">
            <v>60002</v>
          </cell>
        </row>
        <row r="318">
          <cell r="A318">
            <v>60003</v>
          </cell>
        </row>
        <row r="319">
          <cell r="A319">
            <v>60004</v>
          </cell>
        </row>
        <row r="320">
          <cell r="A320">
            <v>60005</v>
          </cell>
        </row>
        <row r="321">
          <cell r="A321">
            <v>60006</v>
          </cell>
        </row>
        <row r="322">
          <cell r="A322">
            <v>60007</v>
          </cell>
        </row>
        <row r="323">
          <cell r="A323">
            <v>60010</v>
          </cell>
        </row>
        <row r="324">
          <cell r="A324">
            <v>60011</v>
          </cell>
        </row>
        <row r="325">
          <cell r="A325">
            <v>61011</v>
          </cell>
        </row>
        <row r="326">
          <cell r="A326">
            <v>60012</v>
          </cell>
        </row>
        <row r="327">
          <cell r="A327">
            <v>60013</v>
          </cell>
        </row>
        <row r="328">
          <cell r="A328">
            <v>60014</v>
          </cell>
        </row>
        <row r="329">
          <cell r="A329">
            <v>60015</v>
          </cell>
        </row>
        <row r="330">
          <cell r="A330">
            <v>60016</v>
          </cell>
        </row>
        <row r="331">
          <cell r="A331">
            <v>60017</v>
          </cell>
        </row>
        <row r="332">
          <cell r="A332">
            <v>60018</v>
          </cell>
        </row>
        <row r="333">
          <cell r="A333">
            <v>60019</v>
          </cell>
        </row>
        <row r="334">
          <cell r="A334">
            <v>60020</v>
          </cell>
        </row>
        <row r="335">
          <cell r="A335">
            <v>60025</v>
          </cell>
        </row>
        <row r="336">
          <cell r="A336">
            <v>60026</v>
          </cell>
        </row>
        <row r="337">
          <cell r="A337">
            <v>60027</v>
          </cell>
        </row>
        <row r="338">
          <cell r="A338">
            <v>60028</v>
          </cell>
        </row>
        <row r="339">
          <cell r="A339">
            <v>60029</v>
          </cell>
        </row>
        <row r="340">
          <cell r="A340">
            <v>65523</v>
          </cell>
        </row>
        <row r="341">
          <cell r="A341">
            <v>65524</v>
          </cell>
        </row>
        <row r="342">
          <cell r="A342">
            <v>65525</v>
          </cell>
        </row>
        <row r="343">
          <cell r="A343">
            <v>65526</v>
          </cell>
        </row>
        <row r="344">
          <cell r="A344">
            <v>65527</v>
          </cell>
        </row>
        <row r="345">
          <cell r="A345">
            <v>65528</v>
          </cell>
        </row>
        <row r="346">
          <cell r="A346">
            <v>65529</v>
          </cell>
        </row>
        <row r="347">
          <cell r="A347">
            <v>65530</v>
          </cell>
        </row>
        <row r="348">
          <cell r="A348">
            <v>65531</v>
          </cell>
        </row>
        <row r="349">
          <cell r="A349">
            <v>65532</v>
          </cell>
        </row>
        <row r="350">
          <cell r="A350">
            <v>65533</v>
          </cell>
        </row>
        <row r="351">
          <cell r="A351">
            <v>65534</v>
          </cell>
        </row>
        <row r="352">
          <cell r="A352">
            <v>65535</v>
          </cell>
        </row>
        <row r="353">
          <cell r="A353">
            <v>60021</v>
          </cell>
        </row>
        <row r="354">
          <cell r="A354">
            <v>60022</v>
          </cell>
        </row>
        <row r="355">
          <cell r="A355">
            <v>60023</v>
          </cell>
        </row>
        <row r="356">
          <cell r="A356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39001_1</v>
          </cell>
        </row>
        <row r="665">
          <cell r="A665" t="str">
            <v>39001_2</v>
          </cell>
        </row>
        <row r="666">
          <cell r="A666" t="str">
            <v>39001_3</v>
          </cell>
        </row>
        <row r="667">
          <cell r="A667" t="str">
            <v>39001_4</v>
          </cell>
        </row>
        <row r="668">
          <cell r="A668" t="str">
            <v>39001_5</v>
          </cell>
        </row>
        <row r="669">
          <cell r="A669" t="str">
            <v>39002_1</v>
          </cell>
        </row>
        <row r="670">
          <cell r="A670" t="str">
            <v>39002_2</v>
          </cell>
        </row>
        <row r="671">
          <cell r="A671" t="str">
            <v>39002_3</v>
          </cell>
        </row>
        <row r="672">
          <cell r="A672" t="str">
            <v>39002_4</v>
          </cell>
        </row>
        <row r="673">
          <cell r="A673" t="str">
            <v>39003_1</v>
          </cell>
        </row>
        <row r="674">
          <cell r="A674" t="str">
            <v>39003_2</v>
          </cell>
        </row>
        <row r="675">
          <cell r="A675" t="str">
            <v>39003_3</v>
          </cell>
        </row>
        <row r="676">
          <cell r="A676" t="str">
            <v>39003_4</v>
          </cell>
        </row>
        <row r="677">
          <cell r="A677" t="str">
            <v>39004_1</v>
          </cell>
        </row>
        <row r="678">
          <cell r="A678" t="str">
            <v>39004_2</v>
          </cell>
        </row>
        <row r="679">
          <cell r="A679" t="str">
            <v>39004_3</v>
          </cell>
        </row>
        <row r="680">
          <cell r="A680" t="str">
            <v>39004_4</v>
          </cell>
        </row>
        <row r="681">
          <cell r="A681" t="str">
            <v>39005_1</v>
          </cell>
        </row>
        <row r="682">
          <cell r="A682" t="str">
            <v>39005_2</v>
          </cell>
        </row>
        <row r="683">
          <cell r="A683" t="str">
            <v>39005_3</v>
          </cell>
        </row>
        <row r="684">
          <cell r="A684" t="str">
            <v>39005_4</v>
          </cell>
        </row>
        <row r="685">
          <cell r="A685" t="str">
            <v>39005_5</v>
          </cell>
        </row>
        <row r="686">
          <cell r="A686" t="str">
            <v>39006_1</v>
          </cell>
        </row>
        <row r="687">
          <cell r="A687" t="str">
            <v>39006_2</v>
          </cell>
        </row>
        <row r="688">
          <cell r="A688" t="str">
            <v>39006_3</v>
          </cell>
        </row>
        <row r="689">
          <cell r="A689" t="str">
            <v>39006_4</v>
          </cell>
        </row>
        <row r="690">
          <cell r="A690" t="str">
            <v>39007_1</v>
          </cell>
        </row>
        <row r="691">
          <cell r="A691" t="str">
            <v>39007_2</v>
          </cell>
        </row>
        <row r="692">
          <cell r="A692" t="str">
            <v>39007_3</v>
          </cell>
        </row>
        <row r="693">
          <cell r="A693" t="str">
            <v>39007_4</v>
          </cell>
        </row>
        <row r="694">
          <cell r="A694" t="str">
            <v>39008_1</v>
          </cell>
        </row>
        <row r="695">
          <cell r="A695" t="str">
            <v>39008_2</v>
          </cell>
        </row>
        <row r="696">
          <cell r="A696" t="str">
            <v>39008_3</v>
          </cell>
        </row>
        <row r="697">
          <cell r="A697" t="str">
            <v>39008_4</v>
          </cell>
        </row>
        <row r="698">
          <cell r="A698" t="str">
            <v>39008_5</v>
          </cell>
        </row>
        <row r="699">
          <cell r="A699" t="str">
            <v>39009_1</v>
          </cell>
        </row>
        <row r="700">
          <cell r="A700" t="str">
            <v>39009_2</v>
          </cell>
        </row>
        <row r="701">
          <cell r="A701" t="str">
            <v>39009_3</v>
          </cell>
        </row>
        <row r="702">
          <cell r="A702" t="str">
            <v>39009_4</v>
          </cell>
        </row>
        <row r="703">
          <cell r="A703" t="str">
            <v>39009_5</v>
          </cell>
        </row>
        <row r="704">
          <cell r="A704" t="str">
            <v>39010_1</v>
          </cell>
        </row>
        <row r="705">
          <cell r="A705" t="str">
            <v>39010_2</v>
          </cell>
        </row>
        <row r="706">
          <cell r="A706" t="str">
            <v>39010_3</v>
          </cell>
        </row>
        <row r="707">
          <cell r="A707" t="str">
            <v>39010_4</v>
          </cell>
        </row>
        <row r="708">
          <cell r="A708" t="str">
            <v>39011_1</v>
          </cell>
        </row>
        <row r="709">
          <cell r="A709" t="str">
            <v>39011_2</v>
          </cell>
        </row>
        <row r="710">
          <cell r="A710" t="str">
            <v>39011_3</v>
          </cell>
        </row>
        <row r="711">
          <cell r="A711" t="str">
            <v>39011_4</v>
          </cell>
        </row>
        <row r="712">
          <cell r="A712" t="str">
            <v>39012_1</v>
          </cell>
        </row>
        <row r="713">
          <cell r="A713" t="str">
            <v>39012_2</v>
          </cell>
        </row>
        <row r="714">
          <cell r="A714" t="str">
            <v>39012_3</v>
          </cell>
        </row>
        <row r="715">
          <cell r="A715" t="str">
            <v>39012_4</v>
          </cell>
        </row>
        <row r="716">
          <cell r="A716" t="str">
            <v>39012_5</v>
          </cell>
        </row>
        <row r="717">
          <cell r="A717" t="str">
            <v>40001_1</v>
          </cell>
        </row>
        <row r="718">
          <cell r="A718" t="str">
            <v>40002_1</v>
          </cell>
        </row>
        <row r="719">
          <cell r="A719" t="str">
            <v>40002_2</v>
          </cell>
        </row>
        <row r="720">
          <cell r="A720" t="str">
            <v>40002_3</v>
          </cell>
        </row>
        <row r="721">
          <cell r="A721" t="str">
            <v>40003_1</v>
          </cell>
        </row>
        <row r="722">
          <cell r="A722" t="str">
            <v>40004_1</v>
          </cell>
        </row>
        <row r="723">
          <cell r="A723" t="str">
            <v>40005_1</v>
          </cell>
        </row>
        <row r="724">
          <cell r="A724" t="str">
            <v>40006_1</v>
          </cell>
        </row>
        <row r="725">
          <cell r="A725" t="str">
            <v>40007_1</v>
          </cell>
        </row>
        <row r="726">
          <cell r="A726" t="str">
            <v>40008_1</v>
          </cell>
        </row>
        <row r="727">
          <cell r="A727" t="str">
            <v>40009_1</v>
          </cell>
        </row>
        <row r="728">
          <cell r="A728" t="str">
            <v>40010_1</v>
          </cell>
        </row>
        <row r="729">
          <cell r="A729" t="str">
            <v>40011_1</v>
          </cell>
        </row>
        <row r="730">
          <cell r="A730" t="str">
            <v>40012_1</v>
          </cell>
        </row>
        <row r="731">
          <cell r="A731" t="str">
            <v>40013_1</v>
          </cell>
        </row>
        <row r="732">
          <cell r="A732" t="str">
            <v>40014_1</v>
          </cell>
        </row>
        <row r="733">
          <cell r="A733" t="str">
            <v>40015_1</v>
          </cell>
        </row>
        <row r="734">
          <cell r="A734" t="str">
            <v>40016_1</v>
          </cell>
        </row>
        <row r="735">
          <cell r="A735" t="str">
            <v>40016_2</v>
          </cell>
        </row>
        <row r="736">
          <cell r="A736" t="str">
            <v>40017_1</v>
          </cell>
        </row>
        <row r="737">
          <cell r="A737" t="str">
            <v>40017_2</v>
          </cell>
        </row>
        <row r="738">
          <cell r="A738" t="str">
            <v>40017_3</v>
          </cell>
        </row>
        <row r="739">
          <cell r="A739" t="str">
            <v>40018_1</v>
          </cell>
        </row>
        <row r="740">
          <cell r="A740" t="str">
            <v>40018_2</v>
          </cell>
        </row>
        <row r="741">
          <cell r="A741" t="str">
            <v>40018_3</v>
          </cell>
        </row>
        <row r="742">
          <cell r="A742" t="str">
            <v>40019_1</v>
          </cell>
        </row>
        <row r="743">
          <cell r="A743" t="str">
            <v>40019_2</v>
          </cell>
        </row>
        <row r="744">
          <cell r="A744" t="str">
            <v>40019_3</v>
          </cell>
        </row>
        <row r="745">
          <cell r="A745" t="str">
            <v>40021_1</v>
          </cell>
        </row>
        <row r="746">
          <cell r="A746" t="str">
            <v>40021_2</v>
          </cell>
        </row>
        <row r="747">
          <cell r="A747" t="str">
            <v>40022_1</v>
          </cell>
        </row>
        <row r="748">
          <cell r="A748" t="str">
            <v>40022_2</v>
          </cell>
        </row>
        <row r="749">
          <cell r="A749" t="str">
            <v>40023_1</v>
          </cell>
        </row>
        <row r="750">
          <cell r="A750" t="str">
            <v>40023_2</v>
          </cell>
        </row>
        <row r="751">
          <cell r="A751" t="str">
            <v>40024_1</v>
          </cell>
        </row>
        <row r="752">
          <cell r="A752" t="str">
            <v>40024_2</v>
          </cell>
        </row>
        <row r="753">
          <cell r="A753" t="str">
            <v>40025_1</v>
          </cell>
        </row>
        <row r="754">
          <cell r="A754" t="str">
            <v>40025_2</v>
          </cell>
        </row>
        <row r="755">
          <cell r="A755" t="str">
            <v>40026_1</v>
          </cell>
        </row>
        <row r="756">
          <cell r="A756" t="str">
            <v>40026_2</v>
          </cell>
        </row>
        <row r="757">
          <cell r="A757" t="str">
            <v>40027_1</v>
          </cell>
        </row>
        <row r="758">
          <cell r="A758" t="str">
            <v>40027_2</v>
          </cell>
        </row>
        <row r="759">
          <cell r="A759" t="str">
            <v>40028_1</v>
          </cell>
        </row>
        <row r="760">
          <cell r="A760" t="str">
            <v>40028_2</v>
          </cell>
        </row>
        <row r="761">
          <cell r="A761" t="str">
            <v>40029_1</v>
          </cell>
        </row>
        <row r="762">
          <cell r="A762" t="str">
            <v>40029_2</v>
          </cell>
        </row>
        <row r="763">
          <cell r="A763" t="str">
            <v>40030_1</v>
          </cell>
        </row>
        <row r="764">
          <cell r="A764" t="str">
            <v>40030_2</v>
          </cell>
        </row>
        <row r="765">
          <cell r="A765" t="str">
            <v>40031_1</v>
          </cell>
        </row>
        <row r="766">
          <cell r="A766" t="str">
            <v>40031_2</v>
          </cell>
        </row>
        <row r="767">
          <cell r="A767" t="str">
            <v>40032_1</v>
          </cell>
        </row>
        <row r="768">
          <cell r="A768" t="str">
            <v>40032_2</v>
          </cell>
        </row>
        <row r="769">
          <cell r="A769" t="str">
            <v>40033_1</v>
          </cell>
        </row>
        <row r="770">
          <cell r="A770" t="str">
            <v>40033_2</v>
          </cell>
        </row>
        <row r="771">
          <cell r="A771" t="str">
            <v>40034_1</v>
          </cell>
        </row>
        <row r="772">
          <cell r="A772" t="str">
            <v>40034_2</v>
          </cell>
        </row>
        <row r="773">
          <cell r="A773" t="str">
            <v>40035_1</v>
          </cell>
        </row>
        <row r="774">
          <cell r="A774" t="str">
            <v>40035_2</v>
          </cell>
        </row>
        <row r="775">
          <cell r="A775" t="str">
            <v>40036_1</v>
          </cell>
        </row>
        <row r="776">
          <cell r="A776" t="str">
            <v>40036_2</v>
          </cell>
        </row>
        <row r="777">
          <cell r="A777" t="str">
            <v>40037_1</v>
          </cell>
        </row>
        <row r="778">
          <cell r="A778" t="str">
            <v>40037_2</v>
          </cell>
        </row>
        <row r="779">
          <cell r="A779" t="str">
            <v>40038_1</v>
          </cell>
        </row>
        <row r="780">
          <cell r="A780" t="str">
            <v>40038_2</v>
          </cell>
        </row>
        <row r="781">
          <cell r="A781" t="str">
            <v>40039_1</v>
          </cell>
        </row>
        <row r="782">
          <cell r="A782" t="str">
            <v>40039_2</v>
          </cell>
        </row>
        <row r="783">
          <cell r="A783" t="str">
            <v>40040_1</v>
          </cell>
        </row>
        <row r="784">
          <cell r="A784" t="str">
            <v>40040_2</v>
          </cell>
        </row>
        <row r="785">
          <cell r="A785" t="str">
            <v>40041_1</v>
          </cell>
        </row>
        <row r="786">
          <cell r="A786" t="str">
            <v>40041_2</v>
          </cell>
        </row>
        <row r="787">
          <cell r="A787" t="str">
            <v>40042_1</v>
          </cell>
        </row>
        <row r="788">
          <cell r="A788" t="str">
            <v>40042_2</v>
          </cell>
        </row>
        <row r="789">
          <cell r="A789" t="str">
            <v>40043_1</v>
          </cell>
        </row>
        <row r="790">
          <cell r="A790" t="str">
            <v>40043_2</v>
          </cell>
        </row>
        <row r="791">
          <cell r="A791" t="str">
            <v>40044_1</v>
          </cell>
        </row>
        <row r="792">
          <cell r="A792" t="str">
            <v>40044_2</v>
          </cell>
        </row>
        <row r="793">
          <cell r="A793" t="str">
            <v>40045_1</v>
          </cell>
        </row>
        <row r="794">
          <cell r="A794" t="str">
            <v>40045_2</v>
          </cell>
        </row>
        <row r="795">
          <cell r="A795" t="str">
            <v>41001_1</v>
          </cell>
        </row>
        <row r="796">
          <cell r="A796" t="str">
            <v>41001_2</v>
          </cell>
        </row>
        <row r="797">
          <cell r="A797" t="str">
            <v>41001_3</v>
          </cell>
        </row>
        <row r="798">
          <cell r="A798" t="str">
            <v>41002_1</v>
          </cell>
        </row>
        <row r="799">
          <cell r="A799" t="str">
            <v>41002_2</v>
          </cell>
        </row>
        <row r="800">
          <cell r="A800" t="str">
            <v>41002_3</v>
          </cell>
        </row>
        <row r="801">
          <cell r="A801" t="str">
            <v>41003_1</v>
          </cell>
        </row>
        <row r="802">
          <cell r="A802" t="str">
            <v>41003_2</v>
          </cell>
        </row>
        <row r="803">
          <cell r="A803" t="str">
            <v>41003_3</v>
          </cell>
        </row>
        <row r="804">
          <cell r="A804" t="str">
            <v>41004_1</v>
          </cell>
        </row>
        <row r="805">
          <cell r="A805" t="str">
            <v>41004_2</v>
          </cell>
        </row>
        <row r="806">
          <cell r="A806" t="str">
            <v>41004_3</v>
          </cell>
        </row>
        <row r="807">
          <cell r="A807" t="str">
            <v>41005_1</v>
          </cell>
        </row>
        <row r="808">
          <cell r="A808" t="str">
            <v>41005_2</v>
          </cell>
        </row>
        <row r="809">
          <cell r="A809" t="str">
            <v>41005_3</v>
          </cell>
        </row>
        <row r="810">
          <cell r="A810" t="str">
            <v>41006_1</v>
          </cell>
        </row>
        <row r="811">
          <cell r="A811" t="str">
            <v>41006_2</v>
          </cell>
        </row>
        <row r="812">
          <cell r="A812" t="str">
            <v>41006_3</v>
          </cell>
        </row>
        <row r="813">
          <cell r="A813" t="str">
            <v>41007_1</v>
          </cell>
        </row>
        <row r="814">
          <cell r="A814" t="str">
            <v>41007_2</v>
          </cell>
        </row>
        <row r="815">
          <cell r="A815" t="str">
            <v>41007_3</v>
          </cell>
        </row>
        <row r="816">
          <cell r="A816" t="str">
            <v>41008_1</v>
          </cell>
        </row>
        <row r="817">
          <cell r="A817" t="str">
            <v>41008_2</v>
          </cell>
        </row>
        <row r="818">
          <cell r="A818" t="str">
            <v>41008_3</v>
          </cell>
        </row>
        <row r="819">
          <cell r="A819" t="str">
            <v>41009_1</v>
          </cell>
        </row>
        <row r="820">
          <cell r="A820" t="str">
            <v>41009_2</v>
          </cell>
        </row>
        <row r="821">
          <cell r="A821" t="str">
            <v>41009_3</v>
          </cell>
        </row>
        <row r="822">
          <cell r="A822" t="str">
            <v>41010_1</v>
          </cell>
        </row>
        <row r="823">
          <cell r="A823" t="str">
            <v>41010_2</v>
          </cell>
        </row>
        <row r="824">
          <cell r="A824" t="str">
            <v>41010_3</v>
          </cell>
        </row>
        <row r="825">
          <cell r="A825" t="str">
            <v>41011_1</v>
          </cell>
        </row>
        <row r="826">
          <cell r="A826" t="str">
            <v>41011_2</v>
          </cell>
        </row>
        <row r="827">
          <cell r="A827" t="str">
            <v>41012_1</v>
          </cell>
        </row>
        <row r="828">
          <cell r="A828" t="str">
            <v>41012_2</v>
          </cell>
        </row>
        <row r="829">
          <cell r="A829" t="str">
            <v>41013_1</v>
          </cell>
        </row>
        <row r="830">
          <cell r="A830" t="str">
            <v>41013_2</v>
          </cell>
        </row>
        <row r="831">
          <cell r="A831" t="str">
            <v>41014_1</v>
          </cell>
        </row>
        <row r="832">
          <cell r="A832" t="str">
            <v>41014_2</v>
          </cell>
        </row>
        <row r="833">
          <cell r="A833" t="str">
            <v>41015_1</v>
          </cell>
        </row>
        <row r="834">
          <cell r="A834" t="str">
            <v>41015_2</v>
          </cell>
        </row>
        <row r="835">
          <cell r="A835" t="str">
            <v>47001_1</v>
          </cell>
        </row>
        <row r="836">
          <cell r="A836" t="str">
            <v>47001_2</v>
          </cell>
        </row>
        <row r="837">
          <cell r="A837" t="str">
            <v>47002_1</v>
          </cell>
        </row>
        <row r="838">
          <cell r="A838" t="str">
            <v>47002_2</v>
          </cell>
        </row>
        <row r="839">
          <cell r="A839" t="str">
            <v>47003_1</v>
          </cell>
        </row>
        <row r="840">
          <cell r="A840" t="str">
            <v>47003_2</v>
          </cell>
        </row>
        <row r="841">
          <cell r="A841" t="str">
            <v>47003_3</v>
          </cell>
        </row>
        <row r="842">
          <cell r="A842" t="str">
            <v>47003_4</v>
          </cell>
        </row>
        <row r="843">
          <cell r="A843" t="str">
            <v>47004_1</v>
          </cell>
        </row>
        <row r="844">
          <cell r="A844" t="str">
            <v>47004_2</v>
          </cell>
        </row>
        <row r="845">
          <cell r="A845" t="str">
            <v>47004_3</v>
          </cell>
        </row>
        <row r="846">
          <cell r="A846" t="str">
            <v>47004_4</v>
          </cell>
        </row>
        <row r="847">
          <cell r="A847" t="str">
            <v>47005_1</v>
          </cell>
        </row>
        <row r="848">
          <cell r="A848" t="str">
            <v>47006_1</v>
          </cell>
        </row>
        <row r="849">
          <cell r="A849" t="str">
            <v>47006_2</v>
          </cell>
        </row>
        <row r="850">
          <cell r="A850" t="str">
            <v>47007_1</v>
          </cell>
        </row>
        <row r="851">
          <cell r="A851" t="str">
            <v>47007_2</v>
          </cell>
        </row>
        <row r="852">
          <cell r="A852" t="str">
            <v>47008_1</v>
          </cell>
        </row>
        <row r="853">
          <cell r="A853" t="str">
            <v>47008_2</v>
          </cell>
        </row>
        <row r="854">
          <cell r="A854" t="str">
            <v>47009_1</v>
          </cell>
        </row>
        <row r="855">
          <cell r="A855" t="str">
            <v>47009_2</v>
          </cell>
        </row>
        <row r="856">
          <cell r="A856" t="str">
            <v>47010_1</v>
          </cell>
        </row>
        <row r="857">
          <cell r="A857" t="str">
            <v>47010_2</v>
          </cell>
        </row>
        <row r="858">
          <cell r="A858" t="str">
            <v>47011_1</v>
          </cell>
        </row>
        <row r="859">
          <cell r="A859" t="str">
            <v>47012_1</v>
          </cell>
        </row>
        <row r="860">
          <cell r="A860" t="str">
            <v>47012_2</v>
          </cell>
        </row>
        <row r="861">
          <cell r="A861" t="str">
            <v>48001_1</v>
          </cell>
        </row>
        <row r="862">
          <cell r="A862" t="str">
            <v>48002_1</v>
          </cell>
        </row>
        <row r="863">
          <cell r="A863" t="str">
            <v>48002_2</v>
          </cell>
        </row>
        <row r="864">
          <cell r="A864" t="str">
            <v>48002_3</v>
          </cell>
        </row>
        <row r="865">
          <cell r="A865" t="str">
            <v>48003_1</v>
          </cell>
        </row>
        <row r="866">
          <cell r="A866" t="str">
            <v>48003_2</v>
          </cell>
        </row>
        <row r="867">
          <cell r="A867" t="str">
            <v>48004_1</v>
          </cell>
        </row>
        <row r="868">
          <cell r="A868" t="str">
            <v>48004_2</v>
          </cell>
        </row>
        <row r="869">
          <cell r="A869" t="str">
            <v>48005_1</v>
          </cell>
        </row>
        <row r="870">
          <cell r="A870" t="str">
            <v>48005_2</v>
          </cell>
        </row>
        <row r="871">
          <cell r="A871" t="str">
            <v>48006_1</v>
          </cell>
        </row>
        <row r="872">
          <cell r="A872" t="str">
            <v>48006_2</v>
          </cell>
        </row>
        <row r="873">
          <cell r="A873" t="str">
            <v>48007_1</v>
          </cell>
        </row>
        <row r="874">
          <cell r="A874" t="str">
            <v>48007_2</v>
          </cell>
        </row>
        <row r="875">
          <cell r="A875" t="str">
            <v>48008_1</v>
          </cell>
        </row>
        <row r="876">
          <cell r="A876" t="str">
            <v>48008_2</v>
          </cell>
        </row>
        <row r="877">
          <cell r="A877" t="str">
            <v>48009_1</v>
          </cell>
        </row>
        <row r="878">
          <cell r="A878" t="str">
            <v>48009_2</v>
          </cell>
        </row>
        <row r="879">
          <cell r="A879" t="str">
            <v>48010_1</v>
          </cell>
        </row>
        <row r="880">
          <cell r="A880" t="str">
            <v>48011_1</v>
          </cell>
        </row>
        <row r="881">
          <cell r="A881" t="str">
            <v>48011_2</v>
          </cell>
        </row>
        <row r="882">
          <cell r="A882" t="str">
            <v>48012_1</v>
          </cell>
        </row>
        <row r="883">
          <cell r="A883" t="str">
            <v>48012_2</v>
          </cell>
        </row>
        <row r="884">
          <cell r="A884" t="str">
            <v>48501_1</v>
          </cell>
        </row>
        <row r="885">
          <cell r="A885" t="str">
            <v>48501_2</v>
          </cell>
        </row>
        <row r="886">
          <cell r="A886" t="str">
            <v>48502_1</v>
          </cell>
        </row>
        <row r="887">
          <cell r="A887" t="str">
            <v>48502_2</v>
          </cell>
        </row>
        <row r="888">
          <cell r="A888" t="str">
            <v>48701_1</v>
          </cell>
        </row>
        <row r="889">
          <cell r="A889" t="str">
            <v>48701_2</v>
          </cell>
        </row>
        <row r="890">
          <cell r="A890" t="str">
            <v>48702_1</v>
          </cell>
        </row>
        <row r="891">
          <cell r="A891" t="str">
            <v>48702_2</v>
          </cell>
        </row>
        <row r="892">
          <cell r="A892" t="str">
            <v>49001_1</v>
          </cell>
        </row>
        <row r="893">
          <cell r="A893" t="str">
            <v>49002_1</v>
          </cell>
        </row>
        <row r="894">
          <cell r="A894" t="str">
            <v>49002_2</v>
          </cell>
        </row>
        <row r="895">
          <cell r="A895" t="str">
            <v>49003_1</v>
          </cell>
        </row>
        <row r="896">
          <cell r="A896" t="str">
            <v>49003_2</v>
          </cell>
        </row>
        <row r="897">
          <cell r="A897" t="str">
            <v>49004_1</v>
          </cell>
        </row>
        <row r="898">
          <cell r="A898" t="str">
            <v>49004_2</v>
          </cell>
        </row>
        <row r="899">
          <cell r="A899" t="str">
            <v>49004_3</v>
          </cell>
        </row>
        <row r="900">
          <cell r="A900" t="str">
            <v>49005_1</v>
          </cell>
        </row>
        <row r="901">
          <cell r="A901" t="str">
            <v>49006_1</v>
          </cell>
        </row>
        <row r="902">
          <cell r="A902" t="str">
            <v>49006_2</v>
          </cell>
        </row>
        <row r="903">
          <cell r="A903" t="str">
            <v>49007_1</v>
          </cell>
        </row>
        <row r="904">
          <cell r="A904" t="str">
            <v>49007_2</v>
          </cell>
        </row>
        <row r="905">
          <cell r="A905" t="str">
            <v>49007_3</v>
          </cell>
        </row>
        <row r="906">
          <cell r="A906" t="str">
            <v>49008_1</v>
          </cell>
        </row>
        <row r="907">
          <cell r="A907" t="str">
            <v>49009_1</v>
          </cell>
        </row>
        <row r="908">
          <cell r="A908" t="str">
            <v>49010_1</v>
          </cell>
        </row>
        <row r="909">
          <cell r="A909" t="str">
            <v>49011_1</v>
          </cell>
        </row>
        <row r="910">
          <cell r="A910" t="str">
            <v>49012_1</v>
          </cell>
        </row>
        <row r="911">
          <cell r="A911" t="str">
            <v>49013_1</v>
          </cell>
        </row>
        <row r="912">
          <cell r="A912" t="str">
            <v>49014_1</v>
          </cell>
        </row>
        <row r="913">
          <cell r="A913" t="str">
            <v>49014_2</v>
          </cell>
        </row>
        <row r="914">
          <cell r="A914" t="str">
            <v>49015_1</v>
          </cell>
        </row>
        <row r="915">
          <cell r="A915" t="str">
            <v>49015_2</v>
          </cell>
        </row>
        <row r="916">
          <cell r="A916" t="str">
            <v>49015_3</v>
          </cell>
        </row>
        <row r="917">
          <cell r="A917" t="str">
            <v>50001_1</v>
          </cell>
        </row>
        <row r="918">
          <cell r="A918" t="str">
            <v>50002_1</v>
          </cell>
        </row>
        <row r="919">
          <cell r="A919" t="str">
            <v>50003_1</v>
          </cell>
        </row>
        <row r="920">
          <cell r="A920" t="str">
            <v>50004_1</v>
          </cell>
        </row>
        <row r="921">
          <cell r="A921" t="str">
            <v>50005_1</v>
          </cell>
        </row>
        <row r="922">
          <cell r="A922" t="str">
            <v>50006_1</v>
          </cell>
        </row>
        <row r="923">
          <cell r="A923" t="str">
            <v>50007_1</v>
          </cell>
        </row>
        <row r="924">
          <cell r="A924" t="str">
            <v>50008_1</v>
          </cell>
        </row>
        <row r="925">
          <cell r="A925" t="str">
            <v>50009_1</v>
          </cell>
        </row>
        <row r="926">
          <cell r="A926" t="str">
            <v>50010_1</v>
          </cell>
        </row>
        <row r="927">
          <cell r="A927" t="str">
            <v>50011_1</v>
          </cell>
        </row>
        <row r="928">
          <cell r="A928" t="str">
            <v>50012_1</v>
          </cell>
        </row>
        <row r="929">
          <cell r="A929" t="str">
            <v>50013_1</v>
          </cell>
        </row>
        <row r="930">
          <cell r="A930" t="str">
            <v>50014_1</v>
          </cell>
        </row>
        <row r="931">
          <cell r="A931" t="str">
            <v>50015_1</v>
          </cell>
        </row>
        <row r="932">
          <cell r="A932" t="str">
            <v>51001_1</v>
          </cell>
        </row>
        <row r="933">
          <cell r="A933" t="str">
            <v>51002_1</v>
          </cell>
        </row>
        <row r="934">
          <cell r="A934" t="str">
            <v>58001_1</v>
          </cell>
        </row>
        <row r="935">
          <cell r="A935" t="str">
            <v>59001_1</v>
          </cell>
        </row>
        <row r="936">
          <cell r="A936" t="str">
            <v>59002_1</v>
          </cell>
        </row>
        <row r="937">
          <cell r="A937" t="str">
            <v>60001_1</v>
          </cell>
        </row>
        <row r="938">
          <cell r="A938" t="str">
            <v>60002_1</v>
          </cell>
        </row>
        <row r="939">
          <cell r="A939" t="str">
            <v>60002_2</v>
          </cell>
        </row>
        <row r="940">
          <cell r="A940" t="str">
            <v>60003_1</v>
          </cell>
        </row>
        <row r="941">
          <cell r="A941" t="str">
            <v>60003_2</v>
          </cell>
        </row>
        <row r="942">
          <cell r="A942" t="str">
            <v>60003_3</v>
          </cell>
        </row>
        <row r="943">
          <cell r="A943" t="str">
            <v>60004_1</v>
          </cell>
        </row>
        <row r="944">
          <cell r="A944" t="str">
            <v>60005_1</v>
          </cell>
        </row>
        <row r="945">
          <cell r="A945" t="str">
            <v>60006_1</v>
          </cell>
        </row>
        <row r="946">
          <cell r="A946" t="str">
            <v>60006_2</v>
          </cell>
        </row>
        <row r="947">
          <cell r="A947" t="str">
            <v>60006_3</v>
          </cell>
        </row>
        <row r="948">
          <cell r="A948" t="str">
            <v>60007_1</v>
          </cell>
        </row>
        <row r="949">
          <cell r="A949" t="str">
            <v>60007_2</v>
          </cell>
        </row>
        <row r="950">
          <cell r="A950" t="str">
            <v>60007_3</v>
          </cell>
        </row>
        <row r="951">
          <cell r="A951" t="str">
            <v>60010_1</v>
          </cell>
        </row>
        <row r="952">
          <cell r="A952" t="str">
            <v>60011_1</v>
          </cell>
        </row>
        <row r="953">
          <cell r="A953" t="str">
            <v>60011_2</v>
          </cell>
        </row>
        <row r="954">
          <cell r="A954" t="str">
            <v>60012_1</v>
          </cell>
        </row>
        <row r="955">
          <cell r="A955" t="str">
            <v>60013_1</v>
          </cell>
        </row>
        <row r="956">
          <cell r="A956" t="str">
            <v>60013_2</v>
          </cell>
        </row>
        <row r="957">
          <cell r="A957" t="str">
            <v>60013_3</v>
          </cell>
        </row>
        <row r="958">
          <cell r="A958" t="str">
            <v>60014_1</v>
          </cell>
        </row>
        <row r="959">
          <cell r="A959" t="str">
            <v>60015_1</v>
          </cell>
        </row>
        <row r="960">
          <cell r="A960" t="str">
            <v>60016_1</v>
          </cell>
        </row>
        <row r="961">
          <cell r="A961" t="str">
            <v>60017_1</v>
          </cell>
        </row>
        <row r="962">
          <cell r="A962" t="str">
            <v>60018_1</v>
          </cell>
        </row>
        <row r="963">
          <cell r="A963" t="str">
            <v>60019_1</v>
          </cell>
        </row>
        <row r="964">
          <cell r="A964" t="str">
            <v>60020_1</v>
          </cell>
        </row>
        <row r="965">
          <cell r="A965" t="str">
            <v>60021_3</v>
          </cell>
        </row>
        <row r="966">
          <cell r="A966" t="str">
            <v>60022_3</v>
          </cell>
        </row>
        <row r="967">
          <cell r="A967" t="str">
            <v>60023_3</v>
          </cell>
        </row>
        <row r="968">
          <cell r="A968" t="str">
            <v>60024_3</v>
          </cell>
        </row>
        <row r="969">
          <cell r="A969" t="str">
            <v>60025_1</v>
          </cell>
        </row>
        <row r="970">
          <cell r="A970" t="str">
            <v>60026_1</v>
          </cell>
        </row>
        <row r="971">
          <cell r="A971" t="str">
            <v>61011_1</v>
          </cell>
        </row>
        <row r="972">
          <cell r="A972" t="str">
            <v>60027_1</v>
          </cell>
        </row>
        <row r="973">
          <cell r="A973" t="str">
            <v>60028_1</v>
          </cell>
        </row>
        <row r="974">
          <cell r="A974" t="str">
            <v>60029_1</v>
          </cell>
        </row>
        <row r="975">
          <cell r="A975" t="str">
            <v>65523_1</v>
          </cell>
        </row>
        <row r="976">
          <cell r="A976" t="str">
            <v>65524_1</v>
          </cell>
        </row>
        <row r="977">
          <cell r="A977" t="str">
            <v>65525_1</v>
          </cell>
        </row>
        <row r="978">
          <cell r="A978" t="str">
            <v>65526_1</v>
          </cell>
        </row>
        <row r="979">
          <cell r="A979" t="str">
            <v>65526_2</v>
          </cell>
        </row>
        <row r="980">
          <cell r="A980" t="str">
            <v>65527_1</v>
          </cell>
        </row>
        <row r="981">
          <cell r="A981" t="str">
            <v>65528_1</v>
          </cell>
        </row>
        <row r="982">
          <cell r="A982" t="str">
            <v>65529_1</v>
          </cell>
        </row>
        <row r="983">
          <cell r="A983" t="str">
            <v>65530_1</v>
          </cell>
        </row>
        <row r="984">
          <cell r="A984" t="str">
            <v>65531_1</v>
          </cell>
        </row>
        <row r="985">
          <cell r="A985" t="str">
            <v>65531_2</v>
          </cell>
        </row>
        <row r="986">
          <cell r="A986" t="str">
            <v>65532_1</v>
          </cell>
        </row>
        <row r="987">
          <cell r="A987" t="str">
            <v>65532_2</v>
          </cell>
        </row>
        <row r="988">
          <cell r="A988" t="str">
            <v>65533_1</v>
          </cell>
        </row>
        <row r="989">
          <cell r="A989" t="str">
            <v>65533_2</v>
          </cell>
        </row>
        <row r="990">
          <cell r="A990" t="str">
            <v>65534_1</v>
          </cell>
        </row>
        <row r="991">
          <cell r="A991" t="str">
            <v>65534_2</v>
          </cell>
        </row>
        <row r="992">
          <cell r="A992" t="str">
            <v>65535_1</v>
          </cell>
        </row>
        <row r="993">
          <cell r="A993" t="str">
            <v>65535_2</v>
          </cell>
        </row>
        <row r="994">
          <cell r="A994" t="str">
            <v>65535_3</v>
          </cell>
        </row>
        <row r="995">
          <cell r="A995" t="str">
            <v>65535_4</v>
          </cell>
        </row>
        <row r="996">
          <cell r="A996" t="str">
            <v>65535_5</v>
          </cell>
        </row>
        <row r="997">
          <cell r="A997" t="str">
            <v>65535_6</v>
          </cell>
        </row>
        <row r="998">
          <cell r="A998" t="str">
            <v>65535_7</v>
          </cell>
        </row>
        <row r="999">
          <cell r="A999" t="str">
            <v>65535_8</v>
          </cell>
        </row>
        <row r="1000">
          <cell r="A1000" t="str">
            <v>65535_9</v>
          </cell>
        </row>
        <row r="1001">
          <cell r="A100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1373</v>
          </cell>
        </row>
        <row r="1337">
          <cell r="A1337">
            <v>1374</v>
          </cell>
        </row>
        <row r="1338">
          <cell r="A1338">
            <v>1375</v>
          </cell>
        </row>
        <row r="1339">
          <cell r="A1339">
            <v>1376</v>
          </cell>
        </row>
        <row r="1340">
          <cell r="A1340">
            <v>1379</v>
          </cell>
        </row>
        <row r="1341">
          <cell r="A1341">
            <v>1380</v>
          </cell>
        </row>
        <row r="1342">
          <cell r="A1342">
            <v>1407</v>
          </cell>
        </row>
        <row r="1343">
          <cell r="A1343">
            <v>1408</v>
          </cell>
        </row>
        <row r="1344">
          <cell r="A1344">
            <v>1409</v>
          </cell>
        </row>
        <row r="1345">
          <cell r="A1345">
            <v>1410</v>
          </cell>
        </row>
        <row r="1346">
          <cell r="A1346">
            <v>1431</v>
          </cell>
        </row>
        <row r="1347">
          <cell r="A1347">
            <v>1432</v>
          </cell>
        </row>
        <row r="1348">
          <cell r="A1348">
            <v>1466</v>
          </cell>
        </row>
        <row r="1349">
          <cell r="A1349">
            <v>1467</v>
          </cell>
        </row>
        <row r="1350">
          <cell r="A1350">
            <v>1468</v>
          </cell>
        </row>
        <row r="1351">
          <cell r="A1351">
            <v>1469</v>
          </cell>
        </row>
        <row r="1352">
          <cell r="A1352">
            <v>1470</v>
          </cell>
        </row>
        <row r="1353">
          <cell r="A1353">
            <v>1471</v>
          </cell>
        </row>
        <row r="1354">
          <cell r="A1354">
            <v>1495</v>
          </cell>
        </row>
        <row r="1355">
          <cell r="A1355">
            <v>1496</v>
          </cell>
        </row>
        <row r="1356">
          <cell r="A1356">
            <v>1497</v>
          </cell>
        </row>
        <row r="1357">
          <cell r="A1357">
            <v>1498</v>
          </cell>
        </row>
        <row r="1358">
          <cell r="A1358">
            <v>1499</v>
          </cell>
        </row>
        <row r="1359">
          <cell r="A1359">
            <v>1500</v>
          </cell>
        </row>
        <row r="1360">
          <cell r="A1360">
            <v>1501</v>
          </cell>
        </row>
        <row r="1361">
          <cell r="A1361">
            <v>1502</v>
          </cell>
        </row>
        <row r="1362">
          <cell r="A1362">
            <v>1503</v>
          </cell>
        </row>
        <row r="1363">
          <cell r="A1363">
            <v>1504</v>
          </cell>
        </row>
        <row r="1364">
          <cell r="A1364">
            <v>1505</v>
          </cell>
        </row>
        <row r="1365">
          <cell r="A1365">
            <v>1506</v>
          </cell>
        </row>
        <row r="1366">
          <cell r="A1366">
            <v>1507</v>
          </cell>
        </row>
        <row r="1367">
          <cell r="A1367">
            <v>1508</v>
          </cell>
        </row>
        <row r="1368">
          <cell r="A1368">
            <v>1509</v>
          </cell>
        </row>
        <row r="1369">
          <cell r="A1369">
            <v>1510</v>
          </cell>
        </row>
        <row r="1370">
          <cell r="A1370">
            <v>1511</v>
          </cell>
        </row>
        <row r="1371">
          <cell r="A1371">
            <v>1512</v>
          </cell>
        </row>
        <row r="1372">
          <cell r="A1372">
            <v>1523</v>
          </cell>
        </row>
        <row r="1373">
          <cell r="A1373">
            <v>1524</v>
          </cell>
        </row>
        <row r="1374">
          <cell r="A1374">
            <v>1525</v>
          </cell>
        </row>
        <row r="1375">
          <cell r="A1375">
            <v>1526</v>
          </cell>
        </row>
        <row r="1376">
          <cell r="A1376">
            <v>5001</v>
          </cell>
        </row>
        <row r="1377">
          <cell r="A1377">
            <v>5002</v>
          </cell>
        </row>
        <row r="1378">
          <cell r="A1378">
            <v>5003</v>
          </cell>
        </row>
        <row r="1379">
          <cell r="A1379">
            <v>5004</v>
          </cell>
        </row>
        <row r="1380">
          <cell r="A1380">
            <v>5005</v>
          </cell>
        </row>
        <row r="1381">
          <cell r="A1381">
            <v>5006</v>
          </cell>
        </row>
        <row r="1382">
          <cell r="A1382">
            <v>5007</v>
          </cell>
        </row>
        <row r="1383">
          <cell r="A1383">
            <v>5008</v>
          </cell>
        </row>
        <row r="1384">
          <cell r="A1384">
            <v>6001</v>
          </cell>
        </row>
        <row r="1385">
          <cell r="A1385">
            <v>6002</v>
          </cell>
        </row>
        <row r="1386">
          <cell r="A1386">
            <v>6003</v>
          </cell>
        </row>
        <row r="1387">
          <cell r="A1387">
            <v>6004</v>
          </cell>
        </row>
        <row r="1388">
          <cell r="A1388">
            <v>6005</v>
          </cell>
        </row>
        <row r="1389">
          <cell r="A1389">
            <v>6006</v>
          </cell>
        </row>
        <row r="1390">
          <cell r="A1390">
            <v>6007</v>
          </cell>
        </row>
        <row r="1391">
          <cell r="A1391">
            <v>6008</v>
          </cell>
        </row>
        <row r="1392">
          <cell r="A1392">
            <v>6009</v>
          </cell>
        </row>
        <row r="1393">
          <cell r="A1393">
            <v>6010</v>
          </cell>
        </row>
        <row r="1394">
          <cell r="A1394">
            <v>6011</v>
          </cell>
        </row>
        <row r="1395">
          <cell r="A1395">
            <v>6012</v>
          </cell>
        </row>
        <row r="1396">
          <cell r="A1396">
            <v>6013</v>
          </cell>
        </row>
        <row r="1397">
          <cell r="A1397">
            <v>6014</v>
          </cell>
        </row>
        <row r="1398">
          <cell r="A1398">
            <v>6015</v>
          </cell>
        </row>
        <row r="1399">
          <cell r="A1399">
            <v>6016</v>
          </cell>
        </row>
        <row r="1400">
          <cell r="A1400">
            <v>6017</v>
          </cell>
        </row>
        <row r="1401">
          <cell r="A1401">
            <v>6018</v>
          </cell>
        </row>
        <row r="1402">
          <cell r="A1402">
            <v>6019</v>
          </cell>
        </row>
        <row r="1403">
          <cell r="A1403">
            <v>6020</v>
          </cell>
        </row>
        <row r="1404">
          <cell r="A1404">
            <v>8001</v>
          </cell>
        </row>
        <row r="1405">
          <cell r="A1405">
            <v>8002</v>
          </cell>
        </row>
        <row r="1406">
          <cell r="A1406">
            <v>8003</v>
          </cell>
        </row>
        <row r="1407">
          <cell r="A1407">
            <v>8004</v>
          </cell>
        </row>
        <row r="1408">
          <cell r="A1408">
            <v>8005</v>
          </cell>
        </row>
        <row r="1409">
          <cell r="A1409">
            <v>8006</v>
          </cell>
        </row>
        <row r="1410">
          <cell r="A1410">
            <v>8007</v>
          </cell>
        </row>
        <row r="1411">
          <cell r="A1411">
            <v>8008</v>
          </cell>
        </row>
        <row r="1412">
          <cell r="A1412">
            <v>8009</v>
          </cell>
        </row>
        <row r="1413">
          <cell r="A1413">
            <v>8010</v>
          </cell>
        </row>
        <row r="1414">
          <cell r="A1414">
            <v>8011</v>
          </cell>
        </row>
        <row r="1415">
          <cell r="A1415">
            <v>8012</v>
          </cell>
        </row>
        <row r="1416">
          <cell r="A1416">
            <v>8013</v>
          </cell>
        </row>
        <row r="1417">
          <cell r="A1417">
            <v>8014</v>
          </cell>
        </row>
        <row r="1418">
          <cell r="A1418">
            <v>8015</v>
          </cell>
        </row>
        <row r="1419">
          <cell r="A1419">
            <v>8016</v>
          </cell>
        </row>
        <row r="1420">
          <cell r="A1420">
            <v>8017</v>
          </cell>
        </row>
        <row r="1421">
          <cell r="A1421">
            <v>8018</v>
          </cell>
        </row>
        <row r="1422">
          <cell r="A1422">
            <v>8019</v>
          </cell>
        </row>
        <row r="1423">
          <cell r="A1423">
            <v>8020</v>
          </cell>
        </row>
        <row r="1424">
          <cell r="A1424">
            <v>8021</v>
          </cell>
        </row>
        <row r="1425">
          <cell r="A1425">
            <v>8022</v>
          </cell>
        </row>
        <row r="1426">
          <cell r="A1426">
            <v>8023</v>
          </cell>
        </row>
        <row r="1427">
          <cell r="A1427">
            <v>8024</v>
          </cell>
        </row>
        <row r="1428">
          <cell r="A1428">
            <v>8025</v>
          </cell>
        </row>
        <row r="1429">
          <cell r="A1429">
            <v>8026</v>
          </cell>
        </row>
        <row r="1430">
          <cell r="A1430">
            <v>8027</v>
          </cell>
        </row>
        <row r="1431">
          <cell r="A1431">
            <v>8028</v>
          </cell>
        </row>
        <row r="1432">
          <cell r="A1432">
            <v>8029</v>
          </cell>
        </row>
        <row r="1433">
          <cell r="A1433">
            <v>8030</v>
          </cell>
        </row>
        <row r="1434">
          <cell r="A1434">
            <v>8031</v>
          </cell>
        </row>
        <row r="1435">
          <cell r="A1435">
            <v>8032</v>
          </cell>
        </row>
        <row r="1436">
          <cell r="A1436">
            <v>8033</v>
          </cell>
        </row>
        <row r="1437">
          <cell r="A1437">
            <v>8034</v>
          </cell>
        </row>
        <row r="1438">
          <cell r="A1438">
            <v>8035</v>
          </cell>
        </row>
        <row r="1439">
          <cell r="A1439">
            <v>8036</v>
          </cell>
        </row>
        <row r="1440">
          <cell r="A1440">
            <v>8037</v>
          </cell>
        </row>
        <row r="1441">
          <cell r="A1441">
            <v>8038</v>
          </cell>
        </row>
        <row r="1442">
          <cell r="A1442">
            <v>8039</v>
          </cell>
        </row>
        <row r="1443">
          <cell r="A1443">
            <v>8040</v>
          </cell>
        </row>
        <row r="1444">
          <cell r="A1444">
            <v>8041</v>
          </cell>
        </row>
        <row r="1445">
          <cell r="A1445">
            <v>8042</v>
          </cell>
        </row>
        <row r="1446">
          <cell r="A1446">
            <v>8043</v>
          </cell>
        </row>
        <row r="1447">
          <cell r="A1447">
            <v>8044</v>
          </cell>
        </row>
        <row r="1448">
          <cell r="A1448">
            <v>8045</v>
          </cell>
        </row>
        <row r="1449">
          <cell r="A1449">
            <v>8046</v>
          </cell>
        </row>
        <row r="1450">
          <cell r="A1450">
            <v>8047</v>
          </cell>
        </row>
        <row r="1451">
          <cell r="A1451">
            <v>8048</v>
          </cell>
        </row>
        <row r="1452">
          <cell r="A1452">
            <v>8049</v>
          </cell>
        </row>
        <row r="1453">
          <cell r="A1453">
            <v>8050</v>
          </cell>
        </row>
        <row r="1454">
          <cell r="A1454">
            <v>8051</v>
          </cell>
        </row>
        <row r="1455">
          <cell r="A1455">
            <v>8052</v>
          </cell>
        </row>
        <row r="1456">
          <cell r="A1456">
            <v>8053</v>
          </cell>
        </row>
        <row r="1457">
          <cell r="A1457">
            <v>8054</v>
          </cell>
        </row>
        <row r="1458">
          <cell r="A1458">
            <v>8055</v>
          </cell>
        </row>
        <row r="1459">
          <cell r="A1459">
            <v>8056</v>
          </cell>
        </row>
        <row r="1460">
          <cell r="A1460">
            <v>8057</v>
          </cell>
        </row>
        <row r="1461">
          <cell r="A1461">
            <v>8058</v>
          </cell>
        </row>
        <row r="1462">
          <cell r="A1462">
            <v>8059</v>
          </cell>
        </row>
        <row r="1463">
          <cell r="A1463">
            <v>8060</v>
          </cell>
        </row>
        <row r="1464">
          <cell r="A1464">
            <v>8061</v>
          </cell>
        </row>
        <row r="1465">
          <cell r="A1465">
            <v>8062</v>
          </cell>
        </row>
        <row r="1466">
          <cell r="A1466">
            <v>8063</v>
          </cell>
        </row>
        <row r="1467">
          <cell r="A1467">
            <v>8064</v>
          </cell>
        </row>
        <row r="1468">
          <cell r="A1468">
            <v>8065</v>
          </cell>
        </row>
        <row r="1469">
          <cell r="A1469">
            <v>8066</v>
          </cell>
        </row>
        <row r="1470">
          <cell r="A1470">
            <v>8067</v>
          </cell>
        </row>
        <row r="1471">
          <cell r="A1471">
            <v>8068</v>
          </cell>
        </row>
        <row r="1472">
          <cell r="A1472">
            <v>8069</v>
          </cell>
        </row>
        <row r="1473">
          <cell r="A1473">
            <v>8070</v>
          </cell>
        </row>
        <row r="1474">
          <cell r="A1474">
            <v>8071</v>
          </cell>
        </row>
        <row r="1475">
          <cell r="A1475">
            <v>8072</v>
          </cell>
        </row>
        <row r="1476">
          <cell r="A1476">
            <v>8073</v>
          </cell>
        </row>
        <row r="1477">
          <cell r="A1477">
            <v>8074</v>
          </cell>
        </row>
        <row r="1478">
          <cell r="A1478">
            <v>8077</v>
          </cell>
        </row>
        <row r="1479">
          <cell r="A1479">
            <v>8078</v>
          </cell>
        </row>
        <row r="1480">
          <cell r="A1480">
            <v>8079</v>
          </cell>
        </row>
        <row r="1481">
          <cell r="A1481">
            <v>8080</v>
          </cell>
        </row>
        <row r="1482">
          <cell r="A1482">
            <v>8081</v>
          </cell>
        </row>
        <row r="1483">
          <cell r="A1483">
            <v>8082</v>
          </cell>
        </row>
        <row r="1484">
          <cell r="A1484">
            <v>8083</v>
          </cell>
        </row>
        <row r="1485">
          <cell r="A1485">
            <v>8084</v>
          </cell>
        </row>
        <row r="1486">
          <cell r="A1486">
            <v>8085</v>
          </cell>
        </row>
        <row r="1487">
          <cell r="A1487">
            <v>8086</v>
          </cell>
        </row>
        <row r="1488">
          <cell r="A1488">
            <v>8087</v>
          </cell>
        </row>
        <row r="1489">
          <cell r="A1489">
            <v>8088</v>
          </cell>
        </row>
        <row r="1490">
          <cell r="A1490">
            <v>8089</v>
          </cell>
        </row>
        <row r="1491">
          <cell r="A1491">
            <v>8090</v>
          </cell>
        </row>
        <row r="1492">
          <cell r="A1492">
            <v>8095</v>
          </cell>
        </row>
        <row r="1493">
          <cell r="A1493">
            <v>8096</v>
          </cell>
        </row>
        <row r="1494">
          <cell r="A1494">
            <v>8097</v>
          </cell>
        </row>
        <row r="1495">
          <cell r="A1495">
            <v>8098</v>
          </cell>
        </row>
        <row r="1496">
          <cell r="A1496">
            <v>8099</v>
          </cell>
        </row>
        <row r="1497">
          <cell r="A1497">
            <v>8100</v>
          </cell>
        </row>
        <row r="1498">
          <cell r="A1498">
            <v>8101</v>
          </cell>
        </row>
        <row r="1499">
          <cell r="A1499">
            <v>8102</v>
          </cell>
        </row>
        <row r="1500">
          <cell r="A1500">
            <v>8103</v>
          </cell>
        </row>
        <row r="1501">
          <cell r="A1501">
            <v>8104</v>
          </cell>
        </row>
        <row r="1502">
          <cell r="A1502">
            <v>8105</v>
          </cell>
        </row>
        <row r="1503">
          <cell r="A1503">
            <v>8106</v>
          </cell>
        </row>
        <row r="1504">
          <cell r="A1504">
            <v>9001</v>
          </cell>
        </row>
        <row r="1505">
          <cell r="A1505">
            <v>9002</v>
          </cell>
        </row>
        <row r="1506">
          <cell r="A1506">
            <v>9003</v>
          </cell>
        </row>
        <row r="1507">
          <cell r="A1507">
            <v>9004</v>
          </cell>
        </row>
        <row r="1508">
          <cell r="A1508">
            <v>9005</v>
          </cell>
        </row>
        <row r="1509">
          <cell r="A1509">
            <v>9006</v>
          </cell>
        </row>
        <row r="1510">
          <cell r="A1510">
            <v>9007</v>
          </cell>
        </row>
        <row r="1511">
          <cell r="A1511">
            <v>9008</v>
          </cell>
        </row>
        <row r="1512">
          <cell r="A1512">
            <v>10101</v>
          </cell>
        </row>
        <row r="1513">
          <cell r="A1513">
            <v>10102</v>
          </cell>
        </row>
        <row r="1514">
          <cell r="A1514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1399</v>
          </cell>
        </row>
        <row r="1391">
          <cell r="A1391">
            <v>1400</v>
          </cell>
        </row>
        <row r="1392">
          <cell r="A1392">
            <v>1401</v>
          </cell>
        </row>
        <row r="1393">
          <cell r="A1393">
            <v>1402</v>
          </cell>
        </row>
        <row r="1394">
          <cell r="A1394">
            <v>1403</v>
          </cell>
        </row>
        <row r="1395">
          <cell r="A1395">
            <v>1404</v>
          </cell>
        </row>
        <row r="1396">
          <cell r="A1396">
            <v>1405</v>
          </cell>
        </row>
        <row r="1397">
          <cell r="A1397">
            <v>1406</v>
          </cell>
        </row>
        <row r="1398">
          <cell r="A1398">
            <v>1407</v>
          </cell>
        </row>
        <row r="1399">
          <cell r="A1399">
            <v>1408</v>
          </cell>
        </row>
        <row r="1400">
          <cell r="A1400">
            <v>1409</v>
          </cell>
        </row>
        <row r="1401">
          <cell r="A1401">
            <v>1410</v>
          </cell>
        </row>
        <row r="1402">
          <cell r="A1402">
            <v>1411</v>
          </cell>
        </row>
        <row r="1403">
          <cell r="A1403">
            <v>1412</v>
          </cell>
        </row>
        <row r="1404">
          <cell r="A1404">
            <v>1413</v>
          </cell>
        </row>
        <row r="1405">
          <cell r="A1405">
            <v>1414</v>
          </cell>
        </row>
        <row r="1406">
          <cell r="A1406">
            <v>1415</v>
          </cell>
        </row>
        <row r="1407">
          <cell r="A1407">
            <v>1416</v>
          </cell>
        </row>
        <row r="1408">
          <cell r="A1408">
            <v>1417</v>
          </cell>
        </row>
        <row r="1409">
          <cell r="A1409">
            <v>1418</v>
          </cell>
        </row>
        <row r="1410">
          <cell r="A1410">
            <v>1419</v>
          </cell>
        </row>
        <row r="1411">
          <cell r="A1411">
            <v>1420</v>
          </cell>
        </row>
        <row r="1412">
          <cell r="A1412">
            <v>1421</v>
          </cell>
        </row>
        <row r="1413">
          <cell r="A1413">
            <v>1422</v>
          </cell>
        </row>
        <row r="1414">
          <cell r="A1414">
            <v>1423</v>
          </cell>
        </row>
        <row r="1415">
          <cell r="A1415">
            <v>1424</v>
          </cell>
        </row>
        <row r="1416">
          <cell r="A1416">
            <v>1425</v>
          </cell>
        </row>
        <row r="1417">
          <cell r="A1417">
            <v>1426</v>
          </cell>
        </row>
        <row r="1418">
          <cell r="A1418">
            <v>1431</v>
          </cell>
        </row>
        <row r="1419">
          <cell r="A1419">
            <v>1432</v>
          </cell>
        </row>
        <row r="1420">
          <cell r="A1420">
            <v>1433</v>
          </cell>
        </row>
        <row r="1421">
          <cell r="A1421">
            <v>1434</v>
          </cell>
        </row>
        <row r="1422">
          <cell r="A1422">
            <v>1435</v>
          </cell>
        </row>
        <row r="1423">
          <cell r="A1423">
            <v>1452</v>
          </cell>
        </row>
        <row r="1424">
          <cell r="A1424">
            <v>1453</v>
          </cell>
        </row>
        <row r="1425">
          <cell r="A1425">
            <v>1454</v>
          </cell>
        </row>
        <row r="1426">
          <cell r="A1426">
            <v>1455</v>
          </cell>
        </row>
        <row r="1427">
          <cell r="A1427">
            <v>1456</v>
          </cell>
        </row>
        <row r="1428">
          <cell r="A1428">
            <v>1457</v>
          </cell>
        </row>
        <row r="1429">
          <cell r="A1429">
            <v>1458</v>
          </cell>
        </row>
        <row r="1430">
          <cell r="A1430">
            <v>1459</v>
          </cell>
        </row>
        <row r="1431">
          <cell r="A1431">
            <v>1460</v>
          </cell>
        </row>
        <row r="1432">
          <cell r="A1432">
            <v>1461</v>
          </cell>
        </row>
        <row r="1433">
          <cell r="A1433">
            <v>1462</v>
          </cell>
        </row>
        <row r="1434">
          <cell r="A1434">
            <v>1463</v>
          </cell>
        </row>
        <row r="1435">
          <cell r="A1435">
            <v>1464</v>
          </cell>
        </row>
        <row r="1436">
          <cell r="A1436">
            <v>1465</v>
          </cell>
        </row>
        <row r="1437">
          <cell r="A1437">
            <v>1466</v>
          </cell>
        </row>
        <row r="1438">
          <cell r="A1438">
            <v>1467</v>
          </cell>
        </row>
        <row r="1439">
          <cell r="A1439">
            <v>1468</v>
          </cell>
        </row>
        <row r="1440">
          <cell r="A1440">
            <v>1469</v>
          </cell>
        </row>
        <row r="1441">
          <cell r="A1441">
            <v>1470</v>
          </cell>
        </row>
        <row r="1442">
          <cell r="A1442">
            <v>1471</v>
          </cell>
        </row>
        <row r="1443">
          <cell r="A1443">
            <v>1488</v>
          </cell>
        </row>
        <row r="1444">
          <cell r="A1444">
            <v>1489</v>
          </cell>
        </row>
        <row r="1445">
          <cell r="A1445">
            <v>1495</v>
          </cell>
        </row>
        <row r="1446">
          <cell r="A1446">
            <v>1496</v>
          </cell>
        </row>
        <row r="1447">
          <cell r="A1447">
            <v>1497</v>
          </cell>
        </row>
        <row r="1448">
          <cell r="A1448">
            <v>1498</v>
          </cell>
        </row>
        <row r="1449">
          <cell r="A1449">
            <v>1499</v>
          </cell>
        </row>
        <row r="1450">
          <cell r="A1450">
            <v>1500</v>
          </cell>
        </row>
        <row r="1451">
          <cell r="A1451">
            <v>1501</v>
          </cell>
        </row>
        <row r="1452">
          <cell r="A1452">
            <v>1502</v>
          </cell>
        </row>
        <row r="1453">
          <cell r="A1453">
            <v>1503</v>
          </cell>
        </row>
        <row r="1454">
          <cell r="A1454">
            <v>1504</v>
          </cell>
        </row>
        <row r="1455">
          <cell r="A1455">
            <v>1505</v>
          </cell>
        </row>
        <row r="1456">
          <cell r="A1456">
            <v>1506</v>
          </cell>
        </row>
        <row r="1457">
          <cell r="A1457">
            <v>1507</v>
          </cell>
        </row>
        <row r="1458">
          <cell r="A1458">
            <v>1508</v>
          </cell>
        </row>
        <row r="1459">
          <cell r="A1459">
            <v>1509</v>
          </cell>
        </row>
        <row r="1460">
          <cell r="A1460">
            <v>1510</v>
          </cell>
        </row>
        <row r="1461">
          <cell r="A1461">
            <v>1511</v>
          </cell>
        </row>
        <row r="1462">
          <cell r="A1462">
            <v>1512</v>
          </cell>
        </row>
        <row r="1463">
          <cell r="A1463">
            <v>1513</v>
          </cell>
        </row>
        <row r="1464">
          <cell r="A1464">
            <v>1514</v>
          </cell>
        </row>
        <row r="1465">
          <cell r="A1465">
            <v>1515</v>
          </cell>
        </row>
        <row r="1466">
          <cell r="A1466">
            <v>1516</v>
          </cell>
        </row>
        <row r="1467">
          <cell r="A1467">
            <v>1517</v>
          </cell>
        </row>
        <row r="1468">
          <cell r="A1468">
            <v>1518</v>
          </cell>
        </row>
        <row r="1469">
          <cell r="A1469">
            <v>1519</v>
          </cell>
        </row>
        <row r="1470">
          <cell r="A1470">
            <v>1520</v>
          </cell>
        </row>
        <row r="1471">
          <cell r="A1471">
            <v>1521</v>
          </cell>
        </row>
        <row r="1472">
          <cell r="A1472">
            <v>1522</v>
          </cell>
        </row>
        <row r="1473">
          <cell r="A1473">
            <v>1523</v>
          </cell>
        </row>
        <row r="1474">
          <cell r="A1474">
            <v>1524</v>
          </cell>
        </row>
        <row r="1475">
          <cell r="A1475">
            <v>1525</v>
          </cell>
        </row>
        <row r="1476">
          <cell r="A1476">
            <v>1526</v>
          </cell>
        </row>
        <row r="1477">
          <cell r="A1477">
            <v>1527</v>
          </cell>
        </row>
        <row r="1478">
          <cell r="A1478">
            <v>1528</v>
          </cell>
        </row>
        <row r="1479">
          <cell r="A1479">
            <v>1529</v>
          </cell>
        </row>
        <row r="1480">
          <cell r="A1480">
            <v>1530</v>
          </cell>
        </row>
        <row r="1481">
          <cell r="A1481">
            <v>1531</v>
          </cell>
        </row>
        <row r="1482">
          <cell r="A1482">
            <v>1532</v>
          </cell>
        </row>
        <row r="1483">
          <cell r="A1483">
            <v>1533</v>
          </cell>
        </row>
        <row r="1484">
          <cell r="A1484">
            <v>1534</v>
          </cell>
        </row>
        <row r="1485">
          <cell r="A1485">
            <v>1535</v>
          </cell>
        </row>
        <row r="1486">
          <cell r="A1486">
            <v>1536</v>
          </cell>
        </row>
        <row r="1487">
          <cell r="A1487">
            <v>1537</v>
          </cell>
        </row>
        <row r="1488">
          <cell r="A1488">
            <v>1538</v>
          </cell>
        </row>
        <row r="1489">
          <cell r="A1489">
            <v>1539</v>
          </cell>
        </row>
        <row r="1490">
          <cell r="A1490">
            <v>1540</v>
          </cell>
        </row>
        <row r="1491">
          <cell r="A1491">
            <v>1541</v>
          </cell>
        </row>
        <row r="1492">
          <cell r="A1492">
            <v>1542</v>
          </cell>
        </row>
        <row r="1493">
          <cell r="A1493">
            <v>1543</v>
          </cell>
        </row>
        <row r="1494">
          <cell r="A1494">
            <v>1544</v>
          </cell>
        </row>
        <row r="1495">
          <cell r="A1495">
            <v>1545</v>
          </cell>
        </row>
        <row r="1496">
          <cell r="A1496">
            <v>1546</v>
          </cell>
        </row>
        <row r="1497">
          <cell r="A1497">
            <v>1547</v>
          </cell>
        </row>
        <row r="1498">
          <cell r="A1498">
            <v>1548</v>
          </cell>
        </row>
        <row r="1499">
          <cell r="A1499">
            <v>1549</v>
          </cell>
        </row>
        <row r="1500">
          <cell r="A1500">
            <v>1550</v>
          </cell>
        </row>
        <row r="1501">
          <cell r="A1501">
            <v>1551</v>
          </cell>
        </row>
        <row r="1502">
          <cell r="A1502">
            <v>1552</v>
          </cell>
        </row>
        <row r="1503">
          <cell r="A1503">
            <v>1553</v>
          </cell>
        </row>
        <row r="1504">
          <cell r="A1504">
            <v>1554</v>
          </cell>
        </row>
        <row r="1505">
          <cell r="A1505">
            <v>1555</v>
          </cell>
        </row>
        <row r="1506">
          <cell r="A1506">
            <v>1556</v>
          </cell>
        </row>
        <row r="1507">
          <cell r="A1507">
            <v>1557</v>
          </cell>
        </row>
        <row r="1508">
          <cell r="A1508">
            <v>1558</v>
          </cell>
        </row>
        <row r="1509">
          <cell r="A1509">
            <v>1559</v>
          </cell>
        </row>
        <row r="1510">
          <cell r="A1510">
            <v>1560</v>
          </cell>
        </row>
        <row r="1511">
          <cell r="A1511">
            <v>1561</v>
          </cell>
        </row>
        <row r="1512">
          <cell r="A1512">
            <v>1562</v>
          </cell>
        </row>
        <row r="1513">
          <cell r="A1513">
            <v>1563</v>
          </cell>
        </row>
        <row r="1514">
          <cell r="A1514">
            <v>1564</v>
          </cell>
        </row>
        <row r="1515">
          <cell r="A1515">
            <v>1565</v>
          </cell>
        </row>
        <row r="1516">
          <cell r="A1516">
            <v>1566</v>
          </cell>
        </row>
        <row r="1517">
          <cell r="A1517">
            <v>1567</v>
          </cell>
        </row>
        <row r="1518">
          <cell r="A1518">
            <v>1568</v>
          </cell>
        </row>
        <row r="1519">
          <cell r="A1519">
            <v>1569</v>
          </cell>
        </row>
        <row r="1520">
          <cell r="A1520">
            <v>1570</v>
          </cell>
        </row>
        <row r="1521">
          <cell r="A1521">
            <v>1571</v>
          </cell>
        </row>
        <row r="1522">
          <cell r="A1522">
            <v>1572</v>
          </cell>
        </row>
        <row r="1523">
          <cell r="A1523">
            <v>1573</v>
          </cell>
        </row>
        <row r="1524">
          <cell r="A1524">
            <v>1574</v>
          </cell>
        </row>
        <row r="1525">
          <cell r="A1525">
            <v>1575</v>
          </cell>
        </row>
        <row r="1526">
          <cell r="A1526">
            <v>1576</v>
          </cell>
        </row>
        <row r="1527">
          <cell r="A1527">
            <v>1577</v>
          </cell>
        </row>
        <row r="1528">
          <cell r="A1528">
            <v>1578</v>
          </cell>
        </row>
        <row r="1529">
          <cell r="A1529">
            <v>1579</v>
          </cell>
        </row>
        <row r="1530">
          <cell r="A1530">
            <v>1580</v>
          </cell>
        </row>
        <row r="1531">
          <cell r="A1531">
            <v>1581</v>
          </cell>
        </row>
        <row r="1532">
          <cell r="A1532">
            <v>1582</v>
          </cell>
        </row>
        <row r="1533">
          <cell r="A1533">
            <v>1583</v>
          </cell>
        </row>
        <row r="1534">
          <cell r="A1534">
            <v>1584</v>
          </cell>
        </row>
        <row r="1535">
          <cell r="A1535">
            <v>1585</v>
          </cell>
        </row>
        <row r="1536">
          <cell r="A1536">
            <v>1586</v>
          </cell>
        </row>
        <row r="1537">
          <cell r="A1537">
            <v>1587</v>
          </cell>
        </row>
        <row r="1538">
          <cell r="A1538">
            <v>1588</v>
          </cell>
        </row>
        <row r="1539">
          <cell r="A1539">
            <v>5001</v>
          </cell>
        </row>
        <row r="1540">
          <cell r="A1540">
            <v>5002</v>
          </cell>
        </row>
        <row r="1541">
          <cell r="A1541">
            <v>5003</v>
          </cell>
        </row>
        <row r="1542">
          <cell r="A1542">
            <v>5004</v>
          </cell>
        </row>
        <row r="1543">
          <cell r="A1543">
            <v>5005</v>
          </cell>
        </row>
        <row r="1544">
          <cell r="A1544">
            <v>5006</v>
          </cell>
        </row>
        <row r="1545">
          <cell r="A1545">
            <v>5007</v>
          </cell>
        </row>
        <row r="1546">
          <cell r="A1546">
            <v>5008</v>
          </cell>
        </row>
        <row r="1547">
          <cell r="A1547">
            <v>6001</v>
          </cell>
        </row>
        <row r="1548">
          <cell r="A1548">
            <v>6002</v>
          </cell>
        </row>
        <row r="1549">
          <cell r="A1549">
            <v>6003</v>
          </cell>
        </row>
        <row r="1550">
          <cell r="A1550">
            <v>6004</v>
          </cell>
        </row>
        <row r="1551">
          <cell r="A1551">
            <v>6005</v>
          </cell>
        </row>
        <row r="1552">
          <cell r="A1552">
            <v>6006</v>
          </cell>
        </row>
        <row r="1553">
          <cell r="A1553">
            <v>6007</v>
          </cell>
        </row>
        <row r="1554">
          <cell r="A1554">
            <v>6008</v>
          </cell>
        </row>
        <row r="1555">
          <cell r="A1555">
            <v>6009</v>
          </cell>
        </row>
        <row r="1556">
          <cell r="A1556">
            <v>6010</v>
          </cell>
        </row>
        <row r="1557">
          <cell r="A1557">
            <v>6011</v>
          </cell>
        </row>
        <row r="1558">
          <cell r="A1558">
            <v>6012</v>
          </cell>
        </row>
        <row r="1559">
          <cell r="A1559">
            <v>6013</v>
          </cell>
        </row>
        <row r="1560">
          <cell r="A1560">
            <v>6014</v>
          </cell>
        </row>
        <row r="1561">
          <cell r="A1561">
            <v>6015</v>
          </cell>
        </row>
        <row r="1562">
          <cell r="A1562">
            <v>6016</v>
          </cell>
        </row>
        <row r="1563">
          <cell r="A1563">
            <v>6017</v>
          </cell>
        </row>
        <row r="1564">
          <cell r="A1564">
            <v>6018</v>
          </cell>
        </row>
        <row r="1565">
          <cell r="A1565">
            <v>6019</v>
          </cell>
        </row>
        <row r="1566">
          <cell r="A1566">
            <v>6020</v>
          </cell>
        </row>
        <row r="1567">
          <cell r="A1567">
            <v>8001</v>
          </cell>
        </row>
        <row r="1568">
          <cell r="A1568">
            <v>8002</v>
          </cell>
        </row>
        <row r="1569">
          <cell r="A1569">
            <v>8003</v>
          </cell>
        </row>
        <row r="1570">
          <cell r="A1570">
            <v>8004</v>
          </cell>
        </row>
        <row r="1571">
          <cell r="A1571">
            <v>8005</v>
          </cell>
        </row>
        <row r="1572">
          <cell r="A1572">
            <v>8006</v>
          </cell>
        </row>
        <row r="1573">
          <cell r="A1573">
            <v>8007</v>
          </cell>
        </row>
        <row r="1574">
          <cell r="A1574">
            <v>8008</v>
          </cell>
        </row>
        <row r="1575">
          <cell r="A1575">
            <v>8009</v>
          </cell>
        </row>
        <row r="1576">
          <cell r="A1576">
            <v>8010</v>
          </cell>
        </row>
        <row r="1577">
          <cell r="A1577">
            <v>8011</v>
          </cell>
        </row>
        <row r="1578">
          <cell r="A1578">
            <v>8012</v>
          </cell>
        </row>
        <row r="1579">
          <cell r="A1579">
            <v>8013</v>
          </cell>
        </row>
        <row r="1580">
          <cell r="A1580">
            <v>8014</v>
          </cell>
        </row>
        <row r="1581">
          <cell r="A1581">
            <v>8015</v>
          </cell>
        </row>
        <row r="1582">
          <cell r="A1582">
            <v>8016</v>
          </cell>
        </row>
        <row r="1583">
          <cell r="A1583">
            <v>8017</v>
          </cell>
        </row>
        <row r="1584">
          <cell r="A1584">
            <v>8018</v>
          </cell>
        </row>
        <row r="1585">
          <cell r="A1585">
            <v>8019</v>
          </cell>
        </row>
        <row r="1586">
          <cell r="A1586">
            <v>8020</v>
          </cell>
        </row>
        <row r="1587">
          <cell r="A1587">
            <v>8021</v>
          </cell>
        </row>
        <row r="1588">
          <cell r="A1588">
            <v>8022</v>
          </cell>
        </row>
        <row r="1589">
          <cell r="A1589">
            <v>8023</v>
          </cell>
        </row>
        <row r="1590">
          <cell r="A1590">
            <v>8024</v>
          </cell>
        </row>
        <row r="1591">
          <cell r="A1591">
            <v>8025</v>
          </cell>
        </row>
        <row r="1592">
          <cell r="A1592">
            <v>8026</v>
          </cell>
        </row>
        <row r="1593">
          <cell r="A1593">
            <v>8027</v>
          </cell>
        </row>
        <row r="1594">
          <cell r="A1594">
            <v>8028</v>
          </cell>
        </row>
        <row r="1595">
          <cell r="A1595">
            <v>8029</v>
          </cell>
        </row>
        <row r="1596">
          <cell r="A1596">
            <v>8030</v>
          </cell>
        </row>
        <row r="1597">
          <cell r="A1597">
            <v>8031</v>
          </cell>
        </row>
        <row r="1598">
          <cell r="A1598">
            <v>8032</v>
          </cell>
        </row>
        <row r="1599">
          <cell r="A1599">
            <v>8033</v>
          </cell>
        </row>
        <row r="1600">
          <cell r="A1600">
            <v>8034</v>
          </cell>
        </row>
        <row r="1601">
          <cell r="A1601">
            <v>8035</v>
          </cell>
        </row>
        <row r="1602">
          <cell r="A1602">
            <v>8036</v>
          </cell>
        </row>
        <row r="1603">
          <cell r="A1603">
            <v>8037</v>
          </cell>
        </row>
        <row r="1604">
          <cell r="A1604">
            <v>8038</v>
          </cell>
        </row>
        <row r="1605">
          <cell r="A1605">
            <v>8039</v>
          </cell>
        </row>
        <row r="1606">
          <cell r="A1606">
            <v>8040</v>
          </cell>
        </row>
        <row r="1607">
          <cell r="A1607">
            <v>8041</v>
          </cell>
        </row>
        <row r="1608">
          <cell r="A1608">
            <v>8042</v>
          </cell>
        </row>
        <row r="1609">
          <cell r="A1609">
            <v>8043</v>
          </cell>
        </row>
        <row r="1610">
          <cell r="A1610">
            <v>8044</v>
          </cell>
        </row>
        <row r="1611">
          <cell r="A1611">
            <v>8045</v>
          </cell>
        </row>
        <row r="1612">
          <cell r="A1612">
            <v>8046</v>
          </cell>
        </row>
        <row r="1613">
          <cell r="A1613">
            <v>8047</v>
          </cell>
        </row>
        <row r="1614">
          <cell r="A1614">
            <v>8048</v>
          </cell>
        </row>
        <row r="1615">
          <cell r="A1615">
            <v>8049</v>
          </cell>
        </row>
        <row r="1616">
          <cell r="A1616">
            <v>8050</v>
          </cell>
        </row>
        <row r="1617">
          <cell r="A1617">
            <v>8051</v>
          </cell>
        </row>
        <row r="1618">
          <cell r="A1618">
            <v>8052</v>
          </cell>
        </row>
        <row r="1619">
          <cell r="A1619">
            <v>8053</v>
          </cell>
        </row>
        <row r="1620">
          <cell r="A1620">
            <v>8054</v>
          </cell>
        </row>
        <row r="1621">
          <cell r="A1621">
            <v>8055</v>
          </cell>
        </row>
        <row r="1622">
          <cell r="A1622">
            <v>8056</v>
          </cell>
        </row>
        <row r="1623">
          <cell r="A1623">
            <v>8057</v>
          </cell>
        </row>
        <row r="1624">
          <cell r="A1624">
            <v>8058</v>
          </cell>
        </row>
        <row r="1625">
          <cell r="A1625">
            <v>8059</v>
          </cell>
        </row>
        <row r="1626">
          <cell r="A1626">
            <v>8060</v>
          </cell>
        </row>
        <row r="1627">
          <cell r="A1627">
            <v>8061</v>
          </cell>
        </row>
        <row r="1628">
          <cell r="A1628">
            <v>8062</v>
          </cell>
        </row>
        <row r="1629">
          <cell r="A1629">
            <v>8063</v>
          </cell>
        </row>
        <row r="1630">
          <cell r="A1630">
            <v>8064</v>
          </cell>
        </row>
        <row r="1631">
          <cell r="A1631">
            <v>8065</v>
          </cell>
        </row>
        <row r="1632">
          <cell r="A1632">
            <v>8066</v>
          </cell>
        </row>
        <row r="1633">
          <cell r="A1633">
            <v>8067</v>
          </cell>
        </row>
        <row r="1634">
          <cell r="A1634">
            <v>8068</v>
          </cell>
        </row>
        <row r="1635">
          <cell r="A1635">
            <v>8069</v>
          </cell>
        </row>
        <row r="1636">
          <cell r="A1636">
            <v>8070</v>
          </cell>
        </row>
        <row r="1637">
          <cell r="A1637">
            <v>8071</v>
          </cell>
        </row>
        <row r="1638">
          <cell r="A1638">
            <v>8072</v>
          </cell>
        </row>
        <row r="1639">
          <cell r="A1639">
            <v>8073</v>
          </cell>
        </row>
        <row r="1640">
          <cell r="A1640">
            <v>8074</v>
          </cell>
        </row>
        <row r="1641">
          <cell r="A1641">
            <v>8075</v>
          </cell>
        </row>
        <row r="1642">
          <cell r="A1642">
            <v>8076</v>
          </cell>
        </row>
        <row r="1643">
          <cell r="A1643">
            <v>8077</v>
          </cell>
        </row>
        <row r="1644">
          <cell r="A1644">
            <v>8078</v>
          </cell>
        </row>
        <row r="1645">
          <cell r="A1645">
            <v>8079</v>
          </cell>
        </row>
        <row r="1646">
          <cell r="A1646">
            <v>8080</v>
          </cell>
        </row>
        <row r="1647">
          <cell r="A1647">
            <v>8081</v>
          </cell>
        </row>
        <row r="1648">
          <cell r="A1648">
            <v>8082</v>
          </cell>
        </row>
        <row r="1649">
          <cell r="A1649">
            <v>8083</v>
          </cell>
        </row>
        <row r="1650">
          <cell r="A1650">
            <v>8084</v>
          </cell>
        </row>
        <row r="1651">
          <cell r="A1651">
            <v>8085</v>
          </cell>
        </row>
        <row r="1652">
          <cell r="A1652">
            <v>8086</v>
          </cell>
        </row>
        <row r="1653">
          <cell r="A1653">
            <v>8087</v>
          </cell>
        </row>
        <row r="1654">
          <cell r="A1654">
            <v>8088</v>
          </cell>
        </row>
        <row r="1655">
          <cell r="A1655">
            <v>8089</v>
          </cell>
        </row>
        <row r="1656">
          <cell r="A1656">
            <v>8090</v>
          </cell>
        </row>
        <row r="1657">
          <cell r="A1657">
            <v>8095</v>
          </cell>
        </row>
        <row r="1658">
          <cell r="A1658">
            <v>8096</v>
          </cell>
        </row>
        <row r="1659">
          <cell r="A1659">
            <v>8097</v>
          </cell>
        </row>
        <row r="1660">
          <cell r="A1660">
            <v>8098</v>
          </cell>
        </row>
        <row r="1661">
          <cell r="A1661">
            <v>8099</v>
          </cell>
        </row>
        <row r="1662">
          <cell r="A1662">
            <v>8100</v>
          </cell>
        </row>
        <row r="1663">
          <cell r="A1663">
            <v>8101</v>
          </cell>
        </row>
        <row r="1664">
          <cell r="A1664">
            <v>8102</v>
          </cell>
        </row>
        <row r="1665">
          <cell r="A1665">
            <v>8103</v>
          </cell>
        </row>
        <row r="1666">
          <cell r="A1666">
            <v>8104</v>
          </cell>
        </row>
        <row r="1667">
          <cell r="A1667">
            <v>8105</v>
          </cell>
        </row>
        <row r="1668">
          <cell r="A1668">
            <v>8106</v>
          </cell>
        </row>
        <row r="1669">
          <cell r="A1669">
            <v>9001</v>
          </cell>
        </row>
        <row r="1670">
          <cell r="A1670">
            <v>9002</v>
          </cell>
        </row>
        <row r="1671">
          <cell r="A1671">
            <v>9003</v>
          </cell>
        </row>
        <row r="1672">
          <cell r="A1672">
            <v>9004</v>
          </cell>
        </row>
        <row r="1673">
          <cell r="A1673">
            <v>9005</v>
          </cell>
        </row>
        <row r="1674">
          <cell r="A1674">
            <v>9006</v>
          </cell>
        </row>
        <row r="1675">
          <cell r="A1675">
            <v>9007</v>
          </cell>
        </row>
        <row r="1676">
          <cell r="A1676">
            <v>9008</v>
          </cell>
        </row>
        <row r="1677">
          <cell r="A1677">
            <v>10001</v>
          </cell>
        </row>
        <row r="1678">
          <cell r="A1678">
            <v>10002</v>
          </cell>
        </row>
        <row r="1679">
          <cell r="A1679">
            <v>10003</v>
          </cell>
        </row>
        <row r="1680">
          <cell r="A1680">
            <v>10004</v>
          </cell>
        </row>
        <row r="1681">
          <cell r="A1681">
            <v>10005</v>
          </cell>
        </row>
        <row r="1682">
          <cell r="A1682">
            <v>10006</v>
          </cell>
        </row>
        <row r="1683">
          <cell r="A1683">
            <v>10007</v>
          </cell>
        </row>
        <row r="1684">
          <cell r="A1684">
            <v>10008</v>
          </cell>
        </row>
        <row r="1685">
          <cell r="A1685">
            <v>10009</v>
          </cell>
        </row>
        <row r="1686">
          <cell r="A1686">
            <v>10010</v>
          </cell>
        </row>
        <row r="1687">
          <cell r="A1687">
            <v>10011</v>
          </cell>
        </row>
        <row r="1688">
          <cell r="A1688">
            <v>10012</v>
          </cell>
        </row>
        <row r="1689">
          <cell r="A1689">
            <v>10013</v>
          </cell>
        </row>
        <row r="1690">
          <cell r="A1690">
            <v>10014</v>
          </cell>
        </row>
        <row r="1691">
          <cell r="A1691">
            <v>10015</v>
          </cell>
        </row>
        <row r="1692">
          <cell r="A1692">
            <v>10016</v>
          </cell>
        </row>
        <row r="1693">
          <cell r="A1693">
            <v>10017</v>
          </cell>
        </row>
        <row r="1694">
          <cell r="A1694">
            <v>10018</v>
          </cell>
        </row>
        <row r="1695">
          <cell r="A1695">
            <v>10019</v>
          </cell>
        </row>
        <row r="1696">
          <cell r="A1696">
            <v>10020</v>
          </cell>
        </row>
        <row r="1697">
          <cell r="A1697">
            <v>10021</v>
          </cell>
        </row>
        <row r="1698">
          <cell r="A1698">
            <v>10022</v>
          </cell>
        </row>
        <row r="1699">
          <cell r="A1699">
            <v>10023</v>
          </cell>
        </row>
        <row r="1700">
          <cell r="A1700">
            <v>10024</v>
          </cell>
        </row>
        <row r="1701">
          <cell r="A1701">
            <v>10025</v>
          </cell>
        </row>
        <row r="1702">
          <cell r="A1702">
            <v>10026</v>
          </cell>
        </row>
        <row r="1703">
          <cell r="A1703">
            <v>10027</v>
          </cell>
        </row>
        <row r="1704">
          <cell r="A1704">
            <v>10028</v>
          </cell>
        </row>
        <row r="1705">
          <cell r="A1705">
            <v>10029</v>
          </cell>
        </row>
        <row r="1706">
          <cell r="A1706">
            <v>10030</v>
          </cell>
        </row>
        <row r="1707">
          <cell r="A1707">
            <v>10031</v>
          </cell>
        </row>
        <row r="1708">
          <cell r="A1708">
            <v>10032</v>
          </cell>
        </row>
        <row r="1709">
          <cell r="A1709">
            <v>10033</v>
          </cell>
        </row>
        <row r="1710">
          <cell r="A1710">
            <v>10034</v>
          </cell>
        </row>
        <row r="1711">
          <cell r="A1711">
            <v>10035</v>
          </cell>
        </row>
        <row r="1712">
          <cell r="A1712">
            <v>10036</v>
          </cell>
        </row>
        <row r="1713">
          <cell r="A1713">
            <v>10037</v>
          </cell>
        </row>
        <row r="1714">
          <cell r="A1714">
            <v>10038</v>
          </cell>
        </row>
        <row r="1715">
          <cell r="A1715">
            <v>10039</v>
          </cell>
        </row>
        <row r="1716">
          <cell r="A1716">
            <v>10040</v>
          </cell>
        </row>
        <row r="1717">
          <cell r="A1717">
            <v>10041</v>
          </cell>
        </row>
        <row r="1718">
          <cell r="A1718">
            <v>10042</v>
          </cell>
        </row>
        <row r="1719">
          <cell r="A1719">
            <v>10043</v>
          </cell>
        </row>
        <row r="1720">
          <cell r="A1720">
            <v>10044</v>
          </cell>
        </row>
        <row r="1721">
          <cell r="A1721">
            <v>10045</v>
          </cell>
        </row>
        <row r="1722">
          <cell r="A1722">
            <v>10046</v>
          </cell>
        </row>
        <row r="1723">
          <cell r="A1723">
            <v>10047</v>
          </cell>
        </row>
        <row r="1724">
          <cell r="A1724">
            <v>10048</v>
          </cell>
        </row>
        <row r="1725">
          <cell r="A1725">
            <v>10049</v>
          </cell>
        </row>
        <row r="1726">
          <cell r="A1726">
            <v>10050</v>
          </cell>
        </row>
        <row r="1727">
          <cell r="A1727">
            <v>10051</v>
          </cell>
        </row>
        <row r="1728">
          <cell r="A1728">
            <v>10052</v>
          </cell>
        </row>
        <row r="1729">
          <cell r="A1729">
            <v>10053</v>
          </cell>
        </row>
        <row r="1730">
          <cell r="A1730">
            <v>10054</v>
          </cell>
        </row>
        <row r="1731">
          <cell r="A1731">
            <v>10055</v>
          </cell>
        </row>
        <row r="1732">
          <cell r="A1732">
            <v>10056</v>
          </cell>
        </row>
        <row r="1733">
          <cell r="A1733">
            <v>10057</v>
          </cell>
        </row>
        <row r="1734">
          <cell r="A1734">
            <v>10058</v>
          </cell>
        </row>
        <row r="1735">
          <cell r="A1735">
            <v>10059</v>
          </cell>
        </row>
        <row r="1736">
          <cell r="A1736">
            <v>10060</v>
          </cell>
        </row>
        <row r="1737">
          <cell r="A1737">
            <v>10061</v>
          </cell>
        </row>
        <row r="1738">
          <cell r="A1738">
            <v>10062</v>
          </cell>
        </row>
        <row r="1739">
          <cell r="A1739">
            <v>10063</v>
          </cell>
        </row>
        <row r="1740">
          <cell r="A1740">
            <v>10064</v>
          </cell>
        </row>
        <row r="1741">
          <cell r="A1741">
            <v>10065</v>
          </cell>
        </row>
        <row r="1742">
          <cell r="A1742">
            <v>10066</v>
          </cell>
        </row>
        <row r="1743">
          <cell r="A1743">
            <v>10067</v>
          </cell>
        </row>
        <row r="1744">
          <cell r="A1744">
            <v>10068</v>
          </cell>
        </row>
        <row r="1745">
          <cell r="A1745">
            <v>10069</v>
          </cell>
        </row>
        <row r="1746">
          <cell r="A1746">
            <v>10070</v>
          </cell>
        </row>
        <row r="1747">
          <cell r="A1747">
            <v>10071</v>
          </cell>
        </row>
        <row r="1748">
          <cell r="A1748">
            <v>10072</v>
          </cell>
        </row>
        <row r="1749">
          <cell r="A1749">
            <v>10073</v>
          </cell>
        </row>
        <row r="1750">
          <cell r="A1750">
            <v>10074</v>
          </cell>
        </row>
        <row r="1751">
          <cell r="A1751">
            <v>10075</v>
          </cell>
        </row>
        <row r="1752">
          <cell r="A1752">
            <v>10076</v>
          </cell>
        </row>
        <row r="1753">
          <cell r="A1753">
            <v>10077</v>
          </cell>
        </row>
        <row r="1754">
          <cell r="A1754">
            <v>10078</v>
          </cell>
        </row>
        <row r="1755">
          <cell r="A1755">
            <v>10079</v>
          </cell>
        </row>
        <row r="1756">
          <cell r="A1756">
            <v>10080</v>
          </cell>
        </row>
        <row r="1757">
          <cell r="A1757">
            <v>10081</v>
          </cell>
        </row>
        <row r="1758">
          <cell r="A1758">
            <v>10082</v>
          </cell>
        </row>
        <row r="1759">
          <cell r="A1759">
            <v>10083</v>
          </cell>
        </row>
        <row r="1760">
          <cell r="A1760">
            <v>10084</v>
          </cell>
        </row>
        <row r="1761">
          <cell r="A1761">
            <v>10085</v>
          </cell>
        </row>
        <row r="1762">
          <cell r="A1762">
            <v>10086</v>
          </cell>
        </row>
        <row r="1763">
          <cell r="A1763">
            <v>10087</v>
          </cell>
        </row>
        <row r="1764">
          <cell r="A1764">
            <v>10088</v>
          </cell>
        </row>
        <row r="1765">
          <cell r="A1765">
            <v>10089</v>
          </cell>
        </row>
        <row r="1766">
          <cell r="A1766">
            <v>10090</v>
          </cell>
        </row>
        <row r="1767">
          <cell r="A1767">
            <v>10101</v>
          </cell>
        </row>
        <row r="1768">
          <cell r="A1768">
            <v>10102</v>
          </cell>
        </row>
        <row r="1769">
          <cell r="A1769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ゲリラクエストは要チェック</v>
          </cell>
          <cell r="D12" t="str">
            <v>時間限定の「アヒル捕獲作戦」では_x000D_経験値素材ユニットが多く手に入ります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I22" sqref="I22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7" t="s">
        <v>129</v>
      </c>
      <c r="B1" s="52" t="s">
        <v>99</v>
      </c>
      <c r="C1" s="52" t="s">
        <v>100</v>
      </c>
      <c r="D1" s="52" t="s">
        <v>101</v>
      </c>
      <c r="E1" s="52" t="s">
        <v>102</v>
      </c>
      <c r="F1" s="52" t="s">
        <v>103</v>
      </c>
      <c r="G1" s="52" t="s">
        <v>104</v>
      </c>
      <c r="H1" s="52"/>
      <c r="I1" s="52"/>
      <c r="J1" s="52"/>
      <c r="K1" s="52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</row>
    <row r="2" spans="1:30" x14ac:dyDescent="0.15">
      <c r="A2" s="58" t="s">
        <v>459</v>
      </c>
      <c r="B2" s="54" t="s">
        <v>105</v>
      </c>
      <c r="C2" s="59">
        <v>41015</v>
      </c>
      <c r="D2" s="54" t="s">
        <v>106</v>
      </c>
      <c r="E2" s="53" t="str">
        <f>B2&amp;C2&amp;D2</f>
        <v>floors_41015.tmp</v>
      </c>
      <c r="F2" s="54" t="s">
        <v>107</v>
      </c>
      <c r="G2" s="55" t="s">
        <v>0</v>
      </c>
      <c r="H2" s="55" t="s">
        <v>1</v>
      </c>
      <c r="I2" s="55" t="s">
        <v>13</v>
      </c>
      <c r="J2" s="55" t="s">
        <v>14</v>
      </c>
      <c r="K2" s="55" t="s">
        <v>15</v>
      </c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</row>
    <row r="3" spans="1:30" x14ac:dyDescent="0.15">
      <c r="A3" s="58" t="s">
        <v>459</v>
      </c>
      <c r="B3" s="54" t="s">
        <v>108</v>
      </c>
      <c r="C3" s="59">
        <f>C$2</f>
        <v>41015</v>
      </c>
      <c r="D3" s="54" t="s">
        <v>106</v>
      </c>
      <c r="E3" s="53" t="str">
        <f>B3&amp;C3&amp;D3</f>
        <v>enemy_habitats_41015.tmp</v>
      </c>
      <c r="F3" s="54" t="s">
        <v>109</v>
      </c>
      <c r="G3" s="55" t="s">
        <v>0</v>
      </c>
      <c r="H3" s="55" t="s">
        <v>1</v>
      </c>
      <c r="I3" s="55" t="s">
        <v>13</v>
      </c>
      <c r="J3" s="55" t="s">
        <v>2</v>
      </c>
      <c r="K3" s="55" t="s">
        <v>3</v>
      </c>
      <c r="L3" s="55" t="s">
        <v>47</v>
      </c>
      <c r="M3" s="55" t="s">
        <v>49</v>
      </c>
      <c r="N3" s="55" t="s">
        <v>51</v>
      </c>
      <c r="O3" s="55" t="s">
        <v>22</v>
      </c>
      <c r="P3" s="55" t="s">
        <v>5</v>
      </c>
      <c r="Q3" s="55" t="s">
        <v>6</v>
      </c>
      <c r="R3" s="55" t="s">
        <v>7</v>
      </c>
      <c r="S3" s="55" t="s">
        <v>8</v>
      </c>
      <c r="T3" s="55" t="s">
        <v>9</v>
      </c>
      <c r="U3" s="55" t="s">
        <v>10</v>
      </c>
      <c r="V3" s="55" t="s">
        <v>11</v>
      </c>
      <c r="W3" s="55" t="s">
        <v>12</v>
      </c>
      <c r="X3" s="55" t="s">
        <v>37</v>
      </c>
      <c r="Y3" s="55" t="s">
        <v>39</v>
      </c>
      <c r="Z3" s="55" t="s">
        <v>41</v>
      </c>
      <c r="AA3" s="55" t="s">
        <v>43</v>
      </c>
      <c r="AB3" s="55" t="s">
        <v>45</v>
      </c>
      <c r="AC3" s="55" t="s">
        <v>54</v>
      </c>
      <c r="AD3" s="55" t="s">
        <v>177</v>
      </c>
    </row>
    <row r="4" spans="1:30" x14ac:dyDescent="0.15">
      <c r="A4" s="58" t="s">
        <v>459</v>
      </c>
      <c r="B4" s="54" t="s">
        <v>110</v>
      </c>
      <c r="C4" s="59">
        <f t="shared" ref="C4:C13" si="0">C$2</f>
        <v>41015</v>
      </c>
      <c r="D4" s="54" t="s">
        <v>106</v>
      </c>
      <c r="E4" s="53" t="str">
        <f>B4&amp;C4&amp;D4</f>
        <v>enemy_habitat_S_41015.tmp</v>
      </c>
      <c r="F4" s="54" t="s">
        <v>111</v>
      </c>
      <c r="G4" s="55" t="s">
        <v>0</v>
      </c>
      <c r="H4" s="55" t="s">
        <v>1</v>
      </c>
      <c r="I4" s="55" t="s">
        <v>13</v>
      </c>
      <c r="J4" s="55" t="s">
        <v>54</v>
      </c>
      <c r="K4" s="55" t="s">
        <v>55</v>
      </c>
      <c r="L4" s="55" t="s">
        <v>56</v>
      </c>
      <c r="M4" s="55" t="s">
        <v>57</v>
      </c>
      <c r="N4" s="55" t="s">
        <v>58</v>
      </c>
      <c r="O4" s="55" t="s">
        <v>59</v>
      </c>
      <c r="P4" s="55" t="s">
        <v>48</v>
      </c>
      <c r="Q4" s="55" t="s">
        <v>50</v>
      </c>
      <c r="R4" s="55" t="s">
        <v>52</v>
      </c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</row>
    <row r="5" spans="1:30" x14ac:dyDescent="0.15">
      <c r="A5" s="58" t="s">
        <v>459</v>
      </c>
      <c r="B5" s="54" t="s">
        <v>112</v>
      </c>
      <c r="C5" s="59">
        <f t="shared" si="0"/>
        <v>41015</v>
      </c>
      <c r="D5" s="54" t="s">
        <v>106</v>
      </c>
      <c r="E5" s="53" t="str">
        <f>B5&amp;C5&amp;D5</f>
        <v>enemy_skill_sets_41015.tmp</v>
      </c>
      <c r="F5" s="54" t="s">
        <v>113</v>
      </c>
      <c r="G5" s="56" t="s">
        <v>22</v>
      </c>
      <c r="H5" s="56" t="s">
        <v>98</v>
      </c>
      <c r="I5" s="56" t="s">
        <v>93</v>
      </c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</row>
    <row r="6" spans="1:30" x14ac:dyDescent="0.15">
      <c r="A6" s="58" t="s">
        <v>459</v>
      </c>
      <c r="B6" s="54" t="s">
        <v>114</v>
      </c>
      <c r="C6" s="59">
        <f t="shared" si="0"/>
        <v>41015</v>
      </c>
      <c r="D6" s="54" t="s">
        <v>115</v>
      </c>
      <c r="E6" s="53" t="str">
        <f t="shared" ref="E6:E10" si="1">B6&amp;C6&amp;D6</f>
        <v>enemy_skills_tmp_41015.tmp</v>
      </c>
      <c r="F6" s="54" t="s">
        <v>89</v>
      </c>
      <c r="G6" s="55" t="s">
        <v>79</v>
      </c>
      <c r="H6" s="55" t="s">
        <v>80</v>
      </c>
      <c r="I6" s="55" t="s">
        <v>81</v>
      </c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</row>
    <row r="7" spans="1:30" x14ac:dyDescent="0.15">
      <c r="A7" s="58" t="s">
        <v>459</v>
      </c>
      <c r="B7" s="54" t="s">
        <v>116</v>
      </c>
      <c r="C7" s="59">
        <f t="shared" si="0"/>
        <v>41015</v>
      </c>
      <c r="D7" s="54" t="s">
        <v>106</v>
      </c>
      <c r="E7" s="53" t="str">
        <f>B7&amp;C7&amp;D7</f>
        <v>enemy_skills_i18n_41015.tmp</v>
      </c>
      <c r="F7" s="54" t="s">
        <v>117</v>
      </c>
      <c r="G7" s="55" t="s">
        <v>79</v>
      </c>
      <c r="H7" s="55" t="s">
        <v>90</v>
      </c>
      <c r="I7" s="55" t="s">
        <v>91</v>
      </c>
      <c r="J7" s="55" t="s">
        <v>92</v>
      </c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</row>
    <row r="8" spans="1:30" x14ac:dyDescent="0.15">
      <c r="A8" s="58" t="s">
        <v>459</v>
      </c>
      <c r="B8" s="54" t="s">
        <v>118</v>
      </c>
      <c r="C8" s="59">
        <f t="shared" si="0"/>
        <v>41015</v>
      </c>
      <c r="D8" s="54" t="s">
        <v>119</v>
      </c>
      <c r="E8" s="53" t="str">
        <f t="shared" si="1"/>
        <v>enemy_skill_triggers_41015.tmp</v>
      </c>
      <c r="F8" s="54" t="s">
        <v>120</v>
      </c>
      <c r="G8" s="55" t="s">
        <v>93</v>
      </c>
      <c r="H8" s="55" t="s">
        <v>94</v>
      </c>
      <c r="I8" s="55" t="s">
        <v>95</v>
      </c>
      <c r="J8" s="55" t="s">
        <v>96</v>
      </c>
      <c r="K8" s="55" t="s">
        <v>121</v>
      </c>
      <c r="L8" s="55" t="s">
        <v>97</v>
      </c>
      <c r="M8" s="55" t="s">
        <v>122</v>
      </c>
      <c r="N8" s="55" t="s">
        <v>123</v>
      </c>
      <c r="O8" s="55" t="s">
        <v>124</v>
      </c>
      <c r="P8" s="55" t="s">
        <v>67</v>
      </c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</row>
    <row r="9" spans="1:30" x14ac:dyDescent="0.15">
      <c r="A9" s="58" t="s">
        <v>459</v>
      </c>
      <c r="B9" s="64" t="s">
        <v>176</v>
      </c>
      <c r="C9" s="59">
        <f t="shared" si="0"/>
        <v>41015</v>
      </c>
      <c r="D9" s="64" t="s">
        <v>170</v>
      </c>
      <c r="E9" s="65" t="str">
        <f t="shared" si="1"/>
        <v>stage_bug_bonuses_41015.tmp</v>
      </c>
      <c r="F9" s="64" t="s">
        <v>171</v>
      </c>
      <c r="G9" s="61" t="s">
        <v>149</v>
      </c>
      <c r="H9" s="61" t="s">
        <v>172</v>
      </c>
      <c r="I9" s="61" t="s">
        <v>173</v>
      </c>
      <c r="J9" s="63" t="s">
        <v>174</v>
      </c>
      <c r="K9" s="61" t="s">
        <v>175</v>
      </c>
      <c r="L9" s="61" t="s">
        <v>155</v>
      </c>
      <c r="M9" s="61" t="s">
        <v>156</v>
      </c>
      <c r="N9" s="61" t="s">
        <v>157</v>
      </c>
      <c r="O9" s="61" t="s">
        <v>158</v>
      </c>
      <c r="P9" s="61" t="s">
        <v>159</v>
      </c>
      <c r="Q9" s="61" t="s">
        <v>160</v>
      </c>
      <c r="R9" s="61" t="s">
        <v>161</v>
      </c>
      <c r="S9" s="61" t="s">
        <v>162</v>
      </c>
      <c r="T9" s="61" t="s">
        <v>163</v>
      </c>
      <c r="U9" s="61" t="s">
        <v>164</v>
      </c>
      <c r="V9" s="61" t="s">
        <v>165</v>
      </c>
      <c r="W9" s="61" t="s">
        <v>166</v>
      </c>
      <c r="X9" s="54"/>
      <c r="Y9" s="54"/>
      <c r="Z9" s="54"/>
      <c r="AA9" s="54"/>
      <c r="AB9" s="54"/>
      <c r="AC9" s="54"/>
      <c r="AD9" s="54"/>
    </row>
    <row r="10" spans="1:30" s="71" customFormat="1" x14ac:dyDescent="0.15">
      <c r="A10" s="58" t="s">
        <v>459</v>
      </c>
      <c r="B10" s="64" t="s">
        <v>199</v>
      </c>
      <c r="C10" s="59">
        <f>C$2</f>
        <v>41015</v>
      </c>
      <c r="D10" s="64" t="s">
        <v>179</v>
      </c>
      <c r="E10" s="65" t="str">
        <f t="shared" si="1"/>
        <v>stage_hints_data_c_41015.tmp</v>
      </c>
      <c r="F10" s="64" t="s">
        <v>207</v>
      </c>
      <c r="G10" s="69" t="s">
        <v>180</v>
      </c>
      <c r="H10" s="69" t="s">
        <v>172</v>
      </c>
      <c r="I10" s="70" t="s">
        <v>181</v>
      </c>
      <c r="J10" s="63" t="s">
        <v>182</v>
      </c>
      <c r="K10" s="63" t="s">
        <v>183</v>
      </c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</row>
    <row r="11" spans="1:30" s="71" customFormat="1" x14ac:dyDescent="0.15">
      <c r="A11" s="58" t="s">
        <v>459</v>
      </c>
      <c r="B11" s="64" t="s">
        <v>200</v>
      </c>
      <c r="C11" s="59">
        <f t="shared" si="0"/>
        <v>41015</v>
      </c>
      <c r="D11" s="64" t="s">
        <v>170</v>
      </c>
      <c r="E11" s="65" t="str">
        <f t="shared" ref="E11:E13" si="2">B11&amp;C11&amp;D11</f>
        <v>stage_hints_data_f_41015.tmp</v>
      </c>
      <c r="F11" s="64" t="s">
        <v>209</v>
      </c>
      <c r="G11" s="69" t="s">
        <v>180</v>
      </c>
      <c r="H11" s="69" t="s">
        <v>172</v>
      </c>
      <c r="I11" s="70" t="s">
        <v>181</v>
      </c>
      <c r="J11" s="63" t="s">
        <v>182</v>
      </c>
      <c r="K11" s="63" t="s">
        <v>183</v>
      </c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98"/>
      <c r="AB11" s="98"/>
      <c r="AC11" s="98"/>
      <c r="AD11" s="98"/>
    </row>
    <row r="12" spans="1:30" s="71" customFormat="1" x14ac:dyDescent="0.15">
      <c r="A12" s="58" t="s">
        <v>459</v>
      </c>
      <c r="B12" s="64" t="s">
        <v>201</v>
      </c>
      <c r="C12" s="59">
        <f t="shared" si="0"/>
        <v>41015</v>
      </c>
      <c r="D12" s="64" t="s">
        <v>170</v>
      </c>
      <c r="E12" s="65" t="str">
        <f t="shared" si="2"/>
        <v>stage_hints_i18n_41015.tmp</v>
      </c>
      <c r="F12" s="64" t="s">
        <v>210</v>
      </c>
      <c r="G12" s="70" t="s">
        <v>202</v>
      </c>
      <c r="H12" s="91" t="s">
        <v>203</v>
      </c>
      <c r="I12" s="69" t="s">
        <v>204</v>
      </c>
      <c r="J12" s="99" t="s">
        <v>205</v>
      </c>
      <c r="K12" s="63" t="s">
        <v>206</v>
      </c>
      <c r="L12" s="98"/>
      <c r="M12" s="98"/>
      <c r="N12" s="98"/>
      <c r="O12" s="98"/>
      <c r="P12" s="98"/>
      <c r="Q12" s="98"/>
      <c r="R12" s="98"/>
      <c r="S12" s="98"/>
      <c r="T12" s="98"/>
      <c r="U12" s="98"/>
      <c r="V12" s="98"/>
      <c r="W12" s="98"/>
      <c r="X12" s="98"/>
      <c r="Y12" s="98"/>
      <c r="Z12" s="98"/>
      <c r="AA12" s="98"/>
      <c r="AB12" s="98"/>
      <c r="AC12" s="98"/>
      <c r="AD12" s="98"/>
    </row>
    <row r="13" spans="1:30" s="71" customFormat="1" x14ac:dyDescent="0.15">
      <c r="A13" s="58" t="s">
        <v>459</v>
      </c>
      <c r="B13" s="64" t="s">
        <v>250</v>
      </c>
      <c r="C13" s="59">
        <f t="shared" si="0"/>
        <v>41015</v>
      </c>
      <c r="D13" s="64" t="s">
        <v>231</v>
      </c>
      <c r="E13" s="65" t="str">
        <f t="shared" si="2"/>
        <v>stage_bonuses_41015.tmp</v>
      </c>
      <c r="F13" s="64" t="s">
        <v>230</v>
      </c>
      <c r="G13" s="69" t="s">
        <v>232</v>
      </c>
      <c r="H13" s="69" t="s">
        <v>233</v>
      </c>
      <c r="I13" s="69" t="s">
        <v>234</v>
      </c>
      <c r="J13" s="69" t="s">
        <v>235</v>
      </c>
      <c r="K13" s="69" t="s">
        <v>236</v>
      </c>
      <c r="L13" s="69" t="s">
        <v>237</v>
      </c>
      <c r="M13" s="69" t="s">
        <v>238</v>
      </c>
      <c r="N13" s="69" t="s">
        <v>239</v>
      </c>
      <c r="O13" s="69" t="s">
        <v>240</v>
      </c>
      <c r="P13" s="69" t="s">
        <v>241</v>
      </c>
      <c r="Q13" s="69" t="s">
        <v>242</v>
      </c>
      <c r="R13" s="69" t="s">
        <v>243</v>
      </c>
      <c r="S13" s="69" t="s">
        <v>244</v>
      </c>
      <c r="T13" s="69" t="s">
        <v>245</v>
      </c>
      <c r="U13" s="69" t="s">
        <v>246</v>
      </c>
      <c r="V13" s="69" t="s">
        <v>247</v>
      </c>
      <c r="W13" s="69" t="s">
        <v>248</v>
      </c>
      <c r="X13" s="69" t="s">
        <v>249</v>
      </c>
      <c r="Y13" s="98"/>
      <c r="Z13" s="98"/>
      <c r="AA13" s="98"/>
      <c r="AB13" s="98"/>
      <c r="AC13" s="98"/>
      <c r="AD13" s="98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9"/>
  <sheetViews>
    <sheetView showGridLines="0" workbookViewId="0">
      <pane ySplit="1" topLeftCell="A2" activePane="bottomLeft" state="frozen"/>
      <selection activeCell="V2" sqref="V2:X34"/>
      <selection pane="bottomLeft" activeCell="N15" sqref="N15"/>
    </sheetView>
  </sheetViews>
  <sheetFormatPr baseColWidth="12" defaultColWidth="13" defaultRowHeight="21" customHeight="1" outlineLevelCol="1" x14ac:dyDescent="0.15"/>
  <cols>
    <col min="1" max="1" width="8.83203125" style="18" bestFit="1" customWidth="1"/>
    <col min="2" max="2" width="5" style="18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8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5" t="s">
        <v>30</v>
      </c>
      <c r="B1" s="15" t="s">
        <v>36</v>
      </c>
      <c r="C1" s="1" t="s">
        <v>0</v>
      </c>
      <c r="D1" s="2" t="s">
        <v>18</v>
      </c>
      <c r="E1" s="14" t="s">
        <v>33</v>
      </c>
      <c r="F1" s="1" t="s">
        <v>1</v>
      </c>
      <c r="G1" s="21" t="s">
        <v>32</v>
      </c>
      <c r="H1" s="14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5" t="str">
        <f t="shared" ref="A2:A9" si="0">G2&amp;"-"&amp;I2</f>
        <v>41015_1-1</v>
      </c>
      <c r="B2" s="15" t="str">
        <f>IF(COUNTIF(enemy_habitats!$H:$H,A2),"OK","NG")</f>
        <v>OK</v>
      </c>
      <c r="C2" s="6">
        <v>41015</v>
      </c>
      <c r="D2" s="10" t="str">
        <f ca="1">VLOOKUP($C2,OFFSET([2]quests!$A$1,0,0,COUNTA([2]quests!$A:$A),MATCH(D$1,[2]quests!$1:$1,0)-MATCH($C$1,[2]quests!$1:$1,0)+1),MATCH(D$1,[2]quests!$1:$1,0)-MATCH($C$1,[2]quests!$1:$1,0)+1,FALSE)</f>
        <v>ガレス襲来！</v>
      </c>
      <c r="E2" s="17" t="str">
        <f ca="1">VLOOKUP($C2,OFFSET([2]quests!$A$1,0,0,COUNTA([2]quests!$A:$A),MATCH(E$1,[2]quests!$1:$1,0)-MATCH($C$1,[2]quests!$1:$1,0)+1),MATCH(E$1,[2]quests!$1:$1,0)-MATCH($C$1,[2]quests!$1:$1,0)+1,FALSE)</f>
        <v>降臨1</v>
      </c>
      <c r="F2" s="19">
        <v>1</v>
      </c>
      <c r="G2" s="21" t="str">
        <f t="shared" ref="G2:G9" si="1">C2&amp;"_"&amp;F2</f>
        <v>41015_1</v>
      </c>
      <c r="H2" s="14" t="str">
        <f ca="1">VLOOKUP($G2,OFFSET([2]stages!$A$1,0,0,COUNTA([2]stages!$A:$A),MATCH(H$1,[2]stages!$2:$2,0)-MATCH($G$1,[2]stages!$2:$2,0)+1),MATCH(H$1,[2]stages!$2:$2,0)-MATCH($G$1,[2]stages!$2:$2,0)+1,FALSE)</f>
        <v>【超絶級】ガレス襲来</v>
      </c>
      <c r="I2" s="19">
        <v>1</v>
      </c>
      <c r="J2" s="11">
        <v>60</v>
      </c>
      <c r="K2" s="11">
        <v>60</v>
      </c>
    </row>
    <row r="3" spans="1:11" ht="21" customHeight="1" x14ac:dyDescent="0.15">
      <c r="A3" s="15" t="str">
        <f t="shared" si="0"/>
        <v>41015_1-2</v>
      </c>
      <c r="B3" s="15" t="str">
        <f>IF(COUNTIF(enemy_habitats!$H:$H,A3),"OK","NG")</f>
        <v>OK</v>
      </c>
      <c r="C3" s="6">
        <v>41015</v>
      </c>
      <c r="D3" s="10" t="str">
        <f ca="1">VLOOKUP($C3,OFFSET([2]quests!$A$1,0,0,COUNTA([2]quests!$A:$A),MATCH(D$1,[2]quests!$1:$1,0)-MATCH($C$1,[2]quests!$1:$1,0)+1),MATCH(D$1,[2]quests!$1:$1,0)-MATCH($C$1,[2]quests!$1:$1,0)+1,FALSE)</f>
        <v>ガレス襲来！</v>
      </c>
      <c r="E3" s="17" t="str">
        <f ca="1">VLOOKUP($C3,OFFSET([2]quests!$A$1,0,0,COUNTA([2]quests!$A:$A),MATCH(E$1,[2]quests!$1:$1,0)-MATCH($C$1,[2]quests!$1:$1,0)+1),MATCH(E$1,[2]quests!$1:$1,0)-MATCH($C$1,[2]quests!$1:$1,0)+1,FALSE)</f>
        <v>降臨1</v>
      </c>
      <c r="F3" s="19">
        <v>1</v>
      </c>
      <c r="G3" s="21" t="str">
        <f t="shared" si="1"/>
        <v>41015_1</v>
      </c>
      <c r="H3" s="14" t="str">
        <f ca="1">VLOOKUP($G3,OFFSET([2]stages!$A$1,0,0,COUNTA([2]stages!$A:$A),MATCH(H$1,[2]stages!$2:$2,0)-MATCH($G$1,[2]stages!$2:$2,0)+1),MATCH(H$1,[2]stages!$2:$2,0)-MATCH($G$1,[2]stages!$2:$2,0)+1,FALSE)</f>
        <v>【超絶級】ガレス襲来</v>
      </c>
      <c r="I3" s="19">
        <v>2</v>
      </c>
      <c r="J3" s="11">
        <v>60</v>
      </c>
      <c r="K3" s="11">
        <v>60</v>
      </c>
    </row>
    <row r="4" spans="1:11" ht="21" customHeight="1" x14ac:dyDescent="0.15">
      <c r="A4" s="15" t="str">
        <f t="shared" si="0"/>
        <v>41015_1-3</v>
      </c>
      <c r="B4" s="15" t="str">
        <f>IF(COUNTIF(enemy_habitats!$H:$H,A4),"OK","NG")</f>
        <v>OK</v>
      </c>
      <c r="C4" s="6">
        <v>41015</v>
      </c>
      <c r="D4" s="10" t="str">
        <f ca="1">VLOOKUP($C4,OFFSET([2]quests!$A$1,0,0,COUNTA([2]quests!$A:$A),MATCH(D$1,[2]quests!$1:$1,0)-MATCH($C$1,[2]quests!$1:$1,0)+1),MATCH(D$1,[2]quests!$1:$1,0)-MATCH($C$1,[2]quests!$1:$1,0)+1,FALSE)</f>
        <v>ガレス襲来！</v>
      </c>
      <c r="E4" s="17" t="str">
        <f ca="1">VLOOKUP($C4,OFFSET([2]quests!$A$1,0,0,COUNTA([2]quests!$A:$A),MATCH(E$1,[2]quests!$1:$1,0)-MATCH($C$1,[2]quests!$1:$1,0)+1),MATCH(E$1,[2]quests!$1:$1,0)-MATCH($C$1,[2]quests!$1:$1,0)+1,FALSE)</f>
        <v>降臨1</v>
      </c>
      <c r="F4" s="19">
        <v>1</v>
      </c>
      <c r="G4" s="21" t="str">
        <f t="shared" si="1"/>
        <v>41015_1</v>
      </c>
      <c r="H4" s="14" t="str">
        <f ca="1">VLOOKUP($G4,OFFSET([2]stages!$A$1,0,0,COUNTA([2]stages!$A:$A),MATCH(H$1,[2]stages!$2:$2,0)-MATCH($G$1,[2]stages!$2:$2,0)+1),MATCH(H$1,[2]stages!$2:$2,0)-MATCH($G$1,[2]stages!$2:$2,0)+1,FALSE)</f>
        <v>【超絶級】ガレス襲来</v>
      </c>
      <c r="I4" s="19">
        <v>3</v>
      </c>
      <c r="J4" s="11">
        <v>60</v>
      </c>
      <c r="K4" s="11">
        <v>60</v>
      </c>
    </row>
    <row r="5" spans="1:11" ht="21" customHeight="1" x14ac:dyDescent="0.15">
      <c r="A5" s="15" t="str">
        <f t="shared" si="0"/>
        <v>41015_1-4</v>
      </c>
      <c r="B5" s="15" t="str">
        <f>IF(COUNTIF(enemy_habitats!$H:$H,A5),"OK","NG")</f>
        <v>OK</v>
      </c>
      <c r="C5" s="6">
        <v>41015</v>
      </c>
      <c r="D5" s="10" t="str">
        <f ca="1">VLOOKUP($C5,OFFSET([2]quests!$A$1,0,0,COUNTA([2]quests!$A:$A),MATCH(D$1,[2]quests!$1:$1,0)-MATCH($C$1,[2]quests!$1:$1,0)+1),MATCH(D$1,[2]quests!$1:$1,0)-MATCH($C$1,[2]quests!$1:$1,0)+1,FALSE)</f>
        <v>ガレス襲来！</v>
      </c>
      <c r="E5" s="17" t="str">
        <f ca="1">VLOOKUP($C5,OFFSET([2]quests!$A$1,0,0,COUNTA([2]quests!$A:$A),MATCH(E$1,[2]quests!$1:$1,0)-MATCH($C$1,[2]quests!$1:$1,0)+1),MATCH(E$1,[2]quests!$1:$1,0)-MATCH($C$1,[2]quests!$1:$1,0)+1,FALSE)</f>
        <v>降臨1</v>
      </c>
      <c r="F5" s="19">
        <v>1</v>
      </c>
      <c r="G5" s="21" t="str">
        <f t="shared" si="1"/>
        <v>41015_1</v>
      </c>
      <c r="H5" s="14" t="str">
        <f ca="1">VLOOKUP($G5,OFFSET([2]stages!$A$1,0,0,COUNTA([2]stages!$A:$A),MATCH(H$1,[2]stages!$2:$2,0)-MATCH($G$1,[2]stages!$2:$2,0)+1),MATCH(H$1,[2]stages!$2:$2,0)-MATCH($G$1,[2]stages!$2:$2,0)+1,FALSE)</f>
        <v>【超絶級】ガレス襲来</v>
      </c>
      <c r="I5" s="19">
        <v>4</v>
      </c>
      <c r="J5" s="11">
        <v>60</v>
      </c>
      <c r="K5" s="11">
        <v>60</v>
      </c>
    </row>
    <row r="6" spans="1:11" ht="21" customHeight="1" x14ac:dyDescent="0.15">
      <c r="A6" s="15" t="str">
        <f t="shared" si="0"/>
        <v>41015_2-1</v>
      </c>
      <c r="B6" s="15" t="str">
        <f>IF(COUNTIF(enemy_habitats!$H:$H,A6),"OK","NG")</f>
        <v>OK</v>
      </c>
      <c r="C6" s="6">
        <v>41015</v>
      </c>
      <c r="D6" s="10" t="str">
        <f ca="1">VLOOKUP($C6,OFFSET([2]quests!$A$1,0,0,COUNTA([2]quests!$A:$A),MATCH(D$1,[2]quests!$1:$1,0)-MATCH($C$1,[2]quests!$1:$1,0)+1),MATCH(D$1,[2]quests!$1:$1,0)-MATCH($C$1,[2]quests!$1:$1,0)+1,FALSE)</f>
        <v>ガレス襲来！</v>
      </c>
      <c r="E6" s="17" t="str">
        <f ca="1">VLOOKUP($C6,OFFSET([2]quests!$A$1,0,0,COUNTA([2]quests!$A:$A),MATCH(E$1,[2]quests!$1:$1,0)-MATCH($C$1,[2]quests!$1:$1,0)+1),MATCH(E$1,[2]quests!$1:$1,0)-MATCH($C$1,[2]quests!$1:$1,0)+1,FALSE)</f>
        <v>降臨1</v>
      </c>
      <c r="F6" s="19">
        <v>2</v>
      </c>
      <c r="G6" s="21" t="str">
        <f t="shared" si="1"/>
        <v>41015_2</v>
      </c>
      <c r="H6" s="14" t="str">
        <f ca="1">VLOOKUP($G6,OFFSET([2]stages!$A$1,0,0,COUNTA([2]stages!$A:$A),MATCH(H$1,[2]stages!$2:$2,0)-MATCH($G$1,[2]stages!$2:$2,0)+1),MATCH(H$1,[2]stages!$2:$2,0)-MATCH($G$1,[2]stages!$2:$2,0)+1,FALSE)</f>
        <v>【ウィザード級】ガレス襲来</v>
      </c>
      <c r="I6" s="19">
        <v>1</v>
      </c>
      <c r="J6" s="11">
        <v>60</v>
      </c>
      <c r="K6" s="11">
        <v>60</v>
      </c>
    </row>
    <row r="7" spans="1:11" ht="21" customHeight="1" x14ac:dyDescent="0.15">
      <c r="A7" s="15" t="str">
        <f t="shared" si="0"/>
        <v>41015_2-2</v>
      </c>
      <c r="B7" s="15" t="str">
        <f>IF(COUNTIF(enemy_habitats!$H:$H,A7),"OK","NG")</f>
        <v>OK</v>
      </c>
      <c r="C7" s="6">
        <v>41015</v>
      </c>
      <c r="D7" s="10" t="str">
        <f ca="1">VLOOKUP($C7,OFFSET([2]quests!$A$1,0,0,COUNTA([2]quests!$A:$A),MATCH(D$1,[2]quests!$1:$1,0)-MATCH($C$1,[2]quests!$1:$1,0)+1),MATCH(D$1,[2]quests!$1:$1,0)-MATCH($C$1,[2]quests!$1:$1,0)+1,FALSE)</f>
        <v>ガレス襲来！</v>
      </c>
      <c r="E7" s="17" t="str">
        <f ca="1">VLOOKUP($C7,OFFSET([2]quests!$A$1,0,0,COUNTA([2]quests!$A:$A),MATCH(E$1,[2]quests!$1:$1,0)-MATCH($C$1,[2]quests!$1:$1,0)+1),MATCH(E$1,[2]quests!$1:$1,0)-MATCH($C$1,[2]quests!$1:$1,0)+1,FALSE)</f>
        <v>降臨1</v>
      </c>
      <c r="F7" s="19">
        <v>2</v>
      </c>
      <c r="G7" s="21" t="str">
        <f t="shared" si="1"/>
        <v>41015_2</v>
      </c>
      <c r="H7" s="14" t="str">
        <f ca="1">VLOOKUP($G7,OFFSET([2]stages!$A$1,0,0,COUNTA([2]stages!$A:$A),MATCH(H$1,[2]stages!$2:$2,0)-MATCH($G$1,[2]stages!$2:$2,0)+1),MATCH(H$1,[2]stages!$2:$2,0)-MATCH($G$1,[2]stages!$2:$2,0)+1,FALSE)</f>
        <v>【ウィザード級】ガレス襲来</v>
      </c>
      <c r="I7" s="19">
        <v>2</v>
      </c>
      <c r="J7" s="11">
        <v>60</v>
      </c>
      <c r="K7" s="11">
        <v>60</v>
      </c>
    </row>
    <row r="8" spans="1:11" ht="21" customHeight="1" x14ac:dyDescent="0.15">
      <c r="A8" s="15" t="str">
        <f t="shared" si="0"/>
        <v>41015_2-3</v>
      </c>
      <c r="B8" s="15" t="str">
        <f>IF(COUNTIF(enemy_habitats!$H:$H,A8),"OK","NG")</f>
        <v>OK</v>
      </c>
      <c r="C8" s="6">
        <v>41015</v>
      </c>
      <c r="D8" s="10" t="str">
        <f ca="1">VLOOKUP($C8,OFFSET([2]quests!$A$1,0,0,COUNTA([2]quests!$A:$A),MATCH(D$1,[2]quests!$1:$1,0)-MATCH($C$1,[2]quests!$1:$1,0)+1),MATCH(D$1,[2]quests!$1:$1,0)-MATCH($C$1,[2]quests!$1:$1,0)+1,FALSE)</f>
        <v>ガレス襲来！</v>
      </c>
      <c r="E8" s="17" t="str">
        <f ca="1">VLOOKUP($C8,OFFSET([2]quests!$A$1,0,0,COUNTA([2]quests!$A:$A),MATCH(E$1,[2]quests!$1:$1,0)-MATCH($C$1,[2]quests!$1:$1,0)+1),MATCH(E$1,[2]quests!$1:$1,0)-MATCH($C$1,[2]quests!$1:$1,0)+1,FALSE)</f>
        <v>降臨1</v>
      </c>
      <c r="F8" s="19">
        <v>2</v>
      </c>
      <c r="G8" s="21" t="str">
        <f t="shared" si="1"/>
        <v>41015_2</v>
      </c>
      <c r="H8" s="14" t="str">
        <f ca="1">VLOOKUP($G8,OFFSET([2]stages!$A$1,0,0,COUNTA([2]stages!$A:$A),MATCH(H$1,[2]stages!$2:$2,0)-MATCH($G$1,[2]stages!$2:$2,0)+1),MATCH(H$1,[2]stages!$2:$2,0)-MATCH($G$1,[2]stages!$2:$2,0)+1,FALSE)</f>
        <v>【ウィザード級】ガレス襲来</v>
      </c>
      <c r="I8" s="19">
        <v>3</v>
      </c>
      <c r="J8" s="11">
        <v>60</v>
      </c>
      <c r="K8" s="11">
        <v>60</v>
      </c>
    </row>
    <row r="9" spans="1:11" ht="21" customHeight="1" x14ac:dyDescent="0.15">
      <c r="A9" s="15" t="str">
        <f t="shared" si="0"/>
        <v>41015_2-4</v>
      </c>
      <c r="B9" s="15" t="str">
        <f>IF(COUNTIF(enemy_habitats!$H:$H,A9),"OK","NG")</f>
        <v>OK</v>
      </c>
      <c r="C9" s="6">
        <v>41015</v>
      </c>
      <c r="D9" s="10" t="str">
        <f ca="1">VLOOKUP($C9,OFFSET([2]quests!$A$1,0,0,COUNTA([2]quests!$A:$A),MATCH(D$1,[2]quests!$1:$1,0)-MATCH($C$1,[2]quests!$1:$1,0)+1),MATCH(D$1,[2]quests!$1:$1,0)-MATCH($C$1,[2]quests!$1:$1,0)+1,FALSE)</f>
        <v>ガレス襲来！</v>
      </c>
      <c r="E9" s="17" t="str">
        <f ca="1">VLOOKUP($C9,OFFSET([2]quests!$A$1,0,0,COUNTA([2]quests!$A:$A),MATCH(E$1,[2]quests!$1:$1,0)-MATCH($C$1,[2]quests!$1:$1,0)+1),MATCH(E$1,[2]quests!$1:$1,0)-MATCH($C$1,[2]quests!$1:$1,0)+1,FALSE)</f>
        <v>降臨1</v>
      </c>
      <c r="F9" s="19">
        <v>2</v>
      </c>
      <c r="G9" s="21" t="str">
        <f t="shared" si="1"/>
        <v>41015_2</v>
      </c>
      <c r="H9" s="14" t="str">
        <f ca="1">VLOOKUP($G9,OFFSET([2]stages!$A$1,0,0,COUNTA([2]stages!$A:$A),MATCH(H$1,[2]stages!$2:$2,0)-MATCH($G$1,[2]stages!$2:$2,0)+1),MATCH(H$1,[2]stages!$2:$2,0)-MATCH($G$1,[2]stages!$2:$2,0)+1,FALSE)</f>
        <v>【ウィザード級】ガレス襲来</v>
      </c>
      <c r="I9" s="19">
        <v>4</v>
      </c>
      <c r="J9" s="11">
        <v>60</v>
      </c>
      <c r="K9" s="11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5"/>
  <sheetViews>
    <sheetView showGridLines="0" zoomScale="90" zoomScaleNormal="90" zoomScalePageLayoutView="9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S18" sqref="S18"/>
    </sheetView>
  </sheetViews>
  <sheetFormatPr baseColWidth="12" defaultColWidth="13" defaultRowHeight="21" customHeight="1" outlineLevelCol="1" x14ac:dyDescent="0.15"/>
  <cols>
    <col min="1" max="1" width="15.83203125" style="18" bestFit="1" customWidth="1"/>
    <col min="2" max="2" width="10.83203125" style="3" bestFit="1" customWidth="1"/>
    <col min="3" max="3" width="10.6640625" style="3" bestFit="1" customWidth="1" collapsed="1"/>
    <col min="4" max="4" width="13" style="13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8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2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2" bestFit="1" customWidth="1" outlineLevel="1"/>
    <col min="32" max="32" width="8" style="13" bestFit="1" customWidth="1" outlineLevel="1"/>
    <col min="33" max="33" width="12" style="13" bestFit="1" customWidth="1" outlineLevel="1"/>
    <col min="34" max="34" width="15" style="9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2" customFormat="1" ht="21" customHeight="1" x14ac:dyDescent="0.15">
      <c r="A1" s="24" t="s">
        <v>29</v>
      </c>
      <c r="B1" s="25" t="s">
        <v>0</v>
      </c>
      <c r="C1" s="25" t="s">
        <v>1</v>
      </c>
      <c r="D1" s="26" t="s">
        <v>28</v>
      </c>
      <c r="E1" s="27" t="s">
        <v>20</v>
      </c>
      <c r="F1" s="27" t="s">
        <v>20</v>
      </c>
      <c r="G1" s="25" t="s">
        <v>19</v>
      </c>
      <c r="H1" s="26" t="s">
        <v>35</v>
      </c>
      <c r="I1" s="26" t="s">
        <v>14</v>
      </c>
      <c r="J1" s="26" t="s">
        <v>15</v>
      </c>
      <c r="K1" s="33" t="s">
        <v>54</v>
      </c>
      <c r="L1" s="34" t="s">
        <v>2</v>
      </c>
      <c r="M1" s="28" t="s">
        <v>21</v>
      </c>
      <c r="N1" s="26" t="s">
        <v>24</v>
      </c>
      <c r="O1" s="26" t="s">
        <v>23</v>
      </c>
      <c r="P1" s="29" t="s">
        <v>26</v>
      </c>
      <c r="Q1" s="27" t="s">
        <v>25</v>
      </c>
      <c r="R1" s="25" t="s">
        <v>3</v>
      </c>
      <c r="S1" s="23" t="s">
        <v>48</v>
      </c>
      <c r="T1" s="100" t="s">
        <v>251</v>
      </c>
      <c r="U1" s="23" t="s">
        <v>50</v>
      </c>
      <c r="V1" s="100" t="s">
        <v>252</v>
      </c>
      <c r="W1" s="23" t="s">
        <v>52</v>
      </c>
      <c r="X1" s="26" t="s">
        <v>31</v>
      </c>
      <c r="Y1" s="25" t="s">
        <v>4</v>
      </c>
      <c r="Z1" s="25" t="s">
        <v>5</v>
      </c>
      <c r="AA1" s="25" t="s">
        <v>6</v>
      </c>
      <c r="AB1" s="25" t="s">
        <v>7</v>
      </c>
      <c r="AC1" s="25" t="s">
        <v>8</v>
      </c>
      <c r="AD1" s="30" t="s">
        <v>9</v>
      </c>
      <c r="AE1" s="31" t="s">
        <v>16</v>
      </c>
      <c r="AF1" s="31" t="s">
        <v>17</v>
      </c>
      <c r="AG1" s="31" t="s">
        <v>27</v>
      </c>
      <c r="AH1" s="30" t="s">
        <v>10</v>
      </c>
      <c r="AI1" s="25" t="s">
        <v>11</v>
      </c>
      <c r="AJ1" s="25" t="s">
        <v>12</v>
      </c>
      <c r="AK1" s="25" t="s">
        <v>38</v>
      </c>
      <c r="AL1" s="25" t="s">
        <v>40</v>
      </c>
      <c r="AM1" s="25" t="s">
        <v>42</v>
      </c>
      <c r="AN1" s="25" t="s">
        <v>44</v>
      </c>
      <c r="AO1" s="25" t="s">
        <v>46</v>
      </c>
      <c r="AP1" s="33" t="s">
        <v>178</v>
      </c>
    </row>
    <row r="2" spans="1:42" ht="21" customHeight="1" x14ac:dyDescent="0.15">
      <c r="A2" s="15" t="str">
        <f t="shared" ref="A2:A15" si="0">B2&amp;"_"&amp;C2&amp;"-"&amp;G2&amp;"/"&amp;L2&amp;"&lt;lv"&amp;R2&amp;"&gt;s"&amp;AC2</f>
        <v>41015_1-1/768&lt;lv50&gt;s1</v>
      </c>
      <c r="B2" s="20">
        <v>41015</v>
      </c>
      <c r="C2" s="104">
        <v>1</v>
      </c>
      <c r="D2" s="105" t="str">
        <f t="shared" ref="D2:D8" si="1">B2&amp;"_"&amp;C2</f>
        <v>41015_1</v>
      </c>
      <c r="E2" s="106" t="str">
        <f ca="1">VLOOKUP($B2,OFFSET([2]quests!$A$1,0,0,COUNTA([2]quests!$A:$A),MATCH(E$1,[2]quests!$1:$1,0)-MATCH($B$1,[2]quests!$1:$1,0)+1),MATCH(E$1,[2]quests!$1:$1,0)-MATCH($B$1,[2]quests!$1:$1,0)+1,FALSE)</f>
        <v>ガレス襲来！</v>
      </c>
      <c r="F2" s="106" t="str">
        <f ca="1">VLOOKUP($D2,OFFSET([2]stages!$A$1,0,0,COUNTA([2]stages!$A:$A),MATCH(F$1,[2]stages!$2:$2,0)-MATCH($D$1,[2]stages!$2:$2,0)+1),MATCH(F$1,[2]stages!$2:$2,0)-MATCH($D$1,[2]stages!$2:$2,0)+1,FALSE)</f>
        <v>【超絶級】ガレス襲来</v>
      </c>
      <c r="G2" s="105">
        <v>1</v>
      </c>
      <c r="H2" s="14" t="str">
        <f t="shared" ref="H2:H8" si="2">B2&amp;"_"&amp;C2&amp;"-"&amp;G2</f>
        <v>41015_1-1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107" t="s">
        <v>53</v>
      </c>
      <c r="L2" s="105">
        <v>768</v>
      </c>
      <c r="M2" s="16" t="str">
        <f ca="1">VLOOKUP($L2,OFFSET([3]enemies!$A$1,0,0,COUNTA([3]enemies!$A:$A),MATCH(M$1,[3]enemies!$1:$1,0)-MATCH($L$1,[3]enemies!$1:$1,0)+1),MATCH(M$1,[3]enemies!$1:$1,0)-MATCH($L$1,[3]enemies!$1:$1,0)+1,FALSE)</f>
        <v>ガレス</v>
      </c>
      <c r="N2" s="16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16" t="str">
        <f ca="1">VLOOKUP($L2,OFFSET([4]characters!$A$1,0,0,COUNTA([4]characters!$A:$A),MATCH(O$1,[4]characters!$1:$1,0)-MATCH($L$1,[4]characters!$1:$1,0)+1),MATCH(O$1,[4]characters!$1:$1,0)-MATCH($L$1,[4]characters!$1:$1,0)+1,FALSE)</f>
        <v>DropWizS</v>
      </c>
      <c r="P2" s="16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6">
        <f ca="1">VLOOKUP($L2,OFFSET([3]enemies!$A$1,0,0,COUNTA([3]enemies!$A:$A),MATCH(Q$1,[3]enemies!$1:$1,0)-MATCH($L$1,[3]enemies!$1:$1,0)+1),MATCH(Q$1,[3]enemies!$1:$1,0)-MATCH($L$1,[3]enemies!$1:$1,0)+1,FALSE)</f>
        <v>30</v>
      </c>
      <c r="R2" s="108">
        <v>50</v>
      </c>
      <c r="S2" s="109">
        <v>1</v>
      </c>
      <c r="T2" s="101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57772</v>
      </c>
      <c r="U2" s="109">
        <v>1</v>
      </c>
      <c r="V2" s="101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4560</v>
      </c>
      <c r="W2" s="108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何者かが足早に去っていった</v>
      </c>
      <c r="Y2" s="110">
        <v>41015001</v>
      </c>
      <c r="Z2" s="111">
        <v>1</v>
      </c>
      <c r="AA2" s="111">
        <v>100</v>
      </c>
      <c r="AB2" s="111">
        <v>0</v>
      </c>
      <c r="AC2" s="112">
        <v>1</v>
      </c>
      <c r="AD2" s="113">
        <f t="shared" ref="AD2:AD7" si="3">L2</f>
        <v>768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ガレス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4</v>
      </c>
      <c r="AG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ガレス</v>
      </c>
      <c r="AH2" s="114">
        <v>1</v>
      </c>
      <c r="AI2" s="113">
        <f t="shared" ref="AI2:AI8" ca="1" si="4">AF2</f>
        <v>4</v>
      </c>
      <c r="AJ2" s="7">
        <v>0</v>
      </c>
      <c r="AK2" s="114">
        <v>0</v>
      </c>
      <c r="AL2" s="114">
        <v>0</v>
      </c>
      <c r="AM2" s="114">
        <v>0</v>
      </c>
      <c r="AN2" s="114">
        <v>0</v>
      </c>
      <c r="AO2" s="114">
        <v>1</v>
      </c>
      <c r="AP2" s="66">
        <v>1</v>
      </c>
    </row>
    <row r="3" spans="1:42" ht="21" customHeight="1" x14ac:dyDescent="0.15">
      <c r="A3" s="15" t="str">
        <f t="shared" si="0"/>
        <v>41015_1-1/764&lt;lv50&gt;s2</v>
      </c>
      <c r="B3" s="20">
        <v>41015</v>
      </c>
      <c r="C3" s="104">
        <v>1</v>
      </c>
      <c r="D3" s="105" t="str">
        <f t="shared" si="1"/>
        <v>41015_1</v>
      </c>
      <c r="E3" s="106" t="str">
        <f ca="1">VLOOKUP($B3,OFFSET([2]quests!$A$1,0,0,COUNTA([2]quests!$A:$A),MATCH(E$1,[2]quests!$1:$1,0)-MATCH($B$1,[2]quests!$1:$1,0)+1),MATCH(E$1,[2]quests!$1:$1,0)-MATCH($B$1,[2]quests!$1:$1,0)+1,FALSE)</f>
        <v>ガレス襲来！</v>
      </c>
      <c r="F3" s="106" t="str">
        <f ca="1">VLOOKUP($D3,OFFSET([2]stages!$A$1,0,0,COUNTA([2]stages!$A:$A),MATCH(F$1,[2]stages!$2:$2,0)-MATCH($D$1,[2]stages!$2:$2,0)+1),MATCH(F$1,[2]stages!$2:$2,0)-MATCH($D$1,[2]stages!$2:$2,0)+1,FALSE)</f>
        <v>【超絶級】ガレス襲来</v>
      </c>
      <c r="G3" s="105">
        <v>1</v>
      </c>
      <c r="H3" s="14" t="str">
        <f t="shared" si="2"/>
        <v>41015_1-1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107">
        <v>1</v>
      </c>
      <c r="L3" s="105">
        <v>764</v>
      </c>
      <c r="M3" s="16" t="str">
        <f ca="1">VLOOKUP($L3,OFFSET([3]enemies!$A$1,0,0,COUNTA([3]enemies!$A:$A),MATCH(M$1,[3]enemies!$1:$1,0)-MATCH($L$1,[3]enemies!$1:$1,0)+1),MATCH(M$1,[3]enemies!$1:$1,0)-MATCH($L$1,[3]enemies!$1:$1,0)+1,FALSE)</f>
        <v>ライオネル</v>
      </c>
      <c r="N3" s="16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6" t="str">
        <f ca="1">VLOOKUP($L3,OFFSET([4]characters!$A$1,0,0,COUNTA([4]characters!$A:$A),MATCH(O$1,[4]characters!$1:$1,0)-MATCH($L$1,[4]characters!$1:$1,0)+1),MATCH(O$1,[4]characters!$1:$1,0)-MATCH($L$1,[4]characters!$1:$1,0)+1,FALSE)</f>
        <v>Drop2N</v>
      </c>
      <c r="P3" s="16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6">
        <f ca="1">VLOOKUP($L3,OFFSET([3]enemies!$A$1,0,0,COUNTA([3]enemies!$A:$A),MATCH(Q$1,[3]enemies!$1:$1,0)-MATCH($L$1,[3]enemies!$1:$1,0)+1),MATCH(Q$1,[3]enemies!$1:$1,0)-MATCH($L$1,[3]enemies!$1:$1,0)+1,FALSE)</f>
        <v>30</v>
      </c>
      <c r="R3" s="108">
        <v>50</v>
      </c>
      <c r="S3" s="109">
        <v>4</v>
      </c>
      <c r="T3" s="101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262444</v>
      </c>
      <c r="U3" s="109">
        <v>1</v>
      </c>
      <c r="V3" s="101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5802</v>
      </c>
      <c r="W3" s="108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この力があれば　俺様がナンバーワンだ！</v>
      </c>
      <c r="Y3" s="110">
        <v>41015002</v>
      </c>
      <c r="Z3" s="111">
        <v>1</v>
      </c>
      <c r="AA3" s="111">
        <v>100</v>
      </c>
      <c r="AB3" s="111">
        <v>0</v>
      </c>
      <c r="AC3" s="112">
        <v>2</v>
      </c>
      <c r="AD3" s="113">
        <f t="shared" si="3"/>
        <v>764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ライオネル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4</v>
      </c>
      <c r="AG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ライオネル</v>
      </c>
      <c r="AH3" s="114">
        <v>1</v>
      </c>
      <c r="AI3" s="113">
        <f t="shared" ca="1" si="4"/>
        <v>4</v>
      </c>
      <c r="AJ3" s="7">
        <v>0</v>
      </c>
      <c r="AK3" s="114">
        <v>0</v>
      </c>
      <c r="AL3" s="114">
        <v>0</v>
      </c>
      <c r="AM3" s="114">
        <v>0</v>
      </c>
      <c r="AN3" s="114">
        <v>0</v>
      </c>
      <c r="AO3" s="114">
        <v>1</v>
      </c>
      <c r="AP3" s="66">
        <v>1</v>
      </c>
    </row>
    <row r="4" spans="1:42" ht="21" customHeight="1" x14ac:dyDescent="0.15">
      <c r="A4" s="15" t="str">
        <f t="shared" si="0"/>
        <v>41015_1-2/121&lt;lv50&gt;s8</v>
      </c>
      <c r="B4" s="20">
        <v>41015</v>
      </c>
      <c r="C4" s="104">
        <v>1</v>
      </c>
      <c r="D4" s="115" t="str">
        <f t="shared" si="1"/>
        <v>41015_1</v>
      </c>
      <c r="E4" s="116" t="str">
        <f ca="1">VLOOKUP($B4,OFFSET([2]quests!$A$1,0,0,COUNTA([2]quests!$A:$A),MATCH(E$1,[2]quests!$1:$1,0)-MATCH($B$1,[2]quests!$1:$1,0)+1),MATCH(E$1,[2]quests!$1:$1,0)-MATCH($B$1,[2]quests!$1:$1,0)+1,FALSE)</f>
        <v>ガレス襲来！</v>
      </c>
      <c r="F4" s="116" t="str">
        <f ca="1">VLOOKUP($D4,OFFSET([2]stages!$A$1,0,0,COUNTA([2]stages!$A:$A),MATCH(F$1,[2]stages!$2:$2,0)-MATCH($D$1,[2]stages!$2:$2,0)+1),MATCH(F$1,[2]stages!$2:$2,0)-MATCH($D$1,[2]stages!$2:$2,0)+1,FALSE)</f>
        <v>【超絶級】ガレス襲来</v>
      </c>
      <c r="G4" s="115">
        <v>2</v>
      </c>
      <c r="H4" s="14" t="str">
        <f t="shared" si="2"/>
        <v>41015_1-2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117" t="s">
        <v>53</v>
      </c>
      <c r="L4" s="115">
        <v>121</v>
      </c>
      <c r="M4" s="16" t="str">
        <f ca="1">VLOOKUP($L4,OFFSET([3]enemies!$A$1,0,0,COUNTA([3]enemies!$A:$A),MATCH(M$1,[3]enemies!$1:$1,0)-MATCH($L$1,[3]enemies!$1:$1,0)+1),MATCH(M$1,[3]enemies!$1:$1,0)-MATCH($L$1,[3]enemies!$1:$1,0)+1,FALSE)</f>
        <v>攻めの果実</v>
      </c>
      <c r="N4" s="16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6" t="str">
        <f ca="1">VLOOKUP($L4,OFFSET([4]characters!$A$1,0,0,COUNTA([4]characters!$A:$A),MATCH(O$1,[4]characters!$1:$1,0)-MATCH($L$1,[4]characters!$1:$1,0)+1),MATCH(O$1,[4]characters!$1:$1,0)-MATCH($L$1,[4]characters!$1:$1,0)+1,FALSE)</f>
        <v>Material</v>
      </c>
      <c r="P4" s="16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16">
        <f ca="1">VLOOKUP($L4,OFFSET([3]enemies!$A$1,0,0,COUNTA([3]enemies!$A:$A),MATCH(Q$1,[3]enemies!$1:$1,0)-MATCH($L$1,[3]enemies!$1:$1,0)+1),MATCH(Q$1,[3]enemies!$1:$1,0)-MATCH($L$1,[3]enemies!$1:$1,0)+1,FALSE)</f>
        <v>20</v>
      </c>
      <c r="R4" s="118">
        <v>50</v>
      </c>
      <c r="S4" s="119">
        <v>5.4</v>
      </c>
      <c r="T4" s="101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61182.000000000007</v>
      </c>
      <c r="U4" s="119">
        <v>2.6</v>
      </c>
      <c r="V4" s="101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13078</v>
      </c>
      <c r="W4" s="118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仲間を追って爆ぜていった…</v>
      </c>
      <c r="Y4" s="110">
        <v>41015011</v>
      </c>
      <c r="Z4" s="120">
        <v>1</v>
      </c>
      <c r="AA4" s="120">
        <v>100</v>
      </c>
      <c r="AB4" s="120">
        <v>2</v>
      </c>
      <c r="AC4" s="112">
        <v>8</v>
      </c>
      <c r="AD4" s="113">
        <f t="shared" si="3"/>
        <v>121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攻めの果実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3</v>
      </c>
      <c r="AG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攻めの果実</v>
      </c>
      <c r="AH4" s="114">
        <v>1</v>
      </c>
      <c r="AI4" s="113">
        <f t="shared" ca="1" si="4"/>
        <v>3</v>
      </c>
      <c r="AJ4" s="7">
        <v>100</v>
      </c>
      <c r="AK4" s="114">
        <v>0</v>
      </c>
      <c r="AL4" s="114">
        <v>0</v>
      </c>
      <c r="AM4" s="114">
        <v>0</v>
      </c>
      <c r="AN4" s="114">
        <v>0</v>
      </c>
      <c r="AO4" s="114">
        <v>1</v>
      </c>
      <c r="AP4" s="66">
        <v>1</v>
      </c>
    </row>
    <row r="5" spans="1:42" ht="21" customHeight="1" x14ac:dyDescent="0.15">
      <c r="A5" s="15" t="str">
        <f t="shared" si="0"/>
        <v>41015_1-2/122&lt;lv50&gt;s8</v>
      </c>
      <c r="B5" s="20">
        <v>41015</v>
      </c>
      <c r="C5" s="104">
        <v>1</v>
      </c>
      <c r="D5" s="115" t="str">
        <f t="shared" si="1"/>
        <v>41015_1</v>
      </c>
      <c r="E5" s="116" t="str">
        <f ca="1">VLOOKUP($B5,OFFSET([2]quests!$A$1,0,0,COUNTA([2]quests!$A:$A),MATCH(E$1,[2]quests!$1:$1,0)-MATCH($B$1,[2]quests!$1:$1,0)+1),MATCH(E$1,[2]quests!$1:$1,0)-MATCH($B$1,[2]quests!$1:$1,0)+1,FALSE)</f>
        <v>ガレス襲来！</v>
      </c>
      <c r="F5" s="116" t="str">
        <f ca="1">VLOOKUP($D5,OFFSET([2]stages!$A$1,0,0,COUNTA([2]stages!$A:$A),MATCH(F$1,[2]stages!$2:$2,0)-MATCH($D$1,[2]stages!$2:$2,0)+1),MATCH(F$1,[2]stages!$2:$2,0)-MATCH($D$1,[2]stages!$2:$2,0)+1,FALSE)</f>
        <v>【超絶級】ガレス襲来</v>
      </c>
      <c r="G5" s="115">
        <v>2</v>
      </c>
      <c r="H5" s="14" t="str">
        <f t="shared" si="2"/>
        <v>41015_1-2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117" t="s">
        <v>53</v>
      </c>
      <c r="L5" s="115">
        <v>122</v>
      </c>
      <c r="M5" s="16" t="str">
        <f ca="1">VLOOKUP($L5,OFFSET([3]enemies!$A$1,0,0,COUNTA([3]enemies!$A:$A),MATCH(M$1,[3]enemies!$1:$1,0)-MATCH($L$1,[3]enemies!$1:$1,0)+1),MATCH(M$1,[3]enemies!$1:$1,0)-MATCH($L$1,[3]enemies!$1:$1,0)+1,FALSE)</f>
        <v>生命の果実</v>
      </c>
      <c r="N5" s="16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6" t="str">
        <f ca="1">VLOOKUP($L5,OFFSET([4]characters!$A$1,0,0,COUNTA([4]characters!$A:$A),MATCH(O$1,[4]characters!$1:$1,0)-MATCH($L$1,[4]characters!$1:$1,0)+1),MATCH(O$1,[4]characters!$1:$1,0)-MATCH($L$1,[4]characters!$1:$1,0)+1,FALSE)</f>
        <v>Material</v>
      </c>
      <c r="P5" s="16" t="str">
        <f ca="1">VLOOKUP($L5,OFFSET([3]enemies!$A$1,0,0,COUNTA([3]enemies!$A:$A),MATCH(P$1,[3]enemies!$1:$1,0)-MATCH($L$1,[3]enemies!$1:$1,0)+1),MATCH(P$1,[3]enemies!$1:$1,0)-MATCH($L$1,[3]enemies!$1:$1,0)+1,FALSE)</f>
        <v>unknown</v>
      </c>
      <c r="Q5" s="16">
        <f ca="1">VLOOKUP($L5,OFFSET([3]enemies!$A$1,0,0,COUNTA([3]enemies!$A:$A),MATCH(Q$1,[3]enemies!$1:$1,0)-MATCH($L$1,[3]enemies!$1:$1,0)+1),MATCH(Q$1,[3]enemies!$1:$1,0)-MATCH($L$1,[3]enemies!$1:$1,0)+1,FALSE)</f>
        <v>20</v>
      </c>
      <c r="R5" s="118">
        <v>50</v>
      </c>
      <c r="S5" s="119">
        <v>4.2</v>
      </c>
      <c r="T5" s="101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70379.400000000009</v>
      </c>
      <c r="U5" s="119">
        <v>2.2999999999999998</v>
      </c>
      <c r="V5" s="101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7104.7</v>
      </c>
      <c r="W5" s="118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このフロアの果実は連鎖的に自爆する！</v>
      </c>
      <c r="Y5" s="110">
        <v>41015004</v>
      </c>
      <c r="Z5" s="120">
        <v>1</v>
      </c>
      <c r="AA5" s="120">
        <v>100</v>
      </c>
      <c r="AB5" s="120">
        <v>1</v>
      </c>
      <c r="AC5" s="112">
        <v>8</v>
      </c>
      <c r="AD5" s="113">
        <f t="shared" si="3"/>
        <v>122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生命の果実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3</v>
      </c>
      <c r="AG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生命の果実</v>
      </c>
      <c r="AH5" s="114">
        <v>1</v>
      </c>
      <c r="AI5" s="113">
        <f t="shared" ca="1" si="4"/>
        <v>3</v>
      </c>
      <c r="AJ5" s="7">
        <v>100</v>
      </c>
      <c r="AK5" s="114">
        <v>0</v>
      </c>
      <c r="AL5" s="114">
        <v>0</v>
      </c>
      <c r="AM5" s="114">
        <v>0</v>
      </c>
      <c r="AN5" s="114">
        <v>0</v>
      </c>
      <c r="AO5" s="114">
        <v>1</v>
      </c>
      <c r="AP5" s="66">
        <v>1</v>
      </c>
    </row>
    <row r="6" spans="1:42" ht="21" customHeight="1" x14ac:dyDescent="0.15">
      <c r="A6" s="15" t="str">
        <f t="shared" si="0"/>
        <v>41015_1-2/123&lt;lv50&gt;s8</v>
      </c>
      <c r="B6" s="20">
        <v>41015</v>
      </c>
      <c r="C6" s="104">
        <v>1</v>
      </c>
      <c r="D6" s="115" t="str">
        <f t="shared" si="1"/>
        <v>41015_1</v>
      </c>
      <c r="E6" s="116" t="str">
        <f ca="1">VLOOKUP($B6,OFFSET([2]quests!$A$1,0,0,COUNTA([2]quests!$A:$A),MATCH(E$1,[2]quests!$1:$1,0)-MATCH($B$1,[2]quests!$1:$1,0)+1),MATCH(E$1,[2]quests!$1:$1,0)-MATCH($B$1,[2]quests!$1:$1,0)+1,FALSE)</f>
        <v>ガレス襲来！</v>
      </c>
      <c r="F6" s="116" t="str">
        <f ca="1">VLOOKUP($D6,OFFSET([2]stages!$A$1,0,0,COUNTA([2]stages!$A:$A),MATCH(F$1,[2]stages!$2:$2,0)-MATCH($D$1,[2]stages!$2:$2,0)+1),MATCH(F$1,[2]stages!$2:$2,0)-MATCH($D$1,[2]stages!$2:$2,0)+1,FALSE)</f>
        <v>【超絶級】ガレス襲来</v>
      </c>
      <c r="G6" s="115">
        <v>2</v>
      </c>
      <c r="H6" s="14" t="str">
        <f t="shared" si="2"/>
        <v>41015_1-2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117" t="s">
        <v>253</v>
      </c>
      <c r="L6" s="115">
        <v>123</v>
      </c>
      <c r="M6" s="16" t="str">
        <f ca="1">VLOOKUP($L6,OFFSET([3]enemies!$A$1,0,0,COUNTA([3]enemies!$A:$A),MATCH(M$1,[3]enemies!$1:$1,0)-MATCH($L$1,[3]enemies!$1:$1,0)+1),MATCH(M$1,[3]enemies!$1:$1,0)-MATCH($L$1,[3]enemies!$1:$1,0)+1,FALSE)</f>
        <v>癒しの果実</v>
      </c>
      <c r="N6" s="16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6" t="str">
        <f ca="1">VLOOKUP($L6,OFFSET([4]characters!$A$1,0,0,COUNTA([4]characters!$A:$A),MATCH(O$1,[4]characters!$1:$1,0)-MATCH($L$1,[4]characters!$1:$1,0)+1),MATCH(O$1,[4]characters!$1:$1,0)-MATCH($L$1,[4]characters!$1:$1,0)+1,FALSE)</f>
        <v>Material</v>
      </c>
      <c r="P6" s="16" t="str">
        <f ca="1">VLOOKUP($L6,OFFSET([3]enemies!$A$1,0,0,COUNTA([3]enemies!$A:$A),MATCH(P$1,[3]enemies!$1:$1,0)-MATCH($L$1,[3]enemies!$1:$1,0)+1),MATCH(P$1,[3]enemies!$1:$1,0)-MATCH($L$1,[3]enemies!$1:$1,0)+1,FALSE)</f>
        <v>unknown</v>
      </c>
      <c r="Q6" s="16">
        <f ca="1">VLOOKUP($L6,OFFSET([3]enemies!$A$1,0,0,COUNTA([3]enemies!$A:$A),MATCH(Q$1,[3]enemies!$1:$1,0)-MATCH($L$1,[3]enemies!$1:$1,0)+1),MATCH(Q$1,[3]enemies!$1:$1,0)-MATCH($L$1,[3]enemies!$1:$1,0)+1,FALSE)</f>
        <v>20</v>
      </c>
      <c r="R6" s="118">
        <v>50</v>
      </c>
      <c r="S6" s="119">
        <v>5.6</v>
      </c>
      <c r="T6" s="101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50758.399999999994</v>
      </c>
      <c r="U6" s="119">
        <v>3.3</v>
      </c>
      <c r="V6" s="101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9352.1999999999989</v>
      </c>
      <c r="W6" s="118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仲間を追って爆ぜていった…</v>
      </c>
      <c r="Y6" s="110">
        <v>41015005</v>
      </c>
      <c r="Z6" s="120">
        <v>1</v>
      </c>
      <c r="AA6" s="120">
        <v>100</v>
      </c>
      <c r="AB6" s="120">
        <v>0</v>
      </c>
      <c r="AC6" s="112">
        <v>8</v>
      </c>
      <c r="AD6" s="113">
        <f t="shared" si="3"/>
        <v>123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癒しの果実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3</v>
      </c>
      <c r="AG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癒しの果実</v>
      </c>
      <c r="AH6" s="114">
        <v>1</v>
      </c>
      <c r="AI6" s="113">
        <f t="shared" ca="1" si="4"/>
        <v>3</v>
      </c>
      <c r="AJ6" s="7">
        <v>100</v>
      </c>
      <c r="AK6" s="114">
        <v>0</v>
      </c>
      <c r="AL6" s="114">
        <v>0</v>
      </c>
      <c r="AM6" s="114">
        <v>0</v>
      </c>
      <c r="AN6" s="114">
        <v>0</v>
      </c>
      <c r="AO6" s="114">
        <v>1</v>
      </c>
      <c r="AP6" s="66">
        <v>1</v>
      </c>
    </row>
    <row r="7" spans="1:42" ht="21" customHeight="1" x14ac:dyDescent="0.15">
      <c r="A7" s="15" t="str">
        <f t="shared" si="0"/>
        <v>41015_1-3/767&lt;lv50&gt;s2</v>
      </c>
      <c r="B7" s="20">
        <v>41015</v>
      </c>
      <c r="C7" s="104">
        <v>1</v>
      </c>
      <c r="D7" s="14" t="str">
        <f t="shared" si="1"/>
        <v>41015_1</v>
      </c>
      <c r="E7" s="4" t="str">
        <f ca="1">VLOOKUP($B7,OFFSET([2]quests!$A$1,0,0,COUNTA([2]quests!$A:$A),MATCH(E$1,[2]quests!$1:$1,0)-MATCH($B$1,[2]quests!$1:$1,0)+1),MATCH(E$1,[2]quests!$1:$1,0)-MATCH($B$1,[2]quests!$1:$1,0)+1,FALSE)</f>
        <v>ガレス襲来！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【超絶級】ガレス襲来</v>
      </c>
      <c r="G7" s="105">
        <v>3</v>
      </c>
      <c r="H7" s="14" t="str">
        <f t="shared" si="2"/>
        <v>41015_1-3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107">
        <v>2</v>
      </c>
      <c r="L7" s="105">
        <v>767</v>
      </c>
      <c r="M7" s="16" t="str">
        <f ca="1">VLOOKUP($L7,OFFSET([3]enemies!$A$1,0,0,COUNTA([3]enemies!$A:$A),MATCH(M$1,[3]enemies!$1:$1,0)-MATCH($L$1,[3]enemies!$1:$1,0)+1),MATCH(M$1,[3]enemies!$1:$1,0)-MATCH($L$1,[3]enemies!$1:$1,0)+1,FALSE)</f>
        <v>灼炎業竜 ランドラグ</v>
      </c>
      <c r="N7" s="16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6" t="str">
        <f ca="1">VLOOKUP($L7,OFFSET([4]characters!$A$1,0,0,COUNTA([4]characters!$A:$A),MATCH(O$1,[4]characters!$1:$1,0)-MATCH($L$1,[4]characters!$1:$1,0)+1),MATCH(O$1,[4]characters!$1:$1,0)-MATCH($L$1,[4]characters!$1:$1,0)+1,FALSE)</f>
        <v>Drop2N</v>
      </c>
      <c r="P7" s="16" t="str">
        <f ca="1">VLOOKUP($L7,OFFSET([3]enemies!$A$1,0,0,COUNTA([3]enemies!$A:$A),MATCH(P$1,[3]enemies!$1:$1,0)-MATCH($L$1,[3]enemies!$1:$1,0)+1),MATCH(P$1,[3]enemies!$1:$1,0)-MATCH($L$1,[3]enemies!$1:$1,0)+1,FALSE)</f>
        <v>dragon</v>
      </c>
      <c r="Q7" s="16">
        <f ca="1">VLOOKUP($L7,OFFSET([3]enemies!$A$1,0,0,COUNTA([3]enemies!$A:$A),MATCH(Q$1,[3]enemies!$1:$1,0)-MATCH($L$1,[3]enemies!$1:$1,0)+1),MATCH(Q$1,[3]enemies!$1:$1,0)-MATCH($L$1,[3]enemies!$1:$1,0)+1,FALSE)</f>
        <v>60</v>
      </c>
      <c r="R7" s="108">
        <v>50</v>
      </c>
      <c r="S7" s="109">
        <v>1.8</v>
      </c>
      <c r="T7" s="101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262782</v>
      </c>
      <c r="U7" s="109">
        <v>1.2</v>
      </c>
      <c r="V7" s="101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6435.5999999999995</v>
      </c>
      <c r="W7" s="108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出現しているCパネル激烈縮小</v>
      </c>
      <c r="Y7" s="110">
        <v>41015006</v>
      </c>
      <c r="Z7" s="111">
        <v>1</v>
      </c>
      <c r="AA7" s="111">
        <v>100</v>
      </c>
      <c r="AB7" s="111">
        <v>0</v>
      </c>
      <c r="AC7" s="112">
        <v>2</v>
      </c>
      <c r="AD7" s="113">
        <f t="shared" si="3"/>
        <v>767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灼炎業竜 ランドラグ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5</v>
      </c>
      <c r="AG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灼炎業竜 ランドラグ</v>
      </c>
      <c r="AH7" s="114">
        <v>1</v>
      </c>
      <c r="AI7" s="113">
        <f t="shared" ca="1" si="4"/>
        <v>5</v>
      </c>
      <c r="AJ7" s="7">
        <v>0</v>
      </c>
      <c r="AK7" s="114">
        <v>0</v>
      </c>
      <c r="AL7" s="114">
        <v>0</v>
      </c>
      <c r="AM7" s="114">
        <v>0</v>
      </c>
      <c r="AN7" s="114">
        <v>0</v>
      </c>
      <c r="AO7" s="114">
        <v>1</v>
      </c>
      <c r="AP7" s="66">
        <v>1</v>
      </c>
    </row>
    <row r="8" spans="1:42" ht="21" customHeight="1" thickBot="1" x14ac:dyDescent="0.2">
      <c r="A8" s="129" t="str">
        <f t="shared" si="0"/>
        <v>41015_1-4/769&lt;lv50&gt;s2</v>
      </c>
      <c r="B8" s="130">
        <v>41015</v>
      </c>
      <c r="C8" s="131">
        <v>1</v>
      </c>
      <c r="D8" s="132" t="str">
        <f t="shared" si="1"/>
        <v>41015_1</v>
      </c>
      <c r="E8" s="133" t="str">
        <f ca="1">VLOOKUP($B8,OFFSET([2]quests!$A$1,0,0,COUNTA([2]quests!$A:$A),MATCH(E$1,[2]quests!$1:$1,0)-MATCH($B$1,[2]quests!$1:$1,0)+1),MATCH(E$1,[2]quests!$1:$1,0)-MATCH($B$1,[2]quests!$1:$1,0)+1,FALSE)</f>
        <v>ガレス襲来！</v>
      </c>
      <c r="F8" s="133" t="str">
        <f ca="1">VLOOKUP($D8,OFFSET([2]stages!$A$1,0,0,COUNTA([2]stages!$A:$A),MATCH(F$1,[2]stages!$2:$2,0)-MATCH($D$1,[2]stages!$2:$2,0)+1),MATCH(F$1,[2]stages!$2:$2,0)-MATCH($D$1,[2]stages!$2:$2,0)+1,FALSE)</f>
        <v>【超絶級】ガレス襲来</v>
      </c>
      <c r="G8" s="134">
        <v>4</v>
      </c>
      <c r="H8" s="132" t="str">
        <f t="shared" si="2"/>
        <v>41015_1-4</v>
      </c>
      <c r="I8" s="133">
        <f ca="1">VLOOKUP($H8,OFFSET(floors!$A$1,0,0,COUNTA(floors!$A:$A),MATCH(I$1,floors!$1:$1,0)-MATCH($H$1,floors!$1:$1,0)+1),MATCH(I$1,floors!$1:$1,0)-MATCH($H$1,floors!$1:$1,0)+1,FALSE)</f>
        <v>60</v>
      </c>
      <c r="J8" s="133">
        <f ca="1">VLOOKUP($H8,OFFSET(floors!$A$1,0,0,COUNTA(floors!$A:$A),MATCH(J$1,floors!$1:$1,0)-MATCH($H$1,floors!$1:$1,0)+1),MATCH(J$1,floors!$1:$1,0)-MATCH($H$1,floors!$1:$1,0)+1,FALSE)</f>
        <v>60</v>
      </c>
      <c r="K8" s="135">
        <v>3</v>
      </c>
      <c r="L8" s="134">
        <v>769</v>
      </c>
      <c r="M8" s="136" t="str">
        <f ca="1">VLOOKUP($L8,OFFSET([3]enemies!$A$1,0,0,COUNTA([3]enemies!$A:$A),MATCH(M$1,[3]enemies!$1:$1,0)-MATCH($L$1,[3]enemies!$1:$1,0)+1),MATCH(M$1,[3]enemies!$1:$1,0)-MATCH($L$1,[3]enemies!$1:$1,0)+1,FALSE)</f>
        <v>白域・純双剣 ガレス</v>
      </c>
      <c r="N8" s="136" t="str">
        <f ca="1">VLOOKUP($L8,OFFSET([3]enemies!$A$1,0,0,COUNTA([3]enemies!$A:$A),MATCH(N$1,[3]enemies!$1:$1,0)-MATCH($L$1,[3]enemies!$1:$1,0)+1),MATCH(N$1,[3]enemies!$1:$1,0)-MATCH($L$1,[3]enemies!$1:$1,0)+1,FALSE)</f>
        <v>green</v>
      </c>
      <c r="O8" s="136" t="str">
        <f ca="1">VLOOKUP($L8,OFFSET([4]characters!$A$1,0,0,COUNTA([4]characters!$A:$A),MATCH(O$1,[4]characters!$1:$1,0)-MATCH($L$1,[4]characters!$1:$1,0)+1),MATCH(O$1,[4]characters!$1:$1,0)-MATCH($L$1,[4]characters!$1:$1,0)+1,FALSE)</f>
        <v>DropWizS</v>
      </c>
      <c r="P8" s="136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36">
        <f ca="1">VLOOKUP($L8,OFFSET([3]enemies!$A$1,0,0,COUNTA([3]enemies!$A:$A),MATCH(Q$1,[3]enemies!$1:$1,0)-MATCH($L$1,[3]enemies!$1:$1,0)+1),MATCH(Q$1,[3]enemies!$1:$1,0)-MATCH($L$1,[3]enemies!$1:$1,0)+1,FALSE)</f>
        <v>60</v>
      </c>
      <c r="R8" s="137">
        <v>50</v>
      </c>
      <c r="S8" s="138">
        <v>5</v>
      </c>
      <c r="T8" s="139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377745</v>
      </c>
      <c r="U8" s="138">
        <v>2.5</v>
      </c>
      <c r="V8" s="139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12277.5</v>
      </c>
      <c r="W8" s="137">
        <v>0</v>
      </c>
      <c r="X8" s="133" t="str">
        <f ca="1">VLOOKUP($Y8,OFFSET(enemy_skill_sets!$B$1,0,0,COUNTA(enemy_skill_sets!$B:$B),MATCH(M$1,enemy_skill_sets!$1:$1,0)-MATCH($Y$1,enemy_skill_sets!$1:$1,0)+2),MATCH(M$1,enemy_skill_sets!$1:$1,0)-MATCH($Y$1,enemy_skill_sets!$1:$1,0)+2,FALSE)</f>
        <v>さて…キミは何のために戦う？</v>
      </c>
      <c r="Y8" s="140">
        <v>41015008</v>
      </c>
      <c r="Z8" s="141">
        <v>1</v>
      </c>
      <c r="AA8" s="141">
        <v>100</v>
      </c>
      <c r="AB8" s="141">
        <v>0</v>
      </c>
      <c r="AC8" s="142">
        <v>2</v>
      </c>
      <c r="AD8" s="143">
        <v>768</v>
      </c>
      <c r="AE8" s="133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ガレス</v>
      </c>
      <c r="AF8" s="133">
        <f ca="1">VLOOKUP($AD8,OFFSET([4]characters!$A$1,0,0,COUNTA([4]characters!$A:$A),MATCH(AF$1,[4]characters!$1:$1,0)-MATCH("character_id",[4]characters!$1:$1,0)+1),MATCH(AF$1,[4]characters!$1:$1,0)-MATCH("character_id",[4]characters!$1:$1,0)+1,FALSE)</f>
        <v>4</v>
      </c>
      <c r="AG8" s="133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ガレス</v>
      </c>
      <c r="AH8" s="144">
        <v>1</v>
      </c>
      <c r="AI8" s="145">
        <f t="shared" ca="1" si="4"/>
        <v>4</v>
      </c>
      <c r="AJ8" s="146">
        <v>15</v>
      </c>
      <c r="AK8" s="144">
        <v>0</v>
      </c>
      <c r="AL8" s="144">
        <v>0</v>
      </c>
      <c r="AM8" s="144">
        <v>0</v>
      </c>
      <c r="AN8" s="144">
        <v>0</v>
      </c>
      <c r="AO8" s="144">
        <v>1</v>
      </c>
      <c r="AP8" s="147">
        <v>1</v>
      </c>
    </row>
    <row r="9" spans="1:42" ht="21" customHeight="1" x14ac:dyDescent="0.15">
      <c r="A9" s="148" t="str">
        <f t="shared" si="0"/>
        <v>41015_2-1/768&lt;lv60&gt;s1</v>
      </c>
      <c r="B9" s="149">
        <v>41015</v>
      </c>
      <c r="C9" s="150">
        <v>2</v>
      </c>
      <c r="D9" s="151" t="str">
        <f t="shared" ref="D9:D15" si="5">B9&amp;"_"&amp;C9</f>
        <v>41015_2</v>
      </c>
      <c r="E9" s="152" t="str">
        <f ca="1">VLOOKUP($B9,OFFSET([2]quests!$A$1,0,0,COUNTA([2]quests!$A:$A),MATCH(E$1,[2]quests!$1:$1,0)-MATCH($B$1,[2]quests!$1:$1,0)+1),MATCH(E$1,[2]quests!$1:$1,0)-MATCH($B$1,[2]quests!$1:$1,0)+1,FALSE)</f>
        <v>ガレス襲来！</v>
      </c>
      <c r="F9" s="152" t="str">
        <f ca="1">VLOOKUP($D9,OFFSET([2]stages!$A$1,0,0,COUNTA([2]stages!$A:$A),MATCH(F$1,[2]stages!$2:$2,0)-MATCH($D$1,[2]stages!$2:$2,0)+1),MATCH(F$1,[2]stages!$2:$2,0)-MATCH($D$1,[2]stages!$2:$2,0)+1,FALSE)</f>
        <v>【ウィザード級】ガレス襲来</v>
      </c>
      <c r="G9" s="151">
        <v>1</v>
      </c>
      <c r="H9" s="153" t="str">
        <f t="shared" ref="H9:H15" si="6">B9&amp;"_"&amp;C9&amp;"-"&amp;G9</f>
        <v>41015_2-1</v>
      </c>
      <c r="I9" s="154">
        <f ca="1">VLOOKUP($H9,OFFSET(floors!$A$1,0,0,COUNTA(floors!$A:$A),MATCH(I$1,floors!$1:$1,0)-MATCH($H$1,floors!$1:$1,0)+1),MATCH(I$1,floors!$1:$1,0)-MATCH($H$1,floors!$1:$1,0)+1,FALSE)</f>
        <v>60</v>
      </c>
      <c r="J9" s="154">
        <f ca="1">VLOOKUP($H9,OFFSET(floors!$A$1,0,0,COUNTA(floors!$A:$A),MATCH(J$1,floors!$1:$1,0)-MATCH($H$1,floors!$1:$1,0)+1),MATCH(J$1,floors!$1:$1,0)-MATCH($H$1,floors!$1:$1,0)+1,FALSE)</f>
        <v>60</v>
      </c>
      <c r="K9" s="155" t="s">
        <v>53</v>
      </c>
      <c r="L9" s="151">
        <v>768</v>
      </c>
      <c r="M9" s="156" t="str">
        <f ca="1">VLOOKUP($L9,OFFSET([3]enemies!$A$1,0,0,COUNTA([3]enemies!$A:$A),MATCH(M$1,[3]enemies!$1:$1,0)-MATCH($L$1,[3]enemies!$1:$1,0)+1),MATCH(M$1,[3]enemies!$1:$1,0)-MATCH($L$1,[3]enemies!$1:$1,0)+1,FALSE)</f>
        <v>ガレス</v>
      </c>
      <c r="N9" s="156" t="str">
        <f ca="1">VLOOKUP($L9,OFFSET([3]enemies!$A$1,0,0,COUNTA([3]enemies!$A:$A),MATCH(N$1,[3]enemies!$1:$1,0)-MATCH($L$1,[3]enemies!$1:$1,0)+1),MATCH(N$1,[3]enemies!$1:$1,0)-MATCH($L$1,[3]enemies!$1:$1,0)+1,FALSE)</f>
        <v>green</v>
      </c>
      <c r="O9" s="156" t="str">
        <f ca="1">VLOOKUP($L9,OFFSET([4]characters!$A$1,0,0,COUNTA([4]characters!$A:$A),MATCH(O$1,[4]characters!$1:$1,0)-MATCH($L$1,[4]characters!$1:$1,0)+1),MATCH(O$1,[4]characters!$1:$1,0)-MATCH($L$1,[4]characters!$1:$1,0)+1,FALSE)</f>
        <v>DropWizS</v>
      </c>
      <c r="P9" s="156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156">
        <f ca="1">VLOOKUP($L9,OFFSET([3]enemies!$A$1,0,0,COUNTA([3]enemies!$A:$A),MATCH(Q$1,[3]enemies!$1:$1,0)-MATCH($L$1,[3]enemies!$1:$1,0)+1),MATCH(Q$1,[3]enemies!$1:$1,0)-MATCH($L$1,[3]enemies!$1:$1,0)+1,FALSE)</f>
        <v>30</v>
      </c>
      <c r="R9" s="157">
        <v>60</v>
      </c>
      <c r="S9" s="158">
        <v>1</v>
      </c>
      <c r="T9" s="159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68990</v>
      </c>
      <c r="U9" s="158">
        <v>1</v>
      </c>
      <c r="V9" s="159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5445</v>
      </c>
      <c r="W9" s="157">
        <v>0</v>
      </c>
      <c r="X9" s="154" t="str">
        <f ca="1">VLOOKUP($Y9,OFFSET(enemy_skill_sets!$B$1,0,0,COUNTA(enemy_skill_sets!$B:$B),MATCH(M$1,enemy_skill_sets!$1:$1,0)-MATCH($Y$1,enemy_skill_sets!$1:$1,0)+2),MATCH(M$1,enemy_skill_sets!$1:$1,0)-MATCH($Y$1,enemy_skill_sets!$1:$1,0)+2,FALSE)</f>
        <v>何者かが足早に去っていった</v>
      </c>
      <c r="Y9" s="110">
        <v>41015001</v>
      </c>
      <c r="Z9" s="160">
        <v>1</v>
      </c>
      <c r="AA9" s="160">
        <v>100</v>
      </c>
      <c r="AB9" s="160">
        <v>0</v>
      </c>
      <c r="AC9" s="161">
        <v>1</v>
      </c>
      <c r="AD9" s="162">
        <f t="shared" ref="AD9:AD14" si="7">L9</f>
        <v>768</v>
      </c>
      <c r="AE9" s="15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ガレス</v>
      </c>
      <c r="AF9" s="154">
        <f ca="1">VLOOKUP($AD9,OFFSET([4]characters!$A$1,0,0,COUNTA([4]characters!$A:$A),MATCH(AF$1,[4]characters!$1:$1,0)-MATCH("character_id",[4]characters!$1:$1,0)+1),MATCH(AF$1,[4]characters!$1:$1,0)-MATCH("character_id",[4]characters!$1:$1,0)+1,FALSE)</f>
        <v>4</v>
      </c>
      <c r="AG9" s="15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ガレス</v>
      </c>
      <c r="AH9" s="163">
        <v>1</v>
      </c>
      <c r="AI9" s="162">
        <f t="shared" ref="AI9:AI15" ca="1" si="8">AF9</f>
        <v>4</v>
      </c>
      <c r="AJ9" s="164">
        <v>0</v>
      </c>
      <c r="AK9" s="163">
        <v>0</v>
      </c>
      <c r="AL9" s="163">
        <v>0</v>
      </c>
      <c r="AM9" s="163">
        <v>0</v>
      </c>
      <c r="AN9" s="163">
        <v>0</v>
      </c>
      <c r="AO9" s="163">
        <v>1</v>
      </c>
      <c r="AP9" s="165">
        <v>1</v>
      </c>
    </row>
    <row r="10" spans="1:42" ht="21" customHeight="1" x14ac:dyDescent="0.15">
      <c r="A10" s="15" t="str">
        <f t="shared" si="0"/>
        <v>41015_2-1/764&lt;lv60&gt;s2</v>
      </c>
      <c r="B10" s="20">
        <v>41015</v>
      </c>
      <c r="C10" s="128">
        <v>2</v>
      </c>
      <c r="D10" s="105" t="str">
        <f t="shared" si="5"/>
        <v>41015_2</v>
      </c>
      <c r="E10" s="106" t="str">
        <f ca="1">VLOOKUP($B10,OFFSET([2]quests!$A$1,0,0,COUNTA([2]quests!$A:$A),MATCH(E$1,[2]quests!$1:$1,0)-MATCH($B$1,[2]quests!$1:$1,0)+1),MATCH(E$1,[2]quests!$1:$1,0)-MATCH($B$1,[2]quests!$1:$1,0)+1,FALSE)</f>
        <v>ガレス襲来！</v>
      </c>
      <c r="F10" s="106" t="str">
        <f ca="1">VLOOKUP($D10,OFFSET([2]stages!$A$1,0,0,COUNTA([2]stages!$A:$A),MATCH(F$1,[2]stages!$2:$2,0)-MATCH($D$1,[2]stages!$2:$2,0)+1),MATCH(F$1,[2]stages!$2:$2,0)-MATCH($D$1,[2]stages!$2:$2,0)+1,FALSE)</f>
        <v>【ウィザード級】ガレス襲来</v>
      </c>
      <c r="G10" s="105">
        <v>1</v>
      </c>
      <c r="H10" s="14" t="str">
        <f t="shared" si="6"/>
        <v>41015_2-1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107">
        <v>1</v>
      </c>
      <c r="L10" s="105">
        <v>764</v>
      </c>
      <c r="M10" s="16" t="str">
        <f ca="1">VLOOKUP($L10,OFFSET([3]enemies!$A$1,0,0,COUNTA([3]enemies!$A:$A),MATCH(M$1,[3]enemies!$1:$1,0)-MATCH($L$1,[3]enemies!$1:$1,0)+1),MATCH(M$1,[3]enemies!$1:$1,0)-MATCH($L$1,[3]enemies!$1:$1,0)+1,FALSE)</f>
        <v>ライオネル</v>
      </c>
      <c r="N10" s="16" t="str">
        <f ca="1">VLOOKUP($L10,OFFSET([3]enemies!$A$1,0,0,COUNTA([3]enemies!$A:$A),MATCH(N$1,[3]enemies!$1:$1,0)-MATCH($L$1,[3]enemies!$1:$1,0)+1),MATCH(N$1,[3]enemies!$1:$1,0)-MATCH($L$1,[3]enemies!$1:$1,0)+1,FALSE)</f>
        <v>yellow</v>
      </c>
      <c r="O10" s="16" t="str">
        <f ca="1">VLOOKUP($L10,OFFSET([4]characters!$A$1,0,0,COUNTA([4]characters!$A:$A),MATCH(O$1,[4]characters!$1:$1,0)-MATCH($L$1,[4]characters!$1:$1,0)+1),MATCH(O$1,[4]characters!$1:$1,0)-MATCH($L$1,[4]characters!$1:$1,0)+1,FALSE)</f>
        <v>Drop2N</v>
      </c>
      <c r="P10" s="16" t="str">
        <f ca="1">VLOOKUP($L10,OFFSET([3]enemies!$A$1,0,0,COUNTA([3]enemies!$A:$A),MATCH(P$1,[3]enemies!$1:$1,0)-MATCH($L$1,[3]enemies!$1:$1,0)+1),MATCH(P$1,[3]enemies!$1:$1,0)-MATCH($L$1,[3]enemies!$1:$1,0)+1,FALSE)</f>
        <v>animal</v>
      </c>
      <c r="Q10" s="16">
        <f ca="1">VLOOKUP($L10,OFFSET([3]enemies!$A$1,0,0,COUNTA([3]enemies!$A:$A),MATCH(Q$1,[3]enemies!$1:$1,0)-MATCH($L$1,[3]enemies!$1:$1,0)+1),MATCH(Q$1,[3]enemies!$1:$1,0)-MATCH($L$1,[3]enemies!$1:$1,0)+1,FALSE)</f>
        <v>30</v>
      </c>
      <c r="R10" s="108">
        <v>60</v>
      </c>
      <c r="S10" s="109">
        <v>4</v>
      </c>
      <c r="T10" s="101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313404</v>
      </c>
      <c r="U10" s="109">
        <v>1</v>
      </c>
      <c r="V10" s="101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6928</v>
      </c>
      <c r="W10" s="108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この力があれば　俺様がナンバーワンだ！</v>
      </c>
      <c r="Y10" s="110">
        <v>41015002</v>
      </c>
      <c r="Z10" s="111">
        <v>1</v>
      </c>
      <c r="AA10" s="111">
        <v>100</v>
      </c>
      <c r="AB10" s="111">
        <v>0</v>
      </c>
      <c r="AC10" s="112">
        <v>2</v>
      </c>
      <c r="AD10" s="113">
        <f t="shared" si="7"/>
        <v>764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ライオネル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4</v>
      </c>
      <c r="AG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ライオネル</v>
      </c>
      <c r="AH10" s="114">
        <v>1</v>
      </c>
      <c r="AI10" s="113">
        <f t="shared" ca="1" si="8"/>
        <v>4</v>
      </c>
      <c r="AJ10" s="7">
        <v>0</v>
      </c>
      <c r="AK10" s="114">
        <v>0</v>
      </c>
      <c r="AL10" s="114">
        <v>0</v>
      </c>
      <c r="AM10" s="114">
        <v>0</v>
      </c>
      <c r="AN10" s="114">
        <v>0</v>
      </c>
      <c r="AO10" s="114">
        <v>1</v>
      </c>
      <c r="AP10" s="66">
        <v>1</v>
      </c>
    </row>
    <row r="11" spans="1:42" ht="21" customHeight="1" x14ac:dyDescent="0.15">
      <c r="A11" s="15" t="str">
        <f t="shared" si="0"/>
        <v>41015_2-2/121&lt;lv60&gt;s6</v>
      </c>
      <c r="B11" s="20">
        <v>41015</v>
      </c>
      <c r="C11" s="128">
        <v>2</v>
      </c>
      <c r="D11" s="115" t="str">
        <f t="shared" si="5"/>
        <v>41015_2</v>
      </c>
      <c r="E11" s="116" t="str">
        <f ca="1">VLOOKUP($B11,OFFSET([2]quests!$A$1,0,0,COUNTA([2]quests!$A:$A),MATCH(E$1,[2]quests!$1:$1,0)-MATCH($B$1,[2]quests!$1:$1,0)+1),MATCH(E$1,[2]quests!$1:$1,0)-MATCH($B$1,[2]quests!$1:$1,0)+1,FALSE)</f>
        <v>ガレス襲来！</v>
      </c>
      <c r="F11" s="116" t="str">
        <f ca="1">VLOOKUP($D11,OFFSET([2]stages!$A$1,0,0,COUNTA([2]stages!$A:$A),MATCH(F$1,[2]stages!$2:$2,0)-MATCH($D$1,[2]stages!$2:$2,0)+1),MATCH(F$1,[2]stages!$2:$2,0)-MATCH($D$1,[2]stages!$2:$2,0)+1,FALSE)</f>
        <v>【ウィザード級】ガレス襲来</v>
      </c>
      <c r="G11" s="115">
        <v>2</v>
      </c>
      <c r="H11" s="14" t="str">
        <f t="shared" si="6"/>
        <v>41015_2-2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117" t="s">
        <v>53</v>
      </c>
      <c r="L11" s="115">
        <v>121</v>
      </c>
      <c r="M11" s="16" t="str">
        <f ca="1">VLOOKUP($L11,OFFSET([3]enemies!$A$1,0,0,COUNTA([3]enemies!$A:$A),MATCH(M$1,[3]enemies!$1:$1,0)-MATCH($L$1,[3]enemies!$1:$1,0)+1),MATCH(M$1,[3]enemies!$1:$1,0)-MATCH($L$1,[3]enemies!$1:$1,0)+1,FALSE)</f>
        <v>攻めの果実</v>
      </c>
      <c r="N11" s="16" t="str">
        <f ca="1">VLOOKUP($L11,OFFSET([3]enemies!$A$1,0,0,COUNTA([3]enemies!$A:$A),MATCH(N$1,[3]enemies!$1:$1,0)-MATCH($L$1,[3]enemies!$1:$1,0)+1),MATCH(N$1,[3]enemies!$1:$1,0)-MATCH($L$1,[3]enemies!$1:$1,0)+1,FALSE)</f>
        <v>red</v>
      </c>
      <c r="O11" s="16" t="str">
        <f ca="1">VLOOKUP($L11,OFFSET([4]characters!$A$1,0,0,COUNTA([4]characters!$A:$A),MATCH(O$1,[4]characters!$1:$1,0)-MATCH($L$1,[4]characters!$1:$1,0)+1),MATCH(O$1,[4]characters!$1:$1,0)-MATCH($L$1,[4]characters!$1:$1,0)+1,FALSE)</f>
        <v>Material</v>
      </c>
      <c r="P11" s="16" t="str">
        <f ca="1">VLOOKUP($L11,OFFSET([3]enemies!$A$1,0,0,COUNTA([3]enemies!$A:$A),MATCH(P$1,[3]enemies!$1:$1,0)-MATCH($L$1,[3]enemies!$1:$1,0)+1),MATCH(P$1,[3]enemies!$1:$1,0)-MATCH($L$1,[3]enemies!$1:$1,0)+1,FALSE)</f>
        <v>unknown</v>
      </c>
      <c r="Q11" s="16">
        <f ca="1">VLOOKUP($L11,OFFSET([3]enemies!$A$1,0,0,COUNTA([3]enemies!$A:$A),MATCH(Q$1,[3]enemies!$1:$1,0)-MATCH($L$1,[3]enemies!$1:$1,0)+1),MATCH(Q$1,[3]enemies!$1:$1,0)-MATCH($L$1,[3]enemies!$1:$1,0)+1,FALSE)</f>
        <v>20</v>
      </c>
      <c r="R11" s="118">
        <v>60</v>
      </c>
      <c r="S11" s="119">
        <v>5.4</v>
      </c>
      <c r="T11" s="101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73062</v>
      </c>
      <c r="U11" s="119">
        <v>3.6</v>
      </c>
      <c r="V11" s="101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21625.200000000001</v>
      </c>
      <c r="W11" s="118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仲間を追って爆ぜていった…</v>
      </c>
      <c r="Y11" s="110">
        <v>41015011</v>
      </c>
      <c r="Z11" s="120">
        <v>1</v>
      </c>
      <c r="AA11" s="120">
        <v>100</v>
      </c>
      <c r="AB11" s="120">
        <v>2</v>
      </c>
      <c r="AC11" s="112">
        <v>6</v>
      </c>
      <c r="AD11" s="113">
        <f t="shared" si="7"/>
        <v>121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攻めの果実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3</v>
      </c>
      <c r="AG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攻めの果実</v>
      </c>
      <c r="AH11" s="114">
        <v>1</v>
      </c>
      <c r="AI11" s="113">
        <f t="shared" ca="1" si="8"/>
        <v>3</v>
      </c>
      <c r="AJ11" s="7">
        <v>100</v>
      </c>
      <c r="AK11" s="114">
        <v>0</v>
      </c>
      <c r="AL11" s="114">
        <v>0</v>
      </c>
      <c r="AM11" s="114">
        <v>0</v>
      </c>
      <c r="AN11" s="114">
        <v>0</v>
      </c>
      <c r="AO11" s="114">
        <v>1</v>
      </c>
      <c r="AP11" s="66">
        <v>1</v>
      </c>
    </row>
    <row r="12" spans="1:42" ht="21" customHeight="1" x14ac:dyDescent="0.15">
      <c r="A12" s="15" t="str">
        <f t="shared" si="0"/>
        <v>41015_2-2/122&lt;lv60&gt;s6</v>
      </c>
      <c r="B12" s="20">
        <v>41015</v>
      </c>
      <c r="C12" s="128">
        <v>2</v>
      </c>
      <c r="D12" s="115" t="str">
        <f t="shared" si="5"/>
        <v>41015_2</v>
      </c>
      <c r="E12" s="116" t="str">
        <f ca="1">VLOOKUP($B12,OFFSET([2]quests!$A$1,0,0,COUNTA([2]quests!$A:$A),MATCH(E$1,[2]quests!$1:$1,0)-MATCH($B$1,[2]quests!$1:$1,0)+1),MATCH(E$1,[2]quests!$1:$1,0)-MATCH($B$1,[2]quests!$1:$1,0)+1,FALSE)</f>
        <v>ガレス襲来！</v>
      </c>
      <c r="F12" s="116" t="str">
        <f ca="1">VLOOKUP($D12,OFFSET([2]stages!$A$1,0,0,COUNTA([2]stages!$A:$A),MATCH(F$1,[2]stages!$2:$2,0)-MATCH($D$1,[2]stages!$2:$2,0)+1),MATCH(F$1,[2]stages!$2:$2,0)-MATCH($D$1,[2]stages!$2:$2,0)+1,FALSE)</f>
        <v>【ウィザード級】ガレス襲来</v>
      </c>
      <c r="G12" s="115">
        <v>2</v>
      </c>
      <c r="H12" s="14" t="str">
        <f t="shared" si="6"/>
        <v>41015_2-2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117" t="s">
        <v>53</v>
      </c>
      <c r="L12" s="115">
        <v>122</v>
      </c>
      <c r="M12" s="16" t="str">
        <f ca="1">VLOOKUP($L12,OFFSET([3]enemies!$A$1,0,0,COUNTA([3]enemies!$A:$A),MATCH(M$1,[3]enemies!$1:$1,0)-MATCH($L$1,[3]enemies!$1:$1,0)+1),MATCH(M$1,[3]enemies!$1:$1,0)-MATCH($L$1,[3]enemies!$1:$1,0)+1,FALSE)</f>
        <v>生命の果実</v>
      </c>
      <c r="N12" s="16" t="str">
        <f ca="1">VLOOKUP($L12,OFFSET([3]enemies!$A$1,0,0,COUNTA([3]enemies!$A:$A),MATCH(N$1,[3]enemies!$1:$1,0)-MATCH($L$1,[3]enemies!$1:$1,0)+1),MATCH(N$1,[3]enemies!$1:$1,0)-MATCH($L$1,[3]enemies!$1:$1,0)+1,FALSE)</f>
        <v>green</v>
      </c>
      <c r="O12" s="16" t="str">
        <f ca="1">VLOOKUP($L12,OFFSET([4]characters!$A$1,0,0,COUNTA([4]characters!$A:$A),MATCH(O$1,[4]characters!$1:$1,0)-MATCH($L$1,[4]characters!$1:$1,0)+1),MATCH(O$1,[4]characters!$1:$1,0)-MATCH($L$1,[4]characters!$1:$1,0)+1,FALSE)</f>
        <v>Material</v>
      </c>
      <c r="P12" s="16" t="str">
        <f ca="1">VLOOKUP($L12,OFFSET([3]enemies!$A$1,0,0,COUNTA([3]enemies!$A:$A),MATCH(P$1,[3]enemies!$1:$1,0)-MATCH($L$1,[3]enemies!$1:$1,0)+1),MATCH(P$1,[3]enemies!$1:$1,0)-MATCH($L$1,[3]enemies!$1:$1,0)+1,FALSE)</f>
        <v>unknown</v>
      </c>
      <c r="Q12" s="16">
        <f ca="1">VLOOKUP($L12,OFFSET([3]enemies!$A$1,0,0,COUNTA([3]enemies!$A:$A),MATCH(Q$1,[3]enemies!$1:$1,0)-MATCH($L$1,[3]enemies!$1:$1,0)+1),MATCH(Q$1,[3]enemies!$1:$1,0)-MATCH($L$1,[3]enemies!$1:$1,0)+1,FALSE)</f>
        <v>20</v>
      </c>
      <c r="R12" s="118">
        <v>60</v>
      </c>
      <c r="S12" s="119">
        <v>4.2</v>
      </c>
      <c r="T12" s="101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84046.2</v>
      </c>
      <c r="U12" s="119">
        <v>3.2</v>
      </c>
      <c r="V12" s="101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11804.800000000001</v>
      </c>
      <c r="W12" s="118">
        <v>0</v>
      </c>
      <c r="X12" s="4" t="str">
        <f ca="1">VLOOKUP($Y12,OFFSET(enemy_skill_sets!$B$1,0,0,COUNTA(enemy_skill_sets!$B:$B),MATCH(M$1,enemy_skill_sets!$1:$1,0)-MATCH($Y$1,enemy_skill_sets!$1:$1,0)+2),MATCH(M$1,enemy_skill_sets!$1:$1,0)-MATCH($Y$1,enemy_skill_sets!$1:$1,0)+2,FALSE)</f>
        <v>このフロアの果実は連鎖的に自爆する！</v>
      </c>
      <c r="Y12" s="110">
        <v>41015012</v>
      </c>
      <c r="Z12" s="120">
        <v>1</v>
      </c>
      <c r="AA12" s="120">
        <v>100</v>
      </c>
      <c r="AB12" s="120">
        <v>1</v>
      </c>
      <c r="AC12" s="112">
        <v>6</v>
      </c>
      <c r="AD12" s="113">
        <f t="shared" si="7"/>
        <v>122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生命の果実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3</v>
      </c>
      <c r="AG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生命の果実</v>
      </c>
      <c r="AH12" s="114">
        <v>1</v>
      </c>
      <c r="AI12" s="113">
        <f t="shared" ca="1" si="8"/>
        <v>3</v>
      </c>
      <c r="AJ12" s="7">
        <v>100</v>
      </c>
      <c r="AK12" s="114">
        <v>0</v>
      </c>
      <c r="AL12" s="114">
        <v>0</v>
      </c>
      <c r="AM12" s="114">
        <v>0</v>
      </c>
      <c r="AN12" s="114">
        <v>0</v>
      </c>
      <c r="AO12" s="114">
        <v>1</v>
      </c>
      <c r="AP12" s="66">
        <v>1</v>
      </c>
    </row>
    <row r="13" spans="1:42" ht="21" customHeight="1" x14ac:dyDescent="0.15">
      <c r="A13" s="15" t="str">
        <f t="shared" si="0"/>
        <v>41015_2-2/123&lt;lv60&gt;s6</v>
      </c>
      <c r="B13" s="20">
        <v>41015</v>
      </c>
      <c r="C13" s="128">
        <v>2</v>
      </c>
      <c r="D13" s="115" t="str">
        <f t="shared" si="5"/>
        <v>41015_2</v>
      </c>
      <c r="E13" s="116" t="str">
        <f ca="1">VLOOKUP($B13,OFFSET([2]quests!$A$1,0,0,COUNTA([2]quests!$A:$A),MATCH(E$1,[2]quests!$1:$1,0)-MATCH($B$1,[2]quests!$1:$1,0)+1),MATCH(E$1,[2]quests!$1:$1,0)-MATCH($B$1,[2]quests!$1:$1,0)+1,FALSE)</f>
        <v>ガレス襲来！</v>
      </c>
      <c r="F13" s="116" t="str">
        <f ca="1">VLOOKUP($D13,OFFSET([2]stages!$A$1,0,0,COUNTA([2]stages!$A:$A),MATCH(F$1,[2]stages!$2:$2,0)-MATCH($D$1,[2]stages!$2:$2,0)+1),MATCH(F$1,[2]stages!$2:$2,0)-MATCH($D$1,[2]stages!$2:$2,0)+1,FALSE)</f>
        <v>【ウィザード級】ガレス襲来</v>
      </c>
      <c r="G13" s="115">
        <v>2</v>
      </c>
      <c r="H13" s="14" t="str">
        <f t="shared" si="6"/>
        <v>41015_2-2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117" t="s">
        <v>253</v>
      </c>
      <c r="L13" s="115">
        <v>123</v>
      </c>
      <c r="M13" s="16" t="str">
        <f ca="1">VLOOKUP($L13,OFFSET([3]enemies!$A$1,0,0,COUNTA([3]enemies!$A:$A),MATCH(M$1,[3]enemies!$1:$1,0)-MATCH($L$1,[3]enemies!$1:$1,0)+1),MATCH(M$1,[3]enemies!$1:$1,0)-MATCH($L$1,[3]enemies!$1:$1,0)+1,FALSE)</f>
        <v>癒しの果実</v>
      </c>
      <c r="N13" s="16" t="str">
        <f ca="1">VLOOKUP($L13,OFFSET([3]enemies!$A$1,0,0,COUNTA([3]enemies!$A:$A),MATCH(N$1,[3]enemies!$1:$1,0)-MATCH($L$1,[3]enemies!$1:$1,0)+1),MATCH(N$1,[3]enemies!$1:$1,0)-MATCH($L$1,[3]enemies!$1:$1,0)+1,FALSE)</f>
        <v>blue</v>
      </c>
      <c r="O13" s="16" t="str">
        <f ca="1">VLOOKUP($L13,OFFSET([4]characters!$A$1,0,0,COUNTA([4]characters!$A:$A),MATCH(O$1,[4]characters!$1:$1,0)-MATCH($L$1,[4]characters!$1:$1,0)+1),MATCH(O$1,[4]characters!$1:$1,0)-MATCH($L$1,[4]characters!$1:$1,0)+1,FALSE)</f>
        <v>Material</v>
      </c>
      <c r="P13" s="16" t="str">
        <f ca="1">VLOOKUP($L13,OFFSET([3]enemies!$A$1,0,0,COUNTA([3]enemies!$A:$A),MATCH(P$1,[3]enemies!$1:$1,0)-MATCH($L$1,[3]enemies!$1:$1,0)+1),MATCH(P$1,[3]enemies!$1:$1,0)-MATCH($L$1,[3]enemies!$1:$1,0)+1,FALSE)</f>
        <v>unknown</v>
      </c>
      <c r="Q13" s="16">
        <f ca="1">VLOOKUP($L13,OFFSET([3]enemies!$A$1,0,0,COUNTA([3]enemies!$A:$A),MATCH(Q$1,[3]enemies!$1:$1,0)-MATCH($L$1,[3]enemies!$1:$1,0)+1),MATCH(Q$1,[3]enemies!$1:$1,0)-MATCH($L$1,[3]enemies!$1:$1,0)+1,FALSE)</f>
        <v>20</v>
      </c>
      <c r="R13" s="118">
        <v>60</v>
      </c>
      <c r="S13" s="119">
        <v>5.6</v>
      </c>
      <c r="T13" s="101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60614.399999999994</v>
      </c>
      <c r="U13" s="119">
        <v>4.5</v>
      </c>
      <c r="V13" s="101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15232.5</v>
      </c>
      <c r="W13" s="118">
        <v>0</v>
      </c>
      <c r="X13" s="4" t="str">
        <f ca="1">VLOOKUP($Y13,OFFSET(enemy_skill_sets!$B$1,0,0,COUNTA(enemy_skill_sets!$B:$B),MATCH(M$1,enemy_skill_sets!$1:$1,0)-MATCH($Y$1,enemy_skill_sets!$1:$1,0)+2),MATCH(M$1,enemy_skill_sets!$1:$1,0)-MATCH($Y$1,enemy_skill_sets!$1:$1,0)+2,FALSE)</f>
        <v>仲間を追って爆ぜていった…</v>
      </c>
      <c r="Y13" s="110">
        <v>41015005</v>
      </c>
      <c r="Z13" s="120">
        <v>1</v>
      </c>
      <c r="AA13" s="120">
        <v>100</v>
      </c>
      <c r="AB13" s="120">
        <v>0</v>
      </c>
      <c r="AC13" s="112">
        <v>6</v>
      </c>
      <c r="AD13" s="113">
        <f t="shared" si="7"/>
        <v>123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癒しの果実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3</v>
      </c>
      <c r="AG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癒しの果実</v>
      </c>
      <c r="AH13" s="114">
        <v>1</v>
      </c>
      <c r="AI13" s="113">
        <f t="shared" ca="1" si="8"/>
        <v>3</v>
      </c>
      <c r="AJ13" s="7">
        <v>100</v>
      </c>
      <c r="AK13" s="114">
        <v>0</v>
      </c>
      <c r="AL13" s="114">
        <v>0</v>
      </c>
      <c r="AM13" s="114">
        <v>0</v>
      </c>
      <c r="AN13" s="114">
        <v>0</v>
      </c>
      <c r="AO13" s="114">
        <v>1</v>
      </c>
      <c r="AP13" s="66">
        <v>1</v>
      </c>
    </row>
    <row r="14" spans="1:42" ht="21" customHeight="1" x14ac:dyDescent="0.15">
      <c r="A14" s="15" t="str">
        <f t="shared" si="0"/>
        <v>41015_2-3/767&lt;lv60&gt;s2</v>
      </c>
      <c r="B14" s="20">
        <v>41015</v>
      </c>
      <c r="C14" s="128">
        <v>2</v>
      </c>
      <c r="D14" s="14" t="str">
        <f t="shared" si="5"/>
        <v>41015_2</v>
      </c>
      <c r="E14" s="4" t="str">
        <f ca="1">VLOOKUP($B14,OFFSET([2]quests!$A$1,0,0,COUNTA([2]quests!$A:$A),MATCH(E$1,[2]quests!$1:$1,0)-MATCH($B$1,[2]quests!$1:$1,0)+1),MATCH(E$1,[2]quests!$1:$1,0)-MATCH($B$1,[2]quests!$1:$1,0)+1,FALSE)</f>
        <v>ガレス襲来！</v>
      </c>
      <c r="F14" s="4" t="str">
        <f ca="1">VLOOKUP($D14,OFFSET([2]stages!$A$1,0,0,COUNTA([2]stages!$A:$A),MATCH(F$1,[2]stages!$2:$2,0)-MATCH($D$1,[2]stages!$2:$2,0)+1),MATCH(F$1,[2]stages!$2:$2,0)-MATCH($D$1,[2]stages!$2:$2,0)+1,FALSE)</f>
        <v>【ウィザード級】ガレス襲来</v>
      </c>
      <c r="G14" s="105">
        <v>3</v>
      </c>
      <c r="H14" s="14" t="str">
        <f t="shared" si="6"/>
        <v>41015_2-3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107">
        <v>2</v>
      </c>
      <c r="L14" s="105">
        <v>767</v>
      </c>
      <c r="M14" s="16" t="str">
        <f ca="1">VLOOKUP($L14,OFFSET([3]enemies!$A$1,0,0,COUNTA([3]enemies!$A:$A),MATCH(M$1,[3]enemies!$1:$1,0)-MATCH($L$1,[3]enemies!$1:$1,0)+1),MATCH(M$1,[3]enemies!$1:$1,0)-MATCH($L$1,[3]enemies!$1:$1,0)+1,FALSE)</f>
        <v>灼炎業竜 ランドラグ</v>
      </c>
      <c r="N14" s="16" t="str">
        <f ca="1">VLOOKUP($L14,OFFSET([3]enemies!$A$1,0,0,COUNTA([3]enemies!$A:$A),MATCH(N$1,[3]enemies!$1:$1,0)-MATCH($L$1,[3]enemies!$1:$1,0)+1),MATCH(N$1,[3]enemies!$1:$1,0)-MATCH($L$1,[3]enemies!$1:$1,0)+1,FALSE)</f>
        <v>red</v>
      </c>
      <c r="O14" s="16" t="str">
        <f ca="1">VLOOKUP($L14,OFFSET([4]characters!$A$1,0,0,COUNTA([4]characters!$A:$A),MATCH(O$1,[4]characters!$1:$1,0)-MATCH($L$1,[4]characters!$1:$1,0)+1),MATCH(O$1,[4]characters!$1:$1,0)-MATCH($L$1,[4]characters!$1:$1,0)+1,FALSE)</f>
        <v>Drop2N</v>
      </c>
      <c r="P14" s="16" t="str">
        <f ca="1">VLOOKUP($L14,OFFSET([3]enemies!$A$1,0,0,COUNTA([3]enemies!$A:$A),MATCH(P$1,[3]enemies!$1:$1,0)-MATCH($L$1,[3]enemies!$1:$1,0)+1),MATCH(P$1,[3]enemies!$1:$1,0)-MATCH($L$1,[3]enemies!$1:$1,0)+1,FALSE)</f>
        <v>dragon</v>
      </c>
      <c r="Q14" s="16">
        <f ca="1">VLOOKUP($L14,OFFSET([3]enemies!$A$1,0,0,COUNTA([3]enemies!$A:$A),MATCH(Q$1,[3]enemies!$1:$1,0)-MATCH($L$1,[3]enemies!$1:$1,0)+1),MATCH(Q$1,[3]enemies!$1:$1,0)-MATCH($L$1,[3]enemies!$1:$1,0)+1,FALSE)</f>
        <v>60</v>
      </c>
      <c r="R14" s="108">
        <v>60</v>
      </c>
      <c r="S14" s="109">
        <v>1.8</v>
      </c>
      <c r="T14" s="101">
        <f ca="1">ROUND(VLOOKUP(R14,[3]enemy_base_stats!$A:$F,2,FALSE) *INDIRECT("[EnemyMasterData.xlsm]enemies!Y"&amp;(L14+1))*  INDIRECT("[EnemyMasterData.xlsm]enemies!J"&amp;(L14+1))* INDIRECT("[EnemyMasterData.xlsm]enemies!O"&amp;(L14+1))* INDIRECT("[EnemyMasterData.xlsm]enemies!E"&amp;(L14+1))* INDIRECT("[EnemyMasterData.xlsm]enemies!S"&amp;(L14+1))* INDIRECT("[EnemyMasterData.xlsm]enemies!AD"&amp;(L14+1))*[4]ステータス!$B$2,0)*S14</f>
        <v>313806.60000000003</v>
      </c>
      <c r="U14" s="109">
        <v>1.4</v>
      </c>
      <c r="V14" s="101">
        <f ca="1">ROUND(VLOOKUP(R14,[3]enemy_base_stats!$A:$F,3,FALSE) *INDIRECT("[EnemyMasterData.xlsm]enemies!Z"&amp;(L14+1))*  INDIRECT("[EnemyMasterData.xlsm]enemies!K"&amp;(L14+1))* INDIRECT("[EnemyMasterData.xlsm]enemies!P"&amp;(L14+1))* INDIRECT("[EnemyMasterData.xlsm]enemies!F"&amp;(L14+1))* INDIRECT("[EnemyMasterData.xlsm]enemies!T"&amp;(L14+1))* INDIRECT("[EnemyMasterData.xlsm]enemies!AE"&amp;(L14+1))*[4]ステータス!$C$2,0)*U14</f>
        <v>8967</v>
      </c>
      <c r="W14" s="108">
        <v>0</v>
      </c>
      <c r="X14" s="4" t="str">
        <f ca="1">VLOOKUP($Y14,OFFSET(enemy_skill_sets!$B$1,0,0,COUNTA(enemy_skill_sets!$B:$B),MATCH(M$1,enemy_skill_sets!$1:$1,0)-MATCH($Y$1,enemy_skill_sets!$1:$1,0)+2),MATCH(M$1,enemy_skill_sets!$1:$1,0)-MATCH($Y$1,enemy_skill_sets!$1:$1,0)+2,FALSE)</f>
        <v>出現しているCパネル激烈縮小</v>
      </c>
      <c r="Y14" s="110">
        <v>41015006</v>
      </c>
      <c r="Z14" s="111">
        <v>1</v>
      </c>
      <c r="AA14" s="111">
        <v>100</v>
      </c>
      <c r="AB14" s="111">
        <v>0</v>
      </c>
      <c r="AC14" s="112">
        <v>2</v>
      </c>
      <c r="AD14" s="113">
        <f t="shared" si="7"/>
        <v>767</v>
      </c>
      <c r="AE14" s="4" t="str">
        <f ca="1">VLOOKUP($AD14,OFFSET([4]characters!$A$1,0,0,COUNTA([4]characters!$A:$A),MATCH(AE$1,[4]characters!$1:$1,0)-MATCH("character_id",[4]characters!$1:$1,0)+1),MATCH(AE$1,[4]characters!$1:$1,0)-MATCH("character_id",[4]characters!$1:$1,0)+1,FALSE)</f>
        <v>灼炎業竜 ランドラグ</v>
      </c>
      <c r="AF14" s="4">
        <f ca="1">VLOOKUP($AD14,OFFSET([4]characters!$A$1,0,0,COUNTA([4]characters!$A:$A),MATCH(AF$1,[4]characters!$1:$1,0)-MATCH("character_id",[4]characters!$1:$1,0)+1),MATCH(AF$1,[4]characters!$1:$1,0)-MATCH("character_id",[4]characters!$1:$1,0)+1,FALSE)</f>
        <v>5</v>
      </c>
      <c r="AG14" s="4" t="str">
        <f ca="1">VLOOKUP($AD14,OFFSET([4]characters!$A$1,0,0,COUNTA([4]characters!$A:$A),MATCH(AE$1,[4]characters!$1:$1,0)-MATCH("character_id",[4]characters!$1:$1,0)+1),MATCH(AE$1,[4]characters!$1:$1,0)-MATCH("character_id",[4]characters!$1:$1,0)+1,FALSE)</f>
        <v>灼炎業竜 ランドラグ</v>
      </c>
      <c r="AH14" s="114">
        <v>1</v>
      </c>
      <c r="AI14" s="113">
        <f t="shared" ca="1" si="8"/>
        <v>5</v>
      </c>
      <c r="AJ14" s="7">
        <v>0</v>
      </c>
      <c r="AK14" s="114">
        <v>0</v>
      </c>
      <c r="AL14" s="114">
        <v>0</v>
      </c>
      <c r="AM14" s="114">
        <v>0</v>
      </c>
      <c r="AN14" s="114">
        <v>0</v>
      </c>
      <c r="AO14" s="114">
        <v>1</v>
      </c>
      <c r="AP14" s="66">
        <v>1</v>
      </c>
    </row>
    <row r="15" spans="1:42" ht="21" customHeight="1" x14ac:dyDescent="0.15">
      <c r="A15" s="15" t="str">
        <f t="shared" si="0"/>
        <v>41015_2-4/769&lt;lv60&gt;s2</v>
      </c>
      <c r="B15" s="20">
        <v>41015</v>
      </c>
      <c r="C15" s="128">
        <v>2</v>
      </c>
      <c r="D15" s="14" t="str">
        <f t="shared" si="5"/>
        <v>41015_2</v>
      </c>
      <c r="E15" s="4" t="str">
        <f ca="1">VLOOKUP($B15,OFFSET([2]quests!$A$1,0,0,COUNTA([2]quests!$A:$A),MATCH(E$1,[2]quests!$1:$1,0)-MATCH($B$1,[2]quests!$1:$1,0)+1),MATCH(E$1,[2]quests!$1:$1,0)-MATCH($B$1,[2]quests!$1:$1,0)+1,FALSE)</f>
        <v>ガレス襲来！</v>
      </c>
      <c r="F15" s="4" t="str">
        <f ca="1">VLOOKUP($D15,OFFSET([2]stages!$A$1,0,0,COUNTA([2]stages!$A:$A),MATCH(F$1,[2]stages!$2:$2,0)-MATCH($D$1,[2]stages!$2:$2,0)+1),MATCH(F$1,[2]stages!$2:$2,0)-MATCH($D$1,[2]stages!$2:$2,0)+1,FALSE)</f>
        <v>【ウィザード級】ガレス襲来</v>
      </c>
      <c r="G15" s="121">
        <v>4</v>
      </c>
      <c r="H15" s="14" t="str">
        <f t="shared" si="6"/>
        <v>41015_2-4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122">
        <v>3</v>
      </c>
      <c r="L15" s="121">
        <v>769</v>
      </c>
      <c r="M15" s="16" t="str">
        <f ca="1">VLOOKUP($L15,OFFSET([3]enemies!$A$1,0,0,COUNTA([3]enemies!$A:$A),MATCH(M$1,[3]enemies!$1:$1,0)-MATCH($L$1,[3]enemies!$1:$1,0)+1),MATCH(M$1,[3]enemies!$1:$1,0)-MATCH($L$1,[3]enemies!$1:$1,0)+1,FALSE)</f>
        <v>白域・純双剣 ガレス</v>
      </c>
      <c r="N15" s="16" t="str">
        <f ca="1">VLOOKUP($L15,OFFSET([3]enemies!$A$1,0,0,COUNTA([3]enemies!$A:$A),MATCH(N$1,[3]enemies!$1:$1,0)-MATCH($L$1,[3]enemies!$1:$1,0)+1),MATCH(N$1,[3]enemies!$1:$1,0)-MATCH($L$1,[3]enemies!$1:$1,0)+1,FALSE)</f>
        <v>green</v>
      </c>
      <c r="O15" s="16" t="str">
        <f ca="1">VLOOKUP($L15,OFFSET([4]characters!$A$1,0,0,COUNTA([4]characters!$A:$A),MATCH(O$1,[4]characters!$1:$1,0)-MATCH($L$1,[4]characters!$1:$1,0)+1),MATCH(O$1,[4]characters!$1:$1,0)-MATCH($L$1,[4]characters!$1:$1,0)+1,FALSE)</f>
        <v>DropWizS</v>
      </c>
      <c r="P15" s="16" t="str">
        <f ca="1">VLOOKUP($L15,OFFSET([3]enemies!$A$1,0,0,COUNTA([3]enemies!$A:$A),MATCH(P$1,[3]enemies!$1:$1,0)-MATCH($L$1,[3]enemies!$1:$1,0)+1),MATCH(P$1,[3]enemies!$1:$1,0)-MATCH($L$1,[3]enemies!$1:$1,0)+1,FALSE)</f>
        <v>human</v>
      </c>
      <c r="Q15" s="16">
        <f ca="1">VLOOKUP($L15,OFFSET([3]enemies!$A$1,0,0,COUNTA([3]enemies!$A:$A),MATCH(Q$1,[3]enemies!$1:$1,0)-MATCH($L$1,[3]enemies!$1:$1,0)+1),MATCH(Q$1,[3]enemies!$1:$1,0)-MATCH($L$1,[3]enemies!$1:$1,0)+1,FALSE)</f>
        <v>60</v>
      </c>
      <c r="R15" s="123">
        <v>60</v>
      </c>
      <c r="S15" s="124">
        <v>5.6</v>
      </c>
      <c r="T15" s="101">
        <f ca="1">ROUND(VLOOKUP(R15,[3]enemy_base_stats!$A:$F,2,FALSE) *INDIRECT("[EnemyMasterData.xlsm]enemies!Y"&amp;(L15+1))*  INDIRECT("[EnemyMasterData.xlsm]enemies!J"&amp;(L15+1))* INDIRECT("[EnemyMasterData.xlsm]enemies!O"&amp;(L15+1))* INDIRECT("[EnemyMasterData.xlsm]enemies!E"&amp;(L15+1))* INDIRECT("[EnemyMasterData.xlsm]enemies!S"&amp;(L15+1))* INDIRECT("[EnemyMasterData.xlsm]enemies!AD"&amp;(L15+1))*[4]ステータス!$B$2,0)*S15</f>
        <v>505220.8</v>
      </c>
      <c r="U15" s="124">
        <v>2.6</v>
      </c>
      <c r="V15" s="101">
        <f ca="1">ROUND(VLOOKUP(R15,[3]enemy_base_stats!$A:$F,3,FALSE) *INDIRECT("[EnemyMasterData.xlsm]enemies!Z"&amp;(L15+1))*  INDIRECT("[EnemyMasterData.xlsm]enemies!K"&amp;(L15+1))* INDIRECT("[EnemyMasterData.xlsm]enemies!P"&amp;(L15+1))* INDIRECT("[EnemyMasterData.xlsm]enemies!F"&amp;(L15+1))* INDIRECT("[EnemyMasterData.xlsm]enemies!T"&amp;(L15+1))* INDIRECT("[EnemyMasterData.xlsm]enemies!AE"&amp;(L15+1))*[4]ステータス!$C$2,0)*U15</f>
        <v>15246.4</v>
      </c>
      <c r="W15" s="123">
        <v>0</v>
      </c>
      <c r="X15" s="4" t="str">
        <f ca="1">VLOOKUP($Y15,OFFSET(enemy_skill_sets!$B$1,0,0,COUNTA(enemy_skill_sets!$B:$B),MATCH(M$1,enemy_skill_sets!$1:$1,0)-MATCH($Y$1,enemy_skill_sets!$1:$1,0)+2),MATCH(M$1,enemy_skill_sets!$1:$1,0)-MATCH($Y$1,enemy_skill_sets!$1:$1,0)+2,FALSE)</f>
        <v>さて…キミは何のために戦う？</v>
      </c>
      <c r="Y15" s="215">
        <v>41015008</v>
      </c>
      <c r="Z15" s="125">
        <v>1</v>
      </c>
      <c r="AA15" s="125">
        <v>100</v>
      </c>
      <c r="AB15" s="125">
        <v>0</v>
      </c>
      <c r="AC15" s="112">
        <v>2</v>
      </c>
      <c r="AD15" s="126">
        <v>768</v>
      </c>
      <c r="AE15" s="4" t="str">
        <f ca="1">VLOOKUP($AD15,OFFSET([4]characters!$A$1,0,0,COUNTA([4]characters!$A:$A),MATCH(AE$1,[4]characters!$1:$1,0)-MATCH("character_id",[4]characters!$1:$1,0)+1),MATCH(AE$1,[4]characters!$1:$1,0)-MATCH("character_id",[4]characters!$1:$1,0)+1,FALSE)</f>
        <v>ガレス</v>
      </c>
      <c r="AF15" s="4">
        <f ca="1">VLOOKUP($AD15,OFFSET([4]characters!$A$1,0,0,COUNTA([4]characters!$A:$A),MATCH(AF$1,[4]characters!$1:$1,0)-MATCH("character_id",[4]characters!$1:$1,0)+1),MATCH(AF$1,[4]characters!$1:$1,0)-MATCH("character_id",[4]characters!$1:$1,0)+1,FALSE)</f>
        <v>4</v>
      </c>
      <c r="AG15" s="4" t="str">
        <f ca="1">VLOOKUP($AD15,OFFSET([4]characters!$A$1,0,0,COUNTA([4]characters!$A:$A),MATCH(AE$1,[4]characters!$1:$1,0)-MATCH("character_id",[4]characters!$1:$1,0)+1),MATCH(AE$1,[4]characters!$1:$1,0)-MATCH("character_id",[4]characters!$1:$1,0)+1,FALSE)</f>
        <v>ガレス</v>
      </c>
      <c r="AH15" s="114">
        <v>1</v>
      </c>
      <c r="AI15" s="113">
        <f t="shared" ca="1" si="8"/>
        <v>4</v>
      </c>
      <c r="AJ15" s="127">
        <v>30</v>
      </c>
      <c r="AK15" s="114">
        <v>0</v>
      </c>
      <c r="AL15" s="114">
        <v>0</v>
      </c>
      <c r="AM15" s="114">
        <v>0</v>
      </c>
      <c r="AN15" s="114">
        <v>0</v>
      </c>
      <c r="AO15" s="114">
        <v>1</v>
      </c>
      <c r="AP15" s="66">
        <v>1</v>
      </c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9"/>
  <sheetViews>
    <sheetView showGridLines="0" zoomScale="90" zoomScaleNormal="90" zoomScalePageLayoutView="9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T19" sqref="T19"/>
    </sheetView>
  </sheetViews>
  <sheetFormatPr baseColWidth="12" defaultColWidth="13" defaultRowHeight="21" customHeight="1" outlineLevelCol="1" x14ac:dyDescent="0.15"/>
  <cols>
    <col min="1" max="1" width="17" style="18" bestFit="1" customWidth="1"/>
    <col min="2" max="2" width="10.83203125" style="3" bestFit="1" customWidth="1"/>
    <col min="3" max="3" width="10.6640625" style="3" bestFit="1" customWidth="1" collapsed="1"/>
    <col min="4" max="4" width="13" style="13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8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2" customFormat="1" ht="21" customHeight="1" x14ac:dyDescent="0.15">
      <c r="A1" s="24" t="s">
        <v>29</v>
      </c>
      <c r="B1" s="25" t="s">
        <v>0</v>
      </c>
      <c r="C1" s="25" t="s">
        <v>1</v>
      </c>
      <c r="D1" s="26" t="s">
        <v>28</v>
      </c>
      <c r="E1" s="27" t="s">
        <v>16</v>
      </c>
      <c r="F1" s="27" t="s">
        <v>16</v>
      </c>
      <c r="G1" s="25" t="s">
        <v>19</v>
      </c>
      <c r="H1" s="26" t="s">
        <v>30</v>
      </c>
      <c r="I1" s="26" t="s">
        <v>14</v>
      </c>
      <c r="J1" s="26" t="s">
        <v>15</v>
      </c>
      <c r="K1" s="33" t="s">
        <v>54</v>
      </c>
      <c r="L1" s="33" t="s">
        <v>55</v>
      </c>
      <c r="M1" s="34" t="s">
        <v>2</v>
      </c>
      <c r="N1" s="28" t="s">
        <v>16</v>
      </c>
      <c r="O1" s="26" t="s">
        <v>24</v>
      </c>
      <c r="P1" s="26" t="s">
        <v>23</v>
      </c>
      <c r="Q1" s="29" t="s">
        <v>26</v>
      </c>
      <c r="R1" s="27" t="s">
        <v>25</v>
      </c>
      <c r="S1" s="25" t="s">
        <v>3</v>
      </c>
      <c r="T1" s="23" t="s">
        <v>48</v>
      </c>
      <c r="U1" s="100" t="s">
        <v>251</v>
      </c>
      <c r="V1" s="23" t="s">
        <v>50</v>
      </c>
      <c r="W1" s="100" t="s">
        <v>252</v>
      </c>
      <c r="X1" s="23" t="s">
        <v>52</v>
      </c>
      <c r="Y1" s="25" t="s">
        <v>128</v>
      </c>
      <c r="Z1" s="26" t="s">
        <v>127</v>
      </c>
      <c r="AA1" s="25" t="s">
        <v>8</v>
      </c>
    </row>
    <row r="2" spans="1:27" ht="21" customHeight="1" x14ac:dyDescent="0.15">
      <c r="A2" s="15" t="str">
        <f t="shared" ref="A2:A9" si="0">B2&amp;"_"&amp;C2&amp;"-"&amp;G2&amp;"/"&amp;M2&amp;"&lt;lv"&amp;S2&amp;"&gt;sq"&amp;K2&amp;"st"&amp;L2</f>
        <v>41015_1-1/765&lt;lv50&gt;sq1st2</v>
      </c>
      <c r="B2" s="20">
        <v>41015</v>
      </c>
      <c r="C2" s="166">
        <v>1</v>
      </c>
      <c r="D2" s="14" t="str">
        <f t="shared" ref="D2:D9" si="1">B2&amp;"_"&amp;C2</f>
        <v>41015_1</v>
      </c>
      <c r="E2" s="4" t="str">
        <f ca="1">VLOOKUP($B2,OFFSET([2]quests!$A$1,0,0,COUNTA([2]quests!$A:$A),MATCH(E$1,[2]quests!$1:$1,0)-MATCH($B$1,[2]quests!$1:$1,0)+1),MATCH(E$1,[2]quests!$1:$1,0)-MATCH($B$1,[2]quests!$1:$1,0)+1,FALSE)</f>
        <v>ガレス襲来！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【超絶級】ガレス襲来</v>
      </c>
      <c r="G2" s="166">
        <v>1</v>
      </c>
      <c r="H2" s="14" t="str">
        <f t="shared" ref="H2:H9" si="2">B2&amp;"_"&amp;C2&amp;"-"&amp;G2</f>
        <v>41015_1-1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5">
        <v>1</v>
      </c>
      <c r="L2" s="35">
        <v>2</v>
      </c>
      <c r="M2" s="167">
        <v>765</v>
      </c>
      <c r="N2" s="16" t="str">
        <f ca="1">VLOOKUP($M2,OFFSET([3]enemies!$A$1,0,0,COUNTA([3]enemies!$A:$A),MATCH(N$1,[3]enemies!$1:$1,0)-MATCH($M$1,[3]enemies!$1:$1,0)+1),MATCH(N$1,[3]enemies!$1:$1,0)-MATCH($M$1,[3]enemies!$1:$1,0)+1,FALSE)</f>
        <v>逆襲獣皇 ライオネル</v>
      </c>
      <c r="O2" s="16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6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6" t="str">
        <f ca="1">VLOOKUP($M2,OFFSET([3]enemies!$A$1,0,0,COUNTA([3]enemies!$A:$A),MATCH(Q$1,[3]enemies!$1:$1,0)-MATCH($M$1,[3]enemies!$1:$1,0)+1),MATCH(Q$1,[3]enemies!$1:$1,0)-MATCH($M$1,[3]enemies!$1:$1,0)+1,FALSE)</f>
        <v>animal</v>
      </c>
      <c r="R2" s="16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50</v>
      </c>
      <c r="T2" s="22">
        <v>3</v>
      </c>
      <c r="U2" s="101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257397</v>
      </c>
      <c r="V2" s="22">
        <v>1</v>
      </c>
      <c r="W2" s="101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6248</v>
      </c>
      <c r="X2" s="5">
        <v>0</v>
      </c>
      <c r="Y2" s="4" t="e">
        <v>#N/A</v>
      </c>
      <c r="Z2" s="168">
        <v>41015003</v>
      </c>
      <c r="AA2" s="169">
        <v>1</v>
      </c>
    </row>
    <row r="3" spans="1:27" ht="21" customHeight="1" x14ac:dyDescent="0.15">
      <c r="A3" s="15" t="str">
        <f t="shared" si="0"/>
        <v>41015_1-3/767&lt;lv50&gt;sq2st2</v>
      </c>
      <c r="B3" s="20">
        <v>41015</v>
      </c>
      <c r="C3" s="166">
        <v>1</v>
      </c>
      <c r="D3" s="14" t="str">
        <f t="shared" si="1"/>
        <v>41015_1</v>
      </c>
      <c r="E3" s="4" t="str">
        <f ca="1">VLOOKUP($B3,OFFSET([2]quests!$A$1,0,0,COUNTA([2]quests!$A:$A),MATCH(E$1,[2]quests!$1:$1,0)-MATCH($B$1,[2]quests!$1:$1,0)+1),MATCH(E$1,[2]quests!$1:$1,0)-MATCH($B$1,[2]quests!$1:$1,0)+1,FALSE)</f>
        <v>ガレス襲来！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【超絶級】ガレス襲来</v>
      </c>
      <c r="G3" s="166">
        <v>3</v>
      </c>
      <c r="H3" s="14" t="str">
        <f t="shared" si="2"/>
        <v>41015_1-3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5">
        <v>2</v>
      </c>
      <c r="L3" s="35">
        <v>2</v>
      </c>
      <c r="M3" s="167">
        <v>767</v>
      </c>
      <c r="N3" s="16" t="str">
        <f ca="1">VLOOKUP($M3,OFFSET([3]enemies!$A$1,0,0,COUNTA([3]enemies!$A:$A),MATCH(N$1,[3]enemies!$1:$1,0)-MATCH($M$1,[3]enemies!$1:$1,0)+1),MATCH(N$1,[3]enemies!$1:$1,0)-MATCH($M$1,[3]enemies!$1:$1,0)+1,FALSE)</f>
        <v>灼炎業竜 ランドラグ</v>
      </c>
      <c r="O3" s="16" t="str">
        <f ca="1">VLOOKUP($M3,OFFSET([3]enemies!$A$1,0,0,COUNTA([3]enemies!$A:$A),MATCH(O$1,[3]enemies!$1:$1,0)-MATCH($M$1,[3]enemies!$1:$1,0)+1),MATCH(O$1,[3]enemies!$1:$1,0)-MATCH($M$1,[3]enemies!$1:$1,0)+1,FALSE)</f>
        <v>red</v>
      </c>
      <c r="P3" s="16" t="str">
        <f ca="1">VLOOKUP($M3,OFFSET([4]characters!$A$1,0,0,COUNTA([4]characters!$A:$A),MATCH(P$1,[4]characters!$1:$1,0)-MATCH($M$1,[4]characters!$1:$1,0)+1),MATCH(P$1,[4]characters!$1:$1,0)-MATCH($M$1,[4]characters!$1:$1,0)+1,FALSE)</f>
        <v>Drop2N</v>
      </c>
      <c r="Q3" s="16" t="str">
        <f ca="1">VLOOKUP($M3,OFFSET([3]enemies!$A$1,0,0,COUNTA([3]enemies!$A:$A),MATCH(Q$1,[3]enemies!$1:$1,0)-MATCH($M$1,[3]enemies!$1:$1,0)+1),MATCH(Q$1,[3]enemies!$1:$1,0)-MATCH($M$1,[3]enemies!$1:$1,0)+1,FALSE)</f>
        <v>dragon</v>
      </c>
      <c r="R3" s="16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50</v>
      </c>
      <c r="T3" s="22">
        <v>1.8</v>
      </c>
      <c r="U3" s="101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262782</v>
      </c>
      <c r="V3" s="22">
        <v>1.2</v>
      </c>
      <c r="W3" s="101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6435.5999999999995</v>
      </c>
      <c r="X3" s="5">
        <v>0</v>
      </c>
      <c r="Y3" s="4" t="e">
        <v>#N/A</v>
      </c>
      <c r="Z3" s="168">
        <v>41015007</v>
      </c>
      <c r="AA3" s="169">
        <v>1</v>
      </c>
    </row>
    <row r="4" spans="1:27" ht="21" customHeight="1" x14ac:dyDescent="0.15">
      <c r="A4" s="15" t="str">
        <f t="shared" si="0"/>
        <v>41015_1-4/769&lt;lv50&gt;sq3st2</v>
      </c>
      <c r="B4" s="20">
        <v>41015</v>
      </c>
      <c r="C4" s="166">
        <v>1</v>
      </c>
      <c r="D4" s="14" t="str">
        <f t="shared" si="1"/>
        <v>41015_1</v>
      </c>
      <c r="E4" s="4" t="str">
        <f ca="1">VLOOKUP($B4,OFFSET([2]quests!$A$1,0,0,COUNTA([2]quests!$A:$A),MATCH(E$1,[2]quests!$1:$1,0)-MATCH($B$1,[2]quests!$1:$1,0)+1),MATCH(E$1,[2]quests!$1:$1,0)-MATCH($B$1,[2]quests!$1:$1,0)+1,FALSE)</f>
        <v>ガレス襲来！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【超絶級】ガレス襲来</v>
      </c>
      <c r="G4" s="166">
        <v>4</v>
      </c>
      <c r="H4" s="14" t="str">
        <f t="shared" si="2"/>
        <v>41015_1-4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5">
        <v>3</v>
      </c>
      <c r="L4" s="35">
        <v>2</v>
      </c>
      <c r="M4" s="167">
        <v>769</v>
      </c>
      <c r="N4" s="16" t="str">
        <f ca="1">VLOOKUP($M4,OFFSET([3]enemies!$A$1,0,0,COUNTA([3]enemies!$A:$A),MATCH(N$1,[3]enemies!$1:$1,0)-MATCH($M$1,[3]enemies!$1:$1,0)+1),MATCH(N$1,[3]enemies!$1:$1,0)-MATCH($M$1,[3]enemies!$1:$1,0)+1,FALSE)</f>
        <v>白域・純双剣 ガレス</v>
      </c>
      <c r="O4" s="16" t="str">
        <f ca="1">VLOOKUP($M4,OFFSET([3]enemies!$A$1,0,0,COUNTA([3]enemies!$A:$A),MATCH(O$1,[3]enemies!$1:$1,0)-MATCH($M$1,[3]enemies!$1:$1,0)+1),MATCH(O$1,[3]enemies!$1:$1,0)-MATCH($M$1,[3]enemies!$1:$1,0)+1,FALSE)</f>
        <v>green</v>
      </c>
      <c r="P4" s="16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6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6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50</v>
      </c>
      <c r="T4" s="22">
        <v>6</v>
      </c>
      <c r="U4" s="101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453294</v>
      </c>
      <c r="V4" s="22">
        <v>2.5</v>
      </c>
      <c r="W4" s="101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12277.5</v>
      </c>
      <c r="X4" s="5">
        <v>0</v>
      </c>
      <c r="Y4" s="4" t="e">
        <v>#N/A</v>
      </c>
      <c r="Z4" s="168">
        <v>41015009</v>
      </c>
      <c r="AA4" s="169">
        <v>1</v>
      </c>
    </row>
    <row r="5" spans="1:27" ht="21" customHeight="1" thickBot="1" x14ac:dyDescent="0.2">
      <c r="A5" s="129" t="str">
        <f t="shared" si="0"/>
        <v>41015_1-4/769&lt;lv50&gt;sq3st3</v>
      </c>
      <c r="B5" s="130">
        <v>41015</v>
      </c>
      <c r="C5" s="201">
        <v>1</v>
      </c>
      <c r="D5" s="132" t="str">
        <f t="shared" si="1"/>
        <v>41015_1</v>
      </c>
      <c r="E5" s="133" t="str">
        <f ca="1">VLOOKUP($B5,OFFSET([2]quests!$A$1,0,0,COUNTA([2]quests!$A:$A),MATCH(E$1,[2]quests!$1:$1,0)-MATCH($B$1,[2]quests!$1:$1,0)+1),MATCH(E$1,[2]quests!$1:$1,0)-MATCH($B$1,[2]quests!$1:$1,0)+1,FALSE)</f>
        <v>ガレス襲来！</v>
      </c>
      <c r="F5" s="133" t="str">
        <f ca="1">VLOOKUP($D5,OFFSET([2]stages!$A$1,0,0,COUNTA([2]stages!$A:$A),MATCH(F$1,[2]stages!$2:$2,0)-MATCH($D$1,[2]stages!$2:$2,0)+1),MATCH(F$1,[2]stages!$2:$2,0)-MATCH($D$1,[2]stages!$2:$2,0)+1,FALSE)</f>
        <v>【超絶級】ガレス襲来</v>
      </c>
      <c r="G5" s="201">
        <v>4</v>
      </c>
      <c r="H5" s="132" t="str">
        <f t="shared" si="2"/>
        <v>41015_1-4</v>
      </c>
      <c r="I5" s="133">
        <f ca="1">VLOOKUP($H5,OFFSET(floors!$A$1,0,0,COUNTA(floors!$A:$A),MATCH(I$1,floors!$1:$1,0)-MATCH($H$1,floors!$1:$1,0)+1),MATCH(I$1,floors!$1:$1,0)-MATCH($H$1,floors!$1:$1,0)+1,FALSE)</f>
        <v>60</v>
      </c>
      <c r="J5" s="133">
        <f ca="1">VLOOKUP($H5,OFFSET(floors!$A$1,0,0,COUNTA(floors!$A:$A),MATCH(J$1,floors!$1:$1,0)-MATCH($H$1,floors!$1:$1,0)+1),MATCH(J$1,floors!$1:$1,0)-MATCH($H$1,floors!$1:$1,0)+1,FALSE)</f>
        <v>60</v>
      </c>
      <c r="K5" s="202">
        <v>3</v>
      </c>
      <c r="L5" s="202">
        <v>3</v>
      </c>
      <c r="M5" s="203">
        <v>769</v>
      </c>
      <c r="N5" s="136" t="str">
        <f ca="1">VLOOKUP($M5,OFFSET([3]enemies!$A$1,0,0,COUNTA([3]enemies!$A:$A),MATCH(N$1,[3]enemies!$1:$1,0)-MATCH($M$1,[3]enemies!$1:$1,0)+1),MATCH(N$1,[3]enemies!$1:$1,0)-MATCH($M$1,[3]enemies!$1:$1,0)+1,FALSE)</f>
        <v>白域・純双剣 ガレス</v>
      </c>
      <c r="O5" s="136" t="str">
        <f ca="1">VLOOKUP($M5,OFFSET([3]enemies!$A$1,0,0,COUNTA([3]enemies!$A:$A),MATCH(O$1,[3]enemies!$1:$1,0)-MATCH($M$1,[3]enemies!$1:$1,0)+1),MATCH(O$1,[3]enemies!$1:$1,0)-MATCH($M$1,[3]enemies!$1:$1,0)+1,FALSE)</f>
        <v>green</v>
      </c>
      <c r="P5" s="136" t="str">
        <f ca="1">VLOOKUP($M5,OFFSET([4]characters!$A$1,0,0,COUNTA([4]characters!$A:$A),MATCH(P$1,[4]characters!$1:$1,0)-MATCH($M$1,[4]characters!$1:$1,0)+1),MATCH(P$1,[4]characters!$1:$1,0)-MATCH($M$1,[4]characters!$1:$1,0)+1,FALSE)</f>
        <v>DropWizS</v>
      </c>
      <c r="Q5" s="136" t="str">
        <f ca="1">VLOOKUP($M5,OFFSET([3]enemies!$A$1,0,0,COUNTA([3]enemies!$A:$A),MATCH(Q$1,[3]enemies!$1:$1,0)-MATCH($M$1,[3]enemies!$1:$1,0)+1),MATCH(Q$1,[3]enemies!$1:$1,0)-MATCH($M$1,[3]enemies!$1:$1,0)+1,FALSE)</f>
        <v>human</v>
      </c>
      <c r="R5" s="136">
        <f ca="1">VLOOKUP($M5,OFFSET([3]enemies!$A$1,0,0,COUNTA([3]enemies!$A:$A),MATCH(R$1,[3]enemies!$1:$1,0)-MATCH($M$1,[3]enemies!$1:$1,0)+1),MATCH(R$1,[3]enemies!$1:$1,0)-MATCH($M$1,[3]enemies!$1:$1,0)+1,FALSE)</f>
        <v>60</v>
      </c>
      <c r="S5" s="204">
        <v>50</v>
      </c>
      <c r="T5" s="205">
        <v>3</v>
      </c>
      <c r="U5" s="139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226647</v>
      </c>
      <c r="V5" s="205">
        <v>2.5</v>
      </c>
      <c r="W5" s="139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12277.5</v>
      </c>
      <c r="X5" s="204">
        <v>0</v>
      </c>
      <c r="Y5" s="133" t="e">
        <v>#N/A</v>
      </c>
      <c r="Z5" s="206">
        <v>41015010</v>
      </c>
      <c r="AA5" s="207">
        <v>1</v>
      </c>
    </row>
    <row r="6" spans="1:27" ht="21" customHeight="1" x14ac:dyDescent="0.15">
      <c r="A6" s="148" t="str">
        <f t="shared" si="0"/>
        <v>41015_2-1/765&lt;lv60&gt;sq1st2</v>
      </c>
      <c r="B6" s="149">
        <v>41015</v>
      </c>
      <c r="C6" s="208">
        <v>2</v>
      </c>
      <c r="D6" s="153" t="str">
        <f t="shared" si="1"/>
        <v>41015_2</v>
      </c>
      <c r="E6" s="154" t="str">
        <f ca="1">VLOOKUP($B6,OFFSET([2]quests!$A$1,0,0,COUNTA([2]quests!$A:$A),MATCH(E$1,[2]quests!$1:$1,0)-MATCH($B$1,[2]quests!$1:$1,0)+1),MATCH(E$1,[2]quests!$1:$1,0)-MATCH($B$1,[2]quests!$1:$1,0)+1,FALSE)</f>
        <v>ガレス襲来！</v>
      </c>
      <c r="F6" s="154" t="str">
        <f ca="1">VLOOKUP($D6,OFFSET([2]stages!$A$1,0,0,COUNTA([2]stages!$A:$A),MATCH(F$1,[2]stages!$2:$2,0)-MATCH($D$1,[2]stages!$2:$2,0)+1),MATCH(F$1,[2]stages!$2:$2,0)-MATCH($D$1,[2]stages!$2:$2,0)+1,FALSE)</f>
        <v>【ウィザード級】ガレス襲来</v>
      </c>
      <c r="G6" s="208">
        <v>1</v>
      </c>
      <c r="H6" s="153" t="str">
        <f t="shared" si="2"/>
        <v>41015_2-1</v>
      </c>
      <c r="I6" s="154">
        <f ca="1">VLOOKUP($H6,OFFSET(floors!$A$1,0,0,COUNTA(floors!$A:$A),MATCH(I$1,floors!$1:$1,0)-MATCH($H$1,floors!$1:$1,0)+1),MATCH(I$1,floors!$1:$1,0)-MATCH($H$1,floors!$1:$1,0)+1,FALSE)</f>
        <v>60</v>
      </c>
      <c r="J6" s="154">
        <f ca="1">VLOOKUP($H6,OFFSET(floors!$A$1,0,0,COUNTA(floors!$A:$A),MATCH(J$1,floors!$1:$1,0)-MATCH($H$1,floors!$1:$1,0)+1),MATCH(J$1,floors!$1:$1,0)-MATCH($H$1,floors!$1:$1,0)+1,FALSE)</f>
        <v>60</v>
      </c>
      <c r="K6" s="209">
        <v>1</v>
      </c>
      <c r="L6" s="209">
        <v>2</v>
      </c>
      <c r="M6" s="210">
        <v>765</v>
      </c>
      <c r="N6" s="156" t="str">
        <f ca="1">VLOOKUP($M6,OFFSET([3]enemies!$A$1,0,0,COUNTA([3]enemies!$A:$A),MATCH(N$1,[3]enemies!$1:$1,0)-MATCH($M$1,[3]enemies!$1:$1,0)+1),MATCH(N$1,[3]enemies!$1:$1,0)-MATCH($M$1,[3]enemies!$1:$1,0)+1,FALSE)</f>
        <v>逆襲獣皇 ライオネル</v>
      </c>
      <c r="O6" s="156" t="str">
        <f ca="1">VLOOKUP($M6,OFFSET([3]enemies!$A$1,0,0,COUNTA([3]enemies!$A:$A),MATCH(O$1,[3]enemies!$1:$1,0)-MATCH($M$1,[3]enemies!$1:$1,0)+1),MATCH(O$1,[3]enemies!$1:$1,0)-MATCH($M$1,[3]enemies!$1:$1,0)+1,FALSE)</f>
        <v>yellow</v>
      </c>
      <c r="P6" s="156" t="str">
        <f ca="1">VLOOKUP($M6,OFFSET([4]characters!$A$1,0,0,COUNTA([4]characters!$A:$A),MATCH(P$1,[4]characters!$1:$1,0)-MATCH($M$1,[4]characters!$1:$1,0)+1),MATCH(P$1,[4]characters!$1:$1,0)-MATCH($M$1,[4]characters!$1:$1,0)+1,FALSE)</f>
        <v>Drop2N</v>
      </c>
      <c r="Q6" s="156" t="str">
        <f ca="1">VLOOKUP($M6,OFFSET([3]enemies!$A$1,0,0,COUNTA([3]enemies!$A:$A),MATCH(Q$1,[3]enemies!$1:$1,0)-MATCH($M$1,[3]enemies!$1:$1,0)+1),MATCH(Q$1,[3]enemies!$1:$1,0)-MATCH($M$1,[3]enemies!$1:$1,0)+1,FALSE)</f>
        <v>animal</v>
      </c>
      <c r="R6" s="156">
        <f ca="1">VLOOKUP($M6,OFFSET([3]enemies!$A$1,0,0,COUNTA([3]enemies!$A:$A),MATCH(R$1,[3]enemies!$1:$1,0)-MATCH($M$1,[3]enemies!$1:$1,0)+1),MATCH(R$1,[3]enemies!$1:$1,0)-MATCH($M$1,[3]enemies!$1:$1,0)+1,FALSE)</f>
        <v>60</v>
      </c>
      <c r="S6" s="211">
        <v>60</v>
      </c>
      <c r="T6" s="212">
        <v>3</v>
      </c>
      <c r="U6" s="159">
        <f ca="1">ROUND(VLOOKUP(S6,[3]enemy_base_stats!$A:$F,2,FALSE) *INDIRECT("[EnemyMasterData.xlsm]enemies!Y"&amp;(M6+1))*  INDIRECT("[EnemyMasterData.xlsm]enemies!J"&amp;(M6+1))* INDIRECT("[EnemyMasterData.xlsm]enemies!O"&amp;(M6+1))* INDIRECT("[EnemyMasterData.xlsm]enemies!E"&amp;(M6+1))* INDIRECT("[EnemyMasterData.xlsm]enemies!S"&amp;(M6+1))* INDIRECT("[EnemyMasterData.xlsm]enemies!AD"&amp;(M6+1))*[4]ステータス!$B$2,0)*T6</f>
        <v>307377</v>
      </c>
      <c r="V6" s="212">
        <v>1.1000000000000001</v>
      </c>
      <c r="W6" s="159">
        <f ca="1">ROUND(VLOOKUP(S6,[3]enemy_base_stats!$A:$F,3,FALSE) *INDIRECT("[EnemyMasterData.xlsm]enemies!Z"&amp;(M6+1))*  INDIRECT("[EnemyMasterData.xlsm]enemies!K"&amp;(M6+1))* INDIRECT("[EnemyMasterData.xlsm]enemies!P"&amp;(M6+1))* INDIRECT("[EnemyMasterData.xlsm]enemies!F"&amp;(M6+1))* INDIRECT("[EnemyMasterData.xlsm]enemies!T"&amp;(M6+1))* INDIRECT("[EnemyMasterData.xlsm]enemies!AE"&amp;(M6+1))*[4]ステータス!$C$2,0)*V6</f>
        <v>8207.1</v>
      </c>
      <c r="X6" s="211">
        <v>0</v>
      </c>
      <c r="Y6" s="154" t="e">
        <v>#N/A</v>
      </c>
      <c r="Z6" s="213">
        <v>41015003</v>
      </c>
      <c r="AA6" s="214">
        <v>1</v>
      </c>
    </row>
    <row r="7" spans="1:27" ht="21" customHeight="1" x14ac:dyDescent="0.15">
      <c r="A7" s="15" t="str">
        <f t="shared" si="0"/>
        <v>41015_2-3/767&lt;lv60&gt;sq2st2</v>
      </c>
      <c r="B7" s="20">
        <v>41015</v>
      </c>
      <c r="C7" s="166">
        <v>2</v>
      </c>
      <c r="D7" s="14" t="str">
        <f t="shared" si="1"/>
        <v>41015_2</v>
      </c>
      <c r="E7" s="4" t="str">
        <f ca="1">VLOOKUP($B7,OFFSET([2]quests!$A$1,0,0,COUNTA([2]quests!$A:$A),MATCH(E$1,[2]quests!$1:$1,0)-MATCH($B$1,[2]quests!$1:$1,0)+1),MATCH(E$1,[2]quests!$1:$1,0)-MATCH($B$1,[2]quests!$1:$1,0)+1,FALSE)</f>
        <v>ガレス襲来！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【ウィザード級】ガレス襲来</v>
      </c>
      <c r="G7" s="166">
        <v>3</v>
      </c>
      <c r="H7" s="14" t="str">
        <f t="shared" si="2"/>
        <v>41015_2-3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5">
        <v>2</v>
      </c>
      <c r="L7" s="35">
        <v>2</v>
      </c>
      <c r="M7" s="167">
        <v>767</v>
      </c>
      <c r="N7" s="16" t="str">
        <f ca="1">VLOOKUP($M7,OFFSET([3]enemies!$A$1,0,0,COUNTA([3]enemies!$A:$A),MATCH(N$1,[3]enemies!$1:$1,0)-MATCH($M$1,[3]enemies!$1:$1,0)+1),MATCH(N$1,[3]enemies!$1:$1,0)-MATCH($M$1,[3]enemies!$1:$1,0)+1,FALSE)</f>
        <v>灼炎業竜 ランドラグ</v>
      </c>
      <c r="O7" s="16" t="str">
        <f ca="1">VLOOKUP($M7,OFFSET([3]enemies!$A$1,0,0,COUNTA([3]enemies!$A:$A),MATCH(O$1,[3]enemies!$1:$1,0)-MATCH($M$1,[3]enemies!$1:$1,0)+1),MATCH(O$1,[3]enemies!$1:$1,0)-MATCH($M$1,[3]enemies!$1:$1,0)+1,FALSE)</f>
        <v>red</v>
      </c>
      <c r="P7" s="16" t="str">
        <f ca="1">VLOOKUP($M7,OFFSET([4]characters!$A$1,0,0,COUNTA([4]characters!$A:$A),MATCH(P$1,[4]characters!$1:$1,0)-MATCH($M$1,[4]characters!$1:$1,0)+1),MATCH(P$1,[4]characters!$1:$1,0)-MATCH($M$1,[4]characters!$1:$1,0)+1,FALSE)</f>
        <v>Drop2N</v>
      </c>
      <c r="Q7" s="16" t="str">
        <f ca="1">VLOOKUP($M7,OFFSET([3]enemies!$A$1,0,0,COUNTA([3]enemies!$A:$A),MATCH(Q$1,[3]enemies!$1:$1,0)-MATCH($M$1,[3]enemies!$1:$1,0)+1),MATCH(Q$1,[3]enemies!$1:$1,0)-MATCH($M$1,[3]enemies!$1:$1,0)+1,FALSE)</f>
        <v>dragon</v>
      </c>
      <c r="R7" s="16">
        <f ca="1">VLOOKUP($M7,OFFSET([3]enemies!$A$1,0,0,COUNTA([3]enemies!$A:$A),MATCH(R$1,[3]enemies!$1:$1,0)-MATCH($M$1,[3]enemies!$1:$1,0)+1),MATCH(R$1,[3]enemies!$1:$1,0)-MATCH($M$1,[3]enemies!$1:$1,0)+1,FALSE)</f>
        <v>60</v>
      </c>
      <c r="S7" s="5">
        <v>60</v>
      </c>
      <c r="T7" s="22">
        <v>1.8</v>
      </c>
      <c r="U7" s="101">
        <f ca="1">ROUND(VLOOKUP(S7,[3]enemy_base_stats!$A:$F,2,FALSE) *INDIRECT("[EnemyMasterData.xlsm]enemies!Y"&amp;(M7+1))*  INDIRECT("[EnemyMasterData.xlsm]enemies!J"&amp;(M7+1))* INDIRECT("[EnemyMasterData.xlsm]enemies!O"&amp;(M7+1))* INDIRECT("[EnemyMasterData.xlsm]enemies!E"&amp;(M7+1))* INDIRECT("[EnemyMasterData.xlsm]enemies!S"&amp;(M7+1))* INDIRECT("[EnemyMasterData.xlsm]enemies!AD"&amp;(M7+1))*[4]ステータス!$B$2,0)*T7</f>
        <v>313806.60000000003</v>
      </c>
      <c r="V7" s="22">
        <v>1.2</v>
      </c>
      <c r="W7" s="101">
        <f ca="1">ROUND(VLOOKUP(S7,[3]enemy_base_stats!$A:$F,3,FALSE) *INDIRECT("[EnemyMasterData.xlsm]enemies!Z"&amp;(M7+1))*  INDIRECT("[EnemyMasterData.xlsm]enemies!K"&amp;(M7+1))* INDIRECT("[EnemyMasterData.xlsm]enemies!P"&amp;(M7+1))* INDIRECT("[EnemyMasterData.xlsm]enemies!F"&amp;(M7+1))* INDIRECT("[EnemyMasterData.xlsm]enemies!T"&amp;(M7+1))* INDIRECT("[EnemyMasterData.xlsm]enemies!AE"&amp;(M7+1))*[4]ステータス!$C$2,0)*V7</f>
        <v>7686</v>
      </c>
      <c r="X7" s="5">
        <v>0</v>
      </c>
      <c r="Y7" s="4" t="e">
        <v>#N/A</v>
      </c>
      <c r="Z7" s="168">
        <v>41015007</v>
      </c>
      <c r="AA7" s="169">
        <v>1</v>
      </c>
    </row>
    <row r="8" spans="1:27" ht="21" customHeight="1" x14ac:dyDescent="0.15">
      <c r="A8" s="15" t="str">
        <f t="shared" si="0"/>
        <v>41015_2-4/961&lt;lv60&gt;sq3st2</v>
      </c>
      <c r="B8" s="20">
        <v>41015</v>
      </c>
      <c r="C8" s="166">
        <v>2</v>
      </c>
      <c r="D8" s="14" t="str">
        <f t="shared" si="1"/>
        <v>41015_2</v>
      </c>
      <c r="E8" s="4" t="str">
        <f ca="1">VLOOKUP($B8,OFFSET([2]quests!$A$1,0,0,COUNTA([2]quests!$A:$A),MATCH(E$1,[2]quests!$1:$1,0)-MATCH($B$1,[2]quests!$1:$1,0)+1),MATCH(E$1,[2]quests!$1:$1,0)-MATCH($B$1,[2]quests!$1:$1,0)+1,FALSE)</f>
        <v>ガレス襲来！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【ウィザード級】ガレス襲来</v>
      </c>
      <c r="G8" s="166">
        <v>4</v>
      </c>
      <c r="H8" s="14" t="str">
        <f t="shared" si="2"/>
        <v>41015_2-4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5">
        <v>3</v>
      </c>
      <c r="L8" s="35">
        <v>2</v>
      </c>
      <c r="M8" s="167">
        <v>961</v>
      </c>
      <c r="N8" s="16" t="str">
        <f ca="1">VLOOKUP($M8,OFFSET([3]enemies!$A$1,0,0,COUNTA([3]enemies!$A:$A),MATCH(N$1,[3]enemies!$1:$1,0)-MATCH($M$1,[3]enemies!$1:$1,0)+1),MATCH(N$1,[3]enemies!$1:$1,0)-MATCH($M$1,[3]enemies!$1:$1,0)+1,FALSE)</f>
        <v>狂奏・混業剣 ガレス</v>
      </c>
      <c r="O8" s="16" t="str">
        <f ca="1">VLOOKUP($M8,OFFSET([3]enemies!$A$1,0,0,COUNTA([3]enemies!$A:$A),MATCH(O$1,[3]enemies!$1:$1,0)-MATCH($M$1,[3]enemies!$1:$1,0)+1),MATCH(O$1,[3]enemies!$1:$1,0)-MATCH($M$1,[3]enemies!$1:$1,0)+1,FALSE)</f>
        <v>green</v>
      </c>
      <c r="P8" s="16" t="str">
        <f ca="1">VLOOKUP($M8,OFFSET([4]characters!$A$1,0,0,COUNTA([4]characters!$A:$A),MATCH(P$1,[4]characters!$1:$1,0)-MATCH($M$1,[4]characters!$1:$1,0)+1),MATCH(P$1,[4]characters!$1:$1,0)-MATCH($M$1,[4]characters!$1:$1,0)+1,FALSE)</f>
        <v>DropWizS</v>
      </c>
      <c r="Q8" s="16" t="str">
        <f ca="1">VLOOKUP($M8,OFFSET([3]enemies!$A$1,0,0,COUNTA([3]enemies!$A:$A),MATCH(Q$1,[3]enemies!$1:$1,0)-MATCH($M$1,[3]enemies!$1:$1,0)+1),MATCH(Q$1,[3]enemies!$1:$1,0)-MATCH($M$1,[3]enemies!$1:$1,0)+1,FALSE)</f>
        <v>human</v>
      </c>
      <c r="R8" s="16">
        <f ca="1">VLOOKUP($M8,OFFSET([3]enemies!$A$1,0,0,COUNTA([3]enemies!$A:$A),MATCH(R$1,[3]enemies!$1:$1,0)-MATCH($M$1,[3]enemies!$1:$1,0)+1),MATCH(R$1,[3]enemies!$1:$1,0)-MATCH($M$1,[3]enemies!$1:$1,0)+1,FALSE)</f>
        <v>60</v>
      </c>
      <c r="S8" s="5">
        <v>60</v>
      </c>
      <c r="T8" s="22">
        <v>6</v>
      </c>
      <c r="U8" s="101">
        <f ca="1">ROUND(VLOOKUP(S8,[3]enemy_base_stats!$A:$F,2,FALSE) *INDIRECT("[EnemyMasterData.xlsm]enemies!Y"&amp;(M8+1))*  INDIRECT("[EnemyMasterData.xlsm]enemies!J"&amp;(M8+1))* INDIRECT("[EnemyMasterData.xlsm]enemies!O"&amp;(M8+1))* INDIRECT("[EnemyMasterData.xlsm]enemies!E"&amp;(M8+1))* INDIRECT("[EnemyMasterData.xlsm]enemies!S"&amp;(M8+1))* INDIRECT("[EnemyMasterData.xlsm]enemies!AD"&amp;(M8+1))*[4]ステータス!$B$2,0)*T8</f>
        <v>541308</v>
      </c>
      <c r="V8" s="22">
        <v>2.5</v>
      </c>
      <c r="W8" s="101">
        <f ca="1">ROUND(VLOOKUP(S8,[3]enemy_base_stats!$A:$F,3,FALSE) *INDIRECT("[EnemyMasterData.xlsm]enemies!Z"&amp;(M8+1))*  INDIRECT("[EnemyMasterData.xlsm]enemies!K"&amp;(M8+1))* INDIRECT("[EnemyMasterData.xlsm]enemies!P"&amp;(M8+1))* INDIRECT("[EnemyMasterData.xlsm]enemies!F"&amp;(M8+1))* INDIRECT("[EnemyMasterData.xlsm]enemies!T"&amp;(M8+1))* INDIRECT("[EnemyMasterData.xlsm]enemies!AE"&amp;(M8+1))*[4]ステータス!$C$2,0)*V8</f>
        <v>14660</v>
      </c>
      <c r="X8" s="5">
        <v>0</v>
      </c>
      <c r="Y8" s="4" t="e">
        <v>#N/A</v>
      </c>
      <c r="Z8" s="168">
        <v>41015009</v>
      </c>
      <c r="AA8" s="169">
        <v>1</v>
      </c>
    </row>
    <row r="9" spans="1:27" ht="21" customHeight="1" x14ac:dyDescent="0.15">
      <c r="A9" s="15" t="str">
        <f t="shared" si="0"/>
        <v>41015_2-4/961&lt;lv60&gt;sq3st3</v>
      </c>
      <c r="B9" s="20">
        <v>41015</v>
      </c>
      <c r="C9" s="166">
        <v>2</v>
      </c>
      <c r="D9" s="14" t="str">
        <f t="shared" si="1"/>
        <v>41015_2</v>
      </c>
      <c r="E9" s="4" t="str">
        <f ca="1">VLOOKUP($B9,OFFSET([2]quests!$A$1,0,0,COUNTA([2]quests!$A:$A),MATCH(E$1,[2]quests!$1:$1,0)-MATCH($B$1,[2]quests!$1:$1,0)+1),MATCH(E$1,[2]quests!$1:$1,0)-MATCH($B$1,[2]quests!$1:$1,0)+1,FALSE)</f>
        <v>ガレス襲来！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【ウィザード級】ガレス襲来</v>
      </c>
      <c r="G9" s="166">
        <v>4</v>
      </c>
      <c r="H9" s="14" t="str">
        <f t="shared" si="2"/>
        <v>41015_2-4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5">
        <v>3</v>
      </c>
      <c r="L9" s="35">
        <v>3</v>
      </c>
      <c r="M9" s="167">
        <v>961</v>
      </c>
      <c r="N9" s="16" t="str">
        <f ca="1">VLOOKUP($M9,OFFSET([3]enemies!$A$1,0,0,COUNTA([3]enemies!$A:$A),MATCH(N$1,[3]enemies!$1:$1,0)-MATCH($M$1,[3]enemies!$1:$1,0)+1),MATCH(N$1,[3]enemies!$1:$1,0)-MATCH($M$1,[3]enemies!$1:$1,0)+1,FALSE)</f>
        <v>狂奏・混業剣 ガレス</v>
      </c>
      <c r="O9" s="16" t="str">
        <f ca="1">VLOOKUP($M9,OFFSET([3]enemies!$A$1,0,0,COUNTA([3]enemies!$A:$A),MATCH(O$1,[3]enemies!$1:$1,0)-MATCH($M$1,[3]enemies!$1:$1,0)+1),MATCH(O$1,[3]enemies!$1:$1,0)-MATCH($M$1,[3]enemies!$1:$1,0)+1,FALSE)</f>
        <v>green</v>
      </c>
      <c r="P9" s="16" t="str">
        <f ca="1">VLOOKUP($M9,OFFSET([4]characters!$A$1,0,0,COUNTA([4]characters!$A:$A),MATCH(P$1,[4]characters!$1:$1,0)-MATCH($M$1,[4]characters!$1:$1,0)+1),MATCH(P$1,[4]characters!$1:$1,0)-MATCH($M$1,[4]characters!$1:$1,0)+1,FALSE)</f>
        <v>DropWizS</v>
      </c>
      <c r="Q9" s="16" t="str">
        <f ca="1">VLOOKUP($M9,OFFSET([3]enemies!$A$1,0,0,COUNTA([3]enemies!$A:$A),MATCH(Q$1,[3]enemies!$1:$1,0)-MATCH($M$1,[3]enemies!$1:$1,0)+1),MATCH(Q$1,[3]enemies!$1:$1,0)-MATCH($M$1,[3]enemies!$1:$1,0)+1,FALSE)</f>
        <v>human</v>
      </c>
      <c r="R9" s="16">
        <f ca="1">VLOOKUP($M9,OFFSET([3]enemies!$A$1,0,0,COUNTA([3]enemies!$A:$A),MATCH(R$1,[3]enemies!$1:$1,0)-MATCH($M$1,[3]enemies!$1:$1,0)+1),MATCH(R$1,[3]enemies!$1:$1,0)-MATCH($M$1,[3]enemies!$1:$1,0)+1,FALSE)</f>
        <v>60</v>
      </c>
      <c r="S9" s="5">
        <v>60</v>
      </c>
      <c r="T9" s="22">
        <v>5.5</v>
      </c>
      <c r="U9" s="101">
        <f ca="1">ROUND(VLOOKUP(S9,[3]enemy_base_stats!$A:$F,2,FALSE) *INDIRECT("[EnemyMasterData.xlsm]enemies!Y"&amp;(M9+1))*  INDIRECT("[EnemyMasterData.xlsm]enemies!J"&amp;(M9+1))* INDIRECT("[EnemyMasterData.xlsm]enemies!O"&amp;(M9+1))* INDIRECT("[EnemyMasterData.xlsm]enemies!E"&amp;(M9+1))* INDIRECT("[EnemyMasterData.xlsm]enemies!S"&amp;(M9+1))* INDIRECT("[EnemyMasterData.xlsm]enemies!AD"&amp;(M9+1))*[4]ステータス!$B$2,0)*T9</f>
        <v>496199</v>
      </c>
      <c r="V9" s="22">
        <v>2.5</v>
      </c>
      <c r="W9" s="101">
        <f ca="1">ROUND(VLOOKUP(S9,[3]enemy_base_stats!$A:$F,3,FALSE) *INDIRECT("[EnemyMasterData.xlsm]enemies!Z"&amp;(M9+1))*  INDIRECT("[EnemyMasterData.xlsm]enemies!K"&amp;(M9+1))* INDIRECT("[EnemyMasterData.xlsm]enemies!P"&amp;(M9+1))* INDIRECT("[EnemyMasterData.xlsm]enemies!F"&amp;(M9+1))* INDIRECT("[EnemyMasterData.xlsm]enemies!T"&amp;(M9+1))* INDIRECT("[EnemyMasterData.xlsm]enemies!AE"&amp;(M9+1))*[4]ステータス!$C$2,0)*V9</f>
        <v>14660</v>
      </c>
      <c r="X9" s="5">
        <v>0</v>
      </c>
      <c r="Y9" s="4" t="e">
        <v>#N/A</v>
      </c>
      <c r="Z9" s="168">
        <v>41015010</v>
      </c>
      <c r="AA9" s="169">
        <v>1</v>
      </c>
    </row>
  </sheetData>
  <sheetProtection selectLockedCells="1" selectUnlockedCells="1"/>
  <autoFilter ref="B1:AA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19"/>
  <sheetViews>
    <sheetView showGridLines="0" zoomScale="90" zoomScaleNormal="90" zoomScalePageLayoutView="90" workbookViewId="0">
      <pane xSplit="5" ySplit="1" topLeftCell="F94" activePane="bottomRight" state="frozen"/>
      <selection pane="topRight"/>
      <selection pane="bottomLeft"/>
      <selection pane="bottomRight" activeCell="B120" sqref="B120"/>
    </sheetView>
  </sheetViews>
  <sheetFormatPr baseColWidth="12" defaultColWidth="12.83203125" defaultRowHeight="21" customHeight="1" outlineLevelCol="1" x14ac:dyDescent="0.15"/>
  <cols>
    <col min="1" max="1" width="11.33203125" style="36" bestFit="1" customWidth="1"/>
    <col min="2" max="2" width="9.5" style="46" bestFit="1" customWidth="1"/>
    <col min="3" max="3" width="9.6640625" style="46" customWidth="1"/>
    <col min="4" max="4" width="18.5" style="46" customWidth="1" outlineLevel="1"/>
    <col min="5" max="5" width="44.1640625" style="46" bestFit="1" customWidth="1" outlineLevel="1"/>
    <col min="6" max="6" width="10.83203125" style="46" bestFit="1" customWidth="1"/>
    <col min="7" max="7" width="8.33203125" style="46" bestFit="1" customWidth="1" outlineLevel="1"/>
    <col min="8" max="9" width="12.83203125" style="46" outlineLevel="1"/>
    <col min="10" max="10" width="17.6640625" style="46" bestFit="1" customWidth="1" outlineLevel="1"/>
    <col min="11" max="15" width="12.83203125" style="46" outlineLevel="1"/>
    <col min="16" max="16" width="8.33203125" style="42" bestFit="1" customWidth="1"/>
    <col min="17" max="17" width="9.6640625" style="42" customWidth="1"/>
    <col min="18" max="18" width="56.5" style="42" bestFit="1" customWidth="1"/>
    <col min="19" max="16384" width="12.83203125" style="42"/>
  </cols>
  <sheetData>
    <row r="1" spans="1:18" ht="21" customHeight="1" x14ac:dyDescent="0.15">
      <c r="A1" s="36" t="s">
        <v>60</v>
      </c>
      <c r="B1" s="37" t="s">
        <v>61</v>
      </c>
      <c r="C1" s="37" t="s">
        <v>62</v>
      </c>
      <c r="D1" s="38" t="s">
        <v>63</v>
      </c>
      <c r="E1" s="38" t="s">
        <v>64</v>
      </c>
      <c r="F1" s="39" t="s">
        <v>65</v>
      </c>
      <c r="G1" s="40" t="s">
        <v>66</v>
      </c>
      <c r="H1" s="40" t="s">
        <v>68</v>
      </c>
      <c r="I1" s="40" t="s">
        <v>69</v>
      </c>
      <c r="J1" s="40" t="s">
        <v>70</v>
      </c>
      <c r="K1" s="41" t="s">
        <v>71</v>
      </c>
      <c r="L1" s="41" t="s">
        <v>72</v>
      </c>
      <c r="M1" s="40" t="s">
        <v>73</v>
      </c>
      <c r="N1" s="40" t="s">
        <v>74</v>
      </c>
      <c r="O1" s="40" t="s">
        <v>75</v>
      </c>
      <c r="P1" s="38" t="s">
        <v>76</v>
      </c>
      <c r="Q1" s="38" t="s">
        <v>77</v>
      </c>
      <c r="R1" s="38" t="s">
        <v>78</v>
      </c>
    </row>
    <row r="2" spans="1:18" ht="21" customHeight="1" x14ac:dyDescent="0.15">
      <c r="A2" s="36" t="str">
        <f t="shared" ref="A2:A72" si="0">B2&amp;"_"&amp;C2</f>
        <v>41015001_41015001</v>
      </c>
      <c r="B2" s="44">
        <v>41015001</v>
      </c>
      <c r="C2" s="44">
        <v>41015001</v>
      </c>
      <c r="D2" s="43" t="str">
        <f ca="1">VLOOKUP($C2,OFFSET(enemy_skills!$A$1,0,0,COUNTA(enemy_skills!$A:$A),MATCH(D$1,enemy_skills!$1:$1,0)-MATCH("enemy_skill_id",enemy_skills!$1:$1,0)+1),MATCH(D$1,enemy_skills!$1:$1,0)-MATCH("enemy_skill_id",enemy_skills!$1:$1,0)+1,FALSE)</f>
        <v>契約の力…確かに渡したよ</v>
      </c>
      <c r="E2" s="43" t="str">
        <f ca="1">VLOOKUP($C2,OFFSET(enemy_skills!$A$1,0,0,COUNTA(enemy_skills!$A:$A),MATCH(E$1,enemy_skills!$1:$1,0)-MATCH("enemy_skill_id",enemy_skills!$1:$1,0)+1),MATCH(E$1,enemy_skills!$1:$1,0)-MATCH("enemy_skill_id",enemy_skills!$1:$1,0)+1,FALSE)</f>
        <v>何者かが足早に去っていった</v>
      </c>
      <c r="F2" s="44">
        <v>41015001</v>
      </c>
      <c r="G2" s="45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5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" s="45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5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5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5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5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5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5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4"/>
      <c r="Q2" s="44"/>
      <c r="R2" s="44"/>
    </row>
    <row r="3" spans="1:18" ht="21" customHeight="1" x14ac:dyDescent="0.15">
      <c r="A3" s="36" t="str">
        <f t="shared" si="0"/>
        <v>41015002_41015002</v>
      </c>
      <c r="B3" s="44">
        <v>41015002</v>
      </c>
      <c r="C3" s="44">
        <v>41015002</v>
      </c>
      <c r="D3" s="43" t="str">
        <f ca="1">VLOOKUP($C3,OFFSET(enemy_skills!$A$1,0,0,COUNTA(enemy_skills!$A:$A),MATCH(D$1,enemy_skills!$1:$1,0)-MATCH("enemy_skill_id",enemy_skills!$1:$1,0)+1),MATCH(D$1,enemy_skills!$1:$1,0)-MATCH("enemy_skill_id",enemy_skills!$1:$1,0)+1,FALSE)</f>
        <v>クク…これさえあれば…</v>
      </c>
      <c r="E3" s="43" t="str">
        <f ca="1">VLOOKUP($C3,OFFSET(enemy_skills!$A$1,0,0,COUNTA(enemy_skills!$A:$A),MATCH(E$1,enemy_skills!$1:$1,0)-MATCH("enemy_skill_id",enemy_skills!$1:$1,0)+1),MATCH(E$1,enemy_skills!$1:$1,0)-MATCH("enemy_skill_id",enemy_skills!$1:$1,0)+1,FALSE)</f>
        <v>この力があれば　俺様がナンバーワンだ！</v>
      </c>
      <c r="F3" s="44">
        <v>41015002</v>
      </c>
      <c r="G3" s="45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45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" s="45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5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5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5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5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5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5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4"/>
      <c r="Q3" s="44"/>
      <c r="R3" s="44"/>
    </row>
    <row r="4" spans="1:18" ht="21" customHeight="1" x14ac:dyDescent="0.15">
      <c r="A4" s="36" t="str">
        <f t="shared" si="0"/>
        <v>41015002_41015003</v>
      </c>
      <c r="B4" s="44">
        <v>41015002</v>
      </c>
      <c r="C4" s="44">
        <v>41015003</v>
      </c>
      <c r="D4" s="43" t="str">
        <f ca="1">VLOOKUP($C4,OFFSET(enemy_skills!$A$1,0,0,COUNTA(enemy_skills!$A:$A),MATCH(D$1,enemy_skills!$1:$1,0)-MATCH("enemy_skill_id",enemy_skills!$1:$1,0)+1),MATCH(D$1,enemy_skills!$1:$1,0)-MATCH("enemy_skill_id",enemy_skills!$1:$1,0)+1,FALSE)</f>
        <v>この攻撃を受けてみろ！</v>
      </c>
      <c r="E4" s="43" t="str">
        <f ca="1">VLOOKUP($C4,OFFSET(enemy_skills!$A$1,0,0,COUNTA(enemy_skills!$A:$A),MATCH(E$1,enemy_skills!$1:$1,0)-MATCH("enemy_skill_id",enemy_skills!$1:$1,0)+1),MATCH(E$1,enemy_skills!$1:$1,0)-MATCH("enemy_skill_id",enemy_skills!$1:$1,0)+1,FALSE)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4" s="44">
        <v>41015003</v>
      </c>
      <c r="G4" s="45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5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4" s="45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" s="45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5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5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5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5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5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" s="44"/>
      <c r="Q4" s="44"/>
      <c r="R4" s="44"/>
    </row>
    <row r="5" spans="1:18" ht="21" customHeight="1" x14ac:dyDescent="0.15">
      <c r="A5" s="36" t="str">
        <f t="shared" si="0"/>
        <v>41015002_41015004</v>
      </c>
      <c r="B5" s="44">
        <v>41015002</v>
      </c>
      <c r="C5" s="44">
        <v>41015004</v>
      </c>
      <c r="D5" s="43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うおおぉぉ！！</v>
      </c>
      <c r="E5" s="43" t="str">
        <f ca="1">VLOOKUP($C5,OFFSET(enemy_skills!$A$1,0,0,COUNTA(enemy_skills!$A:$A),MATCH(E$1,enemy_skills!$1:$1,0)-MATCH("enemy_skill_id",enemy_skills!$1:$1,0)+1),MATCH(E$1,enemy_skills!$1:$1,0)-MATCH("enemy_skill_id",enemy_skills!$1:$1,0)+1,FALSE)</f>
        <v>全体攻撃</v>
      </c>
      <c r="F5" s="44">
        <v>41015004</v>
      </c>
      <c r="G5" s="45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5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24</v>
      </c>
      <c r="I5" s="45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5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5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5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5" s="45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5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5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4"/>
      <c r="Q5" s="44"/>
      <c r="R5" s="44"/>
    </row>
    <row r="6" spans="1:18" ht="21" customHeight="1" x14ac:dyDescent="0.15">
      <c r="A6" s="36" t="str">
        <f t="shared" si="0"/>
        <v>41015002_41015005</v>
      </c>
      <c r="B6" s="44">
        <v>41015002</v>
      </c>
      <c r="C6" s="44">
        <v>41015005</v>
      </c>
      <c r="D6" s="43" t="str">
        <f ca="1">VLOOKUP($C6,OFFSET(enemy_skills!$A$1,0,0,COUNTA(enemy_skills!$A:$A),MATCH(D$1,enemy_skills!$1:$1,0)-MATCH("enemy_skill_id",enemy_skills!$1:$1,0)+1),MATCH(D$1,enemy_skills!$1:$1,0)-MATCH("enemy_skill_id",enemy_skills!$1:$1,0)+1,FALSE)</f>
        <v>グッ…なんだ…体が…！</v>
      </c>
      <c r="E6" s="43" t="str">
        <f ca="1">VLOOKUP($C6,OFFSET(enemy_skills!$A$1,0,0,COUNTA(enemy_skills!$A:$A),MATCH(E$1,enemy_skills!$1:$1,0)-MATCH("enemy_skill_id",enemy_skills!$1:$1,0)+1),MATCH(E$1,enemy_skills!$1:$1,0)-MATCH("enemy_skill_id",enemy_skills!$1:$1,0)+1,FALSE)</f>
        <v>なにやら様子がおかしい！</v>
      </c>
      <c r="F6" s="44">
        <v>41015005</v>
      </c>
      <c r="G6" s="45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5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6" s="45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5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5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5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5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5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5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4"/>
      <c r="Q6" s="44"/>
      <c r="R6" s="44"/>
    </row>
    <row r="7" spans="1:18" ht="21" customHeight="1" x14ac:dyDescent="0.15">
      <c r="A7" s="36" t="str">
        <f t="shared" si="0"/>
        <v>41015003_41015006</v>
      </c>
      <c r="B7" s="44">
        <v>41015003</v>
      </c>
      <c r="C7" s="44">
        <v>41015006</v>
      </c>
      <c r="D7" s="43" t="str">
        <f ca="1">VLOOKUP($C7,OFFSET(enemy_skills!$A$1,0,0,COUNTA(enemy_skills!$A:$A),MATCH(D$1,enemy_skills!$1:$1,0)-MATCH("enemy_skill_id",enemy_skills!$1:$1,0)+1),MATCH(D$1,enemy_skills!$1:$1,0)-MATCH("enemy_skill_id",enemy_skills!$1:$1,0)+1,FALSE)</f>
        <v>ヤメロ…俺様は違う…！</v>
      </c>
      <c r="E7" s="43" t="str">
        <f ca="1">VLOOKUP($C7,OFFSET(enemy_skills!$A$1,0,0,COUNTA(enemy_skills!$A:$A),MATCH(E$1,enemy_skills!$1:$1,0)-MATCH("enemy_skill_id",enemy_skills!$1:$1,0)+1),MATCH(E$1,enemy_skills!$1:$1,0)-MATCH("enemy_skill_id",enemy_skills!$1:$1,0)+1,FALSE)</f>
        <v>言うことを聞キヤガレれェッ…！！</v>
      </c>
      <c r="F7" s="44">
        <v>41015006</v>
      </c>
      <c r="G7" s="45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45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7" s="45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5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5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5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5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5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5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4"/>
      <c r="Q7" s="44"/>
      <c r="R7" s="44"/>
    </row>
    <row r="8" spans="1:18" ht="21" customHeight="1" x14ac:dyDescent="0.15">
      <c r="A8" s="36" t="str">
        <f t="shared" ref="A8" si="1">B8&amp;"_"&amp;C8</f>
        <v>41015003_41015113</v>
      </c>
      <c r="B8" s="196">
        <v>41015003</v>
      </c>
      <c r="C8" s="196">
        <v>41015113</v>
      </c>
      <c r="D8" s="21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クソ…ランスロットォォォ…！</v>
      </c>
      <c r="E8" s="216" t="str">
        <f ca="1">VLOOKUP($C8,OFFSET(enemy_skills!$A$1,0,0,COUNTA(enemy_skills!$A:$A),MATCH(E$1,enemy_skills!$1:$1,0)-MATCH("enemy_skill_id",enemy_skills!$1:$1,0)+1),MATCH(E$1,enemy_skills!$1:$1,0)-MATCH("enemy_skill_id",enemy_skills!$1:$1,0)+1,FALSE)</f>
        <v>俺様ハ…貴様より強いンダァァ！！</v>
      </c>
      <c r="F8" s="196">
        <v>41015113</v>
      </c>
      <c r="G8" s="45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45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52</v>
      </c>
      <c r="I8" s="45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5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5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5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5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5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839</v>
      </c>
      <c r="O8" s="45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4"/>
      <c r="Q8" s="44"/>
      <c r="R8" s="44"/>
    </row>
    <row r="9" spans="1:18" ht="21" customHeight="1" x14ac:dyDescent="0.15">
      <c r="A9" s="36" t="str">
        <f t="shared" si="0"/>
        <v>41015003_41015007</v>
      </c>
      <c r="B9" s="195">
        <v>41015003</v>
      </c>
      <c r="C9" s="195">
        <v>41015007</v>
      </c>
      <c r="D9" s="43" t="str">
        <f ca="1">VLOOKUP($C9,OFFSET(enemy_skills!$A$1,0,0,COUNTA(enemy_skills!$A:$A),MATCH(D$1,enemy_skills!$1:$1,0)-MATCH("enemy_skill_id",enemy_skills!$1:$1,0)+1),MATCH(D$1,enemy_skills!$1:$1,0)-MATCH("enemy_skill_id",enemy_skills!$1:$1,0)+1,FALSE)</f>
        <v>クソ…ランスロットォォォ…！</v>
      </c>
      <c r="E9" s="43" t="str">
        <f ca="1">VLOOKUP($C9,OFFSET(enemy_skills!$A$1,0,0,COUNTA(enemy_skills!$A:$A),MATCH(E$1,enemy_skills!$1:$1,0)-MATCH("enemy_skill_id",enemy_skills!$1:$1,0)+1),MATCH(E$1,enemy_skills!$1:$1,0)-MATCH("enemy_skill_id",enemy_skills!$1:$1,0)+1,FALSE)</f>
        <v>俺様ハ…貴様より強いンダァァ！！</v>
      </c>
      <c r="F9" s="195">
        <v>41015007</v>
      </c>
      <c r="G9" s="45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45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52</v>
      </c>
      <c r="I9" s="45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5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5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5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5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5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466</v>
      </c>
      <c r="O9" s="45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4"/>
      <c r="Q9" s="44"/>
      <c r="R9" s="44"/>
    </row>
    <row r="10" spans="1:18" ht="21" customHeight="1" x14ac:dyDescent="0.15">
      <c r="A10" s="36" t="str">
        <f t="shared" si="0"/>
        <v>41015003_41015080</v>
      </c>
      <c r="B10" s="195">
        <v>41015003</v>
      </c>
      <c r="C10" s="195">
        <v>41015080</v>
      </c>
      <c r="D10" s="43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クソ…ランスロットォォォ…！</v>
      </c>
      <c r="E10" s="43" t="str">
        <f ca="1">VLOOKUP($C10,OFFSET(enemy_skills!$A$1,0,0,COUNTA(enemy_skills!$A:$A),MATCH(E$1,enemy_skills!$1:$1,0)-MATCH("enemy_skill_id",enemy_skills!$1:$1,0)+1),MATCH(E$1,enemy_skills!$1:$1,0)-MATCH("enemy_skill_id",enemy_skills!$1:$1,0)+1,FALSE)</f>
        <v>俺様ハ…貴様より強いンダァァ！！</v>
      </c>
      <c r="F10" s="195">
        <v>41015080</v>
      </c>
      <c r="G10" s="45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5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52</v>
      </c>
      <c r="I10" s="45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5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5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5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5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5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465</v>
      </c>
      <c r="O10" s="45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4"/>
      <c r="Q10" s="44"/>
      <c r="R10" s="44"/>
    </row>
    <row r="11" spans="1:18" ht="21" customHeight="1" x14ac:dyDescent="0.15">
      <c r="A11" s="36" t="str">
        <f t="shared" ref="A11" si="2">B11&amp;"_"&amp;C11</f>
        <v>41015003_41015112</v>
      </c>
      <c r="B11" s="196">
        <v>41015003</v>
      </c>
      <c r="C11" s="196">
        <v>41015112</v>
      </c>
      <c r="D11" s="21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アーサー…ィ…様…</v>
      </c>
      <c r="E11" s="21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キ危険…デス…逃ゲ…</v>
      </c>
      <c r="F11" s="196">
        <v>41015112</v>
      </c>
      <c r="G11" s="45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5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51</v>
      </c>
      <c r="I11" s="45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5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5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5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5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5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820</v>
      </c>
      <c r="O11" s="45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4"/>
      <c r="Q11" s="44"/>
      <c r="R11" s="44"/>
    </row>
    <row r="12" spans="1:18" ht="21" customHeight="1" x14ac:dyDescent="0.15">
      <c r="A12" s="36" t="str">
        <f t="shared" si="0"/>
        <v>41015003_41015008</v>
      </c>
      <c r="B12" s="195">
        <v>41015003</v>
      </c>
      <c r="C12" s="195">
        <v>41015008</v>
      </c>
      <c r="D12" s="43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アーサー…ィ…様…</v>
      </c>
      <c r="E12" s="43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キ危険…デス…逃ゲ…</v>
      </c>
      <c r="F12" s="195">
        <v>41015008</v>
      </c>
      <c r="G12" s="45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5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51</v>
      </c>
      <c r="I12" s="45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5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5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5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5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5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473</v>
      </c>
      <c r="O12" s="45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4"/>
      <c r="Q12" s="44"/>
      <c r="R12" s="44"/>
    </row>
    <row r="13" spans="1:18" ht="21" customHeight="1" x14ac:dyDescent="0.15">
      <c r="A13" s="36" t="str">
        <f t="shared" si="0"/>
        <v>41015003_41015081</v>
      </c>
      <c r="B13" s="195">
        <v>41015003</v>
      </c>
      <c r="C13" s="195">
        <v>41015081</v>
      </c>
      <c r="D13" s="43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アーサー…ィ…様…</v>
      </c>
      <c r="E13" s="43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キ危険…デス…逃ゲ…</v>
      </c>
      <c r="F13" s="195">
        <v>41015081</v>
      </c>
      <c r="G13" s="45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5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51</v>
      </c>
      <c r="I13" s="45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5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5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5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5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5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472</v>
      </c>
      <c r="O13" s="45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4"/>
      <c r="Q13" s="44"/>
      <c r="R13" s="44"/>
    </row>
    <row r="14" spans="1:18" ht="21" customHeight="1" x14ac:dyDescent="0.15">
      <c r="A14" s="36" t="str">
        <f t="shared" si="0"/>
        <v>41015003_41015009</v>
      </c>
      <c r="B14" s="44">
        <v>41015003</v>
      </c>
      <c r="C14" s="44">
        <v>41015009</v>
      </c>
      <c r="D14" s="43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フハッ…フハハハッ！！</v>
      </c>
      <c r="E14" s="43" t="str">
        <f ca="1">VLOOKUP($C14,OFFSET(enemy_skills!$A$1,0,0,COUNTA(enemy_skills!$A:$A),MATCH(E$1,enemy_skills!$1:$1,0)-MATCH("enemy_skill_id",enemy_skills!$1:$1,0)+1),MATCH(E$1,enemy_skills!$1:$1,0)-MATCH("enemy_skill_id",enemy_skills!$1:$1,0)+1,FALSE)</f>
        <v>残りHPの5%消費して6回連続攻撃</v>
      </c>
      <c r="F14" s="44">
        <v>41015009</v>
      </c>
      <c r="G14" s="45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5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14" s="45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5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5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5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5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5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5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4"/>
      <c r="Q14" s="44"/>
      <c r="R14" s="44"/>
    </row>
    <row r="15" spans="1:18" ht="21" customHeight="1" x14ac:dyDescent="0.15">
      <c r="A15" s="36" t="str">
        <f t="shared" si="0"/>
        <v>41015003_41015010</v>
      </c>
      <c r="B15" s="44">
        <v>41015003</v>
      </c>
      <c r="C15" s="44">
        <v>41015010</v>
      </c>
      <c r="D15" s="43" t="str">
        <f ca="1">VLOOKUP($C15,OFFSET(enemy_skills!$A$1,0,0,COUNTA(enemy_skills!$A:$A),MATCH(D$1,enemy_skills!$1:$1,0)-MATCH("enemy_skill_id",enemy_skills!$1:$1,0)+1),MATCH(D$1,enemy_skills!$1:$1,0)-MATCH("enemy_skill_id",enemy_skills!$1:$1,0)+1,FALSE)</f>
        <v>砕ケ散レェッエエ！！</v>
      </c>
      <c r="E15" s="43" t="str">
        <f ca="1">VLOOKUP($C15,OFFSET(enemy_skills!$A$1,0,0,COUNTA(enemy_skills!$A:$A),MATCH(E$1,enemy_skills!$1:$1,0)-MATCH("enemy_skill_id",enemy_skills!$1:$1,0)+1),MATCH(E$1,enemy_skills!$1:$1,0)-MATCH("enemy_skill_id",enemy_skills!$1:$1,0)+1,FALSE)</f>
        <v>残りHPの10%消費して全体攻撃</v>
      </c>
      <c r="F15" s="44">
        <v>41015010</v>
      </c>
      <c r="G15" s="45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5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5" s="45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15" s="45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15" s="45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5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15" s="45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5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5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15" s="44"/>
      <c r="Q15" s="44"/>
      <c r="R15" s="44"/>
    </row>
    <row r="16" spans="1:18" ht="21" customHeight="1" x14ac:dyDescent="0.15">
      <c r="A16" s="36" t="str">
        <f t="shared" si="0"/>
        <v>41015003_41015011</v>
      </c>
      <c r="B16" s="44">
        <v>41015003</v>
      </c>
      <c r="C16" s="44">
        <v>41015011</v>
      </c>
      <c r="D16" s="43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ヒ…ヒヒヒヒヒッ…</v>
      </c>
      <c r="E16" s="43" t="str">
        <f ca="1">VLOOKUP($C16,OFFSET(enemy_skills!$A$1,0,0,COUNTA(enemy_skills!$A:$A),MATCH(E$1,enemy_skills!$1:$1,0)-MATCH("enemy_skill_id",enemy_skills!$1:$1,0)+1),MATCH(E$1,enemy_skills!$1:$1,0)-MATCH("enemy_skill_id",enemy_skills!$1:$1,0)+1,FALSE)</f>
        <v>凄まじいエネルギーを感じる</v>
      </c>
      <c r="F16" s="44">
        <v>41015011</v>
      </c>
      <c r="G16" s="45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5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6" s="45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5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6" s="45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5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5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5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5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4"/>
      <c r="Q16" s="44"/>
      <c r="R16" s="44"/>
    </row>
    <row r="17" spans="1:18" ht="21" customHeight="1" x14ac:dyDescent="0.15">
      <c r="A17" s="36" t="str">
        <f t="shared" si="0"/>
        <v>41015003_41015012</v>
      </c>
      <c r="B17" s="44">
        <v>41015003</v>
      </c>
      <c r="C17" s="44">
        <v>41015012</v>
      </c>
      <c r="D17" s="43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オレ様ナンバーワァァン！！</v>
      </c>
      <c r="E17" s="43" t="str">
        <f ca="1">VLOOKUP($C17,OFFSET(enemy_skills!$A$1,0,0,COUNTA(enemy_skills!$A:$A),MATCH(E$1,enemy_skills!$1:$1,0)-MATCH("enemy_skill_id",enemy_skills!$1:$1,0)+1),MATCH(E$1,enemy_skills!$1:$1,0)-MATCH("enemy_skill_id",enemy_skills!$1:$1,0)+1,FALSE)</f>
        <v>残りHPの50%を消費して強力な一撃！</v>
      </c>
      <c r="F17" s="44">
        <v>41015012</v>
      </c>
      <c r="G17" s="45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5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39</v>
      </c>
      <c r="I17" s="45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5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7" s="45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5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5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5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5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4"/>
      <c r="Q17" s="44"/>
      <c r="R17" s="44"/>
    </row>
    <row r="18" spans="1:18" ht="21" customHeight="1" x14ac:dyDescent="0.15">
      <c r="A18" s="36" t="str">
        <f t="shared" si="0"/>
        <v>41015003_41015013</v>
      </c>
      <c r="B18" s="44">
        <v>41015003</v>
      </c>
      <c r="C18" s="44">
        <v>41015013</v>
      </c>
      <c r="D18" s="43" t="str">
        <f ca="1">VLOOKUP($C18,OFFSET(enemy_skills!$A$1,0,0,COUNTA(enemy_skills!$A:$A),MATCH(D$1,enemy_skills!$1:$1,0)-MATCH("enemy_skill_id",enemy_skills!$1:$1,0)+1),MATCH(D$1,enemy_skills!$1:$1,0)-MATCH("enemy_skill_id",enemy_skills!$1:$1,0)+1,FALSE)</f>
        <v>……アッ</v>
      </c>
      <c r="E18" s="43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ライオネルは固まっている</v>
      </c>
      <c r="F18" s="44">
        <v>41015013</v>
      </c>
      <c r="G18" s="45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5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45</v>
      </c>
      <c r="I18" s="45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5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5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5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5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8" s="45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5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4"/>
      <c r="Q18" s="44"/>
      <c r="R18" s="44"/>
    </row>
    <row r="19" spans="1:18" ht="21" customHeight="1" x14ac:dyDescent="0.15">
      <c r="A19" s="36" t="str">
        <f t="shared" si="0"/>
        <v>41015004_41015014</v>
      </c>
      <c r="B19" s="44">
        <v>41015004</v>
      </c>
      <c r="C19" s="44">
        <v>41015014</v>
      </c>
      <c r="D19" s="43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ソウルチェイン！</v>
      </c>
      <c r="E19" s="43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このフロアの果実は連鎖的に自爆する！</v>
      </c>
      <c r="F19" s="44">
        <v>41015014</v>
      </c>
      <c r="G19" s="45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5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9" s="45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5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5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5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5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5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5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4"/>
      <c r="Q19" s="44"/>
      <c r="R19" s="44"/>
    </row>
    <row r="20" spans="1:18" ht="21" customHeight="1" x14ac:dyDescent="0.15">
      <c r="A20" s="36" t="str">
        <f t="shared" si="0"/>
        <v>41015004_41015015</v>
      </c>
      <c r="B20" s="44">
        <v>41015004</v>
      </c>
      <c r="C20" s="44">
        <v>41015015</v>
      </c>
      <c r="D20" s="43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チェインブレイク！</v>
      </c>
      <c r="E20" s="43" t="str">
        <f ca="1">VLOOKUP($C20,OFFSET(enemy_skills!$A$1,0,0,COUNTA(enemy_skills!$A:$A),MATCH(E$1,enemy_skills!$1:$1,0)-MATCH("enemy_skill_id",enemy_skills!$1:$1,0)+1),MATCH(E$1,enemy_skills!$1:$1,0)-MATCH("enemy_skill_id",enemy_skills!$1:$1,0)+1,FALSE)</f>
        <v>仲間を追って爆ぜていった…</v>
      </c>
      <c r="F20" s="44">
        <v>41015015</v>
      </c>
      <c r="G20" s="45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5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20" s="45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5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5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5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5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5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121</v>
      </c>
      <c r="O20" s="45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4"/>
      <c r="Q20" s="44"/>
      <c r="R20" s="44"/>
    </row>
    <row r="21" spans="1:18" ht="21" customHeight="1" x14ac:dyDescent="0.15">
      <c r="A21" s="36" t="str">
        <f t="shared" si="0"/>
        <v>41015005_41015015</v>
      </c>
      <c r="B21" s="44">
        <v>41015005</v>
      </c>
      <c r="C21" s="44">
        <v>41015015</v>
      </c>
      <c r="D21" s="43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チェインブレイク！</v>
      </c>
      <c r="E21" s="43" t="str">
        <f ca="1">VLOOKUP($C21,OFFSET(enemy_skills!$A$1,0,0,COUNTA(enemy_skills!$A:$A),MATCH(E$1,enemy_skills!$1:$1,0)-MATCH("enemy_skill_id",enemy_skills!$1:$1,0)+1),MATCH(E$1,enemy_skills!$1:$1,0)-MATCH("enemy_skill_id",enemy_skills!$1:$1,0)+1,FALSE)</f>
        <v>仲間を追って爆ぜていった…</v>
      </c>
      <c r="F21" s="44">
        <v>41015077</v>
      </c>
      <c r="G21" s="45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5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21" s="45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5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5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5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5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5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122</v>
      </c>
      <c r="O21" s="45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4"/>
      <c r="Q21" s="44"/>
      <c r="R21" s="44"/>
    </row>
    <row r="22" spans="1:18" ht="21" customHeight="1" x14ac:dyDescent="0.15">
      <c r="A22" s="36" t="str">
        <f t="shared" si="0"/>
        <v>41015011_41015015</v>
      </c>
      <c r="B22" s="44">
        <v>41015011</v>
      </c>
      <c r="C22" s="44">
        <v>41015015</v>
      </c>
      <c r="D22" s="43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チェインブレイク！</v>
      </c>
      <c r="E22" s="43" t="str">
        <f ca="1">VLOOKUP($C22,OFFSET(enemy_skills!$A$1,0,0,COUNTA(enemy_skills!$A:$A),MATCH(E$1,enemy_skills!$1:$1,0)-MATCH("enemy_skill_id",enemy_skills!$1:$1,0)+1),MATCH(E$1,enemy_skills!$1:$1,0)-MATCH("enemy_skill_id",enemy_skills!$1:$1,0)+1,FALSE)</f>
        <v>仲間を追って爆ぜていった…</v>
      </c>
      <c r="F22" s="44">
        <v>41015078</v>
      </c>
      <c r="G22" s="45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5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22" s="45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5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5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5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5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5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123</v>
      </c>
      <c r="O22" s="45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4"/>
      <c r="Q22" s="44"/>
      <c r="R22" s="44"/>
    </row>
    <row r="23" spans="1:18" ht="21" customHeight="1" x14ac:dyDescent="0.15">
      <c r="A23" s="36" t="str">
        <f t="shared" si="0"/>
        <v>41015006_41015016</v>
      </c>
      <c r="B23" s="44">
        <v>41015006</v>
      </c>
      <c r="C23" s="44">
        <v>41015016</v>
      </c>
      <c r="D23" s="43" t="str">
        <f ca="1">VLOOKUP($C23,OFFSET(enemy_skills!$A$1,0,0,COUNTA(enemy_skills!$A:$A),MATCH(D$1,enemy_skills!$1:$1,0)-MATCH("enemy_skill_id",enemy_skills!$1:$1,0)+1),MATCH(D$1,enemy_skills!$1:$1,0)-MATCH("enemy_skill_id",enemy_skills!$1:$1,0)+1,FALSE)</f>
        <v>大咆哮</v>
      </c>
      <c r="E23" s="43" t="str">
        <f ca="1">VLOOKUP($C23,OFFSET(enemy_skills!$A$1,0,0,COUNTA(enemy_skills!$A:$A),MATCH(E$1,enemy_skills!$1:$1,0)-MATCH("enemy_skill_id",enemy_skills!$1:$1,0)+1),MATCH(E$1,enemy_skills!$1:$1,0)-MATCH("enemy_skill_id",enemy_skills!$1:$1,0)+1,FALSE)</f>
        <v>出現しているCパネル激烈縮小</v>
      </c>
      <c r="F23" s="44">
        <v>41015016</v>
      </c>
      <c r="G23" s="45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" s="45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3" s="45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5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5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5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5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5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5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4"/>
      <c r="Q23" s="44"/>
      <c r="R23" s="44"/>
    </row>
    <row r="24" spans="1:18" ht="21" customHeight="1" x14ac:dyDescent="0.15">
      <c r="A24" s="36" t="str">
        <f t="shared" si="0"/>
        <v>41015006_41015017</v>
      </c>
      <c r="B24" s="44">
        <v>41015006</v>
      </c>
      <c r="C24" s="44">
        <v>41015017</v>
      </c>
      <c r="D24" s="43" t="str">
        <f ca="1">VLOOKUP($C24,OFFSET(enemy_skills!$A$1,0,0,COUNTA(enemy_skills!$A:$A),MATCH(D$1,enemy_skills!$1:$1,0)-MATCH("enemy_skill_id",enemy_skills!$1:$1,0)+1),MATCH(D$1,enemy_skills!$1:$1,0)-MATCH("enemy_skill_id",enemy_skills!$1:$1,0)+1,FALSE)</f>
        <v>鋭い爪の一撃</v>
      </c>
      <c r="E24" s="43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4" s="44">
        <v>41015017</v>
      </c>
      <c r="G24" s="45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5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24" s="45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5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5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5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5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5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5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4"/>
      <c r="Q24" s="44"/>
      <c r="R24" s="44"/>
    </row>
    <row r="25" spans="1:18" ht="21" customHeight="1" x14ac:dyDescent="0.15">
      <c r="A25" s="36" t="str">
        <f t="shared" si="0"/>
        <v>41015006_41015018</v>
      </c>
      <c r="B25" s="44">
        <v>41015006</v>
      </c>
      <c r="C25" s="44">
        <v>41015018</v>
      </c>
      <c r="D25" s="43" t="str">
        <f ca="1">VLOOKUP($C25,OFFSET(enemy_skills!$A$1,0,0,COUNTA(enemy_skills!$A:$A),MATCH(D$1,enemy_skills!$1:$1,0)-MATCH("enemy_skill_id",enemy_skills!$1:$1,0)+1),MATCH(D$1,enemy_skills!$1:$1,0)-MATCH("enemy_skill_id",enemy_skills!$1:$1,0)+1,FALSE)</f>
        <v>炎球の蓄熱</v>
      </c>
      <c r="E25" s="43" t="str">
        <f ca="1">VLOOKUP($C25,OFFSET(enemy_skills!$A$1,0,0,COUNTA(enemy_skills!$A:$A),MATCH(E$1,enemy_skills!$1:$1,0)-MATCH("enemy_skill_id",enemy_skills!$1:$1,0)+1),MATCH(E$1,enemy_skills!$1:$1,0)-MATCH("enemy_skill_id",enemy_skills!$1:$1,0)+1,FALSE)</f>
        <v>1ターン攻撃力特大UP＋次の攻撃頻度が1にUP</v>
      </c>
      <c r="F25" s="44">
        <v>41015018</v>
      </c>
      <c r="G25" s="45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5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5" s="45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5" s="45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5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5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5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5" s="45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5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5" s="44"/>
      <c r="Q25" s="44"/>
      <c r="R25" s="44"/>
    </row>
    <row r="26" spans="1:18" ht="21" customHeight="1" x14ac:dyDescent="0.15">
      <c r="A26" s="36" t="str">
        <f t="shared" si="0"/>
        <v>41015006_41015019</v>
      </c>
      <c r="B26" s="44">
        <v>41015006</v>
      </c>
      <c r="C26" s="44">
        <v>41015019</v>
      </c>
      <c r="D26" s="43" t="str">
        <f ca="1">VLOOKUP($C26,OFFSET(enemy_skills!$A$1,0,0,COUNTA(enemy_skills!$A:$A),MATCH(D$1,enemy_skills!$1:$1,0)-MATCH("enemy_skill_id",enemy_skills!$1:$1,0)+1),MATCH(D$1,enemy_skills!$1:$1,0)-MATCH("enemy_skill_id",enemy_skills!$1:$1,0)+1,FALSE)</f>
        <v>炎球の排熱</v>
      </c>
      <c r="E26" s="43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ハートパネルを赤パネルに変換＋単体攻撃_x000D_＋次の攻撃頻度が1にUP</v>
      </c>
      <c r="F26" s="44">
        <v>41015019</v>
      </c>
      <c r="G26" s="45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5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6" s="45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6" s="45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5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5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5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6" s="45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5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6" s="44"/>
      <c r="Q26" s="44"/>
      <c r="R26" s="44"/>
    </row>
    <row r="27" spans="1:18" ht="21" customHeight="1" x14ac:dyDescent="0.15">
      <c r="A27" s="36" t="str">
        <f t="shared" si="0"/>
        <v>41015006_41015020</v>
      </c>
      <c r="B27" s="44">
        <v>41015006</v>
      </c>
      <c r="C27" s="44">
        <v>41015020</v>
      </c>
      <c r="D27" s="43" t="str">
        <f ca="1">VLOOKUP($C27,OFFSET(enemy_skills!$A$1,0,0,COUNTA(enemy_skills!$A:$A),MATCH(D$1,enemy_skills!$1:$1,0)-MATCH("enemy_skill_id",enemy_skills!$1:$1,0)+1),MATCH(D$1,enemy_skills!$1:$1,0)-MATCH("enemy_skill_id",enemy_skills!$1:$1,0)+1,FALSE)</f>
        <v>灼熱衝撃波</v>
      </c>
      <c r="E27" s="43" t="str">
        <f ca="1">VLOOKUP($C27,OFFSET(enemy_skills!$A$1,0,0,COUNTA(enemy_skills!$A:$A),MATCH(E$1,enemy_skills!$1:$1,0)-MATCH("enemy_skill_id",enemy_skills!$1:$1,0)+1),MATCH(E$1,enemy_skills!$1:$1,0)-MATCH("enemy_skill_id",enemy_skills!$1:$1,0)+1,FALSE)</f>
        <v>全てのプラス効果を解除＋全体攻撃</v>
      </c>
      <c r="F27" s="44">
        <v>41015020</v>
      </c>
      <c r="G27" s="45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5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31</v>
      </c>
      <c r="I27" s="45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5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5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5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5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27" s="45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5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4"/>
      <c r="Q27" s="44"/>
      <c r="R27" s="44"/>
    </row>
    <row r="28" spans="1:18" ht="21" customHeight="1" x14ac:dyDescent="0.15">
      <c r="A28" s="36" t="str">
        <f t="shared" si="0"/>
        <v>41015007_41015021</v>
      </c>
      <c r="B28" s="44">
        <v>41015007</v>
      </c>
      <c r="C28" s="44">
        <v>41015021</v>
      </c>
      <c r="D28" s="43" t="str">
        <f ca="1">VLOOKUP($C28,OFFSET(enemy_skills!$A$1,0,0,COUNTA(enemy_skills!$A:$A),MATCH(D$1,enemy_skills!$1:$1,0)-MATCH("enemy_skill_id",enemy_skills!$1:$1,0)+1),MATCH(D$1,enemy_skills!$1:$1,0)-MATCH("enemy_skill_id",enemy_skills!$1:$1,0)+1,FALSE)</f>
        <v>……（大きく息を吸い込んだ！）</v>
      </c>
      <c r="E28" s="43" t="str">
        <f ca="1">VLOOKUP($C28,OFFSET(enemy_skills!$A$1,0,0,COUNTA(enemy_skills!$A:$A),MATCH(E$1,enemy_skills!$1:$1,0)-MATCH("enemy_skill_id",enemy_skills!$1:$1,0)+1),MATCH(E$1,enemy_skills!$1:$1,0)-MATCH("enemy_skill_id",enemy_skills!$1:$1,0)+1,FALSE)</f>
        <v>次のターン強力な攻撃</v>
      </c>
      <c r="F28" s="44">
        <v>41015021</v>
      </c>
      <c r="G28" s="45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" s="45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8" s="45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5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5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5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5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5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5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4"/>
      <c r="Q28" s="44"/>
      <c r="R28" s="44"/>
    </row>
    <row r="29" spans="1:18" ht="21" customHeight="1" x14ac:dyDescent="0.15">
      <c r="A29" s="36" t="str">
        <f t="shared" si="0"/>
        <v>41015007_41015022</v>
      </c>
      <c r="B29" s="44">
        <v>41015007</v>
      </c>
      <c r="C29" s="44">
        <v>41015022</v>
      </c>
      <c r="D29" s="43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イグナイトブレス</v>
      </c>
      <c r="E29" s="43" t="str">
        <f ca="1">VLOOKUP($C29,OFFSET(enemy_skills!$A$1,0,0,COUNTA(enemy_skills!$A:$A),MATCH(E$1,enemy_skills!$1:$1,0)-MATCH("enemy_skill_id",enemy_skills!$1:$1,0)+1),MATCH(E$1,enemy_skills!$1:$1,0)-MATCH("enemy_skill_id",enemy_skills!$1:$1,0)+1,FALSE)</f>
        <v>全体攻撃＋時限式ダメージパネル大量生成</v>
      </c>
      <c r="F29" s="44">
        <v>41015022</v>
      </c>
      <c r="G29" s="45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5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29" s="45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5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5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5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5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9" s="45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5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4"/>
      <c r="Q29" s="44"/>
      <c r="R29" s="44"/>
    </row>
    <row r="30" spans="1:18" ht="21" customHeight="1" x14ac:dyDescent="0.15">
      <c r="A30" s="36" t="str">
        <f t="shared" si="0"/>
        <v>41015007_41015023</v>
      </c>
      <c r="B30" s="44">
        <v>41015007</v>
      </c>
      <c r="C30" s="44">
        <v>41015023</v>
      </c>
      <c r="D30" s="43" t="str">
        <f ca="1">VLOOKUP($C30,OFFSET(enemy_skills!$A$1,0,0,COUNTA(enemy_skills!$A:$A),MATCH(D$1,enemy_skills!$1:$1,0)-MATCH("enemy_skill_id",enemy_skills!$1:$1,0)+1),MATCH(D$1,enemy_skills!$1:$1,0)-MATCH("enemy_skill_id",enemy_skills!$1:$1,0)+1,FALSE)</f>
        <v>鋭い爪の一撃</v>
      </c>
      <c r="E30" s="43" t="str">
        <f ca="1">VLOOKUP($C30,OFFSET(enemy_skills!$A$1,0,0,COUNTA(enemy_skills!$A:$A),MATCH(E$1,enemy_skills!$1:$1,0)-MATCH("enemy_skill_id",enemy_skills!$1:$1,0)+1),MATCH(E$1,enemy_skills!$1:$1,0)-MATCH("enemy_skill_id",enemy_skills!$1:$1,0)+1,FALSE)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30" s="44">
        <v>41015023</v>
      </c>
      <c r="G30" s="45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5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30" s="45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5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5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5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5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5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5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4"/>
      <c r="Q30" s="44"/>
      <c r="R30" s="44"/>
    </row>
    <row r="31" spans="1:18" ht="21" customHeight="1" x14ac:dyDescent="0.15">
      <c r="A31" s="36" t="str">
        <f t="shared" si="0"/>
        <v>41015007_41015024</v>
      </c>
      <c r="B31" s="44">
        <v>41015007</v>
      </c>
      <c r="C31" s="44">
        <v>41015024</v>
      </c>
      <c r="D31" s="43" t="str">
        <f ca="1">VLOOKUP($C31,OFFSET(enemy_skills!$A$1,0,0,COUNTA(enemy_skills!$A:$A),MATCH(D$1,enemy_skills!$1:$1,0)-MATCH("enemy_skill_id",enemy_skills!$1:$1,0)+1),MATCH(D$1,enemy_skills!$1:$1,0)-MATCH("enemy_skill_id",enemy_skills!$1:$1,0)+1,FALSE)</f>
        <v>灼熱衝撃波</v>
      </c>
      <c r="E31" s="43" t="str">
        <f ca="1">VLOOKUP($C31,OFFSET(enemy_skills!$A$1,0,0,COUNTA(enemy_skills!$A:$A),MATCH(E$1,enemy_skills!$1:$1,0)-MATCH("enemy_skill_id",enemy_skills!$1:$1,0)+1),MATCH(E$1,enemy_skills!$1:$1,0)-MATCH("enemy_skill_id",enemy_skills!$1:$1,0)+1,FALSE)</f>
        <v>全てのプラス効果を解除＋全体攻撃</v>
      </c>
      <c r="F31" s="44">
        <v>41015024</v>
      </c>
      <c r="G31" s="45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5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31" s="45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5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5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5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45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1" s="45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5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4"/>
      <c r="Q31" s="44"/>
      <c r="R31" s="44"/>
    </row>
    <row r="32" spans="1:18" ht="21" customHeight="1" x14ac:dyDescent="0.15">
      <c r="A32" s="36" t="str">
        <f t="shared" si="0"/>
        <v>41015007_41015025</v>
      </c>
      <c r="B32" s="44">
        <v>41015007</v>
      </c>
      <c r="C32" s="44">
        <v>41015025</v>
      </c>
      <c r="D32" s="43" t="str">
        <f ca="1">VLOOKUP($C32,OFFSET(enemy_skills!$A$1,0,0,COUNTA(enemy_skills!$A:$A),MATCH(D$1,enemy_skills!$1:$1,0)-MATCH("enemy_skill_id",enemy_skills!$1:$1,0)+1),MATCH(D$1,enemy_skills!$1:$1,0)-MATCH("enemy_skill_id",enemy_skills!$1:$1,0)+1,FALSE)</f>
        <v>……（大きく息を吸い込んだ！）</v>
      </c>
      <c r="E32" s="43" t="str">
        <f ca="1">VLOOKUP($C32,OFFSET(enemy_skills!$A$1,0,0,COUNTA(enemy_skills!$A:$A),MATCH(E$1,enemy_skills!$1:$1,0)-MATCH("enemy_skill_id",enemy_skills!$1:$1,0)+1),MATCH(E$1,enemy_skills!$1:$1,0)-MATCH("enemy_skill_id",enemy_skills!$1:$1,0)+1,FALSE)</f>
        <v>2ターン全属性ダメージ軽減_x000D_＋次のターン青・緑パネルを吸収して大攻撃</v>
      </c>
      <c r="F32" s="44">
        <v>41015025</v>
      </c>
      <c r="G32" s="45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5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32" s="45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5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2" s="45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5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5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2" s="45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5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4"/>
      <c r="Q32" s="44"/>
      <c r="R32" s="44"/>
    </row>
    <row r="33" spans="1:18" ht="21" customHeight="1" x14ac:dyDescent="0.15">
      <c r="A33" s="36" t="str">
        <f t="shared" si="0"/>
        <v>41015007_41015026</v>
      </c>
      <c r="B33" s="44">
        <v>41015007</v>
      </c>
      <c r="C33" s="44">
        <v>41015026</v>
      </c>
      <c r="D33" s="43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イグナイトブレイバー</v>
      </c>
      <c r="E33" s="43" t="str">
        <f ca="1">VLOOKUP($C33,OFFSET(enemy_skills!$A$1,0,0,COUNTA(enemy_skills!$A:$A),MATCH(E$1,enemy_skills!$1:$1,0)-MATCH("enemy_skill_id",enemy_skills!$1:$1,0)+1),MATCH(E$1,enemy_skills!$1:$1,0)-MATCH("enemy_skill_id",enemy_skills!$1:$1,0)+1,FALSE)</f>
        <v>青パネル吸収攻撃力UP＋緑パネル吸収攻撃</v>
      </c>
      <c r="F33" s="44">
        <v>41015026</v>
      </c>
      <c r="G33" s="45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5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39</v>
      </c>
      <c r="I33" s="45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5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3" s="45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5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5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3" s="45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5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4"/>
      <c r="Q33" s="44"/>
      <c r="R33" s="44"/>
    </row>
    <row r="34" spans="1:18" ht="21" customHeight="1" x14ac:dyDescent="0.15">
      <c r="A34" s="36" t="str">
        <f t="shared" si="0"/>
        <v>41015008_41015027</v>
      </c>
      <c r="B34" s="44">
        <v>41015008</v>
      </c>
      <c r="C34" s="44">
        <v>41015027</v>
      </c>
      <c r="D34" s="43" t="str">
        <f ca="1">VLOOKUP($C34,OFFSET(enemy_skills!$A$1,0,0,COUNTA(enemy_skills!$A:$A),MATCH(D$1,enemy_skills!$1:$1,0)-MATCH("enemy_skill_id",enemy_skills!$1:$1,0)+1),MATCH(D$1,enemy_skills!$1:$1,0)-MATCH("enemy_skill_id",enemy_skills!$1:$1,0)+1,FALSE)</f>
        <v>僕は正義のために戦う</v>
      </c>
      <c r="E34" s="43" t="str">
        <f ca="1">VLOOKUP($C34,OFFSET(enemy_skills!$A$1,0,0,COUNTA(enemy_skills!$A:$A),MATCH(E$1,enemy_skills!$1:$1,0)-MATCH("enemy_skill_id",enemy_skills!$1:$1,0)+1),MATCH(E$1,enemy_skills!$1:$1,0)-MATCH("enemy_skill_id",enemy_skills!$1:$1,0)+1,FALSE)</f>
        <v>さて…キミは何のために戦う？</v>
      </c>
      <c r="F34" s="44">
        <v>41015027</v>
      </c>
      <c r="G34" s="45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" s="45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4" s="45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5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5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5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5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5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5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4"/>
      <c r="Q34" s="44"/>
      <c r="R34" s="44"/>
    </row>
    <row r="35" spans="1:18" ht="21" customHeight="1" x14ac:dyDescent="0.15">
      <c r="A35" s="36" t="str">
        <f t="shared" ref="A35" si="3">B35&amp;"_"&amp;C35</f>
        <v>41015008_41015114</v>
      </c>
      <c r="B35" s="196">
        <v>41015008</v>
      </c>
      <c r="C35" s="196">
        <v>41015114</v>
      </c>
      <c r="D35" s="43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アーサー、どうしてここに？</v>
      </c>
      <c r="E35" s="43" t="str">
        <f ca="1">VLOOKUP($C35,OFFSET(enemy_skills!$A$1,0,0,COUNTA(enemy_skills!$A:$A),MATCH(E$1,enemy_skills!$1:$1,0)-MATCH("enemy_skill_id",enemy_skills!$1:$1,0)+1),MATCH(E$1,enemy_skills!$1:$1,0)-MATCH("enemy_skill_id",enemy_skills!$1:$1,0)+1,FALSE)</f>
        <v>なんてね…僕を止めに来たんだろ？</v>
      </c>
      <c r="F35" s="196">
        <v>41015114</v>
      </c>
      <c r="G35" s="45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" s="45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35" s="45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5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5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5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5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5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820</v>
      </c>
      <c r="O35" s="45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4"/>
      <c r="Q35" s="44"/>
      <c r="R35" s="44"/>
    </row>
    <row r="36" spans="1:18" ht="21" customHeight="1" x14ac:dyDescent="0.15">
      <c r="A36" s="36" t="str">
        <f t="shared" si="0"/>
        <v>41015008_41015028</v>
      </c>
      <c r="B36" s="195">
        <v>41015008</v>
      </c>
      <c r="C36" s="195">
        <v>41015028</v>
      </c>
      <c r="D36" s="43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アーサー、どうしてここに？</v>
      </c>
      <c r="E36" s="43" t="str">
        <f ca="1">VLOOKUP($C36,OFFSET(enemy_skills!$A$1,0,0,COUNTA(enemy_skills!$A:$A),MATCH(E$1,enemy_skills!$1:$1,0)-MATCH("enemy_skill_id",enemy_skills!$1:$1,0)+1),MATCH(E$1,enemy_skills!$1:$1,0)-MATCH("enemy_skill_id",enemy_skills!$1:$1,0)+1,FALSE)</f>
        <v>なんてね…僕を止めに来たんだろ？</v>
      </c>
      <c r="F36" s="195">
        <v>41015028</v>
      </c>
      <c r="G36" s="45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45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36" s="45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5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5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5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5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5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473</v>
      </c>
      <c r="O36" s="45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4"/>
      <c r="Q36" s="44"/>
      <c r="R36" s="44"/>
    </row>
    <row r="37" spans="1:18" ht="21" customHeight="1" x14ac:dyDescent="0.15">
      <c r="A37" s="36" t="str">
        <f t="shared" si="0"/>
        <v>41015008_41015082</v>
      </c>
      <c r="B37" s="195">
        <v>41015008</v>
      </c>
      <c r="C37" s="195">
        <v>41015082</v>
      </c>
      <c r="D37" s="43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アーサー、どうしてここに？</v>
      </c>
      <c r="E37" s="43" t="str">
        <f ca="1">VLOOKUP($C37,OFFSET(enemy_skills!$A$1,0,0,COUNTA(enemy_skills!$A:$A),MATCH(E$1,enemy_skills!$1:$1,0)-MATCH("enemy_skill_id",enemy_skills!$1:$1,0)+1),MATCH(E$1,enemy_skills!$1:$1,0)-MATCH("enemy_skill_id",enemy_skills!$1:$1,0)+1,FALSE)</f>
        <v>なんてね…僕を止めに来たんだろ？</v>
      </c>
      <c r="F37" s="195">
        <v>41015082</v>
      </c>
      <c r="G37" s="45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" s="45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37" s="45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5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5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5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5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5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472</v>
      </c>
      <c r="O37" s="45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4"/>
      <c r="Q37" s="44"/>
      <c r="R37" s="44"/>
    </row>
    <row r="38" spans="1:18" ht="21" customHeight="1" x14ac:dyDescent="0.15">
      <c r="A38" s="36" t="str">
        <f t="shared" ref="A38" si="4">B38&amp;"_"&amp;C38</f>
        <v>41015008_41015115</v>
      </c>
      <c r="B38" s="44">
        <v>41015008</v>
      </c>
      <c r="C38" s="44">
        <v>41015115</v>
      </c>
      <c r="D38" s="43" t="str">
        <f ca="1">VLOOKUP($C38,OFFSET(enemy_skills!$A$1,0,0,COUNTA(enemy_skills!$A:$A),MATCH(D$1,enemy_skills!$1:$1,0)-MATCH("enemy_skill_id",enemy_skills!$1:$1,0)+1),MATCH(D$1,enemy_skills!$1:$1,0)-MATCH("enemy_skill_id",enemy_skills!$1:$1,0)+1,FALSE)</f>
        <v>…ランス、なぜだ？</v>
      </c>
      <c r="E38" s="43" t="str">
        <f ca="1">VLOOKUP($C38,OFFSET(enemy_skills!$A$1,0,0,COUNTA(enemy_skills!$A:$A),MATCH(E$1,enemy_skills!$1:$1,0)-MATCH("enemy_skill_id",enemy_skills!$1:$1,0)+1),MATCH(E$1,enemy_skills!$1:$1,0)-MATCH("enemy_skill_id",enemy_skills!$1:$1,0)+1,FALSE)</f>
        <v>彼の右腕だったキミが…なぜ彼を裏切った！</v>
      </c>
      <c r="F38" s="44">
        <v>41015115</v>
      </c>
      <c r="G38" s="45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" s="45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38" s="45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5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5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5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5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5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839</v>
      </c>
      <c r="O38" s="45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4"/>
      <c r="Q38" s="44"/>
      <c r="R38" s="44"/>
    </row>
    <row r="39" spans="1:18" ht="21" customHeight="1" x14ac:dyDescent="0.15">
      <c r="A39" s="36" t="str">
        <f t="shared" si="0"/>
        <v>41015008_41015029</v>
      </c>
      <c r="B39" s="195">
        <v>41015008</v>
      </c>
      <c r="C39" s="195">
        <v>41015029</v>
      </c>
      <c r="D39" s="43" t="str">
        <f ca="1">VLOOKUP($C39,OFFSET(enemy_skills!$A$1,0,0,COUNTA(enemy_skills!$A:$A),MATCH(D$1,enemy_skills!$1:$1,0)-MATCH("enemy_skill_id",enemy_skills!$1:$1,0)+1),MATCH(D$1,enemy_skills!$1:$1,0)-MATCH("enemy_skill_id",enemy_skills!$1:$1,0)+1,FALSE)</f>
        <v>…ランス、なぜだ？</v>
      </c>
      <c r="E39" s="43" t="str">
        <f ca="1">VLOOKUP($C39,OFFSET(enemy_skills!$A$1,0,0,COUNTA(enemy_skills!$A:$A),MATCH(E$1,enemy_skills!$1:$1,0)-MATCH("enemy_skill_id",enemy_skills!$1:$1,0)+1),MATCH(E$1,enemy_skills!$1:$1,0)-MATCH("enemy_skill_id",enemy_skills!$1:$1,0)+1,FALSE)</f>
        <v>彼の右腕だったキミが…なぜ彼を裏切った！</v>
      </c>
      <c r="F39" s="195">
        <v>41015029</v>
      </c>
      <c r="G39" s="45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" s="45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39" s="45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5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5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5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5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5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466</v>
      </c>
      <c r="O39" s="45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4"/>
      <c r="Q39" s="44"/>
      <c r="R39" s="44"/>
    </row>
    <row r="40" spans="1:18" ht="21" customHeight="1" x14ac:dyDescent="0.15">
      <c r="A40" s="36" t="str">
        <f t="shared" si="0"/>
        <v>41015008_41015083</v>
      </c>
      <c r="B40" s="195">
        <v>41015008</v>
      </c>
      <c r="C40" s="195">
        <v>41015083</v>
      </c>
      <c r="D40" s="43" t="str">
        <f ca="1">VLOOKUP($C40,OFFSET(enemy_skills!$A$1,0,0,COUNTA(enemy_skills!$A:$A),MATCH(D$1,enemy_skills!$1:$1,0)-MATCH("enemy_skill_id",enemy_skills!$1:$1,0)+1),MATCH(D$1,enemy_skills!$1:$1,0)-MATCH("enemy_skill_id",enemy_skills!$1:$1,0)+1,FALSE)</f>
        <v>…ランス、なぜだ？</v>
      </c>
      <c r="E40" s="43" t="str">
        <f ca="1">VLOOKUP($C40,OFFSET(enemy_skills!$A$1,0,0,COUNTA(enemy_skills!$A:$A),MATCH(E$1,enemy_skills!$1:$1,0)-MATCH("enemy_skill_id",enemy_skills!$1:$1,0)+1),MATCH(E$1,enemy_skills!$1:$1,0)-MATCH("enemy_skill_id",enemy_skills!$1:$1,0)+1,FALSE)</f>
        <v>彼の右腕だったキミが…なぜ彼を裏切った！</v>
      </c>
      <c r="F40" s="195">
        <v>41015083</v>
      </c>
      <c r="G40" s="45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" s="45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40" s="45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5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5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5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5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5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465</v>
      </c>
      <c r="O40" s="45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4"/>
      <c r="Q40" s="44"/>
      <c r="R40" s="44"/>
    </row>
    <row r="41" spans="1:18" ht="21" customHeight="1" x14ac:dyDescent="0.15">
      <c r="A41" s="36" t="str">
        <f t="shared" ref="A41" si="5">B41&amp;"_"&amp;C41</f>
        <v>41015008_41015116</v>
      </c>
      <c r="B41" s="44">
        <v>41015008</v>
      </c>
      <c r="C41" s="44">
        <v>41015116</v>
      </c>
      <c r="D41" s="43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モルド…残念だよ</v>
      </c>
      <c r="E41" s="43" t="str">
        <f ca="1">VLOOKUP($C41,OFFSET(enemy_skills!$A$1,0,0,COUNTA(enemy_skills!$A:$A),MATCH(E$1,enemy_skills!$1:$1,0)-MATCH("enemy_skill_id",enemy_skills!$1:$1,0)+1),MATCH(E$1,enemy_skills!$1:$1,0)-MATCH("enemy_skill_id",enemy_skills!$1:$1,0)+1,FALSE)</f>
        <v>キミは彼と敵対する邪道を選んだ…！</v>
      </c>
      <c r="F41" s="44">
        <v>41015116</v>
      </c>
      <c r="G41" s="45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1" s="45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41" s="45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5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5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5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5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5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819</v>
      </c>
      <c r="O41" s="45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4"/>
      <c r="Q41" s="44"/>
      <c r="R41" s="44"/>
    </row>
    <row r="42" spans="1:18" ht="21" customHeight="1" x14ac:dyDescent="0.15">
      <c r="A42" s="36" t="str">
        <f t="shared" si="0"/>
        <v>41015008_41015030</v>
      </c>
      <c r="B42" s="195">
        <v>41015008</v>
      </c>
      <c r="C42" s="195">
        <v>41015030</v>
      </c>
      <c r="D42" s="43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モルド…残念だよ</v>
      </c>
      <c r="E42" s="43" t="str">
        <f ca="1">VLOOKUP($C42,OFFSET(enemy_skills!$A$1,0,0,COUNTA(enemy_skills!$A:$A),MATCH(E$1,enemy_skills!$1:$1,0)-MATCH("enemy_skill_id",enemy_skills!$1:$1,0)+1),MATCH(E$1,enemy_skills!$1:$1,0)-MATCH("enemy_skill_id",enemy_skills!$1:$1,0)+1,FALSE)</f>
        <v>キミは彼と敵対する邪道を選んだ…！</v>
      </c>
      <c r="F42" s="195">
        <v>41015030</v>
      </c>
      <c r="G42" s="45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2" s="45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42" s="45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5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5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5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5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5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468</v>
      </c>
      <c r="O42" s="45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4"/>
      <c r="Q42" s="44"/>
      <c r="R42" s="44"/>
    </row>
    <row r="43" spans="1:18" ht="21" customHeight="1" x14ac:dyDescent="0.15">
      <c r="A43" s="36" t="str">
        <f t="shared" si="0"/>
        <v>41015008_41015084</v>
      </c>
      <c r="B43" s="195">
        <v>41015008</v>
      </c>
      <c r="C43" s="195">
        <v>41015084</v>
      </c>
      <c r="D43" s="43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モルド…残念だよ</v>
      </c>
      <c r="E43" s="43" t="str">
        <f ca="1">VLOOKUP($C43,OFFSET(enemy_skills!$A$1,0,0,COUNTA(enemy_skills!$A:$A),MATCH(E$1,enemy_skills!$1:$1,0)-MATCH("enemy_skill_id",enemy_skills!$1:$1,0)+1),MATCH(E$1,enemy_skills!$1:$1,0)-MATCH("enemy_skill_id",enemy_skills!$1:$1,0)+1,FALSE)</f>
        <v>キミは彼と敵対する邪道を選んだ…！</v>
      </c>
      <c r="F43" s="195">
        <v>41015084</v>
      </c>
      <c r="G43" s="45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3" s="45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43" s="45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5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5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5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5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5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467</v>
      </c>
      <c r="O43" s="45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4"/>
      <c r="Q43" s="44"/>
      <c r="R43" s="44"/>
    </row>
    <row r="44" spans="1:18" ht="21" customHeight="1" x14ac:dyDescent="0.15">
      <c r="A44" s="36" t="str">
        <f t="shared" si="0"/>
        <v>41015008_41015031</v>
      </c>
      <c r="B44" s="44">
        <v>41015008</v>
      </c>
      <c r="C44" s="44">
        <v>41015031</v>
      </c>
      <c r="D44" s="43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ガウェイン…老…</v>
      </c>
      <c r="E44" s="43" t="str">
        <f ca="1">VLOOKUP($C44,OFFSET(enemy_skills!$A$1,0,0,COUNTA(enemy_skills!$A:$A),MATCH(E$1,enemy_skills!$1:$1,0)-MATCH("enemy_skill_id",enemy_skills!$1:$1,0)+1),MATCH(E$1,enemy_skills!$1:$1,0)-MATCH("enemy_skill_id",enemy_skills!$1:$1,0)+1,FALSE)</f>
        <v>貴方の言葉でも…こればかりは譲れません</v>
      </c>
      <c r="F44" s="44">
        <v>41015031</v>
      </c>
      <c r="G44" s="45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4" s="45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44" s="45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5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5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5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5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5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464</v>
      </c>
      <c r="O44" s="45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4"/>
      <c r="Q44" s="44"/>
      <c r="R44" s="44"/>
    </row>
    <row r="45" spans="1:18" ht="21" customHeight="1" x14ac:dyDescent="0.15">
      <c r="A45" s="36" t="str">
        <f t="shared" si="0"/>
        <v>41015008_41015085</v>
      </c>
      <c r="B45" s="195">
        <v>41015008</v>
      </c>
      <c r="C45" s="195">
        <v>41015085</v>
      </c>
      <c r="D45" s="43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ガウェイン…老…</v>
      </c>
      <c r="E45" s="43" t="str">
        <f ca="1">VLOOKUP($C45,OFFSET(enemy_skills!$A$1,0,0,COUNTA(enemy_skills!$A:$A),MATCH(E$1,enemy_skills!$1:$1,0)-MATCH("enemy_skill_id",enemy_skills!$1:$1,0)+1),MATCH(E$1,enemy_skills!$1:$1,0)-MATCH("enemy_skill_id",enemy_skills!$1:$1,0)+1,FALSE)</f>
        <v>貴方の言葉でも…こればかりは譲れません</v>
      </c>
      <c r="F45" s="195">
        <v>41015085</v>
      </c>
      <c r="G45" s="45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5" s="45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45" s="45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5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5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5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5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5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463</v>
      </c>
      <c r="O45" s="45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4"/>
      <c r="Q45" s="44"/>
      <c r="R45" s="44"/>
    </row>
    <row r="46" spans="1:18" ht="21" customHeight="1" x14ac:dyDescent="0.15">
      <c r="A46" s="36" t="str">
        <f t="shared" si="0"/>
        <v>41015008_41015086</v>
      </c>
      <c r="B46" s="195">
        <v>41015008</v>
      </c>
      <c r="C46" s="195">
        <v>41015086</v>
      </c>
      <c r="D46" s="43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ガウェイン…老…</v>
      </c>
      <c r="E46" s="43" t="str">
        <f ca="1">VLOOKUP($C46,OFFSET(enemy_skills!$A$1,0,0,COUNTA(enemy_skills!$A:$A),MATCH(E$1,enemy_skills!$1:$1,0)-MATCH("enemy_skill_id",enemy_skills!$1:$1,0)+1),MATCH(E$1,enemy_skills!$1:$1,0)-MATCH("enemy_skill_id",enemy_skills!$1:$1,0)+1,FALSE)</f>
        <v>貴方の言葉でも…こればかりは譲れません</v>
      </c>
      <c r="F46" s="195">
        <v>41015086</v>
      </c>
      <c r="G46" s="45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6" s="45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46" s="45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5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5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5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5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5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462</v>
      </c>
      <c r="O46" s="45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4"/>
      <c r="Q46" s="44"/>
      <c r="R46" s="44"/>
    </row>
    <row r="47" spans="1:18" ht="21" customHeight="1" x14ac:dyDescent="0.15">
      <c r="A47" s="36" t="str">
        <f t="shared" si="0"/>
        <v>41015008_41015032</v>
      </c>
      <c r="B47" s="44">
        <v>41015008</v>
      </c>
      <c r="C47" s="44">
        <v>41015032</v>
      </c>
      <c r="D47" s="43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トリス…キミは「未定」だろ？</v>
      </c>
      <c r="E47" s="43" t="str">
        <f ca="1">VLOOKUP($C47,OFFSET(enemy_skills!$A$1,0,0,COUNTA(enemy_skills!$A:$A),MATCH(E$1,enemy_skills!$1:$1,0)-MATCH("enemy_skill_id",enemy_skills!$1:$1,0)+1),MATCH(E$1,enemy_skills!$1:$1,0)-MATCH("enemy_skill_id",enemy_skills!$1:$1,0)+1,FALSE)</f>
        <v>信じるものもなく戦っちゃダメだ…帰りな</v>
      </c>
      <c r="F47" s="44">
        <v>41015032</v>
      </c>
      <c r="G47" s="45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" s="45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47" s="45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5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5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5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5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5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471</v>
      </c>
      <c r="O47" s="45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4"/>
      <c r="Q47" s="44"/>
      <c r="R47" s="44"/>
    </row>
    <row r="48" spans="1:18" ht="21" customHeight="1" x14ac:dyDescent="0.15">
      <c r="A48" s="36" t="str">
        <f t="shared" si="0"/>
        <v>41015008_41015087</v>
      </c>
      <c r="B48" s="195">
        <v>41015008</v>
      </c>
      <c r="C48" s="195">
        <v>41015087</v>
      </c>
      <c r="D48" s="43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トリス…キミは「未定」だろ？</v>
      </c>
      <c r="E48" s="43" t="str">
        <f ca="1">VLOOKUP($C48,OFFSET(enemy_skills!$A$1,0,0,COUNTA(enemy_skills!$A:$A),MATCH(E$1,enemy_skills!$1:$1,0)-MATCH("enemy_skill_id",enemy_skills!$1:$1,0)+1),MATCH(E$1,enemy_skills!$1:$1,0)-MATCH("enemy_skill_id",enemy_skills!$1:$1,0)+1,FALSE)</f>
        <v>信じるものもなく戦っちゃダメだ…帰りな</v>
      </c>
      <c r="F48" s="195">
        <v>41015087</v>
      </c>
      <c r="G48" s="45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" s="45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48" s="45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5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5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5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5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5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470</v>
      </c>
      <c r="O48" s="45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4"/>
      <c r="Q48" s="44"/>
      <c r="R48" s="44"/>
    </row>
    <row r="49" spans="1:18" ht="21" customHeight="1" x14ac:dyDescent="0.15">
      <c r="A49" s="36" t="str">
        <f t="shared" si="0"/>
        <v>41015008_41015088</v>
      </c>
      <c r="B49" s="195">
        <v>41015008</v>
      </c>
      <c r="C49" s="195">
        <v>41015088</v>
      </c>
      <c r="D49" s="43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トリス…キミは「未定」だろ？</v>
      </c>
      <c r="E49" s="43" t="str">
        <f ca="1">VLOOKUP($C49,OFFSET(enemy_skills!$A$1,0,0,COUNTA(enemy_skills!$A:$A),MATCH(E$1,enemy_skills!$1:$1,0)-MATCH("enemy_skill_id",enemy_skills!$1:$1,0)+1),MATCH(E$1,enemy_skills!$1:$1,0)-MATCH("enemy_skill_id",enemy_skills!$1:$1,0)+1,FALSE)</f>
        <v>信じるものもなく戦っちゃダメだ…帰りな</v>
      </c>
      <c r="F49" s="195">
        <v>41015088</v>
      </c>
      <c r="G49" s="45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" s="45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49" s="45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5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5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5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5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5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469</v>
      </c>
      <c r="O49" s="45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4"/>
      <c r="Q49" s="44"/>
      <c r="R49" s="44"/>
    </row>
    <row r="50" spans="1:18" ht="21" customHeight="1" x14ac:dyDescent="0.15">
      <c r="A50" s="36" t="str">
        <f t="shared" si="0"/>
        <v>41015008_41015033</v>
      </c>
      <c r="B50" s="44">
        <v>41015008</v>
      </c>
      <c r="C50" s="44">
        <v>41015033</v>
      </c>
      <c r="D50" s="43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パーシ、まだ揺れてるのか？</v>
      </c>
      <c r="E50" s="43" t="str">
        <f ca="1">VLOOKUP($C50,OFFSET(enemy_skills!$A$1,0,0,COUNTA(enemy_skills!$A:$A),MATCH(E$1,enemy_skills!$1:$1,0)-MATCH("enemy_skill_id",enemy_skills!$1:$1,0)+1),MATCH(E$1,enemy_skills!$1:$1,0)-MATCH("enemy_skill_id",enemy_skills!$1:$1,0)+1,FALSE)</f>
        <v>それがキミの弱さだって…知ってるはずだぜ</v>
      </c>
      <c r="F50" s="44">
        <v>41015033</v>
      </c>
      <c r="G50" s="45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0" s="45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94</v>
      </c>
      <c r="I50" s="45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5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5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5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5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5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234</v>
      </c>
      <c r="O50" s="45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4"/>
      <c r="Q50" s="44"/>
      <c r="R50" s="44"/>
    </row>
    <row r="51" spans="1:18" ht="21" customHeight="1" x14ac:dyDescent="0.15">
      <c r="A51" s="36" t="str">
        <f t="shared" si="0"/>
        <v>41015008_41015089</v>
      </c>
      <c r="B51" s="195">
        <v>41015008</v>
      </c>
      <c r="C51" s="195">
        <v>41015089</v>
      </c>
      <c r="D51" s="43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パーシ、まだ揺れてるのか？</v>
      </c>
      <c r="E51" s="43" t="str">
        <f ca="1">VLOOKUP($C51,OFFSET(enemy_skills!$A$1,0,0,COUNTA(enemy_skills!$A:$A),MATCH(E$1,enemy_skills!$1:$1,0)-MATCH("enemy_skill_id",enemy_skills!$1:$1,0)+1),MATCH(E$1,enemy_skills!$1:$1,0)-MATCH("enemy_skill_id",enemy_skills!$1:$1,0)+1,FALSE)</f>
        <v>それがキミの弱さだって…知ってるはずだぜ</v>
      </c>
      <c r="F51" s="195">
        <v>41015089</v>
      </c>
      <c r="G51" s="45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1" s="45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94</v>
      </c>
      <c r="I51" s="45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5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5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5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5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5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233</v>
      </c>
      <c r="O51" s="45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4"/>
      <c r="Q51" s="44"/>
      <c r="R51" s="44"/>
    </row>
    <row r="52" spans="1:18" ht="21" customHeight="1" x14ac:dyDescent="0.15">
      <c r="A52" s="36" t="str">
        <f t="shared" si="0"/>
        <v>41015008_41015090</v>
      </c>
      <c r="B52" s="195">
        <v>41015008</v>
      </c>
      <c r="C52" s="195">
        <v>41015090</v>
      </c>
      <c r="D52" s="43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パーシ、まだ揺れてるのか？</v>
      </c>
      <c r="E52" s="43" t="str">
        <f ca="1">VLOOKUP($C52,OFFSET(enemy_skills!$A$1,0,0,COUNTA(enemy_skills!$A:$A),MATCH(E$1,enemy_skills!$1:$1,0)-MATCH("enemy_skill_id",enemy_skills!$1:$1,0)+1),MATCH(E$1,enemy_skills!$1:$1,0)-MATCH("enemy_skill_id",enemy_skills!$1:$1,0)+1,FALSE)</f>
        <v>それがキミの弱さだって…知ってるはずだぜ</v>
      </c>
      <c r="F52" s="195">
        <v>41015090</v>
      </c>
      <c r="G52" s="45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2" s="45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94</v>
      </c>
      <c r="I52" s="45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5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5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5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5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5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232</v>
      </c>
      <c r="O52" s="45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4"/>
      <c r="Q52" s="44"/>
      <c r="R52" s="44"/>
    </row>
    <row r="53" spans="1:18" ht="21" customHeight="1" x14ac:dyDescent="0.15">
      <c r="A53" s="36" t="str">
        <f t="shared" si="0"/>
        <v>41015008_41015034</v>
      </c>
      <c r="B53" s="44">
        <v>41015008</v>
      </c>
      <c r="C53" s="44">
        <v>41015034</v>
      </c>
      <c r="D53" s="43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へぇ…ライオネル…</v>
      </c>
      <c r="E53" s="43" t="str">
        <f ca="1">VLOOKUP($C53,OFFSET(enemy_skills!$A$1,0,0,COUNTA(enemy_skills!$A:$A),MATCH(E$1,enemy_skills!$1:$1,0)-MATCH("enemy_skill_id",enemy_skills!$1:$1,0)+1),MATCH(E$1,enemy_skills!$1:$1,0)-MATCH("enemy_skill_id",enemy_skills!$1:$1,0)+1,FALSE)</f>
        <v>やっぱりキミの覚悟はその程度だったか</v>
      </c>
      <c r="F53" s="44">
        <v>41015034</v>
      </c>
      <c r="G53" s="45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3" s="45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93</v>
      </c>
      <c r="I53" s="45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5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5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5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5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5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765</v>
      </c>
      <c r="O53" s="45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4"/>
      <c r="Q53" s="44"/>
      <c r="R53" s="44"/>
    </row>
    <row r="54" spans="1:18" ht="21" customHeight="1" x14ac:dyDescent="0.15">
      <c r="A54" s="36" t="str">
        <f t="shared" si="0"/>
        <v>41015008_41015091</v>
      </c>
      <c r="B54" s="195">
        <v>41015008</v>
      </c>
      <c r="C54" s="195">
        <v>41015091</v>
      </c>
      <c r="D54" s="43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へぇ…ライオネル…</v>
      </c>
      <c r="E54" s="43" t="str">
        <f ca="1">VLOOKUP($C54,OFFSET(enemy_skills!$A$1,0,0,COUNTA(enemy_skills!$A:$A),MATCH(E$1,enemy_skills!$1:$1,0)-MATCH("enemy_skill_id",enemy_skills!$1:$1,0)+1),MATCH(E$1,enemy_skills!$1:$1,0)-MATCH("enemy_skill_id",enemy_skills!$1:$1,0)+1,FALSE)</f>
        <v>やっぱりキミの覚悟はその程度だったか</v>
      </c>
      <c r="F54" s="195">
        <v>41015091</v>
      </c>
      <c r="G54" s="45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4" s="45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93</v>
      </c>
      <c r="I54" s="45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5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5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5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45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5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764</v>
      </c>
      <c r="O54" s="45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4"/>
      <c r="Q54" s="44"/>
      <c r="R54" s="44"/>
    </row>
    <row r="55" spans="1:18" ht="21" customHeight="1" x14ac:dyDescent="0.15">
      <c r="A55" s="36" t="str">
        <f t="shared" si="0"/>
        <v>41015008_41015035</v>
      </c>
      <c r="B55" s="44">
        <v>41015008</v>
      </c>
      <c r="C55" s="44">
        <v>41015035</v>
      </c>
      <c r="D55" s="43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デスクリーブ</v>
      </c>
      <c r="E55" s="43" t="str">
        <f ca="1">VLOOKUP($C55,OFFSET(enemy_skills!$A$1,0,0,COUNTA(enemy_skills!$A:$A),MATCH(E$1,enemy_skills!$1:$1,0)-MATCH("enemy_skill_id",enemy_skills!$1:$1,0)+1),MATCH(E$1,enemy_skills!$1:$1,0)-MATCH("enemy_skill_id",enemy_skills!$1:$1,0)+1,FALSE)</f>
        <v>3ターンウィルス＋攻撃</v>
      </c>
      <c r="F55" s="44">
        <v>41015035</v>
      </c>
      <c r="G55" s="45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5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55" s="45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5" s="45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5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5" t="str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5" s="45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5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5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5" s="44"/>
      <c r="Q55" s="44"/>
      <c r="R55" s="44"/>
    </row>
    <row r="56" spans="1:18" ht="21" customHeight="1" x14ac:dyDescent="0.15">
      <c r="A56" s="36" t="str">
        <f t="shared" si="0"/>
        <v>41015008_41015036</v>
      </c>
      <c r="B56" s="44">
        <v>41015008</v>
      </c>
      <c r="C56" s="44">
        <v>41015036</v>
      </c>
      <c r="D56" s="43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サイクロンソード</v>
      </c>
      <c r="E56" s="43" t="str">
        <f ca="1">VLOOKUP($C56,OFFSET(enemy_skills!$A$1,0,0,COUNTA(enemy_skills!$A:$A),MATCH(E$1,enemy_skills!$1:$1,0)-MATCH("enemy_skill_id",enemy_skills!$1:$1,0)+1),MATCH(E$1,enemy_skills!$1:$1,0)-MATCH("enemy_skill_id",enemy_skills!$1:$1,0)+1,FALSE)</f>
        <v>全体攻撃</v>
      </c>
      <c r="F56" s="44">
        <v>41015036</v>
      </c>
      <c r="G56" s="45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5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24</v>
      </c>
      <c r="I56" s="45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5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5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5" t="str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6" s="45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5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5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4"/>
      <c r="Q56" s="44"/>
      <c r="R56" s="44"/>
    </row>
    <row r="57" spans="1:18" ht="21" customHeight="1" x14ac:dyDescent="0.15">
      <c r="A57" s="36" t="str">
        <f t="shared" si="0"/>
        <v>41015008_41015037</v>
      </c>
      <c r="B57" s="44">
        <v>41015008</v>
      </c>
      <c r="C57" s="44">
        <v>41015037</v>
      </c>
      <c r="D57" s="43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シューティングスター</v>
      </c>
      <c r="E57" s="43" t="str">
        <f ca="1">VLOOKUP($C57,OFFSET(enemy_skills!$A$1,0,0,COUNTA(enemy_skills!$A:$A),MATCH(E$1,enemy_skills!$1:$1,0)-MATCH("enemy_skill_id",enemy_skills!$1:$1,0)+1),MATCH(E$1,enemy_skills!$1:$1,0)-MATCH("enemy_skill_id",enemy_skills!$1:$1,0)+1,FALSE)</f>
        <v>種族ドラゴンのユニットに大ダメージ</v>
      </c>
      <c r="F57" s="44">
        <v>41015037</v>
      </c>
      <c r="G57" s="45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5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57" s="45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5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5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5" t="str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7" s="45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57" s="45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5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4"/>
      <c r="Q57" s="44"/>
      <c r="R57" s="44"/>
    </row>
    <row r="58" spans="1:18" ht="21" customHeight="1" x14ac:dyDescent="0.15">
      <c r="A58" s="36" t="str">
        <f t="shared" si="0"/>
        <v>41015008_41015038</v>
      </c>
      <c r="B58" s="44">
        <v>41015008</v>
      </c>
      <c r="C58" s="44">
        <v>41015038</v>
      </c>
      <c r="D58" s="43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ブリリアント</v>
      </c>
      <c r="E58" s="43" t="str">
        <f ca="1">VLOOKUP($C58,OFFSET(enemy_skills!$A$1,0,0,COUNTA(enemy_skills!$A:$A),MATCH(E$1,enemy_skills!$1:$1,0)-MATCH("enemy_skill_id",enemy_skills!$1:$1,0)+1),MATCH(E$1,enemy_skills!$1:$1,0)-MATCH("enemy_skill_id",enemy_skills!$1:$1,0)+1,FALSE)</f>
        <v>5ターン自身の攻撃力をUP</v>
      </c>
      <c r="F58" s="44">
        <v>41015038</v>
      </c>
      <c r="G58" s="45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5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58" s="45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5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5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58" s="45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45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8" s="45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5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4"/>
      <c r="Q58" s="44"/>
      <c r="R58" s="44"/>
    </row>
    <row r="59" spans="1:18" ht="21" customHeight="1" x14ac:dyDescent="0.15">
      <c r="A59" s="36" t="str">
        <f t="shared" si="0"/>
        <v>41015008_41015039</v>
      </c>
      <c r="B59" s="44">
        <v>41015008</v>
      </c>
      <c r="C59" s="44">
        <v>41015039</v>
      </c>
      <c r="D59" s="43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クラッシュフォール</v>
      </c>
      <c r="E59" s="43" t="str">
        <f ca="1">VLOOKUP($C59,OFFSET(enemy_skills!$A$1,0,0,COUNTA(enemy_skills!$A:$A),MATCH(E$1,enemy_skills!$1:$1,0)-MATCH("enemy_skill_id",enemy_skills!$1:$1,0)+1),MATCH(E$1,enemy_skills!$1:$1,0)-MATCH("enemy_skill_id",enemy_skills!$1:$1,0)+1,FALSE)</f>
        <v>10ターンCパネル生成激烈延長</v>
      </c>
      <c r="F59" s="44">
        <v>41015039</v>
      </c>
      <c r="G59" s="45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5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35</v>
      </c>
      <c r="I59" s="45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5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59" s="45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5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45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9" s="45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5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4"/>
      <c r="Q59" s="44"/>
      <c r="R59" s="44"/>
    </row>
    <row r="60" spans="1:18" ht="21" customHeight="1" x14ac:dyDescent="0.15">
      <c r="A60" s="36" t="str">
        <f t="shared" si="0"/>
        <v>41015009_41015040</v>
      </c>
      <c r="B60" s="196">
        <v>41015009</v>
      </c>
      <c r="C60" s="196">
        <v>41015040</v>
      </c>
      <c r="D60" s="43" t="str">
        <f ca="1">VLOOKUP($C60,OFFSET(enemy_skills!$A$1,0,0,COUNTA(enemy_skills!$A:$A),MATCH(D$1,enemy_skills!$1:$1,0)-MATCH("enemy_skill_id",enemy_skills!$1:$1,0)+1),MATCH(D$1,enemy_skills!$1:$1,0)-MATCH("enemy_skill_id",enemy_skills!$1:$1,0)+1,FALSE)</f>
        <v>不義の輩を排除すること</v>
      </c>
      <c r="E60" s="43" t="str">
        <f ca="1">VLOOKUP($C60,OFFSET(enemy_skills!$A$1,0,0,COUNTA(enemy_skills!$A:$A),MATCH(E$1,enemy_skills!$1:$1,0)-MATCH("enemy_skill_id",enemy_skills!$1:$1,0)+1),MATCH(E$1,enemy_skills!$1:$1,0)-MATCH("enemy_skill_id",enemy_skills!$1:$1,0)+1,FALSE)</f>
        <v>それが正義に属する者の使命だ</v>
      </c>
      <c r="F60" s="44">
        <v>41015040</v>
      </c>
      <c r="G60" s="45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0" s="45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60" s="45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5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5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5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45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45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45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4"/>
      <c r="Q60" s="44"/>
      <c r="R60" s="44"/>
    </row>
    <row r="61" spans="1:18" ht="21" customHeight="1" x14ac:dyDescent="0.15">
      <c r="A61" s="36" t="str">
        <f t="shared" ref="A61" si="6">B61&amp;"_"&amp;C61</f>
        <v>41015009_41015117</v>
      </c>
      <c r="B61" s="196">
        <v>41015009</v>
      </c>
      <c r="C61" s="196">
        <v>41015117</v>
      </c>
      <c r="D61" s="43" t="str">
        <f ca="1">VLOOKUP($C61,OFFSET(enemy_skills!$A$1,0,0,COUNTA(enemy_skills!$A:$A),MATCH(D$1,enemy_skills!$1:$1,0)-MATCH("enemy_skill_id",enemy_skills!$1:$1,0)+1),MATCH(D$1,enemy_skills!$1:$1,0)-MATCH("enemy_skill_id",enemy_skills!$1:$1,0)+1,FALSE)</f>
        <v>…キミのそういう所が好きだよ</v>
      </c>
      <c r="E61" s="43" t="str">
        <f ca="1">VLOOKUP($C61,OFFSET(enemy_skills!$A$1,0,0,COUNTA(enemy_skills!$A:$A),MATCH(E$1,enemy_skills!$1:$1,0)-MATCH("enemy_skill_id",enemy_skills!$1:$1,0)+1),MATCH(E$1,enemy_skills!$1:$1,0)-MATCH("enemy_skill_id",enemy_skills!$1:$1,0)+1,FALSE)</f>
        <v>だからこそ…僕はキミの刃になると決めたんだ</v>
      </c>
      <c r="F61" s="44">
        <v>41015114</v>
      </c>
      <c r="G61" s="45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1" s="45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61" s="45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5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5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5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1" s="45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45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820</v>
      </c>
      <c r="O61" s="45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4"/>
      <c r="Q61" s="44"/>
      <c r="R61" s="44"/>
    </row>
    <row r="62" spans="1:18" ht="21" customHeight="1" x14ac:dyDescent="0.15">
      <c r="A62" s="36" t="str">
        <f t="shared" si="0"/>
        <v>41015009_41015041</v>
      </c>
      <c r="B62" s="195">
        <v>41015009</v>
      </c>
      <c r="C62" s="195">
        <v>41015041</v>
      </c>
      <c r="D62" s="43" t="str">
        <f ca="1">VLOOKUP($C62,OFFSET(enemy_skills!$A$1,0,0,COUNTA(enemy_skills!$A:$A),MATCH(D$1,enemy_skills!$1:$1,0)-MATCH("enemy_skill_id",enemy_skills!$1:$1,0)+1),MATCH(D$1,enemy_skills!$1:$1,0)-MATCH("enemy_skill_id",enemy_skills!$1:$1,0)+1,FALSE)</f>
        <v>…キミのそういう所が好きだよ</v>
      </c>
      <c r="E62" s="43" t="str">
        <f ca="1">VLOOKUP($C62,OFFSET(enemy_skills!$A$1,0,0,COUNTA(enemy_skills!$A:$A),MATCH(E$1,enemy_skills!$1:$1,0)-MATCH("enemy_skill_id",enemy_skills!$1:$1,0)+1),MATCH(E$1,enemy_skills!$1:$1,0)-MATCH("enemy_skill_id",enemy_skills!$1:$1,0)+1,FALSE)</f>
        <v>だからこそ…僕はキミの刃になると決めたんだ</v>
      </c>
      <c r="F62" s="195">
        <v>41015041</v>
      </c>
      <c r="G62" s="45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2" s="45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62" s="45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5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5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5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2" s="45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5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473</v>
      </c>
      <c r="O62" s="45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4"/>
      <c r="Q62" s="44"/>
      <c r="R62" s="44"/>
    </row>
    <row r="63" spans="1:18" ht="21" customHeight="1" x14ac:dyDescent="0.15">
      <c r="A63" s="36" t="str">
        <f t="shared" si="0"/>
        <v>41015009_41015092</v>
      </c>
      <c r="B63" s="195">
        <v>41015009</v>
      </c>
      <c r="C63" s="195">
        <v>41015092</v>
      </c>
      <c r="D63" s="43" t="str">
        <f ca="1">VLOOKUP($C63,OFFSET(enemy_skills!$A$1,0,0,COUNTA(enemy_skills!$A:$A),MATCH(D$1,enemy_skills!$1:$1,0)-MATCH("enemy_skill_id",enemy_skills!$1:$1,0)+1),MATCH(D$1,enemy_skills!$1:$1,0)-MATCH("enemy_skill_id",enemy_skills!$1:$1,0)+1,FALSE)</f>
        <v>…キミのそういう所が好きだよ</v>
      </c>
      <c r="E63" s="43" t="str">
        <f ca="1">VLOOKUP($C63,OFFSET(enemy_skills!$A$1,0,0,COUNTA(enemy_skills!$A:$A),MATCH(E$1,enemy_skills!$1:$1,0)-MATCH("enemy_skill_id",enemy_skills!$1:$1,0)+1),MATCH(E$1,enemy_skills!$1:$1,0)-MATCH("enemy_skill_id",enemy_skills!$1:$1,0)+1,FALSE)</f>
        <v>だからこそ…僕はキミの刃になると決めたんだ</v>
      </c>
      <c r="F63" s="195">
        <v>41015092</v>
      </c>
      <c r="G63" s="45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3" s="45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63" s="45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5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5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5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" s="45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5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472</v>
      </c>
      <c r="O63" s="45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4"/>
      <c r="Q63" s="44"/>
      <c r="R63" s="44"/>
    </row>
    <row r="64" spans="1:18" ht="21" customHeight="1" x14ac:dyDescent="0.15">
      <c r="A64" s="36" t="str">
        <f t="shared" ref="A64" si="7">B64&amp;"_"&amp;C64</f>
        <v>41015009_41015118</v>
      </c>
      <c r="B64" s="196">
        <v>41015009</v>
      </c>
      <c r="C64" s="196">
        <v>41015118</v>
      </c>
      <c r="D64" s="43" t="str">
        <f ca="1">VLOOKUP($C64,OFFSET(enemy_skills!$A$1,0,0,COUNTA(enemy_skills!$A:$A),MATCH(D$1,enemy_skills!$1:$1,0)-MATCH("enemy_skill_id",enemy_skills!$1:$1,0)+1),MATCH(D$1,enemy_skills!$1:$1,0)-MATCH("enemy_skill_id",enemy_skills!$1:$1,0)+1,FALSE)</f>
        <v>正直、僕は幻滅している</v>
      </c>
      <c r="E64" s="43" t="str">
        <f ca="1">VLOOKUP($C64,OFFSET(enemy_skills!$A$1,0,0,COUNTA(enemy_skills!$A:$A),MATCH(E$1,enemy_skills!$1:$1,0)-MATCH("enemy_skill_id",enemy_skills!$1:$1,0)+1),MATCH(E$1,enemy_skills!$1:$1,0)-MATCH("enemy_skill_id",enemy_skills!$1:$1,0)+1,FALSE)</f>
        <v>キミが一番　彼の信頼を得ていたのに…！</v>
      </c>
      <c r="F64" s="44">
        <v>41015115</v>
      </c>
      <c r="G64" s="45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4" s="45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64" s="45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5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5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5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45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5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839</v>
      </c>
      <c r="O64" s="45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4"/>
      <c r="Q64" s="44"/>
      <c r="R64" s="44"/>
    </row>
    <row r="65" spans="1:18" ht="21" customHeight="1" x14ac:dyDescent="0.15">
      <c r="A65" s="36" t="str">
        <f t="shared" si="0"/>
        <v>41015009_41015042</v>
      </c>
      <c r="B65" s="195">
        <v>41015009</v>
      </c>
      <c r="C65" s="195">
        <v>41015042</v>
      </c>
      <c r="D65" s="43" t="str">
        <f ca="1">VLOOKUP($C65,OFFSET(enemy_skills!$A$1,0,0,COUNTA(enemy_skills!$A:$A),MATCH(D$1,enemy_skills!$1:$1,0)-MATCH("enemy_skill_id",enemy_skills!$1:$1,0)+1),MATCH(D$1,enemy_skills!$1:$1,0)-MATCH("enemy_skill_id",enemy_skills!$1:$1,0)+1,FALSE)</f>
        <v>正直、僕は幻滅している</v>
      </c>
      <c r="E65" s="43" t="str">
        <f ca="1">VLOOKUP($C65,OFFSET(enemy_skills!$A$1,0,0,COUNTA(enemy_skills!$A:$A),MATCH(E$1,enemy_skills!$1:$1,0)-MATCH("enemy_skill_id",enemy_skills!$1:$1,0)+1),MATCH(E$1,enemy_skills!$1:$1,0)-MATCH("enemy_skill_id",enemy_skills!$1:$1,0)+1,FALSE)</f>
        <v>キミが一番　彼の信頼を得ていたのに…！</v>
      </c>
      <c r="F65" s="195">
        <v>41015042</v>
      </c>
      <c r="G65" s="45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5" s="45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65" s="45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5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5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5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" s="45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45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466</v>
      </c>
      <c r="O65" s="45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4"/>
      <c r="Q65" s="44"/>
      <c r="R65" s="44"/>
    </row>
    <row r="66" spans="1:18" ht="21" customHeight="1" x14ac:dyDescent="0.15">
      <c r="A66" s="36" t="str">
        <f t="shared" si="0"/>
        <v>41015009_41015093</v>
      </c>
      <c r="B66" s="195">
        <v>41015009</v>
      </c>
      <c r="C66" s="195">
        <v>41015093</v>
      </c>
      <c r="D66" s="43" t="str">
        <f ca="1">VLOOKUP($C66,OFFSET(enemy_skills!$A$1,0,0,COUNTA(enemy_skills!$A:$A),MATCH(D$1,enemy_skills!$1:$1,0)-MATCH("enemy_skill_id",enemy_skills!$1:$1,0)+1),MATCH(D$1,enemy_skills!$1:$1,0)-MATCH("enemy_skill_id",enemy_skills!$1:$1,0)+1,FALSE)</f>
        <v>正直、僕は幻滅している</v>
      </c>
      <c r="E66" s="43" t="str">
        <f ca="1">VLOOKUP($C66,OFFSET(enemy_skills!$A$1,0,0,COUNTA(enemy_skills!$A:$A),MATCH(E$1,enemy_skills!$1:$1,0)-MATCH("enemy_skill_id",enemy_skills!$1:$1,0)+1),MATCH(E$1,enemy_skills!$1:$1,0)-MATCH("enemy_skill_id",enemy_skills!$1:$1,0)+1,FALSE)</f>
        <v>キミが一番　彼の信頼を得ていたのに…！</v>
      </c>
      <c r="F66" s="195">
        <v>41015093</v>
      </c>
      <c r="G66" s="45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6" s="45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66" s="45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5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5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5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45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45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465</v>
      </c>
      <c r="O66" s="45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4"/>
      <c r="Q66" s="44"/>
      <c r="R66" s="44"/>
    </row>
    <row r="67" spans="1:18" ht="21" customHeight="1" x14ac:dyDescent="0.15">
      <c r="A67" s="36" t="str">
        <f t="shared" ref="A67" si="8">B67&amp;"_"&amp;C67</f>
        <v>41015009_41015043</v>
      </c>
      <c r="B67" s="196">
        <v>41015009</v>
      </c>
      <c r="C67" s="196">
        <v>41015043</v>
      </c>
      <c r="D67" s="43" t="str">
        <f ca="1">VLOOKUP($C67,OFFSET(enemy_skills!$A$1,0,0,COUNTA(enemy_skills!$A:$A),MATCH(D$1,enemy_skills!$1:$1,0)-MATCH("enemy_skill_id",enemy_skills!$1:$1,0)+1),MATCH(D$1,enemy_skills!$1:$1,0)-MATCH("enemy_skill_id",enemy_skills!$1:$1,0)+1,FALSE)</f>
        <v>違う…彼は何も変わってない</v>
      </c>
      <c r="E67" s="43" t="str">
        <f ca="1">VLOOKUP($C67,OFFSET(enemy_skills!$A$1,0,0,COUNTA(enemy_skills!$A:$A),MATCH(E$1,enemy_skills!$1:$1,0)-MATCH("enemy_skill_id",enemy_skills!$1:$1,0)+1),MATCH(E$1,enemy_skills!$1:$1,0)-MATCH("enemy_skill_id",enemy_skills!$1:$1,0)+1,FALSE)</f>
        <v>変わったのは　キミの志のほうだ…！</v>
      </c>
      <c r="F67" s="44">
        <v>41015116</v>
      </c>
      <c r="G67" s="45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7" s="45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67" s="45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5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5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5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" s="45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45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819</v>
      </c>
      <c r="O67" s="45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4"/>
      <c r="Q67" s="44"/>
      <c r="R67" s="44"/>
    </row>
    <row r="68" spans="1:18" ht="21" customHeight="1" x14ac:dyDescent="0.15">
      <c r="A68" s="36" t="str">
        <f t="shared" si="0"/>
        <v>41015009_41015043</v>
      </c>
      <c r="B68" s="195">
        <v>41015009</v>
      </c>
      <c r="C68" s="195">
        <v>41015043</v>
      </c>
      <c r="D68" s="43" t="str">
        <f ca="1">VLOOKUP($C68,OFFSET(enemy_skills!$A$1,0,0,COUNTA(enemy_skills!$A:$A),MATCH(D$1,enemy_skills!$1:$1,0)-MATCH("enemy_skill_id",enemy_skills!$1:$1,0)+1),MATCH(D$1,enemy_skills!$1:$1,0)-MATCH("enemy_skill_id",enemy_skills!$1:$1,0)+1,FALSE)</f>
        <v>違う…彼は何も変わってない</v>
      </c>
      <c r="E68" s="43" t="str">
        <f ca="1">VLOOKUP($C68,OFFSET(enemy_skills!$A$1,0,0,COUNTA(enemy_skills!$A:$A),MATCH(E$1,enemy_skills!$1:$1,0)-MATCH("enemy_skill_id",enemy_skills!$1:$1,0)+1),MATCH(E$1,enemy_skills!$1:$1,0)-MATCH("enemy_skill_id",enemy_skills!$1:$1,0)+1,FALSE)</f>
        <v>変わったのは　キミの志のほうだ…！</v>
      </c>
      <c r="F68" s="195">
        <v>41015043</v>
      </c>
      <c r="G68" s="45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8" s="45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68" s="45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5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5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5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" s="45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45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468</v>
      </c>
      <c r="O68" s="45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4"/>
      <c r="Q68" s="44"/>
      <c r="R68" s="44"/>
    </row>
    <row r="69" spans="1:18" ht="21" customHeight="1" x14ac:dyDescent="0.15">
      <c r="A69" s="36" t="str">
        <f t="shared" si="0"/>
        <v>41015009_41015094</v>
      </c>
      <c r="B69" s="195">
        <v>41015009</v>
      </c>
      <c r="C69" s="195">
        <v>41015094</v>
      </c>
      <c r="D69" s="43" t="str">
        <f ca="1">VLOOKUP($C69,OFFSET(enemy_skills!$A$1,0,0,COUNTA(enemy_skills!$A:$A),MATCH(D$1,enemy_skills!$1:$1,0)-MATCH("enemy_skill_id",enemy_skills!$1:$1,0)+1),MATCH(D$1,enemy_skills!$1:$1,0)-MATCH("enemy_skill_id",enemy_skills!$1:$1,0)+1,FALSE)</f>
        <v>違う…彼は何も変わってない</v>
      </c>
      <c r="E69" s="43" t="str">
        <f ca="1">VLOOKUP($C69,OFFSET(enemy_skills!$A$1,0,0,COUNTA(enemy_skills!$A:$A),MATCH(E$1,enemy_skills!$1:$1,0)-MATCH("enemy_skill_id",enemy_skills!$1:$1,0)+1),MATCH(E$1,enemy_skills!$1:$1,0)-MATCH("enemy_skill_id",enemy_skills!$1:$1,0)+1,FALSE)</f>
        <v>変わったのは　キミの志のほうだ…！</v>
      </c>
      <c r="F69" s="195">
        <v>41015094</v>
      </c>
      <c r="G69" s="45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9" s="45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69" s="45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5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5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5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9" s="45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45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467</v>
      </c>
      <c r="O69" s="45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4"/>
      <c r="Q69" s="44"/>
      <c r="R69" s="44"/>
    </row>
    <row r="70" spans="1:18" ht="21" customHeight="1" x14ac:dyDescent="0.15">
      <c r="A70" s="36" t="str">
        <f t="shared" si="0"/>
        <v>41015009_41015044</v>
      </c>
      <c r="B70" s="196">
        <v>41015009</v>
      </c>
      <c r="C70" s="196">
        <v>41015044</v>
      </c>
      <c r="D70" s="43" t="str">
        <f ca="1">VLOOKUP($C70,OFFSET(enemy_skills!$A$1,0,0,COUNTA(enemy_skills!$A:$A),MATCH(D$1,enemy_skills!$1:$1,0)-MATCH("enemy_skill_id",enemy_skills!$1:$1,0)+1),MATCH(D$1,enemy_skills!$1:$1,0)-MATCH("enemy_skill_id",enemy_skills!$1:$1,0)+1,FALSE)</f>
        <v>貴方も分かっているはずだ</v>
      </c>
      <c r="E70" s="43" t="str">
        <f ca="1">VLOOKUP($C70,OFFSET(enemy_skills!$A$1,0,0,COUNTA(enemy_skills!$A:$A),MATCH(E$1,enemy_skills!$1:$1,0)-MATCH("enemy_skill_id",enemy_skills!$1:$1,0)+1),MATCH(E$1,enemy_skills!$1:$1,0)-MATCH("enemy_skill_id",enemy_skills!$1:$1,0)+1,FALSE)</f>
        <v>理想のため　誰かが動かねばならないと！</v>
      </c>
      <c r="F70" s="44">
        <v>41015044</v>
      </c>
      <c r="G70" s="45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0" s="45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70" s="45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5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5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5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0" s="45" t="str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" s="45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464</v>
      </c>
      <c r="O70" s="45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4"/>
      <c r="Q70" s="44"/>
      <c r="R70" s="44"/>
    </row>
    <row r="71" spans="1:18" ht="21" customHeight="1" x14ac:dyDescent="0.15">
      <c r="A71" s="36" t="str">
        <f t="shared" si="0"/>
        <v>41015009_41015095</v>
      </c>
      <c r="B71" s="195">
        <v>41015009</v>
      </c>
      <c r="C71" s="195">
        <v>41015095</v>
      </c>
      <c r="D71" s="43" t="str">
        <f ca="1">VLOOKUP($C71,OFFSET(enemy_skills!$A$1,0,0,COUNTA(enemy_skills!$A:$A),MATCH(D$1,enemy_skills!$1:$1,0)-MATCH("enemy_skill_id",enemy_skills!$1:$1,0)+1),MATCH(D$1,enemy_skills!$1:$1,0)-MATCH("enemy_skill_id",enemy_skills!$1:$1,0)+1,FALSE)</f>
        <v>貴方も分かっているはずだ</v>
      </c>
      <c r="E71" s="43" t="str">
        <f ca="1">VLOOKUP($C71,OFFSET(enemy_skills!$A$1,0,0,COUNTA(enemy_skills!$A:$A),MATCH(E$1,enemy_skills!$1:$1,0)-MATCH("enemy_skill_id",enemy_skills!$1:$1,0)+1),MATCH(E$1,enemy_skills!$1:$1,0)-MATCH("enemy_skill_id",enemy_skills!$1:$1,0)+1,FALSE)</f>
        <v>理想のため　誰かが動かねばならないと！</v>
      </c>
      <c r="F71" s="195">
        <v>41015095</v>
      </c>
      <c r="G71" s="45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1" s="45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71" s="45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5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45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5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1" s="45" t="str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" s="45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463</v>
      </c>
      <c r="O71" s="45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4"/>
      <c r="Q71" s="44"/>
      <c r="R71" s="44"/>
    </row>
    <row r="72" spans="1:18" ht="21" customHeight="1" x14ac:dyDescent="0.15">
      <c r="A72" s="36" t="str">
        <f t="shared" si="0"/>
        <v>41015009_41015096</v>
      </c>
      <c r="B72" s="195">
        <v>41015009</v>
      </c>
      <c r="C72" s="195">
        <v>41015096</v>
      </c>
      <c r="D72" s="43" t="str">
        <f ca="1">VLOOKUP($C72,OFFSET(enemy_skills!$A$1,0,0,COUNTA(enemy_skills!$A:$A),MATCH(D$1,enemy_skills!$1:$1,0)-MATCH("enemy_skill_id",enemy_skills!$1:$1,0)+1),MATCH(D$1,enemy_skills!$1:$1,0)-MATCH("enemy_skill_id",enemy_skills!$1:$1,0)+1,FALSE)</f>
        <v>貴方も分かっているはずだ</v>
      </c>
      <c r="E72" s="43" t="str">
        <f ca="1">VLOOKUP($C72,OFFSET(enemy_skills!$A$1,0,0,COUNTA(enemy_skills!$A:$A),MATCH(E$1,enemy_skills!$1:$1,0)-MATCH("enemy_skill_id",enemy_skills!$1:$1,0)+1),MATCH(E$1,enemy_skills!$1:$1,0)-MATCH("enemy_skill_id",enemy_skills!$1:$1,0)+1,FALSE)</f>
        <v>理想のため　誰かが動かねばならないと！</v>
      </c>
      <c r="F72" s="195">
        <v>41015096</v>
      </c>
      <c r="G72" s="45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2" s="45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72" s="45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5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45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5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" s="45" t="str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" s="45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462</v>
      </c>
      <c r="O72" s="45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4"/>
      <c r="Q72" s="44"/>
      <c r="R72" s="44"/>
    </row>
    <row r="73" spans="1:18" ht="21" customHeight="1" x14ac:dyDescent="0.15">
      <c r="A73" s="36" t="str">
        <f t="shared" ref="A73:A119" si="9">B73&amp;"_"&amp;C73</f>
        <v>41015009_41015045</v>
      </c>
      <c r="B73" s="196">
        <v>41015009</v>
      </c>
      <c r="C73" s="196">
        <v>41015045</v>
      </c>
      <c r="D73" s="43" t="str">
        <f ca="1">VLOOKUP($C73,OFFSET(enemy_skills!$A$1,0,0,COUNTA(enemy_skills!$A:$A),MATCH(D$1,enemy_skills!$1:$1,0)-MATCH("enemy_skill_id",enemy_skills!$1:$1,0)+1),MATCH(D$1,enemy_skills!$1:$1,0)-MATCH("enemy_skill_id",enemy_skills!$1:$1,0)+1,FALSE)</f>
        <v>どうした…なぜ帰らない？</v>
      </c>
      <c r="E73" s="43" t="str">
        <f ca="1">VLOOKUP($C73,OFFSET(enemy_skills!$A$1,0,0,COUNTA(enemy_skills!$A:$A),MATCH(E$1,enemy_skills!$1:$1,0)-MATCH("enemy_skill_id",enemy_skills!$1:$1,0)+1),MATCH(E$1,enemy_skills!$1:$1,0)-MATCH("enemy_skill_id",enemy_skills!$1:$1,0)+1,FALSE)</f>
        <v>キミが僕を止める理由は無いはずだ</v>
      </c>
      <c r="F73" s="44">
        <v>41015045</v>
      </c>
      <c r="G73" s="45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3" s="45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73" s="45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5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5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5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3" s="45" t="str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" s="45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471</v>
      </c>
      <c r="O73" s="45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4"/>
      <c r="Q73" s="44"/>
      <c r="R73" s="44"/>
    </row>
    <row r="74" spans="1:18" ht="21" customHeight="1" x14ac:dyDescent="0.15">
      <c r="A74" s="36" t="str">
        <f t="shared" si="9"/>
        <v>41015009_41015097</v>
      </c>
      <c r="B74" s="195">
        <v>41015009</v>
      </c>
      <c r="C74" s="195">
        <v>41015097</v>
      </c>
      <c r="D74" s="43" t="str">
        <f ca="1">VLOOKUP($C74,OFFSET(enemy_skills!$A$1,0,0,COUNTA(enemy_skills!$A:$A),MATCH(D$1,enemy_skills!$1:$1,0)-MATCH("enemy_skill_id",enemy_skills!$1:$1,0)+1),MATCH(D$1,enemy_skills!$1:$1,0)-MATCH("enemy_skill_id",enemy_skills!$1:$1,0)+1,FALSE)</f>
        <v>どうした…なぜ帰らない？</v>
      </c>
      <c r="E74" s="43" t="str">
        <f ca="1">VLOOKUP($C74,OFFSET(enemy_skills!$A$1,0,0,COUNTA(enemy_skills!$A:$A),MATCH(E$1,enemy_skills!$1:$1,0)-MATCH("enemy_skill_id",enemy_skills!$1:$1,0)+1),MATCH(E$1,enemy_skills!$1:$1,0)-MATCH("enemy_skill_id",enemy_skills!$1:$1,0)+1,FALSE)</f>
        <v>キミが僕を止める理由は無いはずだ</v>
      </c>
      <c r="F74" s="195">
        <v>41015097</v>
      </c>
      <c r="G74" s="45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4" s="45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74" s="45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5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5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5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4" s="45" t="str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4" s="45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470</v>
      </c>
      <c r="O74" s="45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4"/>
      <c r="Q74" s="44"/>
      <c r="R74" s="44"/>
    </row>
    <row r="75" spans="1:18" ht="21" customHeight="1" x14ac:dyDescent="0.15">
      <c r="A75" s="36" t="str">
        <f t="shared" si="9"/>
        <v>41015009_41015098</v>
      </c>
      <c r="B75" s="195">
        <v>41015009</v>
      </c>
      <c r="C75" s="195">
        <v>41015098</v>
      </c>
      <c r="D75" s="43" t="str">
        <f ca="1">VLOOKUP($C75,OFFSET(enemy_skills!$A$1,0,0,COUNTA(enemy_skills!$A:$A),MATCH(D$1,enemy_skills!$1:$1,0)-MATCH("enemy_skill_id",enemy_skills!$1:$1,0)+1),MATCH(D$1,enemy_skills!$1:$1,0)-MATCH("enemy_skill_id",enemy_skills!$1:$1,0)+1,FALSE)</f>
        <v>どうした…なぜ帰らない？</v>
      </c>
      <c r="E75" s="43" t="str">
        <f ca="1">VLOOKUP($C75,OFFSET(enemy_skills!$A$1,0,0,COUNTA(enemy_skills!$A:$A),MATCH(E$1,enemy_skills!$1:$1,0)-MATCH("enemy_skill_id",enemy_skills!$1:$1,0)+1),MATCH(E$1,enemy_skills!$1:$1,0)-MATCH("enemy_skill_id",enemy_skills!$1:$1,0)+1,FALSE)</f>
        <v>キミが僕を止める理由は無いはずだ</v>
      </c>
      <c r="F75" s="195">
        <v>41015098</v>
      </c>
      <c r="G75" s="45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5" s="45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75" s="45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5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45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5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5" s="45" t="str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5" s="45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469</v>
      </c>
      <c r="O75" s="45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4"/>
      <c r="Q75" s="44"/>
      <c r="R75" s="44"/>
    </row>
    <row r="76" spans="1:18" ht="21" customHeight="1" x14ac:dyDescent="0.15">
      <c r="A76" s="36" t="str">
        <f t="shared" si="9"/>
        <v>41015009_41015046</v>
      </c>
      <c r="B76" s="196">
        <v>41015009</v>
      </c>
      <c r="C76" s="196">
        <v>41015046</v>
      </c>
      <c r="D76" s="43" t="str">
        <f ca="1">VLOOKUP($C76,OFFSET(enemy_skills!$A$1,0,0,COUNTA(enemy_skills!$A:$A),MATCH(D$1,enemy_skills!$1:$1,0)-MATCH("enemy_skill_id",enemy_skills!$1:$1,0)+1),MATCH(D$1,enemy_skills!$1:$1,0)-MATCH("enemy_skill_id",enemy_skills!$1:$1,0)+1,FALSE)</f>
        <v>悩みってヤツは2種類ある</v>
      </c>
      <c r="E76" s="43" t="str">
        <f ca="1">VLOOKUP($C76,OFFSET(enemy_skills!$A$1,0,0,COUNTA(enemy_skills!$A:$A),MATCH(E$1,enemy_skills!$1:$1,0)-MATCH("enemy_skill_id",enemy_skills!$1:$1,0)+1),MATCH(E$1,enemy_skills!$1:$1,0)-MATCH("enemy_skill_id",enemy_skills!$1:$1,0)+1,FALSE)</f>
        <v>キミのは　自分を誤魔化してるだけさ</v>
      </c>
      <c r="F76" s="44">
        <v>41015046</v>
      </c>
      <c r="G76" s="45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6" s="45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94</v>
      </c>
      <c r="I76" s="45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45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5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5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6" s="45" t="str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6" s="45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234</v>
      </c>
      <c r="O76" s="45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4"/>
      <c r="Q76" s="44"/>
      <c r="R76" s="44"/>
    </row>
    <row r="77" spans="1:18" ht="21" customHeight="1" x14ac:dyDescent="0.15">
      <c r="A77" s="36" t="str">
        <f t="shared" si="9"/>
        <v>41015009_41015099</v>
      </c>
      <c r="B77" s="195">
        <v>41015009</v>
      </c>
      <c r="C77" s="195">
        <v>41015099</v>
      </c>
      <c r="D77" s="43" t="str">
        <f ca="1">VLOOKUP($C77,OFFSET(enemy_skills!$A$1,0,0,COUNTA(enemy_skills!$A:$A),MATCH(D$1,enemy_skills!$1:$1,0)-MATCH("enemy_skill_id",enemy_skills!$1:$1,0)+1),MATCH(D$1,enemy_skills!$1:$1,0)-MATCH("enemy_skill_id",enemy_skills!$1:$1,0)+1,FALSE)</f>
        <v>悩みってヤツは2種類ある</v>
      </c>
      <c r="E77" s="43" t="str">
        <f ca="1">VLOOKUP($C77,OFFSET(enemy_skills!$A$1,0,0,COUNTA(enemy_skills!$A:$A),MATCH(E$1,enemy_skills!$1:$1,0)-MATCH("enemy_skill_id",enemy_skills!$1:$1,0)+1),MATCH(E$1,enemy_skills!$1:$1,0)-MATCH("enemy_skill_id",enemy_skills!$1:$1,0)+1,FALSE)</f>
        <v>キミのは　自分を誤魔化してるだけさ</v>
      </c>
      <c r="F77" s="195">
        <v>41015099</v>
      </c>
      <c r="G77" s="45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7" s="45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94</v>
      </c>
      <c r="I77" s="45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5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5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5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7" s="45" t="str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" s="45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233</v>
      </c>
      <c r="O77" s="45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4"/>
      <c r="Q77" s="44"/>
      <c r="R77" s="44"/>
    </row>
    <row r="78" spans="1:18" ht="21" customHeight="1" x14ac:dyDescent="0.15">
      <c r="A78" s="36" t="str">
        <f t="shared" si="9"/>
        <v>41015009_41015100</v>
      </c>
      <c r="B78" s="195">
        <v>41015009</v>
      </c>
      <c r="C78" s="195">
        <v>41015100</v>
      </c>
      <c r="D78" s="43" t="str">
        <f ca="1">VLOOKUP($C78,OFFSET(enemy_skills!$A$1,0,0,COUNTA(enemy_skills!$A:$A),MATCH(D$1,enemy_skills!$1:$1,0)-MATCH("enemy_skill_id",enemy_skills!$1:$1,0)+1),MATCH(D$1,enemy_skills!$1:$1,0)-MATCH("enemy_skill_id",enemy_skills!$1:$1,0)+1,FALSE)</f>
        <v>悩みってヤツは2種類ある</v>
      </c>
      <c r="E78" s="43" t="str">
        <f ca="1">VLOOKUP($C78,OFFSET(enemy_skills!$A$1,0,0,COUNTA(enemy_skills!$A:$A),MATCH(E$1,enemy_skills!$1:$1,0)-MATCH("enemy_skill_id",enemy_skills!$1:$1,0)+1),MATCH(E$1,enemy_skills!$1:$1,0)-MATCH("enemy_skill_id",enemy_skills!$1:$1,0)+1,FALSE)</f>
        <v>キミのは　自分を誤魔化してるだけさ</v>
      </c>
      <c r="F78" s="195">
        <v>41015100</v>
      </c>
      <c r="G78" s="45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8" s="45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94</v>
      </c>
      <c r="I78" s="45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45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45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5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8" s="45" t="str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8" s="45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232</v>
      </c>
      <c r="O78" s="45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4"/>
      <c r="Q78" s="44"/>
      <c r="R78" s="44"/>
    </row>
    <row r="79" spans="1:18" ht="21" customHeight="1" x14ac:dyDescent="0.15">
      <c r="A79" s="36" t="str">
        <f t="shared" si="9"/>
        <v>41015009_41015047</v>
      </c>
      <c r="B79" s="196">
        <v>41015009</v>
      </c>
      <c r="C79" s="196">
        <v>41015047</v>
      </c>
      <c r="D79" s="43" t="str">
        <f ca="1">VLOOKUP($C79,OFFSET(enemy_skills!$A$1,0,0,COUNTA(enemy_skills!$A:$A),MATCH(D$1,enemy_skills!$1:$1,0)-MATCH("enemy_skill_id",enemy_skills!$1:$1,0)+1),MATCH(D$1,enemy_skills!$1:$1,0)-MATCH("enemy_skill_id",enemy_skills!$1:$1,0)+1,FALSE)</f>
        <v>もう何を言っても無駄だ</v>
      </c>
      <c r="E79" s="43" t="str">
        <f ca="1">VLOOKUP($C79,OFFSET(enemy_skills!$A$1,0,0,COUNTA(enemy_skills!$A:$A),MATCH(E$1,enemy_skills!$1:$1,0)-MATCH("enemy_skill_id",enemy_skills!$1:$1,0)+1),MATCH(E$1,enemy_skills!$1:$1,0)-MATCH("enemy_skill_id",enemy_skills!$1:$1,0)+1,FALSE)</f>
        <v>意見がコロコロ変わるのに信用できねーよ</v>
      </c>
      <c r="F79" s="44">
        <v>41015047</v>
      </c>
      <c r="G79" s="45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9" s="45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93</v>
      </c>
      <c r="I79" s="45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45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45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5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9" s="45" t="str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9" s="45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765</v>
      </c>
      <c r="O79" s="45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44"/>
      <c r="Q79" s="44"/>
      <c r="R79" s="44"/>
    </row>
    <row r="80" spans="1:18" ht="21" customHeight="1" x14ac:dyDescent="0.15">
      <c r="A80" s="36" t="str">
        <f t="shared" si="9"/>
        <v>41015009_41015101</v>
      </c>
      <c r="B80" s="195">
        <v>41015009</v>
      </c>
      <c r="C80" s="195">
        <v>41015101</v>
      </c>
      <c r="D80" s="43" t="str">
        <f ca="1">VLOOKUP($C80,OFFSET(enemy_skills!$A$1,0,0,COUNTA(enemy_skills!$A:$A),MATCH(D$1,enemy_skills!$1:$1,0)-MATCH("enemy_skill_id",enemy_skills!$1:$1,0)+1),MATCH(D$1,enemy_skills!$1:$1,0)-MATCH("enemy_skill_id",enemy_skills!$1:$1,0)+1,FALSE)</f>
        <v>もう何を言っても無駄だ</v>
      </c>
      <c r="E80" s="43" t="str">
        <f ca="1">VLOOKUP($C80,OFFSET(enemy_skills!$A$1,0,0,COUNTA(enemy_skills!$A:$A),MATCH(E$1,enemy_skills!$1:$1,0)-MATCH("enemy_skill_id",enemy_skills!$1:$1,0)+1),MATCH(E$1,enemy_skills!$1:$1,0)-MATCH("enemy_skill_id",enemy_skills!$1:$1,0)+1,FALSE)</f>
        <v>意見がコロコロ変わるのに信用できねーよ</v>
      </c>
      <c r="F80" s="195">
        <v>41015101</v>
      </c>
      <c r="G80" s="45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0" s="45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93</v>
      </c>
      <c r="I80" s="45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45" t="str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0" s="45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5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0" s="45" t="str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0" s="45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764</v>
      </c>
      <c r="O80" s="45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44"/>
      <c r="Q80" s="44"/>
      <c r="R80" s="44"/>
    </row>
    <row r="81" spans="1:18" ht="21" customHeight="1" x14ac:dyDescent="0.15">
      <c r="A81" s="36" t="str">
        <f t="shared" si="9"/>
        <v>41015009_41015048</v>
      </c>
      <c r="B81" s="196">
        <v>41015009</v>
      </c>
      <c r="C81" s="196">
        <v>41015048</v>
      </c>
      <c r="D81" s="43" t="str">
        <f ca="1">VLOOKUP($C81,OFFSET(enemy_skills!$A$1,0,0,COUNTA(enemy_skills!$A:$A),MATCH(D$1,enemy_skills!$1:$1,0)-MATCH("enemy_skill_id",enemy_skills!$1:$1,0)+1),MATCH(D$1,enemy_skills!$1:$1,0)-MATCH("enemy_skill_id",enemy_skills!$1:$1,0)+1,FALSE)</f>
        <v>エクスイレイザーTHI</v>
      </c>
      <c r="E81" s="43" t="str">
        <f ca="1">VLOOKUP($C81,OFFSET(enemy_skills!$A$1,0,0,COUNTA(enemy_skills!$A:$A),MATCH(E$1,enemy_skills!$1:$1,0)-MATCH("enemy_skill_id",enemy_skills!$1:$1,0)+1),MATCH(E$1,enemy_skills!$1:$1,0)-MATCH("enemy_skill_id",enemy_skills!$1:$1,0)+1,FALSE)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81" s="44">
        <v>41015048</v>
      </c>
      <c r="G81" s="45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1" s="45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81" s="45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45" t="str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1" s="45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66</v>
      </c>
      <c r="L81" s="45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1" s="45" t="str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1" s="45" t="str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1" s="45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44"/>
      <c r="Q81" s="44"/>
      <c r="R81" s="44"/>
    </row>
    <row r="82" spans="1:18" ht="21" customHeight="1" x14ac:dyDescent="0.15">
      <c r="A82" s="36" t="str">
        <f t="shared" si="9"/>
        <v>41015009_41015049</v>
      </c>
      <c r="B82" s="196">
        <v>41015009</v>
      </c>
      <c r="C82" s="196">
        <v>41015049</v>
      </c>
      <c r="D82" s="43" t="str">
        <f ca="1">VLOOKUP($C82,OFFSET(enemy_skills!$A$1,0,0,COUNTA(enemy_skills!$A:$A),MATCH(D$1,enemy_skills!$1:$1,0)-MATCH("enemy_skill_id",enemy_skills!$1:$1,0)+1),MATCH(D$1,enemy_skills!$1:$1,0)-MATCH("enemy_skill_id",enemy_skills!$1:$1,0)+1,FALSE)</f>
        <v>エクスイレイザーTHI</v>
      </c>
      <c r="E82" s="43" t="str">
        <f ca="1">VLOOKUP($C82,OFFSET(enemy_skills!$A$1,0,0,COUNTA(enemy_skills!$A:$A),MATCH(E$1,enemy_skills!$1:$1,0)-MATCH("enemy_skill_id",enemy_skills!$1:$1,0)+1),MATCH(E$1,enemy_skills!$1:$1,0)-MATCH("enemy_skill_id",enemy_skills!$1:$1,0)+1,FALSE)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82" s="44">
        <v>41015049</v>
      </c>
      <c r="G82" s="45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2" s="45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82" s="45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45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66</v>
      </c>
      <c r="K82" s="45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33</v>
      </c>
      <c r="L82" s="45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2" s="45" t="str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2" s="45" t="str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2" s="45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44"/>
      <c r="Q82" s="44"/>
      <c r="R82" s="44"/>
    </row>
    <row r="83" spans="1:18" ht="21" customHeight="1" x14ac:dyDescent="0.15">
      <c r="A83" s="36" t="str">
        <f t="shared" si="9"/>
        <v>41015009_41015050</v>
      </c>
      <c r="B83" s="196">
        <v>41015009</v>
      </c>
      <c r="C83" s="196">
        <v>41015050</v>
      </c>
      <c r="D83" s="43" t="str">
        <f ca="1">VLOOKUP($C83,OFFSET(enemy_skills!$A$1,0,0,COUNTA(enemy_skills!$A:$A),MATCH(D$1,enemy_skills!$1:$1,0)-MATCH("enemy_skill_id",enemy_skills!$1:$1,0)+1),MATCH(D$1,enemy_skills!$1:$1,0)-MATCH("enemy_skill_id",enemy_skills!$1:$1,0)+1,FALSE)</f>
        <v>エクスイレイザーTHI</v>
      </c>
      <c r="E83" s="43" t="str">
        <f ca="1">VLOOKUP($C83,OFFSET(enemy_skills!$A$1,0,0,COUNTA(enemy_skills!$A:$A),MATCH(E$1,enemy_skills!$1:$1,0)-MATCH("enemy_skill_id",enemy_skills!$1:$1,0)+1),MATCH(E$1,enemy_skills!$1:$1,0)-MATCH("enemy_skill_id",enemy_skills!$1:$1,0)+1,FALSE)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83" s="44">
        <v>41015050</v>
      </c>
      <c r="G83" s="45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3" s="45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83" s="45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3" s="45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33</v>
      </c>
      <c r="K83" s="45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45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3" s="45" t="str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3" s="45" t="str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3" s="45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3" s="44"/>
      <c r="Q83" s="44"/>
      <c r="R83" s="44"/>
    </row>
    <row r="84" spans="1:18" ht="21" customHeight="1" x14ac:dyDescent="0.15">
      <c r="A84" s="36" t="str">
        <f t="shared" si="9"/>
        <v>41015009_41015052</v>
      </c>
      <c r="B84" s="196">
        <v>41015009</v>
      </c>
      <c r="C84" s="196">
        <v>41015052</v>
      </c>
      <c r="D84" s="43" t="str">
        <f ca="1">VLOOKUP($C84,OFFSET(enemy_skills!$A$1,0,0,COUNTA(enemy_skills!$A:$A),MATCH(D$1,enemy_skills!$1:$1,0)-MATCH("enemy_skill_id",enemy_skills!$1:$1,0)+1),MATCH(D$1,enemy_skills!$1:$1,0)-MATCH("enemy_skill_id",enemy_skills!$1:$1,0)+1,FALSE)</f>
        <v>エクスイレイザーSEC</v>
      </c>
      <c r="E84" s="43" t="str">
        <f ca="1">VLOOKUP($C84,OFFSET(enemy_skills!$A$1,0,0,COUNTA(enemy_skills!$A:$A),MATCH(E$1,enemy_skills!$1:$1,0)-MATCH("enemy_skill_id",enemy_skills!$1:$1,0)+1),MATCH(E$1,enemy_skills!$1:$1,0)-MATCH("enemy_skill_id",enemy_skills!$1:$1,0)+1,FALSE)</f>
        <v>カウンター解除＋8回連続攻撃</v>
      </c>
      <c r="F84" s="44">
        <v>41015052</v>
      </c>
      <c r="G84" s="45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4" s="45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24</v>
      </c>
      <c r="I84" s="45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4" s="45" t="str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4" s="45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66</v>
      </c>
      <c r="L84" s="45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4" s="45" t="str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4" s="45" t="str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4" s="45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4" s="44"/>
      <c r="Q84" s="44"/>
      <c r="R84" s="44"/>
    </row>
    <row r="85" spans="1:18" ht="21" customHeight="1" x14ac:dyDescent="0.15">
      <c r="A85" s="36" t="str">
        <f t="shared" si="9"/>
        <v>41015009_41015053</v>
      </c>
      <c r="B85" s="196">
        <v>41015009</v>
      </c>
      <c r="C85" s="196">
        <v>41015053</v>
      </c>
      <c r="D85" s="43" t="str">
        <f ca="1">VLOOKUP($C85,OFFSET(enemy_skills!$A$1,0,0,COUNTA(enemy_skills!$A:$A),MATCH(D$1,enemy_skills!$1:$1,0)-MATCH("enemy_skill_id",enemy_skills!$1:$1,0)+1),MATCH(D$1,enemy_skills!$1:$1,0)-MATCH("enemy_skill_id",enemy_skills!$1:$1,0)+1,FALSE)</f>
        <v>エクスイレイザーSEC</v>
      </c>
      <c r="E85" s="43" t="str">
        <f ca="1">VLOOKUP($C85,OFFSET(enemy_skills!$A$1,0,0,COUNTA(enemy_skills!$A:$A),MATCH(E$1,enemy_skills!$1:$1,0)-MATCH("enemy_skill_id",enemy_skills!$1:$1,0)+1),MATCH(E$1,enemy_skills!$1:$1,0)-MATCH("enemy_skill_id",enemy_skills!$1:$1,0)+1,FALSE)</f>
        <v>カウンター解除＋8回連続攻撃</v>
      </c>
      <c r="F85" s="44">
        <v>41015053</v>
      </c>
      <c r="G85" s="45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5" s="45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24</v>
      </c>
      <c r="I85" s="45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5" s="45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66</v>
      </c>
      <c r="K85" s="45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33</v>
      </c>
      <c r="L85" s="45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5" s="45" t="str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5" s="45" t="str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5" s="45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5" s="44"/>
      <c r="Q85" s="44"/>
      <c r="R85" s="44"/>
    </row>
    <row r="86" spans="1:18" ht="21" customHeight="1" x14ac:dyDescent="0.15">
      <c r="A86" s="36" t="str">
        <f t="shared" si="9"/>
        <v>41015009_41015054</v>
      </c>
      <c r="B86" s="196">
        <v>41015009</v>
      </c>
      <c r="C86" s="196">
        <v>41015054</v>
      </c>
      <c r="D86" s="43" t="str">
        <f ca="1">VLOOKUP($C86,OFFSET(enemy_skills!$A$1,0,0,COUNTA(enemy_skills!$A:$A),MATCH(D$1,enemy_skills!$1:$1,0)-MATCH("enemy_skill_id",enemy_skills!$1:$1,0)+1),MATCH(D$1,enemy_skills!$1:$1,0)-MATCH("enemy_skill_id",enemy_skills!$1:$1,0)+1,FALSE)</f>
        <v>エクスイレイザーSEC</v>
      </c>
      <c r="E86" s="43" t="str">
        <f ca="1">VLOOKUP($C86,OFFSET(enemy_skills!$A$1,0,0,COUNTA(enemy_skills!$A:$A),MATCH(E$1,enemy_skills!$1:$1,0)-MATCH("enemy_skill_id",enemy_skills!$1:$1,0)+1),MATCH(E$1,enemy_skills!$1:$1,0)-MATCH("enemy_skill_id",enemy_skills!$1:$1,0)+1,FALSE)</f>
        <v>カウンター解除＋8回連続攻撃</v>
      </c>
      <c r="F86" s="44">
        <v>41015054</v>
      </c>
      <c r="G86" s="45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6" s="45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24</v>
      </c>
      <c r="I86" s="45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6" s="45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33</v>
      </c>
      <c r="K86" s="45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45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6" s="45" t="str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6" s="45" t="str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6" s="45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6" s="44"/>
      <c r="Q86" s="44"/>
      <c r="R86" s="44"/>
    </row>
    <row r="87" spans="1:18" ht="21" customHeight="1" x14ac:dyDescent="0.15">
      <c r="A87" s="36" t="str">
        <f t="shared" si="9"/>
        <v>41015009_41015056</v>
      </c>
      <c r="B87" s="196">
        <v>41015009</v>
      </c>
      <c r="C87" s="196">
        <v>41015056</v>
      </c>
      <c r="D87" s="43" t="str">
        <f ca="1">VLOOKUP($C87,OFFSET(enemy_skills!$A$1,0,0,COUNTA(enemy_skills!$A:$A),MATCH(D$1,enemy_skills!$1:$1,0)-MATCH("enemy_skill_id",enemy_skills!$1:$1,0)+1),MATCH(D$1,enemy_skills!$1:$1,0)-MATCH("enemy_skill_id",enemy_skills!$1:$1,0)+1,FALSE)</f>
        <v>エクスイレイザーFIR</v>
      </c>
      <c r="E87" s="43" t="str">
        <f ca="1">VLOOKUP($C87,OFFSET(enemy_skills!$A$1,0,0,COUNTA(enemy_skills!$A:$A),MATCH(E$1,enemy_skills!$1:$1,0)-MATCH("enemy_skill_id",enemy_skills!$1:$1,0)+1),MATCH(E$1,enemy_skills!$1:$1,0)-MATCH("enemy_skill_id",enemy_skills!$1:$1,0)+1,FALSE)</f>
        <v>カウンター解除＋強力な連続攻撃</v>
      </c>
      <c r="F87" s="44">
        <v>41015056</v>
      </c>
      <c r="G87" s="45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7" s="45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23</v>
      </c>
      <c r="I87" s="45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45" t="str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7" s="45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66</v>
      </c>
      <c r="L87" s="45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7" s="45" t="str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7" s="45" t="str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7" s="45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44"/>
      <c r="Q87" s="44"/>
      <c r="R87" s="44"/>
    </row>
    <row r="88" spans="1:18" ht="21" customHeight="1" x14ac:dyDescent="0.15">
      <c r="A88" s="36" t="str">
        <f t="shared" si="9"/>
        <v>41015009_41015057</v>
      </c>
      <c r="B88" s="196">
        <v>41015009</v>
      </c>
      <c r="C88" s="196">
        <v>41015057</v>
      </c>
      <c r="D88" s="43" t="str">
        <f ca="1">VLOOKUP($C88,OFFSET(enemy_skills!$A$1,0,0,COUNTA(enemy_skills!$A:$A),MATCH(D$1,enemy_skills!$1:$1,0)-MATCH("enemy_skill_id",enemy_skills!$1:$1,0)+1),MATCH(D$1,enemy_skills!$1:$1,0)-MATCH("enemy_skill_id",enemy_skills!$1:$1,0)+1,FALSE)</f>
        <v>エクスイレイザーFIR</v>
      </c>
      <c r="E88" s="43" t="str">
        <f ca="1">VLOOKUP($C88,OFFSET(enemy_skills!$A$1,0,0,COUNTA(enemy_skills!$A:$A),MATCH(E$1,enemy_skills!$1:$1,0)-MATCH("enemy_skill_id",enemy_skills!$1:$1,0)+1),MATCH(E$1,enemy_skills!$1:$1,0)-MATCH("enemy_skill_id",enemy_skills!$1:$1,0)+1,FALSE)</f>
        <v>カウンター解除＋強力な連続攻撃</v>
      </c>
      <c r="F88" s="44">
        <v>41015057</v>
      </c>
      <c r="G88" s="45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8" s="45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23</v>
      </c>
      <c r="I88" s="45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8" s="45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66</v>
      </c>
      <c r="K88" s="45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33</v>
      </c>
      <c r="L88" s="45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8" s="45" t="str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8" s="45" t="str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8" s="45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8" s="44"/>
      <c r="Q88" s="44"/>
      <c r="R88" s="44"/>
    </row>
    <row r="89" spans="1:18" ht="21" customHeight="1" x14ac:dyDescent="0.15">
      <c r="A89" s="36" t="str">
        <f t="shared" si="9"/>
        <v>41015009_41015058</v>
      </c>
      <c r="B89" s="196">
        <v>41015009</v>
      </c>
      <c r="C89" s="196">
        <v>41015058</v>
      </c>
      <c r="D89" s="43" t="str">
        <f ca="1">VLOOKUP($C89,OFFSET(enemy_skills!$A$1,0,0,COUNTA(enemy_skills!$A:$A),MATCH(D$1,enemy_skills!$1:$1,0)-MATCH("enemy_skill_id",enemy_skills!$1:$1,0)+1),MATCH(D$1,enemy_skills!$1:$1,0)-MATCH("enemy_skill_id",enemy_skills!$1:$1,0)+1,FALSE)</f>
        <v>エクスイレイザーFIR</v>
      </c>
      <c r="E89" s="43" t="str">
        <f ca="1">VLOOKUP($C89,OFFSET(enemy_skills!$A$1,0,0,COUNTA(enemy_skills!$A:$A),MATCH(E$1,enemy_skills!$1:$1,0)-MATCH("enemy_skill_id",enemy_skills!$1:$1,0)+1),MATCH(E$1,enemy_skills!$1:$1,0)-MATCH("enemy_skill_id",enemy_skills!$1:$1,0)+1,FALSE)</f>
        <v>カウンター解除＋強力な連続攻撃</v>
      </c>
      <c r="F89" s="44">
        <v>41015058</v>
      </c>
      <c r="G89" s="45">
        <f ca="1">VLOOKUP($F89,OFFSET(enemy_skill_triggers!$A$1,0,0,COUNTA(enemy_skill_triggers!$A:$A),MATCH(G$1,enemy_skill_triggers!$1:$1,0)-MATCH($F$1,enemy_skill_triggers!$1:$1,0)+1),MATCH(G$1,enemy_skill_triggers!$1:$1,0)-MATCH($F$1,enemy_skill_triggers!$1:$1,0)+1,FALSE)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9" s="45">
        <f ca="1">VLOOKUP($F89,OFFSET(enemy_skill_triggers!$A$1,0,0,COUNTA(enemy_skill_triggers!$A:$A),MATCH(H$1,enemy_skill_triggers!$1:$1,0)-MATCH($F$1,enemy_skill_triggers!$1:$1,0)+1),MATCH(H$1,enemy_skill_triggers!$1:$1,0)-MATCH($F$1,enemy_skill_triggers!$1:$1,0)+1,FALSE)</f>
        <v>23</v>
      </c>
      <c r="I89" s="45">
        <f ca="1">VLOOKUP($F89,OFFSET(enemy_skill_triggers!$A$1,0,0,COUNTA(enemy_skill_triggers!$A:$A),MATCH(I$1,enemy_skill_triggers!$1:$1,0)-MATCH($F$1,enemy_skill_triggers!$1:$1,0)+1),MATCH(I$1,enemy_skill_triggers!$1:$1,0)-MATCH($F$1,enemy_skill_triggers!$1:$1,0)+1,FALSE)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9" s="45">
        <f ca="1">VLOOKUP($F89,OFFSET(enemy_skill_triggers!$A$1,0,0,COUNTA(enemy_skill_triggers!$A:$A),MATCH(J$1,enemy_skill_triggers!$1:$1,0)-MATCH($F$1,enemy_skill_triggers!$1:$1,0)+1),MATCH(J$1,enemy_skill_triggers!$1:$1,0)-MATCH($F$1,enemy_skill_triggers!$1:$1,0)+1,FALSE)</f>
        <v>33</v>
      </c>
      <c r="K89" s="45" t="str">
        <f ca="1">VLOOKUP($F89,OFFSET(enemy_skill_triggers!$A$1,0,0,COUNTA(enemy_skill_triggers!$A:$A),MATCH(K$1,enemy_skill_triggers!$1:$1,0)-MATCH($F$1,enemy_skill_triggers!$1:$1,0)+1),MATCH(K$1,enemy_skill_triggers!$1:$1,0)-MATCH($F$1,enemy_skill_triggers!$1:$1,0)+1,FALSE)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9" s="45">
        <f ca="1">VLOOKUP($F89,OFFSET(enemy_skill_triggers!$A$1,0,0,COUNTA(enemy_skill_triggers!$A:$A),MATCH(L$1,enemy_skill_triggers!$1:$1,0)-MATCH($F$1,enemy_skill_triggers!$1:$1,0)+1),MATCH(L$1,enemy_skill_triggers!$1:$1,0)-MATCH($F$1,enemy_skill_triggers!$1:$1,0)+1,FALSE)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9" s="45" t="str">
        <f ca="1">VLOOKUP($F89,OFFSET(enemy_skill_triggers!$A$1,0,0,COUNTA(enemy_skill_triggers!$A:$A),MATCH(M$1,enemy_skill_triggers!$1:$1,0)-MATCH($F$1,enemy_skill_triggers!$1:$1,0)+1),MATCH(M$1,enemy_skill_triggers!$1:$1,0)-MATCH($F$1,enemy_skill_triggers!$1:$1,0)+1,FALSE)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9" s="45" t="str">
        <f ca="1">VLOOKUP($F89,OFFSET(enemy_skill_triggers!$A$1,0,0,COUNTA(enemy_skill_triggers!$A:$A),MATCH(N$1,enemy_skill_triggers!$1:$1,0)-MATCH($F$1,enemy_skill_triggers!$1:$1,0)+1),MATCH(N$1,enemy_skill_triggers!$1:$1,0)-MATCH($F$1,enemy_skill_triggers!$1:$1,0)+1,FALSE)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9" s="45">
        <f ca="1">VLOOKUP($F89,OFFSET(enemy_skill_triggers!$A$1,0,0,COUNTA(enemy_skill_triggers!$A:$A),MATCH(O$1,enemy_skill_triggers!$1:$1,0)-MATCH($F$1,enemy_skill_triggers!$1:$1,0)+1),MATCH(O$1,enemy_skill_triggers!$1:$1,0)-MATCH($F$1,enemy_skill_triggers!$1:$1,0)+1,FALSE)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9" s="44"/>
      <c r="Q89" s="44"/>
      <c r="R89" s="44"/>
    </row>
    <row r="90" spans="1:18" ht="21" customHeight="1" x14ac:dyDescent="0.15">
      <c r="A90" s="36" t="str">
        <f t="shared" si="9"/>
        <v>41015009_41015059</v>
      </c>
      <c r="B90" s="196">
        <v>41015009</v>
      </c>
      <c r="C90" s="196">
        <v>41015059</v>
      </c>
      <c r="D90" s="43" t="str">
        <f ca="1">VLOOKUP($C90,OFFSET(enemy_skills!$A$1,0,0,COUNTA(enemy_skills!$A:$A),MATCH(D$1,enemy_skills!$1:$1,0)-MATCH("enemy_skill_id",enemy_skills!$1:$1,0)+1),MATCH(D$1,enemy_skills!$1:$1,0)-MATCH("enemy_skill_id",enemy_skills!$1:$1,0)+1,FALSE)</f>
        <v>エクスイレイザーABS</v>
      </c>
      <c r="E90" s="43" t="str">
        <f ca="1">VLOOKUP($C90,OFFSET(enemy_skills!$A$1,0,0,COUNTA(enemy_skills!$A:$A),MATCH(E$1,enemy_skills!$1:$1,0)-MATCH("enemy_skill_id",enemy_skills!$1:$1,0)+1),MATCH(E$1,enemy_skills!$1:$1,0)-MATCH("enemy_skill_id",enemy_skills!$1:$1,0)+1,FALSE)</f>
        <v>全てのプラス効果を解除＋致命的な連続攻撃</v>
      </c>
      <c r="F90" s="44">
        <v>41015059</v>
      </c>
      <c r="G90" s="45">
        <f ca="1">VLOOKUP($F90,OFFSET(enemy_skill_triggers!$A$1,0,0,COUNTA(enemy_skill_triggers!$A:$A),MATCH(G$1,enemy_skill_triggers!$1:$1,0)-MATCH($F$1,enemy_skill_triggers!$1:$1,0)+1),MATCH(G$1,enemy_skill_triggers!$1:$1,0)-MATCH($F$1,enemy_skill_triggers!$1:$1,0)+1,FALSE)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0" s="45">
        <f ca="1">VLOOKUP($F90,OFFSET(enemy_skill_triggers!$A$1,0,0,COUNTA(enemy_skill_triggers!$A:$A),MATCH(H$1,enemy_skill_triggers!$1:$1,0)-MATCH($F$1,enemy_skill_triggers!$1:$1,0)+1),MATCH(H$1,enemy_skill_triggers!$1:$1,0)-MATCH($F$1,enemy_skill_triggers!$1:$1,0)+1,FALSE)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90" s="45">
        <f ca="1">VLOOKUP($F90,OFFSET(enemy_skill_triggers!$A$1,0,0,COUNTA(enemy_skill_triggers!$A:$A),MATCH(I$1,enemy_skill_triggers!$1:$1,0)-MATCH($F$1,enemy_skill_triggers!$1:$1,0)+1),MATCH(I$1,enemy_skill_triggers!$1:$1,0)-MATCH($F$1,enemy_skill_triggers!$1:$1,0)+1,FALSE)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0" s="45" t="str">
        <f ca="1">VLOOKUP($F90,OFFSET(enemy_skill_triggers!$A$1,0,0,COUNTA(enemy_skill_triggers!$A:$A),MATCH(J$1,enemy_skill_triggers!$1:$1,0)-MATCH($F$1,enemy_skill_triggers!$1:$1,0)+1),MATCH(J$1,enemy_skill_triggers!$1:$1,0)-MATCH($F$1,enemy_skill_triggers!$1:$1,0)+1,FALSE)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0" s="45" t="str">
        <f ca="1">VLOOKUP($F90,OFFSET(enemy_skill_triggers!$A$1,0,0,COUNTA(enemy_skill_triggers!$A:$A),MATCH(K$1,enemy_skill_triggers!$1:$1,0)-MATCH($F$1,enemy_skill_triggers!$1:$1,0)+1),MATCH(K$1,enemy_skill_triggers!$1:$1,0)-MATCH($F$1,enemy_skill_triggers!$1:$1,0)+1,FALSE)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0" s="45" t="str">
        <f ca="1">VLOOKUP($F90,OFFSET(enemy_skill_triggers!$A$1,0,0,COUNTA(enemy_skill_triggers!$A:$A),MATCH(L$1,enemy_skill_triggers!$1:$1,0)-MATCH($F$1,enemy_skill_triggers!$1:$1,0)+1),MATCH(L$1,enemy_skill_triggers!$1:$1,0)-MATCH($F$1,enemy_skill_triggers!$1:$1,0)+1,FALSE)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0" s="45" t="str">
        <f ca="1">VLOOKUP($F90,OFFSET(enemy_skill_triggers!$A$1,0,0,COUNTA(enemy_skill_triggers!$A:$A),MATCH(M$1,enemy_skill_triggers!$1:$1,0)-MATCH($F$1,enemy_skill_triggers!$1:$1,0)+1),MATCH(M$1,enemy_skill_triggers!$1:$1,0)-MATCH($F$1,enemy_skill_triggers!$1:$1,0)+1,FALSE)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0" s="45" t="str">
        <f ca="1">VLOOKUP($F90,OFFSET(enemy_skill_triggers!$A$1,0,0,COUNTA(enemy_skill_triggers!$A:$A),MATCH(N$1,enemy_skill_triggers!$1:$1,0)-MATCH($F$1,enemy_skill_triggers!$1:$1,0)+1),MATCH(N$1,enemy_skill_triggers!$1:$1,0)-MATCH($F$1,enemy_skill_triggers!$1:$1,0)+1,FALSE)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0" s="45">
        <f ca="1">VLOOKUP($F90,OFFSET(enemy_skill_triggers!$A$1,0,0,COUNTA(enemy_skill_triggers!$A:$A),MATCH(O$1,enemy_skill_triggers!$1:$1,0)-MATCH($F$1,enemy_skill_triggers!$1:$1,0)+1),MATCH(O$1,enemy_skill_triggers!$1:$1,0)-MATCH($F$1,enemy_skill_triggers!$1:$1,0)+1,FALSE)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0" s="44"/>
      <c r="Q90" s="44"/>
      <c r="R90" s="44"/>
    </row>
    <row r="91" spans="1:18" ht="21" customHeight="1" x14ac:dyDescent="0.15">
      <c r="A91" s="36" t="str">
        <f t="shared" si="9"/>
        <v>41015009_41015051</v>
      </c>
      <c r="B91" s="196">
        <v>41015009</v>
      </c>
      <c r="C91" s="196">
        <v>41015051</v>
      </c>
      <c r="D91" s="43" t="str">
        <f ca="1">VLOOKUP($C91,OFFSET(enemy_skills!$A$1,0,0,COUNTA(enemy_skills!$A:$A),MATCH(D$1,enemy_skills!$1:$1,0)-MATCH("enemy_skill_id",enemy_skills!$1:$1,0)+1),MATCH(D$1,enemy_skills!$1:$1,0)-MATCH("enemy_skill_id",enemy_skills!$1:$1,0)+1,FALSE)</f>
        <v>カースオブマジック</v>
      </c>
      <c r="E91" s="43" t="str">
        <f ca="1">VLOOKUP($C91,OFFSET(enemy_skills!$A$1,0,0,COUNTA(enemy_skills!$A:$A),MATCH(E$1,enemy_skills!$1:$1,0)-MATCH("enemy_skill_id",enemy_skills!$1:$1,0)+1),MATCH(E$1,enemy_skills!$1:$1,0)-MATCH("enemy_skill_id",enemy_skills!$1:$1,0)+1,FALSE)</f>
        <v>3ターン攻撃力50%DOWN</v>
      </c>
      <c r="F91" s="44">
        <v>41015051</v>
      </c>
      <c r="G91" s="45">
        <f ca="1">VLOOKUP($F91,OFFSET(enemy_skill_triggers!$A$1,0,0,COUNTA(enemy_skill_triggers!$A:$A),MATCH(G$1,enemy_skill_triggers!$1:$1,0)-MATCH($F$1,enemy_skill_triggers!$1:$1,0)+1),MATCH(G$1,enemy_skill_triggers!$1:$1,0)-MATCH($F$1,enemy_skill_triggers!$1:$1,0)+1,FALSE)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1" s="45">
        <f ca="1">VLOOKUP($F91,OFFSET(enemy_skill_triggers!$A$1,0,0,COUNTA(enemy_skill_triggers!$A:$A),MATCH(H$1,enemy_skill_triggers!$1:$1,0)-MATCH($F$1,enemy_skill_triggers!$1:$1,0)+1),MATCH(H$1,enemy_skill_triggers!$1:$1,0)-MATCH($F$1,enemy_skill_triggers!$1:$1,0)+1,FALSE)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91" s="45">
        <f ca="1">VLOOKUP($F91,OFFSET(enemy_skill_triggers!$A$1,0,0,COUNTA(enemy_skill_triggers!$A:$A),MATCH(I$1,enemy_skill_triggers!$1:$1,0)-MATCH($F$1,enemy_skill_triggers!$1:$1,0)+1),MATCH(I$1,enemy_skill_triggers!$1:$1,0)-MATCH($F$1,enemy_skill_triggers!$1:$1,0)+1,FALSE)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91" s="45" t="str">
        <f ca="1">VLOOKUP($F91,OFFSET(enemy_skill_triggers!$A$1,0,0,COUNTA(enemy_skill_triggers!$A:$A),MATCH(J$1,enemy_skill_triggers!$1:$1,0)-MATCH($F$1,enemy_skill_triggers!$1:$1,0)+1),MATCH(J$1,enemy_skill_triggers!$1:$1,0)-MATCH($F$1,enemy_skill_triggers!$1:$1,0)+1,FALSE)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1" s="45" t="str">
        <f ca="1">VLOOKUP($F91,OFFSET(enemy_skill_triggers!$A$1,0,0,COUNTA(enemy_skill_triggers!$A:$A),MATCH(K$1,enemy_skill_triggers!$1:$1,0)-MATCH($F$1,enemy_skill_triggers!$1:$1,0)+1),MATCH(K$1,enemy_skill_triggers!$1:$1,0)-MATCH($F$1,enemy_skill_triggers!$1:$1,0)+1,FALSE)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1" s="45">
        <f ca="1">VLOOKUP($F91,OFFSET(enemy_skill_triggers!$A$1,0,0,COUNTA(enemy_skill_triggers!$A:$A),MATCH(L$1,enemy_skill_triggers!$1:$1,0)-MATCH($F$1,enemy_skill_triggers!$1:$1,0)+1),MATCH(L$1,enemy_skill_triggers!$1:$1,0)-MATCH($F$1,enemy_skill_triggers!$1:$1,0)+1,FALSE)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1" s="45" t="str">
        <f ca="1">VLOOKUP($F91,OFFSET(enemy_skill_triggers!$A$1,0,0,COUNTA(enemy_skill_triggers!$A:$A),MATCH(M$1,enemy_skill_triggers!$1:$1,0)-MATCH($F$1,enemy_skill_triggers!$1:$1,0)+1),MATCH(M$1,enemy_skill_triggers!$1:$1,0)-MATCH($F$1,enemy_skill_triggers!$1:$1,0)+1,FALSE)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1" s="45" t="str">
        <f ca="1">VLOOKUP($F91,OFFSET(enemy_skill_triggers!$A$1,0,0,COUNTA(enemy_skill_triggers!$A:$A),MATCH(N$1,enemy_skill_triggers!$1:$1,0)-MATCH($F$1,enemy_skill_triggers!$1:$1,0)+1),MATCH(N$1,enemy_skill_triggers!$1:$1,0)-MATCH($F$1,enemy_skill_triggers!$1:$1,0)+1,FALSE)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1" s="45">
        <f ca="1">VLOOKUP($F91,OFFSET(enemy_skill_triggers!$A$1,0,0,COUNTA(enemy_skill_triggers!$A:$A),MATCH(O$1,enemy_skill_triggers!$1:$1,0)-MATCH($F$1,enemy_skill_triggers!$1:$1,0)+1),MATCH(O$1,enemy_skill_triggers!$1:$1,0)-MATCH($F$1,enemy_skill_triggers!$1:$1,0)+1,FALSE)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91" s="44"/>
      <c r="Q91" s="44"/>
      <c r="R91" s="44"/>
    </row>
    <row r="92" spans="1:18" ht="21" customHeight="1" x14ac:dyDescent="0.15">
      <c r="A92" s="36" t="str">
        <f t="shared" si="9"/>
        <v>41015009_41015060</v>
      </c>
      <c r="B92" s="196">
        <v>41015009</v>
      </c>
      <c r="C92" s="196">
        <v>41015060</v>
      </c>
      <c r="D92" s="43" t="str">
        <f ca="1">VLOOKUP($C92,OFFSET(enemy_skills!$A$1,0,0,COUNTA(enemy_skills!$A:$A),MATCH(D$1,enemy_skills!$1:$1,0)-MATCH("enemy_skill_id",enemy_skills!$1:$1,0)+1),MATCH(D$1,enemy_skills!$1:$1,0)-MATCH("enemy_skill_id",enemy_skills!$1:$1,0)+1,FALSE)</f>
        <v>RGBリフレクション</v>
      </c>
      <c r="E92" s="43" t="str">
        <f ca="1">VLOOKUP($C92,OFFSET(enemy_skills!$A$1,0,0,COUNTA(enemy_skills!$A:$A),MATCH(E$1,enemy_skills!$1:$1,0)-MATCH("enemy_skill_id",enemy_skills!$1:$1,0)+1),MATCH(E$1,enemy_skills!$1:$1,0)-MATCH("enemy_skill_id",enemy_skills!$1:$1,0)+1,FALSE)</f>
        <v>3ターン赤・緑・青属性のダメージを50%軽減</v>
      </c>
      <c r="F92" s="44">
        <v>41015060</v>
      </c>
      <c r="G92" s="45">
        <f ca="1">VLOOKUP($F92,OFFSET(enemy_skill_triggers!$A$1,0,0,COUNTA(enemy_skill_triggers!$A:$A),MATCH(G$1,enemy_skill_triggers!$1:$1,0)-MATCH($F$1,enemy_skill_triggers!$1:$1,0)+1),MATCH(G$1,enemy_skill_triggers!$1:$1,0)-MATCH($F$1,enemy_skill_triggers!$1:$1,0)+1,FALSE)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2" s="45">
        <f ca="1">VLOOKUP($F92,OFFSET(enemy_skill_triggers!$A$1,0,0,COUNTA(enemy_skill_triggers!$A:$A),MATCH(H$1,enemy_skill_triggers!$1:$1,0)-MATCH($F$1,enemy_skill_triggers!$1:$1,0)+1),MATCH(H$1,enemy_skill_triggers!$1:$1,0)-MATCH($F$1,enemy_skill_triggers!$1:$1,0)+1,FALSE)</f>
        <v>35</v>
      </c>
      <c r="I92" s="45">
        <f ca="1">VLOOKUP($F92,OFFSET(enemy_skill_triggers!$A$1,0,0,COUNTA(enemy_skill_triggers!$A:$A),MATCH(I$1,enemy_skill_triggers!$1:$1,0)-MATCH($F$1,enemy_skill_triggers!$1:$1,0)+1),MATCH(I$1,enemy_skill_triggers!$1:$1,0)-MATCH($F$1,enemy_skill_triggers!$1:$1,0)+1,FALSE)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2" s="45" t="str">
        <f ca="1">VLOOKUP($F92,OFFSET(enemy_skill_triggers!$A$1,0,0,COUNTA(enemy_skill_triggers!$A:$A),MATCH(J$1,enemy_skill_triggers!$1:$1,0)-MATCH($F$1,enemy_skill_triggers!$1:$1,0)+1),MATCH(J$1,enemy_skill_triggers!$1:$1,0)-MATCH($F$1,enemy_skill_triggers!$1:$1,0)+1,FALSE)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2" s="45" t="str">
        <f ca="1">VLOOKUP($F92,OFFSET(enemy_skill_triggers!$A$1,0,0,COUNTA(enemy_skill_triggers!$A:$A),MATCH(K$1,enemy_skill_triggers!$1:$1,0)-MATCH($F$1,enemy_skill_triggers!$1:$1,0)+1),MATCH(K$1,enemy_skill_triggers!$1:$1,0)-MATCH($F$1,enemy_skill_triggers!$1:$1,0)+1,FALSE)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2" s="45">
        <f ca="1">VLOOKUP($F92,OFFSET(enemy_skill_triggers!$A$1,0,0,COUNTA(enemy_skill_triggers!$A:$A),MATCH(L$1,enemy_skill_triggers!$1:$1,0)-MATCH($F$1,enemy_skill_triggers!$1:$1,0)+1),MATCH(L$1,enemy_skill_triggers!$1:$1,0)-MATCH($F$1,enemy_skill_triggers!$1:$1,0)+1,FALSE)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2" s="45">
        <f ca="1">VLOOKUP($F92,OFFSET(enemy_skill_triggers!$A$1,0,0,COUNTA(enemy_skill_triggers!$A:$A),MATCH(M$1,enemy_skill_triggers!$1:$1,0)-MATCH($F$1,enemy_skill_triggers!$1:$1,0)+1),MATCH(M$1,enemy_skill_triggers!$1:$1,0)-MATCH($F$1,enemy_skill_triggers!$1:$1,0)+1,FALSE)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92" s="45" t="str">
        <f ca="1">VLOOKUP($F92,OFFSET(enemy_skill_triggers!$A$1,0,0,COUNTA(enemy_skill_triggers!$A:$A),MATCH(N$1,enemy_skill_triggers!$1:$1,0)-MATCH($F$1,enemy_skill_triggers!$1:$1,0)+1),MATCH(N$1,enemy_skill_triggers!$1:$1,0)-MATCH($F$1,enemy_skill_triggers!$1:$1,0)+1,FALSE)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2" s="45">
        <f ca="1">VLOOKUP($F92,OFFSET(enemy_skill_triggers!$A$1,0,0,COUNTA(enemy_skill_triggers!$A:$A),MATCH(O$1,enemy_skill_triggers!$1:$1,0)-MATCH($F$1,enemy_skill_triggers!$1:$1,0)+1),MATCH(O$1,enemy_skill_triggers!$1:$1,0)-MATCH($F$1,enemy_skill_triggers!$1:$1,0)+1,FALSE)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2" s="44"/>
      <c r="Q92" s="44"/>
      <c r="R92" s="44"/>
    </row>
    <row r="93" spans="1:18" ht="21" customHeight="1" x14ac:dyDescent="0.15">
      <c r="A93" s="36" t="str">
        <f t="shared" si="9"/>
        <v>41015009_41015062</v>
      </c>
      <c r="B93" s="196">
        <v>41015009</v>
      </c>
      <c r="C93" s="196">
        <v>41015062</v>
      </c>
      <c r="D93" s="43" t="str">
        <f ca="1">VLOOKUP($C93,OFFSET(enemy_skills!$A$1,0,0,COUNTA(enemy_skills!$A:$A),MATCH(D$1,enemy_skills!$1:$1,0)-MATCH("enemy_skill_id",enemy_skills!$1:$1,0)+1),MATCH(D$1,enemy_skills!$1:$1,0)-MATCH("enemy_skill_id",enemy_skills!$1:$1,0)+1,FALSE)</f>
        <v>クラッシュフォール</v>
      </c>
      <c r="E93" s="43" t="str">
        <f ca="1">VLOOKUP($C93,OFFSET(enemy_skills!$A$1,0,0,COUNTA(enemy_skills!$A:$A),MATCH(E$1,enemy_skills!$1:$1,0)-MATCH("enemy_skill_id",enemy_skills!$1:$1,0)+1),MATCH(E$1,enemy_skills!$1:$1,0)-MATCH("enemy_skill_id",enemy_skills!$1:$1,0)+1,FALSE)</f>
        <v>10ターンCパネル生成激烈延長</v>
      </c>
      <c r="F93" s="44">
        <v>41015062</v>
      </c>
      <c r="G93" s="45">
        <f ca="1">VLOOKUP($F93,OFFSET(enemy_skill_triggers!$A$1,0,0,COUNTA(enemy_skill_triggers!$A:$A),MATCH(G$1,enemy_skill_triggers!$1:$1,0)-MATCH($F$1,enemy_skill_triggers!$1:$1,0)+1),MATCH(G$1,enemy_skill_triggers!$1:$1,0)-MATCH($F$1,enemy_skill_triggers!$1:$1,0)+1,FALSE)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3" s="45">
        <f ca="1">VLOOKUP($F93,OFFSET(enemy_skill_triggers!$A$1,0,0,COUNTA(enemy_skill_triggers!$A:$A),MATCH(H$1,enemy_skill_triggers!$1:$1,0)-MATCH($F$1,enemy_skill_triggers!$1:$1,0)+1),MATCH(H$1,enemy_skill_triggers!$1:$1,0)-MATCH($F$1,enemy_skill_triggers!$1:$1,0)+1,FALSE)</f>
        <v>35</v>
      </c>
      <c r="I93" s="45">
        <f ca="1">VLOOKUP($F93,OFFSET(enemy_skill_triggers!$A$1,0,0,COUNTA(enemy_skill_triggers!$A:$A),MATCH(I$1,enemy_skill_triggers!$1:$1,0)-MATCH($F$1,enemy_skill_triggers!$1:$1,0)+1),MATCH(I$1,enemy_skill_triggers!$1:$1,0)-MATCH($F$1,enemy_skill_triggers!$1:$1,0)+1,FALSE)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3" s="45" t="str">
        <f ca="1">VLOOKUP($F93,OFFSET(enemy_skill_triggers!$A$1,0,0,COUNTA(enemy_skill_triggers!$A:$A),MATCH(J$1,enemy_skill_triggers!$1:$1,0)-MATCH($F$1,enemy_skill_triggers!$1:$1,0)+1),MATCH(J$1,enemy_skill_triggers!$1:$1,0)-MATCH($F$1,enemy_skill_triggers!$1:$1,0)+1,FALSE)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3" s="45" t="str">
        <f ca="1">VLOOKUP($F93,OFFSET(enemy_skill_triggers!$A$1,0,0,COUNTA(enemy_skill_triggers!$A:$A),MATCH(K$1,enemy_skill_triggers!$1:$1,0)-MATCH($F$1,enemy_skill_triggers!$1:$1,0)+1),MATCH(K$1,enemy_skill_triggers!$1:$1,0)-MATCH($F$1,enemy_skill_triggers!$1:$1,0)+1,FALSE)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3" s="45">
        <f ca="1">VLOOKUP($F93,OFFSET(enemy_skill_triggers!$A$1,0,0,COUNTA(enemy_skill_triggers!$A:$A),MATCH(L$1,enemy_skill_triggers!$1:$1,0)-MATCH($F$1,enemy_skill_triggers!$1:$1,0)+1),MATCH(L$1,enemy_skill_triggers!$1:$1,0)-MATCH($F$1,enemy_skill_triggers!$1:$1,0)+1,FALSE)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3" s="45">
        <f ca="1">VLOOKUP($F93,OFFSET(enemy_skill_triggers!$A$1,0,0,COUNTA(enemy_skill_triggers!$A:$A),MATCH(M$1,enemy_skill_triggers!$1:$1,0)-MATCH($F$1,enemy_skill_triggers!$1:$1,0)+1),MATCH(M$1,enemy_skill_triggers!$1:$1,0)-MATCH($F$1,enemy_skill_triggers!$1:$1,0)+1,FALSE)</f>
        <v>8</v>
      </c>
      <c r="N93" s="45" t="str">
        <f ca="1">VLOOKUP($F93,OFFSET(enemy_skill_triggers!$A$1,0,0,COUNTA(enemy_skill_triggers!$A:$A),MATCH(N$1,enemy_skill_triggers!$1:$1,0)-MATCH($F$1,enemy_skill_triggers!$1:$1,0)+1),MATCH(N$1,enemy_skill_triggers!$1:$1,0)-MATCH($F$1,enemy_skill_triggers!$1:$1,0)+1,FALSE)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3" s="45">
        <f ca="1">VLOOKUP($F93,OFFSET(enemy_skill_triggers!$A$1,0,0,COUNTA(enemy_skill_triggers!$A:$A),MATCH(O$1,enemy_skill_triggers!$1:$1,0)-MATCH($F$1,enemy_skill_triggers!$1:$1,0)+1),MATCH(O$1,enemy_skill_triggers!$1:$1,0)-MATCH($F$1,enemy_skill_triggers!$1:$1,0)+1,FALSE)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3" s="44"/>
      <c r="Q93" s="44"/>
      <c r="R93" s="44"/>
    </row>
    <row r="94" spans="1:18" ht="21" customHeight="1" x14ac:dyDescent="0.15">
      <c r="A94" s="36" t="str">
        <f t="shared" si="9"/>
        <v>41015010_41015063</v>
      </c>
      <c r="B94" s="44">
        <v>41015010</v>
      </c>
      <c r="C94" s="44">
        <v>41015063</v>
      </c>
      <c r="D94" s="43" t="str">
        <f ca="1">VLOOKUP($C94,OFFSET(enemy_skills!$A$1,0,0,COUNTA(enemy_skills!$A:$A),MATCH(D$1,enemy_skills!$1:$1,0)-MATCH("enemy_skill_id",enemy_skills!$1:$1,0)+1),MATCH(D$1,enemy_skills!$1:$1,0)-MATCH("enemy_skill_id",enemy_skills!$1:$1,0)+1,FALSE)</f>
        <v>教えてやるよ…</v>
      </c>
      <c r="E94" s="43" t="str">
        <f ca="1">VLOOKUP($C94,OFFSET(enemy_skills!$A$1,0,0,COUNTA(enemy_skills!$A:$A),MATCH(E$1,enemy_skills!$1:$1,0)-MATCH("enemy_skill_id",enemy_skills!$1:$1,0)+1),MATCH(E$1,enemy_skills!$1:$1,0)-MATCH("enemy_skill_id",enemy_skills!$1:$1,0)+1,FALSE)</f>
        <v>正義にやりすぎが無いって事をね_x000D_【！】次のターン即死攻撃発動【！】</v>
      </c>
      <c r="F94" s="44">
        <v>41015063</v>
      </c>
      <c r="G94" s="45">
        <f ca="1">VLOOKUP($F94,OFFSET(enemy_skill_triggers!$A$1,0,0,COUNTA(enemy_skill_triggers!$A:$A),MATCH(G$1,enemy_skill_triggers!$1:$1,0)-MATCH($F$1,enemy_skill_triggers!$1:$1,0)+1),MATCH(G$1,enemy_skill_triggers!$1:$1,0)-MATCH($F$1,enemy_skill_triggers!$1:$1,0)+1,FALSE)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4" s="45">
        <f ca="1">VLOOKUP($F94,OFFSET(enemy_skill_triggers!$A$1,0,0,COUNTA(enemy_skill_triggers!$A:$A),MATCH(H$1,enemy_skill_triggers!$1:$1,0)-MATCH($F$1,enemy_skill_triggers!$1:$1,0)+1),MATCH(H$1,enemy_skill_triggers!$1:$1,0)-MATCH($F$1,enemy_skill_triggers!$1:$1,0)+1,FALSE)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94" s="45">
        <f ca="1">VLOOKUP($F94,OFFSET(enemy_skill_triggers!$A$1,0,0,COUNTA(enemy_skill_triggers!$A:$A),MATCH(I$1,enemy_skill_triggers!$1:$1,0)-MATCH($F$1,enemy_skill_triggers!$1:$1,0)+1),MATCH(I$1,enemy_skill_triggers!$1:$1,0)-MATCH($F$1,enemy_skill_triggers!$1:$1,0)+1,FALSE)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4" s="45" t="str">
        <f ca="1">VLOOKUP($F94,OFFSET(enemy_skill_triggers!$A$1,0,0,COUNTA(enemy_skill_triggers!$A:$A),MATCH(J$1,enemy_skill_triggers!$1:$1,0)-MATCH($F$1,enemy_skill_triggers!$1:$1,0)+1),MATCH(J$1,enemy_skill_triggers!$1:$1,0)-MATCH($F$1,enemy_skill_triggers!$1:$1,0)+1,FALSE)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4" s="45" t="str">
        <f ca="1">VLOOKUP($F94,OFFSET(enemy_skill_triggers!$A$1,0,0,COUNTA(enemy_skill_triggers!$A:$A),MATCH(K$1,enemy_skill_triggers!$1:$1,0)-MATCH($F$1,enemy_skill_triggers!$1:$1,0)+1),MATCH(K$1,enemy_skill_triggers!$1:$1,0)-MATCH($F$1,enemy_skill_triggers!$1:$1,0)+1,FALSE)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4" s="45">
        <f ca="1">VLOOKUP($F94,OFFSET(enemy_skill_triggers!$A$1,0,0,COUNTA(enemy_skill_triggers!$A:$A),MATCH(L$1,enemy_skill_triggers!$1:$1,0)-MATCH($F$1,enemy_skill_triggers!$1:$1,0)+1),MATCH(L$1,enemy_skill_triggers!$1:$1,0)-MATCH($F$1,enemy_skill_triggers!$1:$1,0)+1,FALSE)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4" s="45" t="str">
        <f ca="1">VLOOKUP($F94,OFFSET(enemy_skill_triggers!$A$1,0,0,COUNTA(enemy_skill_triggers!$A:$A),MATCH(M$1,enemy_skill_triggers!$1:$1,0)-MATCH($F$1,enemy_skill_triggers!$1:$1,0)+1),MATCH(M$1,enemy_skill_triggers!$1:$1,0)-MATCH($F$1,enemy_skill_triggers!$1:$1,0)+1,FALSE)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4" s="45" t="str">
        <f ca="1">VLOOKUP($F94,OFFSET(enemy_skill_triggers!$A$1,0,0,COUNTA(enemy_skill_triggers!$A:$A),MATCH(N$1,enemy_skill_triggers!$1:$1,0)-MATCH($F$1,enemy_skill_triggers!$1:$1,0)+1),MATCH(N$1,enemy_skill_triggers!$1:$1,0)-MATCH($F$1,enemy_skill_triggers!$1:$1,0)+1,FALSE)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4" s="45">
        <f ca="1">VLOOKUP($F94,OFFSET(enemy_skill_triggers!$A$1,0,0,COUNTA(enemy_skill_triggers!$A:$A),MATCH(O$1,enemy_skill_triggers!$1:$1,0)-MATCH($F$1,enemy_skill_triggers!$1:$1,0)+1),MATCH(O$1,enemy_skill_triggers!$1:$1,0)-MATCH($F$1,enemy_skill_triggers!$1:$1,0)+1,FALSE)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4" s="44"/>
      <c r="Q94" s="44"/>
      <c r="R94" s="44"/>
    </row>
    <row r="95" spans="1:18" ht="21" customHeight="1" x14ac:dyDescent="0.15">
      <c r="A95" s="36" t="str">
        <f t="shared" ref="A95" si="10">B95&amp;"_"&amp;C95</f>
        <v>41015010_41015120</v>
      </c>
      <c r="B95" s="44">
        <v>41015010</v>
      </c>
      <c r="C95" s="44">
        <v>41015120</v>
      </c>
      <c r="D95" s="43" t="str">
        <f ca="1">VLOOKUP($C95,OFFSET(enemy_skills!$A$1,0,0,COUNTA(enemy_skills!$A:$A),MATCH(D$1,enemy_skills!$1:$1,0)-MATCH("enemy_skill_id",enemy_skills!$1:$1,0)+1),MATCH(D$1,enemy_skills!$1:$1,0)-MATCH("enemy_skill_id",enemy_skills!$1:$1,0)+1,FALSE)</f>
        <v>優しすぎるキミの代わりに</v>
      </c>
      <c r="E95" s="43" t="str">
        <f ca="1">VLOOKUP($C95,OFFSET(enemy_skills!$A$1,0,0,COUNTA(enemy_skills!$A:$A),MATCH(E$1,enemy_skills!$1:$1,0)-MATCH("enemy_skill_id",enemy_skills!$1:$1,0)+1),MATCH(E$1,enemy_skills!$1:$1,0)-MATCH("enemy_skill_id",enemy_skills!$1:$1,0)+1,FALSE)</f>
        <v>僕が理想を実現してあげるよ…！！_x000D_【！】次のターン即死攻撃発動【！】</v>
      </c>
      <c r="F95" s="44">
        <v>41015114</v>
      </c>
      <c r="G95" s="45">
        <f ca="1">VLOOKUP($F95,OFFSET(enemy_skill_triggers!$A$1,0,0,COUNTA(enemy_skill_triggers!$A:$A),MATCH(G$1,enemy_skill_triggers!$1:$1,0)-MATCH($F$1,enemy_skill_triggers!$1:$1,0)+1),MATCH(G$1,enemy_skill_triggers!$1:$1,0)-MATCH($F$1,enemy_skill_triggers!$1:$1,0)+1,FALSE)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5" s="45">
        <f ca="1">VLOOKUP($F95,OFFSET(enemy_skill_triggers!$A$1,0,0,COUNTA(enemy_skill_triggers!$A:$A),MATCH(H$1,enemy_skill_triggers!$1:$1,0)-MATCH($F$1,enemy_skill_triggers!$1:$1,0)+1),MATCH(H$1,enemy_skill_triggers!$1:$1,0)-MATCH($F$1,enemy_skill_triggers!$1:$1,0)+1,FALSE)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95" s="45">
        <f ca="1">VLOOKUP($F95,OFFSET(enemy_skill_triggers!$A$1,0,0,COUNTA(enemy_skill_triggers!$A:$A),MATCH(I$1,enemy_skill_triggers!$1:$1,0)-MATCH($F$1,enemy_skill_triggers!$1:$1,0)+1),MATCH(I$1,enemy_skill_triggers!$1:$1,0)-MATCH($F$1,enemy_skill_triggers!$1:$1,0)+1,FALSE)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5" s="45" t="str">
        <f ca="1">VLOOKUP($F95,OFFSET(enemy_skill_triggers!$A$1,0,0,COUNTA(enemy_skill_triggers!$A:$A),MATCH(J$1,enemy_skill_triggers!$1:$1,0)-MATCH($F$1,enemy_skill_triggers!$1:$1,0)+1),MATCH(J$1,enemy_skill_triggers!$1:$1,0)-MATCH($F$1,enemy_skill_triggers!$1:$1,0)+1,FALSE)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5" s="45" t="str">
        <f ca="1">VLOOKUP($F95,OFFSET(enemy_skill_triggers!$A$1,0,0,COUNTA(enemy_skill_triggers!$A:$A),MATCH(K$1,enemy_skill_triggers!$1:$1,0)-MATCH($F$1,enemy_skill_triggers!$1:$1,0)+1),MATCH(K$1,enemy_skill_triggers!$1:$1,0)-MATCH($F$1,enemy_skill_triggers!$1:$1,0)+1,FALSE)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5" s="45">
        <f ca="1">VLOOKUP($F95,OFFSET(enemy_skill_triggers!$A$1,0,0,COUNTA(enemy_skill_triggers!$A:$A),MATCH(L$1,enemy_skill_triggers!$1:$1,0)-MATCH($F$1,enemy_skill_triggers!$1:$1,0)+1),MATCH(L$1,enemy_skill_triggers!$1:$1,0)-MATCH($F$1,enemy_skill_triggers!$1:$1,0)+1,FALSE)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5" s="45" t="str">
        <f ca="1">VLOOKUP($F95,OFFSET(enemy_skill_triggers!$A$1,0,0,COUNTA(enemy_skill_triggers!$A:$A),MATCH(M$1,enemy_skill_triggers!$1:$1,0)-MATCH($F$1,enemy_skill_triggers!$1:$1,0)+1),MATCH(M$1,enemy_skill_triggers!$1:$1,0)-MATCH($F$1,enemy_skill_triggers!$1:$1,0)+1,FALSE)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5" s="45">
        <f ca="1">VLOOKUP($F95,OFFSET(enemy_skill_triggers!$A$1,0,0,COUNTA(enemy_skill_triggers!$A:$A),MATCH(N$1,enemy_skill_triggers!$1:$1,0)-MATCH($F$1,enemy_skill_triggers!$1:$1,0)+1),MATCH(N$1,enemy_skill_triggers!$1:$1,0)-MATCH($F$1,enemy_skill_triggers!$1:$1,0)+1,FALSE)</f>
        <v>820</v>
      </c>
      <c r="O95" s="45">
        <f ca="1">VLOOKUP($F95,OFFSET(enemy_skill_triggers!$A$1,0,0,COUNTA(enemy_skill_triggers!$A:$A),MATCH(O$1,enemy_skill_triggers!$1:$1,0)-MATCH($F$1,enemy_skill_triggers!$1:$1,0)+1),MATCH(O$1,enemy_skill_triggers!$1:$1,0)-MATCH($F$1,enemy_skill_triggers!$1:$1,0)+1,FALSE)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5" s="44"/>
      <c r="Q95" s="44"/>
      <c r="R95" s="44"/>
    </row>
    <row r="96" spans="1:18" ht="21" customHeight="1" x14ac:dyDescent="0.15">
      <c r="A96" s="36" t="str">
        <f t="shared" si="9"/>
        <v>41015010_41015064</v>
      </c>
      <c r="B96" s="195">
        <v>41015010</v>
      </c>
      <c r="C96" s="195">
        <v>41015064</v>
      </c>
      <c r="D96" s="43" t="str">
        <f ca="1">VLOOKUP($C96,OFFSET(enemy_skills!$A$1,0,0,COUNTA(enemy_skills!$A:$A),MATCH(D$1,enemy_skills!$1:$1,0)-MATCH("enemy_skill_id",enemy_skills!$1:$1,0)+1),MATCH(D$1,enemy_skills!$1:$1,0)-MATCH("enemy_skill_id",enemy_skills!$1:$1,0)+1,FALSE)</f>
        <v>優しすぎるキミの代わりに</v>
      </c>
      <c r="E96" s="43" t="str">
        <f ca="1">VLOOKUP($C96,OFFSET(enemy_skills!$A$1,0,0,COUNTA(enemy_skills!$A:$A),MATCH(E$1,enemy_skills!$1:$1,0)-MATCH("enemy_skill_id",enemy_skills!$1:$1,0)+1),MATCH(E$1,enemy_skills!$1:$1,0)-MATCH("enemy_skill_id",enemy_skills!$1:$1,0)+1,FALSE)</f>
        <v>僕が理想を実現してあげるよ…！！_x000D_【！】次のターン即死攻撃発動【！】</v>
      </c>
      <c r="F96" s="195">
        <v>41015064</v>
      </c>
      <c r="G96" s="45">
        <f ca="1">VLOOKUP($F96,OFFSET(enemy_skill_triggers!$A$1,0,0,COUNTA(enemy_skill_triggers!$A:$A),MATCH(G$1,enemy_skill_triggers!$1:$1,0)-MATCH($F$1,enemy_skill_triggers!$1:$1,0)+1),MATCH(G$1,enemy_skill_triggers!$1:$1,0)-MATCH($F$1,enemy_skill_triggers!$1:$1,0)+1,FALSE)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6" s="45">
        <f ca="1">VLOOKUP($F96,OFFSET(enemy_skill_triggers!$A$1,0,0,COUNTA(enemy_skill_triggers!$A:$A),MATCH(H$1,enemy_skill_triggers!$1:$1,0)-MATCH($F$1,enemy_skill_triggers!$1:$1,0)+1),MATCH(H$1,enemy_skill_triggers!$1:$1,0)-MATCH($F$1,enemy_skill_triggers!$1:$1,0)+1,FALSE)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96" s="45">
        <f ca="1">VLOOKUP($F96,OFFSET(enemy_skill_triggers!$A$1,0,0,COUNTA(enemy_skill_triggers!$A:$A),MATCH(I$1,enemy_skill_triggers!$1:$1,0)-MATCH($F$1,enemy_skill_triggers!$1:$1,0)+1),MATCH(I$1,enemy_skill_triggers!$1:$1,0)-MATCH($F$1,enemy_skill_triggers!$1:$1,0)+1,FALSE)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6" s="45" t="str">
        <f ca="1">VLOOKUP($F96,OFFSET(enemy_skill_triggers!$A$1,0,0,COUNTA(enemy_skill_triggers!$A:$A),MATCH(J$1,enemy_skill_triggers!$1:$1,0)-MATCH($F$1,enemy_skill_triggers!$1:$1,0)+1),MATCH(J$1,enemy_skill_triggers!$1:$1,0)-MATCH($F$1,enemy_skill_triggers!$1:$1,0)+1,FALSE)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6" s="45" t="str">
        <f ca="1">VLOOKUP($F96,OFFSET(enemy_skill_triggers!$A$1,0,0,COUNTA(enemy_skill_triggers!$A:$A),MATCH(K$1,enemy_skill_triggers!$1:$1,0)-MATCH($F$1,enemy_skill_triggers!$1:$1,0)+1),MATCH(K$1,enemy_skill_triggers!$1:$1,0)-MATCH($F$1,enemy_skill_triggers!$1:$1,0)+1,FALSE)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6" s="45">
        <f ca="1">VLOOKUP($F96,OFFSET(enemy_skill_triggers!$A$1,0,0,COUNTA(enemy_skill_triggers!$A:$A),MATCH(L$1,enemy_skill_triggers!$1:$1,0)-MATCH($F$1,enemy_skill_triggers!$1:$1,0)+1),MATCH(L$1,enemy_skill_triggers!$1:$1,0)-MATCH($F$1,enemy_skill_triggers!$1:$1,0)+1,FALSE)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6" s="45" t="str">
        <f ca="1">VLOOKUP($F96,OFFSET(enemy_skill_triggers!$A$1,0,0,COUNTA(enemy_skill_triggers!$A:$A),MATCH(M$1,enemy_skill_triggers!$1:$1,0)-MATCH($F$1,enemy_skill_triggers!$1:$1,0)+1),MATCH(M$1,enemy_skill_triggers!$1:$1,0)-MATCH($F$1,enemy_skill_triggers!$1:$1,0)+1,FALSE)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6" s="45">
        <f ca="1">VLOOKUP($F96,OFFSET(enemy_skill_triggers!$A$1,0,0,COUNTA(enemy_skill_triggers!$A:$A),MATCH(N$1,enemy_skill_triggers!$1:$1,0)-MATCH($F$1,enemy_skill_triggers!$1:$1,0)+1),MATCH(N$1,enemy_skill_triggers!$1:$1,0)-MATCH($F$1,enemy_skill_triggers!$1:$1,0)+1,FALSE)</f>
        <v>473</v>
      </c>
      <c r="O96" s="45">
        <f ca="1">VLOOKUP($F96,OFFSET(enemy_skill_triggers!$A$1,0,0,COUNTA(enemy_skill_triggers!$A:$A),MATCH(O$1,enemy_skill_triggers!$1:$1,0)-MATCH($F$1,enemy_skill_triggers!$1:$1,0)+1),MATCH(O$1,enemy_skill_triggers!$1:$1,0)-MATCH($F$1,enemy_skill_triggers!$1:$1,0)+1,FALSE)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6" s="44"/>
      <c r="Q96" s="44"/>
      <c r="R96" s="44"/>
    </row>
    <row r="97" spans="1:18" ht="21" customHeight="1" x14ac:dyDescent="0.15">
      <c r="A97" s="36" t="str">
        <f t="shared" si="9"/>
        <v>41015010_41015102</v>
      </c>
      <c r="B97" s="195">
        <v>41015010</v>
      </c>
      <c r="C97" s="195">
        <v>41015102</v>
      </c>
      <c r="D97" s="43" t="str">
        <f ca="1">VLOOKUP($C97,OFFSET(enemy_skills!$A$1,0,0,COUNTA(enemy_skills!$A:$A),MATCH(D$1,enemy_skills!$1:$1,0)-MATCH("enemy_skill_id",enemy_skills!$1:$1,0)+1),MATCH(D$1,enemy_skills!$1:$1,0)-MATCH("enemy_skill_id",enemy_skills!$1:$1,0)+1,FALSE)</f>
        <v>優しすぎるキミの代わりに</v>
      </c>
      <c r="E97" s="43" t="str">
        <f ca="1">VLOOKUP($C97,OFFSET(enemy_skills!$A$1,0,0,COUNTA(enemy_skills!$A:$A),MATCH(E$1,enemy_skills!$1:$1,0)-MATCH("enemy_skill_id",enemy_skills!$1:$1,0)+1),MATCH(E$1,enemy_skills!$1:$1,0)-MATCH("enemy_skill_id",enemy_skills!$1:$1,0)+1,FALSE)</f>
        <v>僕が理想を実現してあげるよ…！！_x000D_【！】次のターン即死攻撃発動【！】</v>
      </c>
      <c r="F97" s="195">
        <v>41015102</v>
      </c>
      <c r="G97" s="45">
        <f ca="1">VLOOKUP($F97,OFFSET(enemy_skill_triggers!$A$1,0,0,COUNTA(enemy_skill_triggers!$A:$A),MATCH(G$1,enemy_skill_triggers!$1:$1,0)-MATCH($F$1,enemy_skill_triggers!$1:$1,0)+1),MATCH(G$1,enemy_skill_triggers!$1:$1,0)-MATCH($F$1,enemy_skill_triggers!$1:$1,0)+1,FALSE)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7" s="45">
        <f ca="1">VLOOKUP($F97,OFFSET(enemy_skill_triggers!$A$1,0,0,COUNTA(enemy_skill_triggers!$A:$A),MATCH(H$1,enemy_skill_triggers!$1:$1,0)-MATCH($F$1,enemy_skill_triggers!$1:$1,0)+1),MATCH(H$1,enemy_skill_triggers!$1:$1,0)-MATCH($F$1,enemy_skill_triggers!$1:$1,0)+1,FALSE)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97" s="45">
        <f ca="1">VLOOKUP($F97,OFFSET(enemy_skill_triggers!$A$1,0,0,COUNTA(enemy_skill_triggers!$A:$A),MATCH(I$1,enemy_skill_triggers!$1:$1,0)-MATCH($F$1,enemy_skill_triggers!$1:$1,0)+1),MATCH(I$1,enemy_skill_triggers!$1:$1,0)-MATCH($F$1,enemy_skill_triggers!$1:$1,0)+1,FALSE)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7" s="45" t="str">
        <f ca="1">VLOOKUP($F97,OFFSET(enemy_skill_triggers!$A$1,0,0,COUNTA(enemy_skill_triggers!$A:$A),MATCH(J$1,enemy_skill_triggers!$1:$1,0)-MATCH($F$1,enemy_skill_triggers!$1:$1,0)+1),MATCH(J$1,enemy_skill_triggers!$1:$1,0)-MATCH($F$1,enemy_skill_triggers!$1:$1,0)+1,FALSE)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7" s="45" t="str">
        <f ca="1">VLOOKUP($F97,OFFSET(enemy_skill_triggers!$A$1,0,0,COUNTA(enemy_skill_triggers!$A:$A),MATCH(K$1,enemy_skill_triggers!$1:$1,0)-MATCH($F$1,enemy_skill_triggers!$1:$1,0)+1),MATCH(K$1,enemy_skill_triggers!$1:$1,0)-MATCH($F$1,enemy_skill_triggers!$1:$1,0)+1,FALSE)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7" s="45">
        <f ca="1">VLOOKUP($F97,OFFSET(enemy_skill_triggers!$A$1,0,0,COUNTA(enemy_skill_triggers!$A:$A),MATCH(L$1,enemy_skill_triggers!$1:$1,0)-MATCH($F$1,enemy_skill_triggers!$1:$1,0)+1),MATCH(L$1,enemy_skill_triggers!$1:$1,0)-MATCH($F$1,enemy_skill_triggers!$1:$1,0)+1,FALSE)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7" s="45" t="str">
        <f ca="1">VLOOKUP($F97,OFFSET(enemy_skill_triggers!$A$1,0,0,COUNTA(enemy_skill_triggers!$A:$A),MATCH(M$1,enemy_skill_triggers!$1:$1,0)-MATCH($F$1,enemy_skill_triggers!$1:$1,0)+1),MATCH(M$1,enemy_skill_triggers!$1:$1,0)-MATCH($F$1,enemy_skill_triggers!$1:$1,0)+1,FALSE)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7" s="45">
        <f ca="1">VLOOKUP($F97,OFFSET(enemy_skill_triggers!$A$1,0,0,COUNTA(enemy_skill_triggers!$A:$A),MATCH(N$1,enemy_skill_triggers!$1:$1,0)-MATCH($F$1,enemy_skill_triggers!$1:$1,0)+1),MATCH(N$1,enemy_skill_triggers!$1:$1,0)-MATCH($F$1,enemy_skill_triggers!$1:$1,0)+1,FALSE)</f>
        <v>472</v>
      </c>
      <c r="O97" s="45">
        <f ca="1">VLOOKUP($F97,OFFSET(enemy_skill_triggers!$A$1,0,0,COUNTA(enemy_skill_triggers!$A:$A),MATCH(O$1,enemy_skill_triggers!$1:$1,0)-MATCH($F$1,enemy_skill_triggers!$1:$1,0)+1),MATCH(O$1,enemy_skill_triggers!$1:$1,0)-MATCH($F$1,enemy_skill_triggers!$1:$1,0)+1,FALSE)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7" s="44"/>
      <c r="Q97" s="44"/>
      <c r="R97" s="44"/>
    </row>
    <row r="98" spans="1:18" ht="21" customHeight="1" x14ac:dyDescent="0.15">
      <c r="A98" s="36" t="str">
        <f t="shared" ref="A98" si="11">B98&amp;"_"&amp;C98</f>
        <v>41015010_41015121</v>
      </c>
      <c r="B98" s="44">
        <v>41015010</v>
      </c>
      <c r="C98" s="44">
        <v>41015121</v>
      </c>
      <c r="D98" s="43" t="str">
        <f ca="1">VLOOKUP($C98,OFFSET(enemy_skills!$A$1,0,0,COUNTA(enemy_skills!$A:$A),MATCH(D$1,enemy_skills!$1:$1,0)-MATCH("enemy_skill_id",enemy_skills!$1:$1,0)+1),MATCH(D$1,enemy_skills!$1:$1,0)-MATCH("enemy_skill_id",enemy_skills!$1:$1,0)+1,FALSE)</f>
        <v>何を言っても今更か…</v>
      </c>
      <c r="E98" s="43" t="str">
        <f ca="1">VLOOKUP($C98,OFFSET(enemy_skills!$A$1,0,0,COUNTA(enemy_skills!$A:$A),MATCH(E$1,enemy_skills!$1:$1,0)-MATCH("enemy_skill_id",enemy_skills!$1:$1,0)+1),MATCH(E$1,enemy_skills!$1:$1,0)-MATCH("enemy_skill_id",enemy_skills!$1:$1,0)+1,FALSE)</f>
        <v>せめてキミを倒して　僕が彼の一番になる…！_x000D_【！】次のターン即死攻撃発動【！】</v>
      </c>
      <c r="F98" s="44">
        <v>41015115</v>
      </c>
      <c r="G98" s="45">
        <f ca="1">VLOOKUP($F98,OFFSET(enemy_skill_triggers!$A$1,0,0,COUNTA(enemy_skill_triggers!$A:$A),MATCH(G$1,enemy_skill_triggers!$1:$1,0)-MATCH($F$1,enemy_skill_triggers!$1:$1,0)+1),MATCH(G$1,enemy_skill_triggers!$1:$1,0)-MATCH($F$1,enemy_skill_triggers!$1:$1,0)+1,FALSE)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8" s="45">
        <f ca="1">VLOOKUP($F98,OFFSET(enemy_skill_triggers!$A$1,0,0,COUNTA(enemy_skill_triggers!$A:$A),MATCH(H$1,enemy_skill_triggers!$1:$1,0)-MATCH($F$1,enemy_skill_triggers!$1:$1,0)+1),MATCH(H$1,enemy_skill_triggers!$1:$1,0)-MATCH($F$1,enemy_skill_triggers!$1:$1,0)+1,FALSE)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98" s="45">
        <f ca="1">VLOOKUP($F98,OFFSET(enemy_skill_triggers!$A$1,0,0,COUNTA(enemy_skill_triggers!$A:$A),MATCH(I$1,enemy_skill_triggers!$1:$1,0)-MATCH($F$1,enemy_skill_triggers!$1:$1,0)+1),MATCH(I$1,enemy_skill_triggers!$1:$1,0)-MATCH($F$1,enemy_skill_triggers!$1:$1,0)+1,FALSE)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8" s="45" t="str">
        <f ca="1">VLOOKUP($F98,OFFSET(enemy_skill_triggers!$A$1,0,0,COUNTA(enemy_skill_triggers!$A:$A),MATCH(J$1,enemy_skill_triggers!$1:$1,0)-MATCH($F$1,enemy_skill_triggers!$1:$1,0)+1),MATCH(J$1,enemy_skill_triggers!$1:$1,0)-MATCH($F$1,enemy_skill_triggers!$1:$1,0)+1,FALSE)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8" s="45" t="str">
        <f ca="1">VLOOKUP($F98,OFFSET(enemy_skill_triggers!$A$1,0,0,COUNTA(enemy_skill_triggers!$A:$A),MATCH(K$1,enemy_skill_triggers!$1:$1,0)-MATCH($F$1,enemy_skill_triggers!$1:$1,0)+1),MATCH(K$1,enemy_skill_triggers!$1:$1,0)-MATCH($F$1,enemy_skill_triggers!$1:$1,0)+1,FALSE)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8" s="45">
        <f ca="1">VLOOKUP($F98,OFFSET(enemy_skill_triggers!$A$1,0,0,COUNTA(enemy_skill_triggers!$A:$A),MATCH(L$1,enemy_skill_triggers!$1:$1,0)-MATCH($F$1,enemy_skill_triggers!$1:$1,0)+1),MATCH(L$1,enemy_skill_triggers!$1:$1,0)-MATCH($F$1,enemy_skill_triggers!$1:$1,0)+1,FALSE)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8" s="45" t="str">
        <f ca="1">VLOOKUP($F98,OFFSET(enemy_skill_triggers!$A$1,0,0,COUNTA(enemy_skill_triggers!$A:$A),MATCH(M$1,enemy_skill_triggers!$1:$1,0)-MATCH($F$1,enemy_skill_triggers!$1:$1,0)+1),MATCH(M$1,enemy_skill_triggers!$1:$1,0)-MATCH($F$1,enemy_skill_triggers!$1:$1,0)+1,FALSE)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8" s="45">
        <f ca="1">VLOOKUP($F98,OFFSET(enemy_skill_triggers!$A$1,0,0,COUNTA(enemy_skill_triggers!$A:$A),MATCH(N$1,enemy_skill_triggers!$1:$1,0)-MATCH($F$1,enemy_skill_triggers!$1:$1,0)+1),MATCH(N$1,enemy_skill_triggers!$1:$1,0)-MATCH($F$1,enemy_skill_triggers!$1:$1,0)+1,FALSE)</f>
        <v>839</v>
      </c>
      <c r="O98" s="45">
        <f ca="1">VLOOKUP($F98,OFFSET(enemy_skill_triggers!$A$1,0,0,COUNTA(enemy_skill_triggers!$A:$A),MATCH(O$1,enemy_skill_triggers!$1:$1,0)-MATCH($F$1,enemy_skill_triggers!$1:$1,0)+1),MATCH(O$1,enemy_skill_triggers!$1:$1,0)-MATCH($F$1,enemy_skill_triggers!$1:$1,0)+1,FALSE)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8" s="44"/>
      <c r="Q98" s="44"/>
      <c r="R98" s="44"/>
    </row>
    <row r="99" spans="1:18" ht="21" customHeight="1" x14ac:dyDescent="0.15">
      <c r="A99" s="36" t="str">
        <f t="shared" si="9"/>
        <v>41015010_41015065</v>
      </c>
      <c r="B99" s="195">
        <v>41015010</v>
      </c>
      <c r="C99" s="195">
        <v>41015065</v>
      </c>
      <c r="D99" s="43" t="str">
        <f ca="1">VLOOKUP($C99,OFFSET(enemy_skills!$A$1,0,0,COUNTA(enemy_skills!$A:$A),MATCH(D$1,enemy_skills!$1:$1,0)-MATCH("enemy_skill_id",enemy_skills!$1:$1,0)+1),MATCH(D$1,enemy_skills!$1:$1,0)-MATCH("enemy_skill_id",enemy_skills!$1:$1,0)+1,FALSE)</f>
        <v>何を言っても今更か…</v>
      </c>
      <c r="E99" s="43" t="str">
        <f ca="1">VLOOKUP($C99,OFFSET(enemy_skills!$A$1,0,0,COUNTA(enemy_skills!$A:$A),MATCH(E$1,enemy_skills!$1:$1,0)-MATCH("enemy_skill_id",enemy_skills!$1:$1,0)+1),MATCH(E$1,enemy_skills!$1:$1,0)-MATCH("enemy_skill_id",enemy_skills!$1:$1,0)+1,FALSE)</f>
        <v>せめてキミを倒して　僕が彼の一番になる…！_x000D_【！】次のターン即死攻撃発動【！】</v>
      </c>
      <c r="F99" s="195">
        <v>41015065</v>
      </c>
      <c r="G99" s="45">
        <f ca="1">VLOOKUP($F99,OFFSET(enemy_skill_triggers!$A$1,0,0,COUNTA(enemy_skill_triggers!$A:$A),MATCH(G$1,enemy_skill_triggers!$1:$1,0)-MATCH($F$1,enemy_skill_triggers!$1:$1,0)+1),MATCH(G$1,enemy_skill_triggers!$1:$1,0)-MATCH($F$1,enemy_skill_triggers!$1:$1,0)+1,FALSE)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9" s="45">
        <f ca="1">VLOOKUP($F99,OFFSET(enemy_skill_triggers!$A$1,0,0,COUNTA(enemy_skill_triggers!$A:$A),MATCH(H$1,enemy_skill_triggers!$1:$1,0)-MATCH($F$1,enemy_skill_triggers!$1:$1,0)+1),MATCH(H$1,enemy_skill_triggers!$1:$1,0)-MATCH($F$1,enemy_skill_triggers!$1:$1,0)+1,FALSE)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99" s="45">
        <f ca="1">VLOOKUP($F99,OFFSET(enemy_skill_triggers!$A$1,0,0,COUNTA(enemy_skill_triggers!$A:$A),MATCH(I$1,enemy_skill_triggers!$1:$1,0)-MATCH($F$1,enemy_skill_triggers!$1:$1,0)+1),MATCH(I$1,enemy_skill_triggers!$1:$1,0)-MATCH($F$1,enemy_skill_triggers!$1:$1,0)+1,FALSE)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9" s="45" t="str">
        <f ca="1">VLOOKUP($F99,OFFSET(enemy_skill_triggers!$A$1,0,0,COUNTA(enemy_skill_triggers!$A:$A),MATCH(J$1,enemy_skill_triggers!$1:$1,0)-MATCH($F$1,enemy_skill_triggers!$1:$1,0)+1),MATCH(J$1,enemy_skill_triggers!$1:$1,0)-MATCH($F$1,enemy_skill_triggers!$1:$1,0)+1,FALSE)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9" s="45" t="str">
        <f ca="1">VLOOKUP($F99,OFFSET(enemy_skill_triggers!$A$1,0,0,COUNTA(enemy_skill_triggers!$A:$A),MATCH(K$1,enemy_skill_triggers!$1:$1,0)-MATCH($F$1,enemy_skill_triggers!$1:$1,0)+1),MATCH(K$1,enemy_skill_triggers!$1:$1,0)-MATCH($F$1,enemy_skill_triggers!$1:$1,0)+1,FALSE)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9" s="45">
        <f ca="1">VLOOKUP($F99,OFFSET(enemy_skill_triggers!$A$1,0,0,COUNTA(enemy_skill_triggers!$A:$A),MATCH(L$1,enemy_skill_triggers!$1:$1,0)-MATCH($F$1,enemy_skill_triggers!$1:$1,0)+1),MATCH(L$1,enemy_skill_triggers!$1:$1,0)-MATCH($F$1,enemy_skill_triggers!$1:$1,0)+1,FALSE)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9" s="45" t="str">
        <f ca="1">VLOOKUP($F99,OFFSET(enemy_skill_triggers!$A$1,0,0,COUNTA(enemy_skill_triggers!$A:$A),MATCH(M$1,enemy_skill_triggers!$1:$1,0)-MATCH($F$1,enemy_skill_triggers!$1:$1,0)+1),MATCH(M$1,enemy_skill_triggers!$1:$1,0)-MATCH($F$1,enemy_skill_triggers!$1:$1,0)+1,FALSE)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9" s="45">
        <f ca="1">VLOOKUP($F99,OFFSET(enemy_skill_triggers!$A$1,0,0,COUNTA(enemy_skill_triggers!$A:$A),MATCH(N$1,enemy_skill_triggers!$1:$1,0)-MATCH($F$1,enemy_skill_triggers!$1:$1,0)+1),MATCH(N$1,enemy_skill_triggers!$1:$1,0)-MATCH($F$1,enemy_skill_triggers!$1:$1,0)+1,FALSE)</f>
        <v>466</v>
      </c>
      <c r="O99" s="45">
        <f ca="1">VLOOKUP($F99,OFFSET(enemy_skill_triggers!$A$1,0,0,COUNTA(enemy_skill_triggers!$A:$A),MATCH(O$1,enemy_skill_triggers!$1:$1,0)-MATCH($F$1,enemy_skill_triggers!$1:$1,0)+1),MATCH(O$1,enemy_skill_triggers!$1:$1,0)-MATCH($F$1,enemy_skill_triggers!$1:$1,0)+1,FALSE)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9" s="44"/>
      <c r="Q99" s="44"/>
      <c r="R99" s="44"/>
    </row>
    <row r="100" spans="1:18" ht="21" customHeight="1" x14ac:dyDescent="0.15">
      <c r="A100" s="36" t="str">
        <f t="shared" si="9"/>
        <v>41015010_41015103</v>
      </c>
      <c r="B100" s="195">
        <v>41015010</v>
      </c>
      <c r="C100" s="195">
        <v>41015103</v>
      </c>
      <c r="D100" s="43" t="str">
        <f ca="1">VLOOKUP($C100,OFFSET(enemy_skills!$A$1,0,0,COUNTA(enemy_skills!$A:$A),MATCH(D$1,enemy_skills!$1:$1,0)-MATCH("enemy_skill_id",enemy_skills!$1:$1,0)+1),MATCH(D$1,enemy_skills!$1:$1,0)-MATCH("enemy_skill_id",enemy_skills!$1:$1,0)+1,FALSE)</f>
        <v>何を言っても今更か…</v>
      </c>
      <c r="E100" s="43" t="str">
        <f ca="1">VLOOKUP($C100,OFFSET(enemy_skills!$A$1,0,0,COUNTA(enemy_skills!$A:$A),MATCH(E$1,enemy_skills!$1:$1,0)-MATCH("enemy_skill_id",enemy_skills!$1:$1,0)+1),MATCH(E$1,enemy_skills!$1:$1,0)-MATCH("enemy_skill_id",enemy_skills!$1:$1,0)+1,FALSE)</f>
        <v>せめてキミを倒して　僕が彼の一番になる…！_x000D_【！】次のターン即死攻撃発動【！】</v>
      </c>
      <c r="F100" s="195">
        <v>41015103</v>
      </c>
      <c r="G100" s="45">
        <f ca="1">VLOOKUP($F100,OFFSET(enemy_skill_triggers!$A$1,0,0,COUNTA(enemy_skill_triggers!$A:$A),MATCH(G$1,enemy_skill_triggers!$1:$1,0)-MATCH($F$1,enemy_skill_triggers!$1:$1,0)+1),MATCH(G$1,enemy_skill_triggers!$1:$1,0)-MATCH($F$1,enemy_skill_triggers!$1:$1,0)+1,FALSE)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0" s="45">
        <f ca="1">VLOOKUP($F100,OFFSET(enemy_skill_triggers!$A$1,0,0,COUNTA(enemy_skill_triggers!$A:$A),MATCH(H$1,enemy_skill_triggers!$1:$1,0)-MATCH($F$1,enemy_skill_triggers!$1:$1,0)+1),MATCH(H$1,enemy_skill_triggers!$1:$1,0)-MATCH($F$1,enemy_skill_triggers!$1:$1,0)+1,FALSE)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100" s="45">
        <f ca="1">VLOOKUP($F100,OFFSET(enemy_skill_triggers!$A$1,0,0,COUNTA(enemy_skill_triggers!$A:$A),MATCH(I$1,enemy_skill_triggers!$1:$1,0)-MATCH($F$1,enemy_skill_triggers!$1:$1,0)+1),MATCH(I$1,enemy_skill_triggers!$1:$1,0)-MATCH($F$1,enemy_skill_triggers!$1:$1,0)+1,FALSE)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0" s="45" t="str">
        <f ca="1">VLOOKUP($F100,OFFSET(enemy_skill_triggers!$A$1,0,0,COUNTA(enemy_skill_triggers!$A:$A),MATCH(J$1,enemy_skill_triggers!$1:$1,0)-MATCH($F$1,enemy_skill_triggers!$1:$1,0)+1),MATCH(J$1,enemy_skill_triggers!$1:$1,0)-MATCH($F$1,enemy_skill_triggers!$1:$1,0)+1,FALSE)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0" s="45" t="str">
        <f ca="1">VLOOKUP($F100,OFFSET(enemy_skill_triggers!$A$1,0,0,COUNTA(enemy_skill_triggers!$A:$A),MATCH(K$1,enemy_skill_triggers!$1:$1,0)-MATCH($F$1,enemy_skill_triggers!$1:$1,0)+1),MATCH(K$1,enemy_skill_triggers!$1:$1,0)-MATCH($F$1,enemy_skill_triggers!$1:$1,0)+1,FALSE)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0" s="45">
        <f ca="1">VLOOKUP($F100,OFFSET(enemy_skill_triggers!$A$1,0,0,COUNTA(enemy_skill_triggers!$A:$A),MATCH(L$1,enemy_skill_triggers!$1:$1,0)-MATCH($F$1,enemy_skill_triggers!$1:$1,0)+1),MATCH(L$1,enemy_skill_triggers!$1:$1,0)-MATCH($F$1,enemy_skill_triggers!$1:$1,0)+1,FALSE)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0" s="45" t="str">
        <f ca="1">VLOOKUP($F100,OFFSET(enemy_skill_triggers!$A$1,0,0,COUNTA(enemy_skill_triggers!$A:$A),MATCH(M$1,enemy_skill_triggers!$1:$1,0)-MATCH($F$1,enemy_skill_triggers!$1:$1,0)+1),MATCH(M$1,enemy_skill_triggers!$1:$1,0)-MATCH($F$1,enemy_skill_triggers!$1:$1,0)+1,FALSE)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0" s="45">
        <f ca="1">VLOOKUP($F100,OFFSET(enemy_skill_triggers!$A$1,0,0,COUNTA(enemy_skill_triggers!$A:$A),MATCH(N$1,enemy_skill_triggers!$1:$1,0)-MATCH($F$1,enemy_skill_triggers!$1:$1,0)+1),MATCH(N$1,enemy_skill_triggers!$1:$1,0)-MATCH($F$1,enemy_skill_triggers!$1:$1,0)+1,FALSE)</f>
        <v>465</v>
      </c>
      <c r="O100" s="45">
        <f ca="1">VLOOKUP($F100,OFFSET(enemy_skill_triggers!$A$1,0,0,COUNTA(enemy_skill_triggers!$A:$A),MATCH(O$1,enemy_skill_triggers!$1:$1,0)-MATCH($F$1,enemy_skill_triggers!$1:$1,0)+1),MATCH(O$1,enemy_skill_triggers!$1:$1,0)-MATCH($F$1,enemy_skill_triggers!$1:$1,0)+1,FALSE)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0" s="44"/>
      <c r="Q100" s="44"/>
      <c r="R100" s="44"/>
    </row>
    <row r="101" spans="1:18" ht="21" customHeight="1" x14ac:dyDescent="0.15">
      <c r="A101" s="36" t="str">
        <f t="shared" ref="A101" si="12">B101&amp;"_"&amp;C101</f>
        <v>41015010_41015122</v>
      </c>
      <c r="B101" s="44">
        <v>41015010</v>
      </c>
      <c r="C101" s="44">
        <v>41015122</v>
      </c>
      <c r="D101" s="43" t="str">
        <f ca="1">VLOOKUP($C101,OFFSET(enemy_skills!$A$1,0,0,COUNTA(enemy_skills!$A:$A),MATCH(D$1,enemy_skills!$1:$1,0)-MATCH("enemy_skill_id",enemy_skills!$1:$1,0)+1),MATCH(D$1,enemy_skills!$1:$1,0)-MATCH("enemy_skill_id",enemy_skills!$1:$1,0)+1,FALSE)</f>
        <v>ここで葬り去ってやる</v>
      </c>
      <c r="E101" s="43" t="str">
        <f ca="1">VLOOKUP($C101,OFFSET(enemy_skills!$A$1,0,0,COUNTA(enemy_skills!$A:$A),MATCH(E$1,enemy_skills!$1:$1,0)-MATCH("enemy_skill_id",enemy_skills!$1:$1,0)+1),MATCH(E$1,enemy_skills!$1:$1,0)-MATCH("enemy_skill_id",enemy_skills!$1:$1,0)+1,FALSE)</f>
        <v>キミの存在が…彼の正義を鈍らせる前にね_x000D_【！】次のターン即死攻撃発動【！】</v>
      </c>
      <c r="F101" s="44">
        <v>41015116</v>
      </c>
      <c r="G101" s="45">
        <f ca="1">VLOOKUP($F101,OFFSET(enemy_skill_triggers!$A$1,0,0,COUNTA(enemy_skill_triggers!$A:$A),MATCH(G$1,enemy_skill_triggers!$1:$1,0)-MATCH($F$1,enemy_skill_triggers!$1:$1,0)+1),MATCH(G$1,enemy_skill_triggers!$1:$1,0)-MATCH($F$1,enemy_skill_triggers!$1:$1,0)+1,FALSE)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1" s="45">
        <f ca="1">VLOOKUP($F101,OFFSET(enemy_skill_triggers!$A$1,0,0,COUNTA(enemy_skill_triggers!$A:$A),MATCH(H$1,enemy_skill_triggers!$1:$1,0)-MATCH($F$1,enemy_skill_triggers!$1:$1,0)+1),MATCH(H$1,enemy_skill_triggers!$1:$1,0)-MATCH($F$1,enemy_skill_triggers!$1:$1,0)+1,FALSE)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101" s="45">
        <f ca="1">VLOOKUP($F101,OFFSET(enemy_skill_triggers!$A$1,0,0,COUNTA(enemy_skill_triggers!$A:$A),MATCH(I$1,enemy_skill_triggers!$1:$1,0)-MATCH($F$1,enemy_skill_triggers!$1:$1,0)+1),MATCH(I$1,enemy_skill_triggers!$1:$1,0)-MATCH($F$1,enemy_skill_triggers!$1:$1,0)+1,FALSE)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1" s="45" t="str">
        <f ca="1">VLOOKUP($F101,OFFSET(enemy_skill_triggers!$A$1,0,0,COUNTA(enemy_skill_triggers!$A:$A),MATCH(J$1,enemy_skill_triggers!$1:$1,0)-MATCH($F$1,enemy_skill_triggers!$1:$1,0)+1),MATCH(J$1,enemy_skill_triggers!$1:$1,0)-MATCH($F$1,enemy_skill_triggers!$1:$1,0)+1,FALSE)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1" s="45" t="str">
        <f ca="1">VLOOKUP($F101,OFFSET(enemy_skill_triggers!$A$1,0,0,COUNTA(enemy_skill_triggers!$A:$A),MATCH(K$1,enemy_skill_triggers!$1:$1,0)-MATCH($F$1,enemy_skill_triggers!$1:$1,0)+1),MATCH(K$1,enemy_skill_triggers!$1:$1,0)-MATCH($F$1,enemy_skill_triggers!$1:$1,0)+1,FALSE)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1" s="45">
        <f ca="1">VLOOKUP($F101,OFFSET(enemy_skill_triggers!$A$1,0,0,COUNTA(enemy_skill_triggers!$A:$A),MATCH(L$1,enemy_skill_triggers!$1:$1,0)-MATCH($F$1,enemy_skill_triggers!$1:$1,0)+1),MATCH(L$1,enemy_skill_triggers!$1:$1,0)-MATCH($F$1,enemy_skill_triggers!$1:$1,0)+1,FALSE)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1" s="45" t="str">
        <f ca="1">VLOOKUP($F101,OFFSET(enemy_skill_triggers!$A$1,0,0,COUNTA(enemy_skill_triggers!$A:$A),MATCH(M$1,enemy_skill_triggers!$1:$1,0)-MATCH($F$1,enemy_skill_triggers!$1:$1,0)+1),MATCH(M$1,enemy_skill_triggers!$1:$1,0)-MATCH($F$1,enemy_skill_triggers!$1:$1,0)+1,FALSE)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1" s="45">
        <f ca="1">VLOOKUP($F101,OFFSET(enemy_skill_triggers!$A$1,0,0,COUNTA(enemy_skill_triggers!$A:$A),MATCH(N$1,enemy_skill_triggers!$1:$1,0)-MATCH($F$1,enemy_skill_triggers!$1:$1,0)+1),MATCH(N$1,enemy_skill_triggers!$1:$1,0)-MATCH($F$1,enemy_skill_triggers!$1:$1,0)+1,FALSE)</f>
        <v>819</v>
      </c>
      <c r="O101" s="45">
        <f ca="1">VLOOKUP($F101,OFFSET(enemy_skill_triggers!$A$1,0,0,COUNTA(enemy_skill_triggers!$A:$A),MATCH(O$1,enemy_skill_triggers!$1:$1,0)-MATCH($F$1,enemy_skill_triggers!$1:$1,0)+1),MATCH(O$1,enemy_skill_triggers!$1:$1,0)-MATCH($F$1,enemy_skill_triggers!$1:$1,0)+1,FALSE)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1" s="44"/>
      <c r="Q101" s="44"/>
      <c r="R101" s="44"/>
    </row>
    <row r="102" spans="1:18" ht="21" customHeight="1" x14ac:dyDescent="0.15">
      <c r="A102" s="36" t="str">
        <f t="shared" si="9"/>
        <v>41015010_41015066</v>
      </c>
      <c r="B102" s="195">
        <v>41015010</v>
      </c>
      <c r="C102" s="195">
        <v>41015066</v>
      </c>
      <c r="D102" s="43" t="str">
        <f ca="1">VLOOKUP($C102,OFFSET(enemy_skills!$A$1,0,0,COUNTA(enemy_skills!$A:$A),MATCH(D$1,enemy_skills!$1:$1,0)-MATCH("enemy_skill_id",enemy_skills!$1:$1,0)+1),MATCH(D$1,enemy_skills!$1:$1,0)-MATCH("enemy_skill_id",enemy_skills!$1:$1,0)+1,FALSE)</f>
        <v>ここで葬り去ってやる</v>
      </c>
      <c r="E102" s="43" t="str">
        <f ca="1">VLOOKUP($C102,OFFSET(enemy_skills!$A$1,0,0,COUNTA(enemy_skills!$A:$A),MATCH(E$1,enemy_skills!$1:$1,0)-MATCH("enemy_skill_id",enemy_skills!$1:$1,0)+1),MATCH(E$1,enemy_skills!$1:$1,0)-MATCH("enemy_skill_id",enemy_skills!$1:$1,0)+1,FALSE)</f>
        <v>キミの存在が…彼の正義を鈍らせる前にね_x000D_【！】次のターン即死攻撃発動【！】</v>
      </c>
      <c r="F102" s="195">
        <v>41015066</v>
      </c>
      <c r="G102" s="45">
        <f ca="1">VLOOKUP($F102,OFFSET(enemy_skill_triggers!$A$1,0,0,COUNTA(enemy_skill_triggers!$A:$A),MATCH(G$1,enemy_skill_triggers!$1:$1,0)-MATCH($F$1,enemy_skill_triggers!$1:$1,0)+1),MATCH(G$1,enemy_skill_triggers!$1:$1,0)-MATCH($F$1,enemy_skill_triggers!$1:$1,0)+1,FALSE)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2" s="45">
        <f ca="1">VLOOKUP($F102,OFFSET(enemy_skill_triggers!$A$1,0,0,COUNTA(enemy_skill_triggers!$A:$A),MATCH(H$1,enemy_skill_triggers!$1:$1,0)-MATCH($F$1,enemy_skill_triggers!$1:$1,0)+1),MATCH(H$1,enemy_skill_triggers!$1:$1,0)-MATCH($F$1,enemy_skill_triggers!$1:$1,0)+1,FALSE)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102" s="45">
        <f ca="1">VLOOKUP($F102,OFFSET(enemy_skill_triggers!$A$1,0,0,COUNTA(enemy_skill_triggers!$A:$A),MATCH(I$1,enemy_skill_triggers!$1:$1,0)-MATCH($F$1,enemy_skill_triggers!$1:$1,0)+1),MATCH(I$1,enemy_skill_triggers!$1:$1,0)-MATCH($F$1,enemy_skill_triggers!$1:$1,0)+1,FALSE)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2" s="45" t="str">
        <f ca="1">VLOOKUP($F102,OFFSET(enemy_skill_triggers!$A$1,0,0,COUNTA(enemy_skill_triggers!$A:$A),MATCH(J$1,enemy_skill_triggers!$1:$1,0)-MATCH($F$1,enemy_skill_triggers!$1:$1,0)+1),MATCH(J$1,enemy_skill_triggers!$1:$1,0)-MATCH($F$1,enemy_skill_triggers!$1:$1,0)+1,FALSE)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2" s="45" t="str">
        <f ca="1">VLOOKUP($F102,OFFSET(enemy_skill_triggers!$A$1,0,0,COUNTA(enemy_skill_triggers!$A:$A),MATCH(K$1,enemy_skill_triggers!$1:$1,0)-MATCH($F$1,enemy_skill_triggers!$1:$1,0)+1),MATCH(K$1,enemy_skill_triggers!$1:$1,0)-MATCH($F$1,enemy_skill_triggers!$1:$1,0)+1,FALSE)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2" s="45">
        <f ca="1">VLOOKUP($F102,OFFSET(enemy_skill_triggers!$A$1,0,0,COUNTA(enemy_skill_triggers!$A:$A),MATCH(L$1,enemy_skill_triggers!$1:$1,0)-MATCH($F$1,enemy_skill_triggers!$1:$1,0)+1),MATCH(L$1,enemy_skill_triggers!$1:$1,0)-MATCH($F$1,enemy_skill_triggers!$1:$1,0)+1,FALSE)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2" s="45" t="str">
        <f ca="1">VLOOKUP($F102,OFFSET(enemy_skill_triggers!$A$1,0,0,COUNTA(enemy_skill_triggers!$A:$A),MATCH(M$1,enemy_skill_triggers!$1:$1,0)-MATCH($F$1,enemy_skill_triggers!$1:$1,0)+1),MATCH(M$1,enemy_skill_triggers!$1:$1,0)-MATCH($F$1,enemy_skill_triggers!$1:$1,0)+1,FALSE)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2" s="45">
        <f ca="1">VLOOKUP($F102,OFFSET(enemy_skill_triggers!$A$1,0,0,COUNTA(enemy_skill_triggers!$A:$A),MATCH(N$1,enemy_skill_triggers!$1:$1,0)-MATCH($F$1,enemy_skill_triggers!$1:$1,0)+1),MATCH(N$1,enemy_skill_triggers!$1:$1,0)-MATCH($F$1,enemy_skill_triggers!$1:$1,0)+1,FALSE)</f>
        <v>468</v>
      </c>
      <c r="O102" s="45">
        <f ca="1">VLOOKUP($F102,OFFSET(enemy_skill_triggers!$A$1,0,0,COUNTA(enemy_skill_triggers!$A:$A),MATCH(O$1,enemy_skill_triggers!$1:$1,0)-MATCH($F$1,enemy_skill_triggers!$1:$1,0)+1),MATCH(O$1,enemy_skill_triggers!$1:$1,0)-MATCH($F$1,enemy_skill_triggers!$1:$1,0)+1,FALSE)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2" s="44"/>
      <c r="Q102" s="44"/>
      <c r="R102" s="44"/>
    </row>
    <row r="103" spans="1:18" ht="21" customHeight="1" x14ac:dyDescent="0.15">
      <c r="A103" s="36" t="str">
        <f t="shared" si="9"/>
        <v>41015010_41015104</v>
      </c>
      <c r="B103" s="195">
        <v>41015010</v>
      </c>
      <c r="C103" s="195">
        <v>41015104</v>
      </c>
      <c r="D103" s="43" t="str">
        <f ca="1">VLOOKUP($C103,OFFSET(enemy_skills!$A$1,0,0,COUNTA(enemy_skills!$A:$A),MATCH(D$1,enemy_skills!$1:$1,0)-MATCH("enemy_skill_id",enemy_skills!$1:$1,0)+1),MATCH(D$1,enemy_skills!$1:$1,0)-MATCH("enemy_skill_id",enemy_skills!$1:$1,0)+1,FALSE)</f>
        <v>ここで葬り去ってやる</v>
      </c>
      <c r="E103" s="43" t="str">
        <f ca="1">VLOOKUP($C103,OFFSET(enemy_skills!$A$1,0,0,COUNTA(enemy_skills!$A:$A),MATCH(E$1,enemy_skills!$1:$1,0)-MATCH("enemy_skill_id",enemy_skills!$1:$1,0)+1),MATCH(E$1,enemy_skills!$1:$1,0)-MATCH("enemy_skill_id",enemy_skills!$1:$1,0)+1,FALSE)</f>
        <v>キミの存在が…彼の正義を鈍らせる前にね_x000D_【！】次のターン即死攻撃発動【！】</v>
      </c>
      <c r="F103" s="195">
        <v>41015104</v>
      </c>
      <c r="G103" s="45">
        <f ca="1">VLOOKUP($F103,OFFSET(enemy_skill_triggers!$A$1,0,0,COUNTA(enemy_skill_triggers!$A:$A),MATCH(G$1,enemy_skill_triggers!$1:$1,0)-MATCH($F$1,enemy_skill_triggers!$1:$1,0)+1),MATCH(G$1,enemy_skill_triggers!$1:$1,0)-MATCH($F$1,enemy_skill_triggers!$1:$1,0)+1,FALSE)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3" s="45">
        <f ca="1">VLOOKUP($F103,OFFSET(enemy_skill_triggers!$A$1,0,0,COUNTA(enemy_skill_triggers!$A:$A),MATCH(H$1,enemy_skill_triggers!$1:$1,0)-MATCH($F$1,enemy_skill_triggers!$1:$1,0)+1),MATCH(H$1,enemy_skill_triggers!$1:$1,0)-MATCH($F$1,enemy_skill_triggers!$1:$1,0)+1,FALSE)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103" s="45">
        <f ca="1">VLOOKUP($F103,OFFSET(enemy_skill_triggers!$A$1,0,0,COUNTA(enemy_skill_triggers!$A:$A),MATCH(I$1,enemy_skill_triggers!$1:$1,0)-MATCH($F$1,enemy_skill_triggers!$1:$1,0)+1),MATCH(I$1,enemy_skill_triggers!$1:$1,0)-MATCH($F$1,enemy_skill_triggers!$1:$1,0)+1,FALSE)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3" s="45" t="str">
        <f ca="1">VLOOKUP($F103,OFFSET(enemy_skill_triggers!$A$1,0,0,COUNTA(enemy_skill_triggers!$A:$A),MATCH(J$1,enemy_skill_triggers!$1:$1,0)-MATCH($F$1,enemy_skill_triggers!$1:$1,0)+1),MATCH(J$1,enemy_skill_triggers!$1:$1,0)-MATCH($F$1,enemy_skill_triggers!$1:$1,0)+1,FALSE)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3" s="45" t="str">
        <f ca="1">VLOOKUP($F103,OFFSET(enemy_skill_triggers!$A$1,0,0,COUNTA(enemy_skill_triggers!$A:$A),MATCH(K$1,enemy_skill_triggers!$1:$1,0)-MATCH($F$1,enemy_skill_triggers!$1:$1,0)+1),MATCH(K$1,enemy_skill_triggers!$1:$1,0)-MATCH($F$1,enemy_skill_triggers!$1:$1,0)+1,FALSE)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3" s="45">
        <f ca="1">VLOOKUP($F103,OFFSET(enemy_skill_triggers!$A$1,0,0,COUNTA(enemy_skill_triggers!$A:$A),MATCH(L$1,enemy_skill_triggers!$1:$1,0)-MATCH($F$1,enemy_skill_triggers!$1:$1,0)+1),MATCH(L$1,enemy_skill_triggers!$1:$1,0)-MATCH($F$1,enemy_skill_triggers!$1:$1,0)+1,FALSE)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3" s="45" t="str">
        <f ca="1">VLOOKUP($F103,OFFSET(enemy_skill_triggers!$A$1,0,0,COUNTA(enemy_skill_triggers!$A:$A),MATCH(M$1,enemy_skill_triggers!$1:$1,0)-MATCH($F$1,enemy_skill_triggers!$1:$1,0)+1),MATCH(M$1,enemy_skill_triggers!$1:$1,0)-MATCH($F$1,enemy_skill_triggers!$1:$1,0)+1,FALSE)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3" s="45">
        <f ca="1">VLOOKUP($F103,OFFSET(enemy_skill_triggers!$A$1,0,0,COUNTA(enemy_skill_triggers!$A:$A),MATCH(N$1,enemy_skill_triggers!$1:$1,0)-MATCH($F$1,enemy_skill_triggers!$1:$1,0)+1),MATCH(N$1,enemy_skill_triggers!$1:$1,0)-MATCH($F$1,enemy_skill_triggers!$1:$1,0)+1,FALSE)</f>
        <v>467</v>
      </c>
      <c r="O103" s="45">
        <f ca="1">VLOOKUP($F103,OFFSET(enemy_skill_triggers!$A$1,0,0,COUNTA(enemy_skill_triggers!$A:$A),MATCH(O$1,enemy_skill_triggers!$1:$1,0)-MATCH($F$1,enemy_skill_triggers!$1:$1,0)+1),MATCH(O$1,enemy_skill_triggers!$1:$1,0)-MATCH($F$1,enemy_skill_triggers!$1:$1,0)+1,FALSE)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3" s="44"/>
      <c r="Q103" s="44"/>
      <c r="R103" s="44"/>
    </row>
    <row r="104" spans="1:18" ht="21" customHeight="1" x14ac:dyDescent="0.15">
      <c r="A104" s="36" t="str">
        <f t="shared" si="9"/>
        <v>41015010_41015067</v>
      </c>
      <c r="B104" s="44">
        <v>41015010</v>
      </c>
      <c r="C104" s="44">
        <v>41015067</v>
      </c>
      <c r="D104" s="43" t="str">
        <f ca="1">VLOOKUP($C104,OFFSET(enemy_skills!$A$1,0,0,COUNTA(enemy_skills!$A:$A),MATCH(D$1,enemy_skills!$1:$1,0)-MATCH("enemy_skill_id",enemy_skills!$1:$1,0)+1),MATCH(D$1,enemy_skills!$1:$1,0)-MATCH("enemy_skill_id",enemy_skills!$1:$1,0)+1,FALSE)</f>
        <v>…何を笑っているのです</v>
      </c>
      <c r="E104" s="43" t="str">
        <f ca="1">VLOOKUP($C104,OFFSET(enemy_skills!$A$1,0,0,COUNTA(enemy_skills!$A:$A),MATCH(E$1,enemy_skills!$1:$1,0)-MATCH("enemy_skill_id",enemy_skills!$1:$1,0)+1),MATCH(E$1,enemy_skills!$1:$1,0)-MATCH("enemy_skill_id",enemy_skills!$1:$1,0)+1,FALSE)</f>
        <v>これ以上やり合えば　命の保証はしませんよ_x000D_【！】次のターン即死攻撃発動【！】</v>
      </c>
      <c r="F104" s="44">
        <v>41015067</v>
      </c>
      <c r="G104" s="45">
        <f ca="1">VLOOKUP($F104,OFFSET(enemy_skill_triggers!$A$1,0,0,COUNTA(enemy_skill_triggers!$A:$A),MATCH(G$1,enemy_skill_triggers!$1:$1,0)-MATCH($F$1,enemy_skill_triggers!$1:$1,0)+1),MATCH(G$1,enemy_skill_triggers!$1:$1,0)-MATCH($F$1,enemy_skill_triggers!$1:$1,0)+1,FALSE)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4" s="45">
        <f ca="1">VLOOKUP($F104,OFFSET(enemy_skill_triggers!$A$1,0,0,COUNTA(enemy_skill_triggers!$A:$A),MATCH(H$1,enemy_skill_triggers!$1:$1,0)-MATCH($F$1,enemy_skill_triggers!$1:$1,0)+1),MATCH(H$1,enemy_skill_triggers!$1:$1,0)-MATCH($F$1,enemy_skill_triggers!$1:$1,0)+1,FALSE)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104" s="45">
        <f ca="1">VLOOKUP($F104,OFFSET(enemy_skill_triggers!$A$1,0,0,COUNTA(enemy_skill_triggers!$A:$A),MATCH(I$1,enemy_skill_triggers!$1:$1,0)-MATCH($F$1,enemy_skill_triggers!$1:$1,0)+1),MATCH(I$1,enemy_skill_triggers!$1:$1,0)-MATCH($F$1,enemy_skill_triggers!$1:$1,0)+1,FALSE)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4" s="45" t="str">
        <f ca="1">VLOOKUP($F104,OFFSET(enemy_skill_triggers!$A$1,0,0,COUNTA(enemy_skill_triggers!$A:$A),MATCH(J$1,enemy_skill_triggers!$1:$1,0)-MATCH($F$1,enemy_skill_triggers!$1:$1,0)+1),MATCH(J$1,enemy_skill_triggers!$1:$1,0)-MATCH($F$1,enemy_skill_triggers!$1:$1,0)+1,FALSE)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4" s="45" t="str">
        <f ca="1">VLOOKUP($F104,OFFSET(enemy_skill_triggers!$A$1,0,0,COUNTA(enemy_skill_triggers!$A:$A),MATCH(K$1,enemy_skill_triggers!$1:$1,0)-MATCH($F$1,enemy_skill_triggers!$1:$1,0)+1),MATCH(K$1,enemy_skill_triggers!$1:$1,0)-MATCH($F$1,enemy_skill_triggers!$1:$1,0)+1,FALSE)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4" s="45">
        <f ca="1">VLOOKUP($F104,OFFSET(enemy_skill_triggers!$A$1,0,0,COUNTA(enemy_skill_triggers!$A:$A),MATCH(L$1,enemy_skill_triggers!$1:$1,0)-MATCH($F$1,enemy_skill_triggers!$1:$1,0)+1),MATCH(L$1,enemy_skill_triggers!$1:$1,0)-MATCH($F$1,enemy_skill_triggers!$1:$1,0)+1,FALSE)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4" s="45" t="str">
        <f ca="1">VLOOKUP($F104,OFFSET(enemy_skill_triggers!$A$1,0,0,COUNTA(enemy_skill_triggers!$A:$A),MATCH(M$1,enemy_skill_triggers!$1:$1,0)-MATCH($F$1,enemy_skill_triggers!$1:$1,0)+1),MATCH(M$1,enemy_skill_triggers!$1:$1,0)-MATCH($F$1,enemy_skill_triggers!$1:$1,0)+1,FALSE)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4" s="45">
        <f ca="1">VLOOKUP($F104,OFFSET(enemy_skill_triggers!$A$1,0,0,COUNTA(enemy_skill_triggers!$A:$A),MATCH(N$1,enemy_skill_triggers!$1:$1,0)-MATCH($F$1,enemy_skill_triggers!$1:$1,0)+1),MATCH(N$1,enemy_skill_triggers!$1:$1,0)-MATCH($F$1,enemy_skill_triggers!$1:$1,0)+1,FALSE)</f>
        <v>464</v>
      </c>
      <c r="O104" s="45">
        <f ca="1">VLOOKUP($F104,OFFSET(enemy_skill_triggers!$A$1,0,0,COUNTA(enemy_skill_triggers!$A:$A),MATCH(O$1,enemy_skill_triggers!$1:$1,0)-MATCH($F$1,enemy_skill_triggers!$1:$1,0)+1),MATCH(O$1,enemy_skill_triggers!$1:$1,0)-MATCH($F$1,enemy_skill_triggers!$1:$1,0)+1,FALSE)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4" s="44"/>
      <c r="Q104" s="44"/>
      <c r="R104" s="44"/>
    </row>
    <row r="105" spans="1:18" ht="21" customHeight="1" x14ac:dyDescent="0.15">
      <c r="A105" s="36" t="str">
        <f t="shared" si="9"/>
        <v>41015010_41015105</v>
      </c>
      <c r="B105" s="195">
        <v>41015010</v>
      </c>
      <c r="C105" s="195">
        <v>41015105</v>
      </c>
      <c r="D105" s="43" t="str">
        <f ca="1">VLOOKUP($C105,OFFSET(enemy_skills!$A$1,0,0,COUNTA(enemy_skills!$A:$A),MATCH(D$1,enemy_skills!$1:$1,0)-MATCH("enemy_skill_id",enemy_skills!$1:$1,0)+1),MATCH(D$1,enemy_skills!$1:$1,0)-MATCH("enemy_skill_id",enemy_skills!$1:$1,0)+1,FALSE)</f>
        <v>…何を笑っているのです</v>
      </c>
      <c r="E105" s="43" t="str">
        <f ca="1">VLOOKUP($C105,OFFSET(enemy_skills!$A$1,0,0,COUNTA(enemy_skills!$A:$A),MATCH(E$1,enemy_skills!$1:$1,0)-MATCH("enemy_skill_id",enemy_skills!$1:$1,0)+1),MATCH(E$1,enemy_skills!$1:$1,0)-MATCH("enemy_skill_id",enemy_skills!$1:$1,0)+1,FALSE)</f>
        <v>これ以上やり合えば　命の保証はしませんよ_x000D_【！】次のターン即死攻撃発動【！】</v>
      </c>
      <c r="F105" s="195">
        <v>41015105</v>
      </c>
      <c r="G105" s="45">
        <f ca="1">VLOOKUP($F105,OFFSET(enemy_skill_triggers!$A$1,0,0,COUNTA(enemy_skill_triggers!$A:$A),MATCH(G$1,enemy_skill_triggers!$1:$1,0)-MATCH($F$1,enemy_skill_triggers!$1:$1,0)+1),MATCH(G$1,enemy_skill_triggers!$1:$1,0)-MATCH($F$1,enemy_skill_triggers!$1:$1,0)+1,FALSE)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5" s="45">
        <f ca="1">VLOOKUP($F105,OFFSET(enemy_skill_triggers!$A$1,0,0,COUNTA(enemy_skill_triggers!$A:$A),MATCH(H$1,enemy_skill_triggers!$1:$1,0)-MATCH($F$1,enemy_skill_triggers!$1:$1,0)+1),MATCH(H$1,enemy_skill_triggers!$1:$1,0)-MATCH($F$1,enemy_skill_triggers!$1:$1,0)+1,FALSE)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105" s="45">
        <f ca="1">VLOOKUP($F105,OFFSET(enemy_skill_triggers!$A$1,0,0,COUNTA(enemy_skill_triggers!$A:$A),MATCH(I$1,enemy_skill_triggers!$1:$1,0)-MATCH($F$1,enemy_skill_triggers!$1:$1,0)+1),MATCH(I$1,enemy_skill_triggers!$1:$1,0)-MATCH($F$1,enemy_skill_triggers!$1:$1,0)+1,FALSE)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5" s="45" t="str">
        <f ca="1">VLOOKUP($F105,OFFSET(enemy_skill_triggers!$A$1,0,0,COUNTA(enemy_skill_triggers!$A:$A),MATCH(J$1,enemy_skill_triggers!$1:$1,0)-MATCH($F$1,enemy_skill_triggers!$1:$1,0)+1),MATCH(J$1,enemy_skill_triggers!$1:$1,0)-MATCH($F$1,enemy_skill_triggers!$1:$1,0)+1,FALSE)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5" s="45" t="str">
        <f ca="1">VLOOKUP($F105,OFFSET(enemy_skill_triggers!$A$1,0,0,COUNTA(enemy_skill_triggers!$A:$A),MATCH(K$1,enemy_skill_triggers!$1:$1,0)-MATCH($F$1,enemy_skill_triggers!$1:$1,0)+1),MATCH(K$1,enemy_skill_triggers!$1:$1,0)-MATCH($F$1,enemy_skill_triggers!$1:$1,0)+1,FALSE)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5" s="45">
        <f ca="1">VLOOKUP($F105,OFFSET(enemy_skill_triggers!$A$1,0,0,COUNTA(enemy_skill_triggers!$A:$A),MATCH(L$1,enemy_skill_triggers!$1:$1,0)-MATCH($F$1,enemy_skill_triggers!$1:$1,0)+1),MATCH(L$1,enemy_skill_triggers!$1:$1,0)-MATCH($F$1,enemy_skill_triggers!$1:$1,0)+1,FALSE)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5" s="45" t="str">
        <f ca="1">VLOOKUP($F105,OFFSET(enemy_skill_triggers!$A$1,0,0,COUNTA(enemy_skill_triggers!$A:$A),MATCH(M$1,enemy_skill_triggers!$1:$1,0)-MATCH($F$1,enemy_skill_triggers!$1:$1,0)+1),MATCH(M$1,enemy_skill_triggers!$1:$1,0)-MATCH($F$1,enemy_skill_triggers!$1:$1,0)+1,FALSE)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5" s="45">
        <f ca="1">VLOOKUP($F105,OFFSET(enemy_skill_triggers!$A$1,0,0,COUNTA(enemy_skill_triggers!$A:$A),MATCH(N$1,enemy_skill_triggers!$1:$1,0)-MATCH($F$1,enemy_skill_triggers!$1:$1,0)+1),MATCH(N$1,enemy_skill_triggers!$1:$1,0)-MATCH($F$1,enemy_skill_triggers!$1:$1,0)+1,FALSE)</f>
        <v>463</v>
      </c>
      <c r="O105" s="45">
        <f ca="1">VLOOKUP($F105,OFFSET(enemy_skill_triggers!$A$1,0,0,COUNTA(enemy_skill_triggers!$A:$A),MATCH(O$1,enemy_skill_triggers!$1:$1,0)-MATCH($F$1,enemy_skill_triggers!$1:$1,0)+1),MATCH(O$1,enemy_skill_triggers!$1:$1,0)-MATCH($F$1,enemy_skill_triggers!$1:$1,0)+1,FALSE)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5" s="44"/>
      <c r="Q105" s="44"/>
      <c r="R105" s="44"/>
    </row>
    <row r="106" spans="1:18" ht="21" customHeight="1" x14ac:dyDescent="0.15">
      <c r="A106" s="36" t="str">
        <f t="shared" si="9"/>
        <v>41015010_41015106</v>
      </c>
      <c r="B106" s="195">
        <v>41015010</v>
      </c>
      <c r="C106" s="195">
        <v>41015106</v>
      </c>
      <c r="D106" s="43" t="str">
        <f ca="1">VLOOKUP($C106,OFFSET(enemy_skills!$A$1,0,0,COUNTA(enemy_skills!$A:$A),MATCH(D$1,enemy_skills!$1:$1,0)-MATCH("enemy_skill_id",enemy_skills!$1:$1,0)+1),MATCH(D$1,enemy_skills!$1:$1,0)-MATCH("enemy_skill_id",enemy_skills!$1:$1,0)+1,FALSE)</f>
        <v>…何を笑っているのです</v>
      </c>
      <c r="E106" s="43" t="str">
        <f ca="1">VLOOKUP($C106,OFFSET(enemy_skills!$A$1,0,0,COUNTA(enemy_skills!$A:$A),MATCH(E$1,enemy_skills!$1:$1,0)-MATCH("enemy_skill_id",enemy_skills!$1:$1,0)+1),MATCH(E$1,enemy_skills!$1:$1,0)-MATCH("enemy_skill_id",enemy_skills!$1:$1,0)+1,FALSE)</f>
        <v>これ以上やり合えば　命の保証はしませんよ_x000D_【！】次のターン即死攻撃発動【！】</v>
      </c>
      <c r="F106" s="195">
        <v>41015106</v>
      </c>
      <c r="G106" s="45">
        <f ca="1">VLOOKUP($F106,OFFSET(enemy_skill_triggers!$A$1,0,0,COUNTA(enemy_skill_triggers!$A:$A),MATCH(G$1,enemy_skill_triggers!$1:$1,0)-MATCH($F$1,enemy_skill_triggers!$1:$1,0)+1),MATCH(G$1,enemy_skill_triggers!$1:$1,0)-MATCH($F$1,enemy_skill_triggers!$1:$1,0)+1,FALSE)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6" s="45">
        <f ca="1">VLOOKUP($F106,OFFSET(enemy_skill_triggers!$A$1,0,0,COUNTA(enemy_skill_triggers!$A:$A),MATCH(H$1,enemy_skill_triggers!$1:$1,0)-MATCH($F$1,enemy_skill_triggers!$1:$1,0)+1),MATCH(H$1,enemy_skill_triggers!$1:$1,0)-MATCH($F$1,enemy_skill_triggers!$1:$1,0)+1,FALSE)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106" s="45">
        <f ca="1">VLOOKUP($F106,OFFSET(enemy_skill_triggers!$A$1,0,0,COUNTA(enemy_skill_triggers!$A:$A),MATCH(I$1,enemy_skill_triggers!$1:$1,0)-MATCH($F$1,enemy_skill_triggers!$1:$1,0)+1),MATCH(I$1,enemy_skill_triggers!$1:$1,0)-MATCH($F$1,enemy_skill_triggers!$1:$1,0)+1,FALSE)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6" s="45" t="str">
        <f ca="1">VLOOKUP($F106,OFFSET(enemy_skill_triggers!$A$1,0,0,COUNTA(enemy_skill_triggers!$A:$A),MATCH(J$1,enemy_skill_triggers!$1:$1,0)-MATCH($F$1,enemy_skill_triggers!$1:$1,0)+1),MATCH(J$1,enemy_skill_triggers!$1:$1,0)-MATCH($F$1,enemy_skill_triggers!$1:$1,0)+1,FALSE)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6" s="45" t="str">
        <f ca="1">VLOOKUP($F106,OFFSET(enemy_skill_triggers!$A$1,0,0,COUNTA(enemy_skill_triggers!$A:$A),MATCH(K$1,enemy_skill_triggers!$1:$1,0)-MATCH($F$1,enemy_skill_triggers!$1:$1,0)+1),MATCH(K$1,enemy_skill_triggers!$1:$1,0)-MATCH($F$1,enemy_skill_triggers!$1:$1,0)+1,FALSE)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6" s="45">
        <f ca="1">VLOOKUP($F106,OFFSET(enemy_skill_triggers!$A$1,0,0,COUNTA(enemy_skill_triggers!$A:$A),MATCH(L$1,enemy_skill_triggers!$1:$1,0)-MATCH($F$1,enemy_skill_triggers!$1:$1,0)+1),MATCH(L$1,enemy_skill_triggers!$1:$1,0)-MATCH($F$1,enemy_skill_triggers!$1:$1,0)+1,FALSE)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6" s="45" t="str">
        <f ca="1">VLOOKUP($F106,OFFSET(enemy_skill_triggers!$A$1,0,0,COUNTA(enemy_skill_triggers!$A:$A),MATCH(M$1,enemy_skill_triggers!$1:$1,0)-MATCH($F$1,enemy_skill_triggers!$1:$1,0)+1),MATCH(M$1,enemy_skill_triggers!$1:$1,0)-MATCH($F$1,enemy_skill_triggers!$1:$1,0)+1,FALSE)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6" s="45">
        <f ca="1">VLOOKUP($F106,OFFSET(enemy_skill_triggers!$A$1,0,0,COUNTA(enemy_skill_triggers!$A:$A),MATCH(N$1,enemy_skill_triggers!$1:$1,0)-MATCH($F$1,enemy_skill_triggers!$1:$1,0)+1),MATCH(N$1,enemy_skill_triggers!$1:$1,0)-MATCH($F$1,enemy_skill_triggers!$1:$1,0)+1,FALSE)</f>
        <v>462</v>
      </c>
      <c r="O106" s="45">
        <f ca="1">VLOOKUP($F106,OFFSET(enemy_skill_triggers!$A$1,0,0,COUNTA(enemy_skill_triggers!$A:$A),MATCH(O$1,enemy_skill_triggers!$1:$1,0)-MATCH($F$1,enemy_skill_triggers!$1:$1,0)+1),MATCH(O$1,enemy_skill_triggers!$1:$1,0)-MATCH($F$1,enemy_skill_triggers!$1:$1,0)+1,FALSE)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6" s="44"/>
      <c r="Q106" s="44"/>
      <c r="R106" s="44"/>
    </row>
    <row r="107" spans="1:18" ht="21" customHeight="1" x14ac:dyDescent="0.15">
      <c r="A107" s="36" t="str">
        <f t="shared" si="9"/>
        <v>41015010_41015068</v>
      </c>
      <c r="B107" s="44">
        <v>41015010</v>
      </c>
      <c r="C107" s="44">
        <v>41015068</v>
      </c>
      <c r="D107" s="43" t="str">
        <f ca="1">VLOOKUP($C107,OFFSET(enemy_skills!$A$1,0,0,COUNTA(enemy_skills!$A:$A),MATCH(D$1,enemy_skills!$1:$1,0)-MATCH("enemy_skill_id",enemy_skills!$1:$1,0)+1),MATCH(D$1,enemy_skills!$1:$1,0)-MATCH("enemy_skill_id",enemy_skills!$1:$1,0)+1,FALSE)</f>
        <v>そうか…ようやくキミも…</v>
      </c>
      <c r="E107" s="43" t="str">
        <f ca="1">VLOOKUP($C107,OFFSET(enemy_skills!$A$1,0,0,COUNTA(enemy_skills!$A:$A),MATCH(E$1,enemy_skills!$1:$1,0)-MATCH("enemy_skill_id",enemy_skills!$1:$1,0)+1),MATCH(E$1,enemy_skills!$1:$1,0)-MATCH("enemy_skill_id",enemy_skills!$1:$1,0)+1,FALSE)</f>
        <v>失礼　ならば全霊をかけてキミを倒そう_x000D_【！】次のターン即死攻撃発動【！】</v>
      </c>
      <c r="F107" s="44">
        <v>41015068</v>
      </c>
      <c r="G107" s="45">
        <f ca="1">VLOOKUP($F107,OFFSET(enemy_skill_triggers!$A$1,0,0,COUNTA(enemy_skill_triggers!$A:$A),MATCH(G$1,enemy_skill_triggers!$1:$1,0)-MATCH($F$1,enemy_skill_triggers!$1:$1,0)+1),MATCH(G$1,enemy_skill_triggers!$1:$1,0)-MATCH($F$1,enemy_skill_triggers!$1:$1,0)+1,FALSE)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7" s="45">
        <f ca="1">VLOOKUP($F107,OFFSET(enemy_skill_triggers!$A$1,0,0,COUNTA(enemy_skill_triggers!$A:$A),MATCH(H$1,enemy_skill_triggers!$1:$1,0)-MATCH($F$1,enemy_skill_triggers!$1:$1,0)+1),MATCH(H$1,enemy_skill_triggers!$1:$1,0)-MATCH($F$1,enemy_skill_triggers!$1:$1,0)+1,FALSE)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107" s="45">
        <f ca="1">VLOOKUP($F107,OFFSET(enemy_skill_triggers!$A$1,0,0,COUNTA(enemy_skill_triggers!$A:$A),MATCH(I$1,enemy_skill_triggers!$1:$1,0)-MATCH($F$1,enemy_skill_triggers!$1:$1,0)+1),MATCH(I$1,enemy_skill_triggers!$1:$1,0)-MATCH($F$1,enemy_skill_triggers!$1:$1,0)+1,FALSE)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7" s="45" t="str">
        <f ca="1">VLOOKUP($F107,OFFSET(enemy_skill_triggers!$A$1,0,0,COUNTA(enemy_skill_triggers!$A:$A),MATCH(J$1,enemy_skill_triggers!$1:$1,0)-MATCH($F$1,enemy_skill_triggers!$1:$1,0)+1),MATCH(J$1,enemy_skill_triggers!$1:$1,0)-MATCH($F$1,enemy_skill_triggers!$1:$1,0)+1,FALSE)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7" s="45" t="str">
        <f ca="1">VLOOKUP($F107,OFFSET(enemy_skill_triggers!$A$1,0,0,COUNTA(enemy_skill_triggers!$A:$A),MATCH(K$1,enemy_skill_triggers!$1:$1,0)-MATCH($F$1,enemy_skill_triggers!$1:$1,0)+1),MATCH(K$1,enemy_skill_triggers!$1:$1,0)-MATCH($F$1,enemy_skill_triggers!$1:$1,0)+1,FALSE)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7" s="45">
        <f ca="1">VLOOKUP($F107,OFFSET(enemy_skill_triggers!$A$1,0,0,COUNTA(enemy_skill_triggers!$A:$A),MATCH(L$1,enemy_skill_triggers!$1:$1,0)-MATCH($F$1,enemy_skill_triggers!$1:$1,0)+1),MATCH(L$1,enemy_skill_triggers!$1:$1,0)-MATCH($F$1,enemy_skill_triggers!$1:$1,0)+1,FALSE)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7" s="45" t="str">
        <f ca="1">VLOOKUP($F107,OFFSET(enemy_skill_triggers!$A$1,0,0,COUNTA(enemy_skill_triggers!$A:$A),MATCH(M$1,enemy_skill_triggers!$1:$1,0)-MATCH($F$1,enemy_skill_triggers!$1:$1,0)+1),MATCH(M$1,enemy_skill_triggers!$1:$1,0)-MATCH($F$1,enemy_skill_triggers!$1:$1,0)+1,FALSE)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7" s="45">
        <f ca="1">VLOOKUP($F107,OFFSET(enemy_skill_triggers!$A$1,0,0,COUNTA(enemy_skill_triggers!$A:$A),MATCH(N$1,enemy_skill_triggers!$1:$1,0)-MATCH($F$1,enemy_skill_triggers!$1:$1,0)+1),MATCH(N$1,enemy_skill_triggers!$1:$1,0)-MATCH($F$1,enemy_skill_triggers!$1:$1,0)+1,FALSE)</f>
        <v>471</v>
      </c>
      <c r="O107" s="45">
        <f ca="1">VLOOKUP($F107,OFFSET(enemy_skill_triggers!$A$1,0,0,COUNTA(enemy_skill_triggers!$A:$A),MATCH(O$1,enemy_skill_triggers!$1:$1,0)-MATCH($F$1,enemy_skill_triggers!$1:$1,0)+1),MATCH(O$1,enemy_skill_triggers!$1:$1,0)-MATCH($F$1,enemy_skill_triggers!$1:$1,0)+1,FALSE)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7" s="44"/>
      <c r="Q107" s="44"/>
      <c r="R107" s="44"/>
    </row>
    <row r="108" spans="1:18" ht="21" customHeight="1" x14ac:dyDescent="0.15">
      <c r="A108" s="36" t="str">
        <f t="shared" si="9"/>
        <v>41015010_41015107</v>
      </c>
      <c r="B108" s="195">
        <v>41015010</v>
      </c>
      <c r="C108" s="195">
        <v>41015107</v>
      </c>
      <c r="D108" s="43" t="str">
        <f ca="1">VLOOKUP($C108,OFFSET(enemy_skills!$A$1,0,0,COUNTA(enemy_skills!$A:$A),MATCH(D$1,enemy_skills!$1:$1,0)-MATCH("enemy_skill_id",enemy_skills!$1:$1,0)+1),MATCH(D$1,enemy_skills!$1:$1,0)-MATCH("enemy_skill_id",enemy_skills!$1:$1,0)+1,FALSE)</f>
        <v>そうか…ようやくキミも…</v>
      </c>
      <c r="E108" s="43" t="str">
        <f ca="1">VLOOKUP($C108,OFFSET(enemy_skills!$A$1,0,0,COUNTA(enemy_skills!$A:$A),MATCH(E$1,enemy_skills!$1:$1,0)-MATCH("enemy_skill_id",enemy_skills!$1:$1,0)+1),MATCH(E$1,enemy_skills!$1:$1,0)-MATCH("enemy_skill_id",enemy_skills!$1:$1,0)+1,FALSE)</f>
        <v>失礼　ならば全霊をかけてキミを倒そう_x000D_【！】次のターン即死攻撃発動【！】</v>
      </c>
      <c r="F108" s="195">
        <v>41015107</v>
      </c>
      <c r="G108" s="45">
        <f ca="1">VLOOKUP($F108,OFFSET(enemy_skill_triggers!$A$1,0,0,COUNTA(enemy_skill_triggers!$A:$A),MATCH(G$1,enemy_skill_triggers!$1:$1,0)-MATCH($F$1,enemy_skill_triggers!$1:$1,0)+1),MATCH(G$1,enemy_skill_triggers!$1:$1,0)-MATCH($F$1,enemy_skill_triggers!$1:$1,0)+1,FALSE)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8" s="45">
        <f ca="1">VLOOKUP($F108,OFFSET(enemy_skill_triggers!$A$1,0,0,COUNTA(enemy_skill_triggers!$A:$A),MATCH(H$1,enemy_skill_triggers!$1:$1,0)-MATCH($F$1,enemy_skill_triggers!$1:$1,0)+1),MATCH(H$1,enemy_skill_triggers!$1:$1,0)-MATCH($F$1,enemy_skill_triggers!$1:$1,0)+1,FALSE)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108" s="45">
        <f ca="1">VLOOKUP($F108,OFFSET(enemy_skill_triggers!$A$1,0,0,COUNTA(enemy_skill_triggers!$A:$A),MATCH(I$1,enemy_skill_triggers!$1:$1,0)-MATCH($F$1,enemy_skill_triggers!$1:$1,0)+1),MATCH(I$1,enemy_skill_triggers!$1:$1,0)-MATCH($F$1,enemy_skill_triggers!$1:$1,0)+1,FALSE)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8" s="45" t="str">
        <f ca="1">VLOOKUP($F108,OFFSET(enemy_skill_triggers!$A$1,0,0,COUNTA(enemy_skill_triggers!$A:$A),MATCH(J$1,enemy_skill_triggers!$1:$1,0)-MATCH($F$1,enemy_skill_triggers!$1:$1,0)+1),MATCH(J$1,enemy_skill_triggers!$1:$1,0)-MATCH($F$1,enemy_skill_triggers!$1:$1,0)+1,FALSE)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8" s="45" t="str">
        <f ca="1">VLOOKUP($F108,OFFSET(enemy_skill_triggers!$A$1,0,0,COUNTA(enemy_skill_triggers!$A:$A),MATCH(K$1,enemy_skill_triggers!$1:$1,0)-MATCH($F$1,enemy_skill_triggers!$1:$1,0)+1),MATCH(K$1,enemy_skill_triggers!$1:$1,0)-MATCH($F$1,enemy_skill_triggers!$1:$1,0)+1,FALSE)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8" s="45">
        <f ca="1">VLOOKUP($F108,OFFSET(enemy_skill_triggers!$A$1,0,0,COUNTA(enemy_skill_triggers!$A:$A),MATCH(L$1,enemy_skill_triggers!$1:$1,0)-MATCH($F$1,enemy_skill_triggers!$1:$1,0)+1),MATCH(L$1,enemy_skill_triggers!$1:$1,0)-MATCH($F$1,enemy_skill_triggers!$1:$1,0)+1,FALSE)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8" s="45" t="str">
        <f ca="1">VLOOKUP($F108,OFFSET(enemy_skill_triggers!$A$1,0,0,COUNTA(enemy_skill_triggers!$A:$A),MATCH(M$1,enemy_skill_triggers!$1:$1,0)-MATCH($F$1,enemy_skill_triggers!$1:$1,0)+1),MATCH(M$1,enemy_skill_triggers!$1:$1,0)-MATCH($F$1,enemy_skill_triggers!$1:$1,0)+1,FALSE)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8" s="45">
        <f ca="1">VLOOKUP($F108,OFFSET(enemy_skill_triggers!$A$1,0,0,COUNTA(enemy_skill_triggers!$A:$A),MATCH(N$1,enemy_skill_triggers!$1:$1,0)-MATCH($F$1,enemy_skill_triggers!$1:$1,0)+1),MATCH(N$1,enemy_skill_triggers!$1:$1,0)-MATCH($F$1,enemy_skill_triggers!$1:$1,0)+1,FALSE)</f>
        <v>470</v>
      </c>
      <c r="O108" s="45">
        <f ca="1">VLOOKUP($F108,OFFSET(enemy_skill_triggers!$A$1,0,0,COUNTA(enemy_skill_triggers!$A:$A),MATCH(O$1,enemy_skill_triggers!$1:$1,0)-MATCH($F$1,enemy_skill_triggers!$1:$1,0)+1),MATCH(O$1,enemy_skill_triggers!$1:$1,0)-MATCH($F$1,enemy_skill_triggers!$1:$1,0)+1,FALSE)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8" s="44"/>
      <c r="Q108" s="44"/>
      <c r="R108" s="44"/>
    </row>
    <row r="109" spans="1:18" ht="21" customHeight="1" x14ac:dyDescent="0.15">
      <c r="A109" s="36" t="str">
        <f t="shared" si="9"/>
        <v>41015010_41015108</v>
      </c>
      <c r="B109" s="195">
        <v>41015010</v>
      </c>
      <c r="C109" s="195">
        <v>41015108</v>
      </c>
      <c r="D109" s="43" t="str">
        <f ca="1">VLOOKUP($C109,OFFSET(enemy_skills!$A$1,0,0,COUNTA(enemy_skills!$A:$A),MATCH(D$1,enemy_skills!$1:$1,0)-MATCH("enemy_skill_id",enemy_skills!$1:$1,0)+1),MATCH(D$1,enemy_skills!$1:$1,0)-MATCH("enemy_skill_id",enemy_skills!$1:$1,0)+1,FALSE)</f>
        <v>そうか…ようやくキミも…</v>
      </c>
      <c r="E109" s="43" t="str">
        <f ca="1">VLOOKUP($C109,OFFSET(enemy_skills!$A$1,0,0,COUNTA(enemy_skills!$A:$A),MATCH(E$1,enemy_skills!$1:$1,0)-MATCH("enemy_skill_id",enemy_skills!$1:$1,0)+1),MATCH(E$1,enemy_skills!$1:$1,0)-MATCH("enemy_skill_id",enemy_skills!$1:$1,0)+1,FALSE)</f>
        <v>失礼　ならば全霊をかけてキミを倒そう_x000D_【！】次のターン即死攻撃発動【！】</v>
      </c>
      <c r="F109" s="195">
        <v>41015108</v>
      </c>
      <c r="G109" s="45">
        <f ca="1">VLOOKUP($F109,OFFSET(enemy_skill_triggers!$A$1,0,0,COUNTA(enemy_skill_triggers!$A:$A),MATCH(G$1,enemy_skill_triggers!$1:$1,0)-MATCH($F$1,enemy_skill_triggers!$1:$1,0)+1),MATCH(G$1,enemy_skill_triggers!$1:$1,0)-MATCH($F$1,enemy_skill_triggers!$1:$1,0)+1,FALSE)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9" s="45">
        <f ca="1">VLOOKUP($F109,OFFSET(enemy_skill_triggers!$A$1,0,0,COUNTA(enemy_skill_triggers!$A:$A),MATCH(H$1,enemy_skill_triggers!$1:$1,0)-MATCH($F$1,enemy_skill_triggers!$1:$1,0)+1),MATCH(H$1,enemy_skill_triggers!$1:$1,0)-MATCH($F$1,enemy_skill_triggers!$1:$1,0)+1,FALSE)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109" s="45">
        <f ca="1">VLOOKUP($F109,OFFSET(enemy_skill_triggers!$A$1,0,0,COUNTA(enemy_skill_triggers!$A:$A),MATCH(I$1,enemy_skill_triggers!$1:$1,0)-MATCH($F$1,enemy_skill_triggers!$1:$1,0)+1),MATCH(I$1,enemy_skill_triggers!$1:$1,0)-MATCH($F$1,enemy_skill_triggers!$1:$1,0)+1,FALSE)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9" s="45" t="str">
        <f ca="1">VLOOKUP($F109,OFFSET(enemy_skill_triggers!$A$1,0,0,COUNTA(enemy_skill_triggers!$A:$A),MATCH(J$1,enemy_skill_triggers!$1:$1,0)-MATCH($F$1,enemy_skill_triggers!$1:$1,0)+1),MATCH(J$1,enemy_skill_triggers!$1:$1,0)-MATCH($F$1,enemy_skill_triggers!$1:$1,0)+1,FALSE)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9" s="45" t="str">
        <f ca="1">VLOOKUP($F109,OFFSET(enemy_skill_triggers!$A$1,0,0,COUNTA(enemy_skill_triggers!$A:$A),MATCH(K$1,enemy_skill_triggers!$1:$1,0)-MATCH($F$1,enemy_skill_triggers!$1:$1,0)+1),MATCH(K$1,enemy_skill_triggers!$1:$1,0)-MATCH($F$1,enemy_skill_triggers!$1:$1,0)+1,FALSE)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9" s="45">
        <f ca="1">VLOOKUP($F109,OFFSET(enemy_skill_triggers!$A$1,0,0,COUNTA(enemy_skill_triggers!$A:$A),MATCH(L$1,enemy_skill_triggers!$1:$1,0)-MATCH($F$1,enemy_skill_triggers!$1:$1,0)+1),MATCH(L$1,enemy_skill_triggers!$1:$1,0)-MATCH($F$1,enemy_skill_triggers!$1:$1,0)+1,FALSE)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9" s="45" t="str">
        <f ca="1">VLOOKUP($F109,OFFSET(enemy_skill_triggers!$A$1,0,0,COUNTA(enemy_skill_triggers!$A:$A),MATCH(M$1,enemy_skill_triggers!$1:$1,0)-MATCH($F$1,enemy_skill_triggers!$1:$1,0)+1),MATCH(M$1,enemy_skill_triggers!$1:$1,0)-MATCH($F$1,enemy_skill_triggers!$1:$1,0)+1,FALSE)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9" s="45">
        <f ca="1">VLOOKUP($F109,OFFSET(enemy_skill_triggers!$A$1,0,0,COUNTA(enemy_skill_triggers!$A:$A),MATCH(N$1,enemy_skill_triggers!$1:$1,0)-MATCH($F$1,enemy_skill_triggers!$1:$1,0)+1),MATCH(N$1,enemy_skill_triggers!$1:$1,0)-MATCH($F$1,enemy_skill_triggers!$1:$1,0)+1,FALSE)</f>
        <v>469</v>
      </c>
      <c r="O109" s="45">
        <f ca="1">VLOOKUP($F109,OFFSET(enemy_skill_triggers!$A$1,0,0,COUNTA(enemy_skill_triggers!$A:$A),MATCH(O$1,enemy_skill_triggers!$1:$1,0)-MATCH($F$1,enemy_skill_triggers!$1:$1,0)+1),MATCH(O$1,enemy_skill_triggers!$1:$1,0)-MATCH($F$1,enemy_skill_triggers!$1:$1,0)+1,FALSE)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9" s="44"/>
      <c r="Q109" s="44"/>
      <c r="R109" s="44"/>
    </row>
    <row r="110" spans="1:18" ht="21" customHeight="1" x14ac:dyDescent="0.15">
      <c r="A110" s="36" t="str">
        <f t="shared" si="9"/>
        <v>41015010_41015069</v>
      </c>
      <c r="B110" s="44">
        <v>41015010</v>
      </c>
      <c r="C110" s="44">
        <v>41015069</v>
      </c>
      <c r="D110" s="43" t="str">
        <f ca="1">VLOOKUP($C110,OFFSET(enemy_skills!$A$1,0,0,COUNTA(enemy_skills!$A:$A),MATCH(D$1,enemy_skills!$1:$1,0)-MATCH("enemy_skill_id",enemy_skills!$1:$1,0)+1),MATCH(D$1,enemy_skills!$1:$1,0)-MATCH("enemy_skill_id",enemy_skills!$1:$1,0)+1,FALSE)</f>
        <v>それでも背負っていくのなら</v>
      </c>
      <c r="E110" s="43" t="str">
        <f ca="1">VLOOKUP($C110,OFFSET(enemy_skills!$A$1,0,0,COUNTA(enemy_skills!$A:$A),MATCH(E$1,enemy_skills!$1:$1,0)-MATCH("enemy_skill_id",enemy_skills!$1:$1,0)+1),MATCH(E$1,enemy_skills!$1:$1,0)-MATCH("enemy_skill_id",enemy_skills!$1:$1,0)+1,FALSE)</f>
        <v>僕の信念とどちらが上か…試してやるよ_x000D_【！】次のターン即死攻撃発動【！】</v>
      </c>
      <c r="F110" s="44">
        <v>41015069</v>
      </c>
      <c r="G110" s="45">
        <f ca="1">VLOOKUP($F110,OFFSET(enemy_skill_triggers!$A$1,0,0,COUNTA(enemy_skill_triggers!$A:$A),MATCH(G$1,enemy_skill_triggers!$1:$1,0)-MATCH($F$1,enemy_skill_triggers!$1:$1,0)+1),MATCH(G$1,enemy_skill_triggers!$1:$1,0)-MATCH($F$1,enemy_skill_triggers!$1:$1,0)+1,FALSE)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0" s="45">
        <f ca="1">VLOOKUP($F110,OFFSET(enemy_skill_triggers!$A$1,0,0,COUNTA(enemy_skill_triggers!$A:$A),MATCH(H$1,enemy_skill_triggers!$1:$1,0)-MATCH($F$1,enemy_skill_triggers!$1:$1,0)+1),MATCH(H$1,enemy_skill_triggers!$1:$1,0)-MATCH($F$1,enemy_skill_triggers!$1:$1,0)+1,FALSE)</f>
        <v>94</v>
      </c>
      <c r="I110" s="45">
        <f ca="1">VLOOKUP($F110,OFFSET(enemy_skill_triggers!$A$1,0,0,COUNTA(enemy_skill_triggers!$A:$A),MATCH(I$1,enemy_skill_triggers!$1:$1,0)-MATCH($F$1,enemy_skill_triggers!$1:$1,0)+1),MATCH(I$1,enemy_skill_triggers!$1:$1,0)-MATCH($F$1,enemy_skill_triggers!$1:$1,0)+1,FALSE)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0" s="45" t="str">
        <f ca="1">VLOOKUP($F110,OFFSET(enemy_skill_triggers!$A$1,0,0,COUNTA(enemy_skill_triggers!$A:$A),MATCH(J$1,enemy_skill_triggers!$1:$1,0)-MATCH($F$1,enemy_skill_triggers!$1:$1,0)+1),MATCH(J$1,enemy_skill_triggers!$1:$1,0)-MATCH($F$1,enemy_skill_triggers!$1:$1,0)+1,FALSE)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0" s="45" t="str">
        <f ca="1">VLOOKUP($F110,OFFSET(enemy_skill_triggers!$A$1,0,0,COUNTA(enemy_skill_triggers!$A:$A),MATCH(K$1,enemy_skill_triggers!$1:$1,0)-MATCH($F$1,enemy_skill_triggers!$1:$1,0)+1),MATCH(K$1,enemy_skill_triggers!$1:$1,0)-MATCH($F$1,enemy_skill_triggers!$1:$1,0)+1,FALSE)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0" s="45">
        <f ca="1">VLOOKUP($F110,OFFSET(enemy_skill_triggers!$A$1,0,0,COUNTA(enemy_skill_triggers!$A:$A),MATCH(L$1,enemy_skill_triggers!$1:$1,0)-MATCH($F$1,enemy_skill_triggers!$1:$1,0)+1),MATCH(L$1,enemy_skill_triggers!$1:$1,0)-MATCH($F$1,enemy_skill_triggers!$1:$1,0)+1,FALSE)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0" s="45" t="str">
        <f ca="1">VLOOKUP($F110,OFFSET(enemy_skill_triggers!$A$1,0,0,COUNTA(enemy_skill_triggers!$A:$A),MATCH(M$1,enemy_skill_triggers!$1:$1,0)-MATCH($F$1,enemy_skill_triggers!$1:$1,0)+1),MATCH(M$1,enemy_skill_triggers!$1:$1,0)-MATCH($F$1,enemy_skill_triggers!$1:$1,0)+1,FALSE)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0" s="45">
        <f ca="1">VLOOKUP($F110,OFFSET(enemy_skill_triggers!$A$1,0,0,COUNTA(enemy_skill_triggers!$A:$A),MATCH(N$1,enemy_skill_triggers!$1:$1,0)-MATCH($F$1,enemy_skill_triggers!$1:$1,0)+1),MATCH(N$1,enemy_skill_triggers!$1:$1,0)-MATCH($F$1,enemy_skill_triggers!$1:$1,0)+1,FALSE)</f>
        <v>234</v>
      </c>
      <c r="O110" s="45">
        <f ca="1">VLOOKUP($F110,OFFSET(enemy_skill_triggers!$A$1,0,0,COUNTA(enemy_skill_triggers!$A:$A),MATCH(O$1,enemy_skill_triggers!$1:$1,0)-MATCH($F$1,enemy_skill_triggers!$1:$1,0)+1),MATCH(O$1,enemy_skill_triggers!$1:$1,0)-MATCH($F$1,enemy_skill_triggers!$1:$1,0)+1,FALSE)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0" s="44"/>
      <c r="Q110" s="44"/>
      <c r="R110" s="44"/>
    </row>
    <row r="111" spans="1:18" ht="21" customHeight="1" x14ac:dyDescent="0.15">
      <c r="A111" s="36" t="str">
        <f t="shared" si="9"/>
        <v>41015010_41015109</v>
      </c>
      <c r="B111" s="195">
        <v>41015010</v>
      </c>
      <c r="C111" s="195">
        <v>41015109</v>
      </c>
      <c r="D111" s="43" t="str">
        <f ca="1">VLOOKUP($C111,OFFSET(enemy_skills!$A$1,0,0,COUNTA(enemy_skills!$A:$A),MATCH(D$1,enemy_skills!$1:$1,0)-MATCH("enemy_skill_id",enemy_skills!$1:$1,0)+1),MATCH(D$1,enemy_skills!$1:$1,0)-MATCH("enemy_skill_id",enemy_skills!$1:$1,0)+1,FALSE)</f>
        <v>それでも背負っていくのなら</v>
      </c>
      <c r="E111" s="43" t="str">
        <f ca="1">VLOOKUP($C111,OFFSET(enemy_skills!$A$1,0,0,COUNTA(enemy_skills!$A:$A),MATCH(E$1,enemy_skills!$1:$1,0)-MATCH("enemy_skill_id",enemy_skills!$1:$1,0)+1),MATCH(E$1,enemy_skills!$1:$1,0)-MATCH("enemy_skill_id",enemy_skills!$1:$1,0)+1,FALSE)</f>
        <v>僕の信念とどちらが上か…試してやるよ_x000D_【！】次のターン即死攻撃発動【！】</v>
      </c>
      <c r="F111" s="195">
        <v>41015109</v>
      </c>
      <c r="G111" s="45">
        <f ca="1">VLOOKUP($F111,OFFSET(enemy_skill_triggers!$A$1,0,0,COUNTA(enemy_skill_triggers!$A:$A),MATCH(G$1,enemy_skill_triggers!$1:$1,0)-MATCH($F$1,enemy_skill_triggers!$1:$1,0)+1),MATCH(G$1,enemy_skill_triggers!$1:$1,0)-MATCH($F$1,enemy_skill_triggers!$1:$1,0)+1,FALSE)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1" s="45">
        <f ca="1">VLOOKUP($F111,OFFSET(enemy_skill_triggers!$A$1,0,0,COUNTA(enemy_skill_triggers!$A:$A),MATCH(H$1,enemy_skill_triggers!$1:$1,0)-MATCH($F$1,enemy_skill_triggers!$1:$1,0)+1),MATCH(H$1,enemy_skill_triggers!$1:$1,0)-MATCH($F$1,enemy_skill_triggers!$1:$1,0)+1,FALSE)</f>
        <v>94</v>
      </c>
      <c r="I111" s="45">
        <f ca="1">VLOOKUP($F111,OFFSET(enemy_skill_triggers!$A$1,0,0,COUNTA(enemy_skill_triggers!$A:$A),MATCH(I$1,enemy_skill_triggers!$1:$1,0)-MATCH($F$1,enemy_skill_triggers!$1:$1,0)+1),MATCH(I$1,enemy_skill_triggers!$1:$1,0)-MATCH($F$1,enemy_skill_triggers!$1:$1,0)+1,FALSE)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1" s="45" t="str">
        <f ca="1">VLOOKUP($F111,OFFSET(enemy_skill_triggers!$A$1,0,0,COUNTA(enemy_skill_triggers!$A:$A),MATCH(J$1,enemy_skill_triggers!$1:$1,0)-MATCH($F$1,enemy_skill_triggers!$1:$1,0)+1),MATCH(J$1,enemy_skill_triggers!$1:$1,0)-MATCH($F$1,enemy_skill_triggers!$1:$1,0)+1,FALSE)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1" s="45" t="str">
        <f ca="1">VLOOKUP($F111,OFFSET(enemy_skill_triggers!$A$1,0,0,COUNTA(enemy_skill_triggers!$A:$A),MATCH(K$1,enemy_skill_triggers!$1:$1,0)-MATCH($F$1,enemy_skill_triggers!$1:$1,0)+1),MATCH(K$1,enemy_skill_triggers!$1:$1,0)-MATCH($F$1,enemy_skill_triggers!$1:$1,0)+1,FALSE)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1" s="45">
        <f ca="1">VLOOKUP($F111,OFFSET(enemy_skill_triggers!$A$1,0,0,COUNTA(enemy_skill_triggers!$A:$A),MATCH(L$1,enemy_skill_triggers!$1:$1,0)-MATCH($F$1,enemy_skill_triggers!$1:$1,0)+1),MATCH(L$1,enemy_skill_triggers!$1:$1,0)-MATCH($F$1,enemy_skill_triggers!$1:$1,0)+1,FALSE)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1" s="45" t="str">
        <f ca="1">VLOOKUP($F111,OFFSET(enemy_skill_triggers!$A$1,0,0,COUNTA(enemy_skill_triggers!$A:$A),MATCH(M$1,enemy_skill_triggers!$1:$1,0)-MATCH($F$1,enemy_skill_triggers!$1:$1,0)+1),MATCH(M$1,enemy_skill_triggers!$1:$1,0)-MATCH($F$1,enemy_skill_triggers!$1:$1,0)+1,FALSE)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1" s="45">
        <f ca="1">VLOOKUP($F111,OFFSET(enemy_skill_triggers!$A$1,0,0,COUNTA(enemy_skill_triggers!$A:$A),MATCH(N$1,enemy_skill_triggers!$1:$1,0)-MATCH($F$1,enemy_skill_triggers!$1:$1,0)+1),MATCH(N$1,enemy_skill_triggers!$1:$1,0)-MATCH($F$1,enemy_skill_triggers!$1:$1,0)+1,FALSE)</f>
        <v>233</v>
      </c>
      <c r="O111" s="45">
        <f ca="1">VLOOKUP($F111,OFFSET(enemy_skill_triggers!$A$1,0,0,COUNTA(enemy_skill_triggers!$A:$A),MATCH(O$1,enemy_skill_triggers!$1:$1,0)-MATCH($F$1,enemy_skill_triggers!$1:$1,0)+1),MATCH(O$1,enemy_skill_triggers!$1:$1,0)-MATCH($F$1,enemy_skill_triggers!$1:$1,0)+1,FALSE)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1" s="44"/>
      <c r="Q111" s="44"/>
      <c r="R111" s="44"/>
    </row>
    <row r="112" spans="1:18" ht="21" customHeight="1" x14ac:dyDescent="0.15">
      <c r="A112" s="36" t="str">
        <f t="shared" si="9"/>
        <v>41015010_41015110</v>
      </c>
      <c r="B112" s="195">
        <v>41015010</v>
      </c>
      <c r="C112" s="195">
        <v>41015110</v>
      </c>
      <c r="D112" s="43" t="str">
        <f ca="1">VLOOKUP($C112,OFFSET(enemy_skills!$A$1,0,0,COUNTA(enemy_skills!$A:$A),MATCH(D$1,enemy_skills!$1:$1,0)-MATCH("enemy_skill_id",enemy_skills!$1:$1,0)+1),MATCH(D$1,enemy_skills!$1:$1,0)-MATCH("enemy_skill_id",enemy_skills!$1:$1,0)+1,FALSE)</f>
        <v>それでも背負っていくのなら</v>
      </c>
      <c r="E112" s="43" t="str">
        <f ca="1">VLOOKUP($C112,OFFSET(enemy_skills!$A$1,0,0,COUNTA(enemy_skills!$A:$A),MATCH(E$1,enemy_skills!$1:$1,0)-MATCH("enemy_skill_id",enemy_skills!$1:$1,0)+1),MATCH(E$1,enemy_skills!$1:$1,0)-MATCH("enemy_skill_id",enemy_skills!$1:$1,0)+1,FALSE)</f>
        <v>僕の信念とどちらが上か…試してやるよ_x000D_【！】次のターン即死攻撃発動【！】</v>
      </c>
      <c r="F112" s="195">
        <v>41015110</v>
      </c>
      <c r="G112" s="45">
        <f ca="1">VLOOKUP($F112,OFFSET(enemy_skill_triggers!$A$1,0,0,COUNTA(enemy_skill_triggers!$A:$A),MATCH(G$1,enemy_skill_triggers!$1:$1,0)-MATCH($F$1,enemy_skill_triggers!$1:$1,0)+1),MATCH(G$1,enemy_skill_triggers!$1:$1,0)-MATCH($F$1,enemy_skill_triggers!$1:$1,0)+1,FALSE)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2" s="45">
        <f ca="1">VLOOKUP($F112,OFFSET(enemy_skill_triggers!$A$1,0,0,COUNTA(enemy_skill_triggers!$A:$A),MATCH(H$1,enemy_skill_triggers!$1:$1,0)-MATCH($F$1,enemy_skill_triggers!$1:$1,0)+1),MATCH(H$1,enemy_skill_triggers!$1:$1,0)-MATCH($F$1,enemy_skill_triggers!$1:$1,0)+1,FALSE)</f>
        <v>94</v>
      </c>
      <c r="I112" s="45">
        <f ca="1">VLOOKUP($F112,OFFSET(enemy_skill_triggers!$A$1,0,0,COUNTA(enemy_skill_triggers!$A:$A),MATCH(I$1,enemy_skill_triggers!$1:$1,0)-MATCH($F$1,enemy_skill_triggers!$1:$1,0)+1),MATCH(I$1,enemy_skill_triggers!$1:$1,0)-MATCH($F$1,enemy_skill_triggers!$1:$1,0)+1,FALSE)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2" s="45" t="str">
        <f ca="1">VLOOKUP($F112,OFFSET(enemy_skill_triggers!$A$1,0,0,COUNTA(enemy_skill_triggers!$A:$A),MATCH(J$1,enemy_skill_triggers!$1:$1,0)-MATCH($F$1,enemy_skill_triggers!$1:$1,0)+1),MATCH(J$1,enemy_skill_triggers!$1:$1,0)-MATCH($F$1,enemy_skill_triggers!$1:$1,0)+1,FALSE)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2" s="45" t="str">
        <f ca="1">VLOOKUP($F112,OFFSET(enemy_skill_triggers!$A$1,0,0,COUNTA(enemy_skill_triggers!$A:$A),MATCH(K$1,enemy_skill_triggers!$1:$1,0)-MATCH($F$1,enemy_skill_triggers!$1:$1,0)+1),MATCH(K$1,enemy_skill_triggers!$1:$1,0)-MATCH($F$1,enemy_skill_triggers!$1:$1,0)+1,FALSE)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2" s="45">
        <f ca="1">VLOOKUP($F112,OFFSET(enemy_skill_triggers!$A$1,0,0,COUNTA(enemy_skill_triggers!$A:$A),MATCH(L$1,enemy_skill_triggers!$1:$1,0)-MATCH($F$1,enemy_skill_triggers!$1:$1,0)+1),MATCH(L$1,enemy_skill_triggers!$1:$1,0)-MATCH($F$1,enemy_skill_triggers!$1:$1,0)+1,FALSE)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2" s="45" t="str">
        <f ca="1">VLOOKUP($F112,OFFSET(enemy_skill_triggers!$A$1,0,0,COUNTA(enemy_skill_triggers!$A:$A),MATCH(M$1,enemy_skill_triggers!$1:$1,0)-MATCH($F$1,enemy_skill_triggers!$1:$1,0)+1),MATCH(M$1,enemy_skill_triggers!$1:$1,0)-MATCH($F$1,enemy_skill_triggers!$1:$1,0)+1,FALSE)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2" s="45">
        <f ca="1">VLOOKUP($F112,OFFSET(enemy_skill_triggers!$A$1,0,0,COUNTA(enemy_skill_triggers!$A:$A),MATCH(N$1,enemy_skill_triggers!$1:$1,0)-MATCH($F$1,enemy_skill_triggers!$1:$1,0)+1),MATCH(N$1,enemy_skill_triggers!$1:$1,0)-MATCH($F$1,enemy_skill_triggers!$1:$1,0)+1,FALSE)</f>
        <v>232</v>
      </c>
      <c r="O112" s="45">
        <f ca="1">VLOOKUP($F112,OFFSET(enemy_skill_triggers!$A$1,0,0,COUNTA(enemy_skill_triggers!$A:$A),MATCH(O$1,enemy_skill_triggers!$1:$1,0)-MATCH($F$1,enemy_skill_triggers!$1:$1,0)+1),MATCH(O$1,enemy_skill_triggers!$1:$1,0)-MATCH($F$1,enemy_skill_triggers!$1:$1,0)+1,FALSE)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2" s="44"/>
      <c r="Q112" s="44"/>
      <c r="R112" s="44"/>
    </row>
    <row r="113" spans="1:18" ht="21" customHeight="1" x14ac:dyDescent="0.15">
      <c r="A113" s="36" t="str">
        <f t="shared" si="9"/>
        <v>41015010_41015070</v>
      </c>
      <c r="B113" s="44">
        <v>41015010</v>
      </c>
      <c r="C113" s="44">
        <v>41015070</v>
      </c>
      <c r="D113" s="43" t="str">
        <f ca="1">VLOOKUP($C113,OFFSET(enemy_skills!$A$1,0,0,COUNTA(enemy_skills!$A:$A),MATCH(D$1,enemy_skills!$1:$1,0)-MATCH("enemy_skill_id",enemy_skills!$1:$1,0)+1),MATCH(D$1,enemy_skills!$1:$1,0)-MATCH("enemy_skill_id",enemy_skills!$1:$1,0)+1,FALSE)</f>
        <v>腕っ節だけは立派だな</v>
      </c>
      <c r="E113" s="43" t="str">
        <f ca="1">VLOOKUP($C113,OFFSET(enemy_skills!$A$1,0,0,COUNTA(enemy_skills!$A:$A),MATCH(E$1,enemy_skills!$1:$1,0)-MATCH("enemy_skill_id",enemy_skills!$1:$1,0)+1),MATCH(E$1,enemy_skills!$1:$1,0)-MATCH("enemy_skill_id",enemy_skills!$1:$1,0)+1,FALSE)</f>
        <v>だが最後に勝つのは…いつだって正義だ_x000D_【！】次のターン即死攻撃発動【！】</v>
      </c>
      <c r="F113" s="44">
        <v>41015070</v>
      </c>
      <c r="G113" s="45">
        <f ca="1">VLOOKUP($F113,OFFSET(enemy_skill_triggers!$A$1,0,0,COUNTA(enemy_skill_triggers!$A:$A),MATCH(G$1,enemy_skill_triggers!$1:$1,0)-MATCH($F$1,enemy_skill_triggers!$1:$1,0)+1),MATCH(G$1,enemy_skill_triggers!$1:$1,0)-MATCH($F$1,enemy_skill_triggers!$1:$1,0)+1,FALSE)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3" s="45">
        <f ca="1">VLOOKUP($F113,OFFSET(enemy_skill_triggers!$A$1,0,0,COUNTA(enemy_skill_triggers!$A:$A),MATCH(H$1,enemy_skill_triggers!$1:$1,0)-MATCH($F$1,enemy_skill_triggers!$1:$1,0)+1),MATCH(H$1,enemy_skill_triggers!$1:$1,0)-MATCH($F$1,enemy_skill_triggers!$1:$1,0)+1,FALSE)</f>
        <v>93</v>
      </c>
      <c r="I113" s="45">
        <f ca="1">VLOOKUP($F113,OFFSET(enemy_skill_triggers!$A$1,0,0,COUNTA(enemy_skill_triggers!$A:$A),MATCH(I$1,enemy_skill_triggers!$1:$1,0)-MATCH($F$1,enemy_skill_triggers!$1:$1,0)+1),MATCH(I$1,enemy_skill_triggers!$1:$1,0)-MATCH($F$1,enemy_skill_triggers!$1:$1,0)+1,FALSE)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3" s="45" t="str">
        <f ca="1">VLOOKUP($F113,OFFSET(enemy_skill_triggers!$A$1,0,0,COUNTA(enemy_skill_triggers!$A:$A),MATCH(J$1,enemy_skill_triggers!$1:$1,0)-MATCH($F$1,enemy_skill_triggers!$1:$1,0)+1),MATCH(J$1,enemy_skill_triggers!$1:$1,0)-MATCH($F$1,enemy_skill_triggers!$1:$1,0)+1,FALSE)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3" s="45" t="str">
        <f ca="1">VLOOKUP($F113,OFFSET(enemy_skill_triggers!$A$1,0,0,COUNTA(enemy_skill_triggers!$A:$A),MATCH(K$1,enemy_skill_triggers!$1:$1,0)-MATCH($F$1,enemy_skill_triggers!$1:$1,0)+1),MATCH(K$1,enemy_skill_triggers!$1:$1,0)-MATCH($F$1,enemy_skill_triggers!$1:$1,0)+1,FALSE)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3" s="45">
        <f ca="1">VLOOKUP($F113,OFFSET(enemy_skill_triggers!$A$1,0,0,COUNTA(enemy_skill_triggers!$A:$A),MATCH(L$1,enemy_skill_triggers!$1:$1,0)-MATCH($F$1,enemy_skill_triggers!$1:$1,0)+1),MATCH(L$1,enemy_skill_triggers!$1:$1,0)-MATCH($F$1,enemy_skill_triggers!$1:$1,0)+1,FALSE)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3" s="45" t="str">
        <f ca="1">VLOOKUP($F113,OFFSET(enemy_skill_triggers!$A$1,0,0,COUNTA(enemy_skill_triggers!$A:$A),MATCH(M$1,enemy_skill_triggers!$1:$1,0)-MATCH($F$1,enemy_skill_triggers!$1:$1,0)+1),MATCH(M$1,enemy_skill_triggers!$1:$1,0)-MATCH($F$1,enemy_skill_triggers!$1:$1,0)+1,FALSE)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3" s="45">
        <f ca="1">VLOOKUP($F113,OFFSET(enemy_skill_triggers!$A$1,0,0,COUNTA(enemy_skill_triggers!$A:$A),MATCH(N$1,enemy_skill_triggers!$1:$1,0)-MATCH($F$1,enemy_skill_triggers!$1:$1,0)+1),MATCH(N$1,enemy_skill_triggers!$1:$1,0)-MATCH($F$1,enemy_skill_triggers!$1:$1,0)+1,FALSE)</f>
        <v>765</v>
      </c>
      <c r="O113" s="45">
        <f ca="1">VLOOKUP($F113,OFFSET(enemy_skill_triggers!$A$1,0,0,COUNTA(enemy_skill_triggers!$A:$A),MATCH(O$1,enemy_skill_triggers!$1:$1,0)-MATCH($F$1,enemy_skill_triggers!$1:$1,0)+1),MATCH(O$1,enemy_skill_triggers!$1:$1,0)-MATCH($F$1,enemy_skill_triggers!$1:$1,0)+1,FALSE)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3" s="44"/>
      <c r="Q113" s="44"/>
      <c r="R113" s="44"/>
    </row>
    <row r="114" spans="1:18" ht="21" customHeight="1" x14ac:dyDescent="0.15">
      <c r="A114" s="36" t="str">
        <f t="shared" si="9"/>
        <v>41015010_41015111</v>
      </c>
      <c r="B114" s="195">
        <v>41015010</v>
      </c>
      <c r="C114" s="195">
        <v>41015111</v>
      </c>
      <c r="D114" s="43" t="str">
        <f ca="1">VLOOKUP($C114,OFFSET(enemy_skills!$A$1,0,0,COUNTA(enemy_skills!$A:$A),MATCH(D$1,enemy_skills!$1:$1,0)-MATCH("enemy_skill_id",enemy_skills!$1:$1,0)+1),MATCH(D$1,enemy_skills!$1:$1,0)-MATCH("enemy_skill_id",enemy_skills!$1:$1,0)+1,FALSE)</f>
        <v>腕っ節だけは立派だな</v>
      </c>
      <c r="E114" s="43" t="str">
        <f ca="1">VLOOKUP($C114,OFFSET(enemy_skills!$A$1,0,0,COUNTA(enemy_skills!$A:$A),MATCH(E$1,enemy_skills!$1:$1,0)-MATCH("enemy_skill_id",enemy_skills!$1:$1,0)+1),MATCH(E$1,enemy_skills!$1:$1,0)-MATCH("enemy_skill_id",enemy_skills!$1:$1,0)+1,FALSE)</f>
        <v>だが最後に勝つのは…いつだって正義だ_x000D_【！】次のターン即死攻撃発動【！】</v>
      </c>
      <c r="F114" s="195">
        <v>41015111</v>
      </c>
      <c r="G114" s="45">
        <f ca="1">VLOOKUP($F114,OFFSET(enemy_skill_triggers!$A$1,0,0,COUNTA(enemy_skill_triggers!$A:$A),MATCH(G$1,enemy_skill_triggers!$1:$1,0)-MATCH($F$1,enemy_skill_triggers!$1:$1,0)+1),MATCH(G$1,enemy_skill_triggers!$1:$1,0)-MATCH($F$1,enemy_skill_triggers!$1:$1,0)+1,FALSE)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4" s="45">
        <f ca="1">VLOOKUP($F114,OFFSET(enemy_skill_triggers!$A$1,0,0,COUNTA(enemy_skill_triggers!$A:$A),MATCH(H$1,enemy_skill_triggers!$1:$1,0)-MATCH($F$1,enemy_skill_triggers!$1:$1,0)+1),MATCH(H$1,enemy_skill_triggers!$1:$1,0)-MATCH($F$1,enemy_skill_triggers!$1:$1,0)+1,FALSE)</f>
        <v>93</v>
      </c>
      <c r="I114" s="45">
        <f ca="1">VLOOKUP($F114,OFFSET(enemy_skill_triggers!$A$1,0,0,COUNTA(enemy_skill_triggers!$A:$A),MATCH(I$1,enemy_skill_triggers!$1:$1,0)-MATCH($F$1,enemy_skill_triggers!$1:$1,0)+1),MATCH(I$1,enemy_skill_triggers!$1:$1,0)-MATCH($F$1,enemy_skill_triggers!$1:$1,0)+1,FALSE)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4" s="45" t="str">
        <f ca="1">VLOOKUP($F114,OFFSET(enemy_skill_triggers!$A$1,0,0,COUNTA(enemy_skill_triggers!$A:$A),MATCH(J$1,enemy_skill_triggers!$1:$1,0)-MATCH($F$1,enemy_skill_triggers!$1:$1,0)+1),MATCH(J$1,enemy_skill_triggers!$1:$1,0)-MATCH($F$1,enemy_skill_triggers!$1:$1,0)+1,FALSE)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4" s="45" t="str">
        <f ca="1">VLOOKUP($F114,OFFSET(enemy_skill_triggers!$A$1,0,0,COUNTA(enemy_skill_triggers!$A:$A),MATCH(K$1,enemy_skill_triggers!$1:$1,0)-MATCH($F$1,enemy_skill_triggers!$1:$1,0)+1),MATCH(K$1,enemy_skill_triggers!$1:$1,0)-MATCH($F$1,enemy_skill_triggers!$1:$1,0)+1,FALSE)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4" s="45">
        <f ca="1">VLOOKUP($F114,OFFSET(enemy_skill_triggers!$A$1,0,0,COUNTA(enemy_skill_triggers!$A:$A),MATCH(L$1,enemy_skill_triggers!$1:$1,0)-MATCH($F$1,enemy_skill_triggers!$1:$1,0)+1),MATCH(L$1,enemy_skill_triggers!$1:$1,0)-MATCH($F$1,enemy_skill_triggers!$1:$1,0)+1,FALSE)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4" s="45" t="str">
        <f ca="1">VLOOKUP($F114,OFFSET(enemy_skill_triggers!$A$1,0,0,COUNTA(enemy_skill_triggers!$A:$A),MATCH(M$1,enemy_skill_triggers!$1:$1,0)-MATCH($F$1,enemy_skill_triggers!$1:$1,0)+1),MATCH(M$1,enemy_skill_triggers!$1:$1,0)-MATCH($F$1,enemy_skill_triggers!$1:$1,0)+1,FALSE)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4" s="45">
        <f ca="1">VLOOKUP($F114,OFFSET(enemy_skill_triggers!$A$1,0,0,COUNTA(enemy_skill_triggers!$A:$A),MATCH(N$1,enemy_skill_triggers!$1:$1,0)-MATCH($F$1,enemy_skill_triggers!$1:$1,0)+1),MATCH(N$1,enemy_skill_triggers!$1:$1,0)-MATCH($F$1,enemy_skill_triggers!$1:$1,0)+1,FALSE)</f>
        <v>764</v>
      </c>
      <c r="O114" s="45">
        <f ca="1">VLOOKUP($F114,OFFSET(enemy_skill_triggers!$A$1,0,0,COUNTA(enemy_skill_triggers!$A:$A),MATCH(O$1,enemy_skill_triggers!$1:$1,0)-MATCH($F$1,enemy_skill_triggers!$1:$1,0)+1),MATCH(O$1,enemy_skill_triggers!$1:$1,0)-MATCH($F$1,enemy_skill_triggers!$1:$1,0)+1,FALSE)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4" s="44"/>
      <c r="Q114" s="44"/>
      <c r="R114" s="44"/>
    </row>
    <row r="115" spans="1:18" ht="21" customHeight="1" x14ac:dyDescent="0.15">
      <c r="A115" s="36" t="str">
        <f t="shared" si="9"/>
        <v>41015010_41015075</v>
      </c>
      <c r="B115" s="44">
        <v>41015010</v>
      </c>
      <c r="C115" s="44">
        <v>41015075</v>
      </c>
      <c r="D115" s="43" t="str">
        <f ca="1">VLOOKUP($C115,OFFSET(enemy_skills!$A$1,0,0,COUNTA(enemy_skills!$A:$A),MATCH(D$1,enemy_skills!$1:$1,0)-MATCH("enemy_skill_id",enemy_skills!$1:$1,0)+1),MATCH(D$1,enemy_skills!$1:$1,0)-MATCH("enemy_skill_id",enemy_skills!$1:$1,0)+1,FALSE)</f>
        <v>ユートピア</v>
      </c>
      <c r="E115" s="43" t="str">
        <f ca="1">VLOOKUP($C115,OFFSET(enemy_skills!$A$1,0,0,COUNTA(enemy_skills!$A:$A),MATCH(E$1,enemy_skills!$1:$1,0)-MATCH("enemy_skill_id",enemy_skills!$1:$1,0)+1),MATCH(E$1,enemy_skills!$1:$1,0)-MATCH("enemy_skill_id",enemy_skills!$1:$1,0)+1,FALSE)</f>
        <v>これが世界の　あるべき姿だ！</v>
      </c>
      <c r="F115" s="44">
        <v>41015075</v>
      </c>
      <c r="G115" s="45">
        <f ca="1">VLOOKUP($F115,OFFSET(enemy_skill_triggers!$A$1,0,0,COUNTA(enemy_skill_triggers!$A:$A),MATCH(G$1,enemy_skill_triggers!$1:$1,0)-MATCH($F$1,enemy_skill_triggers!$1:$1,0)+1),MATCH(G$1,enemy_skill_triggers!$1:$1,0)-MATCH($F$1,enemy_skill_triggers!$1:$1,0)+1,FALSE)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5" s="45">
        <f ca="1">VLOOKUP($F115,OFFSET(enemy_skill_triggers!$A$1,0,0,COUNTA(enemy_skill_triggers!$A:$A),MATCH(H$1,enemy_skill_triggers!$1:$1,0)-MATCH($F$1,enemy_skill_triggers!$1:$1,0)+1),MATCH(H$1,enemy_skill_triggers!$1:$1,0)-MATCH($F$1,enemy_skill_triggers!$1:$1,0)+1,FALSE)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15" s="45">
        <f ca="1">VLOOKUP($F115,OFFSET(enemy_skill_triggers!$A$1,0,0,COUNTA(enemy_skill_triggers!$A:$A),MATCH(I$1,enemy_skill_triggers!$1:$1,0)-MATCH($F$1,enemy_skill_triggers!$1:$1,0)+1),MATCH(I$1,enemy_skill_triggers!$1:$1,0)-MATCH($F$1,enemy_skill_triggers!$1:$1,0)+1,FALSE)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5" s="45" t="str">
        <f ca="1">VLOOKUP($F115,OFFSET(enemy_skill_triggers!$A$1,0,0,COUNTA(enemy_skill_triggers!$A:$A),MATCH(J$1,enemy_skill_triggers!$1:$1,0)-MATCH($F$1,enemy_skill_triggers!$1:$1,0)+1),MATCH(J$1,enemy_skill_triggers!$1:$1,0)-MATCH($F$1,enemy_skill_triggers!$1:$1,0)+1,FALSE)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5" s="45" t="str">
        <f ca="1">VLOOKUP($F115,OFFSET(enemy_skill_triggers!$A$1,0,0,COUNTA(enemy_skill_triggers!$A:$A),MATCH(K$1,enemy_skill_triggers!$1:$1,0)-MATCH($F$1,enemy_skill_triggers!$1:$1,0)+1),MATCH(K$1,enemy_skill_triggers!$1:$1,0)-MATCH($F$1,enemy_skill_triggers!$1:$1,0)+1,FALSE)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5" s="45">
        <f ca="1">VLOOKUP($F115,OFFSET(enemy_skill_triggers!$A$1,0,0,COUNTA(enemy_skill_triggers!$A:$A),MATCH(L$1,enemy_skill_triggers!$1:$1,0)-MATCH($F$1,enemy_skill_triggers!$1:$1,0)+1),MATCH(L$1,enemy_skill_triggers!$1:$1,0)-MATCH($F$1,enemy_skill_triggers!$1:$1,0)+1,FALSE)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5" s="45">
        <f ca="1">VLOOKUP($F115,OFFSET(enemy_skill_triggers!$A$1,0,0,COUNTA(enemy_skill_triggers!$A:$A),MATCH(M$1,enemy_skill_triggers!$1:$1,0)-MATCH($F$1,enemy_skill_triggers!$1:$1,0)+1),MATCH(M$1,enemy_skill_triggers!$1:$1,0)-MATCH($F$1,enemy_skill_triggers!$1:$1,0)+1,FALSE)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5" s="45" t="str">
        <f ca="1">VLOOKUP($F115,OFFSET(enemy_skill_triggers!$A$1,0,0,COUNTA(enemy_skill_triggers!$A:$A),MATCH(N$1,enemy_skill_triggers!$1:$1,0)-MATCH($F$1,enemy_skill_triggers!$1:$1,0)+1),MATCH(N$1,enemy_skill_triggers!$1:$1,0)-MATCH($F$1,enemy_skill_triggers!$1:$1,0)+1,FALSE)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5" s="45">
        <f ca="1">VLOOKUP($F115,OFFSET(enemy_skill_triggers!$A$1,0,0,COUNTA(enemy_skill_triggers!$A:$A),MATCH(O$1,enemy_skill_triggers!$1:$1,0)-MATCH($F$1,enemy_skill_triggers!$1:$1,0)+1),MATCH(O$1,enemy_skill_triggers!$1:$1,0)-MATCH($F$1,enemy_skill_triggers!$1:$1,0)+1,FALSE)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5" s="44"/>
      <c r="Q115" s="44"/>
      <c r="R115" s="44"/>
    </row>
    <row r="116" spans="1:18" ht="21" customHeight="1" x14ac:dyDescent="0.15">
      <c r="A116" s="36" t="str">
        <f t="shared" si="9"/>
        <v>41015010_41015072</v>
      </c>
      <c r="B116" s="44">
        <v>41015010</v>
      </c>
      <c r="C116" s="44">
        <v>41015072</v>
      </c>
      <c r="D116" s="43" t="str">
        <f ca="1">VLOOKUP($C116,OFFSET(enemy_skills!$A$1,0,0,COUNTA(enemy_skills!$A:$A),MATCH(D$1,enemy_skills!$1:$1,0)-MATCH("enemy_skill_id",enemy_skills!$1:$1,0)+1),MATCH(D$1,enemy_skills!$1:$1,0)-MATCH("enemy_skill_id",enemy_skills!$1:$1,0)+1,FALSE)</f>
        <v>…何度やっても</v>
      </c>
      <c r="E116" s="43" t="str">
        <f ca="1">VLOOKUP($C116,OFFSET(enemy_skills!$A$1,0,0,COUNTA(enemy_skills!$A:$A),MATCH(E$1,enemy_skills!$1:$1,0)-MATCH("enemy_skill_id",enemy_skills!$1:$1,0)+1),MATCH(E$1,enemy_skills!$1:$1,0)-MATCH("enemy_skill_id",enemy_skills!$1:$1,0)+1,FALSE)</f>
        <v>結果は変わらないと思うぜ？_x000D_【！】次のターン即死攻撃発動【！】</v>
      </c>
      <c r="F116" s="44">
        <v>41015072</v>
      </c>
      <c r="G116" s="45">
        <f ca="1">VLOOKUP($F116,OFFSET(enemy_skill_triggers!$A$1,0,0,COUNTA(enemy_skill_triggers!$A:$A),MATCH(G$1,enemy_skill_triggers!$1:$1,0)-MATCH($F$1,enemy_skill_triggers!$1:$1,0)+1),MATCH(G$1,enemy_skill_triggers!$1:$1,0)-MATCH($F$1,enemy_skill_triggers!$1:$1,0)+1,FALSE)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6" s="45">
        <f ca="1">VLOOKUP($F116,OFFSET(enemy_skill_triggers!$A$1,0,0,COUNTA(enemy_skill_triggers!$A:$A),MATCH(H$1,enemy_skill_triggers!$1:$1,0)-MATCH($F$1,enemy_skill_triggers!$1:$1,0)+1),MATCH(H$1,enemy_skill_triggers!$1:$1,0)-MATCH($F$1,enemy_skill_triggers!$1:$1,0)+1,FALSE)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116" s="45">
        <f ca="1">VLOOKUP($F116,OFFSET(enemy_skill_triggers!$A$1,0,0,COUNTA(enemy_skill_triggers!$A:$A),MATCH(I$1,enemy_skill_triggers!$1:$1,0)-MATCH($F$1,enemy_skill_triggers!$1:$1,0)+1),MATCH(I$1,enemy_skill_triggers!$1:$1,0)-MATCH($F$1,enemy_skill_triggers!$1:$1,0)+1,FALSE)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6" s="45" t="str">
        <f ca="1">VLOOKUP($F116,OFFSET(enemy_skill_triggers!$A$1,0,0,COUNTA(enemy_skill_triggers!$A:$A),MATCH(J$1,enemy_skill_triggers!$1:$1,0)-MATCH($F$1,enemy_skill_triggers!$1:$1,0)+1),MATCH(J$1,enemy_skill_triggers!$1:$1,0)-MATCH($F$1,enemy_skill_triggers!$1:$1,0)+1,FALSE)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6" s="45" t="str">
        <f ca="1">VLOOKUP($F116,OFFSET(enemy_skill_triggers!$A$1,0,0,COUNTA(enemy_skill_triggers!$A:$A),MATCH(K$1,enemy_skill_triggers!$1:$1,0)-MATCH($F$1,enemy_skill_triggers!$1:$1,0)+1),MATCH(K$1,enemy_skill_triggers!$1:$1,0)-MATCH($F$1,enemy_skill_triggers!$1:$1,0)+1,FALSE)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6" s="45">
        <f ca="1">VLOOKUP($F116,OFFSET(enemy_skill_triggers!$A$1,0,0,COUNTA(enemy_skill_triggers!$A:$A),MATCH(L$1,enemy_skill_triggers!$1:$1,0)-MATCH($F$1,enemy_skill_triggers!$1:$1,0)+1),MATCH(L$1,enemy_skill_triggers!$1:$1,0)-MATCH($F$1,enemy_skill_triggers!$1:$1,0)+1,FALSE)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6" s="45">
        <f ca="1">VLOOKUP($F116,OFFSET(enemy_skill_triggers!$A$1,0,0,COUNTA(enemy_skill_triggers!$A:$A),MATCH(M$1,enemy_skill_triggers!$1:$1,0)-MATCH($F$1,enemy_skill_triggers!$1:$1,0)+1),MATCH(M$1,enemy_skill_triggers!$1:$1,0)-MATCH($F$1,enemy_skill_triggers!$1:$1,0)+1,FALSE)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16" s="45" t="str">
        <f ca="1">VLOOKUP($F116,OFFSET(enemy_skill_triggers!$A$1,0,0,COUNTA(enemy_skill_triggers!$A:$A),MATCH(N$1,enemy_skill_triggers!$1:$1,0)-MATCH($F$1,enemy_skill_triggers!$1:$1,0)+1),MATCH(N$1,enemy_skill_triggers!$1:$1,0)-MATCH($F$1,enemy_skill_triggers!$1:$1,0)+1,FALSE)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6" s="45">
        <f ca="1">VLOOKUP($F116,OFFSET(enemy_skill_triggers!$A$1,0,0,COUNTA(enemy_skill_triggers!$A:$A),MATCH(O$1,enemy_skill_triggers!$1:$1,0)-MATCH($F$1,enemy_skill_triggers!$1:$1,0)+1),MATCH(O$1,enemy_skill_triggers!$1:$1,0)-MATCH($F$1,enemy_skill_triggers!$1:$1,0)+1,FALSE)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6" s="44"/>
      <c r="Q116" s="44"/>
      <c r="R116" s="44"/>
    </row>
    <row r="117" spans="1:18" ht="21" customHeight="1" x14ac:dyDescent="0.15">
      <c r="A117" s="36" t="str">
        <f t="shared" si="9"/>
        <v>41015010_41015073</v>
      </c>
      <c r="B117" s="44">
        <v>41015010</v>
      </c>
      <c r="C117" s="44">
        <v>41015073</v>
      </c>
      <c r="D117" s="43" t="str">
        <f ca="1">VLOOKUP($C117,OFFSET(enemy_skills!$A$1,0,0,COUNTA(enemy_skills!$A:$A),MATCH(D$1,enemy_skills!$1:$1,0)-MATCH("enemy_skill_id",enemy_skills!$1:$1,0)+1),MATCH(D$1,enemy_skills!$1:$1,0)-MATCH("enemy_skill_id",enemy_skills!$1:$1,0)+1,FALSE)</f>
        <v>ユートピア</v>
      </c>
      <c r="E117" s="43" t="str">
        <f ca="1">VLOOKUP($C117,OFFSET(enemy_skills!$A$1,0,0,COUNTA(enemy_skills!$A:$A),MATCH(E$1,enemy_skills!$1:$1,0)-MATCH("enemy_skill_id",enemy_skills!$1:$1,0)+1),MATCH(E$1,enemy_skills!$1:$1,0)-MATCH("enemy_skill_id",enemy_skills!$1:$1,0)+1,FALSE)</f>
        <v>…いずれキミも理解できるさ</v>
      </c>
      <c r="F117" s="44">
        <v>41015073</v>
      </c>
      <c r="G117" s="45">
        <f ca="1">VLOOKUP($F117,OFFSET(enemy_skill_triggers!$A$1,0,0,COUNTA(enemy_skill_triggers!$A:$A),MATCH(G$1,enemy_skill_triggers!$1:$1,0)-MATCH($F$1,enemy_skill_triggers!$1:$1,0)+1),MATCH(G$1,enemy_skill_triggers!$1:$1,0)-MATCH($F$1,enemy_skill_triggers!$1:$1,0)+1,FALSE)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7" s="45">
        <f ca="1">VLOOKUP($F117,OFFSET(enemy_skill_triggers!$A$1,0,0,COUNTA(enemy_skill_triggers!$A:$A),MATCH(H$1,enemy_skill_triggers!$1:$1,0)-MATCH($F$1,enemy_skill_triggers!$1:$1,0)+1),MATCH(H$1,enemy_skill_triggers!$1:$1,0)-MATCH($F$1,enemy_skill_triggers!$1:$1,0)+1,FALSE)</f>
        <v>24</v>
      </c>
      <c r="I117" s="45">
        <f ca="1">VLOOKUP($F117,OFFSET(enemy_skill_triggers!$A$1,0,0,COUNTA(enemy_skill_triggers!$A:$A),MATCH(I$1,enemy_skill_triggers!$1:$1,0)-MATCH($F$1,enemy_skill_triggers!$1:$1,0)+1),MATCH(I$1,enemy_skill_triggers!$1:$1,0)-MATCH($F$1,enemy_skill_triggers!$1:$1,0)+1,FALSE)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7" s="45" t="str">
        <f ca="1">VLOOKUP($F117,OFFSET(enemy_skill_triggers!$A$1,0,0,COUNTA(enemy_skill_triggers!$A:$A),MATCH(J$1,enemy_skill_triggers!$1:$1,0)-MATCH($F$1,enemy_skill_triggers!$1:$1,0)+1),MATCH(J$1,enemy_skill_triggers!$1:$1,0)-MATCH($F$1,enemy_skill_triggers!$1:$1,0)+1,FALSE)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7" s="45" t="str">
        <f ca="1">VLOOKUP($F117,OFFSET(enemy_skill_triggers!$A$1,0,0,COUNTA(enemy_skill_triggers!$A:$A),MATCH(K$1,enemy_skill_triggers!$1:$1,0)-MATCH($F$1,enemy_skill_triggers!$1:$1,0)+1),MATCH(K$1,enemy_skill_triggers!$1:$1,0)-MATCH($F$1,enemy_skill_triggers!$1:$1,0)+1,FALSE)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7" s="45">
        <f ca="1">VLOOKUP($F117,OFFSET(enemy_skill_triggers!$A$1,0,0,COUNTA(enemy_skill_triggers!$A:$A),MATCH(L$1,enemy_skill_triggers!$1:$1,0)-MATCH($F$1,enemy_skill_triggers!$1:$1,0)+1),MATCH(L$1,enemy_skill_triggers!$1:$1,0)-MATCH($F$1,enemy_skill_triggers!$1:$1,0)+1,FALSE)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7" s="45">
        <f ca="1">VLOOKUP($F117,OFFSET(enemy_skill_triggers!$A$1,0,0,COUNTA(enemy_skill_triggers!$A:$A),MATCH(M$1,enemy_skill_triggers!$1:$1,0)-MATCH($F$1,enemy_skill_triggers!$1:$1,0)+1),MATCH(M$1,enemy_skill_triggers!$1:$1,0)-MATCH($F$1,enemy_skill_triggers!$1:$1,0)+1,FALSE)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17" s="45" t="str">
        <f ca="1">VLOOKUP($F117,OFFSET(enemy_skill_triggers!$A$1,0,0,COUNTA(enemy_skill_triggers!$A:$A),MATCH(N$1,enemy_skill_triggers!$1:$1,0)-MATCH($F$1,enemy_skill_triggers!$1:$1,0)+1),MATCH(N$1,enemy_skill_triggers!$1:$1,0)-MATCH($F$1,enemy_skill_triggers!$1:$1,0)+1,FALSE)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7" s="45">
        <f ca="1">VLOOKUP($F117,OFFSET(enemy_skill_triggers!$A$1,0,0,COUNTA(enemy_skill_triggers!$A:$A),MATCH(O$1,enemy_skill_triggers!$1:$1,0)-MATCH($F$1,enemy_skill_triggers!$1:$1,0)+1),MATCH(O$1,enemy_skill_triggers!$1:$1,0)-MATCH($F$1,enemy_skill_triggers!$1:$1,0)+1,FALSE)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7" s="44"/>
      <c r="Q117" s="44"/>
      <c r="R117" s="44"/>
    </row>
    <row r="118" spans="1:18" ht="21" customHeight="1" x14ac:dyDescent="0.15">
      <c r="A118" s="36" t="str">
        <f t="shared" si="9"/>
        <v>41015012_41015123</v>
      </c>
      <c r="B118" s="44">
        <v>41015012</v>
      </c>
      <c r="C118" s="44">
        <v>41015123</v>
      </c>
      <c r="D118" s="43" t="str">
        <f ca="1">VLOOKUP($C118,OFFSET(enemy_skills!$A$1,0,0,COUNTA(enemy_skills!$A:$A),MATCH(D$1,enemy_skills!$1:$1,0)-MATCH("enemy_skill_id",enemy_skills!$1:$1,0)+1),MATCH(D$1,enemy_skills!$1:$1,0)-MATCH("enemy_skill_id",enemy_skills!$1:$1,0)+1,FALSE)</f>
        <v>ソウルチェイン！</v>
      </c>
      <c r="E118" s="43" t="str">
        <f ca="1">VLOOKUP($C118,OFFSET(enemy_skills!$A$1,0,0,COUNTA(enemy_skills!$A:$A),MATCH(E$1,enemy_skills!$1:$1,0)-MATCH("enemy_skill_id",enemy_skills!$1:$1,0)+1),MATCH(E$1,enemy_skills!$1:$1,0)-MATCH("enemy_skill_id",enemy_skills!$1:$1,0)+1,FALSE)</f>
        <v>このフロアの果実は連鎖的に自爆する！</v>
      </c>
      <c r="F118" s="44">
        <v>41015014</v>
      </c>
      <c r="G118" s="45">
        <f ca="1">VLOOKUP($F118,OFFSET(enemy_skill_triggers!$A$1,0,0,COUNTA(enemy_skill_triggers!$A:$A),MATCH(G$1,enemy_skill_triggers!$1:$1,0)-MATCH($F$1,enemy_skill_triggers!$1:$1,0)+1),MATCH(G$1,enemy_skill_triggers!$1:$1,0)-MATCH($F$1,enemy_skill_triggers!$1:$1,0)+1,FALSE)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8" s="45">
        <f ca="1">VLOOKUP($F118,OFFSET(enemy_skill_triggers!$A$1,0,0,COUNTA(enemy_skill_triggers!$A:$A),MATCH(H$1,enemy_skill_triggers!$1:$1,0)-MATCH($F$1,enemy_skill_triggers!$1:$1,0)+1),MATCH(H$1,enemy_skill_triggers!$1:$1,0)-MATCH($F$1,enemy_skill_triggers!$1:$1,0)+1,FALSE)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18" s="45">
        <f ca="1">VLOOKUP($F118,OFFSET(enemy_skill_triggers!$A$1,0,0,COUNTA(enemy_skill_triggers!$A:$A),MATCH(I$1,enemy_skill_triggers!$1:$1,0)-MATCH($F$1,enemy_skill_triggers!$1:$1,0)+1),MATCH(I$1,enemy_skill_triggers!$1:$1,0)-MATCH($F$1,enemy_skill_triggers!$1:$1,0)+1,FALSE)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8" s="45" t="str">
        <f ca="1">VLOOKUP($F118,OFFSET(enemy_skill_triggers!$A$1,0,0,COUNTA(enemy_skill_triggers!$A:$A),MATCH(J$1,enemy_skill_triggers!$1:$1,0)-MATCH($F$1,enemy_skill_triggers!$1:$1,0)+1),MATCH(J$1,enemy_skill_triggers!$1:$1,0)-MATCH($F$1,enemy_skill_triggers!$1:$1,0)+1,FALSE)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8" s="45" t="str">
        <f ca="1">VLOOKUP($F118,OFFSET(enemy_skill_triggers!$A$1,0,0,COUNTA(enemy_skill_triggers!$A:$A),MATCH(K$1,enemy_skill_triggers!$1:$1,0)-MATCH($F$1,enemy_skill_triggers!$1:$1,0)+1),MATCH(K$1,enemy_skill_triggers!$1:$1,0)-MATCH($F$1,enemy_skill_triggers!$1:$1,0)+1,FALSE)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8" s="45">
        <f ca="1">VLOOKUP($F118,OFFSET(enemy_skill_triggers!$A$1,0,0,COUNTA(enemy_skill_triggers!$A:$A),MATCH(L$1,enemy_skill_triggers!$1:$1,0)-MATCH($F$1,enemy_skill_triggers!$1:$1,0)+1),MATCH(L$1,enemy_skill_triggers!$1:$1,0)-MATCH($F$1,enemy_skill_triggers!$1:$1,0)+1,FALSE)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8" s="45" t="str">
        <f ca="1">VLOOKUP($F118,OFFSET(enemy_skill_triggers!$A$1,0,0,COUNTA(enemy_skill_triggers!$A:$A),MATCH(M$1,enemy_skill_triggers!$1:$1,0)-MATCH($F$1,enemy_skill_triggers!$1:$1,0)+1),MATCH(M$1,enemy_skill_triggers!$1:$1,0)-MATCH($F$1,enemy_skill_triggers!$1:$1,0)+1,FALSE)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8" s="45" t="str">
        <f ca="1">VLOOKUP($F118,OFFSET(enemy_skill_triggers!$A$1,0,0,COUNTA(enemy_skill_triggers!$A:$A),MATCH(N$1,enemy_skill_triggers!$1:$1,0)-MATCH($F$1,enemy_skill_triggers!$1:$1,0)+1),MATCH(N$1,enemy_skill_triggers!$1:$1,0)-MATCH($F$1,enemy_skill_triggers!$1:$1,0)+1,FALSE)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8" s="45">
        <f ca="1">VLOOKUP($F118,OFFSET(enemy_skill_triggers!$A$1,0,0,COUNTA(enemy_skill_triggers!$A:$A),MATCH(O$1,enemy_skill_triggers!$1:$1,0)-MATCH($F$1,enemy_skill_triggers!$1:$1,0)+1),MATCH(O$1,enemy_skill_triggers!$1:$1,0)-MATCH($F$1,enemy_skill_triggers!$1:$1,0)+1,FALSE)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8" s="44"/>
      <c r="Q118" s="44"/>
      <c r="R118" s="44"/>
    </row>
    <row r="119" spans="1:18" ht="21" customHeight="1" x14ac:dyDescent="0.15">
      <c r="A119" s="36" t="str">
        <f t="shared" si="9"/>
        <v>41015012_41015015</v>
      </c>
      <c r="B119" s="44">
        <v>41015012</v>
      </c>
      <c r="C119" s="44">
        <v>41015015</v>
      </c>
      <c r="D119" s="43" t="str">
        <f ca="1">VLOOKUP($C119,OFFSET(enemy_skills!$A$1,0,0,COUNTA(enemy_skills!$A:$A),MATCH(D$1,enemy_skills!$1:$1,0)-MATCH("enemy_skill_id",enemy_skills!$1:$1,0)+1),MATCH(D$1,enemy_skills!$1:$1,0)-MATCH("enemy_skill_id",enemy_skills!$1:$1,0)+1,FALSE)</f>
        <v>チェインブレイク！</v>
      </c>
      <c r="E119" s="43" t="str">
        <f ca="1">VLOOKUP($C119,OFFSET(enemy_skills!$A$1,0,0,COUNTA(enemy_skills!$A:$A),MATCH(E$1,enemy_skills!$1:$1,0)-MATCH("enemy_skill_id",enemy_skills!$1:$1,0)+1),MATCH(E$1,enemy_skills!$1:$1,0)-MATCH("enemy_skill_id",enemy_skills!$1:$1,0)+1,FALSE)</f>
        <v>仲間を追って爆ぜていった…</v>
      </c>
      <c r="F119" s="44">
        <v>41015015</v>
      </c>
      <c r="G119" s="45">
        <f ca="1">VLOOKUP($F119,OFFSET(enemy_skill_triggers!$A$1,0,0,COUNTA(enemy_skill_triggers!$A:$A),MATCH(G$1,enemy_skill_triggers!$1:$1,0)-MATCH($F$1,enemy_skill_triggers!$1:$1,0)+1),MATCH(G$1,enemy_skill_triggers!$1:$1,0)-MATCH($F$1,enemy_skill_triggers!$1:$1,0)+1,FALSE)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9" s="45">
        <f ca="1">VLOOKUP($F119,OFFSET(enemy_skill_triggers!$A$1,0,0,COUNTA(enemy_skill_triggers!$A:$A),MATCH(H$1,enemy_skill_triggers!$1:$1,0)-MATCH($F$1,enemy_skill_triggers!$1:$1,0)+1),MATCH(H$1,enemy_skill_triggers!$1:$1,0)-MATCH($F$1,enemy_skill_triggers!$1:$1,0)+1,FALSE)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119" s="45">
        <f ca="1">VLOOKUP($F119,OFFSET(enemy_skill_triggers!$A$1,0,0,COUNTA(enemy_skill_triggers!$A:$A),MATCH(I$1,enemy_skill_triggers!$1:$1,0)-MATCH($F$1,enemy_skill_triggers!$1:$1,0)+1),MATCH(I$1,enemy_skill_triggers!$1:$1,0)-MATCH($F$1,enemy_skill_triggers!$1:$1,0)+1,FALSE)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9" s="45" t="str">
        <f ca="1">VLOOKUP($F119,OFFSET(enemy_skill_triggers!$A$1,0,0,COUNTA(enemy_skill_triggers!$A:$A),MATCH(J$1,enemy_skill_triggers!$1:$1,0)-MATCH($F$1,enemy_skill_triggers!$1:$1,0)+1),MATCH(J$1,enemy_skill_triggers!$1:$1,0)-MATCH($F$1,enemy_skill_triggers!$1:$1,0)+1,FALSE)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9" s="45" t="str">
        <f ca="1">VLOOKUP($F119,OFFSET(enemy_skill_triggers!$A$1,0,0,COUNTA(enemy_skill_triggers!$A:$A),MATCH(K$1,enemy_skill_triggers!$1:$1,0)-MATCH($F$1,enemy_skill_triggers!$1:$1,0)+1),MATCH(K$1,enemy_skill_triggers!$1:$1,0)-MATCH($F$1,enemy_skill_triggers!$1:$1,0)+1,FALSE)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9" s="45">
        <f ca="1">VLOOKUP($F119,OFFSET(enemy_skill_triggers!$A$1,0,0,COUNTA(enemy_skill_triggers!$A:$A),MATCH(L$1,enemy_skill_triggers!$1:$1,0)-MATCH($F$1,enemy_skill_triggers!$1:$1,0)+1),MATCH(L$1,enemy_skill_triggers!$1:$1,0)-MATCH($F$1,enemy_skill_triggers!$1:$1,0)+1,FALSE)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9" s="45" t="str">
        <f ca="1">VLOOKUP($F119,OFFSET(enemy_skill_triggers!$A$1,0,0,COUNTA(enemy_skill_triggers!$A:$A),MATCH(M$1,enemy_skill_triggers!$1:$1,0)-MATCH($F$1,enemy_skill_triggers!$1:$1,0)+1),MATCH(M$1,enemy_skill_triggers!$1:$1,0)-MATCH($F$1,enemy_skill_triggers!$1:$1,0)+1,FALSE)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9" s="45">
        <f ca="1">VLOOKUP($F119,OFFSET(enemy_skill_triggers!$A$1,0,0,COUNTA(enemy_skill_triggers!$A:$A),MATCH(N$1,enemy_skill_triggers!$1:$1,0)-MATCH($F$1,enemy_skill_triggers!$1:$1,0)+1),MATCH(N$1,enemy_skill_triggers!$1:$1,0)-MATCH($F$1,enemy_skill_triggers!$1:$1,0)+1,FALSE)</f>
        <v>121</v>
      </c>
      <c r="O119" s="45">
        <f ca="1">VLOOKUP($F119,OFFSET(enemy_skill_triggers!$A$1,0,0,COUNTA(enemy_skill_triggers!$A:$A),MATCH(O$1,enemy_skill_triggers!$1:$1,0)-MATCH($F$1,enemy_skill_triggers!$1:$1,0)+1),MATCH(O$1,enemy_skill_triggers!$1:$1,0)-MATCH($F$1,enemy_skill_triggers!$1:$1,0)+1,FALSE)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9" s="44"/>
      <c r="Q119" s="44"/>
      <c r="R119" s="44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116"/>
  <sheetViews>
    <sheetView showGridLines="0" tabSelected="1" zoomScale="90" zoomScaleNormal="90" zoomScalePageLayoutView="90" workbookViewId="0">
      <pane ySplit="1" topLeftCell="A2" activePane="bottomLeft" state="frozenSplit"/>
      <selection pane="bottomLeft" activeCell="B20" sqref="B20"/>
    </sheetView>
  </sheetViews>
  <sheetFormatPr baseColWidth="12" defaultColWidth="12.83203125" defaultRowHeight="21" customHeight="1" outlineLevelCol="1" x14ac:dyDescent="0.15"/>
  <cols>
    <col min="1" max="1" width="12.83203125" style="46"/>
    <col min="2" max="2" width="67.1640625" style="46" customWidth="1"/>
    <col min="3" max="4" width="12.83203125" style="46"/>
    <col min="5" max="5" width="23.6640625" style="46" bestFit="1" customWidth="1"/>
    <col min="6" max="6" width="44.1640625" style="46" bestFit="1" customWidth="1"/>
    <col min="7" max="7" width="52" style="46" customWidth="1" outlineLevel="1"/>
    <col min="8" max="8" width="18.33203125" style="46" customWidth="1" outlineLevel="1"/>
    <col min="9" max="11" width="18.6640625" style="46" customWidth="1" outlineLevel="1"/>
    <col min="12" max="12" width="23.6640625" style="46" customWidth="1"/>
    <col min="13" max="18" width="23.6640625" style="46" customWidth="1" outlineLevel="1"/>
    <col min="19" max="19" width="23.6640625" style="46" customWidth="1"/>
    <col min="20" max="24" width="23.6640625" style="46" customWidth="1" outlineLevel="1"/>
    <col min="25" max="25" width="23.6640625" style="46" customWidth="1"/>
    <col min="26" max="27" width="12.83203125" style="46"/>
    <col min="28" max="28" width="44.5" style="46" customWidth="1"/>
    <col min="29" max="16384" width="12.83203125" style="46"/>
  </cols>
  <sheetData>
    <row r="1" spans="1:28" ht="21" customHeight="1" x14ac:dyDescent="0.15">
      <c r="A1" s="37" t="s">
        <v>79</v>
      </c>
      <c r="B1" s="37" t="s">
        <v>80</v>
      </c>
      <c r="C1" s="37" t="s">
        <v>81</v>
      </c>
      <c r="D1" s="37" t="s">
        <v>125</v>
      </c>
      <c r="E1" s="37" t="s">
        <v>82</v>
      </c>
      <c r="F1" s="37" t="s">
        <v>83</v>
      </c>
      <c r="G1" s="38" t="s">
        <v>131</v>
      </c>
      <c r="H1" s="38" t="s">
        <v>137</v>
      </c>
      <c r="I1" s="38" t="s">
        <v>139</v>
      </c>
      <c r="J1" s="38" t="s">
        <v>138</v>
      </c>
      <c r="K1" s="38" t="s">
        <v>140</v>
      </c>
      <c r="L1" s="38" t="s">
        <v>132</v>
      </c>
      <c r="M1" s="38" t="s">
        <v>130</v>
      </c>
      <c r="N1" s="38" t="s">
        <v>133</v>
      </c>
      <c r="O1" s="38" t="s">
        <v>141</v>
      </c>
      <c r="P1" s="38" t="s">
        <v>142</v>
      </c>
      <c r="Q1" s="38" t="s">
        <v>143</v>
      </c>
      <c r="R1" s="38" t="s">
        <v>144</v>
      </c>
      <c r="S1" s="38" t="s">
        <v>134</v>
      </c>
      <c r="T1" s="38" t="s">
        <v>135</v>
      </c>
      <c r="U1" s="38" t="s">
        <v>145</v>
      </c>
      <c r="V1" s="38" t="s">
        <v>146</v>
      </c>
      <c r="W1" s="38" t="s">
        <v>147</v>
      </c>
      <c r="X1" s="38" t="s">
        <v>148</v>
      </c>
      <c r="Y1" s="38" t="s">
        <v>136</v>
      </c>
      <c r="Z1" s="38" t="s">
        <v>76</v>
      </c>
      <c r="AA1" s="38" t="s">
        <v>77</v>
      </c>
      <c r="AB1" s="38" t="s">
        <v>78</v>
      </c>
    </row>
    <row r="2" spans="1:28" ht="21" customHeight="1" x14ac:dyDescent="0.15">
      <c r="A2" s="44">
        <v>41015001</v>
      </c>
      <c r="B2" s="44" t="s">
        <v>254</v>
      </c>
      <c r="C2" s="47">
        <v>3</v>
      </c>
      <c r="D2" s="47" t="s">
        <v>255</v>
      </c>
      <c r="E2" s="48" t="s">
        <v>256</v>
      </c>
      <c r="F2" s="48" t="s">
        <v>257</v>
      </c>
      <c r="G2" s="60" t="str">
        <f t="shared" ref="G2:G7" si="0">IFERROR(LEFT(B2,FIND("],",B2)),B2)</f>
        <v>[effect:enhance_enemy, target:enemy_yellow, turn:-1, status:attack, val:0.1, animation:enemy_enhance_attack]</v>
      </c>
      <c r="H2" s="60">
        <f t="shared" ref="H2:H7" si="1">FIND("effect:",G2)+7</f>
        <v>9</v>
      </c>
      <c r="I2" s="60">
        <f t="shared" ref="I2:I7" si="2">IFERROR(FIND(",",G2),LEN(G2))</f>
        <v>22</v>
      </c>
      <c r="J2" s="60">
        <f t="shared" ref="J2:J7" si="3">FIND("target:",G2)+7</f>
        <v>31</v>
      </c>
      <c r="K2" s="60">
        <f t="shared" ref="K2:K7" si="4">FIND(",",G2,I2+1)</f>
        <v>43</v>
      </c>
      <c r="L2" s="60" t="str">
        <f>IFERROR(VLOOKUP(MID(G2,J2,K2-J2),[5]skilldef!$C:$D,2,FALSE),"-") &amp; " / " &amp; IFERROR(VLOOKUP(MID(G2,H2,I2-H2),[5]skilldef!$A:$B,2,FALSE),"-")</f>
        <v>黄の敵に / ステータス強化</v>
      </c>
      <c r="M2" s="60" t="str">
        <f t="shared" ref="M2:M7" si="5">IFERROR(RIGHT(B2,LEN(B2)-FIND("],",B2)-1),"none")</f>
        <v>[effect:suicide, val:1, dead_type:escape, target:myself]</v>
      </c>
      <c r="N2" s="45" t="str">
        <f t="shared" ref="N2:N7" si="6">IFERROR(LEFT(M2,FIND("],",M2)+S14),M2)</f>
        <v>[effect:suicide, val:1, dead_type:escape, target:myself]</v>
      </c>
      <c r="O2" s="60">
        <f t="shared" ref="O2:O7" si="7">FIND("effect:",N2)+7</f>
        <v>9</v>
      </c>
      <c r="P2" s="60">
        <f t="shared" ref="P2:P7" si="8">IFERROR(FIND(",",N2),LEN(N2))</f>
        <v>16</v>
      </c>
      <c r="Q2" s="60">
        <f t="shared" ref="Q2:Q7" si="9">FIND("target:",N2)+7</f>
        <v>50</v>
      </c>
      <c r="R2" s="60">
        <f t="shared" ref="R2:R7" si="10">FIND(",",N2,P2+1)</f>
        <v>23</v>
      </c>
      <c r="S2" s="60" t="str">
        <f>IFERROR(VLOOKUP(MID(N2,Q2,R2-Q2),[5]skilldef!$C:$D,2,FALSE),"-") &amp; " / " &amp; IFERROR(VLOOKUP(MID(N2,O2,P2-O2),[5]skilldef!$A:$B,2,FALSE),"-")</f>
        <v>- / -</v>
      </c>
      <c r="T2" s="45" t="str">
        <f t="shared" ref="T2:T7" si="11">IFERROR(RIGHT(M2,LEN(M2)-FIND("],",M2)-1),"none")</f>
        <v>none</v>
      </c>
      <c r="U2" s="60" t="e">
        <f t="shared" ref="U2:U7" si="12">FIND("effect:",T2)+7</f>
        <v>#VALUE!</v>
      </c>
      <c r="V2" s="60">
        <f t="shared" ref="V2:V7" si="13">IFERROR(FIND(",",T2),LEN(T2))</f>
        <v>4</v>
      </c>
      <c r="W2" s="60" t="e">
        <f t="shared" ref="W2:W7" si="14">FIND("target:",T2)+7</f>
        <v>#VALUE!</v>
      </c>
      <c r="X2" s="60" t="e">
        <f t="shared" ref="X2:X7" si="15">FIND(",",T2,V2+1)</f>
        <v>#VALUE!</v>
      </c>
      <c r="Y2" s="60" t="str">
        <f>IFERROR(VLOOKUP(MID(T2,W2,X2-W2),[5]skilldef!$C:$D,2,FALSE),"-") &amp; " / " &amp; IFERROR(VLOOKUP(MID(T2,U2,V2-U2),[5]skilldef!$A:$B,2,FALSE),"-")</f>
        <v>- / -</v>
      </c>
      <c r="Z2" s="47"/>
      <c r="AA2" s="49"/>
      <c r="AB2" s="47"/>
    </row>
    <row r="3" spans="1:28" ht="21" customHeight="1" x14ac:dyDescent="0.15">
      <c r="A3" s="44">
        <v>41015002</v>
      </c>
      <c r="B3" s="44" t="s">
        <v>258</v>
      </c>
      <c r="C3" s="47">
        <v>3</v>
      </c>
      <c r="D3" s="47" t="s">
        <v>126</v>
      </c>
      <c r="E3" s="48" t="s">
        <v>259</v>
      </c>
      <c r="F3" s="48" t="s">
        <v>260</v>
      </c>
      <c r="G3" s="60" t="str">
        <f t="shared" si="0"/>
        <v>[effect:nothing]</v>
      </c>
      <c r="H3" s="60">
        <f t="shared" si="1"/>
        <v>9</v>
      </c>
      <c r="I3" s="60">
        <f t="shared" si="2"/>
        <v>16</v>
      </c>
      <c r="J3" s="60" t="e">
        <f t="shared" si="3"/>
        <v>#VALUE!</v>
      </c>
      <c r="K3" s="60" t="e">
        <f t="shared" si="4"/>
        <v>#VALUE!</v>
      </c>
      <c r="L3" s="60" t="str">
        <f>IFERROR(VLOOKUP(MID(G3,J3,K3-J3),[5]skilldef!$C:$D,2,FALSE),"-") &amp; " / " &amp; IFERROR(VLOOKUP(MID(G3,H3,I3-H3),[5]skilldef!$A:$B,2,FALSE),"-")</f>
        <v>- / 何もしない</v>
      </c>
      <c r="M3" s="60" t="str">
        <f t="shared" si="5"/>
        <v>none</v>
      </c>
      <c r="N3" s="45" t="str">
        <f t="shared" si="6"/>
        <v>none</v>
      </c>
      <c r="O3" s="60" t="e">
        <f t="shared" si="7"/>
        <v>#VALUE!</v>
      </c>
      <c r="P3" s="60">
        <f t="shared" si="8"/>
        <v>4</v>
      </c>
      <c r="Q3" s="60" t="e">
        <f t="shared" si="9"/>
        <v>#VALUE!</v>
      </c>
      <c r="R3" s="60" t="e">
        <f t="shared" si="10"/>
        <v>#VALUE!</v>
      </c>
      <c r="S3" s="60" t="str">
        <f>IFERROR(VLOOKUP(MID(N3,Q3,R3-Q3),[5]skilldef!$C:$D,2,FALSE),"-") &amp; " / " &amp; IFERROR(VLOOKUP(MID(N3,O3,P3-O3),[5]skilldef!$A:$B,2,FALSE),"-")</f>
        <v>- / -</v>
      </c>
      <c r="T3" s="45" t="str">
        <f t="shared" si="11"/>
        <v>none</v>
      </c>
      <c r="U3" s="60" t="e">
        <f t="shared" si="12"/>
        <v>#VALUE!</v>
      </c>
      <c r="V3" s="60">
        <f t="shared" si="13"/>
        <v>4</v>
      </c>
      <c r="W3" s="60" t="e">
        <f t="shared" si="14"/>
        <v>#VALUE!</v>
      </c>
      <c r="X3" s="60" t="e">
        <f t="shared" si="15"/>
        <v>#VALUE!</v>
      </c>
      <c r="Y3" s="60" t="str">
        <f>IFERROR(VLOOKUP(MID(T3,W3,X3-W3),[5]skilldef!$C:$D,2,FALSE),"-") &amp; " / " &amp; IFERROR(VLOOKUP(MID(T3,U3,V3-U3),[5]skilldef!$A:$B,2,FALSE),"-")</f>
        <v>- / -</v>
      </c>
      <c r="Z3" s="47"/>
      <c r="AA3" s="49"/>
      <c r="AB3" s="47"/>
    </row>
    <row r="4" spans="1:28" ht="21" customHeight="1" x14ac:dyDescent="0.15">
      <c r="A4" s="44">
        <v>41015003</v>
      </c>
      <c r="B4" s="44" t="s">
        <v>261</v>
      </c>
      <c r="C4" s="47">
        <v>3</v>
      </c>
      <c r="D4" s="47" t="s">
        <v>126</v>
      </c>
      <c r="E4" s="48" t="s">
        <v>262</v>
      </c>
      <c r="F4" s="48" t="s">
        <v>263</v>
      </c>
      <c r="G4" s="60" t="str">
        <f t="shared" si="0"/>
        <v>[effect:rush, count:2, val:0.65]</v>
      </c>
      <c r="H4" s="60">
        <f t="shared" si="1"/>
        <v>9</v>
      </c>
      <c r="I4" s="60">
        <f t="shared" si="2"/>
        <v>13</v>
      </c>
      <c r="J4" s="60" t="e">
        <f t="shared" si="3"/>
        <v>#VALUE!</v>
      </c>
      <c r="K4" s="60">
        <f t="shared" si="4"/>
        <v>22</v>
      </c>
      <c r="L4" s="60" t="str">
        <f>IFERROR(VLOOKUP(MID(G4,J4,K4-J4),[5]skilldef!$C:$D,2,FALSE),"-") &amp; " / " &amp; IFERROR(VLOOKUP(MID(G4,H4,I4-H4),[5]skilldef!$A:$B,2,FALSE),"-")</f>
        <v>- / 連続攻撃</v>
      </c>
      <c r="M4" s="60" t="str">
        <f t="shared" si="5"/>
        <v>none</v>
      </c>
      <c r="N4" s="45" t="str">
        <f t="shared" si="6"/>
        <v>none</v>
      </c>
      <c r="O4" s="60" t="e">
        <f t="shared" si="7"/>
        <v>#VALUE!</v>
      </c>
      <c r="P4" s="60">
        <f t="shared" si="8"/>
        <v>4</v>
      </c>
      <c r="Q4" s="60" t="e">
        <f t="shared" si="9"/>
        <v>#VALUE!</v>
      </c>
      <c r="R4" s="60" t="e">
        <f t="shared" si="10"/>
        <v>#VALUE!</v>
      </c>
      <c r="S4" s="60" t="str">
        <f>IFERROR(VLOOKUP(MID(N4,Q4,R4-Q4),[5]skilldef!$C:$D,2,FALSE),"-") &amp; " / " &amp; IFERROR(VLOOKUP(MID(N4,O4,P4-O4),[5]skilldef!$A:$B,2,FALSE),"-")</f>
        <v>- / -</v>
      </c>
      <c r="T4" s="45" t="str">
        <f t="shared" si="11"/>
        <v>none</v>
      </c>
      <c r="U4" s="60" t="e">
        <f t="shared" si="12"/>
        <v>#VALUE!</v>
      </c>
      <c r="V4" s="60">
        <f t="shared" si="13"/>
        <v>4</v>
      </c>
      <c r="W4" s="60" t="e">
        <f t="shared" si="14"/>
        <v>#VALUE!</v>
      </c>
      <c r="X4" s="60" t="e">
        <f t="shared" si="15"/>
        <v>#VALUE!</v>
      </c>
      <c r="Y4" s="60" t="str">
        <f>IFERROR(VLOOKUP(MID(T4,W4,X4-W4),[5]skilldef!$C:$D,2,FALSE),"-") &amp; " / " &amp; IFERROR(VLOOKUP(MID(T4,U4,V4-U4),[5]skilldef!$A:$B,2,FALSE),"-")</f>
        <v>- / -</v>
      </c>
      <c r="Z4" s="47"/>
      <c r="AA4" s="49"/>
      <c r="AB4" s="47"/>
    </row>
    <row r="5" spans="1:28" ht="21" customHeight="1" x14ac:dyDescent="0.15">
      <c r="A5" s="44">
        <v>41015004</v>
      </c>
      <c r="B5" s="44" t="s">
        <v>264</v>
      </c>
      <c r="C5" s="47">
        <v>3</v>
      </c>
      <c r="D5" s="47" t="s">
        <v>265</v>
      </c>
      <c r="E5" s="48" t="s">
        <v>266</v>
      </c>
      <c r="F5" s="48" t="s">
        <v>267</v>
      </c>
      <c r="G5" s="60" t="str">
        <f t="shared" si="0"/>
        <v>[effect:spread, val:0.35]</v>
      </c>
      <c r="H5" s="60">
        <f t="shared" si="1"/>
        <v>9</v>
      </c>
      <c r="I5" s="60">
        <f t="shared" si="2"/>
        <v>15</v>
      </c>
      <c r="J5" s="60" t="e">
        <f t="shared" si="3"/>
        <v>#VALUE!</v>
      </c>
      <c r="K5" s="60" t="e">
        <f t="shared" si="4"/>
        <v>#VALUE!</v>
      </c>
      <c r="L5" s="60" t="str">
        <f>IFERROR(VLOOKUP(MID(G5,J5,K5-J5),[5]skilldef!$C:$D,2,FALSE),"-") &amp; " / " &amp; IFERROR(VLOOKUP(MID(G5,H5,I5-H5),[5]skilldef!$A:$B,2,FALSE),"-")</f>
        <v>- / 全体攻撃</v>
      </c>
      <c r="M5" s="60" t="str">
        <f t="shared" si="5"/>
        <v>none</v>
      </c>
      <c r="N5" s="45" t="str">
        <f t="shared" si="6"/>
        <v>none</v>
      </c>
      <c r="O5" s="60" t="e">
        <f t="shared" si="7"/>
        <v>#VALUE!</v>
      </c>
      <c r="P5" s="60">
        <f t="shared" si="8"/>
        <v>4</v>
      </c>
      <c r="Q5" s="60" t="e">
        <f t="shared" si="9"/>
        <v>#VALUE!</v>
      </c>
      <c r="R5" s="60" t="e">
        <f t="shared" si="10"/>
        <v>#VALUE!</v>
      </c>
      <c r="S5" s="60" t="str">
        <f>IFERROR(VLOOKUP(MID(N5,Q5,R5-Q5),[5]skilldef!$C:$D,2,FALSE),"-") &amp; " / " &amp; IFERROR(VLOOKUP(MID(N5,O5,P5-O5),[5]skilldef!$A:$B,2,FALSE),"-")</f>
        <v>- / -</v>
      </c>
      <c r="T5" s="45" t="str">
        <f t="shared" si="11"/>
        <v>none</v>
      </c>
      <c r="U5" s="60" t="e">
        <f t="shared" si="12"/>
        <v>#VALUE!</v>
      </c>
      <c r="V5" s="60">
        <f t="shared" si="13"/>
        <v>4</v>
      </c>
      <c r="W5" s="60" t="e">
        <f t="shared" si="14"/>
        <v>#VALUE!</v>
      </c>
      <c r="X5" s="60" t="e">
        <f t="shared" si="15"/>
        <v>#VALUE!</v>
      </c>
      <c r="Y5" s="60" t="str">
        <f>IFERROR(VLOOKUP(MID(T5,W5,X5-W5),[5]skilldef!$C:$D,2,FALSE),"-") &amp; " / " &amp; IFERROR(VLOOKUP(MID(T5,U5,V5-U5),[5]skilldef!$A:$B,2,FALSE),"-")</f>
        <v>- / -</v>
      </c>
      <c r="Z5" s="47"/>
      <c r="AA5" s="49"/>
      <c r="AB5" s="47"/>
    </row>
    <row r="6" spans="1:28" ht="21" customHeight="1" x14ac:dyDescent="0.15">
      <c r="A6" s="44">
        <v>41015005</v>
      </c>
      <c r="B6" s="44" t="s">
        <v>268</v>
      </c>
      <c r="C6" s="47">
        <v>3</v>
      </c>
      <c r="D6" s="47" t="s">
        <v>126</v>
      </c>
      <c r="E6" s="48" t="s">
        <v>269</v>
      </c>
      <c r="F6" s="48" t="s">
        <v>270</v>
      </c>
      <c r="G6" s="60" t="str">
        <f t="shared" si="0"/>
        <v>[effect:suicide, val:0.5, dead_type:suicide, target:myself, animation:enemy_suicide]</v>
      </c>
      <c r="H6" s="60">
        <f t="shared" si="1"/>
        <v>9</v>
      </c>
      <c r="I6" s="60">
        <f t="shared" si="2"/>
        <v>16</v>
      </c>
      <c r="J6" s="60">
        <f t="shared" si="3"/>
        <v>53</v>
      </c>
      <c r="K6" s="60">
        <f t="shared" si="4"/>
        <v>25</v>
      </c>
      <c r="L6" s="60" t="str">
        <f>IFERROR(VLOOKUP(MID(G6,J6,K6-J6),[5]skilldef!$C:$D,2,FALSE),"-") &amp; " / " &amp; IFERROR(VLOOKUP(MID(G6,H6,I6-H6),[5]skilldef!$A:$B,2,FALSE),"-")</f>
        <v>- / -</v>
      </c>
      <c r="M6" s="60" t="str">
        <f t="shared" si="5"/>
        <v>none</v>
      </c>
      <c r="N6" s="45" t="str">
        <f t="shared" si="6"/>
        <v>none</v>
      </c>
      <c r="O6" s="60" t="e">
        <f t="shared" si="7"/>
        <v>#VALUE!</v>
      </c>
      <c r="P6" s="60">
        <f t="shared" si="8"/>
        <v>4</v>
      </c>
      <c r="Q6" s="60" t="e">
        <f t="shared" si="9"/>
        <v>#VALUE!</v>
      </c>
      <c r="R6" s="60" t="e">
        <f t="shared" si="10"/>
        <v>#VALUE!</v>
      </c>
      <c r="S6" s="60" t="str">
        <f>IFERROR(VLOOKUP(MID(N6,Q6,R6-Q6),[5]skilldef!$C:$D,2,FALSE),"-") &amp; " / " &amp; IFERROR(VLOOKUP(MID(N6,O6,P6-O6),[5]skilldef!$A:$B,2,FALSE),"-")</f>
        <v>- / -</v>
      </c>
      <c r="T6" s="45" t="str">
        <f t="shared" si="11"/>
        <v>none</v>
      </c>
      <c r="U6" s="60" t="e">
        <f t="shared" si="12"/>
        <v>#VALUE!</v>
      </c>
      <c r="V6" s="60">
        <f t="shared" si="13"/>
        <v>4</v>
      </c>
      <c r="W6" s="60" t="e">
        <f t="shared" si="14"/>
        <v>#VALUE!</v>
      </c>
      <c r="X6" s="60" t="e">
        <f t="shared" si="15"/>
        <v>#VALUE!</v>
      </c>
      <c r="Y6" s="60" t="str">
        <f>IFERROR(VLOOKUP(MID(T6,W6,X6-W6),[5]skilldef!$C:$D,2,FALSE),"-") &amp; " / " &amp; IFERROR(VLOOKUP(MID(T6,U6,V6-U6),[5]skilldef!$A:$B,2,FALSE),"-")</f>
        <v>- / -</v>
      </c>
      <c r="Z6" s="47"/>
      <c r="AA6" s="49"/>
      <c r="AB6" s="47"/>
    </row>
    <row r="7" spans="1:28" ht="21" customHeight="1" x14ac:dyDescent="0.15">
      <c r="A7" s="44">
        <v>41015006</v>
      </c>
      <c r="B7" s="44" t="s">
        <v>272</v>
      </c>
      <c r="C7" s="47">
        <v>3</v>
      </c>
      <c r="D7" s="47" t="s">
        <v>273</v>
      </c>
      <c r="E7" s="48" t="s">
        <v>274</v>
      </c>
      <c r="F7" s="48" t="s">
        <v>275</v>
      </c>
      <c r="G7" s="60" t="str">
        <f t="shared" si="0"/>
        <v>[effect:fix_speed, target:myself, turn:1]</v>
      </c>
      <c r="H7" s="60">
        <f t="shared" si="1"/>
        <v>9</v>
      </c>
      <c r="I7" s="60">
        <f t="shared" si="2"/>
        <v>18</v>
      </c>
      <c r="J7" s="60">
        <f t="shared" si="3"/>
        <v>27</v>
      </c>
      <c r="K7" s="60">
        <f t="shared" si="4"/>
        <v>33</v>
      </c>
      <c r="L7" s="60" t="str">
        <f>IFERROR(VLOOKUP(MID(G7,J7,K7-J7),[5]skilldef!$C:$D,2,FALSE),"-") &amp; " / " &amp; IFERROR(VLOOKUP(MID(G7,H7,I7-H7),[5]skilldef!$A:$B,2,FALSE),"-")</f>
        <v>自分自身に / 行動値設定</v>
      </c>
      <c r="M7" s="60" t="str">
        <f t="shared" si="5"/>
        <v>none</v>
      </c>
      <c r="N7" s="45" t="str">
        <f t="shared" si="6"/>
        <v>none</v>
      </c>
      <c r="O7" s="60" t="e">
        <f t="shared" si="7"/>
        <v>#VALUE!</v>
      </c>
      <c r="P7" s="60">
        <f t="shared" si="8"/>
        <v>4</v>
      </c>
      <c r="Q7" s="60" t="e">
        <f t="shared" si="9"/>
        <v>#VALUE!</v>
      </c>
      <c r="R7" s="60" t="e">
        <f t="shared" si="10"/>
        <v>#VALUE!</v>
      </c>
      <c r="S7" s="60" t="str">
        <f>IFERROR(VLOOKUP(MID(N7,Q7,R7-Q7),[5]skilldef!$C:$D,2,FALSE),"-") &amp; " / " &amp; IFERROR(VLOOKUP(MID(N7,O7,P7-O7),[5]skilldef!$A:$B,2,FALSE),"-")</f>
        <v>- / -</v>
      </c>
      <c r="T7" s="45" t="str">
        <f t="shared" si="11"/>
        <v>none</v>
      </c>
      <c r="U7" s="60" t="e">
        <f t="shared" si="12"/>
        <v>#VALUE!</v>
      </c>
      <c r="V7" s="60">
        <f t="shared" si="13"/>
        <v>4</v>
      </c>
      <c r="W7" s="60" t="e">
        <f t="shared" si="14"/>
        <v>#VALUE!</v>
      </c>
      <c r="X7" s="60" t="e">
        <f t="shared" si="15"/>
        <v>#VALUE!</v>
      </c>
      <c r="Y7" s="60" t="str">
        <f>IFERROR(VLOOKUP(MID(T7,W7,X7-W7),[5]skilldef!$C:$D,2,FALSE),"-") &amp; " / " &amp; IFERROR(VLOOKUP(MID(T7,U7,V7-U7),[5]skilldef!$A:$B,2,FALSE),"-")</f>
        <v>- / -</v>
      </c>
      <c r="Z7" s="47"/>
      <c r="AA7" s="49"/>
      <c r="AB7" s="47"/>
    </row>
    <row r="8" spans="1:28" ht="21" customHeight="1" x14ac:dyDescent="0.15">
      <c r="A8" s="44">
        <v>41015007</v>
      </c>
      <c r="B8" s="44" t="s">
        <v>276</v>
      </c>
      <c r="C8" s="170">
        <v>3</v>
      </c>
      <c r="D8" s="170" t="s">
        <v>277</v>
      </c>
      <c r="E8" s="171" t="s">
        <v>279</v>
      </c>
      <c r="F8" s="171" t="s">
        <v>280</v>
      </c>
      <c r="G8" s="172" t="s">
        <v>281</v>
      </c>
      <c r="H8" s="172">
        <v>9</v>
      </c>
      <c r="I8" s="172">
        <v>13</v>
      </c>
      <c r="J8" s="172">
        <v>22</v>
      </c>
      <c r="K8" s="172">
        <v>31</v>
      </c>
      <c r="L8" s="172" t="s">
        <v>282</v>
      </c>
      <c r="M8" s="172" t="s">
        <v>283</v>
      </c>
      <c r="N8" s="173" t="s">
        <v>283</v>
      </c>
      <c r="O8" s="172" t="e">
        <v>#VALUE!</v>
      </c>
      <c r="P8" s="172">
        <v>4</v>
      </c>
      <c r="Q8" s="172" t="e">
        <v>#VALUE!</v>
      </c>
      <c r="R8" s="172" t="e">
        <v>#VALUE!</v>
      </c>
      <c r="S8" s="172" t="s">
        <v>284</v>
      </c>
      <c r="T8" s="173" t="s">
        <v>283</v>
      </c>
      <c r="U8" s="172" t="e">
        <v>#VALUE!</v>
      </c>
      <c r="V8" s="172">
        <v>4</v>
      </c>
      <c r="W8" s="172" t="e">
        <v>#VALUE!</v>
      </c>
      <c r="X8" s="172" t="e">
        <v>#VALUE!</v>
      </c>
      <c r="Y8" s="172" t="s">
        <v>284</v>
      </c>
      <c r="Z8" s="170"/>
      <c r="AA8" s="174"/>
      <c r="AB8" s="170"/>
    </row>
    <row r="9" spans="1:28" ht="21" customHeight="1" x14ac:dyDescent="0.15">
      <c r="A9" s="44">
        <v>41015008</v>
      </c>
      <c r="B9" s="44" t="s">
        <v>285</v>
      </c>
      <c r="C9" s="170">
        <v>3</v>
      </c>
      <c r="D9" s="170" t="s">
        <v>277</v>
      </c>
      <c r="E9" s="171" t="s">
        <v>286</v>
      </c>
      <c r="F9" s="171" t="s">
        <v>287</v>
      </c>
      <c r="G9" s="172" t="s">
        <v>281</v>
      </c>
      <c r="H9" s="172">
        <v>9</v>
      </c>
      <c r="I9" s="172">
        <v>13</v>
      </c>
      <c r="J9" s="172">
        <v>22</v>
      </c>
      <c r="K9" s="172">
        <v>31</v>
      </c>
      <c r="L9" s="172" t="s">
        <v>282</v>
      </c>
      <c r="M9" s="172" t="s">
        <v>283</v>
      </c>
      <c r="N9" s="173" t="s">
        <v>283</v>
      </c>
      <c r="O9" s="172" t="e">
        <v>#VALUE!</v>
      </c>
      <c r="P9" s="172">
        <v>4</v>
      </c>
      <c r="Q9" s="172" t="e">
        <v>#VALUE!</v>
      </c>
      <c r="R9" s="172" t="e">
        <v>#VALUE!</v>
      </c>
      <c r="S9" s="172" t="s">
        <v>284</v>
      </c>
      <c r="T9" s="173" t="s">
        <v>283</v>
      </c>
      <c r="U9" s="172" t="e">
        <v>#VALUE!</v>
      </c>
      <c r="V9" s="172">
        <v>4</v>
      </c>
      <c r="W9" s="172" t="e">
        <v>#VALUE!</v>
      </c>
      <c r="X9" s="172" t="e">
        <v>#VALUE!</v>
      </c>
      <c r="Y9" s="172" t="s">
        <v>284</v>
      </c>
      <c r="Z9" s="170"/>
      <c r="AA9" s="174"/>
      <c r="AB9" s="170"/>
    </row>
    <row r="10" spans="1:28" ht="21" customHeight="1" x14ac:dyDescent="0.15">
      <c r="A10" s="44">
        <v>41015009</v>
      </c>
      <c r="B10" s="44" t="s">
        <v>288</v>
      </c>
      <c r="C10" s="47">
        <v>3</v>
      </c>
      <c r="D10" s="47" t="s">
        <v>289</v>
      </c>
      <c r="E10" s="48" t="s">
        <v>290</v>
      </c>
      <c r="F10" s="48" t="s">
        <v>291</v>
      </c>
      <c r="G10" s="60" t="str">
        <f t="shared" ref="G10:G70" si="16">IFERROR(LEFT(B10,FIND("],",B10)),B10)</f>
        <v>[effect:rush, count:6, val:0.2]</v>
      </c>
      <c r="H10" s="60">
        <f t="shared" ref="H10:H70" si="17">FIND("effect:",G10)+7</f>
        <v>9</v>
      </c>
      <c r="I10" s="60">
        <f t="shared" ref="I10:I70" si="18">IFERROR(FIND(",",G10),LEN(G10))</f>
        <v>13</v>
      </c>
      <c r="J10" s="60" t="e">
        <f t="shared" ref="J10:J70" si="19">FIND("target:",G10)+7</f>
        <v>#VALUE!</v>
      </c>
      <c r="K10" s="60">
        <f t="shared" ref="K10:K70" si="20">FIND(",",G10,I10+1)</f>
        <v>22</v>
      </c>
      <c r="L10" s="60" t="str">
        <f>IFERROR(VLOOKUP(MID(G10,J10,K10-J10),[5]skilldef!$C:$D,2,FALSE),"-") &amp; " / " &amp; IFERROR(VLOOKUP(MID(G10,H10,I10-H10),[5]skilldef!$A:$B,2,FALSE),"-")</f>
        <v>- / 連続攻撃</v>
      </c>
      <c r="M10" s="60" t="str">
        <f t="shared" ref="M10:M70" si="21">IFERROR(RIGHT(B10,LEN(B10)-FIND("],",B10)-1),"none")</f>
        <v>[effect:suicide, val:0.05, dead_type:suicide, target:myself, animation:enemy_suicide]</v>
      </c>
      <c r="N10" s="45" t="str">
        <f t="shared" ref="N10:N45" si="22">IFERROR(LEFT(M10,FIND("],",M10)+S20),M10)</f>
        <v>[effect:suicide, val:0.05, dead_type:suicide, target:myself, animation:enemy_suicide]</v>
      </c>
      <c r="O10" s="60">
        <f t="shared" ref="O10:O70" si="23">FIND("effect:",N10)+7</f>
        <v>9</v>
      </c>
      <c r="P10" s="60">
        <f t="shared" ref="P10:P70" si="24">IFERROR(FIND(",",N10),LEN(N10))</f>
        <v>16</v>
      </c>
      <c r="Q10" s="60">
        <f t="shared" ref="Q10:Q70" si="25">FIND("target:",N10)+7</f>
        <v>54</v>
      </c>
      <c r="R10" s="60">
        <f t="shared" ref="R10:R70" si="26">FIND(",",N10,P10+1)</f>
        <v>26</v>
      </c>
      <c r="S10" s="60" t="str">
        <f>IFERROR(VLOOKUP(MID(N10,Q10,R10-Q10),[5]skilldef!$C:$D,2,FALSE),"-") &amp; " / " &amp; IFERROR(VLOOKUP(MID(N10,O10,P10-O10),[5]skilldef!$A:$B,2,FALSE),"-")</f>
        <v>- / -</v>
      </c>
      <c r="T10" s="45" t="str">
        <f t="shared" ref="T10:T70" si="27">IFERROR(RIGHT(M10,LEN(M10)-FIND("],",M10)-1),"none")</f>
        <v>none</v>
      </c>
      <c r="U10" s="60" t="e">
        <f t="shared" ref="U10:U70" si="28">FIND("effect:",T10)+7</f>
        <v>#VALUE!</v>
      </c>
      <c r="V10" s="60">
        <f t="shared" ref="V10:V70" si="29">IFERROR(FIND(",",T10),LEN(T10))</f>
        <v>4</v>
      </c>
      <c r="W10" s="60" t="e">
        <f t="shared" ref="W10:W70" si="30">FIND("target:",T10)+7</f>
        <v>#VALUE!</v>
      </c>
      <c r="X10" s="60" t="e">
        <f t="shared" ref="X10:X70" si="31">FIND(",",T10,V10+1)</f>
        <v>#VALUE!</v>
      </c>
      <c r="Y10" s="60" t="str">
        <f>IFERROR(VLOOKUP(MID(T10,W10,X10-W10),[5]skilldef!$C:$D,2,FALSE),"-") &amp; " / " &amp; IFERROR(VLOOKUP(MID(T10,U10,V10-U10),[5]skilldef!$A:$B,2,FALSE),"-")</f>
        <v>- / -</v>
      </c>
      <c r="Z10" s="47"/>
      <c r="AA10" s="49"/>
      <c r="AB10" s="47"/>
    </row>
    <row r="11" spans="1:28" ht="21" customHeight="1" x14ac:dyDescent="0.15">
      <c r="A11" s="44">
        <v>41015010</v>
      </c>
      <c r="B11" s="44" t="s">
        <v>292</v>
      </c>
      <c r="C11" s="47">
        <v>3</v>
      </c>
      <c r="D11" s="47" t="s">
        <v>293</v>
      </c>
      <c r="E11" s="48" t="s">
        <v>294</v>
      </c>
      <c r="F11" s="48" t="s">
        <v>295</v>
      </c>
      <c r="G11" s="60" t="str">
        <f t="shared" si="16"/>
        <v>[effect:spread, val:0.35]</v>
      </c>
      <c r="H11" s="60">
        <f t="shared" si="17"/>
        <v>9</v>
      </c>
      <c r="I11" s="60">
        <f t="shared" si="18"/>
        <v>15</v>
      </c>
      <c r="J11" s="60" t="e">
        <f t="shared" si="19"/>
        <v>#VALUE!</v>
      </c>
      <c r="K11" s="60" t="e">
        <f t="shared" si="20"/>
        <v>#VALUE!</v>
      </c>
      <c r="L11" s="60" t="str">
        <f>IFERROR(VLOOKUP(MID(G11,J11,K11-J11),[5]skilldef!$C:$D,2,FALSE),"-") &amp; " / " &amp; IFERROR(VLOOKUP(MID(G11,H11,I11-H11),[5]skilldef!$A:$B,2,FALSE),"-")</f>
        <v>- / 全体攻撃</v>
      </c>
      <c r="M11" s="60" t="str">
        <f t="shared" si="21"/>
        <v>[effect:suicide, val:0.1, dead_type:suicide, target:myself, animation:enemy_suicide]</v>
      </c>
      <c r="N11" s="45" t="str">
        <f t="shared" si="22"/>
        <v>[effect:suicide, val:0.1, dead_type:suicide, target:myself, animation:enemy_suicide]</v>
      </c>
      <c r="O11" s="60">
        <f t="shared" si="23"/>
        <v>9</v>
      </c>
      <c r="P11" s="60">
        <f t="shared" si="24"/>
        <v>16</v>
      </c>
      <c r="Q11" s="60">
        <f t="shared" si="25"/>
        <v>53</v>
      </c>
      <c r="R11" s="60">
        <f t="shared" si="26"/>
        <v>25</v>
      </c>
      <c r="S11" s="60" t="str">
        <f>IFERROR(VLOOKUP(MID(N11,Q11,R11-Q11),[5]skilldef!$C:$D,2,FALSE),"-") &amp; " / " &amp; IFERROR(VLOOKUP(MID(N11,O11,P11-O11),[5]skilldef!$A:$B,2,FALSE),"-")</f>
        <v>- / -</v>
      </c>
      <c r="T11" s="45" t="str">
        <f t="shared" si="27"/>
        <v>none</v>
      </c>
      <c r="U11" s="60" t="e">
        <f t="shared" si="28"/>
        <v>#VALUE!</v>
      </c>
      <c r="V11" s="60">
        <f t="shared" si="29"/>
        <v>4</v>
      </c>
      <c r="W11" s="60" t="e">
        <f t="shared" si="30"/>
        <v>#VALUE!</v>
      </c>
      <c r="X11" s="60" t="e">
        <f t="shared" si="31"/>
        <v>#VALUE!</v>
      </c>
      <c r="Y11" s="60" t="str">
        <f>IFERROR(VLOOKUP(MID(T11,W11,X11-W11),[5]skilldef!$C:$D,2,FALSE),"-") &amp; " / " &amp; IFERROR(VLOOKUP(MID(T11,U11,V11-U11),[5]skilldef!$A:$B,2,FALSE),"-")</f>
        <v>- / -</v>
      </c>
      <c r="Z11" s="47"/>
      <c r="AA11" s="49"/>
      <c r="AB11" s="47"/>
    </row>
    <row r="12" spans="1:28" ht="21" customHeight="1" x14ac:dyDescent="0.15">
      <c r="A12" s="44">
        <v>41015011</v>
      </c>
      <c r="B12" s="44" t="s">
        <v>296</v>
      </c>
      <c r="C12" s="47">
        <v>3</v>
      </c>
      <c r="D12" s="47" t="s">
        <v>297</v>
      </c>
      <c r="E12" s="48" t="s">
        <v>298</v>
      </c>
      <c r="F12" s="48" t="s">
        <v>299</v>
      </c>
      <c r="G12" s="60" t="str">
        <f t="shared" si="16"/>
        <v>[effect:suicide, val:0.2, dead_type:suicide, target:myself, animation:enemy_suicide]</v>
      </c>
      <c r="H12" s="60">
        <f t="shared" si="17"/>
        <v>9</v>
      </c>
      <c r="I12" s="60">
        <f t="shared" si="18"/>
        <v>16</v>
      </c>
      <c r="J12" s="60">
        <f t="shared" si="19"/>
        <v>53</v>
      </c>
      <c r="K12" s="60">
        <f t="shared" si="20"/>
        <v>25</v>
      </c>
      <c r="L12" s="60" t="str">
        <f>IFERROR(VLOOKUP(MID(G12,J12,K12-J12),[5]skilldef!$C:$D,2,FALSE),"-") &amp; " / " &amp; IFERROR(VLOOKUP(MID(G12,H12,I12-H12),[5]skilldef!$A:$B,2,FALSE),"-")</f>
        <v>- / -</v>
      </c>
      <c r="M12" s="60" t="str">
        <f t="shared" si="21"/>
        <v>none</v>
      </c>
      <c r="N12" s="45" t="str">
        <f t="shared" si="22"/>
        <v>none</v>
      </c>
      <c r="O12" s="60" t="e">
        <f t="shared" si="23"/>
        <v>#VALUE!</v>
      </c>
      <c r="P12" s="60">
        <f t="shared" si="24"/>
        <v>4</v>
      </c>
      <c r="Q12" s="60" t="e">
        <f t="shared" si="25"/>
        <v>#VALUE!</v>
      </c>
      <c r="R12" s="60" t="e">
        <f t="shared" si="26"/>
        <v>#VALUE!</v>
      </c>
      <c r="S12" s="60" t="str">
        <f>IFERROR(VLOOKUP(MID(N12,Q12,R12-Q12),[5]skilldef!$C:$D,2,FALSE),"-") &amp; " / " &amp; IFERROR(VLOOKUP(MID(N12,O12,P12-O12),[5]skilldef!$A:$B,2,FALSE),"-")</f>
        <v>- / -</v>
      </c>
      <c r="T12" s="45" t="str">
        <f t="shared" si="27"/>
        <v>none</v>
      </c>
      <c r="U12" s="60" t="e">
        <f t="shared" si="28"/>
        <v>#VALUE!</v>
      </c>
      <c r="V12" s="60">
        <f t="shared" si="29"/>
        <v>4</v>
      </c>
      <c r="W12" s="60" t="e">
        <f t="shared" si="30"/>
        <v>#VALUE!</v>
      </c>
      <c r="X12" s="60" t="e">
        <f t="shared" si="31"/>
        <v>#VALUE!</v>
      </c>
      <c r="Y12" s="60" t="str">
        <f>IFERROR(VLOOKUP(MID(T12,W12,X12-W12),[5]skilldef!$C:$D,2,FALSE),"-") &amp; " / " &amp; IFERROR(VLOOKUP(MID(T12,U12,V12-U12),[5]skilldef!$A:$B,2,FALSE),"-")</f>
        <v>- / -</v>
      </c>
      <c r="Z12" s="47"/>
      <c r="AA12" s="49"/>
      <c r="AB12" s="47"/>
    </row>
    <row r="13" spans="1:28" ht="21" customHeight="1" x14ac:dyDescent="0.15">
      <c r="A13" s="44">
        <v>41015012</v>
      </c>
      <c r="B13" s="44" t="s">
        <v>300</v>
      </c>
      <c r="C13" s="47">
        <v>3</v>
      </c>
      <c r="D13" s="47" t="s">
        <v>301</v>
      </c>
      <c r="E13" s="48" t="s">
        <v>302</v>
      </c>
      <c r="F13" s="48" t="s">
        <v>303</v>
      </c>
      <c r="G13" s="60" t="str">
        <f t="shared" si="16"/>
        <v>[effect:critical, val:2.4]</v>
      </c>
      <c r="H13" s="60">
        <f t="shared" si="17"/>
        <v>9</v>
      </c>
      <c r="I13" s="60">
        <f t="shared" si="18"/>
        <v>17</v>
      </c>
      <c r="J13" s="60" t="e">
        <f t="shared" si="19"/>
        <v>#VALUE!</v>
      </c>
      <c r="K13" s="60" t="e">
        <f t="shared" si="20"/>
        <v>#VALUE!</v>
      </c>
      <c r="L13" s="60" t="str">
        <f>IFERROR(VLOOKUP(MID(G13,J13,K13-J13),[5]skilldef!$C:$D,2,FALSE),"-") &amp; " / " &amp; IFERROR(VLOOKUP(MID(G13,H13,I13-H13),[5]skilldef!$A:$B,2,FALSE),"-")</f>
        <v>- / 大攻撃</v>
      </c>
      <c r="M13" s="60" t="str">
        <f t="shared" si="21"/>
        <v>[effect:suicide, val:0.5, dead_type:suicide, target:myself, animation:enemy_suicide]</v>
      </c>
      <c r="N13" s="45" t="str">
        <f t="shared" si="22"/>
        <v>[effect:suicide, val:0.5, dead_type:suicide, target:myself, animation:enemy_suicide]</v>
      </c>
      <c r="O13" s="60">
        <f t="shared" si="23"/>
        <v>9</v>
      </c>
      <c r="P13" s="60">
        <f t="shared" si="24"/>
        <v>16</v>
      </c>
      <c r="Q13" s="60">
        <f t="shared" si="25"/>
        <v>53</v>
      </c>
      <c r="R13" s="60">
        <f t="shared" si="26"/>
        <v>25</v>
      </c>
      <c r="S13" s="60" t="str">
        <f>IFERROR(VLOOKUP(MID(N13,Q13,R13-Q13),[5]skilldef!$C:$D,2,FALSE),"-") &amp; " / " &amp; IFERROR(VLOOKUP(MID(N13,O13,P13-O13),[5]skilldef!$A:$B,2,FALSE),"-")</f>
        <v>- / -</v>
      </c>
      <c r="T13" s="45" t="str">
        <f t="shared" si="27"/>
        <v>none</v>
      </c>
      <c r="U13" s="60" t="e">
        <f t="shared" si="28"/>
        <v>#VALUE!</v>
      </c>
      <c r="V13" s="60">
        <f t="shared" si="29"/>
        <v>4</v>
      </c>
      <c r="W13" s="60" t="e">
        <f t="shared" si="30"/>
        <v>#VALUE!</v>
      </c>
      <c r="X13" s="60" t="e">
        <f t="shared" si="31"/>
        <v>#VALUE!</v>
      </c>
      <c r="Y13" s="60" t="str">
        <f>IFERROR(VLOOKUP(MID(T13,W13,X13-W13),[5]skilldef!$C:$D,2,FALSE),"-") &amp; " / " &amp; IFERROR(VLOOKUP(MID(T13,U13,V13-U13),[5]skilldef!$A:$B,2,FALSE),"-")</f>
        <v>- / -</v>
      </c>
      <c r="Z13" s="47"/>
      <c r="AA13" s="49"/>
      <c r="AB13" s="47"/>
    </row>
    <row r="14" spans="1:28" ht="21" customHeight="1" x14ac:dyDescent="0.15">
      <c r="A14" s="44">
        <v>41015013</v>
      </c>
      <c r="B14" s="44" t="s">
        <v>304</v>
      </c>
      <c r="C14" s="47">
        <v>3</v>
      </c>
      <c r="D14" s="47" t="s">
        <v>305</v>
      </c>
      <c r="E14" s="48" t="s">
        <v>306</v>
      </c>
      <c r="F14" s="48" t="s">
        <v>307</v>
      </c>
      <c r="G14" s="60" t="str">
        <f t="shared" si="16"/>
        <v>[effect:nothing]</v>
      </c>
      <c r="H14" s="60">
        <f t="shared" si="17"/>
        <v>9</v>
      </c>
      <c r="I14" s="60">
        <f t="shared" si="18"/>
        <v>16</v>
      </c>
      <c r="J14" s="60" t="e">
        <f t="shared" si="19"/>
        <v>#VALUE!</v>
      </c>
      <c r="K14" s="60" t="e">
        <f t="shared" si="20"/>
        <v>#VALUE!</v>
      </c>
      <c r="L14" s="60" t="str">
        <f>IFERROR(VLOOKUP(MID(G14,J14,K14-J14),[5]skilldef!$C:$D,2,FALSE),"-") &amp; " / " &amp; IFERROR(VLOOKUP(MID(G14,H14,I14-H14),[5]skilldef!$A:$B,2,FALSE),"-")</f>
        <v>- / 何もしない</v>
      </c>
      <c r="M14" s="60" t="str">
        <f t="shared" si="21"/>
        <v>none</v>
      </c>
      <c r="N14" s="45" t="str">
        <f t="shared" si="22"/>
        <v>none</v>
      </c>
      <c r="O14" s="60" t="e">
        <f t="shared" si="23"/>
        <v>#VALUE!</v>
      </c>
      <c r="P14" s="60">
        <f t="shared" si="24"/>
        <v>4</v>
      </c>
      <c r="Q14" s="60" t="e">
        <f t="shared" si="25"/>
        <v>#VALUE!</v>
      </c>
      <c r="R14" s="60" t="e">
        <f t="shared" si="26"/>
        <v>#VALUE!</v>
      </c>
      <c r="S14" s="60" t="str">
        <f>IFERROR(VLOOKUP(MID(N14,Q14,R14-Q14),[5]skilldef!$C:$D,2,FALSE),"-") &amp; " / " &amp; IFERROR(VLOOKUP(MID(N14,O14,P14-O14),[5]skilldef!$A:$B,2,FALSE),"-")</f>
        <v>- / -</v>
      </c>
      <c r="T14" s="45" t="str">
        <f t="shared" si="27"/>
        <v>none</v>
      </c>
      <c r="U14" s="60" t="e">
        <f t="shared" si="28"/>
        <v>#VALUE!</v>
      </c>
      <c r="V14" s="60">
        <f t="shared" si="29"/>
        <v>4</v>
      </c>
      <c r="W14" s="60" t="e">
        <f t="shared" si="30"/>
        <v>#VALUE!</v>
      </c>
      <c r="X14" s="60" t="e">
        <f t="shared" si="31"/>
        <v>#VALUE!</v>
      </c>
      <c r="Y14" s="60" t="str">
        <f>IFERROR(VLOOKUP(MID(T14,W14,X14-W14),[5]skilldef!$C:$D,2,FALSE),"-") &amp; " / " &amp; IFERROR(VLOOKUP(MID(T14,U14,V14-U14),[5]skilldef!$A:$B,2,FALSE),"-")</f>
        <v>- / -</v>
      </c>
      <c r="Z14" s="47"/>
      <c r="AA14" s="49"/>
      <c r="AB14" s="47"/>
    </row>
    <row r="15" spans="1:28" ht="21" customHeight="1" x14ac:dyDescent="0.15">
      <c r="A15" s="44">
        <v>41015014</v>
      </c>
      <c r="B15" s="44" t="s">
        <v>308</v>
      </c>
      <c r="C15" s="47">
        <v>3</v>
      </c>
      <c r="D15" s="47" t="s">
        <v>293</v>
      </c>
      <c r="E15" s="48" t="s">
        <v>309</v>
      </c>
      <c r="F15" s="48" t="s">
        <v>310</v>
      </c>
      <c r="G15" s="60" t="str">
        <f t="shared" si="16"/>
        <v>[effect:fix_speed, target:enemy_all, turn:8]</v>
      </c>
      <c r="H15" s="60">
        <f t="shared" si="17"/>
        <v>9</v>
      </c>
      <c r="I15" s="60">
        <f t="shared" si="18"/>
        <v>18</v>
      </c>
      <c r="J15" s="60">
        <f t="shared" si="19"/>
        <v>27</v>
      </c>
      <c r="K15" s="60">
        <f t="shared" si="20"/>
        <v>36</v>
      </c>
      <c r="L15" s="60" t="str">
        <f>IFERROR(VLOOKUP(MID(G15,J15,K15-J15),[5]skilldef!$C:$D,2,FALSE),"-") &amp; " / " &amp; IFERROR(VLOOKUP(MID(G15,H15,I15-H15),[5]skilldef!$A:$B,2,FALSE),"-")</f>
        <v>敵全体に / 行動値設定</v>
      </c>
      <c r="M15" s="60" t="str">
        <f t="shared" si="21"/>
        <v>none</v>
      </c>
      <c r="N15" s="45" t="str">
        <f t="shared" si="22"/>
        <v>none</v>
      </c>
      <c r="O15" s="60" t="e">
        <f t="shared" si="23"/>
        <v>#VALUE!</v>
      </c>
      <c r="P15" s="60">
        <f t="shared" si="24"/>
        <v>4</v>
      </c>
      <c r="Q15" s="60" t="e">
        <f t="shared" si="25"/>
        <v>#VALUE!</v>
      </c>
      <c r="R15" s="60" t="e">
        <f t="shared" si="26"/>
        <v>#VALUE!</v>
      </c>
      <c r="S15" s="60" t="str">
        <f>IFERROR(VLOOKUP(MID(N15,Q15,R15-Q15),[5]skilldef!$C:$D,2,FALSE),"-") &amp; " / " &amp; IFERROR(VLOOKUP(MID(N15,O15,P15-O15),[5]skilldef!$A:$B,2,FALSE),"-")</f>
        <v>- / -</v>
      </c>
      <c r="T15" s="45" t="str">
        <f t="shared" si="27"/>
        <v>none</v>
      </c>
      <c r="U15" s="60" t="e">
        <f t="shared" si="28"/>
        <v>#VALUE!</v>
      </c>
      <c r="V15" s="60">
        <f t="shared" si="29"/>
        <v>4</v>
      </c>
      <c r="W15" s="60" t="e">
        <f t="shared" si="30"/>
        <v>#VALUE!</v>
      </c>
      <c r="X15" s="60" t="e">
        <f t="shared" si="31"/>
        <v>#VALUE!</v>
      </c>
      <c r="Y15" s="60" t="str">
        <f>IFERROR(VLOOKUP(MID(T15,W15,X15-W15),[5]skilldef!$C:$D,2,FALSE),"-") &amp; " / " &amp; IFERROR(VLOOKUP(MID(T15,U15,V15-U15),[5]skilldef!$A:$B,2,FALSE),"-")</f>
        <v>- / -</v>
      </c>
      <c r="Z15" s="47"/>
      <c r="AA15" s="49"/>
      <c r="AB15" s="47"/>
    </row>
    <row r="16" spans="1:28" ht="21" customHeight="1" x14ac:dyDescent="0.15">
      <c r="A16" s="44">
        <v>41015015</v>
      </c>
      <c r="B16" s="44" t="s">
        <v>311</v>
      </c>
      <c r="C16" s="47">
        <v>3</v>
      </c>
      <c r="D16" s="47" t="s">
        <v>126</v>
      </c>
      <c r="E16" s="48" t="s">
        <v>312</v>
      </c>
      <c r="F16" s="48" t="s">
        <v>313</v>
      </c>
      <c r="G16" s="60" t="str">
        <f t="shared" si="16"/>
        <v>[effect:kamikaze, val:0.25]</v>
      </c>
      <c r="H16" s="60">
        <f t="shared" si="17"/>
        <v>9</v>
      </c>
      <c r="I16" s="60">
        <f t="shared" si="18"/>
        <v>17</v>
      </c>
      <c r="J16" s="60" t="e">
        <f t="shared" si="19"/>
        <v>#VALUE!</v>
      </c>
      <c r="K16" s="60" t="e">
        <f t="shared" si="20"/>
        <v>#VALUE!</v>
      </c>
      <c r="L16" s="60" t="str">
        <f>IFERROR(VLOOKUP(MID(G16,J16,K16-J16),[5]skilldef!$C:$D,2,FALSE),"-") &amp; " / " &amp; IFERROR(VLOOKUP(MID(G16,H16,I16-H16),[5]skilldef!$A:$B,2,FALSE),"-")</f>
        <v>- / 自爆</v>
      </c>
      <c r="M16" s="60" t="str">
        <f t="shared" si="21"/>
        <v>none</v>
      </c>
      <c r="N16" s="45" t="str">
        <f t="shared" si="22"/>
        <v>none</v>
      </c>
      <c r="O16" s="60" t="e">
        <f t="shared" si="23"/>
        <v>#VALUE!</v>
      </c>
      <c r="P16" s="60">
        <f t="shared" si="24"/>
        <v>4</v>
      </c>
      <c r="Q16" s="60" t="e">
        <f t="shared" si="25"/>
        <v>#VALUE!</v>
      </c>
      <c r="R16" s="60" t="e">
        <f t="shared" si="26"/>
        <v>#VALUE!</v>
      </c>
      <c r="S16" s="60" t="str">
        <f>IFERROR(VLOOKUP(MID(N16,Q16,R16-Q16),[5]skilldef!$C:$D,2,FALSE),"-") &amp; " / " &amp; IFERROR(VLOOKUP(MID(N16,O16,P16-O16),[5]skilldef!$A:$B,2,FALSE),"-")</f>
        <v>- / -</v>
      </c>
      <c r="T16" s="45" t="str">
        <f t="shared" si="27"/>
        <v>none</v>
      </c>
      <c r="U16" s="60" t="e">
        <f t="shared" si="28"/>
        <v>#VALUE!</v>
      </c>
      <c r="V16" s="60">
        <f t="shared" si="29"/>
        <v>4</v>
      </c>
      <c r="W16" s="60" t="e">
        <f t="shared" si="30"/>
        <v>#VALUE!</v>
      </c>
      <c r="X16" s="60" t="e">
        <f t="shared" si="31"/>
        <v>#VALUE!</v>
      </c>
      <c r="Y16" s="60" t="str">
        <f>IFERROR(VLOOKUP(MID(T16,W16,X16-W16),[5]skilldef!$C:$D,2,FALSE),"-") &amp; " / " &amp; IFERROR(VLOOKUP(MID(T16,U16,V16-U16),[5]skilldef!$A:$B,2,FALSE),"-")</f>
        <v>- / -</v>
      </c>
      <c r="Z16" s="47"/>
      <c r="AA16" s="49"/>
      <c r="AB16" s="47"/>
    </row>
    <row r="17" spans="1:28" ht="21" customHeight="1" x14ac:dyDescent="0.15">
      <c r="A17" s="44">
        <v>41015016</v>
      </c>
      <c r="B17" s="44" t="s">
        <v>314</v>
      </c>
      <c r="C17" s="47">
        <v>3</v>
      </c>
      <c r="D17" s="47" t="s">
        <v>126</v>
      </c>
      <c r="E17" s="48" t="s">
        <v>315</v>
      </c>
      <c r="F17" s="48" t="s">
        <v>316</v>
      </c>
      <c r="G17" s="60" t="str">
        <f t="shared" si="16"/>
        <v>[effect:crash_growth, count:-1, val:-41, animation:change_block]</v>
      </c>
      <c r="H17" s="60">
        <f t="shared" si="17"/>
        <v>9</v>
      </c>
      <c r="I17" s="60">
        <f t="shared" si="18"/>
        <v>21</v>
      </c>
      <c r="J17" s="60" t="e">
        <f t="shared" si="19"/>
        <v>#VALUE!</v>
      </c>
      <c r="K17" s="60">
        <f t="shared" si="20"/>
        <v>31</v>
      </c>
      <c r="L17" s="60" t="str">
        <f>IFERROR(VLOOKUP(MID(G17,J17,K17-J17),[5]skilldef!$C:$D,2,FALSE),"-") &amp; " / " &amp; IFERROR(VLOOKUP(MID(G17,H17,I17-H17),[5]skilldef!$A:$B,2,FALSE),"-")</f>
        <v>- / -</v>
      </c>
      <c r="M17" s="60" t="str">
        <f t="shared" si="21"/>
        <v>none</v>
      </c>
      <c r="N17" s="45" t="str">
        <f t="shared" si="22"/>
        <v>none</v>
      </c>
      <c r="O17" s="60" t="e">
        <f t="shared" si="23"/>
        <v>#VALUE!</v>
      </c>
      <c r="P17" s="60">
        <f t="shared" si="24"/>
        <v>4</v>
      </c>
      <c r="Q17" s="60" t="e">
        <f t="shared" si="25"/>
        <v>#VALUE!</v>
      </c>
      <c r="R17" s="60" t="e">
        <f t="shared" si="26"/>
        <v>#VALUE!</v>
      </c>
      <c r="S17" s="60" t="str">
        <f>IFERROR(VLOOKUP(MID(N17,Q17,R17-Q17),[5]skilldef!$C:$D,2,FALSE),"-") &amp; " / " &amp; IFERROR(VLOOKUP(MID(N17,O17,P17-O17),[5]skilldef!$A:$B,2,FALSE),"-")</f>
        <v>- / -</v>
      </c>
      <c r="T17" s="45" t="str">
        <f t="shared" si="27"/>
        <v>none</v>
      </c>
      <c r="U17" s="60" t="e">
        <f t="shared" si="28"/>
        <v>#VALUE!</v>
      </c>
      <c r="V17" s="60">
        <f t="shared" si="29"/>
        <v>4</v>
      </c>
      <c r="W17" s="60" t="e">
        <f t="shared" si="30"/>
        <v>#VALUE!</v>
      </c>
      <c r="X17" s="60" t="e">
        <f t="shared" si="31"/>
        <v>#VALUE!</v>
      </c>
      <c r="Y17" s="60" t="str">
        <f>IFERROR(VLOOKUP(MID(T17,W17,X17-W17),[5]skilldef!$C:$D,2,FALSE),"-") &amp; " / " &amp; IFERROR(VLOOKUP(MID(T17,U17,V17-U17),[5]skilldef!$A:$B,2,FALSE),"-")</f>
        <v>- / -</v>
      </c>
      <c r="Z17" s="47"/>
      <c r="AA17" s="49"/>
      <c r="AB17" s="47"/>
    </row>
    <row r="18" spans="1:28" ht="21" customHeight="1" x14ac:dyDescent="0.15">
      <c r="A18" s="44">
        <v>41015017</v>
      </c>
      <c r="B18" s="44" t="s">
        <v>317</v>
      </c>
      <c r="C18" s="47">
        <v>3</v>
      </c>
      <c r="D18" s="47" t="s">
        <v>126</v>
      </c>
      <c r="E18" s="48" t="s">
        <v>318</v>
      </c>
      <c r="F18" s="48" t="s">
        <v>319</v>
      </c>
      <c r="G18" s="60" t="str">
        <f t="shared" si="16"/>
        <v>[effect:critical, val:1.5]</v>
      </c>
      <c r="H18" s="60">
        <f t="shared" si="17"/>
        <v>9</v>
      </c>
      <c r="I18" s="60">
        <f t="shared" si="18"/>
        <v>17</v>
      </c>
      <c r="J18" s="60" t="e">
        <f t="shared" si="19"/>
        <v>#VALUE!</v>
      </c>
      <c r="K18" s="60" t="e">
        <f t="shared" si="20"/>
        <v>#VALUE!</v>
      </c>
      <c r="L18" s="60" t="str">
        <f>IFERROR(VLOOKUP(MID(G18,J18,K18-J18),[5]skilldef!$C:$D,2,FALSE),"-") &amp; " / " &amp; IFERROR(VLOOKUP(MID(G18,H18,I18-H18),[5]skilldef!$A:$B,2,FALSE),"-")</f>
        <v>- / 大攻撃</v>
      </c>
      <c r="M18" s="60" t="str">
        <f t="shared" si="21"/>
        <v>none</v>
      </c>
      <c r="N18" s="45" t="str">
        <f t="shared" si="22"/>
        <v>none</v>
      </c>
      <c r="O18" s="60" t="e">
        <f t="shared" si="23"/>
        <v>#VALUE!</v>
      </c>
      <c r="P18" s="60">
        <f t="shared" si="24"/>
        <v>4</v>
      </c>
      <c r="Q18" s="60" t="e">
        <f t="shared" si="25"/>
        <v>#VALUE!</v>
      </c>
      <c r="R18" s="60" t="e">
        <f t="shared" si="26"/>
        <v>#VALUE!</v>
      </c>
      <c r="S18" s="60" t="str">
        <f>IFERROR(VLOOKUP(MID(N18,Q18,R18-Q18),[5]skilldef!$C:$D,2,FALSE),"-") &amp; " / " &amp; IFERROR(VLOOKUP(MID(N18,O18,P18-O18),[5]skilldef!$A:$B,2,FALSE),"-")</f>
        <v>- / -</v>
      </c>
      <c r="T18" s="45" t="str">
        <f t="shared" si="27"/>
        <v>none</v>
      </c>
      <c r="U18" s="60" t="e">
        <f t="shared" si="28"/>
        <v>#VALUE!</v>
      </c>
      <c r="V18" s="60">
        <f t="shared" si="29"/>
        <v>4</v>
      </c>
      <c r="W18" s="60" t="e">
        <f t="shared" si="30"/>
        <v>#VALUE!</v>
      </c>
      <c r="X18" s="60" t="e">
        <f t="shared" si="31"/>
        <v>#VALUE!</v>
      </c>
      <c r="Y18" s="60" t="str">
        <f>IFERROR(VLOOKUP(MID(T18,W18,X18-W18),[5]skilldef!$C:$D,2,FALSE),"-") &amp; " / " &amp; IFERROR(VLOOKUP(MID(T18,U18,V18-U18),[5]skilldef!$A:$B,2,FALSE),"-")</f>
        <v>- / -</v>
      </c>
      <c r="Z18" s="47"/>
      <c r="AA18" s="49"/>
      <c r="AB18" s="47"/>
    </row>
    <row r="19" spans="1:28" ht="21" customHeight="1" x14ac:dyDescent="0.15">
      <c r="A19" s="44">
        <v>41015018</v>
      </c>
      <c r="B19" s="44" t="s">
        <v>483</v>
      </c>
      <c r="C19" s="47">
        <v>3</v>
      </c>
      <c r="D19" s="47" t="s">
        <v>126</v>
      </c>
      <c r="E19" s="48" t="s">
        <v>320</v>
      </c>
      <c r="F19" s="48" t="s">
        <v>321</v>
      </c>
      <c r="G19" s="60" t="str">
        <f t="shared" si="16"/>
        <v>[effect:enhance_enemy, target:myself, turn:1, status:attack, val:0.5, animation:enemy_enhance_attack]</v>
      </c>
      <c r="H19" s="60">
        <f t="shared" si="17"/>
        <v>9</v>
      </c>
      <c r="I19" s="60">
        <f t="shared" si="18"/>
        <v>22</v>
      </c>
      <c r="J19" s="60">
        <f t="shared" si="19"/>
        <v>31</v>
      </c>
      <c r="K19" s="60">
        <f t="shared" si="20"/>
        <v>37</v>
      </c>
      <c r="L19" s="60" t="str">
        <f>IFERROR(VLOOKUP(MID(G19,J19,K19-J19),[5]skilldef!$C:$D,2,FALSE),"-") &amp; " / " &amp; IFERROR(VLOOKUP(MID(G19,H19,I19-H19),[5]skilldef!$A:$B,2,FALSE),"-")</f>
        <v>自分自身に / ステータス強化</v>
      </c>
      <c r="M19" s="60" t="str">
        <f t="shared" si="21"/>
        <v>[effect:freq_turn, target:myself, turn:1, val:1]</v>
      </c>
      <c r="N19" s="45" t="str">
        <f t="shared" si="22"/>
        <v>[effect:freq_turn, target:myself, turn:1, val:1]</v>
      </c>
      <c r="O19" s="60">
        <f t="shared" si="23"/>
        <v>9</v>
      </c>
      <c r="P19" s="60">
        <f t="shared" si="24"/>
        <v>18</v>
      </c>
      <c r="Q19" s="60">
        <f t="shared" si="25"/>
        <v>27</v>
      </c>
      <c r="R19" s="60">
        <f t="shared" si="26"/>
        <v>33</v>
      </c>
      <c r="S19" s="60" t="str">
        <f>IFERROR(VLOOKUP(MID(N19,Q19,R19-Q19),[5]skilldef!$C:$D,2,FALSE),"-") &amp; " / " &amp; IFERROR(VLOOKUP(MID(N19,O19,P19-O19),[5]skilldef!$A:$B,2,FALSE),"-")</f>
        <v>自分自身に / 攻撃頻度がUP</v>
      </c>
      <c r="T19" s="45" t="str">
        <f t="shared" si="27"/>
        <v>none</v>
      </c>
      <c r="U19" s="60" t="e">
        <f t="shared" si="28"/>
        <v>#VALUE!</v>
      </c>
      <c r="V19" s="60">
        <f t="shared" si="29"/>
        <v>4</v>
      </c>
      <c r="W19" s="60" t="e">
        <f t="shared" si="30"/>
        <v>#VALUE!</v>
      </c>
      <c r="X19" s="60" t="e">
        <f t="shared" si="31"/>
        <v>#VALUE!</v>
      </c>
      <c r="Y19" s="60" t="str">
        <f>IFERROR(VLOOKUP(MID(T19,W19,X19-W19),[5]skilldef!$C:$D,2,FALSE),"-") &amp; " / " &amp; IFERROR(VLOOKUP(MID(T19,U19,V19-U19),[5]skilldef!$A:$B,2,FALSE),"-")</f>
        <v>- / -</v>
      </c>
      <c r="Z19" s="47"/>
      <c r="AA19" s="49"/>
      <c r="AB19" s="47"/>
    </row>
    <row r="20" spans="1:28" ht="21" customHeight="1" x14ac:dyDescent="0.15">
      <c r="A20" s="44">
        <v>41015019</v>
      </c>
      <c r="B20" s="44" t="s">
        <v>481</v>
      </c>
      <c r="C20" s="47">
        <v>3</v>
      </c>
      <c r="D20" s="47" t="s">
        <v>322</v>
      </c>
      <c r="E20" s="48" t="s">
        <v>323</v>
      </c>
      <c r="F20" s="48" t="s">
        <v>480</v>
      </c>
      <c r="G20" s="60" t="str">
        <f t="shared" si="16"/>
        <v>[effect:enemy_message, val1:1, val2:2.2]</v>
      </c>
      <c r="H20" s="60">
        <f t="shared" si="17"/>
        <v>9</v>
      </c>
      <c r="I20" s="60">
        <f t="shared" si="18"/>
        <v>22</v>
      </c>
      <c r="J20" s="60" t="e">
        <f t="shared" si="19"/>
        <v>#VALUE!</v>
      </c>
      <c r="K20" s="60">
        <f t="shared" si="20"/>
        <v>30</v>
      </c>
      <c r="L20" s="60" t="str">
        <f>IFERROR(VLOOKUP(MID(G20,J20,K20-J20),[5]skilldef!$C:$D,2,FALSE),"-") &amp; " / " &amp; IFERROR(VLOOKUP(MID(G20,H20,I20-H20),[5]skilldef!$A:$B,2,FALSE),"-")</f>
        <v>- / -</v>
      </c>
      <c r="M20" s="60" t="str">
        <f t="shared" si="21"/>
        <v>[effect:force_change_block, new_block:block_red, target:block_heart, count:0, val:0, animation:change_block],[effect:rush, count:1, val:0.75],[effect:freq_turn, target:myself, turn:1, val:1]</v>
      </c>
      <c r="N20" s="45" t="str">
        <f t="shared" si="22"/>
        <v>[effect:force_change_block, new_block:block_red, target:block_heart, count:0, val:0, animation:change_block],[effect:rush, count:1, val:0.75],[effect:freq_turn, target:myself, turn:1, val:1]</v>
      </c>
      <c r="O20" s="60">
        <f t="shared" si="23"/>
        <v>9</v>
      </c>
      <c r="P20" s="60">
        <f t="shared" si="24"/>
        <v>27</v>
      </c>
      <c r="Q20" s="60">
        <f t="shared" si="25"/>
        <v>57</v>
      </c>
      <c r="R20" s="60">
        <f t="shared" si="26"/>
        <v>48</v>
      </c>
      <c r="S20" s="60" t="str">
        <f>IFERROR(VLOOKUP(MID(N20,Q20,R20-Q20),[5]skilldef!$C:$D,2,FALSE),"-") &amp; " / " &amp; IFERROR(VLOOKUP(MID(N20,O20,P20-O20),[5]skilldef!$A:$B,2,FALSE),"-")</f>
        <v>- / -</v>
      </c>
      <c r="T20" s="45" t="str">
        <f t="shared" si="27"/>
        <v>[effect:rush, count:1, val:0.75],[effect:freq_turn, target:myself, turn:1, val:1]</v>
      </c>
      <c r="U20" s="60">
        <f t="shared" si="28"/>
        <v>9</v>
      </c>
      <c r="V20" s="60">
        <f t="shared" si="29"/>
        <v>13</v>
      </c>
      <c r="W20" s="60">
        <f t="shared" si="30"/>
        <v>60</v>
      </c>
      <c r="X20" s="60">
        <f t="shared" si="31"/>
        <v>22</v>
      </c>
      <c r="Y20" s="60" t="str">
        <f>IFERROR(VLOOKUP(MID(T20,W20,X20-W20),[5]skilldef!$C:$D,2,FALSE),"-") &amp; " / " &amp; IFERROR(VLOOKUP(MID(T20,U20,V20-U20),[5]skilldef!$A:$B,2,FALSE),"-")</f>
        <v>- / 連続攻撃</v>
      </c>
      <c r="Z20" s="47"/>
      <c r="AA20" s="49"/>
      <c r="AB20" s="47"/>
    </row>
    <row r="21" spans="1:28" ht="21" customHeight="1" x14ac:dyDescent="0.15">
      <c r="A21" s="44">
        <v>41015020</v>
      </c>
      <c r="B21" s="44" t="s">
        <v>324</v>
      </c>
      <c r="C21" s="47">
        <v>3</v>
      </c>
      <c r="D21" s="47" t="s">
        <v>126</v>
      </c>
      <c r="E21" s="48" t="s">
        <v>325</v>
      </c>
      <c r="F21" s="48" t="s">
        <v>326</v>
      </c>
      <c r="G21" s="60" t="str">
        <f t="shared" si="16"/>
        <v>[effect:remove_enhancement, target:unit_all, target_effect:all, target_type:buff, animation:frozen_wave]</v>
      </c>
      <c r="H21" s="60">
        <f t="shared" si="17"/>
        <v>9</v>
      </c>
      <c r="I21" s="60">
        <f t="shared" si="18"/>
        <v>27</v>
      </c>
      <c r="J21" s="60">
        <f t="shared" si="19"/>
        <v>36</v>
      </c>
      <c r="K21" s="60">
        <f t="shared" si="20"/>
        <v>44</v>
      </c>
      <c r="L21" s="60" t="str">
        <f>IFERROR(VLOOKUP(MID(G21,J21,K21-J21),[5]skilldef!$C:$D,2,FALSE),"-") &amp; " / " &amp; IFERROR(VLOOKUP(MID(G21,H21,I21-H21),[5]skilldef!$A:$B,2,FALSE),"-")</f>
        <v>味方全体に / -</v>
      </c>
      <c r="M21" s="60" t="str">
        <f t="shared" si="21"/>
        <v>[effect:spread, val:0.4]</v>
      </c>
      <c r="N21" s="45" t="str">
        <f t="shared" si="22"/>
        <v>[effect:spread, val:0.4]</v>
      </c>
      <c r="O21" s="60">
        <f t="shared" si="23"/>
        <v>9</v>
      </c>
      <c r="P21" s="60">
        <f t="shared" si="24"/>
        <v>15</v>
      </c>
      <c r="Q21" s="60" t="e">
        <f t="shared" si="25"/>
        <v>#VALUE!</v>
      </c>
      <c r="R21" s="60" t="e">
        <f t="shared" si="26"/>
        <v>#VALUE!</v>
      </c>
      <c r="S21" s="60" t="str">
        <f>IFERROR(VLOOKUP(MID(N21,Q21,R21-Q21),[5]skilldef!$C:$D,2,FALSE),"-") &amp; " / " &amp; IFERROR(VLOOKUP(MID(N21,O21,P21-O21),[5]skilldef!$A:$B,2,FALSE),"-")</f>
        <v>- / 全体攻撃</v>
      </c>
      <c r="T21" s="45" t="str">
        <f t="shared" si="27"/>
        <v>none</v>
      </c>
      <c r="U21" s="60" t="e">
        <f t="shared" si="28"/>
        <v>#VALUE!</v>
      </c>
      <c r="V21" s="60">
        <f t="shared" si="29"/>
        <v>4</v>
      </c>
      <c r="W21" s="60" t="e">
        <f t="shared" si="30"/>
        <v>#VALUE!</v>
      </c>
      <c r="X21" s="60" t="e">
        <f t="shared" si="31"/>
        <v>#VALUE!</v>
      </c>
      <c r="Y21" s="60" t="str">
        <f>IFERROR(VLOOKUP(MID(T21,W21,X21-W21),[5]skilldef!$C:$D,2,FALSE),"-") &amp; " / " &amp; IFERROR(VLOOKUP(MID(T21,U21,V21-U21),[5]skilldef!$A:$B,2,FALSE),"-")</f>
        <v>- / -</v>
      </c>
      <c r="Z21" s="47"/>
      <c r="AA21" s="49"/>
      <c r="AB21" s="47"/>
    </row>
    <row r="22" spans="1:28" ht="21" customHeight="1" x14ac:dyDescent="0.15">
      <c r="A22" s="44">
        <v>41015021</v>
      </c>
      <c r="B22" s="44" t="s">
        <v>271</v>
      </c>
      <c r="C22" s="47">
        <v>3</v>
      </c>
      <c r="D22" s="47" t="s">
        <v>126</v>
      </c>
      <c r="E22" s="48" t="s">
        <v>327</v>
      </c>
      <c r="F22" s="48" t="s">
        <v>328</v>
      </c>
      <c r="G22" s="60" t="str">
        <f t="shared" si="16"/>
        <v>[effect:fix_speed, target:myself, turn:1]</v>
      </c>
      <c r="H22" s="60">
        <f t="shared" si="17"/>
        <v>9</v>
      </c>
      <c r="I22" s="60">
        <f t="shared" si="18"/>
        <v>18</v>
      </c>
      <c r="J22" s="60">
        <f t="shared" si="19"/>
        <v>27</v>
      </c>
      <c r="K22" s="60">
        <f t="shared" si="20"/>
        <v>33</v>
      </c>
      <c r="L22" s="60" t="str">
        <f>IFERROR(VLOOKUP(MID(G22,J22,K22-J22),[5]skilldef!$C:$D,2,FALSE),"-") &amp; " / " &amp; IFERROR(VLOOKUP(MID(G22,H22,I22-H22),[5]skilldef!$A:$B,2,FALSE),"-")</f>
        <v>自分自身に / 行動値設定</v>
      </c>
      <c r="M22" s="60" t="str">
        <f t="shared" si="21"/>
        <v>none</v>
      </c>
      <c r="N22" s="45" t="str">
        <f t="shared" si="22"/>
        <v>none</v>
      </c>
      <c r="O22" s="60" t="e">
        <f t="shared" si="23"/>
        <v>#VALUE!</v>
      </c>
      <c r="P22" s="60">
        <f t="shared" si="24"/>
        <v>4</v>
      </c>
      <c r="Q22" s="60" t="e">
        <f t="shared" si="25"/>
        <v>#VALUE!</v>
      </c>
      <c r="R22" s="60" t="e">
        <f t="shared" si="26"/>
        <v>#VALUE!</v>
      </c>
      <c r="S22" s="60" t="str">
        <f>IFERROR(VLOOKUP(MID(N22,Q22,R22-Q22),[5]skilldef!$C:$D,2,FALSE),"-") &amp; " / " &amp; IFERROR(VLOOKUP(MID(N22,O22,P22-O22),[5]skilldef!$A:$B,2,FALSE),"-")</f>
        <v>- / -</v>
      </c>
      <c r="T22" s="45" t="str">
        <f t="shared" si="27"/>
        <v>none</v>
      </c>
      <c r="U22" s="60" t="e">
        <f t="shared" si="28"/>
        <v>#VALUE!</v>
      </c>
      <c r="V22" s="60">
        <f t="shared" si="29"/>
        <v>4</v>
      </c>
      <c r="W22" s="60" t="e">
        <f t="shared" si="30"/>
        <v>#VALUE!</v>
      </c>
      <c r="X22" s="60" t="e">
        <f t="shared" si="31"/>
        <v>#VALUE!</v>
      </c>
      <c r="Y22" s="60" t="str">
        <f>IFERROR(VLOOKUP(MID(T22,W22,X22-W22),[5]skilldef!$C:$D,2,FALSE),"-") &amp; " / " &amp; IFERROR(VLOOKUP(MID(T22,U22,V22-U22),[5]skilldef!$A:$B,2,FALSE),"-")</f>
        <v>- / -</v>
      </c>
      <c r="Z22" s="47"/>
      <c r="AA22" s="49"/>
      <c r="AB22" s="47"/>
    </row>
    <row r="23" spans="1:28" ht="21" customHeight="1" x14ac:dyDescent="0.15">
      <c r="A23" s="44">
        <v>41015022</v>
      </c>
      <c r="B23" s="44" t="s">
        <v>482</v>
      </c>
      <c r="C23" s="47">
        <v>3</v>
      </c>
      <c r="D23" s="47" t="s">
        <v>126</v>
      </c>
      <c r="E23" s="48" t="s">
        <v>329</v>
      </c>
      <c r="F23" s="48" t="s">
        <v>473</v>
      </c>
      <c r="G23" s="60" t="str">
        <f t="shared" si="16"/>
        <v>[effect:spread, val:0.6]</v>
      </c>
      <c r="H23" s="60">
        <f t="shared" si="17"/>
        <v>9</v>
      </c>
      <c r="I23" s="60">
        <f t="shared" si="18"/>
        <v>15</v>
      </c>
      <c r="J23" s="60" t="e">
        <f t="shared" si="19"/>
        <v>#VALUE!</v>
      </c>
      <c r="K23" s="60" t="e">
        <f t="shared" si="20"/>
        <v>#VALUE!</v>
      </c>
      <c r="L23" s="60" t="str">
        <f>IFERROR(VLOOKUP(MID(G23,J23,K23-J23),[5]skilldef!$C:$D,2,FALSE),"-") &amp; " / " &amp; IFERROR(VLOOKUP(MID(G23,H23,I23-H23),[5]skilldef!$A:$B,2,FALSE),"-")</f>
        <v>- / 全体攻撃</v>
      </c>
      <c r="M23" s="60" t="str">
        <f t="shared" si="21"/>
        <v>[effect:force_change_block, new_block:time_bomb, target:block_all, ignore01:block_positive, ignore02:block_negative, count:15, val:0.2, min_time_count:2, max_time_count:2],[effect:fix_speed, target:myself, turn:2]</v>
      </c>
      <c r="N23" s="45" t="str">
        <f t="shared" si="22"/>
        <v>[effect:force_change_block, new_block:time_bomb, target:block_all, ignore01:block_positive, ignore02:block_negative, count:15, val:0.2, min_time_count:2, max_time_count:2],[effect:fix_speed, target:myself, turn:2]</v>
      </c>
      <c r="O23" s="60">
        <f t="shared" si="23"/>
        <v>9</v>
      </c>
      <c r="P23" s="60">
        <f t="shared" si="24"/>
        <v>27</v>
      </c>
      <c r="Q23" s="60">
        <f t="shared" si="25"/>
        <v>57</v>
      </c>
      <c r="R23" s="60">
        <f t="shared" si="26"/>
        <v>48</v>
      </c>
      <c r="S23" s="60" t="str">
        <f>IFERROR(VLOOKUP(MID(N23,Q23,R23-Q23),[5]skilldef!$C:$D,2,FALSE),"-") &amp; " / " &amp; IFERROR(VLOOKUP(MID(N23,O23,P23-O23),[5]skilldef!$A:$B,2,FALSE),"-")</f>
        <v>- / -</v>
      </c>
      <c r="T23" s="45" t="str">
        <f t="shared" si="27"/>
        <v>[effect:fix_speed, target:myself, turn:2]</v>
      </c>
      <c r="U23" s="60">
        <f t="shared" si="28"/>
        <v>9</v>
      </c>
      <c r="V23" s="60">
        <f t="shared" si="29"/>
        <v>18</v>
      </c>
      <c r="W23" s="60">
        <f t="shared" si="30"/>
        <v>27</v>
      </c>
      <c r="X23" s="60">
        <f t="shared" si="31"/>
        <v>33</v>
      </c>
      <c r="Y23" s="60" t="str">
        <f>IFERROR(VLOOKUP(MID(T23,W23,X23-W23),[5]skilldef!$C:$D,2,FALSE),"-") &amp; " / " &amp; IFERROR(VLOOKUP(MID(T23,U23,V23-U23),[5]skilldef!$A:$B,2,FALSE),"-")</f>
        <v>自分自身に / 行動値設定</v>
      </c>
      <c r="Z23" s="47"/>
      <c r="AA23" s="49"/>
      <c r="AB23" s="47"/>
    </row>
    <row r="24" spans="1:28" ht="21" customHeight="1" x14ac:dyDescent="0.15">
      <c r="A24" s="44">
        <v>41015023</v>
      </c>
      <c r="B24" s="44" t="s">
        <v>479</v>
      </c>
      <c r="C24" s="47">
        <v>3</v>
      </c>
      <c r="D24" s="47" t="s">
        <v>126</v>
      </c>
      <c r="E24" s="48" t="s">
        <v>318</v>
      </c>
      <c r="F24" s="48" t="s">
        <v>319</v>
      </c>
      <c r="G24" s="60" t="str">
        <f t="shared" si="16"/>
        <v>[effect:critical, val:1.8]</v>
      </c>
      <c r="H24" s="60">
        <f t="shared" si="17"/>
        <v>9</v>
      </c>
      <c r="I24" s="60">
        <f t="shared" si="18"/>
        <v>17</v>
      </c>
      <c r="J24" s="60" t="e">
        <f t="shared" si="19"/>
        <v>#VALUE!</v>
      </c>
      <c r="K24" s="60" t="e">
        <f t="shared" si="20"/>
        <v>#VALUE!</v>
      </c>
      <c r="L24" s="60" t="str">
        <f>IFERROR(VLOOKUP(MID(G24,J24,K24-J24),[5]skilldef!$C:$D,2,FALSE),"-") &amp; " / " &amp; IFERROR(VLOOKUP(MID(G24,H24,I24-H24),[5]skilldef!$A:$B,2,FALSE),"-")</f>
        <v>- / 大攻撃</v>
      </c>
      <c r="M24" s="60" t="str">
        <f t="shared" si="21"/>
        <v>none</v>
      </c>
      <c r="N24" s="45" t="str">
        <f t="shared" si="22"/>
        <v>none</v>
      </c>
      <c r="O24" s="60" t="e">
        <f t="shared" si="23"/>
        <v>#VALUE!</v>
      </c>
      <c r="P24" s="60">
        <f t="shared" si="24"/>
        <v>4</v>
      </c>
      <c r="Q24" s="60" t="e">
        <f t="shared" si="25"/>
        <v>#VALUE!</v>
      </c>
      <c r="R24" s="60" t="e">
        <f t="shared" si="26"/>
        <v>#VALUE!</v>
      </c>
      <c r="S24" s="60" t="str">
        <f>IFERROR(VLOOKUP(MID(N24,Q24,R24-Q24),[5]skilldef!$C:$D,2,FALSE),"-") &amp; " / " &amp; IFERROR(VLOOKUP(MID(N24,O24,P24-O24),[5]skilldef!$A:$B,2,FALSE),"-")</f>
        <v>- / -</v>
      </c>
      <c r="T24" s="45" t="str">
        <f t="shared" si="27"/>
        <v>none</v>
      </c>
      <c r="U24" s="60" t="e">
        <f t="shared" si="28"/>
        <v>#VALUE!</v>
      </c>
      <c r="V24" s="60">
        <f t="shared" si="29"/>
        <v>4</v>
      </c>
      <c r="W24" s="60" t="e">
        <f t="shared" si="30"/>
        <v>#VALUE!</v>
      </c>
      <c r="X24" s="60" t="e">
        <f t="shared" si="31"/>
        <v>#VALUE!</v>
      </c>
      <c r="Y24" s="60" t="str">
        <f>IFERROR(VLOOKUP(MID(T24,W24,X24-W24),[5]skilldef!$C:$D,2,FALSE),"-") &amp; " / " &amp; IFERROR(VLOOKUP(MID(T24,U24,V24-U24),[5]skilldef!$A:$B,2,FALSE),"-")</f>
        <v>- / -</v>
      </c>
      <c r="Z24" s="47"/>
      <c r="AA24" s="49"/>
      <c r="AB24" s="47"/>
    </row>
    <row r="25" spans="1:28" ht="21" customHeight="1" x14ac:dyDescent="0.15">
      <c r="A25" s="44">
        <v>41015024</v>
      </c>
      <c r="B25" s="44" t="s">
        <v>324</v>
      </c>
      <c r="C25" s="47">
        <v>3</v>
      </c>
      <c r="D25" s="47" t="s">
        <v>126</v>
      </c>
      <c r="E25" s="48" t="s">
        <v>325</v>
      </c>
      <c r="F25" s="48" t="s">
        <v>326</v>
      </c>
      <c r="G25" s="60" t="str">
        <f t="shared" si="16"/>
        <v>[effect:remove_enhancement, target:unit_all, target_effect:all, target_type:buff, animation:frozen_wave]</v>
      </c>
      <c r="H25" s="60">
        <f t="shared" si="17"/>
        <v>9</v>
      </c>
      <c r="I25" s="60">
        <f t="shared" si="18"/>
        <v>27</v>
      </c>
      <c r="J25" s="60">
        <f t="shared" si="19"/>
        <v>36</v>
      </c>
      <c r="K25" s="60">
        <f t="shared" si="20"/>
        <v>44</v>
      </c>
      <c r="L25" s="60" t="str">
        <f>IFERROR(VLOOKUP(MID(G25,J25,K25-J25),[5]skilldef!$C:$D,2,FALSE),"-") &amp; " / " &amp; IFERROR(VLOOKUP(MID(G25,H25,I25-H25),[5]skilldef!$A:$B,2,FALSE),"-")</f>
        <v>味方全体に / -</v>
      </c>
      <c r="M25" s="60" t="str">
        <f t="shared" si="21"/>
        <v>[effect:spread, val:0.4]</v>
      </c>
      <c r="N25" s="45" t="str">
        <f t="shared" si="22"/>
        <v>[effect:spread, val:0.4]</v>
      </c>
      <c r="O25" s="60">
        <f t="shared" si="23"/>
        <v>9</v>
      </c>
      <c r="P25" s="60">
        <f t="shared" si="24"/>
        <v>15</v>
      </c>
      <c r="Q25" s="60" t="e">
        <f t="shared" si="25"/>
        <v>#VALUE!</v>
      </c>
      <c r="R25" s="60" t="e">
        <f t="shared" si="26"/>
        <v>#VALUE!</v>
      </c>
      <c r="S25" s="60" t="str">
        <f>IFERROR(VLOOKUP(MID(N25,Q25,R25-Q25),[5]skilldef!$C:$D,2,FALSE),"-") &amp; " / " &amp; IFERROR(VLOOKUP(MID(N25,O25,P25-O25),[5]skilldef!$A:$B,2,FALSE),"-")</f>
        <v>- / 全体攻撃</v>
      </c>
      <c r="T25" s="45" t="str">
        <f t="shared" si="27"/>
        <v>none</v>
      </c>
      <c r="U25" s="60" t="e">
        <f t="shared" si="28"/>
        <v>#VALUE!</v>
      </c>
      <c r="V25" s="60">
        <f t="shared" si="29"/>
        <v>4</v>
      </c>
      <c r="W25" s="60" t="e">
        <f t="shared" si="30"/>
        <v>#VALUE!</v>
      </c>
      <c r="X25" s="60" t="e">
        <f t="shared" si="31"/>
        <v>#VALUE!</v>
      </c>
      <c r="Y25" s="60" t="str">
        <f>IFERROR(VLOOKUP(MID(T25,W25,X25-W25),[5]skilldef!$C:$D,2,FALSE),"-") &amp; " / " &amp; IFERROR(VLOOKUP(MID(T25,U25,V25-U25),[5]skilldef!$A:$B,2,FALSE),"-")</f>
        <v>- / -</v>
      </c>
      <c r="Z25" s="47"/>
      <c r="AA25" s="49"/>
      <c r="AB25" s="47"/>
    </row>
    <row r="26" spans="1:28" ht="21" customHeight="1" x14ac:dyDescent="0.15">
      <c r="A26" s="44">
        <v>41015025</v>
      </c>
      <c r="B26" s="44" t="s">
        <v>474</v>
      </c>
      <c r="C26" s="47">
        <v>3</v>
      </c>
      <c r="D26" s="47" t="s">
        <v>126</v>
      </c>
      <c r="E26" s="48" t="s">
        <v>327</v>
      </c>
      <c r="F26" s="48" t="s">
        <v>330</v>
      </c>
      <c r="G26" s="60" t="str">
        <f t="shared" si="16"/>
        <v>[effect:enemy_message, val1:1, val2:2.6]</v>
      </c>
      <c r="H26" s="60">
        <f t="shared" si="17"/>
        <v>9</v>
      </c>
      <c r="I26" s="60">
        <f t="shared" si="18"/>
        <v>22</v>
      </c>
      <c r="J26" s="60" t="e">
        <f t="shared" si="19"/>
        <v>#VALUE!</v>
      </c>
      <c r="K26" s="60">
        <f t="shared" si="20"/>
        <v>30</v>
      </c>
      <c r="L26" s="60" t="str">
        <f>IFERROR(VLOOKUP(MID(G26,J26,K26-J26),[5]skilldef!$C:$D,2,FALSE),"-") &amp; " / " &amp; IFERROR(VLOOKUP(MID(G26,H26,I26-H26),[5]skilldef!$A:$B,2,FALSE),"-")</f>
        <v>- / -</v>
      </c>
      <c r="M26" s="60" t="str">
        <f t="shared" si="21"/>
        <v>[effect:reduction, target:myself, turn:2, color:all, val:0.9, animation:reduction_one04]</v>
      </c>
      <c r="N26" s="45" t="str">
        <f t="shared" si="22"/>
        <v>[effect:reduction, target:myself, turn:2, color:all, val:0.9, animation:reduction_one04]</v>
      </c>
      <c r="O26" s="60">
        <f t="shared" si="23"/>
        <v>9</v>
      </c>
      <c r="P26" s="60">
        <f t="shared" si="24"/>
        <v>18</v>
      </c>
      <c r="Q26" s="60">
        <f t="shared" si="25"/>
        <v>27</v>
      </c>
      <c r="R26" s="60">
        <f t="shared" si="26"/>
        <v>33</v>
      </c>
      <c r="S26" s="60" t="str">
        <f>IFERROR(VLOOKUP(MID(N26,Q26,R26-Q26),[5]skilldef!$C:$D,2,FALSE),"-") &amp; " / " &amp; IFERROR(VLOOKUP(MID(N26,O26,P26-O26),[5]skilldef!$A:$B,2,FALSE),"-")</f>
        <v>自分自身に / -</v>
      </c>
      <c r="T26" s="45" t="str">
        <f t="shared" si="27"/>
        <v>none</v>
      </c>
      <c r="U26" s="60" t="e">
        <f t="shared" si="28"/>
        <v>#VALUE!</v>
      </c>
      <c r="V26" s="60">
        <f t="shared" si="29"/>
        <v>4</v>
      </c>
      <c r="W26" s="60" t="e">
        <f t="shared" si="30"/>
        <v>#VALUE!</v>
      </c>
      <c r="X26" s="60" t="e">
        <f t="shared" si="31"/>
        <v>#VALUE!</v>
      </c>
      <c r="Y26" s="60" t="str">
        <f>IFERROR(VLOOKUP(MID(T26,W26,X26-W26),[5]skilldef!$C:$D,2,FALSE),"-") &amp; " / " &amp; IFERROR(VLOOKUP(MID(T26,U26,V26-U26),[5]skilldef!$A:$B,2,FALSE),"-")</f>
        <v>- / -</v>
      </c>
      <c r="Z26" s="47"/>
      <c r="AA26" s="49"/>
      <c r="AB26" s="47"/>
    </row>
    <row r="27" spans="1:28" ht="21" customHeight="1" x14ac:dyDescent="0.15">
      <c r="A27" s="44">
        <v>41015026</v>
      </c>
      <c r="B27" s="44" t="s">
        <v>331</v>
      </c>
      <c r="C27" s="47">
        <v>3</v>
      </c>
      <c r="D27" s="47" t="s">
        <v>126</v>
      </c>
      <c r="E27" s="48" t="s">
        <v>332</v>
      </c>
      <c r="F27" s="48" t="s">
        <v>333</v>
      </c>
      <c r="G27" s="60" t="str">
        <f t="shared" si="16"/>
        <v>[effect:break_enchance_enemy, val:0.04, lowest_val:0.05, count :5, status:attack, turn:5, block:block_blue, target:myself, calc:mul, animation:enemy_enhance_attack]</v>
      </c>
      <c r="H27" s="60">
        <f t="shared" si="17"/>
        <v>9</v>
      </c>
      <c r="I27" s="60">
        <f t="shared" si="18"/>
        <v>29</v>
      </c>
      <c r="J27" s="60">
        <f t="shared" si="19"/>
        <v>116</v>
      </c>
      <c r="K27" s="60">
        <f t="shared" si="20"/>
        <v>39</v>
      </c>
      <c r="L27" s="60" t="str">
        <f>IFERROR(VLOOKUP(MID(G27,J27,K27-J27),[5]skilldef!$C:$D,2,FALSE),"-") &amp; " / " &amp; IFERROR(VLOOKUP(MID(G27,H27,I27-H27),[5]skilldef!$A:$B,2,FALSE),"-")</f>
        <v>- / -</v>
      </c>
      <c r="M27" s="60" t="str">
        <f t="shared" si="21"/>
        <v>[effect:break_attack, val:0.08, lowest_val:1000, count:5, block:block_green, target:unit_all]</v>
      </c>
      <c r="N27" s="45" t="str">
        <f t="shared" si="22"/>
        <v>[effect:break_attack, val:0.08, lowest_val:1000, count:5, block:block_green, target:unit_all]</v>
      </c>
      <c r="O27" s="60">
        <f t="shared" si="23"/>
        <v>9</v>
      </c>
      <c r="P27" s="60">
        <f t="shared" si="24"/>
        <v>21</v>
      </c>
      <c r="Q27" s="60">
        <f t="shared" si="25"/>
        <v>85</v>
      </c>
      <c r="R27" s="60">
        <f t="shared" si="26"/>
        <v>31</v>
      </c>
      <c r="S27" s="60" t="str">
        <f>IFERROR(VLOOKUP(MID(N27,Q27,R27-Q27),[5]skilldef!$C:$D,2,FALSE),"-") &amp; " / " &amp; IFERROR(VLOOKUP(MID(N27,O27,P27-O27),[5]skilldef!$A:$B,2,FALSE),"-")</f>
        <v>- / -</v>
      </c>
      <c r="T27" s="45" t="str">
        <f t="shared" si="27"/>
        <v>none</v>
      </c>
      <c r="U27" s="60" t="e">
        <f t="shared" si="28"/>
        <v>#VALUE!</v>
      </c>
      <c r="V27" s="60">
        <f t="shared" si="29"/>
        <v>4</v>
      </c>
      <c r="W27" s="60" t="e">
        <f t="shared" si="30"/>
        <v>#VALUE!</v>
      </c>
      <c r="X27" s="60" t="e">
        <f t="shared" si="31"/>
        <v>#VALUE!</v>
      </c>
      <c r="Y27" s="60" t="str">
        <f>IFERROR(VLOOKUP(MID(T27,W27,X27-W27),[5]skilldef!$C:$D,2,FALSE),"-") &amp; " / " &amp; IFERROR(VLOOKUP(MID(T27,U27,V27-U27),[5]skilldef!$A:$B,2,FALSE),"-")</f>
        <v>- / -</v>
      </c>
      <c r="Z27" s="47"/>
      <c r="AA27" s="49"/>
      <c r="AB27" s="47"/>
    </row>
    <row r="28" spans="1:28" ht="21" customHeight="1" x14ac:dyDescent="0.15">
      <c r="A28" s="175">
        <v>41015027</v>
      </c>
      <c r="B28" s="175" t="s">
        <v>334</v>
      </c>
      <c r="C28" s="176">
        <v>3</v>
      </c>
      <c r="D28" s="176" t="s">
        <v>335</v>
      </c>
      <c r="E28" s="177" t="s">
        <v>336</v>
      </c>
      <c r="F28" s="177" t="s">
        <v>337</v>
      </c>
      <c r="G28" s="60" t="str">
        <f t="shared" si="16"/>
        <v>[effect:tolerance, target:myself, turn:-1, tolerance_effect:hungup, count:-1, animation:enemy_tolerance]</v>
      </c>
      <c r="H28" s="60">
        <f t="shared" si="17"/>
        <v>9</v>
      </c>
      <c r="I28" s="60">
        <f t="shared" si="18"/>
        <v>18</v>
      </c>
      <c r="J28" s="60">
        <f t="shared" si="19"/>
        <v>27</v>
      </c>
      <c r="K28" s="60">
        <f t="shared" si="20"/>
        <v>33</v>
      </c>
      <c r="L28" s="60" t="str">
        <f>IFERROR(VLOOKUP(MID(G28,J28,K28-J28),[5]skilldef!$C:$D,2,FALSE),"-") &amp; " / " &amp; IFERROR(VLOOKUP(MID(G28,H28,I28-H28),[5]skilldef!$A:$B,2,FALSE),"-")</f>
        <v>自分自身に / 状態異常耐性</v>
      </c>
      <c r="M28" s="60" t="str">
        <f t="shared" si="21"/>
        <v>none</v>
      </c>
      <c r="N28" s="45" t="str">
        <f t="shared" si="22"/>
        <v>none</v>
      </c>
      <c r="O28" s="60" t="e">
        <f t="shared" si="23"/>
        <v>#VALUE!</v>
      </c>
      <c r="P28" s="60">
        <f t="shared" si="24"/>
        <v>4</v>
      </c>
      <c r="Q28" s="60" t="e">
        <f t="shared" si="25"/>
        <v>#VALUE!</v>
      </c>
      <c r="R28" s="60" t="e">
        <f t="shared" si="26"/>
        <v>#VALUE!</v>
      </c>
      <c r="S28" s="60" t="str">
        <f>IFERROR(VLOOKUP(MID(N28,Q28,R28-Q28),[5]skilldef!$C:$D,2,FALSE),"-") &amp; " / " &amp; IFERROR(VLOOKUP(MID(N28,O28,P28-O28),[5]skilldef!$A:$B,2,FALSE),"-")</f>
        <v>- / -</v>
      </c>
      <c r="T28" s="45" t="str">
        <f t="shared" si="27"/>
        <v>none</v>
      </c>
      <c r="U28" s="60" t="e">
        <f t="shared" si="28"/>
        <v>#VALUE!</v>
      </c>
      <c r="V28" s="60">
        <f t="shared" si="29"/>
        <v>4</v>
      </c>
      <c r="W28" s="60" t="e">
        <f t="shared" si="30"/>
        <v>#VALUE!</v>
      </c>
      <c r="X28" s="60" t="e">
        <f t="shared" si="31"/>
        <v>#VALUE!</v>
      </c>
      <c r="Y28" s="60" t="str">
        <f>IFERROR(VLOOKUP(MID(T28,W28,X28-W28),[5]skilldef!$C:$D,2,FALSE),"-") &amp; " / " &amp; IFERROR(VLOOKUP(MID(T28,U28,V28-U28),[5]skilldef!$A:$B,2,FALSE),"-")</f>
        <v>- / -</v>
      </c>
      <c r="Z28" s="47"/>
      <c r="AA28" s="49"/>
      <c r="AB28" s="47"/>
    </row>
    <row r="29" spans="1:28" ht="21" customHeight="1" x14ac:dyDescent="0.15">
      <c r="A29" s="175">
        <v>41015028</v>
      </c>
      <c r="B29" s="175" t="s">
        <v>338</v>
      </c>
      <c r="C29" s="176">
        <v>3</v>
      </c>
      <c r="D29" s="176" t="s">
        <v>126</v>
      </c>
      <c r="E29" s="178" t="s">
        <v>339</v>
      </c>
      <c r="F29" s="178" t="s">
        <v>340</v>
      </c>
      <c r="G29" s="60" t="str">
        <f t="shared" si="16"/>
        <v>[effect:tolerance, target:myself, turn:-1, tolerance_effect:hungup, count:-1, animation:enemy_tolerance]</v>
      </c>
      <c r="H29" s="60">
        <f t="shared" si="17"/>
        <v>9</v>
      </c>
      <c r="I29" s="60">
        <f t="shared" si="18"/>
        <v>18</v>
      </c>
      <c r="J29" s="60">
        <f t="shared" si="19"/>
        <v>27</v>
      </c>
      <c r="K29" s="60">
        <f t="shared" si="20"/>
        <v>33</v>
      </c>
      <c r="L29" s="60" t="str">
        <f>IFERROR(VLOOKUP(MID(G29,J29,K29-J29),[5]skilldef!$C:$D,2,FALSE),"-") &amp; " / " &amp; IFERROR(VLOOKUP(MID(G29,H29,I29-H29),[5]skilldef!$A:$B,2,FALSE),"-")</f>
        <v>自分自身に / 状態異常耐性</v>
      </c>
      <c r="M29" s="60" t="str">
        <f t="shared" si="21"/>
        <v>none</v>
      </c>
      <c r="N29" s="45" t="str">
        <f t="shared" si="22"/>
        <v>none</v>
      </c>
      <c r="O29" s="60" t="e">
        <f t="shared" si="23"/>
        <v>#VALUE!</v>
      </c>
      <c r="P29" s="60">
        <f t="shared" si="24"/>
        <v>4</v>
      </c>
      <c r="Q29" s="60" t="e">
        <f t="shared" si="25"/>
        <v>#VALUE!</v>
      </c>
      <c r="R29" s="60" t="e">
        <f t="shared" si="26"/>
        <v>#VALUE!</v>
      </c>
      <c r="S29" s="60" t="str">
        <f>IFERROR(VLOOKUP(MID(N29,Q29,R29-Q29),[5]skilldef!$C:$D,2,FALSE),"-") &amp; " / " &amp; IFERROR(VLOOKUP(MID(N29,O29,P29-O29),[5]skilldef!$A:$B,2,FALSE),"-")</f>
        <v>- / -</v>
      </c>
      <c r="T29" s="45" t="str">
        <f t="shared" si="27"/>
        <v>none</v>
      </c>
      <c r="U29" s="60" t="e">
        <f t="shared" si="28"/>
        <v>#VALUE!</v>
      </c>
      <c r="V29" s="60">
        <f t="shared" si="29"/>
        <v>4</v>
      </c>
      <c r="W29" s="60" t="e">
        <f t="shared" si="30"/>
        <v>#VALUE!</v>
      </c>
      <c r="X29" s="60" t="e">
        <f t="shared" si="31"/>
        <v>#VALUE!</v>
      </c>
      <c r="Y29" s="60" t="str">
        <f>IFERROR(VLOOKUP(MID(T29,W29,X29-W29),[5]skilldef!$C:$D,2,FALSE),"-") &amp; " / " &amp; IFERROR(VLOOKUP(MID(T29,U29,V29-U29),[5]skilldef!$A:$B,2,FALSE),"-")</f>
        <v>- / -</v>
      </c>
      <c r="Z29" s="47"/>
      <c r="AA29" s="49"/>
      <c r="AB29" s="47"/>
    </row>
    <row r="30" spans="1:28" ht="21" customHeight="1" x14ac:dyDescent="0.15">
      <c r="A30" s="175">
        <v>41015029</v>
      </c>
      <c r="B30" s="175" t="s">
        <v>338</v>
      </c>
      <c r="C30" s="176">
        <v>3</v>
      </c>
      <c r="D30" s="176" t="s">
        <v>126</v>
      </c>
      <c r="E30" s="178" t="s">
        <v>341</v>
      </c>
      <c r="F30" s="178" t="s">
        <v>342</v>
      </c>
      <c r="G30" s="60" t="str">
        <f t="shared" si="16"/>
        <v>[effect:tolerance, target:myself, turn:-1, tolerance_effect:hungup, count:-1, animation:enemy_tolerance]</v>
      </c>
      <c r="H30" s="60">
        <f t="shared" si="17"/>
        <v>9</v>
      </c>
      <c r="I30" s="60">
        <f t="shared" si="18"/>
        <v>18</v>
      </c>
      <c r="J30" s="60">
        <f t="shared" si="19"/>
        <v>27</v>
      </c>
      <c r="K30" s="60">
        <f t="shared" si="20"/>
        <v>33</v>
      </c>
      <c r="L30" s="60" t="str">
        <f>IFERROR(VLOOKUP(MID(G30,J30,K30-J30),[5]skilldef!$C:$D,2,FALSE),"-") &amp; " / " &amp; IFERROR(VLOOKUP(MID(G30,H30,I30-H30),[5]skilldef!$A:$B,2,FALSE),"-")</f>
        <v>自分自身に / 状態異常耐性</v>
      </c>
      <c r="M30" s="60" t="str">
        <f t="shared" si="21"/>
        <v>none</v>
      </c>
      <c r="N30" s="45" t="str">
        <f t="shared" si="22"/>
        <v>none</v>
      </c>
      <c r="O30" s="60" t="e">
        <f t="shared" si="23"/>
        <v>#VALUE!</v>
      </c>
      <c r="P30" s="60">
        <f t="shared" si="24"/>
        <v>4</v>
      </c>
      <c r="Q30" s="60" t="e">
        <f t="shared" si="25"/>
        <v>#VALUE!</v>
      </c>
      <c r="R30" s="60" t="e">
        <f t="shared" si="26"/>
        <v>#VALUE!</v>
      </c>
      <c r="S30" s="60" t="str">
        <f>IFERROR(VLOOKUP(MID(N30,Q30,R30-Q30),[5]skilldef!$C:$D,2,FALSE),"-") &amp; " / " &amp; IFERROR(VLOOKUP(MID(N30,O30,P30-O30),[5]skilldef!$A:$B,2,FALSE),"-")</f>
        <v>- / -</v>
      </c>
      <c r="T30" s="45" t="str">
        <f t="shared" si="27"/>
        <v>none</v>
      </c>
      <c r="U30" s="60" t="e">
        <f t="shared" si="28"/>
        <v>#VALUE!</v>
      </c>
      <c r="V30" s="60">
        <f t="shared" si="29"/>
        <v>4</v>
      </c>
      <c r="W30" s="60" t="e">
        <f t="shared" si="30"/>
        <v>#VALUE!</v>
      </c>
      <c r="X30" s="60" t="e">
        <f t="shared" si="31"/>
        <v>#VALUE!</v>
      </c>
      <c r="Y30" s="60" t="str">
        <f>IFERROR(VLOOKUP(MID(T30,W30,X30-W30),[5]skilldef!$C:$D,2,FALSE),"-") &amp; " / " &amp; IFERROR(VLOOKUP(MID(T30,U30,V30-U30),[5]skilldef!$A:$B,2,FALSE),"-")</f>
        <v>- / -</v>
      </c>
      <c r="Z30" s="47"/>
      <c r="AA30" s="49"/>
      <c r="AB30" s="47"/>
    </row>
    <row r="31" spans="1:28" ht="21" customHeight="1" x14ac:dyDescent="0.15">
      <c r="A31" s="175">
        <v>41015030</v>
      </c>
      <c r="B31" s="175" t="s">
        <v>338</v>
      </c>
      <c r="C31" s="176">
        <v>3</v>
      </c>
      <c r="D31" s="176" t="s">
        <v>126</v>
      </c>
      <c r="E31" s="178" t="s">
        <v>343</v>
      </c>
      <c r="F31" s="178" t="s">
        <v>344</v>
      </c>
      <c r="G31" s="60" t="str">
        <f t="shared" si="16"/>
        <v>[effect:tolerance, target:myself, turn:-1, tolerance_effect:hungup, count:-1, animation:enemy_tolerance]</v>
      </c>
      <c r="H31" s="60">
        <f t="shared" si="17"/>
        <v>9</v>
      </c>
      <c r="I31" s="60">
        <f t="shared" si="18"/>
        <v>18</v>
      </c>
      <c r="J31" s="60">
        <f t="shared" si="19"/>
        <v>27</v>
      </c>
      <c r="K31" s="60">
        <f t="shared" si="20"/>
        <v>33</v>
      </c>
      <c r="L31" s="60" t="str">
        <f>IFERROR(VLOOKUP(MID(G31,J31,K31-J31),[5]skilldef!$C:$D,2,FALSE),"-") &amp; " / " &amp; IFERROR(VLOOKUP(MID(G31,H31,I31-H31),[5]skilldef!$A:$B,2,FALSE),"-")</f>
        <v>自分自身に / 状態異常耐性</v>
      </c>
      <c r="M31" s="60" t="str">
        <f t="shared" si="21"/>
        <v>none</v>
      </c>
      <c r="N31" s="45" t="str">
        <f t="shared" si="22"/>
        <v>none</v>
      </c>
      <c r="O31" s="60" t="e">
        <f t="shared" si="23"/>
        <v>#VALUE!</v>
      </c>
      <c r="P31" s="60">
        <f t="shared" si="24"/>
        <v>4</v>
      </c>
      <c r="Q31" s="60" t="e">
        <f t="shared" si="25"/>
        <v>#VALUE!</v>
      </c>
      <c r="R31" s="60" t="e">
        <f t="shared" si="26"/>
        <v>#VALUE!</v>
      </c>
      <c r="S31" s="60" t="str">
        <f>IFERROR(VLOOKUP(MID(N31,Q31,R31-Q31),[5]skilldef!$C:$D,2,FALSE),"-") &amp; " / " &amp; IFERROR(VLOOKUP(MID(N31,O31,P31-O31),[5]skilldef!$A:$B,2,FALSE),"-")</f>
        <v>- / -</v>
      </c>
      <c r="T31" s="45" t="str">
        <f t="shared" si="27"/>
        <v>none</v>
      </c>
      <c r="U31" s="60" t="e">
        <f t="shared" si="28"/>
        <v>#VALUE!</v>
      </c>
      <c r="V31" s="60">
        <f t="shared" si="29"/>
        <v>4</v>
      </c>
      <c r="W31" s="60" t="e">
        <f t="shared" si="30"/>
        <v>#VALUE!</v>
      </c>
      <c r="X31" s="60" t="e">
        <f t="shared" si="31"/>
        <v>#VALUE!</v>
      </c>
      <c r="Y31" s="60" t="str">
        <f>IFERROR(VLOOKUP(MID(T31,W31,X31-W31),[5]skilldef!$C:$D,2,FALSE),"-") &amp; " / " &amp; IFERROR(VLOOKUP(MID(T31,U31,V31-U31),[5]skilldef!$A:$B,2,FALSE),"-")</f>
        <v>- / -</v>
      </c>
      <c r="Z31" s="47"/>
      <c r="AA31" s="49"/>
      <c r="AB31" s="47"/>
    </row>
    <row r="32" spans="1:28" ht="21" customHeight="1" x14ac:dyDescent="0.15">
      <c r="A32" s="175">
        <v>41015031</v>
      </c>
      <c r="B32" s="175" t="s">
        <v>338</v>
      </c>
      <c r="C32" s="176">
        <v>3</v>
      </c>
      <c r="D32" s="176" t="s">
        <v>126</v>
      </c>
      <c r="E32" s="178" t="s">
        <v>345</v>
      </c>
      <c r="F32" s="178" t="s">
        <v>346</v>
      </c>
      <c r="G32" s="60" t="str">
        <f t="shared" si="16"/>
        <v>[effect:tolerance, target:myself, turn:-1, tolerance_effect:hungup, count:-1, animation:enemy_tolerance]</v>
      </c>
      <c r="H32" s="60">
        <f t="shared" si="17"/>
        <v>9</v>
      </c>
      <c r="I32" s="60">
        <f t="shared" si="18"/>
        <v>18</v>
      </c>
      <c r="J32" s="60">
        <f t="shared" si="19"/>
        <v>27</v>
      </c>
      <c r="K32" s="60">
        <f t="shared" si="20"/>
        <v>33</v>
      </c>
      <c r="L32" s="60" t="str">
        <f>IFERROR(VLOOKUP(MID(G32,J32,K32-J32),[5]skilldef!$C:$D,2,FALSE),"-") &amp; " / " &amp; IFERROR(VLOOKUP(MID(G32,H32,I32-H32),[5]skilldef!$A:$B,2,FALSE),"-")</f>
        <v>自分自身に / 状態異常耐性</v>
      </c>
      <c r="M32" s="60" t="str">
        <f t="shared" si="21"/>
        <v>none</v>
      </c>
      <c r="N32" s="45" t="str">
        <f t="shared" si="22"/>
        <v>none</v>
      </c>
      <c r="O32" s="60" t="e">
        <f t="shared" si="23"/>
        <v>#VALUE!</v>
      </c>
      <c r="P32" s="60">
        <f t="shared" si="24"/>
        <v>4</v>
      </c>
      <c r="Q32" s="60" t="e">
        <f t="shared" si="25"/>
        <v>#VALUE!</v>
      </c>
      <c r="R32" s="60" t="e">
        <f t="shared" si="26"/>
        <v>#VALUE!</v>
      </c>
      <c r="S32" s="60" t="str">
        <f>IFERROR(VLOOKUP(MID(N32,Q32,R32-Q32),[5]skilldef!$C:$D,2,FALSE),"-") &amp; " / " &amp; IFERROR(VLOOKUP(MID(N32,O32,P32-O32),[5]skilldef!$A:$B,2,FALSE),"-")</f>
        <v>- / -</v>
      </c>
      <c r="T32" s="45" t="str">
        <f t="shared" si="27"/>
        <v>none</v>
      </c>
      <c r="U32" s="60" t="e">
        <f t="shared" si="28"/>
        <v>#VALUE!</v>
      </c>
      <c r="V32" s="60">
        <f t="shared" si="29"/>
        <v>4</v>
      </c>
      <c r="W32" s="60" t="e">
        <f t="shared" si="30"/>
        <v>#VALUE!</v>
      </c>
      <c r="X32" s="60" t="e">
        <f t="shared" si="31"/>
        <v>#VALUE!</v>
      </c>
      <c r="Y32" s="60" t="str">
        <f>IFERROR(VLOOKUP(MID(T32,W32,X32-W32),[5]skilldef!$C:$D,2,FALSE),"-") &amp; " / " &amp; IFERROR(VLOOKUP(MID(T32,U32,V32-U32),[5]skilldef!$A:$B,2,FALSE),"-")</f>
        <v>- / -</v>
      </c>
      <c r="Z32" s="47"/>
      <c r="AA32" s="49"/>
      <c r="AB32" s="47"/>
    </row>
    <row r="33" spans="1:28" ht="21" customHeight="1" x14ac:dyDescent="0.15">
      <c r="A33" s="175">
        <v>41015032</v>
      </c>
      <c r="B33" s="175" t="s">
        <v>347</v>
      </c>
      <c r="C33" s="176">
        <v>3</v>
      </c>
      <c r="D33" s="176" t="s">
        <v>348</v>
      </c>
      <c r="E33" s="178" t="s">
        <v>349</v>
      </c>
      <c r="F33" s="178" t="s">
        <v>350</v>
      </c>
      <c r="G33" s="60" t="str">
        <f t="shared" si="16"/>
        <v>[effect:tolerance, target:myself, turn:-1, tolerance_effect:hungup, count:-1, animation:enemy_tolerance]</v>
      </c>
      <c r="H33" s="60">
        <f t="shared" si="17"/>
        <v>9</v>
      </c>
      <c r="I33" s="60">
        <f t="shared" si="18"/>
        <v>18</v>
      </c>
      <c r="J33" s="60">
        <f t="shared" si="19"/>
        <v>27</v>
      </c>
      <c r="K33" s="60">
        <f t="shared" si="20"/>
        <v>33</v>
      </c>
      <c r="L33" s="60" t="str">
        <f>IFERROR(VLOOKUP(MID(G33,J33,K33-J33),[5]skilldef!$C:$D,2,FALSE),"-") &amp; " / " &amp; IFERROR(VLOOKUP(MID(G33,H33,I33-H33),[5]skilldef!$A:$B,2,FALSE),"-")</f>
        <v>自分自身に / 状態異常耐性</v>
      </c>
      <c r="M33" s="60" t="str">
        <f t="shared" si="21"/>
        <v>none</v>
      </c>
      <c r="N33" s="45" t="str">
        <f t="shared" si="22"/>
        <v>none</v>
      </c>
      <c r="O33" s="60" t="e">
        <f t="shared" si="23"/>
        <v>#VALUE!</v>
      </c>
      <c r="P33" s="60">
        <f t="shared" si="24"/>
        <v>4</v>
      </c>
      <c r="Q33" s="60" t="e">
        <f t="shared" si="25"/>
        <v>#VALUE!</v>
      </c>
      <c r="R33" s="60" t="e">
        <f t="shared" si="26"/>
        <v>#VALUE!</v>
      </c>
      <c r="S33" s="60" t="str">
        <f>IFERROR(VLOOKUP(MID(N33,Q33,R33-Q33),[5]skilldef!$C:$D,2,FALSE),"-") &amp; " / " &amp; IFERROR(VLOOKUP(MID(N33,O33,P33-O33),[5]skilldef!$A:$B,2,FALSE),"-")</f>
        <v>- / -</v>
      </c>
      <c r="T33" s="45" t="str">
        <f t="shared" si="27"/>
        <v>none</v>
      </c>
      <c r="U33" s="60" t="e">
        <f t="shared" si="28"/>
        <v>#VALUE!</v>
      </c>
      <c r="V33" s="60">
        <f t="shared" si="29"/>
        <v>4</v>
      </c>
      <c r="W33" s="60" t="e">
        <f t="shared" si="30"/>
        <v>#VALUE!</v>
      </c>
      <c r="X33" s="60" t="e">
        <f t="shared" si="31"/>
        <v>#VALUE!</v>
      </c>
      <c r="Y33" s="60" t="str">
        <f>IFERROR(VLOOKUP(MID(T33,W33,X33-W33),[5]skilldef!$C:$D,2,FALSE),"-") &amp; " / " &amp; IFERROR(VLOOKUP(MID(T33,U33,V33-U33),[5]skilldef!$A:$B,2,FALSE),"-")</f>
        <v>- / -</v>
      </c>
      <c r="Z33" s="47"/>
      <c r="AA33" s="49"/>
      <c r="AB33" s="47"/>
    </row>
    <row r="34" spans="1:28" ht="21" customHeight="1" x14ac:dyDescent="0.15">
      <c r="A34" s="175">
        <v>41015033</v>
      </c>
      <c r="B34" s="175" t="s">
        <v>338</v>
      </c>
      <c r="C34" s="176">
        <v>3</v>
      </c>
      <c r="D34" s="176" t="s">
        <v>126</v>
      </c>
      <c r="E34" s="178" t="s">
        <v>351</v>
      </c>
      <c r="F34" s="178" t="s">
        <v>352</v>
      </c>
      <c r="G34" s="60" t="str">
        <f t="shared" si="16"/>
        <v>[effect:tolerance, target:myself, turn:-1, tolerance_effect:hungup, count:-1, animation:enemy_tolerance]</v>
      </c>
      <c r="H34" s="60">
        <f t="shared" si="17"/>
        <v>9</v>
      </c>
      <c r="I34" s="60">
        <f t="shared" si="18"/>
        <v>18</v>
      </c>
      <c r="J34" s="60">
        <f t="shared" si="19"/>
        <v>27</v>
      </c>
      <c r="K34" s="60">
        <f t="shared" si="20"/>
        <v>33</v>
      </c>
      <c r="L34" s="60" t="str">
        <f>IFERROR(VLOOKUP(MID(G34,J34,K34-J34),[5]skilldef!$C:$D,2,FALSE),"-") &amp; " / " &amp; IFERROR(VLOOKUP(MID(G34,H34,I34-H34),[5]skilldef!$A:$B,2,FALSE),"-")</f>
        <v>自分自身に / 状態異常耐性</v>
      </c>
      <c r="M34" s="60" t="str">
        <f t="shared" si="21"/>
        <v>none</v>
      </c>
      <c r="N34" s="45" t="str">
        <f t="shared" si="22"/>
        <v>none</v>
      </c>
      <c r="O34" s="60" t="e">
        <f t="shared" si="23"/>
        <v>#VALUE!</v>
      </c>
      <c r="P34" s="60">
        <f t="shared" si="24"/>
        <v>4</v>
      </c>
      <c r="Q34" s="60" t="e">
        <f t="shared" si="25"/>
        <v>#VALUE!</v>
      </c>
      <c r="R34" s="60" t="e">
        <f t="shared" si="26"/>
        <v>#VALUE!</v>
      </c>
      <c r="S34" s="60" t="str">
        <f>IFERROR(VLOOKUP(MID(N34,Q34,R34-Q34),[5]skilldef!$C:$D,2,FALSE),"-") &amp; " / " &amp; IFERROR(VLOOKUP(MID(N34,O34,P34-O34),[5]skilldef!$A:$B,2,FALSE),"-")</f>
        <v>- / -</v>
      </c>
      <c r="T34" s="45" t="str">
        <f t="shared" si="27"/>
        <v>none</v>
      </c>
      <c r="U34" s="60" t="e">
        <f t="shared" si="28"/>
        <v>#VALUE!</v>
      </c>
      <c r="V34" s="60">
        <f t="shared" si="29"/>
        <v>4</v>
      </c>
      <c r="W34" s="60" t="e">
        <f t="shared" si="30"/>
        <v>#VALUE!</v>
      </c>
      <c r="X34" s="60" t="e">
        <f t="shared" si="31"/>
        <v>#VALUE!</v>
      </c>
      <c r="Y34" s="60" t="str">
        <f>IFERROR(VLOOKUP(MID(T34,W34,X34-W34),[5]skilldef!$C:$D,2,FALSE),"-") &amp; " / " &amp; IFERROR(VLOOKUP(MID(T34,U34,V34-U34),[5]skilldef!$A:$B,2,FALSE),"-")</f>
        <v>- / -</v>
      </c>
      <c r="Z34" s="47"/>
      <c r="AA34" s="49"/>
      <c r="AB34" s="47"/>
    </row>
    <row r="35" spans="1:28" ht="21" customHeight="1" x14ac:dyDescent="0.15">
      <c r="A35" s="175">
        <v>41015034</v>
      </c>
      <c r="B35" s="175" t="s">
        <v>338</v>
      </c>
      <c r="C35" s="176">
        <v>3</v>
      </c>
      <c r="D35" s="176" t="s">
        <v>126</v>
      </c>
      <c r="E35" s="178" t="s">
        <v>353</v>
      </c>
      <c r="F35" s="178" t="s">
        <v>354</v>
      </c>
      <c r="G35" s="60" t="str">
        <f t="shared" si="16"/>
        <v>[effect:tolerance, target:myself, turn:-1, tolerance_effect:hungup, count:-1, animation:enemy_tolerance]</v>
      </c>
      <c r="H35" s="60">
        <f t="shared" si="17"/>
        <v>9</v>
      </c>
      <c r="I35" s="60">
        <f t="shared" si="18"/>
        <v>18</v>
      </c>
      <c r="J35" s="60">
        <f t="shared" si="19"/>
        <v>27</v>
      </c>
      <c r="K35" s="60">
        <f t="shared" si="20"/>
        <v>33</v>
      </c>
      <c r="L35" s="60" t="str">
        <f>IFERROR(VLOOKUP(MID(G35,J35,K35-J35),[5]skilldef!$C:$D,2,FALSE),"-") &amp; " / " &amp; IFERROR(VLOOKUP(MID(G35,H35,I35-H35),[5]skilldef!$A:$B,2,FALSE),"-")</f>
        <v>自分自身に / 状態異常耐性</v>
      </c>
      <c r="M35" s="60" t="str">
        <f t="shared" si="21"/>
        <v>none</v>
      </c>
      <c r="N35" s="45" t="str">
        <f t="shared" si="22"/>
        <v>none</v>
      </c>
      <c r="O35" s="60" t="e">
        <f t="shared" si="23"/>
        <v>#VALUE!</v>
      </c>
      <c r="P35" s="60">
        <f t="shared" si="24"/>
        <v>4</v>
      </c>
      <c r="Q35" s="60" t="e">
        <f t="shared" si="25"/>
        <v>#VALUE!</v>
      </c>
      <c r="R35" s="60" t="e">
        <f t="shared" si="26"/>
        <v>#VALUE!</v>
      </c>
      <c r="S35" s="60" t="str">
        <f>IFERROR(VLOOKUP(MID(N35,Q35,R35-Q35),[5]skilldef!$C:$D,2,FALSE),"-") &amp; " / " &amp; IFERROR(VLOOKUP(MID(N35,O35,P35-O35),[5]skilldef!$A:$B,2,FALSE),"-")</f>
        <v>- / -</v>
      </c>
      <c r="T35" s="45" t="str">
        <f t="shared" si="27"/>
        <v>none</v>
      </c>
      <c r="U35" s="60" t="e">
        <f t="shared" si="28"/>
        <v>#VALUE!</v>
      </c>
      <c r="V35" s="60">
        <f t="shared" si="29"/>
        <v>4</v>
      </c>
      <c r="W35" s="60" t="e">
        <f t="shared" si="30"/>
        <v>#VALUE!</v>
      </c>
      <c r="X35" s="60" t="e">
        <f t="shared" si="31"/>
        <v>#VALUE!</v>
      </c>
      <c r="Y35" s="60" t="str">
        <f>IFERROR(VLOOKUP(MID(T35,W35,X35-W35),[5]skilldef!$C:$D,2,FALSE),"-") &amp; " / " &amp; IFERROR(VLOOKUP(MID(T35,U35,V35-U35),[5]skilldef!$A:$B,2,FALSE),"-")</f>
        <v>- / -</v>
      </c>
      <c r="Z35" s="47"/>
      <c r="AA35" s="49"/>
      <c r="AB35" s="47"/>
    </row>
    <row r="36" spans="1:28" ht="21" customHeight="1" x14ac:dyDescent="0.15">
      <c r="A36" s="175">
        <v>41015035</v>
      </c>
      <c r="B36" s="175" t="s">
        <v>355</v>
      </c>
      <c r="C36" s="176">
        <v>3</v>
      </c>
      <c r="D36" s="176" t="s">
        <v>126</v>
      </c>
      <c r="E36" s="177" t="s">
        <v>356</v>
      </c>
      <c r="F36" s="179" t="s">
        <v>357</v>
      </c>
      <c r="G36" s="60" t="str">
        <f t="shared" si="16"/>
        <v>[effect:virus, turn:3, rate:1, val:0.08, animation:enemy_virus]</v>
      </c>
      <c r="H36" s="60">
        <f t="shared" si="17"/>
        <v>9</v>
      </c>
      <c r="I36" s="60">
        <f t="shared" si="18"/>
        <v>14</v>
      </c>
      <c r="J36" s="60" t="e">
        <f t="shared" si="19"/>
        <v>#VALUE!</v>
      </c>
      <c r="K36" s="60">
        <f t="shared" si="20"/>
        <v>22</v>
      </c>
      <c r="L36" s="60" t="str">
        <f>IFERROR(VLOOKUP(MID(G36,J36,K36-J36),[5]skilldef!$C:$D,2,FALSE),"-") &amp; " / " &amp; IFERROR(VLOOKUP(MID(G36,H36,I36-H36),[5]skilldef!$A:$B,2,FALSE),"-")</f>
        <v>- / ウィルス</v>
      </c>
      <c r="M36" s="60" t="str">
        <f t="shared" si="21"/>
        <v>[effect:rush, count:1, val:0.8]</v>
      </c>
      <c r="N36" s="45" t="str">
        <f t="shared" si="22"/>
        <v>[effect:rush, count:1, val:0.8]</v>
      </c>
      <c r="O36" s="60">
        <f t="shared" si="23"/>
        <v>9</v>
      </c>
      <c r="P36" s="60">
        <f t="shared" si="24"/>
        <v>13</v>
      </c>
      <c r="Q36" s="60" t="e">
        <f t="shared" si="25"/>
        <v>#VALUE!</v>
      </c>
      <c r="R36" s="60">
        <f t="shared" si="26"/>
        <v>22</v>
      </c>
      <c r="S36" s="60" t="str">
        <f>IFERROR(VLOOKUP(MID(N36,Q36,R36-Q36),[5]skilldef!$C:$D,2,FALSE),"-") &amp; " / " &amp; IFERROR(VLOOKUP(MID(N36,O36,P36-O36),[5]skilldef!$A:$B,2,FALSE),"-")</f>
        <v>- / 連続攻撃</v>
      </c>
      <c r="T36" s="45" t="str">
        <f t="shared" si="27"/>
        <v>none</v>
      </c>
      <c r="U36" s="60" t="e">
        <f t="shared" si="28"/>
        <v>#VALUE!</v>
      </c>
      <c r="V36" s="60">
        <f t="shared" si="29"/>
        <v>4</v>
      </c>
      <c r="W36" s="60" t="e">
        <f t="shared" si="30"/>
        <v>#VALUE!</v>
      </c>
      <c r="X36" s="60" t="e">
        <f t="shared" si="31"/>
        <v>#VALUE!</v>
      </c>
      <c r="Y36" s="60" t="str">
        <f>IFERROR(VLOOKUP(MID(T36,W36,X36-W36),[5]skilldef!$C:$D,2,FALSE),"-") &amp; " / " &amp; IFERROR(VLOOKUP(MID(T36,U36,V36-U36),[5]skilldef!$A:$B,2,FALSE),"-")</f>
        <v>- / -</v>
      </c>
      <c r="Z36" s="47"/>
      <c r="AA36" s="49"/>
      <c r="AB36" s="47"/>
    </row>
    <row r="37" spans="1:28" ht="21" customHeight="1" x14ac:dyDescent="0.15">
      <c r="A37" s="175">
        <v>41015036</v>
      </c>
      <c r="B37" s="175" t="s">
        <v>358</v>
      </c>
      <c r="C37" s="176">
        <v>3</v>
      </c>
      <c r="D37" s="176" t="s">
        <v>348</v>
      </c>
      <c r="E37" s="177" t="s">
        <v>359</v>
      </c>
      <c r="F37" s="179" t="s">
        <v>360</v>
      </c>
      <c r="G37" s="60" t="str">
        <f t="shared" si="16"/>
        <v>[effect:spread, val:0.3]</v>
      </c>
      <c r="H37" s="60">
        <f t="shared" si="17"/>
        <v>9</v>
      </c>
      <c r="I37" s="60">
        <f t="shared" si="18"/>
        <v>15</v>
      </c>
      <c r="J37" s="60" t="e">
        <f t="shared" si="19"/>
        <v>#VALUE!</v>
      </c>
      <c r="K37" s="60" t="e">
        <f t="shared" si="20"/>
        <v>#VALUE!</v>
      </c>
      <c r="L37" s="60" t="str">
        <f>IFERROR(VLOOKUP(MID(G37,J37,K37-J37),[5]skilldef!$C:$D,2,FALSE),"-") &amp; " / " &amp; IFERROR(VLOOKUP(MID(G37,H37,I37-H37),[5]skilldef!$A:$B,2,FALSE),"-")</f>
        <v>- / 全体攻撃</v>
      </c>
      <c r="M37" s="60" t="str">
        <f t="shared" si="21"/>
        <v>none</v>
      </c>
      <c r="N37" s="45" t="str">
        <f t="shared" si="22"/>
        <v>none</v>
      </c>
      <c r="O37" s="60" t="e">
        <f t="shared" si="23"/>
        <v>#VALUE!</v>
      </c>
      <c r="P37" s="60">
        <f t="shared" si="24"/>
        <v>4</v>
      </c>
      <c r="Q37" s="60" t="e">
        <f t="shared" si="25"/>
        <v>#VALUE!</v>
      </c>
      <c r="R37" s="60" t="e">
        <f t="shared" si="26"/>
        <v>#VALUE!</v>
      </c>
      <c r="S37" s="60" t="str">
        <f>IFERROR(VLOOKUP(MID(N37,Q37,R37-Q37),[5]skilldef!$C:$D,2,FALSE),"-") &amp; " / " &amp; IFERROR(VLOOKUP(MID(N37,O37,P37-O37),[5]skilldef!$A:$B,2,FALSE),"-")</f>
        <v>- / -</v>
      </c>
      <c r="T37" s="45" t="str">
        <f t="shared" si="27"/>
        <v>none</v>
      </c>
      <c r="U37" s="60" t="e">
        <f t="shared" si="28"/>
        <v>#VALUE!</v>
      </c>
      <c r="V37" s="60">
        <f t="shared" si="29"/>
        <v>4</v>
      </c>
      <c r="W37" s="60" t="e">
        <f t="shared" si="30"/>
        <v>#VALUE!</v>
      </c>
      <c r="X37" s="60" t="e">
        <f t="shared" si="31"/>
        <v>#VALUE!</v>
      </c>
      <c r="Y37" s="60" t="str">
        <f>IFERROR(VLOOKUP(MID(T37,W37,X37-W37),[5]skilldef!$C:$D,2,FALSE),"-") &amp; " / " &amp; IFERROR(VLOOKUP(MID(T37,U37,V37-U37),[5]skilldef!$A:$B,2,FALSE),"-")</f>
        <v>- / -</v>
      </c>
      <c r="Z37" s="47"/>
      <c r="AA37" s="49"/>
      <c r="AB37" s="47"/>
    </row>
    <row r="38" spans="1:28" ht="21" customHeight="1" x14ac:dyDescent="0.15">
      <c r="A38" s="175">
        <v>41015037</v>
      </c>
      <c r="B38" s="175" t="s">
        <v>361</v>
      </c>
      <c r="C38" s="176">
        <v>3</v>
      </c>
      <c r="D38" s="176" t="s">
        <v>126</v>
      </c>
      <c r="E38" s="177" t="s">
        <v>362</v>
      </c>
      <c r="F38" s="179" t="s">
        <v>363</v>
      </c>
      <c r="G38" s="60" t="str">
        <f t="shared" si="16"/>
        <v>[effect:damage_anti_tribe, target:unit_one, tribe:dragon, val1:1.75, val2:1]</v>
      </c>
      <c r="H38" s="60">
        <f t="shared" si="17"/>
        <v>9</v>
      </c>
      <c r="I38" s="60">
        <f t="shared" si="18"/>
        <v>26</v>
      </c>
      <c r="J38" s="60">
        <f t="shared" si="19"/>
        <v>35</v>
      </c>
      <c r="K38" s="60">
        <f t="shared" si="20"/>
        <v>43</v>
      </c>
      <c r="L38" s="60" t="str">
        <f>IFERROR(VLOOKUP(MID(G38,J38,K38-J38),[5]skilldef!$C:$D,2,FALSE),"-") &amp; " / " &amp; IFERROR(VLOOKUP(MID(G38,H38,I38-H38),[5]skilldef!$A:$B,2,FALSE),"-")</f>
        <v>味方単体に / 種族キラー</v>
      </c>
      <c r="M38" s="60" t="str">
        <f t="shared" si="21"/>
        <v>none</v>
      </c>
      <c r="N38" s="45" t="str">
        <f t="shared" si="22"/>
        <v>none</v>
      </c>
      <c r="O38" s="60" t="e">
        <f t="shared" si="23"/>
        <v>#VALUE!</v>
      </c>
      <c r="P38" s="60">
        <f t="shared" si="24"/>
        <v>4</v>
      </c>
      <c r="Q38" s="60" t="e">
        <f t="shared" si="25"/>
        <v>#VALUE!</v>
      </c>
      <c r="R38" s="60" t="e">
        <f t="shared" si="26"/>
        <v>#VALUE!</v>
      </c>
      <c r="S38" s="60" t="str">
        <f>IFERROR(VLOOKUP(MID(N38,Q38,R38-Q38),[5]skilldef!$C:$D,2,FALSE),"-") &amp; " / " &amp; IFERROR(VLOOKUP(MID(N38,O38,P38-O38),[5]skilldef!$A:$B,2,FALSE),"-")</f>
        <v>- / -</v>
      </c>
      <c r="T38" s="45" t="str">
        <f t="shared" si="27"/>
        <v>none</v>
      </c>
      <c r="U38" s="60" t="e">
        <f t="shared" si="28"/>
        <v>#VALUE!</v>
      </c>
      <c r="V38" s="60">
        <f t="shared" si="29"/>
        <v>4</v>
      </c>
      <c r="W38" s="60" t="e">
        <f t="shared" si="30"/>
        <v>#VALUE!</v>
      </c>
      <c r="X38" s="60" t="e">
        <f t="shared" si="31"/>
        <v>#VALUE!</v>
      </c>
      <c r="Y38" s="60" t="str">
        <f>IFERROR(VLOOKUP(MID(T38,W38,X38-W38),[5]skilldef!$C:$D,2,FALSE),"-") &amp; " / " &amp; IFERROR(VLOOKUP(MID(T38,U38,V38-U38),[5]skilldef!$A:$B,2,FALSE),"-")</f>
        <v>- / -</v>
      </c>
      <c r="Z38" s="47"/>
      <c r="AA38" s="49"/>
      <c r="AB38" s="47"/>
    </row>
    <row r="39" spans="1:28" ht="21" customHeight="1" x14ac:dyDescent="0.15">
      <c r="A39" s="175">
        <v>41015038</v>
      </c>
      <c r="B39" s="175" t="s">
        <v>364</v>
      </c>
      <c r="C39" s="176">
        <v>3</v>
      </c>
      <c r="D39" s="176" t="s">
        <v>348</v>
      </c>
      <c r="E39" s="177" t="s">
        <v>365</v>
      </c>
      <c r="F39" s="179" t="s">
        <v>366</v>
      </c>
      <c r="G39" s="60" t="str">
        <f t="shared" si="16"/>
        <v>[effect:enhance_enemy, target:myself, turn:5, status:attack, val:0.3, animation:enemy_enhance_attack]</v>
      </c>
      <c r="H39" s="60">
        <f t="shared" si="17"/>
        <v>9</v>
      </c>
      <c r="I39" s="60">
        <f t="shared" si="18"/>
        <v>22</v>
      </c>
      <c r="J39" s="60">
        <f t="shared" si="19"/>
        <v>31</v>
      </c>
      <c r="K39" s="60">
        <f t="shared" si="20"/>
        <v>37</v>
      </c>
      <c r="L39" s="60" t="str">
        <f>IFERROR(VLOOKUP(MID(G39,J39,K39-J39),[5]skilldef!$C:$D,2,FALSE),"-") &amp; " / " &amp; IFERROR(VLOOKUP(MID(G39,H39,I39-H39),[5]skilldef!$A:$B,2,FALSE),"-")</f>
        <v>自分自身に / ステータス強化</v>
      </c>
      <c r="M39" s="60" t="str">
        <f t="shared" si="21"/>
        <v>none</v>
      </c>
      <c r="N39" s="45" t="str">
        <f t="shared" si="22"/>
        <v>none</v>
      </c>
      <c r="O39" s="60" t="e">
        <f t="shared" si="23"/>
        <v>#VALUE!</v>
      </c>
      <c r="P39" s="60">
        <f t="shared" si="24"/>
        <v>4</v>
      </c>
      <c r="Q39" s="60" t="e">
        <f t="shared" si="25"/>
        <v>#VALUE!</v>
      </c>
      <c r="R39" s="60" t="e">
        <f t="shared" si="26"/>
        <v>#VALUE!</v>
      </c>
      <c r="S39" s="60" t="str">
        <f>IFERROR(VLOOKUP(MID(N39,Q39,R39-Q39),[5]skilldef!$C:$D,2,FALSE),"-") &amp; " / " &amp; IFERROR(VLOOKUP(MID(N39,O39,P39-O39),[5]skilldef!$A:$B,2,FALSE),"-")</f>
        <v>- / -</v>
      </c>
      <c r="T39" s="45" t="str">
        <f t="shared" si="27"/>
        <v>none</v>
      </c>
      <c r="U39" s="60" t="e">
        <f t="shared" si="28"/>
        <v>#VALUE!</v>
      </c>
      <c r="V39" s="60">
        <f t="shared" si="29"/>
        <v>4</v>
      </c>
      <c r="W39" s="60" t="e">
        <f t="shared" si="30"/>
        <v>#VALUE!</v>
      </c>
      <c r="X39" s="60" t="e">
        <f t="shared" si="31"/>
        <v>#VALUE!</v>
      </c>
      <c r="Y39" s="60" t="str">
        <f>IFERROR(VLOOKUP(MID(T39,W39,X39-W39),[5]skilldef!$C:$D,2,FALSE),"-") &amp; " / " &amp; IFERROR(VLOOKUP(MID(T39,U39,V39-U39),[5]skilldef!$A:$B,2,FALSE),"-")</f>
        <v>- / -</v>
      </c>
      <c r="Z39" s="47"/>
      <c r="AA39" s="49"/>
      <c r="AB39" s="47"/>
    </row>
    <row r="40" spans="1:28" ht="21" customHeight="1" x14ac:dyDescent="0.15">
      <c r="A40" s="175">
        <v>41015039</v>
      </c>
      <c r="B40" s="175" t="s">
        <v>367</v>
      </c>
      <c r="C40" s="176">
        <v>3</v>
      </c>
      <c r="D40" s="176" t="s">
        <v>126</v>
      </c>
      <c r="E40" s="177" t="s">
        <v>368</v>
      </c>
      <c r="F40" s="179" t="s">
        <v>369</v>
      </c>
      <c r="G40" s="60" t="str">
        <f t="shared" si="16"/>
        <v>[effect:crash_condition, target:unit_all, val:11, turn:10, animation:crash_panel_reduce04]</v>
      </c>
      <c r="H40" s="60">
        <f t="shared" si="17"/>
        <v>9</v>
      </c>
      <c r="I40" s="60">
        <f t="shared" si="18"/>
        <v>24</v>
      </c>
      <c r="J40" s="60">
        <f t="shared" si="19"/>
        <v>33</v>
      </c>
      <c r="K40" s="60">
        <f t="shared" si="20"/>
        <v>41</v>
      </c>
      <c r="L40" s="60" t="str">
        <f>IFERROR(VLOOKUP(MID(G40,J40,K40-J40),[5]skilldef!$C:$D,2,FALSE),"-") &amp; " / " &amp; IFERROR(VLOOKUP(MID(G40,H40,I40-H40),[5]skilldef!$A:$B,2,FALSE),"-")</f>
        <v>味方全体に / -</v>
      </c>
      <c r="M40" s="60" t="str">
        <f t="shared" si="21"/>
        <v>none</v>
      </c>
      <c r="N40" s="45" t="str">
        <f t="shared" si="22"/>
        <v>none</v>
      </c>
      <c r="O40" s="60" t="e">
        <f t="shared" si="23"/>
        <v>#VALUE!</v>
      </c>
      <c r="P40" s="60">
        <f t="shared" si="24"/>
        <v>4</v>
      </c>
      <c r="Q40" s="60" t="e">
        <f t="shared" si="25"/>
        <v>#VALUE!</v>
      </c>
      <c r="R40" s="60" t="e">
        <f t="shared" si="26"/>
        <v>#VALUE!</v>
      </c>
      <c r="S40" s="60" t="str">
        <f>IFERROR(VLOOKUP(MID(N40,Q40,R40-Q40),[5]skilldef!$C:$D,2,FALSE),"-") &amp; " / " &amp; IFERROR(VLOOKUP(MID(N40,O40,P40-O40),[5]skilldef!$A:$B,2,FALSE),"-")</f>
        <v>- / -</v>
      </c>
      <c r="T40" s="45" t="str">
        <f t="shared" si="27"/>
        <v>none</v>
      </c>
      <c r="U40" s="60" t="e">
        <f t="shared" si="28"/>
        <v>#VALUE!</v>
      </c>
      <c r="V40" s="60">
        <f t="shared" si="29"/>
        <v>4</v>
      </c>
      <c r="W40" s="60" t="e">
        <f t="shared" si="30"/>
        <v>#VALUE!</v>
      </c>
      <c r="X40" s="60" t="e">
        <f t="shared" si="31"/>
        <v>#VALUE!</v>
      </c>
      <c r="Y40" s="60" t="str">
        <f>IFERROR(VLOOKUP(MID(T40,W40,X40-W40),[5]skilldef!$C:$D,2,FALSE),"-") &amp; " / " &amp; IFERROR(VLOOKUP(MID(T40,U40,V40-U40),[5]skilldef!$A:$B,2,FALSE),"-")</f>
        <v>- / -</v>
      </c>
      <c r="Z40" s="47"/>
      <c r="AA40" s="49"/>
      <c r="AB40" s="47"/>
    </row>
    <row r="41" spans="1:28" ht="21" customHeight="1" x14ac:dyDescent="0.15">
      <c r="A41" s="180">
        <v>41015040</v>
      </c>
      <c r="B41" s="180" t="s">
        <v>370</v>
      </c>
      <c r="C41" s="181">
        <v>3</v>
      </c>
      <c r="D41" s="181" t="s">
        <v>126</v>
      </c>
      <c r="E41" s="182" t="s">
        <v>371</v>
      </c>
      <c r="F41" s="182" t="s">
        <v>372</v>
      </c>
      <c r="G41" s="60" t="str">
        <f t="shared" si="16"/>
        <v>[effect:tolerance, target:myself, turn:-1, tolerance_effect:hungup, count:-1, animation:enemy_tolerance]</v>
      </c>
      <c r="H41" s="60">
        <f t="shared" si="17"/>
        <v>9</v>
      </c>
      <c r="I41" s="60">
        <f t="shared" si="18"/>
        <v>18</v>
      </c>
      <c r="J41" s="60">
        <f t="shared" si="19"/>
        <v>27</v>
      </c>
      <c r="K41" s="60">
        <f t="shared" si="20"/>
        <v>33</v>
      </c>
      <c r="L41" s="60" t="str">
        <f>IFERROR(VLOOKUP(MID(G41,J41,K41-J41),[5]skilldef!$C:$D,2,FALSE),"-") &amp; " / " &amp; IFERROR(VLOOKUP(MID(G41,H41,I41-H41),[5]skilldef!$A:$B,2,FALSE),"-")</f>
        <v>自分自身に / 状態異常耐性</v>
      </c>
      <c r="M41" s="60" t="str">
        <f t="shared" si="21"/>
        <v>[effect:fix_speed, target:myself, turn:1]</v>
      </c>
      <c r="N41" s="45" t="str">
        <f t="shared" si="22"/>
        <v>[effect:fix_speed, target:myself, turn:1]</v>
      </c>
      <c r="O41" s="60">
        <f t="shared" si="23"/>
        <v>9</v>
      </c>
      <c r="P41" s="60">
        <f t="shared" si="24"/>
        <v>18</v>
      </c>
      <c r="Q41" s="60">
        <f t="shared" si="25"/>
        <v>27</v>
      </c>
      <c r="R41" s="60">
        <f t="shared" si="26"/>
        <v>33</v>
      </c>
      <c r="S41" s="60" t="str">
        <f>IFERROR(VLOOKUP(MID(N41,Q41,R41-Q41),[5]skilldef!$C:$D,2,FALSE),"-") &amp; " / " &amp; IFERROR(VLOOKUP(MID(N41,O41,P41-O41),[5]skilldef!$A:$B,2,FALSE),"-")</f>
        <v>自分自身に / 行動値設定</v>
      </c>
      <c r="T41" s="45" t="str">
        <f t="shared" si="27"/>
        <v>none</v>
      </c>
      <c r="U41" s="60" t="e">
        <f t="shared" si="28"/>
        <v>#VALUE!</v>
      </c>
      <c r="V41" s="60">
        <f t="shared" si="29"/>
        <v>4</v>
      </c>
      <c r="W41" s="60" t="e">
        <f t="shared" si="30"/>
        <v>#VALUE!</v>
      </c>
      <c r="X41" s="60" t="e">
        <f t="shared" si="31"/>
        <v>#VALUE!</v>
      </c>
      <c r="Y41" s="60" t="str">
        <f>IFERROR(VLOOKUP(MID(T41,W41,X41-W41),[5]skilldef!$C:$D,2,FALSE),"-") &amp; " / " &amp; IFERROR(VLOOKUP(MID(T41,U41,V41-U41),[5]skilldef!$A:$B,2,FALSE),"-")</f>
        <v>- / -</v>
      </c>
      <c r="Z41" s="47"/>
      <c r="AA41" s="49"/>
      <c r="AB41" s="47"/>
    </row>
    <row r="42" spans="1:28" ht="21" customHeight="1" x14ac:dyDescent="0.15">
      <c r="A42" s="180">
        <v>41015041</v>
      </c>
      <c r="B42" s="180" t="s">
        <v>370</v>
      </c>
      <c r="C42" s="181">
        <v>3</v>
      </c>
      <c r="D42" s="181" t="s">
        <v>126</v>
      </c>
      <c r="E42" s="183" t="s">
        <v>373</v>
      </c>
      <c r="F42" s="183" t="s">
        <v>374</v>
      </c>
      <c r="G42" s="60" t="str">
        <f t="shared" si="16"/>
        <v>[effect:tolerance, target:myself, turn:-1, tolerance_effect:hungup, count:-1, animation:enemy_tolerance]</v>
      </c>
      <c r="H42" s="60">
        <f t="shared" si="17"/>
        <v>9</v>
      </c>
      <c r="I42" s="60">
        <f t="shared" si="18"/>
        <v>18</v>
      </c>
      <c r="J42" s="60">
        <f t="shared" si="19"/>
        <v>27</v>
      </c>
      <c r="K42" s="60">
        <f t="shared" si="20"/>
        <v>33</v>
      </c>
      <c r="L42" s="60" t="str">
        <f>IFERROR(VLOOKUP(MID(G42,J42,K42-J42),[5]skilldef!$C:$D,2,FALSE),"-") &amp; " / " &amp; IFERROR(VLOOKUP(MID(G42,H42,I42-H42),[5]skilldef!$A:$B,2,FALSE),"-")</f>
        <v>自分自身に / 状態異常耐性</v>
      </c>
      <c r="M42" s="60" t="str">
        <f t="shared" si="21"/>
        <v>[effect:fix_speed, target:myself, turn:1]</v>
      </c>
      <c r="N42" s="45" t="str">
        <f t="shared" si="22"/>
        <v>[effect:fix_speed, target:myself, turn:1]</v>
      </c>
      <c r="O42" s="60">
        <f t="shared" si="23"/>
        <v>9</v>
      </c>
      <c r="P42" s="60">
        <f t="shared" si="24"/>
        <v>18</v>
      </c>
      <c r="Q42" s="60">
        <f t="shared" si="25"/>
        <v>27</v>
      </c>
      <c r="R42" s="60">
        <f t="shared" si="26"/>
        <v>33</v>
      </c>
      <c r="S42" s="60" t="str">
        <f>IFERROR(VLOOKUP(MID(N42,Q42,R42-Q42),[5]skilldef!$C:$D,2,FALSE),"-") &amp; " / " &amp; IFERROR(VLOOKUP(MID(N42,O42,P42-O42),[5]skilldef!$A:$B,2,FALSE),"-")</f>
        <v>自分自身に / 行動値設定</v>
      </c>
      <c r="T42" s="45" t="str">
        <f t="shared" si="27"/>
        <v>none</v>
      </c>
      <c r="U42" s="60" t="e">
        <f t="shared" si="28"/>
        <v>#VALUE!</v>
      </c>
      <c r="V42" s="60">
        <f t="shared" si="29"/>
        <v>4</v>
      </c>
      <c r="W42" s="60" t="e">
        <f t="shared" si="30"/>
        <v>#VALUE!</v>
      </c>
      <c r="X42" s="60" t="e">
        <f t="shared" si="31"/>
        <v>#VALUE!</v>
      </c>
      <c r="Y42" s="60" t="str">
        <f>IFERROR(VLOOKUP(MID(T42,W42,X42-W42),[5]skilldef!$C:$D,2,FALSE),"-") &amp; " / " &amp; IFERROR(VLOOKUP(MID(T42,U42,V42-U42),[5]skilldef!$A:$B,2,FALSE),"-")</f>
        <v>- / -</v>
      </c>
      <c r="Z42" s="47"/>
      <c r="AA42" s="49"/>
      <c r="AB42" s="47"/>
    </row>
    <row r="43" spans="1:28" ht="21" customHeight="1" x14ac:dyDescent="0.15">
      <c r="A43" s="180">
        <v>41015042</v>
      </c>
      <c r="B43" s="180" t="s">
        <v>375</v>
      </c>
      <c r="C43" s="181">
        <v>3</v>
      </c>
      <c r="D43" s="181" t="s">
        <v>348</v>
      </c>
      <c r="E43" s="183" t="s">
        <v>376</v>
      </c>
      <c r="F43" s="183" t="s">
        <v>377</v>
      </c>
      <c r="G43" s="60" t="str">
        <f t="shared" si="16"/>
        <v>[effect:tolerance, target:myself, turn:-1, tolerance_effect:hungup, count:-1, animation:enemy_tolerance]</v>
      </c>
      <c r="H43" s="60">
        <f t="shared" si="17"/>
        <v>9</v>
      </c>
      <c r="I43" s="60">
        <f t="shared" si="18"/>
        <v>18</v>
      </c>
      <c r="J43" s="60">
        <f t="shared" si="19"/>
        <v>27</v>
      </c>
      <c r="K43" s="60">
        <f t="shared" si="20"/>
        <v>33</v>
      </c>
      <c r="L43" s="60" t="str">
        <f>IFERROR(VLOOKUP(MID(G43,J43,K43-J43),[5]skilldef!$C:$D,2,FALSE),"-") &amp; " / " &amp; IFERROR(VLOOKUP(MID(G43,H43,I43-H43),[5]skilldef!$A:$B,2,FALSE),"-")</f>
        <v>自分自身に / 状態異常耐性</v>
      </c>
      <c r="M43" s="60" t="str">
        <f t="shared" si="21"/>
        <v>[effect:fix_speed, target:myself, turn:1]</v>
      </c>
      <c r="N43" s="45" t="str">
        <f t="shared" si="22"/>
        <v>[effect:fix_speed, target:myself, turn:1]</v>
      </c>
      <c r="O43" s="60">
        <f t="shared" si="23"/>
        <v>9</v>
      </c>
      <c r="P43" s="60">
        <f t="shared" si="24"/>
        <v>18</v>
      </c>
      <c r="Q43" s="60">
        <f t="shared" si="25"/>
        <v>27</v>
      </c>
      <c r="R43" s="60">
        <f t="shared" si="26"/>
        <v>33</v>
      </c>
      <c r="S43" s="60" t="str">
        <f>IFERROR(VLOOKUP(MID(N43,Q43,R43-Q43),[5]skilldef!$C:$D,2,FALSE),"-") &amp; " / " &amp; IFERROR(VLOOKUP(MID(N43,O43,P43-O43),[5]skilldef!$A:$B,2,FALSE),"-")</f>
        <v>自分自身に / 行動値設定</v>
      </c>
      <c r="T43" s="45" t="str">
        <f t="shared" si="27"/>
        <v>none</v>
      </c>
      <c r="U43" s="60" t="e">
        <f t="shared" si="28"/>
        <v>#VALUE!</v>
      </c>
      <c r="V43" s="60">
        <f t="shared" si="29"/>
        <v>4</v>
      </c>
      <c r="W43" s="60" t="e">
        <f t="shared" si="30"/>
        <v>#VALUE!</v>
      </c>
      <c r="X43" s="60" t="e">
        <f t="shared" si="31"/>
        <v>#VALUE!</v>
      </c>
      <c r="Y43" s="60" t="str">
        <f>IFERROR(VLOOKUP(MID(T43,W43,X43-W43),[5]skilldef!$C:$D,2,FALSE),"-") &amp; " / " &amp; IFERROR(VLOOKUP(MID(T43,U43,V43-U43),[5]skilldef!$A:$B,2,FALSE),"-")</f>
        <v>- / -</v>
      </c>
      <c r="Z43" s="47"/>
      <c r="AA43" s="49"/>
      <c r="AB43" s="47"/>
    </row>
    <row r="44" spans="1:28" ht="21" customHeight="1" x14ac:dyDescent="0.15">
      <c r="A44" s="180">
        <v>41015043</v>
      </c>
      <c r="B44" s="180" t="s">
        <v>370</v>
      </c>
      <c r="C44" s="181">
        <v>3</v>
      </c>
      <c r="D44" s="181" t="s">
        <v>126</v>
      </c>
      <c r="E44" s="183" t="s">
        <v>378</v>
      </c>
      <c r="F44" s="183" t="s">
        <v>379</v>
      </c>
      <c r="G44" s="60" t="str">
        <f t="shared" si="16"/>
        <v>[effect:tolerance, target:myself, turn:-1, tolerance_effect:hungup, count:-1, animation:enemy_tolerance]</v>
      </c>
      <c r="H44" s="60">
        <f t="shared" si="17"/>
        <v>9</v>
      </c>
      <c r="I44" s="60">
        <f t="shared" si="18"/>
        <v>18</v>
      </c>
      <c r="J44" s="60">
        <f t="shared" si="19"/>
        <v>27</v>
      </c>
      <c r="K44" s="60">
        <f t="shared" si="20"/>
        <v>33</v>
      </c>
      <c r="L44" s="60" t="str">
        <f>IFERROR(VLOOKUP(MID(G44,J44,K44-J44),[5]skilldef!$C:$D,2,FALSE),"-") &amp; " / " &amp; IFERROR(VLOOKUP(MID(G44,H44,I44-H44),[5]skilldef!$A:$B,2,FALSE),"-")</f>
        <v>自分自身に / 状態異常耐性</v>
      </c>
      <c r="M44" s="60" t="str">
        <f t="shared" si="21"/>
        <v>[effect:fix_speed, target:myself, turn:1]</v>
      </c>
      <c r="N44" s="45" t="str">
        <f t="shared" si="22"/>
        <v>[effect:fix_speed, target:myself, turn:1]</v>
      </c>
      <c r="O44" s="60">
        <f t="shared" si="23"/>
        <v>9</v>
      </c>
      <c r="P44" s="60">
        <f t="shared" si="24"/>
        <v>18</v>
      </c>
      <c r="Q44" s="60">
        <f t="shared" si="25"/>
        <v>27</v>
      </c>
      <c r="R44" s="60">
        <f t="shared" si="26"/>
        <v>33</v>
      </c>
      <c r="S44" s="60" t="str">
        <f>IFERROR(VLOOKUP(MID(N44,Q44,R44-Q44),[5]skilldef!$C:$D,2,FALSE),"-") &amp; " / " &amp; IFERROR(VLOOKUP(MID(N44,O44,P44-O44),[5]skilldef!$A:$B,2,FALSE),"-")</f>
        <v>自分自身に / 行動値設定</v>
      </c>
      <c r="T44" s="45" t="str">
        <f t="shared" si="27"/>
        <v>none</v>
      </c>
      <c r="U44" s="60" t="e">
        <f t="shared" si="28"/>
        <v>#VALUE!</v>
      </c>
      <c r="V44" s="60">
        <f t="shared" si="29"/>
        <v>4</v>
      </c>
      <c r="W44" s="60" t="e">
        <f t="shared" si="30"/>
        <v>#VALUE!</v>
      </c>
      <c r="X44" s="60" t="e">
        <f t="shared" si="31"/>
        <v>#VALUE!</v>
      </c>
      <c r="Y44" s="60" t="str">
        <f>IFERROR(VLOOKUP(MID(T44,W44,X44-W44),[5]skilldef!$C:$D,2,FALSE),"-") &amp; " / " &amp; IFERROR(VLOOKUP(MID(T44,U44,V44-U44),[5]skilldef!$A:$B,2,FALSE),"-")</f>
        <v>- / -</v>
      </c>
      <c r="Z44" s="47"/>
      <c r="AA44" s="49"/>
      <c r="AB44" s="47"/>
    </row>
    <row r="45" spans="1:28" ht="21" customHeight="1" x14ac:dyDescent="0.15">
      <c r="A45" s="180">
        <v>41015044</v>
      </c>
      <c r="B45" s="180" t="s">
        <v>375</v>
      </c>
      <c r="C45" s="181">
        <v>3</v>
      </c>
      <c r="D45" s="181" t="s">
        <v>348</v>
      </c>
      <c r="E45" s="183" t="s">
        <v>380</v>
      </c>
      <c r="F45" s="183" t="s">
        <v>381</v>
      </c>
      <c r="G45" s="60" t="str">
        <f t="shared" si="16"/>
        <v>[effect:tolerance, target:myself, turn:-1, tolerance_effect:hungup, count:-1, animation:enemy_tolerance]</v>
      </c>
      <c r="H45" s="60">
        <f t="shared" si="17"/>
        <v>9</v>
      </c>
      <c r="I45" s="60">
        <f t="shared" si="18"/>
        <v>18</v>
      </c>
      <c r="J45" s="60">
        <f t="shared" si="19"/>
        <v>27</v>
      </c>
      <c r="K45" s="60">
        <f t="shared" si="20"/>
        <v>33</v>
      </c>
      <c r="L45" s="60" t="str">
        <f>IFERROR(VLOOKUP(MID(G45,J45,K45-J45),[5]skilldef!$C:$D,2,FALSE),"-") &amp; " / " &amp; IFERROR(VLOOKUP(MID(G45,H45,I45-H45),[5]skilldef!$A:$B,2,FALSE),"-")</f>
        <v>自分自身に / 状態異常耐性</v>
      </c>
      <c r="M45" s="60" t="str">
        <f t="shared" si="21"/>
        <v>[effect:fix_speed, target:myself, turn:1]</v>
      </c>
      <c r="N45" s="45" t="str">
        <f t="shared" si="22"/>
        <v>[effect:fix_speed, target:myself, turn:1]</v>
      </c>
      <c r="O45" s="60">
        <f t="shared" si="23"/>
        <v>9</v>
      </c>
      <c r="P45" s="60">
        <f t="shared" si="24"/>
        <v>18</v>
      </c>
      <c r="Q45" s="60">
        <f t="shared" si="25"/>
        <v>27</v>
      </c>
      <c r="R45" s="60">
        <f t="shared" si="26"/>
        <v>33</v>
      </c>
      <c r="S45" s="60" t="str">
        <f>IFERROR(VLOOKUP(MID(N45,Q45,R45-Q45),[5]skilldef!$C:$D,2,FALSE),"-") &amp; " / " &amp; IFERROR(VLOOKUP(MID(N45,O45,P45-O45),[5]skilldef!$A:$B,2,FALSE),"-")</f>
        <v>自分自身に / 行動値設定</v>
      </c>
      <c r="T45" s="45" t="str">
        <f t="shared" si="27"/>
        <v>none</v>
      </c>
      <c r="U45" s="60" t="e">
        <f t="shared" si="28"/>
        <v>#VALUE!</v>
      </c>
      <c r="V45" s="60">
        <f t="shared" si="29"/>
        <v>4</v>
      </c>
      <c r="W45" s="60" t="e">
        <f t="shared" si="30"/>
        <v>#VALUE!</v>
      </c>
      <c r="X45" s="60" t="e">
        <f t="shared" si="31"/>
        <v>#VALUE!</v>
      </c>
      <c r="Y45" s="60" t="str">
        <f>IFERROR(VLOOKUP(MID(T45,W45,X45-W45),[5]skilldef!$C:$D,2,FALSE),"-") &amp; " / " &amp; IFERROR(VLOOKUP(MID(T45,U45,V45-U45),[5]skilldef!$A:$B,2,FALSE),"-")</f>
        <v>- / -</v>
      </c>
      <c r="Z45" s="47"/>
      <c r="AA45" s="49"/>
      <c r="AB45" s="47"/>
    </row>
    <row r="46" spans="1:28" ht="21" customHeight="1" x14ac:dyDescent="0.15">
      <c r="A46" s="180">
        <v>41015045</v>
      </c>
      <c r="B46" s="180" t="s">
        <v>375</v>
      </c>
      <c r="C46" s="181">
        <v>3</v>
      </c>
      <c r="D46" s="181" t="s">
        <v>348</v>
      </c>
      <c r="E46" s="183" t="s">
        <v>382</v>
      </c>
      <c r="F46" s="183" t="s">
        <v>383</v>
      </c>
      <c r="G46" s="60" t="str">
        <f t="shared" si="16"/>
        <v>[effect:tolerance, target:myself, turn:-1, tolerance_effect:hungup, count:-1, animation:enemy_tolerance]</v>
      </c>
      <c r="H46" s="60">
        <f t="shared" si="17"/>
        <v>9</v>
      </c>
      <c r="I46" s="60">
        <f t="shared" si="18"/>
        <v>18</v>
      </c>
      <c r="J46" s="60">
        <f t="shared" si="19"/>
        <v>27</v>
      </c>
      <c r="K46" s="60">
        <f t="shared" si="20"/>
        <v>33</v>
      </c>
      <c r="L46" s="60" t="str">
        <f>IFERROR(VLOOKUP(MID(G46,J46,K46-J46),[5]skilldef!$C:$D,2,FALSE),"-") &amp; " / " &amp; IFERROR(VLOOKUP(MID(G46,H46,I46-H46),[5]skilldef!$A:$B,2,FALSE),"-")</f>
        <v>自分自身に / 状態異常耐性</v>
      </c>
      <c r="M46" s="60" t="str">
        <f t="shared" si="21"/>
        <v>[effect:fix_speed, target:myself, turn:1]</v>
      </c>
      <c r="N46" s="45" t="str">
        <f>IFERROR(LEFT(M46,FIND("],",M46)+#REF!),M46)</f>
        <v>[effect:fix_speed, target:myself, turn:1]</v>
      </c>
      <c r="O46" s="60">
        <f t="shared" si="23"/>
        <v>9</v>
      </c>
      <c r="P46" s="60">
        <f t="shared" si="24"/>
        <v>18</v>
      </c>
      <c r="Q46" s="60">
        <f t="shared" si="25"/>
        <v>27</v>
      </c>
      <c r="R46" s="60">
        <f t="shared" si="26"/>
        <v>33</v>
      </c>
      <c r="S46" s="60" t="str">
        <f>IFERROR(VLOOKUP(MID(N46,Q46,R46-Q46),[5]skilldef!$C:$D,2,FALSE),"-") &amp; " / " &amp; IFERROR(VLOOKUP(MID(N46,O46,P46-O46),[5]skilldef!$A:$B,2,FALSE),"-")</f>
        <v>自分自身に / 行動値設定</v>
      </c>
      <c r="T46" s="45" t="str">
        <f t="shared" si="27"/>
        <v>none</v>
      </c>
      <c r="U46" s="60" t="e">
        <f t="shared" si="28"/>
        <v>#VALUE!</v>
      </c>
      <c r="V46" s="60">
        <f t="shared" si="29"/>
        <v>4</v>
      </c>
      <c r="W46" s="60" t="e">
        <f t="shared" si="30"/>
        <v>#VALUE!</v>
      </c>
      <c r="X46" s="60" t="e">
        <f t="shared" si="31"/>
        <v>#VALUE!</v>
      </c>
      <c r="Y46" s="60" t="str">
        <f>IFERROR(VLOOKUP(MID(T46,W46,X46-W46),[5]skilldef!$C:$D,2,FALSE),"-") &amp; " / " &amp; IFERROR(VLOOKUP(MID(T46,U46,V46-U46),[5]skilldef!$A:$B,2,FALSE),"-")</f>
        <v>- / -</v>
      </c>
      <c r="Z46" s="47"/>
      <c r="AA46" s="49"/>
      <c r="AB46" s="47"/>
    </row>
    <row r="47" spans="1:28" ht="21" customHeight="1" x14ac:dyDescent="0.15">
      <c r="A47" s="180">
        <v>41015046</v>
      </c>
      <c r="B47" s="180" t="s">
        <v>370</v>
      </c>
      <c r="C47" s="181">
        <v>3</v>
      </c>
      <c r="D47" s="181" t="s">
        <v>126</v>
      </c>
      <c r="E47" s="183" t="s">
        <v>384</v>
      </c>
      <c r="F47" s="183" t="s">
        <v>385</v>
      </c>
      <c r="G47" s="60" t="str">
        <f t="shared" si="16"/>
        <v>[effect:tolerance, target:myself, turn:-1, tolerance_effect:hungup, count:-1, animation:enemy_tolerance]</v>
      </c>
      <c r="H47" s="60">
        <f t="shared" si="17"/>
        <v>9</v>
      </c>
      <c r="I47" s="60">
        <f t="shared" si="18"/>
        <v>18</v>
      </c>
      <c r="J47" s="60">
        <f t="shared" si="19"/>
        <v>27</v>
      </c>
      <c r="K47" s="60">
        <f t="shared" si="20"/>
        <v>33</v>
      </c>
      <c r="L47" s="60" t="str">
        <f>IFERROR(VLOOKUP(MID(G47,J47,K47-J47),[5]skilldef!$C:$D,2,FALSE),"-") &amp; " / " &amp; IFERROR(VLOOKUP(MID(G47,H47,I47-H47),[5]skilldef!$A:$B,2,FALSE),"-")</f>
        <v>自分自身に / 状態異常耐性</v>
      </c>
      <c r="M47" s="60" t="str">
        <f t="shared" si="21"/>
        <v>[effect:fix_speed, target:myself, turn:1]</v>
      </c>
      <c r="N47" s="45" t="str">
        <f>IFERROR(LEFT(M47,FIND("],",M47)+S56),M47)</f>
        <v>[effect:fix_speed, target:myself, turn:1]</v>
      </c>
      <c r="O47" s="60">
        <f t="shared" si="23"/>
        <v>9</v>
      </c>
      <c r="P47" s="60">
        <f t="shared" si="24"/>
        <v>18</v>
      </c>
      <c r="Q47" s="60">
        <f t="shared" si="25"/>
        <v>27</v>
      </c>
      <c r="R47" s="60">
        <f t="shared" si="26"/>
        <v>33</v>
      </c>
      <c r="S47" s="60" t="str">
        <f>IFERROR(VLOOKUP(MID(N47,Q47,R47-Q47),[5]skilldef!$C:$D,2,FALSE),"-") &amp; " / " &amp; IFERROR(VLOOKUP(MID(N47,O47,P47-O47),[5]skilldef!$A:$B,2,FALSE),"-")</f>
        <v>自分自身に / 行動値設定</v>
      </c>
      <c r="T47" s="45" t="str">
        <f t="shared" si="27"/>
        <v>none</v>
      </c>
      <c r="U47" s="60" t="e">
        <f t="shared" si="28"/>
        <v>#VALUE!</v>
      </c>
      <c r="V47" s="60">
        <f t="shared" si="29"/>
        <v>4</v>
      </c>
      <c r="W47" s="60" t="e">
        <f t="shared" si="30"/>
        <v>#VALUE!</v>
      </c>
      <c r="X47" s="60" t="e">
        <f t="shared" si="31"/>
        <v>#VALUE!</v>
      </c>
      <c r="Y47" s="60" t="str">
        <f>IFERROR(VLOOKUP(MID(T47,W47,X47-W47),[5]skilldef!$C:$D,2,FALSE),"-") &amp; " / " &amp; IFERROR(VLOOKUP(MID(T47,U47,V47-U47),[5]skilldef!$A:$B,2,FALSE),"-")</f>
        <v>- / -</v>
      </c>
      <c r="Z47" s="47"/>
      <c r="AA47" s="49"/>
      <c r="AB47" s="47"/>
    </row>
    <row r="48" spans="1:28" ht="21" customHeight="1" x14ac:dyDescent="0.15">
      <c r="A48" s="180">
        <v>41015047</v>
      </c>
      <c r="B48" s="180" t="s">
        <v>370</v>
      </c>
      <c r="C48" s="181">
        <v>3</v>
      </c>
      <c r="D48" s="181" t="s">
        <v>126</v>
      </c>
      <c r="E48" s="183" t="s">
        <v>386</v>
      </c>
      <c r="F48" s="183" t="s">
        <v>387</v>
      </c>
      <c r="G48" s="60" t="str">
        <f t="shared" si="16"/>
        <v>[effect:tolerance, target:myself, turn:-1, tolerance_effect:hungup, count:-1, animation:enemy_tolerance]</v>
      </c>
      <c r="H48" s="60">
        <f t="shared" si="17"/>
        <v>9</v>
      </c>
      <c r="I48" s="60">
        <f t="shared" si="18"/>
        <v>18</v>
      </c>
      <c r="J48" s="60">
        <f t="shared" si="19"/>
        <v>27</v>
      </c>
      <c r="K48" s="60">
        <f t="shared" si="20"/>
        <v>33</v>
      </c>
      <c r="L48" s="60" t="str">
        <f>IFERROR(VLOOKUP(MID(G48,J48,K48-J48),[5]skilldef!$C:$D,2,FALSE),"-") &amp; " / " &amp; IFERROR(VLOOKUP(MID(G48,H48,I48-H48),[5]skilldef!$A:$B,2,FALSE),"-")</f>
        <v>自分自身に / 状態異常耐性</v>
      </c>
      <c r="M48" s="60" t="str">
        <f t="shared" si="21"/>
        <v>[effect:fix_speed, target:myself, turn:1]</v>
      </c>
      <c r="N48" s="45" t="str">
        <f>IFERROR(LEFT(M48,FIND("],",M48)+S57),M48)</f>
        <v>[effect:fix_speed, target:myself, turn:1]</v>
      </c>
      <c r="O48" s="60">
        <f t="shared" si="23"/>
        <v>9</v>
      </c>
      <c r="P48" s="60">
        <f t="shared" si="24"/>
        <v>18</v>
      </c>
      <c r="Q48" s="60">
        <f t="shared" si="25"/>
        <v>27</v>
      </c>
      <c r="R48" s="60">
        <f t="shared" si="26"/>
        <v>33</v>
      </c>
      <c r="S48" s="60" t="str">
        <f>IFERROR(VLOOKUP(MID(N48,Q48,R48-Q48),[5]skilldef!$C:$D,2,FALSE),"-") &amp; " / " &amp; IFERROR(VLOOKUP(MID(N48,O48,P48-O48),[5]skilldef!$A:$B,2,FALSE),"-")</f>
        <v>自分自身に / 行動値設定</v>
      </c>
      <c r="T48" s="45" t="str">
        <f t="shared" si="27"/>
        <v>none</v>
      </c>
      <c r="U48" s="60" t="e">
        <f t="shared" si="28"/>
        <v>#VALUE!</v>
      </c>
      <c r="V48" s="60">
        <f t="shared" si="29"/>
        <v>4</v>
      </c>
      <c r="W48" s="60" t="e">
        <f t="shared" si="30"/>
        <v>#VALUE!</v>
      </c>
      <c r="X48" s="60" t="e">
        <f t="shared" si="31"/>
        <v>#VALUE!</v>
      </c>
      <c r="Y48" s="60" t="str">
        <f>IFERROR(VLOOKUP(MID(T48,W48,X48-W48),[5]skilldef!$C:$D,2,FALSE),"-") &amp; " / " &amp; IFERROR(VLOOKUP(MID(T48,U48,V48-U48),[5]skilldef!$A:$B,2,FALSE),"-")</f>
        <v>- / -</v>
      </c>
      <c r="Z48" s="47"/>
      <c r="AA48" s="49"/>
      <c r="AB48" s="47"/>
    </row>
    <row r="49" spans="1:28" ht="21" customHeight="1" x14ac:dyDescent="0.15">
      <c r="A49" s="180">
        <v>41015048</v>
      </c>
      <c r="B49" s="180" t="s">
        <v>388</v>
      </c>
      <c r="C49" s="181">
        <v>3</v>
      </c>
      <c r="D49" s="181" t="s">
        <v>126</v>
      </c>
      <c r="E49" s="182" t="s">
        <v>389</v>
      </c>
      <c r="F49" s="182" t="s">
        <v>390</v>
      </c>
      <c r="G49" s="60" t="str">
        <f t="shared" si="16"/>
        <v>[effect:rush, count:4, val:0.2]</v>
      </c>
      <c r="H49" s="60">
        <f t="shared" si="17"/>
        <v>9</v>
      </c>
      <c r="I49" s="60">
        <f t="shared" si="18"/>
        <v>13</v>
      </c>
      <c r="J49" s="60" t="e">
        <f t="shared" si="19"/>
        <v>#VALUE!</v>
      </c>
      <c r="K49" s="60">
        <f t="shared" si="20"/>
        <v>22</v>
      </c>
      <c r="L49" s="60" t="str">
        <f>IFERROR(VLOOKUP(MID(G49,J49,K49-J49),[5]skilldef!$C:$D,2,FALSE),"-") &amp; " / " &amp; IFERROR(VLOOKUP(MID(G49,H49,I49-H49),[5]skilldef!$A:$B,2,FALSE),"-")</f>
        <v>- / 連続攻撃</v>
      </c>
      <c r="M49" s="60" t="str">
        <f t="shared" si="21"/>
        <v>none</v>
      </c>
      <c r="N49" s="45" t="str">
        <f>IFERROR(LEFT(M49,FIND("],",M49)+S58),M49)</f>
        <v>none</v>
      </c>
      <c r="O49" s="60" t="e">
        <f t="shared" si="23"/>
        <v>#VALUE!</v>
      </c>
      <c r="P49" s="60">
        <f t="shared" si="24"/>
        <v>4</v>
      </c>
      <c r="Q49" s="60" t="e">
        <f t="shared" si="25"/>
        <v>#VALUE!</v>
      </c>
      <c r="R49" s="60" t="e">
        <f t="shared" si="26"/>
        <v>#VALUE!</v>
      </c>
      <c r="S49" s="60" t="str">
        <f>IFERROR(VLOOKUP(MID(N49,Q49,R49-Q49),[5]skilldef!$C:$D,2,FALSE),"-") &amp; " / " &amp; IFERROR(VLOOKUP(MID(N49,O49,P49-O49),[5]skilldef!$A:$B,2,FALSE),"-")</f>
        <v>- / -</v>
      </c>
      <c r="T49" s="45" t="str">
        <f t="shared" si="27"/>
        <v>none</v>
      </c>
      <c r="U49" s="60" t="e">
        <f t="shared" si="28"/>
        <v>#VALUE!</v>
      </c>
      <c r="V49" s="60">
        <f t="shared" si="29"/>
        <v>4</v>
      </c>
      <c r="W49" s="60" t="e">
        <f t="shared" si="30"/>
        <v>#VALUE!</v>
      </c>
      <c r="X49" s="60" t="e">
        <f t="shared" si="31"/>
        <v>#VALUE!</v>
      </c>
      <c r="Y49" s="60" t="str">
        <f>IFERROR(VLOOKUP(MID(T49,W49,X49-W49),[5]skilldef!$C:$D,2,FALSE),"-") &amp; " / " &amp; IFERROR(VLOOKUP(MID(T49,U49,V49-U49),[5]skilldef!$A:$B,2,FALSE),"-")</f>
        <v>- / -</v>
      </c>
      <c r="Z49" s="47"/>
      <c r="AA49" s="49"/>
      <c r="AB49" s="47"/>
    </row>
    <row r="50" spans="1:28" ht="21" customHeight="1" x14ac:dyDescent="0.15">
      <c r="A50" s="180">
        <v>41015049</v>
      </c>
      <c r="B50" s="180" t="s">
        <v>388</v>
      </c>
      <c r="C50" s="181">
        <v>3</v>
      </c>
      <c r="D50" s="181" t="s">
        <v>126</v>
      </c>
      <c r="E50" s="182" t="s">
        <v>389</v>
      </c>
      <c r="F50" s="182" t="s">
        <v>390</v>
      </c>
      <c r="G50" s="60" t="str">
        <f t="shared" si="16"/>
        <v>[effect:rush, count:4, val:0.2]</v>
      </c>
      <c r="H50" s="60">
        <f t="shared" si="17"/>
        <v>9</v>
      </c>
      <c r="I50" s="60">
        <f t="shared" si="18"/>
        <v>13</v>
      </c>
      <c r="J50" s="60" t="e">
        <f t="shared" si="19"/>
        <v>#VALUE!</v>
      </c>
      <c r="K50" s="60">
        <f t="shared" si="20"/>
        <v>22</v>
      </c>
      <c r="L50" s="60" t="str">
        <f>IFERROR(VLOOKUP(MID(G50,J50,K50-J50),[5]skilldef!$C:$D,2,FALSE),"-") &amp; " / " &amp; IFERROR(VLOOKUP(MID(G50,H50,I50-H50),[5]skilldef!$A:$B,2,FALSE),"-")</f>
        <v>- / 連続攻撃</v>
      </c>
      <c r="M50" s="60" t="str">
        <f t="shared" si="21"/>
        <v>none</v>
      </c>
      <c r="N50" s="45" t="str">
        <f>IFERROR(LEFT(M50,FIND("],",M50)+S59),M50)</f>
        <v>none</v>
      </c>
      <c r="O50" s="60" t="e">
        <f t="shared" si="23"/>
        <v>#VALUE!</v>
      </c>
      <c r="P50" s="60">
        <f t="shared" si="24"/>
        <v>4</v>
      </c>
      <c r="Q50" s="60" t="e">
        <f t="shared" si="25"/>
        <v>#VALUE!</v>
      </c>
      <c r="R50" s="60" t="e">
        <f t="shared" si="26"/>
        <v>#VALUE!</v>
      </c>
      <c r="S50" s="60" t="str">
        <f>IFERROR(VLOOKUP(MID(N50,Q50,R50-Q50),[5]skilldef!$C:$D,2,FALSE),"-") &amp; " / " &amp; IFERROR(VLOOKUP(MID(N50,O50,P50-O50),[5]skilldef!$A:$B,2,FALSE),"-")</f>
        <v>- / -</v>
      </c>
      <c r="T50" s="45" t="str">
        <f t="shared" si="27"/>
        <v>none</v>
      </c>
      <c r="U50" s="60" t="e">
        <f t="shared" si="28"/>
        <v>#VALUE!</v>
      </c>
      <c r="V50" s="60">
        <f t="shared" si="29"/>
        <v>4</v>
      </c>
      <c r="W50" s="60" t="e">
        <f t="shared" si="30"/>
        <v>#VALUE!</v>
      </c>
      <c r="X50" s="60" t="e">
        <f t="shared" si="31"/>
        <v>#VALUE!</v>
      </c>
      <c r="Y50" s="60" t="str">
        <f>IFERROR(VLOOKUP(MID(T50,W50,X50-W50),[5]skilldef!$C:$D,2,FALSE),"-") &amp; " / " &amp; IFERROR(VLOOKUP(MID(T50,U50,V50-U50),[5]skilldef!$A:$B,2,FALSE),"-")</f>
        <v>- / -</v>
      </c>
      <c r="Z50" s="47"/>
      <c r="AA50" s="49"/>
      <c r="AB50" s="47"/>
    </row>
    <row r="51" spans="1:28" ht="21" customHeight="1" x14ac:dyDescent="0.15">
      <c r="A51" s="180">
        <v>41015050</v>
      </c>
      <c r="B51" s="180" t="s">
        <v>388</v>
      </c>
      <c r="C51" s="181">
        <v>3</v>
      </c>
      <c r="D51" s="181" t="s">
        <v>126</v>
      </c>
      <c r="E51" s="182" t="s">
        <v>389</v>
      </c>
      <c r="F51" s="184" t="s">
        <v>391</v>
      </c>
      <c r="G51" s="60" t="str">
        <f t="shared" si="16"/>
        <v>[effect:rush, count:4, val:0.2]</v>
      </c>
      <c r="H51" s="60">
        <f t="shared" si="17"/>
        <v>9</v>
      </c>
      <c r="I51" s="60">
        <f t="shared" si="18"/>
        <v>13</v>
      </c>
      <c r="J51" s="60" t="e">
        <f t="shared" si="19"/>
        <v>#VALUE!</v>
      </c>
      <c r="K51" s="60">
        <f t="shared" si="20"/>
        <v>22</v>
      </c>
      <c r="L51" s="60" t="str">
        <f>IFERROR(VLOOKUP(MID(G51,J51,K51-J51),[5]skilldef!$C:$D,2,FALSE),"-") &amp; " / " &amp; IFERROR(VLOOKUP(MID(G51,H51,I51-H51),[5]skilldef!$A:$B,2,FALSE),"-")</f>
        <v>- / 連続攻撃</v>
      </c>
      <c r="M51" s="60" t="str">
        <f t="shared" si="21"/>
        <v>none</v>
      </c>
      <c r="N51" s="45" t="str">
        <f>IFERROR(LEFT(M51,FIND("],",M51)+S60),M51)</f>
        <v>none</v>
      </c>
      <c r="O51" s="60" t="e">
        <f t="shared" si="23"/>
        <v>#VALUE!</v>
      </c>
      <c r="P51" s="60">
        <f t="shared" si="24"/>
        <v>4</v>
      </c>
      <c r="Q51" s="60" t="e">
        <f t="shared" si="25"/>
        <v>#VALUE!</v>
      </c>
      <c r="R51" s="60" t="e">
        <f t="shared" si="26"/>
        <v>#VALUE!</v>
      </c>
      <c r="S51" s="60" t="str">
        <f>IFERROR(VLOOKUP(MID(N51,Q51,R51-Q51),[5]skilldef!$C:$D,2,FALSE),"-") &amp; " / " &amp; IFERROR(VLOOKUP(MID(N51,O51,P51-O51),[5]skilldef!$A:$B,2,FALSE),"-")</f>
        <v>- / -</v>
      </c>
      <c r="T51" s="45" t="str">
        <f t="shared" si="27"/>
        <v>none</v>
      </c>
      <c r="U51" s="60" t="e">
        <f t="shared" si="28"/>
        <v>#VALUE!</v>
      </c>
      <c r="V51" s="60">
        <f t="shared" si="29"/>
        <v>4</v>
      </c>
      <c r="W51" s="60" t="e">
        <f t="shared" si="30"/>
        <v>#VALUE!</v>
      </c>
      <c r="X51" s="60" t="e">
        <f t="shared" si="31"/>
        <v>#VALUE!</v>
      </c>
      <c r="Y51" s="60" t="str">
        <f>IFERROR(VLOOKUP(MID(T51,W51,X51-W51),[5]skilldef!$C:$D,2,FALSE),"-") &amp; " / " &amp; IFERROR(VLOOKUP(MID(T51,U51,V51-U51),[5]skilldef!$A:$B,2,FALSE),"-")</f>
        <v>- / -</v>
      </c>
      <c r="Z51" s="47"/>
      <c r="AA51" s="49"/>
      <c r="AB51" s="47"/>
    </row>
    <row r="52" spans="1:28" ht="21" customHeight="1" x14ac:dyDescent="0.15">
      <c r="A52" s="180">
        <v>41015051</v>
      </c>
      <c r="B52" s="180" t="s">
        <v>392</v>
      </c>
      <c r="C52" s="181">
        <v>3</v>
      </c>
      <c r="D52" s="181" t="s">
        <v>126</v>
      </c>
      <c r="E52" s="182" t="s">
        <v>393</v>
      </c>
      <c r="F52" s="182" t="s">
        <v>394</v>
      </c>
      <c r="G52" s="60" t="str">
        <f t="shared" si="16"/>
        <v>[effect:degrade_unit, target:unit_all, turn:3, status:attack, val:0.5]</v>
      </c>
      <c r="H52" s="60">
        <f t="shared" si="17"/>
        <v>9</v>
      </c>
      <c r="I52" s="60">
        <f t="shared" si="18"/>
        <v>21</v>
      </c>
      <c r="J52" s="60">
        <f t="shared" si="19"/>
        <v>30</v>
      </c>
      <c r="K52" s="60">
        <f t="shared" si="20"/>
        <v>38</v>
      </c>
      <c r="L52" s="60" t="str">
        <f>IFERROR(VLOOKUP(MID(G52,J52,K52-J52),[5]skilldef!$C:$D,2,FALSE),"-") &amp; " / " &amp; IFERROR(VLOOKUP(MID(G52,H52,I52-H52),[5]skilldef!$A:$B,2,FALSE),"-")</f>
        <v>味方全体に / ステータスDOWN</v>
      </c>
      <c r="M52" s="60" t="str">
        <f t="shared" si="21"/>
        <v>none</v>
      </c>
      <c r="N52" s="45" t="str">
        <f>IFERROR(LEFT(M52,FIND("],",M52)+#REF!),M52)</f>
        <v>none</v>
      </c>
      <c r="O52" s="60" t="e">
        <f t="shared" si="23"/>
        <v>#VALUE!</v>
      </c>
      <c r="P52" s="60">
        <f t="shared" si="24"/>
        <v>4</v>
      </c>
      <c r="Q52" s="60" t="e">
        <f t="shared" si="25"/>
        <v>#VALUE!</v>
      </c>
      <c r="R52" s="60" t="e">
        <f t="shared" si="26"/>
        <v>#VALUE!</v>
      </c>
      <c r="S52" s="60" t="str">
        <f>IFERROR(VLOOKUP(MID(N52,Q52,R52-Q52),[5]skilldef!$C:$D,2,FALSE),"-") &amp; " / " &amp; IFERROR(VLOOKUP(MID(N52,O52,P52-O52),[5]skilldef!$A:$B,2,FALSE),"-")</f>
        <v>- / -</v>
      </c>
      <c r="T52" s="45" t="str">
        <f t="shared" si="27"/>
        <v>none</v>
      </c>
      <c r="U52" s="60" t="e">
        <f t="shared" si="28"/>
        <v>#VALUE!</v>
      </c>
      <c r="V52" s="60">
        <f t="shared" si="29"/>
        <v>4</v>
      </c>
      <c r="W52" s="60" t="e">
        <f t="shared" si="30"/>
        <v>#VALUE!</v>
      </c>
      <c r="X52" s="60" t="e">
        <f t="shared" si="31"/>
        <v>#VALUE!</v>
      </c>
      <c r="Y52" s="60" t="str">
        <f>IFERROR(VLOOKUP(MID(T52,W52,X52-W52),[5]skilldef!$C:$D,2,FALSE),"-") &amp; " / " &amp; IFERROR(VLOOKUP(MID(T52,U52,V52-U52),[5]skilldef!$A:$B,2,FALSE),"-")</f>
        <v>- / -</v>
      </c>
      <c r="Z52" s="47"/>
      <c r="AA52" s="49"/>
      <c r="AB52" s="47"/>
    </row>
    <row r="53" spans="1:28" ht="21" customHeight="1" x14ac:dyDescent="0.15">
      <c r="A53" s="180">
        <v>41015052</v>
      </c>
      <c r="B53" s="180" t="s">
        <v>395</v>
      </c>
      <c r="C53" s="181">
        <v>3</v>
      </c>
      <c r="D53" s="181" t="s">
        <v>396</v>
      </c>
      <c r="E53" s="182" t="s">
        <v>398</v>
      </c>
      <c r="F53" s="184" t="s">
        <v>399</v>
      </c>
      <c r="G53" s="60" t="str">
        <f t="shared" si="16"/>
        <v>[effect:remove_enhancement, target:unit_all, target_effect:counter, target_type:buff]</v>
      </c>
      <c r="H53" s="60">
        <f t="shared" si="17"/>
        <v>9</v>
      </c>
      <c r="I53" s="60">
        <f t="shared" si="18"/>
        <v>27</v>
      </c>
      <c r="J53" s="60">
        <f t="shared" si="19"/>
        <v>36</v>
      </c>
      <c r="K53" s="60">
        <f t="shared" si="20"/>
        <v>44</v>
      </c>
      <c r="L53" s="60" t="str">
        <f>IFERROR(VLOOKUP(MID(G53,J53,K53-J53),[5]skilldef!$C:$D,2,FALSE),"-") &amp; " / " &amp; IFERROR(VLOOKUP(MID(G53,H53,I53-H53),[5]skilldef!$A:$B,2,FALSE),"-")</f>
        <v>味方全体に / -</v>
      </c>
      <c r="M53" s="60" t="str">
        <f t="shared" si="21"/>
        <v>[effect:remove_enhancement, target:unit_all, target_effect:counter_new, target_type:buff, animation:frozen_wave],[effect:rush, count:8, val:0.14]</v>
      </c>
      <c r="N53" s="45" t="str">
        <f>IFERROR(LEFT(M53,FIND("],",M53)+S61),M53)</f>
        <v>[effect:remove_enhancement, target:unit_all, target_effect:counter_new, target_type:buff, animation:frozen_wave],[effect:rush, count:8, val:0.14]</v>
      </c>
      <c r="O53" s="60">
        <f t="shared" si="23"/>
        <v>9</v>
      </c>
      <c r="P53" s="60">
        <f t="shared" si="24"/>
        <v>27</v>
      </c>
      <c r="Q53" s="60">
        <f t="shared" si="25"/>
        <v>36</v>
      </c>
      <c r="R53" s="60">
        <f t="shared" si="26"/>
        <v>44</v>
      </c>
      <c r="S53" s="60" t="str">
        <f>IFERROR(VLOOKUP(MID(N53,Q53,R53-Q53),[5]skilldef!$C:$D,2,FALSE),"-") &amp; " / " &amp; IFERROR(VLOOKUP(MID(N53,O53,P53-O53),[5]skilldef!$A:$B,2,FALSE),"-")</f>
        <v>味方全体に / -</v>
      </c>
      <c r="T53" s="45" t="str">
        <f t="shared" si="27"/>
        <v>[effect:rush, count:8, val:0.14]</v>
      </c>
      <c r="U53" s="60">
        <f t="shared" si="28"/>
        <v>9</v>
      </c>
      <c r="V53" s="60">
        <f t="shared" si="29"/>
        <v>13</v>
      </c>
      <c r="W53" s="60" t="e">
        <f t="shared" si="30"/>
        <v>#VALUE!</v>
      </c>
      <c r="X53" s="60">
        <f t="shared" si="31"/>
        <v>22</v>
      </c>
      <c r="Y53" s="60" t="str">
        <f>IFERROR(VLOOKUP(MID(T53,W53,X53-W53),[5]skilldef!$C:$D,2,FALSE),"-") &amp; " / " &amp; IFERROR(VLOOKUP(MID(T53,U53,V53-U53),[5]skilldef!$A:$B,2,FALSE),"-")</f>
        <v>- / 連続攻撃</v>
      </c>
      <c r="Z53" s="47"/>
      <c r="AA53" s="49"/>
      <c r="AB53" s="47"/>
    </row>
    <row r="54" spans="1:28" ht="21" customHeight="1" x14ac:dyDescent="0.15">
      <c r="A54" s="180">
        <v>41015053</v>
      </c>
      <c r="B54" s="180" t="s">
        <v>400</v>
      </c>
      <c r="C54" s="181">
        <v>3</v>
      </c>
      <c r="D54" s="181" t="s">
        <v>126</v>
      </c>
      <c r="E54" s="182" t="s">
        <v>397</v>
      </c>
      <c r="F54" s="184" t="s">
        <v>401</v>
      </c>
      <c r="G54" s="60" t="str">
        <f t="shared" si="16"/>
        <v>[effect:remove_enhancement, target:unit_all, target_effect:counter, target_type:buff]</v>
      </c>
      <c r="H54" s="60">
        <f t="shared" si="17"/>
        <v>9</v>
      </c>
      <c r="I54" s="60">
        <f t="shared" si="18"/>
        <v>27</v>
      </c>
      <c r="J54" s="60">
        <f t="shared" si="19"/>
        <v>36</v>
      </c>
      <c r="K54" s="60">
        <f t="shared" si="20"/>
        <v>44</v>
      </c>
      <c r="L54" s="60" t="str">
        <f>IFERROR(VLOOKUP(MID(G54,J54,K54-J54),[5]skilldef!$C:$D,2,FALSE),"-") &amp; " / " &amp; IFERROR(VLOOKUP(MID(G54,H54,I54-H54),[5]skilldef!$A:$B,2,FALSE),"-")</f>
        <v>味方全体に / -</v>
      </c>
      <c r="M54" s="60" t="str">
        <f t="shared" si="21"/>
        <v>[effect:remove_enhancement, target:unit_all, target_effect:counter_new, target_type:buff, animation:frozen_wave],[effect:rush, count:8, val:0.14]</v>
      </c>
      <c r="N54" s="45" t="str">
        <f>IFERROR(LEFT(M54,FIND("],",M54)+S62),M54)</f>
        <v>[effect:remove_enhancement, target:unit_all, target_effect:counter_new, target_type:buff, animation:frozen_wave],[effect:rush, count:8, val:0.14]</v>
      </c>
      <c r="O54" s="60">
        <f t="shared" si="23"/>
        <v>9</v>
      </c>
      <c r="P54" s="60">
        <f t="shared" si="24"/>
        <v>27</v>
      </c>
      <c r="Q54" s="60">
        <f t="shared" si="25"/>
        <v>36</v>
      </c>
      <c r="R54" s="60">
        <f t="shared" si="26"/>
        <v>44</v>
      </c>
      <c r="S54" s="60" t="str">
        <f>IFERROR(VLOOKUP(MID(N54,Q54,R54-Q54),[5]skilldef!$C:$D,2,FALSE),"-") &amp; " / " &amp; IFERROR(VLOOKUP(MID(N54,O54,P54-O54),[5]skilldef!$A:$B,2,FALSE),"-")</f>
        <v>味方全体に / -</v>
      </c>
      <c r="T54" s="45" t="str">
        <f t="shared" si="27"/>
        <v>[effect:rush, count:8, val:0.14]</v>
      </c>
      <c r="U54" s="60">
        <f t="shared" si="28"/>
        <v>9</v>
      </c>
      <c r="V54" s="60">
        <f t="shared" si="29"/>
        <v>13</v>
      </c>
      <c r="W54" s="60" t="e">
        <f t="shared" si="30"/>
        <v>#VALUE!</v>
      </c>
      <c r="X54" s="60">
        <f t="shared" si="31"/>
        <v>22</v>
      </c>
      <c r="Y54" s="60" t="str">
        <f>IFERROR(VLOOKUP(MID(T54,W54,X54-W54),[5]skilldef!$C:$D,2,FALSE),"-") &amp; " / " &amp; IFERROR(VLOOKUP(MID(T54,U54,V54-U54),[5]skilldef!$A:$B,2,FALSE),"-")</f>
        <v>- / 連続攻撃</v>
      </c>
      <c r="Z54" s="47"/>
      <c r="AA54" s="49"/>
      <c r="AB54" s="47"/>
    </row>
    <row r="55" spans="1:28" ht="21" customHeight="1" x14ac:dyDescent="0.15">
      <c r="A55" s="180">
        <v>41015054</v>
      </c>
      <c r="B55" s="180" t="s">
        <v>400</v>
      </c>
      <c r="C55" s="181">
        <v>3</v>
      </c>
      <c r="D55" s="181" t="s">
        <v>126</v>
      </c>
      <c r="E55" s="182" t="s">
        <v>397</v>
      </c>
      <c r="F55" s="184" t="s">
        <v>401</v>
      </c>
      <c r="G55" s="60" t="str">
        <f t="shared" si="16"/>
        <v>[effect:remove_enhancement, target:unit_all, target_effect:counter, target_type:buff]</v>
      </c>
      <c r="H55" s="60">
        <f t="shared" si="17"/>
        <v>9</v>
      </c>
      <c r="I55" s="60">
        <f t="shared" si="18"/>
        <v>27</v>
      </c>
      <c r="J55" s="60">
        <f t="shared" si="19"/>
        <v>36</v>
      </c>
      <c r="K55" s="60">
        <f t="shared" si="20"/>
        <v>44</v>
      </c>
      <c r="L55" s="60" t="str">
        <f>IFERROR(VLOOKUP(MID(G55,J55,K55-J55),[5]skilldef!$C:$D,2,FALSE),"-") &amp; " / " &amp; IFERROR(VLOOKUP(MID(G55,H55,I55-H55),[5]skilldef!$A:$B,2,FALSE),"-")</f>
        <v>味方全体に / -</v>
      </c>
      <c r="M55" s="60" t="str">
        <f t="shared" si="21"/>
        <v>[effect:remove_enhancement, target:unit_all, target_effect:counter_new, target_type:buff, animation:frozen_wave],[effect:rush, count:8, val:0.14]</v>
      </c>
      <c r="N55" s="45" t="str">
        <f>IFERROR(LEFT(M55,FIND("],",M55)+S63),M55)</f>
        <v>[effect:remove_enhancement, target:unit_all, target_effect:counter_new, target_type:buff, animation:frozen_wave],[effect:rush, count:8, val:0.14]</v>
      </c>
      <c r="O55" s="60">
        <f t="shared" si="23"/>
        <v>9</v>
      </c>
      <c r="P55" s="60">
        <f t="shared" si="24"/>
        <v>27</v>
      </c>
      <c r="Q55" s="60">
        <f t="shared" si="25"/>
        <v>36</v>
      </c>
      <c r="R55" s="60">
        <f t="shared" si="26"/>
        <v>44</v>
      </c>
      <c r="S55" s="60" t="str">
        <f>IFERROR(VLOOKUP(MID(N55,Q55,R55-Q55),[5]skilldef!$C:$D,2,FALSE),"-") &amp; " / " &amp; IFERROR(VLOOKUP(MID(N55,O55,P55-O55),[5]skilldef!$A:$B,2,FALSE),"-")</f>
        <v>味方全体に / -</v>
      </c>
      <c r="T55" s="45" t="str">
        <f t="shared" si="27"/>
        <v>[effect:rush, count:8, val:0.14]</v>
      </c>
      <c r="U55" s="60">
        <f t="shared" si="28"/>
        <v>9</v>
      </c>
      <c r="V55" s="60">
        <f t="shared" si="29"/>
        <v>13</v>
      </c>
      <c r="W55" s="60" t="e">
        <f t="shared" si="30"/>
        <v>#VALUE!</v>
      </c>
      <c r="X55" s="60">
        <f t="shared" si="31"/>
        <v>22</v>
      </c>
      <c r="Y55" s="60" t="str">
        <f>IFERROR(VLOOKUP(MID(T55,W55,X55-W55),[5]skilldef!$C:$D,2,FALSE),"-") &amp; " / " &amp; IFERROR(VLOOKUP(MID(T55,U55,V55-U55),[5]skilldef!$A:$B,2,FALSE),"-")</f>
        <v>- / 連続攻撃</v>
      </c>
      <c r="Z55" s="47"/>
      <c r="AA55" s="49"/>
      <c r="AB55" s="47"/>
    </row>
    <row r="56" spans="1:28" ht="21" customHeight="1" x14ac:dyDescent="0.15">
      <c r="A56" s="180">
        <v>41015056</v>
      </c>
      <c r="B56" s="180" t="s">
        <v>402</v>
      </c>
      <c r="C56" s="181">
        <v>3</v>
      </c>
      <c r="D56" s="181" t="s">
        <v>348</v>
      </c>
      <c r="E56" s="182" t="s">
        <v>403</v>
      </c>
      <c r="F56" s="182" t="s">
        <v>404</v>
      </c>
      <c r="G56" s="60" t="str">
        <f t="shared" si="16"/>
        <v>[effect:remove_enhancement, target:unit_all, target_effect:counter, target_type:buff]</v>
      </c>
      <c r="H56" s="60">
        <f t="shared" si="17"/>
        <v>9</v>
      </c>
      <c r="I56" s="60">
        <f t="shared" si="18"/>
        <v>27</v>
      </c>
      <c r="J56" s="60">
        <f t="shared" si="19"/>
        <v>36</v>
      </c>
      <c r="K56" s="60">
        <f t="shared" si="20"/>
        <v>44</v>
      </c>
      <c r="L56" s="60" t="str">
        <f>IFERROR(VLOOKUP(MID(G56,J56,K56-J56),[5]skilldef!$C:$D,2,FALSE),"-") &amp; " / " &amp; IFERROR(VLOOKUP(MID(G56,H56,I56-H56),[5]skilldef!$A:$B,2,FALSE),"-")</f>
        <v>味方全体に / -</v>
      </c>
      <c r="M56" s="60" t="str">
        <f t="shared" si="21"/>
        <v>[effect:remove_enhancement, target:unit_all, target_effect:counter_new, target_type:buff, animation:frozen_wave],[effect:spread, val:0.12],[effect:rush, count:8, val:0.12]</v>
      </c>
      <c r="N56" s="45" t="str">
        <f t="shared" ref="N56:N62" si="32">IFERROR(LEFT(M56,FIND("],",M56)+S65),M56)</f>
        <v>[effect:remove_enhancement, target:unit_all, target_effect:counter_new, target_type:buff, animation:frozen_wave],[effect:spread, val:0.12],[effect:rush, count:8, val:0.12]</v>
      </c>
      <c r="O56" s="60">
        <f t="shared" si="23"/>
        <v>9</v>
      </c>
      <c r="P56" s="60">
        <f t="shared" si="24"/>
        <v>27</v>
      </c>
      <c r="Q56" s="60">
        <f t="shared" si="25"/>
        <v>36</v>
      </c>
      <c r="R56" s="60">
        <f t="shared" si="26"/>
        <v>44</v>
      </c>
      <c r="S56" s="60" t="str">
        <f>IFERROR(VLOOKUP(MID(N56,Q56,R56-Q56),[5]skilldef!$C:$D,2,FALSE),"-") &amp; " / " &amp; IFERROR(VLOOKUP(MID(N56,O56,P56-O56),[5]skilldef!$A:$B,2,FALSE),"-")</f>
        <v>味方全体に / -</v>
      </c>
      <c r="T56" s="45" t="str">
        <f t="shared" si="27"/>
        <v>[effect:spread, val:0.12],[effect:rush, count:8, val:0.12]</v>
      </c>
      <c r="U56" s="60">
        <f t="shared" si="28"/>
        <v>9</v>
      </c>
      <c r="V56" s="60">
        <f t="shared" si="29"/>
        <v>15</v>
      </c>
      <c r="W56" s="60" t="e">
        <f t="shared" si="30"/>
        <v>#VALUE!</v>
      </c>
      <c r="X56" s="60">
        <f t="shared" si="31"/>
        <v>26</v>
      </c>
      <c r="Y56" s="60" t="str">
        <f>IFERROR(VLOOKUP(MID(T56,W56,X56-W56),[5]skilldef!$C:$D,2,FALSE),"-") &amp; " / " &amp; IFERROR(VLOOKUP(MID(T56,U56,V56-U56),[5]skilldef!$A:$B,2,FALSE),"-")</f>
        <v>- / 全体攻撃</v>
      </c>
      <c r="Z56" s="47"/>
      <c r="AA56" s="49"/>
      <c r="AB56" s="47"/>
    </row>
    <row r="57" spans="1:28" ht="21" customHeight="1" x14ac:dyDescent="0.15">
      <c r="A57" s="180">
        <v>41015057</v>
      </c>
      <c r="B57" s="180" t="s">
        <v>405</v>
      </c>
      <c r="C57" s="181">
        <v>3</v>
      </c>
      <c r="D57" s="181" t="s">
        <v>396</v>
      </c>
      <c r="E57" s="182" t="s">
        <v>406</v>
      </c>
      <c r="F57" s="182" t="s">
        <v>404</v>
      </c>
      <c r="G57" s="60" t="str">
        <f t="shared" si="16"/>
        <v>[effect:remove_enhancement, target:unit_all, target_effect:counter, target_type:buff]</v>
      </c>
      <c r="H57" s="60">
        <f t="shared" si="17"/>
        <v>9</v>
      </c>
      <c r="I57" s="60">
        <f t="shared" si="18"/>
        <v>27</v>
      </c>
      <c r="J57" s="60">
        <f t="shared" si="19"/>
        <v>36</v>
      </c>
      <c r="K57" s="60">
        <f t="shared" si="20"/>
        <v>44</v>
      </c>
      <c r="L57" s="60" t="str">
        <f>IFERROR(VLOOKUP(MID(G57,J57,K57-J57),[5]skilldef!$C:$D,2,FALSE),"-") &amp; " / " &amp; IFERROR(VLOOKUP(MID(G57,H57,I57-H57),[5]skilldef!$A:$B,2,FALSE),"-")</f>
        <v>味方全体に / -</v>
      </c>
      <c r="M57" s="60" t="str">
        <f t="shared" si="21"/>
        <v>[effect:remove_enhancement, target:unit_all, target_effect:counter_new, target_type:buff, animation:frozen_wave],[effect:spread, val:0.12],[effect:rush, count:8, val:0.12]</v>
      </c>
      <c r="N57" s="45" t="str">
        <f t="shared" si="32"/>
        <v>[effect:remove_enhancement, target:unit_all, target_effect:counter_new, target_type:buff, animation:frozen_wave],[effect:spread, val:0.12],[effect:rush, count:8, val:0.12]</v>
      </c>
      <c r="O57" s="60">
        <f t="shared" si="23"/>
        <v>9</v>
      </c>
      <c r="P57" s="60">
        <f t="shared" si="24"/>
        <v>27</v>
      </c>
      <c r="Q57" s="60">
        <f t="shared" si="25"/>
        <v>36</v>
      </c>
      <c r="R57" s="60">
        <f t="shared" si="26"/>
        <v>44</v>
      </c>
      <c r="S57" s="60" t="str">
        <f>IFERROR(VLOOKUP(MID(N57,Q57,R57-Q57),[5]skilldef!$C:$D,2,FALSE),"-") &amp; " / " &amp; IFERROR(VLOOKUP(MID(N57,O57,P57-O57),[5]skilldef!$A:$B,2,FALSE),"-")</f>
        <v>味方全体に / -</v>
      </c>
      <c r="T57" s="45" t="str">
        <f t="shared" si="27"/>
        <v>[effect:spread, val:0.12],[effect:rush, count:8, val:0.12]</v>
      </c>
      <c r="U57" s="60">
        <f t="shared" si="28"/>
        <v>9</v>
      </c>
      <c r="V57" s="60">
        <f t="shared" si="29"/>
        <v>15</v>
      </c>
      <c r="W57" s="60" t="e">
        <f t="shared" si="30"/>
        <v>#VALUE!</v>
      </c>
      <c r="X57" s="60">
        <f t="shared" si="31"/>
        <v>26</v>
      </c>
      <c r="Y57" s="60" t="str">
        <f>IFERROR(VLOOKUP(MID(T57,W57,X57-W57),[5]skilldef!$C:$D,2,FALSE),"-") &amp; " / " &amp; IFERROR(VLOOKUP(MID(T57,U57,V57-U57),[5]skilldef!$A:$B,2,FALSE),"-")</f>
        <v>- / 全体攻撃</v>
      </c>
      <c r="Z57" s="47"/>
      <c r="AA57" s="49"/>
      <c r="AB57" s="47"/>
    </row>
    <row r="58" spans="1:28" ht="21" customHeight="1" x14ac:dyDescent="0.15">
      <c r="A58" s="180">
        <v>41015058</v>
      </c>
      <c r="B58" s="180" t="s">
        <v>407</v>
      </c>
      <c r="C58" s="181">
        <v>3</v>
      </c>
      <c r="D58" s="181" t="s">
        <v>126</v>
      </c>
      <c r="E58" s="182" t="s">
        <v>406</v>
      </c>
      <c r="F58" s="182" t="s">
        <v>404</v>
      </c>
      <c r="G58" s="60" t="str">
        <f t="shared" si="16"/>
        <v>[effect:remove_enhancement, target:unit_all, target_effect:counter, target_type:buff]</v>
      </c>
      <c r="H58" s="60">
        <f t="shared" si="17"/>
        <v>9</v>
      </c>
      <c r="I58" s="60">
        <f t="shared" si="18"/>
        <v>27</v>
      </c>
      <c r="J58" s="60">
        <f t="shared" si="19"/>
        <v>36</v>
      </c>
      <c r="K58" s="60">
        <f t="shared" si="20"/>
        <v>44</v>
      </c>
      <c r="L58" s="60" t="str">
        <f>IFERROR(VLOOKUP(MID(G58,J58,K58-J58),[5]skilldef!$C:$D,2,FALSE),"-") &amp; " / " &amp; IFERROR(VLOOKUP(MID(G58,H58,I58-H58),[5]skilldef!$A:$B,2,FALSE),"-")</f>
        <v>味方全体に / -</v>
      </c>
      <c r="M58" s="60" t="str">
        <f t="shared" si="21"/>
        <v>[effect:remove_enhancement, target:unit_all, target_effect:counter_new, target_type:buff, animation:frozen_wave],[effect:spread, val:0.12],[effect:rush, count:8, val:0.12]</v>
      </c>
      <c r="N58" s="45" t="str">
        <f t="shared" si="32"/>
        <v>[effect:remove_enhancement, target:unit_all, target_effect:counter_new, target_type:buff, animation:frozen_wave],[effect:spread, val:0.12],[effect:rush, count:8, val:0.12]</v>
      </c>
      <c r="O58" s="60">
        <f t="shared" si="23"/>
        <v>9</v>
      </c>
      <c r="P58" s="60">
        <f t="shared" si="24"/>
        <v>27</v>
      </c>
      <c r="Q58" s="60">
        <f t="shared" si="25"/>
        <v>36</v>
      </c>
      <c r="R58" s="60">
        <f t="shared" si="26"/>
        <v>44</v>
      </c>
      <c r="S58" s="60" t="str">
        <f>IFERROR(VLOOKUP(MID(N58,Q58,R58-Q58),[5]skilldef!$C:$D,2,FALSE),"-") &amp; " / " &amp; IFERROR(VLOOKUP(MID(N58,O58,P58-O58),[5]skilldef!$A:$B,2,FALSE),"-")</f>
        <v>味方全体に / -</v>
      </c>
      <c r="T58" s="45" t="str">
        <f t="shared" si="27"/>
        <v>[effect:spread, val:0.12],[effect:rush, count:8, val:0.12]</v>
      </c>
      <c r="U58" s="60">
        <f t="shared" si="28"/>
        <v>9</v>
      </c>
      <c r="V58" s="60">
        <f t="shared" si="29"/>
        <v>15</v>
      </c>
      <c r="W58" s="60" t="e">
        <f t="shared" si="30"/>
        <v>#VALUE!</v>
      </c>
      <c r="X58" s="60">
        <f t="shared" si="31"/>
        <v>26</v>
      </c>
      <c r="Y58" s="60" t="str">
        <f>IFERROR(VLOOKUP(MID(T58,W58,X58-W58),[5]skilldef!$C:$D,2,FALSE),"-") &amp; " / " &amp; IFERROR(VLOOKUP(MID(T58,U58,V58-U58),[5]skilldef!$A:$B,2,FALSE),"-")</f>
        <v>- / 全体攻撃</v>
      </c>
      <c r="Z58" s="47"/>
      <c r="AA58" s="49"/>
      <c r="AB58" s="47"/>
    </row>
    <row r="59" spans="1:28" ht="21" customHeight="1" x14ac:dyDescent="0.15">
      <c r="A59" s="180">
        <v>41015059</v>
      </c>
      <c r="B59" s="180" t="s">
        <v>408</v>
      </c>
      <c r="C59" s="181">
        <v>3</v>
      </c>
      <c r="D59" s="181" t="s">
        <v>348</v>
      </c>
      <c r="E59" s="182" t="s">
        <v>409</v>
      </c>
      <c r="F59" s="185" t="s">
        <v>410</v>
      </c>
      <c r="G59" s="60" t="str">
        <f t="shared" si="16"/>
        <v>[effect:remove_enhancement, target:unit_all, target_effect:all, target_type:buff, animation:frozen_wave]</v>
      </c>
      <c r="H59" s="60">
        <f t="shared" si="17"/>
        <v>9</v>
      </c>
      <c r="I59" s="60">
        <f t="shared" si="18"/>
        <v>27</v>
      </c>
      <c r="J59" s="60">
        <f t="shared" si="19"/>
        <v>36</v>
      </c>
      <c r="K59" s="60">
        <f t="shared" si="20"/>
        <v>44</v>
      </c>
      <c r="L59" s="60" t="str">
        <f>IFERROR(VLOOKUP(MID(G59,J59,K59-J59),[5]skilldef!$C:$D,2,FALSE),"-") &amp; " / " &amp; IFERROR(VLOOKUP(MID(G59,H59,I59-H59),[5]skilldef!$A:$B,2,FALSE),"-")</f>
        <v>味方全体に / -</v>
      </c>
      <c r="M59" s="60" t="str">
        <f t="shared" si="21"/>
        <v>[effect:spread, val:0.1],[effect:spread, val:0.1],[effect:spread, val:0.1],[effect:spread, val:0.1],[effect:spread, val:0.1],[effect:spread, val:0.1]</v>
      </c>
      <c r="N59" s="45" t="str">
        <f t="shared" si="32"/>
        <v>[effect:spread, val:0.1],[effect:spread, val:0.1],[effect:spread, val:0.1],[effect:spread, val:0.1],[effect:spread, val:0.1],[effect:spread, val:0.1]</v>
      </c>
      <c r="O59" s="60">
        <f t="shared" si="23"/>
        <v>9</v>
      </c>
      <c r="P59" s="60">
        <f t="shared" si="24"/>
        <v>15</v>
      </c>
      <c r="Q59" s="60" t="e">
        <f t="shared" si="25"/>
        <v>#VALUE!</v>
      </c>
      <c r="R59" s="60">
        <f t="shared" si="26"/>
        <v>25</v>
      </c>
      <c r="S59" s="60" t="str">
        <f>IFERROR(VLOOKUP(MID(N59,Q59,R59-Q59),[5]skilldef!$C:$D,2,FALSE),"-") &amp; " / " &amp; IFERROR(VLOOKUP(MID(N59,O59,P59-O59),[5]skilldef!$A:$B,2,FALSE),"-")</f>
        <v>- / 全体攻撃</v>
      </c>
      <c r="T59" s="45" t="str">
        <f t="shared" si="27"/>
        <v>[effect:spread, val:0.1],[effect:spread, val:0.1],[effect:spread, val:0.1],[effect:spread, val:0.1],[effect:spread, val:0.1]</v>
      </c>
      <c r="U59" s="60">
        <f t="shared" si="28"/>
        <v>9</v>
      </c>
      <c r="V59" s="60">
        <f t="shared" si="29"/>
        <v>15</v>
      </c>
      <c r="W59" s="60" t="e">
        <f t="shared" si="30"/>
        <v>#VALUE!</v>
      </c>
      <c r="X59" s="60">
        <f t="shared" si="31"/>
        <v>25</v>
      </c>
      <c r="Y59" s="60" t="str">
        <f>IFERROR(VLOOKUP(MID(T59,W59,X59-W59),[5]skilldef!$C:$D,2,FALSE),"-") &amp; " / " &amp; IFERROR(VLOOKUP(MID(T59,U59,V59-U59),[5]skilldef!$A:$B,2,FALSE),"-")</f>
        <v>- / 全体攻撃</v>
      </c>
      <c r="Z59" s="47"/>
      <c r="AA59" s="49"/>
      <c r="AB59" s="47"/>
    </row>
    <row r="60" spans="1:28" ht="21" customHeight="1" x14ac:dyDescent="0.15">
      <c r="A60" s="180">
        <v>41015060</v>
      </c>
      <c r="B60" s="180" t="s">
        <v>411</v>
      </c>
      <c r="C60" s="181">
        <v>3</v>
      </c>
      <c r="D60" s="181" t="s">
        <v>348</v>
      </c>
      <c r="E60" s="182" t="s">
        <v>412</v>
      </c>
      <c r="F60" s="185" t="s">
        <v>413</v>
      </c>
      <c r="G60" s="60" t="str">
        <f t="shared" si="16"/>
        <v>[effect:reduction, target:myself, turn:3, color:red, val:0.5, animation:reduction_one04]</v>
      </c>
      <c r="H60" s="60">
        <f t="shared" si="17"/>
        <v>9</v>
      </c>
      <c r="I60" s="60">
        <f t="shared" si="18"/>
        <v>18</v>
      </c>
      <c r="J60" s="60">
        <f t="shared" si="19"/>
        <v>27</v>
      </c>
      <c r="K60" s="60">
        <f t="shared" si="20"/>
        <v>33</v>
      </c>
      <c r="L60" s="60" t="str">
        <f>IFERROR(VLOOKUP(MID(G60,J60,K60-J60),[5]skilldef!$C:$D,2,FALSE),"-") &amp; " / " &amp; IFERROR(VLOOKUP(MID(G60,H60,I60-H60),[5]skilldef!$A:$B,2,FALSE),"-")</f>
        <v>自分自身に / -</v>
      </c>
      <c r="M60" s="60" t="str">
        <f t="shared" si="21"/>
        <v>[effect:reduction, target:myself, turn:3, color:green, val:0.5],[effect:reduction, target:myself, turn:3, color:blue, val:0.5]</v>
      </c>
      <c r="N60" s="45" t="str">
        <f t="shared" si="32"/>
        <v>[effect:reduction, target:myself, turn:3, color:green, val:0.5],[effect:reduction, target:myself, turn:3, color:blue, val:0.5]</v>
      </c>
      <c r="O60" s="60">
        <f t="shared" si="23"/>
        <v>9</v>
      </c>
      <c r="P60" s="60">
        <f t="shared" si="24"/>
        <v>18</v>
      </c>
      <c r="Q60" s="60">
        <f t="shared" si="25"/>
        <v>27</v>
      </c>
      <c r="R60" s="60">
        <f t="shared" si="26"/>
        <v>33</v>
      </c>
      <c r="S60" s="60" t="str">
        <f>IFERROR(VLOOKUP(MID(N60,Q60,R60-Q60),[5]skilldef!$C:$D,2,FALSE),"-") &amp; " / " &amp; IFERROR(VLOOKUP(MID(N60,O60,P60-O60),[5]skilldef!$A:$B,2,FALSE),"-")</f>
        <v>自分自身に / -</v>
      </c>
      <c r="T60" s="45" t="str">
        <f t="shared" si="27"/>
        <v>[effect:reduction, target:myself, turn:3, color:blue, val:0.5]</v>
      </c>
      <c r="U60" s="60">
        <f t="shared" si="28"/>
        <v>9</v>
      </c>
      <c r="V60" s="60">
        <f t="shared" si="29"/>
        <v>18</v>
      </c>
      <c r="W60" s="60">
        <f t="shared" si="30"/>
        <v>27</v>
      </c>
      <c r="X60" s="60">
        <f t="shared" si="31"/>
        <v>33</v>
      </c>
      <c r="Y60" s="60" t="str">
        <f>IFERROR(VLOOKUP(MID(T60,W60,X60-W60),[5]skilldef!$C:$D,2,FALSE),"-") &amp; " / " &amp; IFERROR(VLOOKUP(MID(T60,U60,V60-U60),[5]skilldef!$A:$B,2,FALSE),"-")</f>
        <v>自分自身に / -</v>
      </c>
      <c r="Z60" s="47"/>
      <c r="AA60" s="49"/>
      <c r="AB60" s="47"/>
    </row>
    <row r="61" spans="1:28" ht="21" customHeight="1" x14ac:dyDescent="0.15">
      <c r="A61" s="180">
        <v>41015062</v>
      </c>
      <c r="B61" s="180" t="s">
        <v>367</v>
      </c>
      <c r="C61" s="181">
        <v>3</v>
      </c>
      <c r="D61" s="181" t="s">
        <v>126</v>
      </c>
      <c r="E61" s="182" t="s">
        <v>368</v>
      </c>
      <c r="F61" s="185" t="s">
        <v>414</v>
      </c>
      <c r="G61" s="60" t="str">
        <f t="shared" si="16"/>
        <v>[effect:crash_condition, target:unit_all, val:11, turn:10, animation:crash_panel_reduce04]</v>
      </c>
      <c r="H61" s="60">
        <f t="shared" si="17"/>
        <v>9</v>
      </c>
      <c r="I61" s="60">
        <f t="shared" si="18"/>
        <v>24</v>
      </c>
      <c r="J61" s="60">
        <f t="shared" si="19"/>
        <v>33</v>
      </c>
      <c r="K61" s="60">
        <f t="shared" si="20"/>
        <v>41</v>
      </c>
      <c r="L61" s="60" t="str">
        <f>IFERROR(VLOOKUP(MID(G61,J61,K61-J61),[5]skilldef!$C:$D,2,FALSE),"-") &amp; " / " &amp; IFERROR(VLOOKUP(MID(G61,H61,I61-H61),[5]skilldef!$A:$B,2,FALSE),"-")</f>
        <v>味方全体に / -</v>
      </c>
      <c r="M61" s="60" t="str">
        <f t="shared" si="21"/>
        <v>none</v>
      </c>
      <c r="N61" s="45" t="str">
        <f t="shared" si="32"/>
        <v>none</v>
      </c>
      <c r="O61" s="60" t="e">
        <f t="shared" si="23"/>
        <v>#VALUE!</v>
      </c>
      <c r="P61" s="60">
        <f t="shared" si="24"/>
        <v>4</v>
      </c>
      <c r="Q61" s="60" t="e">
        <f t="shared" si="25"/>
        <v>#VALUE!</v>
      </c>
      <c r="R61" s="60" t="e">
        <f t="shared" si="26"/>
        <v>#VALUE!</v>
      </c>
      <c r="S61" s="60" t="str">
        <f>IFERROR(VLOOKUP(MID(N61,Q61,R61-Q61),[5]skilldef!$C:$D,2,FALSE),"-") &amp; " / " &amp; IFERROR(VLOOKUP(MID(N61,O61,P61-O61),[5]skilldef!$A:$B,2,FALSE),"-")</f>
        <v>- / -</v>
      </c>
      <c r="T61" s="45" t="str">
        <f t="shared" si="27"/>
        <v>none</v>
      </c>
      <c r="U61" s="60" t="e">
        <f t="shared" si="28"/>
        <v>#VALUE!</v>
      </c>
      <c r="V61" s="60">
        <f t="shared" si="29"/>
        <v>4</v>
      </c>
      <c r="W61" s="60" t="e">
        <f t="shared" si="30"/>
        <v>#VALUE!</v>
      </c>
      <c r="X61" s="60" t="e">
        <f t="shared" si="31"/>
        <v>#VALUE!</v>
      </c>
      <c r="Y61" s="60" t="str">
        <f>IFERROR(VLOOKUP(MID(T61,W61,X61-W61),[5]skilldef!$C:$D,2,FALSE),"-") &amp; " / " &amp; IFERROR(VLOOKUP(MID(T61,U61,V61-U61),[5]skilldef!$A:$B,2,FALSE),"-")</f>
        <v>- / -</v>
      </c>
      <c r="Z61" s="47"/>
      <c r="AA61" s="49"/>
      <c r="AB61" s="47"/>
    </row>
    <row r="62" spans="1:28" ht="21" customHeight="1" x14ac:dyDescent="0.15">
      <c r="A62" s="175">
        <v>41015063</v>
      </c>
      <c r="B62" s="175" t="s">
        <v>475</v>
      </c>
      <c r="C62" s="176">
        <v>3</v>
      </c>
      <c r="D62" s="176" t="s">
        <v>348</v>
      </c>
      <c r="E62" s="177" t="s">
        <v>415</v>
      </c>
      <c r="F62" s="177" t="s">
        <v>416</v>
      </c>
      <c r="G62" s="60" t="str">
        <f t="shared" si="16"/>
        <v>[effect:enemy_message, val1:1, val2:2.6]</v>
      </c>
      <c r="H62" s="60">
        <f t="shared" si="17"/>
        <v>9</v>
      </c>
      <c r="I62" s="60">
        <f t="shared" si="18"/>
        <v>22</v>
      </c>
      <c r="J62" s="60" t="e">
        <f t="shared" si="19"/>
        <v>#VALUE!</v>
      </c>
      <c r="K62" s="60">
        <f t="shared" si="20"/>
        <v>30</v>
      </c>
      <c r="L62" s="60" t="str">
        <f>IFERROR(VLOOKUP(MID(G62,J62,K62-J62),[5]skilldef!$C:$D,2,FALSE),"-") &amp; " / " &amp; IFERROR(VLOOKUP(MID(G62,H62,I62-H62),[5]skilldef!$A:$B,2,FALSE),"-")</f>
        <v>- / -</v>
      </c>
      <c r="M62" s="60" t="str">
        <f t="shared" si="21"/>
        <v>[effect:tolerance, target:myself, turn:-1, tolerance_effect:all, count:-1, animation:enemy_tolerance],[effect:fix_speed, target:myself, turn:4]</v>
      </c>
      <c r="N62" s="45" t="str">
        <f t="shared" si="32"/>
        <v>[effect:tolerance, target:myself, turn:-1, tolerance_effect:all, count:-1, animation:enemy_tolerance],[effect:fix_speed, target:myself, turn:4]</v>
      </c>
      <c r="O62" s="60">
        <f t="shared" si="23"/>
        <v>9</v>
      </c>
      <c r="P62" s="60">
        <f t="shared" si="24"/>
        <v>18</v>
      </c>
      <c r="Q62" s="60">
        <f t="shared" si="25"/>
        <v>27</v>
      </c>
      <c r="R62" s="60">
        <f t="shared" si="26"/>
        <v>33</v>
      </c>
      <c r="S62" s="60" t="str">
        <f>IFERROR(VLOOKUP(MID(N62,Q62,R62-Q62),[5]skilldef!$C:$D,2,FALSE),"-") &amp; " / " &amp; IFERROR(VLOOKUP(MID(N62,O62,P62-O62),[5]skilldef!$A:$B,2,FALSE),"-")</f>
        <v>自分自身に / 状態異常耐性</v>
      </c>
      <c r="T62" s="45" t="str">
        <f t="shared" si="27"/>
        <v>[effect:fix_speed, target:myself, turn:4]</v>
      </c>
      <c r="U62" s="60">
        <f t="shared" si="28"/>
        <v>9</v>
      </c>
      <c r="V62" s="60">
        <f t="shared" si="29"/>
        <v>18</v>
      </c>
      <c r="W62" s="60">
        <f t="shared" si="30"/>
        <v>27</v>
      </c>
      <c r="X62" s="60">
        <f t="shared" si="31"/>
        <v>33</v>
      </c>
      <c r="Y62" s="60" t="str">
        <f>IFERROR(VLOOKUP(MID(T62,W62,X62-W62),[5]skilldef!$C:$D,2,FALSE),"-") &amp; " / " &amp; IFERROR(VLOOKUP(MID(T62,U62,V62-U62),[5]skilldef!$A:$B,2,FALSE),"-")</f>
        <v>自分自身に / 行動値設定</v>
      </c>
      <c r="Z62" s="47"/>
      <c r="AA62" s="49"/>
      <c r="AB62" s="47"/>
    </row>
    <row r="63" spans="1:28" ht="21" customHeight="1" x14ac:dyDescent="0.15">
      <c r="A63" s="175">
        <v>41015064</v>
      </c>
      <c r="B63" s="175" t="s">
        <v>475</v>
      </c>
      <c r="C63" s="176">
        <v>3</v>
      </c>
      <c r="D63" s="176" t="s">
        <v>126</v>
      </c>
      <c r="E63" s="178" t="s">
        <v>417</v>
      </c>
      <c r="F63" s="178" t="s">
        <v>418</v>
      </c>
      <c r="G63" s="60" t="str">
        <f t="shared" si="16"/>
        <v>[effect:enemy_message, val1:1, val2:2.6]</v>
      </c>
      <c r="H63" s="60">
        <f t="shared" si="17"/>
        <v>9</v>
      </c>
      <c r="I63" s="60">
        <f t="shared" si="18"/>
        <v>22</v>
      </c>
      <c r="J63" s="60" t="e">
        <f t="shared" si="19"/>
        <v>#VALUE!</v>
      </c>
      <c r="K63" s="60">
        <f t="shared" si="20"/>
        <v>30</v>
      </c>
      <c r="L63" s="60" t="str">
        <f>IFERROR(VLOOKUP(MID(G63,J63,K63-J63),[5]skilldef!$C:$D,2,FALSE),"-") &amp; " / " &amp; IFERROR(VLOOKUP(MID(G63,H63,I63-H63),[5]skilldef!$A:$B,2,FALSE),"-")</f>
        <v>- / -</v>
      </c>
      <c r="M63" s="60" t="str">
        <f t="shared" si="21"/>
        <v>[effect:tolerance, target:myself, turn:-1, tolerance_effect:all, count:-1, animation:enemy_tolerance],[effect:fix_speed, target:myself, turn:4]</v>
      </c>
      <c r="N63" s="45" t="str">
        <f>IFERROR(LEFT(M63,FIND("],",M63)+#REF!),M63)</f>
        <v>[effect:tolerance, target:myself, turn:-1, tolerance_effect:all, count:-1, animation:enemy_tolerance],[effect:fix_speed, target:myself, turn:4]</v>
      </c>
      <c r="O63" s="60">
        <f t="shared" si="23"/>
        <v>9</v>
      </c>
      <c r="P63" s="60">
        <f t="shared" si="24"/>
        <v>18</v>
      </c>
      <c r="Q63" s="60">
        <f t="shared" si="25"/>
        <v>27</v>
      </c>
      <c r="R63" s="60">
        <f t="shared" si="26"/>
        <v>33</v>
      </c>
      <c r="S63" s="60" t="str">
        <f>IFERROR(VLOOKUP(MID(N63,Q63,R63-Q63),[5]skilldef!$C:$D,2,FALSE),"-") &amp; " / " &amp; IFERROR(VLOOKUP(MID(N63,O63,P63-O63),[5]skilldef!$A:$B,2,FALSE),"-")</f>
        <v>自分自身に / 状態異常耐性</v>
      </c>
      <c r="T63" s="45" t="str">
        <f t="shared" si="27"/>
        <v>[effect:fix_speed, target:myself, turn:4]</v>
      </c>
      <c r="U63" s="60">
        <f t="shared" si="28"/>
        <v>9</v>
      </c>
      <c r="V63" s="60">
        <f t="shared" si="29"/>
        <v>18</v>
      </c>
      <c r="W63" s="60">
        <f t="shared" si="30"/>
        <v>27</v>
      </c>
      <c r="X63" s="60">
        <f t="shared" si="31"/>
        <v>33</v>
      </c>
      <c r="Y63" s="60" t="str">
        <f>IFERROR(VLOOKUP(MID(T63,W63,X63-W63),[5]skilldef!$C:$D,2,FALSE),"-") &amp; " / " &amp; IFERROR(VLOOKUP(MID(T63,U63,V63-U63),[5]skilldef!$A:$B,2,FALSE),"-")</f>
        <v>自分自身に / 行動値設定</v>
      </c>
      <c r="Z63" s="47"/>
      <c r="AA63" s="49"/>
      <c r="AB63" s="47"/>
    </row>
    <row r="64" spans="1:28" ht="21" customHeight="1" x14ac:dyDescent="0.15">
      <c r="A64" s="175">
        <v>41015065</v>
      </c>
      <c r="B64" s="175" t="s">
        <v>476</v>
      </c>
      <c r="C64" s="176">
        <v>3</v>
      </c>
      <c r="D64" s="176" t="s">
        <v>419</v>
      </c>
      <c r="E64" s="178" t="s">
        <v>420</v>
      </c>
      <c r="F64" s="178" t="s">
        <v>421</v>
      </c>
      <c r="G64" s="60" t="str">
        <f t="shared" si="16"/>
        <v>[effect:enemy_message, val1:1, val2:2.6]</v>
      </c>
      <c r="H64" s="60">
        <f t="shared" si="17"/>
        <v>9</v>
      </c>
      <c r="I64" s="60">
        <f t="shared" si="18"/>
        <v>22</v>
      </c>
      <c r="J64" s="60" t="e">
        <f t="shared" si="19"/>
        <v>#VALUE!</v>
      </c>
      <c r="K64" s="60">
        <f t="shared" si="20"/>
        <v>30</v>
      </c>
      <c r="L64" s="60" t="str">
        <f>IFERROR(VLOOKUP(MID(G64,J64,K64-J64),[5]skilldef!$C:$D,2,FALSE),"-") &amp; " / " &amp; IFERROR(VLOOKUP(MID(G64,H64,I64-H64),[5]skilldef!$A:$B,2,FALSE),"-")</f>
        <v>- / -</v>
      </c>
      <c r="M64" s="60" t="str">
        <f t="shared" si="21"/>
        <v>[effect:tolerance, target:myself, turn:-1, tolerance_effect:all, count:-1, animation:enemy_tolerance],[effect:fix_speed, target:myself, turn:4]</v>
      </c>
      <c r="N64" s="45" t="str">
        <f>IFERROR(LEFT(M64,FIND("],",M64)+S72),M64)</f>
        <v>[effect:tolerance, target:myself, turn:-1, tolerance_effect:all, count:-1, animation:enemy_tolerance],[effect:fix_speed, target:myself, turn:4]</v>
      </c>
      <c r="O64" s="60">
        <f t="shared" si="23"/>
        <v>9</v>
      </c>
      <c r="P64" s="60">
        <f t="shared" si="24"/>
        <v>18</v>
      </c>
      <c r="Q64" s="60">
        <f t="shared" si="25"/>
        <v>27</v>
      </c>
      <c r="R64" s="60">
        <f t="shared" si="26"/>
        <v>33</v>
      </c>
      <c r="S64" s="60" t="str">
        <f>IFERROR(VLOOKUP(MID(N64,Q64,R64-Q64),[5]skilldef!$C:$D,2,FALSE),"-") &amp; " / " &amp; IFERROR(VLOOKUP(MID(N64,O64,P64-O64),[5]skilldef!$A:$B,2,FALSE),"-")</f>
        <v>自分自身に / 状態異常耐性</v>
      </c>
      <c r="T64" s="45" t="str">
        <f t="shared" si="27"/>
        <v>[effect:fix_speed, target:myself, turn:4]</v>
      </c>
      <c r="U64" s="60">
        <f t="shared" si="28"/>
        <v>9</v>
      </c>
      <c r="V64" s="60">
        <f t="shared" si="29"/>
        <v>18</v>
      </c>
      <c r="W64" s="60">
        <f t="shared" si="30"/>
        <v>27</v>
      </c>
      <c r="X64" s="60">
        <f t="shared" si="31"/>
        <v>33</v>
      </c>
      <c r="Y64" s="60" t="str">
        <f>IFERROR(VLOOKUP(MID(T64,W64,X64-W64),[5]skilldef!$C:$D,2,FALSE),"-") &amp; " / " &amp; IFERROR(VLOOKUP(MID(T64,U64,V64-U64),[5]skilldef!$A:$B,2,FALSE),"-")</f>
        <v>自分自身に / 行動値設定</v>
      </c>
      <c r="Z64" s="47"/>
      <c r="AA64" s="49"/>
      <c r="AB64" s="47"/>
    </row>
    <row r="65" spans="1:28" ht="21" customHeight="1" x14ac:dyDescent="0.15">
      <c r="A65" s="175">
        <v>41015066</v>
      </c>
      <c r="B65" s="175" t="s">
        <v>476</v>
      </c>
      <c r="C65" s="176">
        <v>3</v>
      </c>
      <c r="D65" s="176" t="s">
        <v>422</v>
      </c>
      <c r="E65" s="178" t="s">
        <v>423</v>
      </c>
      <c r="F65" s="178" t="s">
        <v>424</v>
      </c>
      <c r="G65" s="60" t="str">
        <f t="shared" si="16"/>
        <v>[effect:enemy_message, val1:1, val2:2.6]</v>
      </c>
      <c r="H65" s="60">
        <f t="shared" si="17"/>
        <v>9</v>
      </c>
      <c r="I65" s="60">
        <f t="shared" si="18"/>
        <v>22</v>
      </c>
      <c r="J65" s="60" t="e">
        <f t="shared" si="19"/>
        <v>#VALUE!</v>
      </c>
      <c r="K65" s="60">
        <f t="shared" si="20"/>
        <v>30</v>
      </c>
      <c r="L65" s="60" t="str">
        <f>IFERROR(VLOOKUP(MID(G65,J65,K65-J65),[5]skilldef!$C:$D,2,FALSE),"-") &amp; " / " &amp; IFERROR(VLOOKUP(MID(G65,H65,I65-H65),[5]skilldef!$A:$B,2,FALSE),"-")</f>
        <v>- / -</v>
      </c>
      <c r="M65" s="60" t="str">
        <f t="shared" si="21"/>
        <v>[effect:tolerance, target:myself, turn:-1, tolerance_effect:all, count:-1, animation:enemy_tolerance],[effect:fix_speed, target:myself, turn:4]</v>
      </c>
      <c r="N65" s="45" t="str">
        <f>IFERROR(LEFT(M65,FIND("],",M65)+#REF!),M65)</f>
        <v>[effect:tolerance, target:myself, turn:-1, tolerance_effect:all, count:-1, animation:enemy_tolerance],[effect:fix_speed, target:myself, turn:4]</v>
      </c>
      <c r="O65" s="60">
        <f t="shared" si="23"/>
        <v>9</v>
      </c>
      <c r="P65" s="60">
        <f t="shared" si="24"/>
        <v>18</v>
      </c>
      <c r="Q65" s="60">
        <f t="shared" si="25"/>
        <v>27</v>
      </c>
      <c r="R65" s="60">
        <f t="shared" si="26"/>
        <v>33</v>
      </c>
      <c r="S65" s="60" t="str">
        <f>IFERROR(VLOOKUP(MID(N65,Q65,R65-Q65),[5]skilldef!$C:$D,2,FALSE),"-") &amp; " / " &amp; IFERROR(VLOOKUP(MID(N65,O65,P65-O65),[5]skilldef!$A:$B,2,FALSE),"-")</f>
        <v>自分自身に / 状態異常耐性</v>
      </c>
      <c r="T65" s="45" t="str">
        <f t="shared" si="27"/>
        <v>[effect:fix_speed, target:myself, turn:4]</v>
      </c>
      <c r="U65" s="60">
        <f t="shared" si="28"/>
        <v>9</v>
      </c>
      <c r="V65" s="60">
        <f t="shared" si="29"/>
        <v>18</v>
      </c>
      <c r="W65" s="60">
        <f t="shared" si="30"/>
        <v>27</v>
      </c>
      <c r="X65" s="60">
        <f t="shared" si="31"/>
        <v>33</v>
      </c>
      <c r="Y65" s="60" t="str">
        <f>IFERROR(VLOOKUP(MID(T65,W65,X65-W65),[5]skilldef!$C:$D,2,FALSE),"-") &amp; " / " &amp; IFERROR(VLOOKUP(MID(T65,U65,V65-U65),[5]skilldef!$A:$B,2,FALSE),"-")</f>
        <v>自分自身に / 行動値設定</v>
      </c>
      <c r="Z65" s="47"/>
      <c r="AA65" s="49"/>
      <c r="AB65" s="47"/>
    </row>
    <row r="66" spans="1:28" ht="21" customHeight="1" x14ac:dyDescent="0.15">
      <c r="A66" s="175">
        <v>41015067</v>
      </c>
      <c r="B66" s="175" t="s">
        <v>476</v>
      </c>
      <c r="C66" s="176">
        <v>3</v>
      </c>
      <c r="D66" s="176" t="s">
        <v>335</v>
      </c>
      <c r="E66" s="178" t="s">
        <v>425</v>
      </c>
      <c r="F66" s="178" t="s">
        <v>426</v>
      </c>
      <c r="G66" s="60" t="str">
        <f t="shared" si="16"/>
        <v>[effect:enemy_message, val1:1, val2:2.6]</v>
      </c>
      <c r="H66" s="60">
        <f t="shared" si="17"/>
        <v>9</v>
      </c>
      <c r="I66" s="60">
        <f t="shared" si="18"/>
        <v>22</v>
      </c>
      <c r="J66" s="60" t="e">
        <f t="shared" si="19"/>
        <v>#VALUE!</v>
      </c>
      <c r="K66" s="60">
        <f t="shared" si="20"/>
        <v>30</v>
      </c>
      <c r="L66" s="60" t="str">
        <f>IFERROR(VLOOKUP(MID(G66,J66,K66-J66),[5]skilldef!$C:$D,2,FALSE),"-") &amp; " / " &amp; IFERROR(VLOOKUP(MID(G66,H66,I66-H66),[5]skilldef!$A:$B,2,FALSE),"-")</f>
        <v>- / -</v>
      </c>
      <c r="M66" s="60" t="str">
        <f t="shared" si="21"/>
        <v>[effect:tolerance, target:myself, turn:-1, tolerance_effect:all, count:-1, animation:enemy_tolerance],[effect:fix_speed, target:myself, turn:4]</v>
      </c>
      <c r="N66" s="45" t="str">
        <f>IFERROR(LEFT(M66,FIND("],",M66)+#REF!),M66)</f>
        <v>[effect:tolerance, target:myself, turn:-1, tolerance_effect:all, count:-1, animation:enemy_tolerance],[effect:fix_speed, target:myself, turn:4]</v>
      </c>
      <c r="O66" s="60">
        <f t="shared" si="23"/>
        <v>9</v>
      </c>
      <c r="P66" s="60">
        <f t="shared" si="24"/>
        <v>18</v>
      </c>
      <c r="Q66" s="60">
        <f t="shared" si="25"/>
        <v>27</v>
      </c>
      <c r="R66" s="60">
        <f t="shared" si="26"/>
        <v>33</v>
      </c>
      <c r="S66" s="60" t="str">
        <f>IFERROR(VLOOKUP(MID(N66,Q66,R66-Q66),[5]skilldef!$C:$D,2,FALSE),"-") &amp; " / " &amp; IFERROR(VLOOKUP(MID(N66,O66,P66-O66),[5]skilldef!$A:$B,2,FALSE),"-")</f>
        <v>自分自身に / 状態異常耐性</v>
      </c>
      <c r="T66" s="45" t="str">
        <f t="shared" si="27"/>
        <v>[effect:fix_speed, target:myself, turn:4]</v>
      </c>
      <c r="U66" s="60">
        <f t="shared" si="28"/>
        <v>9</v>
      </c>
      <c r="V66" s="60">
        <f t="shared" si="29"/>
        <v>18</v>
      </c>
      <c r="W66" s="60">
        <f t="shared" si="30"/>
        <v>27</v>
      </c>
      <c r="X66" s="60">
        <f t="shared" si="31"/>
        <v>33</v>
      </c>
      <c r="Y66" s="60" t="str">
        <f>IFERROR(VLOOKUP(MID(T66,W66,X66-W66),[5]skilldef!$C:$D,2,FALSE),"-") &amp; " / " &amp; IFERROR(VLOOKUP(MID(T66,U66,V66-U66),[5]skilldef!$A:$B,2,FALSE),"-")</f>
        <v>自分自身に / 行動値設定</v>
      </c>
      <c r="Z66" s="47"/>
      <c r="AA66" s="49"/>
      <c r="AB66" s="47"/>
    </row>
    <row r="67" spans="1:28" ht="21" customHeight="1" x14ac:dyDescent="0.15">
      <c r="A67" s="175">
        <v>41015068</v>
      </c>
      <c r="B67" s="175" t="s">
        <v>476</v>
      </c>
      <c r="C67" s="176">
        <v>3</v>
      </c>
      <c r="D67" s="176" t="s">
        <v>335</v>
      </c>
      <c r="E67" s="178" t="s">
        <v>428</v>
      </c>
      <c r="F67" s="178" t="s">
        <v>429</v>
      </c>
      <c r="G67" s="60" t="str">
        <f t="shared" si="16"/>
        <v>[effect:enemy_message, val1:1, val2:2.6]</v>
      </c>
      <c r="H67" s="60">
        <f t="shared" si="17"/>
        <v>9</v>
      </c>
      <c r="I67" s="60">
        <f t="shared" si="18"/>
        <v>22</v>
      </c>
      <c r="J67" s="60" t="e">
        <f t="shared" si="19"/>
        <v>#VALUE!</v>
      </c>
      <c r="K67" s="60">
        <f t="shared" si="20"/>
        <v>30</v>
      </c>
      <c r="L67" s="60" t="str">
        <f>IFERROR(VLOOKUP(MID(G67,J67,K67-J67),[5]skilldef!$C:$D,2,FALSE),"-") &amp; " / " &amp; IFERROR(VLOOKUP(MID(G67,H67,I67-H67),[5]skilldef!$A:$B,2,FALSE),"-")</f>
        <v>- / -</v>
      </c>
      <c r="M67" s="60" t="str">
        <f t="shared" si="21"/>
        <v>[effect:tolerance, target:myself, turn:-1, tolerance_effect:all, count:-1, animation:enemy_tolerance],[effect:fix_speed, target:myself, turn:4]</v>
      </c>
      <c r="N67" s="45" t="str">
        <f>IFERROR(LEFT(M67,FIND("],",M67)+S73),M67)</f>
        <v>[effect:tolerance, target:myself, turn:-1, tolerance_effect:all, count:-1, animation:enemy_tolerance],[effect:fix_speed, target:myself, turn:4]</v>
      </c>
      <c r="O67" s="60">
        <f t="shared" si="23"/>
        <v>9</v>
      </c>
      <c r="P67" s="60">
        <f t="shared" si="24"/>
        <v>18</v>
      </c>
      <c r="Q67" s="60">
        <f t="shared" si="25"/>
        <v>27</v>
      </c>
      <c r="R67" s="60">
        <f t="shared" si="26"/>
        <v>33</v>
      </c>
      <c r="S67" s="60" t="str">
        <f>IFERROR(VLOOKUP(MID(N67,Q67,R67-Q67),[5]skilldef!$C:$D,2,FALSE),"-") &amp; " / " &amp; IFERROR(VLOOKUP(MID(N67,O67,P67-O67),[5]skilldef!$A:$B,2,FALSE),"-")</f>
        <v>自分自身に / 状態異常耐性</v>
      </c>
      <c r="T67" s="45" t="str">
        <f t="shared" si="27"/>
        <v>[effect:fix_speed, target:myself, turn:4]</v>
      </c>
      <c r="U67" s="60">
        <f t="shared" si="28"/>
        <v>9</v>
      </c>
      <c r="V67" s="60">
        <f t="shared" si="29"/>
        <v>18</v>
      </c>
      <c r="W67" s="60">
        <f t="shared" si="30"/>
        <v>27</v>
      </c>
      <c r="X67" s="60">
        <f t="shared" si="31"/>
        <v>33</v>
      </c>
      <c r="Y67" s="60" t="str">
        <f>IFERROR(VLOOKUP(MID(T67,W67,X67-W67),[5]skilldef!$C:$D,2,FALSE),"-") &amp; " / " &amp; IFERROR(VLOOKUP(MID(T67,U67,V67-U67),[5]skilldef!$A:$B,2,FALSE),"-")</f>
        <v>自分自身に / 行動値設定</v>
      </c>
      <c r="Z67" s="47"/>
      <c r="AA67" s="49"/>
      <c r="AB67" s="47"/>
    </row>
    <row r="68" spans="1:28" ht="21" customHeight="1" x14ac:dyDescent="0.15">
      <c r="A68" s="175">
        <v>41015069</v>
      </c>
      <c r="B68" s="175" t="s">
        <v>476</v>
      </c>
      <c r="C68" s="176">
        <v>3</v>
      </c>
      <c r="D68" s="176" t="s">
        <v>348</v>
      </c>
      <c r="E68" s="178" t="s">
        <v>430</v>
      </c>
      <c r="F68" s="178" t="s">
        <v>431</v>
      </c>
      <c r="G68" s="60" t="str">
        <f t="shared" si="16"/>
        <v>[effect:enemy_message, val1:1, val2:2.6]</v>
      </c>
      <c r="H68" s="60">
        <f t="shared" si="17"/>
        <v>9</v>
      </c>
      <c r="I68" s="60">
        <f t="shared" si="18"/>
        <v>22</v>
      </c>
      <c r="J68" s="60" t="e">
        <f t="shared" si="19"/>
        <v>#VALUE!</v>
      </c>
      <c r="K68" s="60">
        <f t="shared" si="20"/>
        <v>30</v>
      </c>
      <c r="L68" s="60" t="str">
        <f>IFERROR(VLOOKUP(MID(G68,J68,K68-J68),[5]skilldef!$C:$D,2,FALSE),"-") &amp; " / " &amp; IFERROR(VLOOKUP(MID(G68,H68,I68-H68),[5]skilldef!$A:$B,2,FALSE),"-")</f>
        <v>- / -</v>
      </c>
      <c r="M68" s="60" t="str">
        <f t="shared" si="21"/>
        <v>[effect:tolerance, target:myself, turn:-1, tolerance_effect:all, count:-1, animation:enemy_tolerance],[effect:fix_speed, target:myself, turn:4]</v>
      </c>
      <c r="N68" s="45" t="str">
        <f>IFERROR(LEFT(M68,FIND("],",M68)+S74),M68)</f>
        <v>[effect:tolerance, target:myself, turn:-1, tolerance_effect:all, count:-1, animation:enemy_tolerance],[effect:fix_speed, target:myself, turn:4]</v>
      </c>
      <c r="O68" s="60">
        <f t="shared" si="23"/>
        <v>9</v>
      </c>
      <c r="P68" s="60">
        <f t="shared" si="24"/>
        <v>18</v>
      </c>
      <c r="Q68" s="60">
        <f t="shared" si="25"/>
        <v>27</v>
      </c>
      <c r="R68" s="60">
        <f t="shared" si="26"/>
        <v>33</v>
      </c>
      <c r="S68" s="60" t="str">
        <f>IFERROR(VLOOKUP(MID(N68,Q68,R68-Q68),[5]skilldef!$C:$D,2,FALSE),"-") &amp; " / " &amp; IFERROR(VLOOKUP(MID(N68,O68,P68-O68),[5]skilldef!$A:$B,2,FALSE),"-")</f>
        <v>自分自身に / 状態異常耐性</v>
      </c>
      <c r="T68" s="45" t="str">
        <f t="shared" si="27"/>
        <v>[effect:fix_speed, target:myself, turn:4]</v>
      </c>
      <c r="U68" s="60">
        <f t="shared" si="28"/>
        <v>9</v>
      </c>
      <c r="V68" s="60">
        <f t="shared" si="29"/>
        <v>18</v>
      </c>
      <c r="W68" s="60">
        <f t="shared" si="30"/>
        <v>27</v>
      </c>
      <c r="X68" s="60">
        <f t="shared" si="31"/>
        <v>33</v>
      </c>
      <c r="Y68" s="60" t="str">
        <f>IFERROR(VLOOKUP(MID(T68,W68,X68-W68),[5]skilldef!$C:$D,2,FALSE),"-") &amp; " / " &amp; IFERROR(VLOOKUP(MID(T68,U68,V68-U68),[5]skilldef!$A:$B,2,FALSE),"-")</f>
        <v>自分自身に / 行動値設定</v>
      </c>
      <c r="Z68" s="47"/>
      <c r="AA68" s="49"/>
      <c r="AB68" s="47"/>
    </row>
    <row r="69" spans="1:28" ht="21" customHeight="1" x14ac:dyDescent="0.15">
      <c r="A69" s="175">
        <v>41015070</v>
      </c>
      <c r="B69" s="175" t="s">
        <v>476</v>
      </c>
      <c r="C69" s="176">
        <v>3</v>
      </c>
      <c r="D69" s="176" t="s">
        <v>126</v>
      </c>
      <c r="E69" s="178" t="s">
        <v>432</v>
      </c>
      <c r="F69" s="178" t="s">
        <v>433</v>
      </c>
      <c r="G69" s="60" t="str">
        <f t="shared" si="16"/>
        <v>[effect:enemy_message, val1:1, val2:2.6]</v>
      </c>
      <c r="H69" s="60">
        <f t="shared" si="17"/>
        <v>9</v>
      </c>
      <c r="I69" s="60">
        <f t="shared" si="18"/>
        <v>22</v>
      </c>
      <c r="J69" s="60" t="e">
        <f t="shared" si="19"/>
        <v>#VALUE!</v>
      </c>
      <c r="K69" s="60">
        <f t="shared" si="20"/>
        <v>30</v>
      </c>
      <c r="L69" s="60" t="str">
        <f>IFERROR(VLOOKUP(MID(G69,J69,K69-J69),[5]skilldef!$C:$D,2,FALSE),"-") &amp; " / " &amp; IFERROR(VLOOKUP(MID(G69,H69,I69-H69),[5]skilldef!$A:$B,2,FALSE),"-")</f>
        <v>- / -</v>
      </c>
      <c r="M69" s="60" t="str">
        <f t="shared" si="21"/>
        <v>[effect:tolerance, target:myself, turn:-1, tolerance_effect:all, count:-1, animation:enemy_tolerance],[effect:fix_speed, target:myself, turn:4]</v>
      </c>
      <c r="N69" s="45" t="str">
        <f>IFERROR(LEFT(M69,FIND("],",M69)+S75),M69)</f>
        <v>[effect:tolerance, target:myself, turn:-1, tolerance_effect:all, count:-1, animation:enemy_tolerance],[effect:fix_speed, target:myself, turn:4]</v>
      </c>
      <c r="O69" s="60">
        <f t="shared" si="23"/>
        <v>9</v>
      </c>
      <c r="P69" s="60">
        <f t="shared" si="24"/>
        <v>18</v>
      </c>
      <c r="Q69" s="60">
        <f t="shared" si="25"/>
        <v>27</v>
      </c>
      <c r="R69" s="60">
        <f t="shared" si="26"/>
        <v>33</v>
      </c>
      <c r="S69" s="60" t="str">
        <f>IFERROR(VLOOKUP(MID(N69,Q69,R69-Q69),[5]skilldef!$C:$D,2,FALSE),"-") &amp; " / " &amp; IFERROR(VLOOKUP(MID(N69,O69,P69-O69),[5]skilldef!$A:$B,2,FALSE),"-")</f>
        <v>自分自身に / 状態異常耐性</v>
      </c>
      <c r="T69" s="45" t="str">
        <f t="shared" si="27"/>
        <v>[effect:fix_speed, target:myself, turn:4]</v>
      </c>
      <c r="U69" s="60">
        <f t="shared" si="28"/>
        <v>9</v>
      </c>
      <c r="V69" s="60">
        <f t="shared" si="29"/>
        <v>18</v>
      </c>
      <c r="W69" s="60">
        <f t="shared" si="30"/>
        <v>27</v>
      </c>
      <c r="X69" s="60">
        <f t="shared" si="31"/>
        <v>33</v>
      </c>
      <c r="Y69" s="60" t="str">
        <f>IFERROR(VLOOKUP(MID(T69,W69,X69-W69),[5]skilldef!$C:$D,2,FALSE),"-") &amp; " / " &amp; IFERROR(VLOOKUP(MID(T69,U69,V69-U69),[5]skilldef!$A:$B,2,FALSE),"-")</f>
        <v>自分自身に / 行動値設定</v>
      </c>
      <c r="Z69" s="47"/>
      <c r="AA69" s="49"/>
      <c r="AB69" s="47"/>
    </row>
    <row r="70" spans="1:28" ht="21" customHeight="1" x14ac:dyDescent="0.15">
      <c r="A70" s="175">
        <v>41015072</v>
      </c>
      <c r="B70" s="175" t="s">
        <v>477</v>
      </c>
      <c r="C70" s="176">
        <v>3</v>
      </c>
      <c r="D70" s="176" t="s">
        <v>396</v>
      </c>
      <c r="E70" s="177" t="s">
        <v>434</v>
      </c>
      <c r="F70" s="177" t="s">
        <v>435</v>
      </c>
      <c r="G70" s="60" t="str">
        <f t="shared" si="16"/>
        <v>[effect:enemy_message, val1:1, val2:2.4]</v>
      </c>
      <c r="H70" s="60">
        <f t="shared" si="17"/>
        <v>9</v>
      </c>
      <c r="I70" s="60">
        <f t="shared" si="18"/>
        <v>22</v>
      </c>
      <c r="J70" s="60" t="e">
        <f t="shared" si="19"/>
        <v>#VALUE!</v>
      </c>
      <c r="K70" s="60">
        <f t="shared" si="20"/>
        <v>30</v>
      </c>
      <c r="L70" s="60" t="str">
        <f>IFERROR(VLOOKUP(MID(G70,J70,K70-J70),[5]skilldef!$C:$D,2,FALSE),"-") &amp; " / " &amp; IFERROR(VLOOKUP(MID(G70,H70,I70-H70),[5]skilldef!$A:$B,2,FALSE),"-")</f>
        <v>- / -</v>
      </c>
      <c r="M70" s="60" t="str">
        <f t="shared" si="21"/>
        <v>none</v>
      </c>
      <c r="N70" s="45" t="str">
        <f>IFERROR(LEFT(M70,FIND("],",M70)+S77),M70)</f>
        <v>none</v>
      </c>
      <c r="O70" s="60" t="e">
        <f t="shared" si="23"/>
        <v>#VALUE!</v>
      </c>
      <c r="P70" s="60">
        <f t="shared" si="24"/>
        <v>4</v>
      </c>
      <c r="Q70" s="60" t="e">
        <f t="shared" si="25"/>
        <v>#VALUE!</v>
      </c>
      <c r="R70" s="60" t="e">
        <f t="shared" si="26"/>
        <v>#VALUE!</v>
      </c>
      <c r="S70" s="60" t="str">
        <f>IFERROR(VLOOKUP(MID(N70,Q70,R70-Q70),[5]skilldef!$C:$D,2,FALSE),"-") &amp; " / " &amp; IFERROR(VLOOKUP(MID(N70,O70,P70-O70),[5]skilldef!$A:$B,2,FALSE),"-")</f>
        <v>- / -</v>
      </c>
      <c r="T70" s="45" t="str">
        <f t="shared" si="27"/>
        <v>none</v>
      </c>
      <c r="U70" s="60" t="e">
        <f t="shared" si="28"/>
        <v>#VALUE!</v>
      </c>
      <c r="V70" s="60">
        <f t="shared" si="29"/>
        <v>4</v>
      </c>
      <c r="W70" s="60" t="e">
        <f t="shared" si="30"/>
        <v>#VALUE!</v>
      </c>
      <c r="X70" s="60" t="e">
        <f t="shared" si="31"/>
        <v>#VALUE!</v>
      </c>
      <c r="Y70" s="60" t="str">
        <f>IFERROR(VLOOKUP(MID(T70,W70,X70-W70),[5]skilldef!$C:$D,2,FALSE),"-") &amp; " / " &amp; IFERROR(VLOOKUP(MID(T70,U70,V70-U70),[5]skilldef!$A:$B,2,FALSE),"-")</f>
        <v>- / -</v>
      </c>
      <c r="Z70" s="47"/>
      <c r="AA70" s="49"/>
      <c r="AB70" s="47"/>
    </row>
    <row r="71" spans="1:28" ht="21" customHeight="1" x14ac:dyDescent="0.15">
      <c r="A71" s="175">
        <v>41015073</v>
      </c>
      <c r="B71" s="175" t="s">
        <v>436</v>
      </c>
      <c r="C71" s="176">
        <v>3</v>
      </c>
      <c r="D71" s="176" t="s">
        <v>348</v>
      </c>
      <c r="E71" s="177" t="s">
        <v>437</v>
      </c>
      <c r="F71" s="177" t="s">
        <v>438</v>
      </c>
      <c r="G71" s="60" t="str">
        <f t="shared" ref="G71:G72" si="33">IFERROR(LEFT(B71,FIND("],",B71)),B71)</f>
        <v>[effect:remove_enhancement, target:unit_all, target_effect:all, target_type:buff, animation:frozen_wave]</v>
      </c>
      <c r="H71" s="60">
        <f t="shared" ref="H71:H72" si="34">FIND("effect:",G71)+7</f>
        <v>9</v>
      </c>
      <c r="I71" s="60">
        <f t="shared" ref="I71:I72" si="35">IFERROR(FIND(",",G71),LEN(G71))</f>
        <v>27</v>
      </c>
      <c r="J71" s="60">
        <f t="shared" ref="J71:J72" si="36">FIND("target:",G71)+7</f>
        <v>36</v>
      </c>
      <c r="K71" s="60">
        <f t="shared" ref="K71:K72" si="37">FIND(",",G71,I71+1)</f>
        <v>44</v>
      </c>
      <c r="L71" s="60" t="str">
        <f>IFERROR(VLOOKUP(MID(G71,J71,K71-J71),[5]skilldef!$C:$D,2,FALSE),"-") &amp; " / " &amp; IFERROR(VLOOKUP(MID(G71,H71,I71-H71),[5]skilldef!$A:$B,2,FALSE),"-")</f>
        <v>味方全体に / -</v>
      </c>
      <c r="M71" s="60" t="str">
        <f t="shared" ref="M71:M72" si="38">IFERROR(RIGHT(B71,LEN(B71)-FIND("],",B71)-1),"none")</f>
        <v>[effect:damage_fix_absolute, target:unit_all, val:11111]</v>
      </c>
      <c r="N71" s="45" t="str">
        <f>IFERROR(LEFT(M71,FIND("],",M71)+S79),M71)</f>
        <v>[effect:damage_fix_absolute, target:unit_all, val:11111]</v>
      </c>
      <c r="O71" s="60">
        <f t="shared" ref="O71:O72" si="39">FIND("effect:",N71)+7</f>
        <v>9</v>
      </c>
      <c r="P71" s="60">
        <f t="shared" ref="P71:P72" si="40">IFERROR(FIND(",",N71),LEN(N71))</f>
        <v>28</v>
      </c>
      <c r="Q71" s="60">
        <f t="shared" ref="Q71:Q72" si="41">FIND("target:",N71)+7</f>
        <v>37</v>
      </c>
      <c r="R71" s="60">
        <f t="shared" ref="R71:R72" si="42">FIND(",",N71,P71+1)</f>
        <v>45</v>
      </c>
      <c r="S71" s="60" t="str">
        <f>IFERROR(VLOOKUP(MID(N71,Q71,R71-Q71),[5]skilldef!$C:$D,2,FALSE),"-") &amp; " / " &amp; IFERROR(VLOOKUP(MID(N71,O71,P71-O71),[5]skilldef!$A:$B,2,FALSE),"-")</f>
        <v>味方全体に / -</v>
      </c>
      <c r="T71" s="45" t="str">
        <f t="shared" ref="T71:T72" si="43">IFERROR(RIGHT(M71,LEN(M71)-FIND("],",M71)-1),"none")</f>
        <v>none</v>
      </c>
      <c r="U71" s="60" t="e">
        <f t="shared" ref="U71:U72" si="44">FIND("effect:",T71)+7</f>
        <v>#VALUE!</v>
      </c>
      <c r="V71" s="60">
        <f t="shared" ref="V71:V72" si="45">IFERROR(FIND(",",T71),LEN(T71))</f>
        <v>4</v>
      </c>
      <c r="W71" s="60" t="e">
        <f t="shared" ref="W71:W72" si="46">FIND("target:",T71)+7</f>
        <v>#VALUE!</v>
      </c>
      <c r="X71" s="60" t="e">
        <f t="shared" ref="X71:X72" si="47">FIND(",",T71,V71+1)</f>
        <v>#VALUE!</v>
      </c>
      <c r="Y71" s="60" t="str">
        <f>IFERROR(VLOOKUP(MID(T71,W71,X71-W71),[5]skilldef!$C:$D,2,FALSE),"-") &amp; " / " &amp; IFERROR(VLOOKUP(MID(T71,U71,V71-U71),[5]skilldef!$A:$B,2,FALSE),"-")</f>
        <v>- / -</v>
      </c>
      <c r="Z71" s="47"/>
      <c r="AA71" s="49"/>
      <c r="AB71" s="47"/>
    </row>
    <row r="72" spans="1:28" ht="21" customHeight="1" x14ac:dyDescent="0.15">
      <c r="A72" s="175">
        <v>41015075</v>
      </c>
      <c r="B72" s="175" t="s">
        <v>439</v>
      </c>
      <c r="C72" s="176">
        <v>3</v>
      </c>
      <c r="D72" s="176" t="s">
        <v>348</v>
      </c>
      <c r="E72" s="177" t="s">
        <v>437</v>
      </c>
      <c r="F72" s="177" t="s">
        <v>440</v>
      </c>
      <c r="G72" s="60" t="str">
        <f t="shared" si="33"/>
        <v>[effect:remove_enhancement, target:unit_all, target_effect:all, target_type:buff, animation:frozen_wave]</v>
      </c>
      <c r="H72" s="60">
        <f t="shared" si="34"/>
        <v>9</v>
      </c>
      <c r="I72" s="60">
        <f t="shared" si="35"/>
        <v>27</v>
      </c>
      <c r="J72" s="60">
        <f t="shared" si="36"/>
        <v>36</v>
      </c>
      <c r="K72" s="60">
        <f t="shared" si="37"/>
        <v>44</v>
      </c>
      <c r="L72" s="60" t="str">
        <f>IFERROR(VLOOKUP(MID(G72,J72,K72-J72),[5]skilldef!$C:$D,2,FALSE),"-") &amp; " / " &amp; IFERROR(VLOOKUP(MID(G72,H72,I72-H72),[5]skilldef!$A:$B,2,FALSE),"-")</f>
        <v>味方全体に / -</v>
      </c>
      <c r="M72" s="60" t="str">
        <f t="shared" si="38"/>
        <v>[effect:damage_fix_absolute, target:unit_all, val:11111],[effect:fix_speed, target:myself, turn:1]</v>
      </c>
      <c r="N72" s="45" t="str">
        <f>IFERROR(LEFT(M72,FIND("],",M72)+S83),M72)</f>
        <v>[effect:damage_fix_absolute, target:unit_all, val:11111],[effect:fix_speed, target:myself, turn:1]</v>
      </c>
      <c r="O72" s="60">
        <f t="shared" si="39"/>
        <v>9</v>
      </c>
      <c r="P72" s="60">
        <f t="shared" si="40"/>
        <v>28</v>
      </c>
      <c r="Q72" s="60">
        <f t="shared" si="41"/>
        <v>37</v>
      </c>
      <c r="R72" s="60">
        <f t="shared" si="42"/>
        <v>45</v>
      </c>
      <c r="S72" s="60" t="str">
        <f>IFERROR(VLOOKUP(MID(N72,Q72,R72-Q72),[5]skilldef!$C:$D,2,FALSE),"-") &amp; " / " &amp; IFERROR(VLOOKUP(MID(N72,O72,P72-O72),[5]skilldef!$A:$B,2,FALSE),"-")</f>
        <v>味方全体に / -</v>
      </c>
      <c r="T72" s="45" t="str">
        <f t="shared" si="43"/>
        <v>[effect:fix_speed, target:myself, turn:1]</v>
      </c>
      <c r="U72" s="60">
        <f t="shared" si="44"/>
        <v>9</v>
      </c>
      <c r="V72" s="60">
        <f t="shared" si="45"/>
        <v>18</v>
      </c>
      <c r="W72" s="60">
        <f t="shared" si="46"/>
        <v>27</v>
      </c>
      <c r="X72" s="60">
        <f t="shared" si="47"/>
        <v>33</v>
      </c>
      <c r="Y72" s="60" t="str">
        <f>IFERROR(VLOOKUP(MID(T72,W72,X72-W72),[5]skilldef!$C:$D,2,FALSE),"-") &amp; " / " &amp; IFERROR(VLOOKUP(MID(T72,U72,V72-U72),[5]skilldef!$A:$B,2,FALSE),"-")</f>
        <v>自分自身に / 行動値設定</v>
      </c>
      <c r="Z72" s="47"/>
      <c r="AA72" s="49"/>
      <c r="AB72" s="47"/>
    </row>
    <row r="73" spans="1:28" ht="21" customHeight="1" x14ac:dyDescent="0.15">
      <c r="A73" s="44">
        <v>41015080</v>
      </c>
      <c r="B73" s="44" t="s">
        <v>258</v>
      </c>
      <c r="C73" s="170">
        <v>3</v>
      </c>
      <c r="D73" s="170" t="s">
        <v>277</v>
      </c>
      <c r="E73" s="171" t="s">
        <v>278</v>
      </c>
      <c r="F73" s="171" t="s">
        <v>280</v>
      </c>
      <c r="G73" s="172" t="s">
        <v>281</v>
      </c>
      <c r="H73" s="172">
        <v>9</v>
      </c>
      <c r="I73" s="172">
        <v>13</v>
      </c>
      <c r="J73" s="172">
        <v>22</v>
      </c>
      <c r="K73" s="172">
        <v>31</v>
      </c>
      <c r="L73" s="172" t="s">
        <v>282</v>
      </c>
      <c r="M73" s="172" t="s">
        <v>283</v>
      </c>
      <c r="N73" s="173" t="s">
        <v>283</v>
      </c>
      <c r="O73" s="172" t="e">
        <v>#VALUE!</v>
      </c>
      <c r="P73" s="172">
        <v>4</v>
      </c>
      <c r="Q73" s="172" t="e">
        <v>#VALUE!</v>
      </c>
      <c r="R73" s="172" t="e">
        <v>#VALUE!</v>
      </c>
      <c r="S73" s="172" t="s">
        <v>284</v>
      </c>
      <c r="T73" s="173" t="s">
        <v>283</v>
      </c>
      <c r="U73" s="172" t="e">
        <v>#VALUE!</v>
      </c>
      <c r="V73" s="172">
        <v>4</v>
      </c>
      <c r="W73" s="172" t="e">
        <v>#VALUE!</v>
      </c>
      <c r="X73" s="172" t="e">
        <v>#VALUE!</v>
      </c>
      <c r="Y73" s="172" t="s">
        <v>284</v>
      </c>
      <c r="Z73" s="170"/>
      <c r="AA73" s="174"/>
      <c r="AB73" s="170"/>
    </row>
    <row r="74" spans="1:28" ht="21" customHeight="1" x14ac:dyDescent="0.15">
      <c r="A74" s="44">
        <v>41015081</v>
      </c>
      <c r="B74" s="44" t="s">
        <v>258</v>
      </c>
      <c r="C74" s="170">
        <v>3</v>
      </c>
      <c r="D74" s="170" t="s">
        <v>277</v>
      </c>
      <c r="E74" s="171" t="s">
        <v>286</v>
      </c>
      <c r="F74" s="171" t="s">
        <v>287</v>
      </c>
      <c r="G74" s="172" t="s">
        <v>281</v>
      </c>
      <c r="H74" s="172">
        <v>9</v>
      </c>
      <c r="I74" s="172">
        <v>13</v>
      </c>
      <c r="J74" s="172">
        <v>22</v>
      </c>
      <c r="K74" s="172">
        <v>31</v>
      </c>
      <c r="L74" s="172" t="s">
        <v>282</v>
      </c>
      <c r="M74" s="172" t="s">
        <v>283</v>
      </c>
      <c r="N74" s="173" t="s">
        <v>283</v>
      </c>
      <c r="O74" s="172" t="e">
        <v>#VALUE!</v>
      </c>
      <c r="P74" s="172">
        <v>4</v>
      </c>
      <c r="Q74" s="172" t="e">
        <v>#VALUE!</v>
      </c>
      <c r="R74" s="172" t="e">
        <v>#VALUE!</v>
      </c>
      <c r="S74" s="172" t="s">
        <v>284</v>
      </c>
      <c r="T74" s="173" t="s">
        <v>283</v>
      </c>
      <c r="U74" s="172" t="e">
        <v>#VALUE!</v>
      </c>
      <c r="V74" s="172">
        <v>4</v>
      </c>
      <c r="W74" s="172" t="e">
        <v>#VALUE!</v>
      </c>
      <c r="X74" s="172" t="e">
        <v>#VALUE!</v>
      </c>
      <c r="Y74" s="172" t="s">
        <v>284</v>
      </c>
      <c r="Z74" s="170"/>
      <c r="AA74" s="174"/>
      <c r="AB74" s="170"/>
    </row>
    <row r="75" spans="1:28" ht="21" customHeight="1" x14ac:dyDescent="0.15">
      <c r="A75" s="44">
        <v>41015082</v>
      </c>
      <c r="B75" s="44" t="s">
        <v>338</v>
      </c>
      <c r="C75" s="47">
        <v>3</v>
      </c>
      <c r="D75" s="47" t="s">
        <v>126</v>
      </c>
      <c r="E75" s="186" t="s">
        <v>441</v>
      </c>
      <c r="F75" s="186" t="s">
        <v>442</v>
      </c>
      <c r="G75" s="60" t="str">
        <f t="shared" ref="G75:G106" si="48">IFERROR(LEFT(B75,FIND("],",B75)),B75)</f>
        <v>[effect:tolerance, target:myself, turn:-1, tolerance_effect:hungup, count:-1, animation:enemy_tolerance]</v>
      </c>
      <c r="H75" s="60">
        <f t="shared" ref="H75:H104" si="49">FIND("effect:",G75)+7</f>
        <v>9</v>
      </c>
      <c r="I75" s="60">
        <f t="shared" ref="I75:I104" si="50">IFERROR(FIND(",",G75),LEN(G75))</f>
        <v>18</v>
      </c>
      <c r="J75" s="60">
        <f t="shared" ref="J75:J104" si="51">FIND("target:",G75)+7</f>
        <v>27</v>
      </c>
      <c r="K75" s="60">
        <f t="shared" ref="K75:K104" si="52">FIND(",",G75,I75+1)</f>
        <v>33</v>
      </c>
      <c r="L75" s="60" t="str">
        <f>IFERROR(VLOOKUP(MID(G75,J75,K75-J75),[5]skilldef!$C:$D,2,FALSE),"-") &amp; " / " &amp; IFERROR(VLOOKUP(MID(G75,H75,I75-H75),[5]skilldef!$A:$B,2,FALSE),"-")</f>
        <v>自分自身に / 状態異常耐性</v>
      </c>
      <c r="M75" s="60" t="str">
        <f t="shared" ref="M75:M104" si="53">IFERROR(RIGHT(B75,LEN(B75)-FIND("],",B75)-1),"none")</f>
        <v>none</v>
      </c>
      <c r="N75" s="45" t="str">
        <f>IFERROR(LEFT(M75,FIND("],",M75)+S88),M75)</f>
        <v>none</v>
      </c>
      <c r="O75" s="60" t="e">
        <f t="shared" ref="O75:O104" si="54">FIND("effect:",N75)+7</f>
        <v>#VALUE!</v>
      </c>
      <c r="P75" s="60">
        <f t="shared" ref="P75:P104" si="55">IFERROR(FIND(",",N75),LEN(N75))</f>
        <v>4</v>
      </c>
      <c r="Q75" s="60" t="e">
        <f t="shared" ref="Q75:Q104" si="56">FIND("target:",N75)+7</f>
        <v>#VALUE!</v>
      </c>
      <c r="R75" s="60" t="e">
        <f t="shared" ref="R75:R104" si="57">FIND(",",N75,P75+1)</f>
        <v>#VALUE!</v>
      </c>
      <c r="S75" s="60" t="str">
        <f>IFERROR(VLOOKUP(MID(N75,Q75,R75-Q75),[5]skilldef!$C:$D,2,FALSE),"-") &amp; " / " &amp; IFERROR(VLOOKUP(MID(N75,O75,P75-O75),[5]skilldef!$A:$B,2,FALSE),"-")</f>
        <v>- / -</v>
      </c>
      <c r="T75" s="45" t="str">
        <f t="shared" ref="T75:T104" si="58">IFERROR(RIGHT(M75,LEN(M75)-FIND("],",M75)-1),"none")</f>
        <v>none</v>
      </c>
      <c r="U75" s="60" t="e">
        <f t="shared" ref="U75:U104" si="59">FIND("effect:",T75)+7</f>
        <v>#VALUE!</v>
      </c>
      <c r="V75" s="60">
        <f t="shared" ref="V75:V104" si="60">IFERROR(FIND(",",T75),LEN(T75))</f>
        <v>4</v>
      </c>
      <c r="W75" s="60" t="e">
        <f t="shared" ref="W75:W104" si="61">FIND("target:",T75)+7</f>
        <v>#VALUE!</v>
      </c>
      <c r="X75" s="60" t="e">
        <f t="shared" ref="X75:X104" si="62">FIND(",",T75,V75+1)</f>
        <v>#VALUE!</v>
      </c>
      <c r="Y75" s="60" t="str">
        <f>IFERROR(VLOOKUP(MID(T75,W75,X75-W75),[5]skilldef!$C:$D,2,FALSE),"-") &amp; " / " &amp; IFERROR(VLOOKUP(MID(T75,U75,V75-U75),[5]skilldef!$A:$B,2,FALSE),"-")</f>
        <v>- / -</v>
      </c>
      <c r="Z75" s="47"/>
      <c r="AA75" s="49"/>
      <c r="AB75" s="47"/>
    </row>
    <row r="76" spans="1:28" ht="21" customHeight="1" x14ac:dyDescent="0.15">
      <c r="A76" s="44">
        <v>41015083</v>
      </c>
      <c r="B76" s="44" t="s">
        <v>338</v>
      </c>
      <c r="C76" s="47">
        <v>3</v>
      </c>
      <c r="D76" s="47" t="s">
        <v>126</v>
      </c>
      <c r="E76" s="186" t="s">
        <v>341</v>
      </c>
      <c r="F76" s="186" t="s">
        <v>443</v>
      </c>
      <c r="G76" s="60" t="str">
        <f t="shared" si="48"/>
        <v>[effect:tolerance, target:myself, turn:-1, tolerance_effect:hungup, count:-1, animation:enemy_tolerance]</v>
      </c>
      <c r="H76" s="60">
        <f t="shared" si="49"/>
        <v>9</v>
      </c>
      <c r="I76" s="60">
        <f t="shared" si="50"/>
        <v>18</v>
      </c>
      <c r="J76" s="60">
        <f t="shared" si="51"/>
        <v>27</v>
      </c>
      <c r="K76" s="60">
        <f t="shared" si="52"/>
        <v>33</v>
      </c>
      <c r="L76" s="60" t="str">
        <f>IFERROR(VLOOKUP(MID(G76,J76,K76-J76),[5]skilldef!$C:$D,2,FALSE),"-") &amp; " / " &amp; IFERROR(VLOOKUP(MID(G76,H76,I76-H76),[5]skilldef!$A:$B,2,FALSE),"-")</f>
        <v>自分自身に / 状態異常耐性</v>
      </c>
      <c r="M76" s="60" t="str">
        <f t="shared" si="53"/>
        <v>none</v>
      </c>
      <c r="N76" s="45" t="str">
        <f>IFERROR(LEFT(M76,FIND("],",M76)+S90),M76)</f>
        <v>none</v>
      </c>
      <c r="O76" s="60" t="e">
        <f t="shared" si="54"/>
        <v>#VALUE!</v>
      </c>
      <c r="P76" s="60">
        <f t="shared" si="55"/>
        <v>4</v>
      </c>
      <c r="Q76" s="60" t="e">
        <f t="shared" si="56"/>
        <v>#VALUE!</v>
      </c>
      <c r="R76" s="60" t="e">
        <f t="shared" si="57"/>
        <v>#VALUE!</v>
      </c>
      <c r="S76" s="60" t="str">
        <f>IFERROR(VLOOKUP(MID(N76,Q76,R76-Q76),[5]skilldef!$C:$D,2,FALSE),"-") &amp; " / " &amp; IFERROR(VLOOKUP(MID(N76,O76,P76-O76),[5]skilldef!$A:$B,2,FALSE),"-")</f>
        <v>- / -</v>
      </c>
      <c r="T76" s="45" t="str">
        <f t="shared" si="58"/>
        <v>none</v>
      </c>
      <c r="U76" s="60" t="e">
        <f t="shared" si="59"/>
        <v>#VALUE!</v>
      </c>
      <c r="V76" s="60">
        <f t="shared" si="60"/>
        <v>4</v>
      </c>
      <c r="W76" s="60" t="e">
        <f t="shared" si="61"/>
        <v>#VALUE!</v>
      </c>
      <c r="X76" s="60" t="e">
        <f t="shared" si="62"/>
        <v>#VALUE!</v>
      </c>
      <c r="Y76" s="60" t="str">
        <f>IFERROR(VLOOKUP(MID(T76,W76,X76-W76),[5]skilldef!$C:$D,2,FALSE),"-") &amp; " / " &amp; IFERROR(VLOOKUP(MID(T76,U76,V76-U76),[5]skilldef!$A:$B,2,FALSE),"-")</f>
        <v>- / -</v>
      </c>
      <c r="Z76" s="47"/>
      <c r="AA76" s="49"/>
      <c r="AB76" s="47"/>
    </row>
    <row r="77" spans="1:28" ht="21" customHeight="1" x14ac:dyDescent="0.15">
      <c r="A77" s="44">
        <v>41015084</v>
      </c>
      <c r="B77" s="44" t="s">
        <v>338</v>
      </c>
      <c r="C77" s="47">
        <v>3</v>
      </c>
      <c r="D77" s="47" t="s">
        <v>126</v>
      </c>
      <c r="E77" s="186" t="s">
        <v>343</v>
      </c>
      <c r="F77" s="186" t="s">
        <v>344</v>
      </c>
      <c r="G77" s="60" t="str">
        <f t="shared" si="48"/>
        <v>[effect:tolerance, target:myself, turn:-1, tolerance_effect:hungup, count:-1, animation:enemy_tolerance]</v>
      </c>
      <c r="H77" s="60">
        <f t="shared" si="49"/>
        <v>9</v>
      </c>
      <c r="I77" s="60">
        <f t="shared" si="50"/>
        <v>18</v>
      </c>
      <c r="J77" s="60">
        <f t="shared" si="51"/>
        <v>27</v>
      </c>
      <c r="K77" s="60">
        <f t="shared" si="52"/>
        <v>33</v>
      </c>
      <c r="L77" s="60" t="str">
        <f>IFERROR(VLOOKUP(MID(G77,J77,K77-J77),[5]skilldef!$C:$D,2,FALSE),"-") &amp; " / " &amp; IFERROR(VLOOKUP(MID(G77,H77,I77-H77),[5]skilldef!$A:$B,2,FALSE),"-")</f>
        <v>自分自身に / 状態異常耐性</v>
      </c>
      <c r="M77" s="60" t="str">
        <f t="shared" si="53"/>
        <v>none</v>
      </c>
      <c r="N77" s="45" t="str">
        <f>IFERROR(LEFT(M77,FIND("],",M77)+S92),M77)</f>
        <v>none</v>
      </c>
      <c r="O77" s="60" t="e">
        <f t="shared" si="54"/>
        <v>#VALUE!</v>
      </c>
      <c r="P77" s="60">
        <f t="shared" si="55"/>
        <v>4</v>
      </c>
      <c r="Q77" s="60" t="e">
        <f t="shared" si="56"/>
        <v>#VALUE!</v>
      </c>
      <c r="R77" s="60" t="e">
        <f t="shared" si="57"/>
        <v>#VALUE!</v>
      </c>
      <c r="S77" s="60" t="str">
        <f>IFERROR(VLOOKUP(MID(N77,Q77,R77-Q77),[5]skilldef!$C:$D,2,FALSE),"-") &amp; " / " &amp; IFERROR(VLOOKUP(MID(N77,O77,P77-O77),[5]skilldef!$A:$B,2,FALSE),"-")</f>
        <v>- / -</v>
      </c>
      <c r="T77" s="45" t="str">
        <f t="shared" si="58"/>
        <v>none</v>
      </c>
      <c r="U77" s="60" t="e">
        <f t="shared" si="59"/>
        <v>#VALUE!</v>
      </c>
      <c r="V77" s="60">
        <f t="shared" si="60"/>
        <v>4</v>
      </c>
      <c r="W77" s="60" t="e">
        <f t="shared" si="61"/>
        <v>#VALUE!</v>
      </c>
      <c r="X77" s="60" t="e">
        <f t="shared" si="62"/>
        <v>#VALUE!</v>
      </c>
      <c r="Y77" s="60" t="str">
        <f>IFERROR(VLOOKUP(MID(T77,W77,X77-W77),[5]skilldef!$C:$D,2,FALSE),"-") &amp; " / " &amp; IFERROR(VLOOKUP(MID(T77,U77,V77-U77),[5]skilldef!$A:$B,2,FALSE),"-")</f>
        <v>- / -</v>
      </c>
      <c r="Z77" s="47"/>
      <c r="AA77" s="49"/>
      <c r="AB77" s="47"/>
    </row>
    <row r="78" spans="1:28" ht="21" customHeight="1" x14ac:dyDescent="0.15">
      <c r="A78" s="44">
        <v>41015085</v>
      </c>
      <c r="B78" s="44" t="s">
        <v>338</v>
      </c>
      <c r="C78" s="47">
        <v>3</v>
      </c>
      <c r="D78" s="47" t="s">
        <v>126</v>
      </c>
      <c r="E78" s="186" t="s">
        <v>345</v>
      </c>
      <c r="F78" s="186" t="s">
        <v>346</v>
      </c>
      <c r="G78" s="60" t="str">
        <f t="shared" si="48"/>
        <v>[effect:tolerance, target:myself, turn:-1, tolerance_effect:hungup, count:-1, animation:enemy_tolerance]</v>
      </c>
      <c r="H78" s="60">
        <f t="shared" si="49"/>
        <v>9</v>
      </c>
      <c r="I78" s="60">
        <f t="shared" si="50"/>
        <v>18</v>
      </c>
      <c r="J78" s="60">
        <f t="shared" si="51"/>
        <v>27</v>
      </c>
      <c r="K78" s="60">
        <f t="shared" si="52"/>
        <v>33</v>
      </c>
      <c r="L78" s="60" t="str">
        <f>IFERROR(VLOOKUP(MID(G78,J78,K78-J78),[5]skilldef!$C:$D,2,FALSE),"-") &amp; " / " &amp; IFERROR(VLOOKUP(MID(G78,H78,I78-H78),[5]skilldef!$A:$B,2,FALSE),"-")</f>
        <v>自分自身に / 状態異常耐性</v>
      </c>
      <c r="M78" s="60" t="str">
        <f t="shared" si="53"/>
        <v>none</v>
      </c>
      <c r="N78" s="45" t="str">
        <f t="shared" ref="N78" si="63">IFERROR(LEFT(M78,FIND("],",M78)+S92),M78)</f>
        <v>none</v>
      </c>
      <c r="O78" s="60" t="e">
        <f t="shared" si="54"/>
        <v>#VALUE!</v>
      </c>
      <c r="P78" s="60">
        <f t="shared" si="55"/>
        <v>4</v>
      </c>
      <c r="Q78" s="60" t="e">
        <f t="shared" si="56"/>
        <v>#VALUE!</v>
      </c>
      <c r="R78" s="60" t="e">
        <f t="shared" si="57"/>
        <v>#VALUE!</v>
      </c>
      <c r="S78" s="60" t="str">
        <f>IFERROR(VLOOKUP(MID(N78,Q78,R78-Q78),[5]skilldef!$C:$D,2,FALSE),"-") &amp; " / " &amp; IFERROR(VLOOKUP(MID(N78,O78,P78-O78),[5]skilldef!$A:$B,2,FALSE),"-")</f>
        <v>- / -</v>
      </c>
      <c r="T78" s="45" t="str">
        <f t="shared" si="58"/>
        <v>none</v>
      </c>
      <c r="U78" s="60" t="e">
        <f t="shared" si="59"/>
        <v>#VALUE!</v>
      </c>
      <c r="V78" s="60">
        <f t="shared" si="60"/>
        <v>4</v>
      </c>
      <c r="W78" s="60" t="e">
        <f t="shared" si="61"/>
        <v>#VALUE!</v>
      </c>
      <c r="X78" s="60" t="e">
        <f t="shared" si="62"/>
        <v>#VALUE!</v>
      </c>
      <c r="Y78" s="60" t="str">
        <f>IFERROR(VLOOKUP(MID(T78,W78,X78-W78),[5]skilldef!$C:$D,2,FALSE),"-") &amp; " / " &amp; IFERROR(VLOOKUP(MID(T78,U78,V78-U78),[5]skilldef!$A:$B,2,FALSE),"-")</f>
        <v>- / -</v>
      </c>
      <c r="Z78" s="47"/>
      <c r="AA78" s="49"/>
      <c r="AB78" s="47"/>
    </row>
    <row r="79" spans="1:28" ht="21" customHeight="1" x14ac:dyDescent="0.15">
      <c r="A79" s="44">
        <v>41015086</v>
      </c>
      <c r="B79" s="103" t="s">
        <v>444</v>
      </c>
      <c r="C79" s="47">
        <v>3</v>
      </c>
      <c r="D79" s="47" t="s">
        <v>126</v>
      </c>
      <c r="E79" s="186" t="s">
        <v>345</v>
      </c>
      <c r="F79" s="186" t="s">
        <v>346</v>
      </c>
      <c r="G79" s="60" t="str">
        <f t="shared" si="48"/>
        <v>[effect:tolerance, target:myself, turn:-1, tolerance_effect:hungup, count:-1, animation:enemy_tolerance]</v>
      </c>
      <c r="H79" s="60">
        <f t="shared" si="49"/>
        <v>9</v>
      </c>
      <c r="I79" s="60">
        <f t="shared" si="50"/>
        <v>18</v>
      </c>
      <c r="J79" s="60">
        <f t="shared" si="51"/>
        <v>27</v>
      </c>
      <c r="K79" s="60">
        <f t="shared" si="52"/>
        <v>33</v>
      </c>
      <c r="L79" s="60" t="str">
        <f>IFERROR(VLOOKUP(MID(G79,J79,K79-J79),[5]skilldef!$C:$D,2,FALSE),"-") &amp; " / " &amp; IFERROR(VLOOKUP(MID(G79,H79,I79-H79),[5]skilldef!$A:$B,2,FALSE),"-")</f>
        <v>自分自身に / 状態異常耐性</v>
      </c>
      <c r="M79" s="60" t="str">
        <f t="shared" si="53"/>
        <v>none</v>
      </c>
      <c r="N79" s="45" t="str">
        <f>IFERROR(LEFT(M79,FIND("],",M79)+S94),M79)</f>
        <v>none</v>
      </c>
      <c r="O79" s="60" t="e">
        <f t="shared" si="54"/>
        <v>#VALUE!</v>
      </c>
      <c r="P79" s="60">
        <f t="shared" si="55"/>
        <v>4</v>
      </c>
      <c r="Q79" s="60" t="e">
        <f t="shared" si="56"/>
        <v>#VALUE!</v>
      </c>
      <c r="R79" s="60" t="e">
        <f t="shared" si="57"/>
        <v>#VALUE!</v>
      </c>
      <c r="S79" s="60" t="str">
        <f>IFERROR(VLOOKUP(MID(N79,Q79,R79-Q79),[5]skilldef!$C:$D,2,FALSE),"-") &amp; " / " &amp; IFERROR(VLOOKUP(MID(N79,O79,P79-O79),[5]skilldef!$A:$B,2,FALSE),"-")</f>
        <v>- / -</v>
      </c>
      <c r="T79" s="45" t="str">
        <f t="shared" si="58"/>
        <v>none</v>
      </c>
      <c r="U79" s="60" t="e">
        <f t="shared" si="59"/>
        <v>#VALUE!</v>
      </c>
      <c r="V79" s="60">
        <f t="shared" si="60"/>
        <v>4</v>
      </c>
      <c r="W79" s="60" t="e">
        <f t="shared" si="61"/>
        <v>#VALUE!</v>
      </c>
      <c r="X79" s="60" t="e">
        <f t="shared" si="62"/>
        <v>#VALUE!</v>
      </c>
      <c r="Y79" s="60" t="str">
        <f>IFERROR(VLOOKUP(MID(T79,W79,X79-W79),[5]skilldef!$C:$D,2,FALSE),"-") &amp; " / " &amp; IFERROR(VLOOKUP(MID(T79,U79,V79-U79),[5]skilldef!$A:$B,2,FALSE),"-")</f>
        <v>- / -</v>
      </c>
      <c r="Z79" s="47"/>
      <c r="AA79" s="49"/>
      <c r="AB79" s="47"/>
    </row>
    <row r="80" spans="1:28" ht="21" customHeight="1" x14ac:dyDescent="0.15">
      <c r="A80" s="44">
        <v>41015087</v>
      </c>
      <c r="B80" s="103" t="s">
        <v>444</v>
      </c>
      <c r="C80" s="47">
        <v>3</v>
      </c>
      <c r="D80" s="47" t="s">
        <v>126</v>
      </c>
      <c r="E80" s="178" t="s">
        <v>349</v>
      </c>
      <c r="F80" s="186" t="s">
        <v>350</v>
      </c>
      <c r="G80" s="60" t="str">
        <f t="shared" si="48"/>
        <v>[effect:tolerance, target:myself, turn:-1, tolerance_effect:hungup, count:-1, animation:enemy_tolerance]</v>
      </c>
      <c r="H80" s="60">
        <f t="shared" si="49"/>
        <v>9</v>
      </c>
      <c r="I80" s="60">
        <f t="shared" si="50"/>
        <v>18</v>
      </c>
      <c r="J80" s="60">
        <f t="shared" si="51"/>
        <v>27</v>
      </c>
      <c r="K80" s="60">
        <f t="shared" si="52"/>
        <v>33</v>
      </c>
      <c r="L80" s="60" t="str">
        <f>IFERROR(VLOOKUP(MID(G80,J80,K80-J80),[5]skilldef!$C:$D,2,FALSE),"-") &amp; " / " &amp; IFERROR(VLOOKUP(MID(G80,H80,I80-H80),[5]skilldef!$A:$B,2,FALSE),"-")</f>
        <v>自分自身に / 状態異常耐性</v>
      </c>
      <c r="M80" s="60" t="str">
        <f t="shared" si="53"/>
        <v>none</v>
      </c>
      <c r="N80" s="45" t="str">
        <f>IFERROR(LEFT(M80,FIND("],",M80)+S95),M80)</f>
        <v>none</v>
      </c>
      <c r="O80" s="60" t="e">
        <f t="shared" si="54"/>
        <v>#VALUE!</v>
      </c>
      <c r="P80" s="60">
        <f t="shared" si="55"/>
        <v>4</v>
      </c>
      <c r="Q80" s="60" t="e">
        <f t="shared" si="56"/>
        <v>#VALUE!</v>
      </c>
      <c r="R80" s="60" t="e">
        <f t="shared" si="57"/>
        <v>#VALUE!</v>
      </c>
      <c r="S80" s="60" t="str">
        <f>IFERROR(VLOOKUP(MID(N80,Q80,R80-Q80),[5]skilldef!$C:$D,2,FALSE),"-") &amp; " / " &amp; IFERROR(VLOOKUP(MID(N80,O80,P80-O80),[5]skilldef!$A:$B,2,FALSE),"-")</f>
        <v>- / -</v>
      </c>
      <c r="T80" s="45" t="str">
        <f t="shared" si="58"/>
        <v>none</v>
      </c>
      <c r="U80" s="60" t="e">
        <f t="shared" si="59"/>
        <v>#VALUE!</v>
      </c>
      <c r="V80" s="60">
        <f t="shared" si="60"/>
        <v>4</v>
      </c>
      <c r="W80" s="60" t="e">
        <f t="shared" si="61"/>
        <v>#VALUE!</v>
      </c>
      <c r="X80" s="60" t="e">
        <f t="shared" si="62"/>
        <v>#VALUE!</v>
      </c>
      <c r="Y80" s="60" t="str">
        <f>IFERROR(VLOOKUP(MID(T80,W80,X80-W80),[5]skilldef!$C:$D,2,FALSE),"-") &amp; " / " &amp; IFERROR(VLOOKUP(MID(T80,U80,V80-U80),[5]skilldef!$A:$B,2,FALSE),"-")</f>
        <v>- / -</v>
      </c>
      <c r="Z80" s="47"/>
      <c r="AA80" s="49"/>
      <c r="AB80" s="47"/>
    </row>
    <row r="81" spans="1:28" ht="21" customHeight="1" x14ac:dyDescent="0.15">
      <c r="A81" s="44">
        <v>41015088</v>
      </c>
      <c r="B81" s="103" t="s">
        <v>444</v>
      </c>
      <c r="C81" s="47">
        <v>3</v>
      </c>
      <c r="D81" s="47" t="s">
        <v>126</v>
      </c>
      <c r="E81" s="178" t="s">
        <v>349</v>
      </c>
      <c r="F81" s="186" t="s">
        <v>350</v>
      </c>
      <c r="G81" s="60" t="str">
        <f t="shared" si="48"/>
        <v>[effect:tolerance, target:myself, turn:-1, tolerance_effect:hungup, count:-1, animation:enemy_tolerance]</v>
      </c>
      <c r="H81" s="60">
        <f t="shared" si="49"/>
        <v>9</v>
      </c>
      <c r="I81" s="60">
        <f t="shared" si="50"/>
        <v>18</v>
      </c>
      <c r="J81" s="60">
        <f t="shared" si="51"/>
        <v>27</v>
      </c>
      <c r="K81" s="60">
        <f t="shared" si="52"/>
        <v>33</v>
      </c>
      <c r="L81" s="60" t="str">
        <f>IFERROR(VLOOKUP(MID(G81,J81,K81-J81),[5]skilldef!$C:$D,2,FALSE),"-") &amp; " / " &amp; IFERROR(VLOOKUP(MID(G81,H81,I81-H81),[5]skilldef!$A:$B,2,FALSE),"-")</f>
        <v>自分自身に / 状態異常耐性</v>
      </c>
      <c r="M81" s="60" t="str">
        <f t="shared" si="53"/>
        <v>none</v>
      </c>
      <c r="N81" s="45" t="str">
        <f>IFERROR(LEFT(M81,FIND("],",M81)+S96),M81)</f>
        <v>none</v>
      </c>
      <c r="O81" s="60" t="e">
        <f t="shared" si="54"/>
        <v>#VALUE!</v>
      </c>
      <c r="P81" s="60">
        <f t="shared" si="55"/>
        <v>4</v>
      </c>
      <c r="Q81" s="60" t="e">
        <f t="shared" si="56"/>
        <v>#VALUE!</v>
      </c>
      <c r="R81" s="60" t="e">
        <f t="shared" si="57"/>
        <v>#VALUE!</v>
      </c>
      <c r="S81" s="60" t="str">
        <f>IFERROR(VLOOKUP(MID(N81,Q81,R81-Q81),[5]skilldef!$C:$D,2,FALSE),"-") &amp; " / " &amp; IFERROR(VLOOKUP(MID(N81,O81,P81-O81),[5]skilldef!$A:$B,2,FALSE),"-")</f>
        <v>- / -</v>
      </c>
      <c r="T81" s="45" t="str">
        <f t="shared" si="58"/>
        <v>none</v>
      </c>
      <c r="U81" s="60" t="e">
        <f t="shared" si="59"/>
        <v>#VALUE!</v>
      </c>
      <c r="V81" s="60">
        <f t="shared" si="60"/>
        <v>4</v>
      </c>
      <c r="W81" s="60" t="e">
        <f t="shared" si="61"/>
        <v>#VALUE!</v>
      </c>
      <c r="X81" s="60" t="e">
        <f t="shared" si="62"/>
        <v>#VALUE!</v>
      </c>
      <c r="Y81" s="60" t="str">
        <f>IFERROR(VLOOKUP(MID(T81,W81,X81-W81),[5]skilldef!$C:$D,2,FALSE),"-") &amp; " / " &amp; IFERROR(VLOOKUP(MID(T81,U81,V81-U81),[5]skilldef!$A:$B,2,FALSE),"-")</f>
        <v>- / -</v>
      </c>
      <c r="Z81" s="47"/>
      <c r="AA81" s="49"/>
      <c r="AB81" s="47"/>
    </row>
    <row r="82" spans="1:28" ht="21" customHeight="1" x14ac:dyDescent="0.15">
      <c r="A82" s="44">
        <v>41015089</v>
      </c>
      <c r="B82" s="103" t="s">
        <v>444</v>
      </c>
      <c r="C82" s="47">
        <v>3</v>
      </c>
      <c r="D82" s="47" t="s">
        <v>126</v>
      </c>
      <c r="E82" s="186" t="s">
        <v>351</v>
      </c>
      <c r="F82" s="186" t="s">
        <v>352</v>
      </c>
      <c r="G82" s="60" t="str">
        <f t="shared" si="48"/>
        <v>[effect:tolerance, target:myself, turn:-1, tolerance_effect:hungup, count:-1, animation:enemy_tolerance]</v>
      </c>
      <c r="H82" s="60">
        <f t="shared" si="49"/>
        <v>9</v>
      </c>
      <c r="I82" s="60">
        <f t="shared" si="50"/>
        <v>18</v>
      </c>
      <c r="J82" s="60">
        <f t="shared" si="51"/>
        <v>27</v>
      </c>
      <c r="K82" s="60">
        <f t="shared" si="52"/>
        <v>33</v>
      </c>
      <c r="L82" s="60" t="str">
        <f>IFERROR(VLOOKUP(MID(G82,J82,K82-J82),[5]skilldef!$C:$D,2,FALSE),"-") &amp; " / " &amp; IFERROR(VLOOKUP(MID(G82,H82,I82-H82),[5]skilldef!$A:$B,2,FALSE),"-")</f>
        <v>自分自身に / 状態異常耐性</v>
      </c>
      <c r="M82" s="60" t="str">
        <f t="shared" si="53"/>
        <v>none</v>
      </c>
      <c r="N82" s="45" t="str">
        <f t="shared" ref="N82" si="64">IFERROR(LEFT(M82,FIND("],",M82)+S95),M82)</f>
        <v>none</v>
      </c>
      <c r="O82" s="60" t="e">
        <f t="shared" si="54"/>
        <v>#VALUE!</v>
      </c>
      <c r="P82" s="60">
        <f t="shared" si="55"/>
        <v>4</v>
      </c>
      <c r="Q82" s="60" t="e">
        <f t="shared" si="56"/>
        <v>#VALUE!</v>
      </c>
      <c r="R82" s="60" t="e">
        <f t="shared" si="57"/>
        <v>#VALUE!</v>
      </c>
      <c r="S82" s="60" t="str">
        <f>IFERROR(VLOOKUP(MID(N82,Q82,R82-Q82),[5]skilldef!$C:$D,2,FALSE),"-") &amp; " / " &amp; IFERROR(VLOOKUP(MID(N82,O82,P82-O82),[5]skilldef!$A:$B,2,FALSE),"-")</f>
        <v>- / -</v>
      </c>
      <c r="T82" s="45" t="str">
        <f t="shared" si="58"/>
        <v>none</v>
      </c>
      <c r="U82" s="60" t="e">
        <f t="shared" si="59"/>
        <v>#VALUE!</v>
      </c>
      <c r="V82" s="60">
        <f t="shared" si="60"/>
        <v>4</v>
      </c>
      <c r="W82" s="60" t="e">
        <f t="shared" si="61"/>
        <v>#VALUE!</v>
      </c>
      <c r="X82" s="60" t="e">
        <f t="shared" si="62"/>
        <v>#VALUE!</v>
      </c>
      <c r="Y82" s="60" t="str">
        <f>IFERROR(VLOOKUP(MID(T82,W82,X82-W82),[5]skilldef!$C:$D,2,FALSE),"-") &amp; " / " &amp; IFERROR(VLOOKUP(MID(T82,U82,V82-U82),[5]skilldef!$A:$B,2,FALSE),"-")</f>
        <v>- / -</v>
      </c>
      <c r="Z82" s="47"/>
      <c r="AA82" s="49"/>
      <c r="AB82" s="47"/>
    </row>
    <row r="83" spans="1:28" ht="21" customHeight="1" x14ac:dyDescent="0.15">
      <c r="A83" s="44">
        <v>41015090</v>
      </c>
      <c r="B83" s="103" t="s">
        <v>444</v>
      </c>
      <c r="C83" s="47">
        <v>3</v>
      </c>
      <c r="D83" s="47" t="s">
        <v>126</v>
      </c>
      <c r="E83" s="186" t="s">
        <v>351</v>
      </c>
      <c r="F83" s="186" t="s">
        <v>352</v>
      </c>
      <c r="G83" s="60" t="str">
        <f t="shared" si="48"/>
        <v>[effect:tolerance, target:myself, turn:-1, tolerance_effect:hungup, count:-1, animation:enemy_tolerance]</v>
      </c>
      <c r="H83" s="60">
        <f t="shared" si="49"/>
        <v>9</v>
      </c>
      <c r="I83" s="60">
        <f t="shared" si="50"/>
        <v>18</v>
      </c>
      <c r="J83" s="60">
        <f t="shared" si="51"/>
        <v>27</v>
      </c>
      <c r="K83" s="60">
        <f t="shared" si="52"/>
        <v>33</v>
      </c>
      <c r="L83" s="60" t="str">
        <f>IFERROR(VLOOKUP(MID(G83,J83,K83-J83),[5]skilldef!$C:$D,2,FALSE),"-") &amp; " / " &amp; IFERROR(VLOOKUP(MID(G83,H83,I83-H83),[5]skilldef!$A:$B,2,FALSE),"-")</f>
        <v>自分自身に / 状態異常耐性</v>
      </c>
      <c r="M83" s="60" t="str">
        <f t="shared" si="53"/>
        <v>none</v>
      </c>
      <c r="N83" s="45" t="str">
        <f>IFERROR(LEFT(M83,FIND("],",M83)+S96),M83)</f>
        <v>none</v>
      </c>
      <c r="O83" s="60" t="e">
        <f t="shared" si="54"/>
        <v>#VALUE!</v>
      </c>
      <c r="P83" s="60">
        <f t="shared" si="55"/>
        <v>4</v>
      </c>
      <c r="Q83" s="60" t="e">
        <f t="shared" si="56"/>
        <v>#VALUE!</v>
      </c>
      <c r="R83" s="60" t="e">
        <f t="shared" si="57"/>
        <v>#VALUE!</v>
      </c>
      <c r="S83" s="60" t="str">
        <f>IFERROR(VLOOKUP(MID(N83,Q83,R83-Q83),[5]skilldef!$C:$D,2,FALSE),"-") &amp; " / " &amp; IFERROR(VLOOKUP(MID(N83,O83,P83-O83),[5]skilldef!$A:$B,2,FALSE),"-")</f>
        <v>- / -</v>
      </c>
      <c r="T83" s="45" t="str">
        <f t="shared" si="58"/>
        <v>none</v>
      </c>
      <c r="U83" s="60" t="e">
        <f t="shared" si="59"/>
        <v>#VALUE!</v>
      </c>
      <c r="V83" s="60">
        <f t="shared" si="60"/>
        <v>4</v>
      </c>
      <c r="W83" s="60" t="e">
        <f t="shared" si="61"/>
        <v>#VALUE!</v>
      </c>
      <c r="X83" s="60" t="e">
        <f t="shared" si="62"/>
        <v>#VALUE!</v>
      </c>
      <c r="Y83" s="60" t="str">
        <f>IFERROR(VLOOKUP(MID(T83,W83,X83-W83),[5]skilldef!$C:$D,2,FALSE),"-") &amp; " / " &amp; IFERROR(VLOOKUP(MID(T83,U83,V83-U83),[5]skilldef!$A:$B,2,FALSE),"-")</f>
        <v>- / -</v>
      </c>
      <c r="Z83" s="47"/>
      <c r="AA83" s="49"/>
      <c r="AB83" s="47"/>
    </row>
    <row r="84" spans="1:28" ht="21" customHeight="1" x14ac:dyDescent="0.15">
      <c r="A84" s="44">
        <v>41015091</v>
      </c>
      <c r="B84" s="103" t="s">
        <v>444</v>
      </c>
      <c r="C84" s="47">
        <v>3</v>
      </c>
      <c r="D84" s="47" t="s">
        <v>126</v>
      </c>
      <c r="E84" s="186" t="s">
        <v>353</v>
      </c>
      <c r="F84" s="186" t="s">
        <v>354</v>
      </c>
      <c r="G84" s="60" t="str">
        <f t="shared" si="48"/>
        <v>[effect:tolerance, target:myself, turn:-1, tolerance_effect:hungup, count:-1, animation:enemy_tolerance]</v>
      </c>
      <c r="H84" s="60">
        <f t="shared" si="49"/>
        <v>9</v>
      </c>
      <c r="I84" s="60">
        <f t="shared" si="50"/>
        <v>18</v>
      </c>
      <c r="J84" s="60">
        <f t="shared" si="51"/>
        <v>27</v>
      </c>
      <c r="K84" s="60">
        <f t="shared" si="52"/>
        <v>33</v>
      </c>
      <c r="L84" s="60" t="str">
        <f>IFERROR(VLOOKUP(MID(G84,J84,K84-J84),[5]skilldef!$C:$D,2,FALSE),"-") &amp; " / " &amp; IFERROR(VLOOKUP(MID(G84,H84,I84-H84),[5]skilldef!$A:$B,2,FALSE),"-")</f>
        <v>自分自身に / 状態異常耐性</v>
      </c>
      <c r="M84" s="60" t="str">
        <f t="shared" si="53"/>
        <v>none</v>
      </c>
      <c r="N84" s="45" t="str">
        <f>IFERROR(LEFT(M84,FIND("],",M84)+S97),M84)</f>
        <v>none</v>
      </c>
      <c r="O84" s="60" t="e">
        <f t="shared" si="54"/>
        <v>#VALUE!</v>
      </c>
      <c r="P84" s="60">
        <f t="shared" si="55"/>
        <v>4</v>
      </c>
      <c r="Q84" s="60" t="e">
        <f t="shared" si="56"/>
        <v>#VALUE!</v>
      </c>
      <c r="R84" s="60" t="e">
        <f t="shared" si="57"/>
        <v>#VALUE!</v>
      </c>
      <c r="S84" s="60" t="str">
        <f>IFERROR(VLOOKUP(MID(N84,Q84,R84-Q84),[5]skilldef!$C:$D,2,FALSE),"-") &amp; " / " &amp; IFERROR(VLOOKUP(MID(N84,O84,P84-O84),[5]skilldef!$A:$B,2,FALSE),"-")</f>
        <v>- / -</v>
      </c>
      <c r="T84" s="45" t="str">
        <f t="shared" si="58"/>
        <v>none</v>
      </c>
      <c r="U84" s="60" t="e">
        <f t="shared" si="59"/>
        <v>#VALUE!</v>
      </c>
      <c r="V84" s="60">
        <f t="shared" si="60"/>
        <v>4</v>
      </c>
      <c r="W84" s="60" t="e">
        <f t="shared" si="61"/>
        <v>#VALUE!</v>
      </c>
      <c r="X84" s="60" t="e">
        <f t="shared" si="62"/>
        <v>#VALUE!</v>
      </c>
      <c r="Y84" s="60" t="str">
        <f>IFERROR(VLOOKUP(MID(T84,W84,X84-W84),[5]skilldef!$C:$D,2,FALSE),"-") &amp; " / " &amp; IFERROR(VLOOKUP(MID(T84,U84,V84-U84),[5]skilldef!$A:$B,2,FALSE),"-")</f>
        <v>- / -</v>
      </c>
      <c r="Z84" s="47"/>
      <c r="AA84" s="49"/>
      <c r="AB84" s="47"/>
    </row>
    <row r="85" spans="1:28" ht="21" customHeight="1" x14ac:dyDescent="0.15">
      <c r="A85" s="44">
        <v>41015092</v>
      </c>
      <c r="B85" s="103" t="s">
        <v>370</v>
      </c>
      <c r="C85" s="47">
        <v>3</v>
      </c>
      <c r="D85" s="47" t="s">
        <v>126</v>
      </c>
      <c r="E85" s="187" t="s">
        <v>373</v>
      </c>
      <c r="F85" s="187" t="s">
        <v>374</v>
      </c>
      <c r="G85" s="60" t="str">
        <f t="shared" si="48"/>
        <v>[effect:tolerance, target:myself, turn:-1, tolerance_effect:hungup, count:-1, animation:enemy_tolerance]</v>
      </c>
      <c r="H85" s="60">
        <f t="shared" si="49"/>
        <v>9</v>
      </c>
      <c r="I85" s="60">
        <f t="shared" si="50"/>
        <v>18</v>
      </c>
      <c r="J85" s="60">
        <f t="shared" si="51"/>
        <v>27</v>
      </c>
      <c r="K85" s="60">
        <f t="shared" si="52"/>
        <v>33</v>
      </c>
      <c r="L85" s="60" t="str">
        <f>IFERROR(VLOOKUP(MID(G85,J85,K85-J85),[5]skilldef!$C:$D,2,FALSE),"-") &amp; " / " &amp; IFERROR(VLOOKUP(MID(G85,H85,I85-H85),[5]skilldef!$A:$B,2,FALSE),"-")</f>
        <v>自分自身に / 状態異常耐性</v>
      </c>
      <c r="M85" s="60" t="str">
        <f t="shared" si="53"/>
        <v>[effect:fix_speed, target:myself, turn:1]</v>
      </c>
      <c r="N85" s="45" t="str">
        <f>IFERROR(LEFT(M85,FIND("],",M85)+S98),M85)</f>
        <v>[effect:fix_speed, target:myself, turn:1]</v>
      </c>
      <c r="O85" s="60">
        <f t="shared" si="54"/>
        <v>9</v>
      </c>
      <c r="P85" s="60">
        <f t="shared" si="55"/>
        <v>18</v>
      </c>
      <c r="Q85" s="60">
        <f t="shared" si="56"/>
        <v>27</v>
      </c>
      <c r="R85" s="60">
        <f t="shared" si="57"/>
        <v>33</v>
      </c>
      <c r="S85" s="60" t="str">
        <f>IFERROR(VLOOKUP(MID(N85,Q85,R85-Q85),[5]skilldef!$C:$D,2,FALSE),"-") &amp; " / " &amp; IFERROR(VLOOKUP(MID(N85,O85,P85-O85),[5]skilldef!$A:$B,2,FALSE),"-")</f>
        <v>自分自身に / 行動値設定</v>
      </c>
      <c r="T85" s="45" t="str">
        <f t="shared" si="58"/>
        <v>none</v>
      </c>
      <c r="U85" s="60" t="e">
        <f t="shared" si="59"/>
        <v>#VALUE!</v>
      </c>
      <c r="V85" s="60">
        <f t="shared" si="60"/>
        <v>4</v>
      </c>
      <c r="W85" s="60" t="e">
        <f t="shared" si="61"/>
        <v>#VALUE!</v>
      </c>
      <c r="X85" s="60" t="e">
        <f t="shared" si="62"/>
        <v>#VALUE!</v>
      </c>
      <c r="Y85" s="60" t="str">
        <f>IFERROR(VLOOKUP(MID(T85,W85,X85-W85),[5]skilldef!$C:$D,2,FALSE),"-") &amp; " / " &amp; IFERROR(VLOOKUP(MID(T85,U85,V85-U85),[5]skilldef!$A:$B,2,FALSE),"-")</f>
        <v>- / -</v>
      </c>
      <c r="Z85" s="47"/>
      <c r="AA85" s="49"/>
      <c r="AB85" s="47"/>
    </row>
    <row r="86" spans="1:28" ht="21" customHeight="1" x14ac:dyDescent="0.15">
      <c r="A86" s="44">
        <v>41015093</v>
      </c>
      <c r="B86" s="103" t="s">
        <v>445</v>
      </c>
      <c r="C86" s="47">
        <v>3</v>
      </c>
      <c r="D86" s="47" t="s">
        <v>446</v>
      </c>
      <c r="E86" s="187" t="s">
        <v>376</v>
      </c>
      <c r="F86" s="187" t="s">
        <v>447</v>
      </c>
      <c r="G86" s="60" t="str">
        <f t="shared" si="48"/>
        <v>[effect:tolerance, target:myself, turn:-1, tolerance_effect:hungup, count:-1, animation:enemy_tolerance]</v>
      </c>
      <c r="H86" s="60">
        <f t="shared" si="49"/>
        <v>9</v>
      </c>
      <c r="I86" s="60">
        <f t="shared" si="50"/>
        <v>18</v>
      </c>
      <c r="J86" s="60">
        <f t="shared" si="51"/>
        <v>27</v>
      </c>
      <c r="K86" s="60">
        <f t="shared" si="52"/>
        <v>33</v>
      </c>
      <c r="L86" s="60" t="str">
        <f>IFERROR(VLOOKUP(MID(G86,J86,K86-J86),[5]skilldef!$C:$D,2,FALSE),"-") &amp; " / " &amp; IFERROR(VLOOKUP(MID(G86,H86,I86-H86),[5]skilldef!$A:$B,2,FALSE),"-")</f>
        <v>自分自身に / 状態異常耐性</v>
      </c>
      <c r="M86" s="60" t="str">
        <f t="shared" si="53"/>
        <v>[effect:fix_speed, target:myself, turn:1]</v>
      </c>
      <c r="N86" s="45" t="str">
        <f>IFERROR(LEFT(M86,FIND("],",M86)+S100),M86)</f>
        <v>[effect:fix_speed, target:myself, turn:1]</v>
      </c>
      <c r="O86" s="60">
        <f t="shared" si="54"/>
        <v>9</v>
      </c>
      <c r="P86" s="60">
        <f t="shared" si="55"/>
        <v>18</v>
      </c>
      <c r="Q86" s="60">
        <f t="shared" si="56"/>
        <v>27</v>
      </c>
      <c r="R86" s="60">
        <f t="shared" si="57"/>
        <v>33</v>
      </c>
      <c r="S86" s="60" t="str">
        <f>IFERROR(VLOOKUP(MID(N86,Q86,R86-Q86),[5]skilldef!$C:$D,2,FALSE),"-") &amp; " / " &amp; IFERROR(VLOOKUP(MID(N86,O86,P86-O86),[5]skilldef!$A:$B,2,FALSE),"-")</f>
        <v>自分自身に / 行動値設定</v>
      </c>
      <c r="T86" s="45" t="str">
        <f t="shared" si="58"/>
        <v>none</v>
      </c>
      <c r="U86" s="60" t="e">
        <f t="shared" si="59"/>
        <v>#VALUE!</v>
      </c>
      <c r="V86" s="60">
        <f t="shared" si="60"/>
        <v>4</v>
      </c>
      <c r="W86" s="60" t="e">
        <f t="shared" si="61"/>
        <v>#VALUE!</v>
      </c>
      <c r="X86" s="60" t="e">
        <f t="shared" si="62"/>
        <v>#VALUE!</v>
      </c>
      <c r="Y86" s="60" t="str">
        <f>IFERROR(VLOOKUP(MID(T86,W86,X86-W86),[5]skilldef!$C:$D,2,FALSE),"-") &amp; " / " &amp; IFERROR(VLOOKUP(MID(T86,U86,V86-U86),[5]skilldef!$A:$B,2,FALSE),"-")</f>
        <v>- / -</v>
      </c>
      <c r="Z86" s="47"/>
      <c r="AA86" s="49"/>
      <c r="AB86" s="47"/>
    </row>
    <row r="87" spans="1:28" ht="21" customHeight="1" x14ac:dyDescent="0.15">
      <c r="A87" s="44">
        <v>41015094</v>
      </c>
      <c r="B87" s="103" t="s">
        <v>370</v>
      </c>
      <c r="C87" s="47">
        <v>3</v>
      </c>
      <c r="D87" s="47" t="s">
        <v>126</v>
      </c>
      <c r="E87" s="187" t="s">
        <v>448</v>
      </c>
      <c r="F87" s="187" t="s">
        <v>379</v>
      </c>
      <c r="G87" s="60" t="str">
        <f t="shared" si="48"/>
        <v>[effect:tolerance, target:myself, turn:-1, tolerance_effect:hungup, count:-1, animation:enemy_tolerance]</v>
      </c>
      <c r="H87" s="60">
        <f t="shared" si="49"/>
        <v>9</v>
      </c>
      <c r="I87" s="60">
        <f t="shared" si="50"/>
        <v>18</v>
      </c>
      <c r="J87" s="60">
        <f t="shared" si="51"/>
        <v>27</v>
      </c>
      <c r="K87" s="60">
        <f t="shared" si="52"/>
        <v>33</v>
      </c>
      <c r="L87" s="60" t="str">
        <f>IFERROR(VLOOKUP(MID(G87,J87,K87-J87),[5]skilldef!$C:$D,2,FALSE),"-") &amp; " / " &amp; IFERROR(VLOOKUP(MID(G87,H87,I87-H87),[5]skilldef!$A:$B,2,FALSE),"-")</f>
        <v>自分自身に / 状態異常耐性</v>
      </c>
      <c r="M87" s="60" t="str">
        <f t="shared" si="53"/>
        <v>[effect:fix_speed, target:myself, turn:1]</v>
      </c>
      <c r="N87" s="45" t="str">
        <f>IFERROR(LEFT(M87,FIND("],",M87)+S103),M87)</f>
        <v>[effect:fix_speed, target:myself, turn:1]</v>
      </c>
      <c r="O87" s="60">
        <f t="shared" si="54"/>
        <v>9</v>
      </c>
      <c r="P87" s="60">
        <f t="shared" si="55"/>
        <v>18</v>
      </c>
      <c r="Q87" s="60">
        <f t="shared" si="56"/>
        <v>27</v>
      </c>
      <c r="R87" s="60">
        <f t="shared" si="57"/>
        <v>33</v>
      </c>
      <c r="S87" s="60" t="str">
        <f>IFERROR(VLOOKUP(MID(N87,Q87,R87-Q87),[5]skilldef!$C:$D,2,FALSE),"-") &amp; " / " &amp; IFERROR(VLOOKUP(MID(N87,O87,P87-O87),[5]skilldef!$A:$B,2,FALSE),"-")</f>
        <v>自分自身に / 行動値設定</v>
      </c>
      <c r="T87" s="45" t="str">
        <f t="shared" si="58"/>
        <v>none</v>
      </c>
      <c r="U87" s="60" t="e">
        <f t="shared" si="59"/>
        <v>#VALUE!</v>
      </c>
      <c r="V87" s="60">
        <f t="shared" si="60"/>
        <v>4</v>
      </c>
      <c r="W87" s="60" t="e">
        <f t="shared" si="61"/>
        <v>#VALUE!</v>
      </c>
      <c r="X87" s="60" t="e">
        <f t="shared" si="62"/>
        <v>#VALUE!</v>
      </c>
      <c r="Y87" s="60" t="str">
        <f>IFERROR(VLOOKUP(MID(T87,W87,X87-W87),[5]skilldef!$C:$D,2,FALSE),"-") &amp; " / " &amp; IFERROR(VLOOKUP(MID(T87,U87,V87-U87),[5]skilldef!$A:$B,2,FALSE),"-")</f>
        <v>- / -</v>
      </c>
      <c r="Z87" s="47"/>
      <c r="AA87" s="49"/>
      <c r="AB87" s="47"/>
    </row>
    <row r="88" spans="1:28" ht="21" customHeight="1" x14ac:dyDescent="0.15">
      <c r="A88" s="44">
        <v>41015095</v>
      </c>
      <c r="B88" s="44" t="s">
        <v>370</v>
      </c>
      <c r="C88" s="47">
        <v>3</v>
      </c>
      <c r="D88" s="47" t="s">
        <v>126</v>
      </c>
      <c r="E88" s="187" t="s">
        <v>380</v>
      </c>
      <c r="F88" s="187" t="s">
        <v>381</v>
      </c>
      <c r="G88" s="60" t="str">
        <f t="shared" si="48"/>
        <v>[effect:tolerance, target:myself, turn:-1, tolerance_effect:hungup, count:-1, animation:enemy_tolerance]</v>
      </c>
      <c r="H88" s="60">
        <f t="shared" si="49"/>
        <v>9</v>
      </c>
      <c r="I88" s="60">
        <f t="shared" si="50"/>
        <v>18</v>
      </c>
      <c r="J88" s="60">
        <f t="shared" si="51"/>
        <v>27</v>
      </c>
      <c r="K88" s="60">
        <f t="shared" si="52"/>
        <v>33</v>
      </c>
      <c r="L88" s="60" t="str">
        <f>IFERROR(VLOOKUP(MID(G88,J88,K88-J88),[5]skilldef!$C:$D,2,FALSE),"-") &amp; " / " &amp; IFERROR(VLOOKUP(MID(G88,H88,I88-H88),[5]skilldef!$A:$B,2,FALSE),"-")</f>
        <v>自分自身に / 状態異常耐性</v>
      </c>
      <c r="M88" s="60" t="str">
        <f t="shared" si="53"/>
        <v>[effect:fix_speed, target:myself, turn:1]</v>
      </c>
      <c r="N88" s="45" t="str">
        <f>IFERROR(LEFT(M88,FIND("],",M88)+S104),M88)</f>
        <v>[effect:fix_speed, target:myself, turn:1]</v>
      </c>
      <c r="O88" s="60">
        <f t="shared" si="54"/>
        <v>9</v>
      </c>
      <c r="P88" s="60">
        <f t="shared" si="55"/>
        <v>18</v>
      </c>
      <c r="Q88" s="60">
        <f t="shared" si="56"/>
        <v>27</v>
      </c>
      <c r="R88" s="60">
        <f t="shared" si="57"/>
        <v>33</v>
      </c>
      <c r="S88" s="60" t="str">
        <f>IFERROR(VLOOKUP(MID(N88,Q88,R88-Q88),[5]skilldef!$C:$D,2,FALSE),"-") &amp; " / " &amp; IFERROR(VLOOKUP(MID(N88,O88,P88-O88),[5]skilldef!$A:$B,2,FALSE),"-")</f>
        <v>自分自身に / 行動値設定</v>
      </c>
      <c r="T88" s="45" t="str">
        <f t="shared" si="58"/>
        <v>none</v>
      </c>
      <c r="U88" s="60" t="e">
        <f t="shared" si="59"/>
        <v>#VALUE!</v>
      </c>
      <c r="V88" s="60">
        <f t="shared" si="60"/>
        <v>4</v>
      </c>
      <c r="W88" s="60" t="e">
        <f t="shared" si="61"/>
        <v>#VALUE!</v>
      </c>
      <c r="X88" s="60" t="e">
        <f t="shared" si="62"/>
        <v>#VALUE!</v>
      </c>
      <c r="Y88" s="60" t="str">
        <f>IFERROR(VLOOKUP(MID(T88,W88,X88-W88),[5]skilldef!$C:$D,2,FALSE),"-") &amp; " / " &amp; IFERROR(VLOOKUP(MID(T88,U88,V88-U88),[5]skilldef!$A:$B,2,FALSE),"-")</f>
        <v>- / -</v>
      </c>
      <c r="Z88" s="47"/>
      <c r="AA88" s="49"/>
      <c r="AB88" s="47"/>
    </row>
    <row r="89" spans="1:28" ht="21" customHeight="1" x14ac:dyDescent="0.15">
      <c r="A89" s="44">
        <v>41015096</v>
      </c>
      <c r="B89" s="44" t="s">
        <v>449</v>
      </c>
      <c r="C89" s="47">
        <v>3</v>
      </c>
      <c r="D89" s="47" t="s">
        <v>450</v>
      </c>
      <c r="E89" s="187" t="s">
        <v>380</v>
      </c>
      <c r="F89" s="187" t="s">
        <v>381</v>
      </c>
      <c r="G89" s="60" t="str">
        <f t="shared" si="48"/>
        <v>[effect:tolerance, target:myself, turn:-1, tolerance_effect:hungup, count:-1, animation:enemy_tolerance]</v>
      </c>
      <c r="H89" s="60">
        <f t="shared" si="49"/>
        <v>9</v>
      </c>
      <c r="I89" s="60">
        <f t="shared" si="50"/>
        <v>18</v>
      </c>
      <c r="J89" s="60">
        <f t="shared" si="51"/>
        <v>27</v>
      </c>
      <c r="K89" s="60">
        <f t="shared" si="52"/>
        <v>33</v>
      </c>
      <c r="L89" s="60" t="str">
        <f>IFERROR(VLOOKUP(MID(G89,J89,K89-J89),[5]skilldef!$C:$D,2,FALSE),"-") &amp; " / " &amp; IFERROR(VLOOKUP(MID(G89,H89,I89-H89),[5]skilldef!$A:$B,2,FALSE),"-")</f>
        <v>自分自身に / 状態異常耐性</v>
      </c>
      <c r="M89" s="60" t="str">
        <f t="shared" si="53"/>
        <v>[effect:fix_speed, target:myself, turn:1]</v>
      </c>
      <c r="N89" s="45" t="str">
        <f>IFERROR(LEFT(M89,FIND("],",M89)+S105),M89)</f>
        <v>[effect:fix_speed, target:myself, turn:1]</v>
      </c>
      <c r="O89" s="60">
        <f t="shared" si="54"/>
        <v>9</v>
      </c>
      <c r="P89" s="60">
        <f t="shared" si="55"/>
        <v>18</v>
      </c>
      <c r="Q89" s="60">
        <f t="shared" si="56"/>
        <v>27</v>
      </c>
      <c r="R89" s="60">
        <f t="shared" si="57"/>
        <v>33</v>
      </c>
      <c r="S89" s="60" t="str">
        <f>IFERROR(VLOOKUP(MID(N89,Q89,R89-Q89),[5]skilldef!$C:$D,2,FALSE),"-") &amp; " / " &amp; IFERROR(VLOOKUP(MID(N89,O89,P89-O89),[5]skilldef!$A:$B,2,FALSE),"-")</f>
        <v>自分自身に / 行動値設定</v>
      </c>
      <c r="T89" s="45" t="str">
        <f t="shared" si="58"/>
        <v>none</v>
      </c>
      <c r="U89" s="60" t="e">
        <f t="shared" si="59"/>
        <v>#VALUE!</v>
      </c>
      <c r="V89" s="60">
        <f t="shared" si="60"/>
        <v>4</v>
      </c>
      <c r="W89" s="60" t="e">
        <f t="shared" si="61"/>
        <v>#VALUE!</v>
      </c>
      <c r="X89" s="60" t="e">
        <f t="shared" si="62"/>
        <v>#VALUE!</v>
      </c>
      <c r="Y89" s="60" t="str">
        <f>IFERROR(VLOOKUP(MID(T89,W89,X89-W89),[5]skilldef!$C:$D,2,FALSE),"-") &amp; " / " &amp; IFERROR(VLOOKUP(MID(T89,U89,V89-U89),[5]skilldef!$A:$B,2,FALSE),"-")</f>
        <v>- / -</v>
      </c>
      <c r="Z89" s="47"/>
      <c r="AA89" s="49"/>
      <c r="AB89" s="47"/>
    </row>
    <row r="90" spans="1:28" ht="21" customHeight="1" x14ac:dyDescent="0.15">
      <c r="A90" s="44">
        <v>41015097</v>
      </c>
      <c r="B90" s="44" t="s">
        <v>370</v>
      </c>
      <c r="C90" s="47">
        <v>3</v>
      </c>
      <c r="D90" s="47" t="s">
        <v>126</v>
      </c>
      <c r="E90" s="187" t="s">
        <v>382</v>
      </c>
      <c r="F90" s="187" t="s">
        <v>383</v>
      </c>
      <c r="G90" s="60" t="str">
        <f t="shared" si="48"/>
        <v>[effect:tolerance, target:myself, turn:-1, tolerance_effect:hungup, count:-1, animation:enemy_tolerance]</v>
      </c>
      <c r="H90" s="60">
        <f t="shared" si="49"/>
        <v>9</v>
      </c>
      <c r="I90" s="60">
        <f t="shared" si="50"/>
        <v>18</v>
      </c>
      <c r="J90" s="60">
        <f t="shared" si="51"/>
        <v>27</v>
      </c>
      <c r="K90" s="60">
        <f t="shared" si="52"/>
        <v>33</v>
      </c>
      <c r="L90" s="60" t="str">
        <f>IFERROR(VLOOKUP(MID(G90,J90,K90-J90),[5]skilldef!$C:$D,2,FALSE),"-") &amp; " / " &amp; IFERROR(VLOOKUP(MID(G90,H90,I90-H90),[5]skilldef!$A:$B,2,FALSE),"-")</f>
        <v>自分自身に / 状態異常耐性</v>
      </c>
      <c r="M90" s="60" t="str">
        <f t="shared" si="53"/>
        <v>[effect:fix_speed, target:myself, turn:1]</v>
      </c>
      <c r="N90" s="45" t="str">
        <f>IFERROR(LEFT(M90,FIND("],",M90)+S105),M90)</f>
        <v>[effect:fix_speed, target:myself, turn:1]</v>
      </c>
      <c r="O90" s="60">
        <f t="shared" si="54"/>
        <v>9</v>
      </c>
      <c r="P90" s="60">
        <f t="shared" si="55"/>
        <v>18</v>
      </c>
      <c r="Q90" s="60">
        <f t="shared" si="56"/>
        <v>27</v>
      </c>
      <c r="R90" s="60">
        <f t="shared" si="57"/>
        <v>33</v>
      </c>
      <c r="S90" s="60" t="str">
        <f>IFERROR(VLOOKUP(MID(N90,Q90,R90-Q90),[5]skilldef!$C:$D,2,FALSE),"-") &amp; " / " &amp; IFERROR(VLOOKUP(MID(N90,O90,P90-O90),[5]skilldef!$A:$B,2,FALSE),"-")</f>
        <v>自分自身に / 行動値設定</v>
      </c>
      <c r="T90" s="45" t="str">
        <f t="shared" si="58"/>
        <v>none</v>
      </c>
      <c r="U90" s="60" t="e">
        <f t="shared" si="59"/>
        <v>#VALUE!</v>
      </c>
      <c r="V90" s="60">
        <f t="shared" si="60"/>
        <v>4</v>
      </c>
      <c r="W90" s="60" t="e">
        <f t="shared" si="61"/>
        <v>#VALUE!</v>
      </c>
      <c r="X90" s="60" t="e">
        <f t="shared" si="62"/>
        <v>#VALUE!</v>
      </c>
      <c r="Y90" s="60" t="str">
        <f>IFERROR(VLOOKUP(MID(T90,W90,X90-W90),[5]skilldef!$C:$D,2,FALSE),"-") &amp; " / " &amp; IFERROR(VLOOKUP(MID(T90,U90,V90-U90),[5]skilldef!$A:$B,2,FALSE),"-")</f>
        <v>- / -</v>
      </c>
      <c r="Z90" s="47"/>
      <c r="AA90" s="49"/>
      <c r="AB90" s="47"/>
    </row>
    <row r="91" spans="1:28" ht="21" customHeight="1" x14ac:dyDescent="0.15">
      <c r="A91" s="44">
        <v>41015098</v>
      </c>
      <c r="B91" s="44" t="s">
        <v>370</v>
      </c>
      <c r="C91" s="47">
        <v>3</v>
      </c>
      <c r="D91" s="47" t="s">
        <v>126</v>
      </c>
      <c r="E91" s="187" t="s">
        <v>382</v>
      </c>
      <c r="F91" s="187" t="s">
        <v>383</v>
      </c>
      <c r="G91" s="60" t="str">
        <f t="shared" si="48"/>
        <v>[effect:tolerance, target:myself, turn:-1, tolerance_effect:hungup, count:-1, animation:enemy_tolerance]</v>
      </c>
      <c r="H91" s="60">
        <f t="shared" si="49"/>
        <v>9</v>
      </c>
      <c r="I91" s="60">
        <f t="shared" si="50"/>
        <v>18</v>
      </c>
      <c r="J91" s="60">
        <f t="shared" si="51"/>
        <v>27</v>
      </c>
      <c r="K91" s="60">
        <f t="shared" si="52"/>
        <v>33</v>
      </c>
      <c r="L91" s="60" t="str">
        <f>IFERROR(VLOOKUP(MID(G91,J91,K91-J91),[5]skilldef!$C:$D,2,FALSE),"-") &amp; " / " &amp; IFERROR(VLOOKUP(MID(G91,H91,I91-H91),[5]skilldef!$A:$B,2,FALSE),"-")</f>
        <v>自分自身に / 状態異常耐性</v>
      </c>
      <c r="M91" s="60" t="str">
        <f t="shared" si="53"/>
        <v>[effect:fix_speed, target:myself, turn:1]</v>
      </c>
      <c r="N91" s="45" t="str">
        <f>IFERROR(LEFT(M91,FIND("],",M91)+S106),M91)</f>
        <v>[effect:fix_speed, target:myself, turn:1]</v>
      </c>
      <c r="O91" s="60">
        <f t="shared" si="54"/>
        <v>9</v>
      </c>
      <c r="P91" s="60">
        <f t="shared" si="55"/>
        <v>18</v>
      </c>
      <c r="Q91" s="60">
        <f t="shared" si="56"/>
        <v>27</v>
      </c>
      <c r="R91" s="60">
        <f t="shared" si="57"/>
        <v>33</v>
      </c>
      <c r="S91" s="60" t="str">
        <f>IFERROR(VLOOKUP(MID(N91,Q91,R91-Q91),[5]skilldef!$C:$D,2,FALSE),"-") &amp; " / " &amp; IFERROR(VLOOKUP(MID(N91,O91,P91-O91),[5]skilldef!$A:$B,2,FALSE),"-")</f>
        <v>自分自身に / 行動値設定</v>
      </c>
      <c r="T91" s="45" t="str">
        <f t="shared" si="58"/>
        <v>none</v>
      </c>
      <c r="U91" s="60" t="e">
        <f t="shared" si="59"/>
        <v>#VALUE!</v>
      </c>
      <c r="V91" s="60">
        <f t="shared" si="60"/>
        <v>4</v>
      </c>
      <c r="W91" s="60" t="e">
        <f t="shared" si="61"/>
        <v>#VALUE!</v>
      </c>
      <c r="X91" s="60" t="e">
        <f t="shared" si="62"/>
        <v>#VALUE!</v>
      </c>
      <c r="Y91" s="60" t="str">
        <f>IFERROR(VLOOKUP(MID(T91,W91,X91-W91),[5]skilldef!$C:$D,2,FALSE),"-") &amp; " / " &amp; IFERROR(VLOOKUP(MID(T91,U91,V91-U91),[5]skilldef!$A:$B,2,FALSE),"-")</f>
        <v>- / -</v>
      </c>
      <c r="Z91" s="47"/>
      <c r="AA91" s="49"/>
      <c r="AB91" s="47"/>
    </row>
    <row r="92" spans="1:28" ht="21" customHeight="1" x14ac:dyDescent="0.15">
      <c r="A92" s="44">
        <v>41015099</v>
      </c>
      <c r="B92" s="44" t="s">
        <v>370</v>
      </c>
      <c r="C92" s="47">
        <v>3</v>
      </c>
      <c r="D92" s="47" t="s">
        <v>126</v>
      </c>
      <c r="E92" s="187" t="s">
        <v>384</v>
      </c>
      <c r="F92" s="187" t="s">
        <v>385</v>
      </c>
      <c r="G92" s="60" t="str">
        <f t="shared" si="48"/>
        <v>[effect:tolerance, target:myself, turn:-1, tolerance_effect:hungup, count:-1, animation:enemy_tolerance]</v>
      </c>
      <c r="H92" s="60">
        <f t="shared" si="49"/>
        <v>9</v>
      </c>
      <c r="I92" s="60">
        <f t="shared" si="50"/>
        <v>18</v>
      </c>
      <c r="J92" s="60">
        <f t="shared" si="51"/>
        <v>27</v>
      </c>
      <c r="K92" s="60">
        <f t="shared" si="52"/>
        <v>33</v>
      </c>
      <c r="L92" s="60" t="str">
        <f>IFERROR(VLOOKUP(MID(G92,J92,K92-J92),[5]skilldef!$C:$D,2,FALSE),"-") &amp; " / " &amp; IFERROR(VLOOKUP(MID(G92,H92,I92-H92),[5]skilldef!$A:$B,2,FALSE),"-")</f>
        <v>自分自身に / 状態異常耐性</v>
      </c>
      <c r="M92" s="60" t="str">
        <f t="shared" si="53"/>
        <v>[effect:fix_speed, target:myself, turn:1]</v>
      </c>
      <c r="N92" s="45" t="str">
        <f>IFERROR(LEFT(M92,FIND("],",M92)+S106),M92)</f>
        <v>[effect:fix_speed, target:myself, turn:1]</v>
      </c>
      <c r="O92" s="60">
        <f t="shared" si="54"/>
        <v>9</v>
      </c>
      <c r="P92" s="60">
        <f t="shared" si="55"/>
        <v>18</v>
      </c>
      <c r="Q92" s="60">
        <f t="shared" si="56"/>
        <v>27</v>
      </c>
      <c r="R92" s="60">
        <f t="shared" si="57"/>
        <v>33</v>
      </c>
      <c r="S92" s="60" t="str">
        <f>IFERROR(VLOOKUP(MID(N92,Q92,R92-Q92),[5]skilldef!$C:$D,2,FALSE),"-") &amp; " / " &amp; IFERROR(VLOOKUP(MID(N92,O92,P92-O92),[5]skilldef!$A:$B,2,FALSE),"-")</f>
        <v>自分自身に / 行動値設定</v>
      </c>
      <c r="T92" s="45" t="str">
        <f t="shared" si="58"/>
        <v>none</v>
      </c>
      <c r="U92" s="60" t="e">
        <f t="shared" si="59"/>
        <v>#VALUE!</v>
      </c>
      <c r="V92" s="60">
        <f t="shared" si="60"/>
        <v>4</v>
      </c>
      <c r="W92" s="60" t="e">
        <f t="shared" si="61"/>
        <v>#VALUE!</v>
      </c>
      <c r="X92" s="60" t="e">
        <f t="shared" si="62"/>
        <v>#VALUE!</v>
      </c>
      <c r="Y92" s="60" t="str">
        <f>IFERROR(VLOOKUP(MID(T92,W92,X92-W92),[5]skilldef!$C:$D,2,FALSE),"-") &amp; " / " &amp; IFERROR(VLOOKUP(MID(T92,U92,V92-U92),[5]skilldef!$A:$B,2,FALSE),"-")</f>
        <v>- / -</v>
      </c>
      <c r="Z92" s="47"/>
      <c r="AA92" s="49"/>
      <c r="AB92" s="47"/>
    </row>
    <row r="93" spans="1:28" ht="21" customHeight="1" x14ac:dyDescent="0.15">
      <c r="A93" s="44">
        <v>41015100</v>
      </c>
      <c r="B93" s="44" t="s">
        <v>370</v>
      </c>
      <c r="C93" s="47">
        <v>3</v>
      </c>
      <c r="D93" s="47" t="s">
        <v>126</v>
      </c>
      <c r="E93" s="187" t="s">
        <v>384</v>
      </c>
      <c r="F93" s="187" t="s">
        <v>385</v>
      </c>
      <c r="G93" s="60" t="str">
        <f t="shared" si="48"/>
        <v>[effect:tolerance, target:myself, turn:-1, tolerance_effect:hungup, count:-1, animation:enemy_tolerance]</v>
      </c>
      <c r="H93" s="60">
        <f t="shared" si="49"/>
        <v>9</v>
      </c>
      <c r="I93" s="60">
        <f t="shared" si="50"/>
        <v>18</v>
      </c>
      <c r="J93" s="60">
        <f t="shared" si="51"/>
        <v>27</v>
      </c>
      <c r="K93" s="60">
        <f t="shared" si="52"/>
        <v>33</v>
      </c>
      <c r="L93" s="60" t="str">
        <f>IFERROR(VLOOKUP(MID(G93,J93,K93-J93),[5]skilldef!$C:$D,2,FALSE),"-") &amp; " / " &amp; IFERROR(VLOOKUP(MID(G93,H93,I93-H93),[5]skilldef!$A:$B,2,FALSE),"-")</f>
        <v>自分自身に / 状態異常耐性</v>
      </c>
      <c r="M93" s="60" t="str">
        <f t="shared" si="53"/>
        <v>[effect:fix_speed, target:myself, turn:1]</v>
      </c>
      <c r="N93" s="45" t="str">
        <f>IFERROR(LEFT(M93,FIND("],",M93)+S107),M93)</f>
        <v>[effect:fix_speed, target:myself, turn:1]</v>
      </c>
      <c r="O93" s="60">
        <f t="shared" si="54"/>
        <v>9</v>
      </c>
      <c r="P93" s="60">
        <f t="shared" si="55"/>
        <v>18</v>
      </c>
      <c r="Q93" s="60">
        <f t="shared" si="56"/>
        <v>27</v>
      </c>
      <c r="R93" s="60">
        <f t="shared" si="57"/>
        <v>33</v>
      </c>
      <c r="S93" s="60" t="str">
        <f>IFERROR(VLOOKUP(MID(N93,Q93,R93-Q93),[5]skilldef!$C:$D,2,FALSE),"-") &amp; " / " &amp; IFERROR(VLOOKUP(MID(N93,O93,P93-O93),[5]skilldef!$A:$B,2,FALSE),"-")</f>
        <v>自分自身に / 行動値設定</v>
      </c>
      <c r="T93" s="45" t="str">
        <f t="shared" si="58"/>
        <v>none</v>
      </c>
      <c r="U93" s="60" t="e">
        <f t="shared" si="59"/>
        <v>#VALUE!</v>
      </c>
      <c r="V93" s="60">
        <f t="shared" si="60"/>
        <v>4</v>
      </c>
      <c r="W93" s="60" t="e">
        <f t="shared" si="61"/>
        <v>#VALUE!</v>
      </c>
      <c r="X93" s="60" t="e">
        <f t="shared" si="62"/>
        <v>#VALUE!</v>
      </c>
      <c r="Y93" s="60" t="str">
        <f>IFERROR(VLOOKUP(MID(T93,W93,X93-W93),[5]skilldef!$C:$D,2,FALSE),"-") &amp; " / " &amp; IFERROR(VLOOKUP(MID(T93,U93,V93-U93),[5]skilldef!$A:$B,2,FALSE),"-")</f>
        <v>- / -</v>
      </c>
      <c r="Z93" s="47"/>
      <c r="AA93" s="49"/>
      <c r="AB93" s="47"/>
    </row>
    <row r="94" spans="1:28" ht="21" customHeight="1" x14ac:dyDescent="0.15">
      <c r="A94" s="44">
        <v>41015101</v>
      </c>
      <c r="B94" s="44" t="s">
        <v>370</v>
      </c>
      <c r="C94" s="47">
        <v>3</v>
      </c>
      <c r="D94" s="47" t="s">
        <v>126</v>
      </c>
      <c r="E94" s="187" t="s">
        <v>386</v>
      </c>
      <c r="F94" s="187" t="s">
        <v>387</v>
      </c>
      <c r="G94" s="60" t="str">
        <f t="shared" si="48"/>
        <v>[effect:tolerance, target:myself, turn:-1, tolerance_effect:hungup, count:-1, animation:enemy_tolerance]</v>
      </c>
      <c r="H94" s="60">
        <f t="shared" si="49"/>
        <v>9</v>
      </c>
      <c r="I94" s="60">
        <f t="shared" si="50"/>
        <v>18</v>
      </c>
      <c r="J94" s="60">
        <f t="shared" si="51"/>
        <v>27</v>
      </c>
      <c r="K94" s="60">
        <f t="shared" si="52"/>
        <v>33</v>
      </c>
      <c r="L94" s="60" t="str">
        <f>IFERROR(VLOOKUP(MID(G94,J94,K94-J94),[5]skilldef!$C:$D,2,FALSE),"-") &amp; " / " &amp; IFERROR(VLOOKUP(MID(G94,H94,I94-H94),[5]skilldef!$A:$B,2,FALSE),"-")</f>
        <v>自分自身に / 状態異常耐性</v>
      </c>
      <c r="M94" s="60" t="str">
        <f t="shared" si="53"/>
        <v>[effect:fix_speed, target:myself, turn:1]</v>
      </c>
      <c r="N94" s="45" t="str">
        <f>IFERROR(LEFT(M94,FIND("],",M94)+S107),M94)</f>
        <v>[effect:fix_speed, target:myself, turn:1]</v>
      </c>
      <c r="O94" s="60">
        <f t="shared" si="54"/>
        <v>9</v>
      </c>
      <c r="P94" s="60">
        <f t="shared" si="55"/>
        <v>18</v>
      </c>
      <c r="Q94" s="60">
        <f t="shared" si="56"/>
        <v>27</v>
      </c>
      <c r="R94" s="60">
        <f t="shared" si="57"/>
        <v>33</v>
      </c>
      <c r="S94" s="60" t="str">
        <f>IFERROR(VLOOKUP(MID(N94,Q94,R94-Q94),[5]skilldef!$C:$D,2,FALSE),"-") &amp; " / " &amp; IFERROR(VLOOKUP(MID(N94,O94,P94-O94),[5]skilldef!$A:$B,2,FALSE),"-")</f>
        <v>自分自身に / 行動値設定</v>
      </c>
      <c r="T94" s="45" t="str">
        <f t="shared" si="58"/>
        <v>none</v>
      </c>
      <c r="U94" s="60" t="e">
        <f t="shared" si="59"/>
        <v>#VALUE!</v>
      </c>
      <c r="V94" s="60">
        <f t="shared" si="60"/>
        <v>4</v>
      </c>
      <c r="W94" s="60" t="e">
        <f t="shared" si="61"/>
        <v>#VALUE!</v>
      </c>
      <c r="X94" s="60" t="e">
        <f t="shared" si="62"/>
        <v>#VALUE!</v>
      </c>
      <c r="Y94" s="60" t="str">
        <f>IFERROR(VLOOKUP(MID(T94,W94,X94-W94),[5]skilldef!$C:$D,2,FALSE),"-") &amp; " / " &amp; IFERROR(VLOOKUP(MID(T94,U94,V94-U94),[5]skilldef!$A:$B,2,FALSE),"-")</f>
        <v>- / -</v>
      </c>
      <c r="Z94" s="47"/>
      <c r="AA94" s="49"/>
      <c r="AB94" s="47"/>
    </row>
    <row r="95" spans="1:28" ht="21" customHeight="1" x14ac:dyDescent="0.15">
      <c r="A95" s="44">
        <v>41015102</v>
      </c>
      <c r="B95" s="44" t="s">
        <v>475</v>
      </c>
      <c r="C95" s="47">
        <v>3</v>
      </c>
      <c r="D95" s="47" t="s">
        <v>126</v>
      </c>
      <c r="E95" s="186" t="s">
        <v>417</v>
      </c>
      <c r="F95" s="186" t="s">
        <v>451</v>
      </c>
      <c r="G95" s="60" t="str">
        <f t="shared" si="48"/>
        <v>[effect:enemy_message, val1:1, val2:2.6]</v>
      </c>
      <c r="H95" s="60">
        <f t="shared" si="49"/>
        <v>9</v>
      </c>
      <c r="I95" s="60">
        <f t="shared" si="50"/>
        <v>22</v>
      </c>
      <c r="J95" s="60" t="e">
        <f t="shared" si="51"/>
        <v>#VALUE!</v>
      </c>
      <c r="K95" s="60">
        <f t="shared" si="52"/>
        <v>30</v>
      </c>
      <c r="L95" s="60" t="str">
        <f>IFERROR(VLOOKUP(MID(G95,J95,K95-J95),[5]skilldef!$C:$D,2,FALSE),"-") &amp; " / " &amp; IFERROR(VLOOKUP(MID(G95,H95,I95-H95),[5]skilldef!$A:$B,2,FALSE),"-")</f>
        <v>- / -</v>
      </c>
      <c r="M95" s="60" t="str">
        <f t="shared" si="53"/>
        <v>[effect:tolerance, target:myself, turn:-1, tolerance_effect:all, count:-1, animation:enemy_tolerance],[effect:fix_speed, target:myself, turn:4]</v>
      </c>
      <c r="N95" s="45" t="str">
        <f>IFERROR(LEFT(M95,FIND("],",M95)+S108),M95)</f>
        <v>[effect:tolerance, target:myself, turn:-1, tolerance_effect:all, count:-1, animation:enemy_tolerance],[effect:fix_speed, target:myself, turn:4]</v>
      </c>
      <c r="O95" s="60">
        <f t="shared" si="54"/>
        <v>9</v>
      </c>
      <c r="P95" s="60">
        <f t="shared" si="55"/>
        <v>18</v>
      </c>
      <c r="Q95" s="60">
        <f t="shared" si="56"/>
        <v>27</v>
      </c>
      <c r="R95" s="60">
        <f t="shared" si="57"/>
        <v>33</v>
      </c>
      <c r="S95" s="60" t="str">
        <f>IFERROR(VLOOKUP(MID(N95,Q95,R95-Q95),[5]skilldef!$C:$D,2,FALSE),"-") &amp; " / " &amp; IFERROR(VLOOKUP(MID(N95,O95,P95-O95),[5]skilldef!$A:$B,2,FALSE),"-")</f>
        <v>自分自身に / 状態異常耐性</v>
      </c>
      <c r="T95" s="45" t="str">
        <f t="shared" si="58"/>
        <v>[effect:fix_speed, target:myself, turn:4]</v>
      </c>
      <c r="U95" s="60">
        <f t="shared" si="59"/>
        <v>9</v>
      </c>
      <c r="V95" s="60">
        <f t="shared" si="60"/>
        <v>18</v>
      </c>
      <c r="W95" s="60">
        <f t="shared" si="61"/>
        <v>27</v>
      </c>
      <c r="X95" s="60">
        <f t="shared" si="62"/>
        <v>33</v>
      </c>
      <c r="Y95" s="60" t="str">
        <f>IFERROR(VLOOKUP(MID(T95,W95,X95-W95),[5]skilldef!$C:$D,2,FALSE),"-") &amp; " / " &amp; IFERROR(VLOOKUP(MID(T95,U95,V95-U95),[5]skilldef!$A:$B,2,FALSE),"-")</f>
        <v>自分自身に / 行動値設定</v>
      </c>
      <c r="Z95" s="47"/>
      <c r="AA95" s="49"/>
      <c r="AB95" s="47"/>
    </row>
    <row r="96" spans="1:28" ht="21" customHeight="1" x14ac:dyDescent="0.15">
      <c r="A96" s="44">
        <v>41015103</v>
      </c>
      <c r="B96" s="44" t="s">
        <v>475</v>
      </c>
      <c r="C96" s="47">
        <v>3</v>
      </c>
      <c r="D96" s="47" t="s">
        <v>126</v>
      </c>
      <c r="E96" s="186" t="s">
        <v>452</v>
      </c>
      <c r="F96" s="186" t="s">
        <v>453</v>
      </c>
      <c r="G96" s="60" t="str">
        <f t="shared" si="48"/>
        <v>[effect:enemy_message, val1:1, val2:2.6]</v>
      </c>
      <c r="H96" s="60">
        <f t="shared" si="49"/>
        <v>9</v>
      </c>
      <c r="I96" s="60">
        <f t="shared" si="50"/>
        <v>22</v>
      </c>
      <c r="J96" s="60" t="e">
        <f t="shared" si="51"/>
        <v>#VALUE!</v>
      </c>
      <c r="K96" s="60">
        <f t="shared" si="52"/>
        <v>30</v>
      </c>
      <c r="L96" s="60" t="str">
        <f>IFERROR(VLOOKUP(MID(G96,J96,K96-J96),[5]skilldef!$C:$D,2,FALSE),"-") &amp; " / " &amp; IFERROR(VLOOKUP(MID(G96,H96,I96-H96),[5]skilldef!$A:$B,2,FALSE),"-")</f>
        <v>- / -</v>
      </c>
      <c r="M96" s="60" t="str">
        <f t="shared" si="53"/>
        <v>[effect:tolerance, target:myself, turn:-1, tolerance_effect:all, count:-1, animation:enemy_tolerance],[effect:fix_speed, target:myself, turn:4]</v>
      </c>
      <c r="N96" s="45" t="str">
        <f>IFERROR(LEFT(M96,FIND("],",M96)+S109),M96)</f>
        <v>[effect:tolerance, target:myself, turn:-1, tolerance_effect:all, count:-1, animation:enemy_tolerance],[effect:fix_speed, target:myself, turn:4]</v>
      </c>
      <c r="O96" s="60">
        <f t="shared" si="54"/>
        <v>9</v>
      </c>
      <c r="P96" s="60">
        <f t="shared" si="55"/>
        <v>18</v>
      </c>
      <c r="Q96" s="60">
        <f t="shared" si="56"/>
        <v>27</v>
      </c>
      <c r="R96" s="60">
        <f t="shared" si="57"/>
        <v>33</v>
      </c>
      <c r="S96" s="60" t="str">
        <f>IFERROR(VLOOKUP(MID(N96,Q96,R96-Q96),[5]skilldef!$C:$D,2,FALSE),"-") &amp; " / " &amp; IFERROR(VLOOKUP(MID(N96,O96,P96-O96),[5]skilldef!$A:$B,2,FALSE),"-")</f>
        <v>自分自身に / 状態異常耐性</v>
      </c>
      <c r="T96" s="45" t="str">
        <f t="shared" si="58"/>
        <v>[effect:fix_speed, target:myself, turn:4]</v>
      </c>
      <c r="U96" s="60">
        <f t="shared" si="59"/>
        <v>9</v>
      </c>
      <c r="V96" s="60">
        <f t="shared" si="60"/>
        <v>18</v>
      </c>
      <c r="W96" s="60">
        <f t="shared" si="61"/>
        <v>27</v>
      </c>
      <c r="X96" s="60">
        <f t="shared" si="62"/>
        <v>33</v>
      </c>
      <c r="Y96" s="60" t="str">
        <f>IFERROR(VLOOKUP(MID(T96,W96,X96-W96),[5]skilldef!$C:$D,2,FALSE),"-") &amp; " / " &amp; IFERROR(VLOOKUP(MID(T96,U96,V96-U96),[5]skilldef!$A:$B,2,FALSE),"-")</f>
        <v>自分自身に / 行動値設定</v>
      </c>
      <c r="Z96" s="47"/>
      <c r="AA96" s="49"/>
      <c r="AB96" s="47"/>
    </row>
    <row r="97" spans="1:28" ht="21" customHeight="1" x14ac:dyDescent="0.15">
      <c r="A97" s="44">
        <v>41015104</v>
      </c>
      <c r="B97" s="44" t="s">
        <v>475</v>
      </c>
      <c r="C97" s="47">
        <v>3</v>
      </c>
      <c r="D97" s="47" t="s">
        <v>126</v>
      </c>
      <c r="E97" s="186" t="s">
        <v>423</v>
      </c>
      <c r="F97" s="186" t="s">
        <v>424</v>
      </c>
      <c r="G97" s="60" t="str">
        <f t="shared" si="48"/>
        <v>[effect:enemy_message, val1:1, val2:2.6]</v>
      </c>
      <c r="H97" s="60">
        <f t="shared" si="49"/>
        <v>9</v>
      </c>
      <c r="I97" s="60">
        <f t="shared" si="50"/>
        <v>22</v>
      </c>
      <c r="J97" s="60" t="e">
        <f t="shared" si="51"/>
        <v>#VALUE!</v>
      </c>
      <c r="K97" s="60">
        <f t="shared" si="52"/>
        <v>30</v>
      </c>
      <c r="L97" s="60" t="str">
        <f>IFERROR(VLOOKUP(MID(G97,J97,K97-J97),[5]skilldef!$C:$D,2,FALSE),"-") &amp; " / " &amp; IFERROR(VLOOKUP(MID(G97,H97,I97-H97),[5]skilldef!$A:$B,2,FALSE),"-")</f>
        <v>- / -</v>
      </c>
      <c r="M97" s="60" t="str">
        <f t="shared" si="53"/>
        <v>[effect:tolerance, target:myself, turn:-1, tolerance_effect:all, count:-1, animation:enemy_tolerance],[effect:fix_speed, target:myself, turn:4]</v>
      </c>
      <c r="N97" s="45" t="str">
        <f>IFERROR(LEFT(M97,FIND("],",M97)+S110),M97)</f>
        <v>[effect:tolerance, target:myself, turn:-1, tolerance_effect:all, count:-1, animation:enemy_tolerance],[effect:fix_speed, target:myself, turn:4]</v>
      </c>
      <c r="O97" s="60">
        <f t="shared" si="54"/>
        <v>9</v>
      </c>
      <c r="P97" s="60">
        <f t="shared" si="55"/>
        <v>18</v>
      </c>
      <c r="Q97" s="60">
        <f t="shared" si="56"/>
        <v>27</v>
      </c>
      <c r="R97" s="60">
        <f t="shared" si="57"/>
        <v>33</v>
      </c>
      <c r="S97" s="60" t="str">
        <f>IFERROR(VLOOKUP(MID(N97,Q97,R97-Q97),[5]skilldef!$C:$D,2,FALSE),"-") &amp; " / " &amp; IFERROR(VLOOKUP(MID(N97,O97,P97-O97),[5]skilldef!$A:$B,2,FALSE),"-")</f>
        <v>自分自身に / 状態異常耐性</v>
      </c>
      <c r="T97" s="45" t="str">
        <f t="shared" si="58"/>
        <v>[effect:fix_speed, target:myself, turn:4]</v>
      </c>
      <c r="U97" s="60">
        <f t="shared" si="59"/>
        <v>9</v>
      </c>
      <c r="V97" s="60">
        <f t="shared" si="60"/>
        <v>18</v>
      </c>
      <c r="W97" s="60">
        <f t="shared" si="61"/>
        <v>27</v>
      </c>
      <c r="X97" s="60">
        <f t="shared" si="62"/>
        <v>33</v>
      </c>
      <c r="Y97" s="60" t="str">
        <f>IFERROR(VLOOKUP(MID(T97,W97,X97-W97),[5]skilldef!$C:$D,2,FALSE),"-") &amp; " / " &amp; IFERROR(VLOOKUP(MID(T97,U97,V97-U97),[5]skilldef!$A:$B,2,FALSE),"-")</f>
        <v>自分自身に / 行動値設定</v>
      </c>
      <c r="Z97" s="47"/>
      <c r="AA97" s="49"/>
      <c r="AB97" s="47"/>
    </row>
    <row r="98" spans="1:28" ht="21" customHeight="1" x14ac:dyDescent="0.15">
      <c r="A98" s="44">
        <v>41015105</v>
      </c>
      <c r="B98" s="44" t="s">
        <v>475</v>
      </c>
      <c r="C98" s="47">
        <v>3</v>
      </c>
      <c r="D98" s="47" t="s">
        <v>126</v>
      </c>
      <c r="E98" s="186" t="s">
        <v>425</v>
      </c>
      <c r="F98" s="186" t="s">
        <v>426</v>
      </c>
      <c r="G98" s="60" t="str">
        <f t="shared" si="48"/>
        <v>[effect:enemy_message, val1:1, val2:2.6]</v>
      </c>
      <c r="H98" s="60">
        <f t="shared" si="49"/>
        <v>9</v>
      </c>
      <c r="I98" s="60">
        <f t="shared" si="50"/>
        <v>22</v>
      </c>
      <c r="J98" s="60" t="e">
        <f t="shared" si="51"/>
        <v>#VALUE!</v>
      </c>
      <c r="K98" s="60">
        <f t="shared" si="52"/>
        <v>30</v>
      </c>
      <c r="L98" s="60" t="str">
        <f>IFERROR(VLOOKUP(MID(G98,J98,K98-J98),[5]skilldef!$C:$D,2,FALSE),"-") &amp; " / " &amp; IFERROR(VLOOKUP(MID(G98,H98,I98-H98),[5]skilldef!$A:$B,2,FALSE),"-")</f>
        <v>- / -</v>
      </c>
      <c r="M98" s="60" t="str">
        <f t="shared" si="53"/>
        <v>[effect:tolerance, target:myself, turn:-1, tolerance_effect:all, count:-1, animation:enemy_tolerance],[effect:fix_speed, target:myself, turn:4]</v>
      </c>
      <c r="N98" s="45" t="str">
        <f>IFERROR(LEFT(M98,FIND("],",M98)+#REF!),M98)</f>
        <v>[effect:tolerance, target:myself, turn:-1, tolerance_effect:all, count:-1, animation:enemy_tolerance],[effect:fix_speed, target:myself, turn:4]</v>
      </c>
      <c r="O98" s="60">
        <f t="shared" si="54"/>
        <v>9</v>
      </c>
      <c r="P98" s="60">
        <f t="shared" si="55"/>
        <v>18</v>
      </c>
      <c r="Q98" s="60">
        <f t="shared" si="56"/>
        <v>27</v>
      </c>
      <c r="R98" s="60">
        <f t="shared" si="57"/>
        <v>33</v>
      </c>
      <c r="S98" s="60" t="str">
        <f>IFERROR(VLOOKUP(MID(N98,Q98,R98-Q98),[5]skilldef!$C:$D,2,FALSE),"-") &amp; " / " &amp; IFERROR(VLOOKUP(MID(N98,O98,P98-O98),[5]skilldef!$A:$B,2,FALSE),"-")</f>
        <v>自分自身に / 状態異常耐性</v>
      </c>
      <c r="T98" s="45" t="str">
        <f t="shared" si="58"/>
        <v>[effect:fix_speed, target:myself, turn:4]</v>
      </c>
      <c r="U98" s="60">
        <f t="shared" si="59"/>
        <v>9</v>
      </c>
      <c r="V98" s="60">
        <f t="shared" si="60"/>
        <v>18</v>
      </c>
      <c r="W98" s="60">
        <f t="shared" si="61"/>
        <v>27</v>
      </c>
      <c r="X98" s="60">
        <f t="shared" si="62"/>
        <v>33</v>
      </c>
      <c r="Y98" s="60" t="str">
        <f>IFERROR(VLOOKUP(MID(T98,W98,X98-W98),[5]skilldef!$C:$D,2,FALSE),"-") &amp; " / " &amp; IFERROR(VLOOKUP(MID(T98,U98,V98-U98),[5]skilldef!$A:$B,2,FALSE),"-")</f>
        <v>自分自身に / 行動値設定</v>
      </c>
      <c r="Z98" s="47"/>
      <c r="AA98" s="49"/>
      <c r="AB98" s="47"/>
    </row>
    <row r="99" spans="1:28" ht="21" customHeight="1" x14ac:dyDescent="0.15">
      <c r="A99" s="44">
        <v>41015106</v>
      </c>
      <c r="B99" s="44" t="s">
        <v>475</v>
      </c>
      <c r="C99" s="47">
        <v>3</v>
      </c>
      <c r="D99" s="47" t="s">
        <v>126</v>
      </c>
      <c r="E99" s="186" t="s">
        <v>425</v>
      </c>
      <c r="F99" s="186" t="s">
        <v>426</v>
      </c>
      <c r="G99" s="60" t="str">
        <f t="shared" si="48"/>
        <v>[effect:enemy_message, val1:1, val2:2.6]</v>
      </c>
      <c r="H99" s="60">
        <f t="shared" si="49"/>
        <v>9</v>
      </c>
      <c r="I99" s="60">
        <f t="shared" si="50"/>
        <v>22</v>
      </c>
      <c r="J99" s="60" t="e">
        <f t="shared" si="51"/>
        <v>#VALUE!</v>
      </c>
      <c r="K99" s="60">
        <f t="shared" si="52"/>
        <v>30</v>
      </c>
      <c r="L99" s="60" t="str">
        <f>IFERROR(VLOOKUP(MID(G99,J99,K99-J99),[5]skilldef!$C:$D,2,FALSE),"-") &amp; " / " &amp; IFERROR(VLOOKUP(MID(G99,H99,I99-H99),[5]skilldef!$A:$B,2,FALSE),"-")</f>
        <v>- / -</v>
      </c>
      <c r="M99" s="60" t="str">
        <f t="shared" si="53"/>
        <v>[effect:tolerance, target:myself, turn:-1, tolerance_effect:all, count:-1, animation:enemy_tolerance],[effect:fix_speed, target:myself, turn:4]</v>
      </c>
      <c r="N99" s="45" t="str">
        <f>IFERROR(LEFT(M99,FIND("],",M99)+#REF!),M99)</f>
        <v>[effect:tolerance, target:myself, turn:-1, tolerance_effect:all, count:-1, animation:enemy_tolerance],[effect:fix_speed, target:myself, turn:4]</v>
      </c>
      <c r="O99" s="60">
        <f t="shared" si="54"/>
        <v>9</v>
      </c>
      <c r="P99" s="60">
        <f t="shared" si="55"/>
        <v>18</v>
      </c>
      <c r="Q99" s="60">
        <f t="shared" si="56"/>
        <v>27</v>
      </c>
      <c r="R99" s="60">
        <f t="shared" si="57"/>
        <v>33</v>
      </c>
      <c r="S99" s="60" t="str">
        <f>IFERROR(VLOOKUP(MID(N99,Q99,R99-Q99),[5]skilldef!$C:$D,2,FALSE),"-") &amp; " / " &amp; IFERROR(VLOOKUP(MID(N99,O99,P99-O99),[5]skilldef!$A:$B,2,FALSE),"-")</f>
        <v>自分自身に / 状態異常耐性</v>
      </c>
      <c r="T99" s="45" t="str">
        <f t="shared" si="58"/>
        <v>[effect:fix_speed, target:myself, turn:4]</v>
      </c>
      <c r="U99" s="60">
        <f t="shared" si="59"/>
        <v>9</v>
      </c>
      <c r="V99" s="60">
        <f t="shared" si="60"/>
        <v>18</v>
      </c>
      <c r="W99" s="60">
        <f t="shared" si="61"/>
        <v>27</v>
      </c>
      <c r="X99" s="60">
        <f t="shared" si="62"/>
        <v>33</v>
      </c>
      <c r="Y99" s="60" t="str">
        <f>IFERROR(VLOOKUP(MID(T99,W99,X99-W99),[5]skilldef!$C:$D,2,FALSE),"-") &amp; " / " &amp; IFERROR(VLOOKUP(MID(T99,U99,V99-U99),[5]skilldef!$A:$B,2,FALSE),"-")</f>
        <v>自分自身に / 行動値設定</v>
      </c>
      <c r="Z99" s="47"/>
      <c r="AA99" s="49"/>
      <c r="AB99" s="47"/>
    </row>
    <row r="100" spans="1:28" ht="21" customHeight="1" x14ac:dyDescent="0.15">
      <c r="A100" s="44">
        <v>41015107</v>
      </c>
      <c r="B100" s="44" t="s">
        <v>475</v>
      </c>
      <c r="C100" s="47">
        <v>3</v>
      </c>
      <c r="D100" s="47" t="s">
        <v>126</v>
      </c>
      <c r="E100" s="186" t="s">
        <v>427</v>
      </c>
      <c r="F100" s="186" t="s">
        <v>454</v>
      </c>
      <c r="G100" s="60" t="str">
        <f t="shared" si="48"/>
        <v>[effect:enemy_message, val1:1, val2:2.6]</v>
      </c>
      <c r="H100" s="60">
        <f t="shared" si="49"/>
        <v>9</v>
      </c>
      <c r="I100" s="60">
        <f t="shared" si="50"/>
        <v>22</v>
      </c>
      <c r="J100" s="60" t="e">
        <f t="shared" si="51"/>
        <v>#VALUE!</v>
      </c>
      <c r="K100" s="60">
        <f t="shared" si="52"/>
        <v>30</v>
      </c>
      <c r="L100" s="60" t="str">
        <f>IFERROR(VLOOKUP(MID(G100,J100,K100-J100),[5]skilldef!$C:$D,2,FALSE),"-") &amp; " / " &amp; IFERROR(VLOOKUP(MID(G100,H100,I100-H100),[5]skilldef!$A:$B,2,FALSE),"-")</f>
        <v>- / -</v>
      </c>
      <c r="M100" s="60" t="str">
        <f t="shared" si="53"/>
        <v>[effect:tolerance, target:myself, turn:-1, tolerance_effect:all, count:-1, animation:enemy_tolerance],[effect:fix_speed, target:myself, turn:4]</v>
      </c>
      <c r="N100" s="45" t="str">
        <f>IFERROR(LEFT(M100,FIND("],",M100)+S111),M100)</f>
        <v>[effect:tolerance, target:myself, turn:-1, tolerance_effect:all, count:-1, animation:enemy_tolerance],[effect:fix_speed, target:myself, turn:4]</v>
      </c>
      <c r="O100" s="60">
        <f t="shared" si="54"/>
        <v>9</v>
      </c>
      <c r="P100" s="60">
        <f t="shared" si="55"/>
        <v>18</v>
      </c>
      <c r="Q100" s="60">
        <f t="shared" si="56"/>
        <v>27</v>
      </c>
      <c r="R100" s="60">
        <f t="shared" si="57"/>
        <v>33</v>
      </c>
      <c r="S100" s="60" t="str">
        <f>IFERROR(VLOOKUP(MID(N100,Q100,R100-Q100),[5]skilldef!$C:$D,2,FALSE),"-") &amp; " / " &amp; IFERROR(VLOOKUP(MID(N100,O100,P100-O100),[5]skilldef!$A:$B,2,FALSE),"-")</f>
        <v>自分自身に / 状態異常耐性</v>
      </c>
      <c r="T100" s="45" t="str">
        <f t="shared" si="58"/>
        <v>[effect:fix_speed, target:myself, turn:4]</v>
      </c>
      <c r="U100" s="60">
        <f t="shared" si="59"/>
        <v>9</v>
      </c>
      <c r="V100" s="60">
        <f t="shared" si="60"/>
        <v>18</v>
      </c>
      <c r="W100" s="60">
        <f t="shared" si="61"/>
        <v>27</v>
      </c>
      <c r="X100" s="60">
        <f t="shared" si="62"/>
        <v>33</v>
      </c>
      <c r="Y100" s="60" t="str">
        <f>IFERROR(VLOOKUP(MID(T100,W100,X100-W100),[5]skilldef!$C:$D,2,FALSE),"-") &amp; " / " &amp; IFERROR(VLOOKUP(MID(T100,U100,V100-U100),[5]skilldef!$A:$B,2,FALSE),"-")</f>
        <v>自分自身に / 行動値設定</v>
      </c>
      <c r="Z100" s="47"/>
      <c r="AA100" s="49"/>
      <c r="AB100" s="47"/>
    </row>
    <row r="101" spans="1:28" ht="21" customHeight="1" x14ac:dyDescent="0.15">
      <c r="A101" s="44">
        <v>41015108</v>
      </c>
      <c r="B101" s="44" t="s">
        <v>475</v>
      </c>
      <c r="C101" s="47">
        <v>3</v>
      </c>
      <c r="D101" s="47" t="s">
        <v>126</v>
      </c>
      <c r="E101" s="186" t="s">
        <v>427</v>
      </c>
      <c r="F101" s="186" t="s">
        <v>454</v>
      </c>
      <c r="G101" s="60" t="str">
        <f t="shared" si="48"/>
        <v>[effect:enemy_message, val1:1, val2:2.6]</v>
      </c>
      <c r="H101" s="60">
        <f t="shared" si="49"/>
        <v>9</v>
      </c>
      <c r="I101" s="60">
        <f t="shared" si="50"/>
        <v>22</v>
      </c>
      <c r="J101" s="60" t="e">
        <f t="shared" si="51"/>
        <v>#VALUE!</v>
      </c>
      <c r="K101" s="60">
        <f t="shared" si="52"/>
        <v>30</v>
      </c>
      <c r="L101" s="60" t="str">
        <f>IFERROR(VLOOKUP(MID(G101,J101,K101-J101),[5]skilldef!$C:$D,2,FALSE),"-") &amp; " / " &amp; IFERROR(VLOOKUP(MID(G101,H101,I101-H101),[5]skilldef!$A:$B,2,FALSE),"-")</f>
        <v>- / -</v>
      </c>
      <c r="M101" s="60" t="str">
        <f t="shared" si="53"/>
        <v>[effect:tolerance, target:myself, turn:-1, tolerance_effect:all, count:-1, animation:enemy_tolerance],[effect:fix_speed, target:myself, turn:4]</v>
      </c>
      <c r="N101" s="45" t="str">
        <f>IFERROR(LEFT(M101,FIND("],",M101)+S112),M101)</f>
        <v>[effect:tolerance, target:myself, turn:-1, tolerance_effect:all, count:-1, animation:enemy_tolerance],[effect:fix_speed, target:myself, turn:4]</v>
      </c>
      <c r="O101" s="60">
        <f t="shared" si="54"/>
        <v>9</v>
      </c>
      <c r="P101" s="60">
        <f t="shared" si="55"/>
        <v>18</v>
      </c>
      <c r="Q101" s="60">
        <f t="shared" si="56"/>
        <v>27</v>
      </c>
      <c r="R101" s="60">
        <f t="shared" si="57"/>
        <v>33</v>
      </c>
      <c r="S101" s="60" t="str">
        <f>IFERROR(VLOOKUP(MID(N101,Q101,R101-Q101),[5]skilldef!$C:$D,2,FALSE),"-") &amp; " / " &amp; IFERROR(VLOOKUP(MID(N101,O101,P101-O101),[5]skilldef!$A:$B,2,FALSE),"-")</f>
        <v>自分自身に / 状態異常耐性</v>
      </c>
      <c r="T101" s="45" t="str">
        <f t="shared" si="58"/>
        <v>[effect:fix_speed, target:myself, turn:4]</v>
      </c>
      <c r="U101" s="60">
        <f t="shared" si="59"/>
        <v>9</v>
      </c>
      <c r="V101" s="60">
        <f t="shared" si="60"/>
        <v>18</v>
      </c>
      <c r="W101" s="60">
        <f t="shared" si="61"/>
        <v>27</v>
      </c>
      <c r="X101" s="60">
        <f t="shared" si="62"/>
        <v>33</v>
      </c>
      <c r="Y101" s="60" t="str">
        <f>IFERROR(VLOOKUP(MID(T101,W101,X101-W101),[5]skilldef!$C:$D,2,FALSE),"-") &amp; " / " &amp; IFERROR(VLOOKUP(MID(T101,U101,V101-U101),[5]skilldef!$A:$B,2,FALSE),"-")</f>
        <v>自分自身に / 行動値設定</v>
      </c>
      <c r="Z101" s="47"/>
      <c r="AA101" s="49"/>
      <c r="AB101" s="47"/>
    </row>
    <row r="102" spans="1:28" ht="21" customHeight="1" x14ac:dyDescent="0.15">
      <c r="A102" s="44">
        <v>41015109</v>
      </c>
      <c r="B102" s="44" t="s">
        <v>475</v>
      </c>
      <c r="C102" s="47">
        <v>3</v>
      </c>
      <c r="D102" s="47" t="s">
        <v>126</v>
      </c>
      <c r="E102" s="186" t="s">
        <v>455</v>
      </c>
      <c r="F102" s="186" t="s">
        <v>431</v>
      </c>
      <c r="G102" s="60" t="str">
        <f t="shared" si="48"/>
        <v>[effect:enemy_message, val1:1, val2:2.6]</v>
      </c>
      <c r="H102" s="60">
        <f t="shared" si="49"/>
        <v>9</v>
      </c>
      <c r="I102" s="60">
        <f t="shared" si="50"/>
        <v>22</v>
      </c>
      <c r="J102" s="60" t="e">
        <f t="shared" si="51"/>
        <v>#VALUE!</v>
      </c>
      <c r="K102" s="60">
        <f t="shared" si="52"/>
        <v>30</v>
      </c>
      <c r="L102" s="60" t="str">
        <f>IFERROR(VLOOKUP(MID(G102,J102,K102-J102),[5]skilldef!$C:$D,2,FALSE),"-") &amp; " / " &amp; IFERROR(VLOOKUP(MID(G102,H102,I102-H102),[5]skilldef!$A:$B,2,FALSE),"-")</f>
        <v>- / -</v>
      </c>
      <c r="M102" s="60" t="str">
        <f t="shared" si="53"/>
        <v>[effect:tolerance, target:myself, turn:-1, tolerance_effect:all, count:-1, animation:enemy_tolerance],[effect:fix_speed, target:myself, turn:4]</v>
      </c>
      <c r="N102" s="45" t="str">
        <f t="shared" ref="N102:N104" si="65">IFERROR(LEFT(M102,FIND("],",M102)+S111),M102)</f>
        <v>[effect:tolerance, target:myself, turn:-1, tolerance_effect:all, count:-1, animation:enemy_tolerance],[effect:fix_speed, target:myself, turn:4]</v>
      </c>
      <c r="O102" s="60">
        <f t="shared" si="54"/>
        <v>9</v>
      </c>
      <c r="P102" s="60">
        <f t="shared" si="55"/>
        <v>18</v>
      </c>
      <c r="Q102" s="60">
        <f t="shared" si="56"/>
        <v>27</v>
      </c>
      <c r="R102" s="60">
        <f t="shared" si="57"/>
        <v>33</v>
      </c>
      <c r="S102" s="60" t="str">
        <f>IFERROR(VLOOKUP(MID(N102,Q102,R102-Q102),[5]skilldef!$C:$D,2,FALSE),"-") &amp; " / " &amp; IFERROR(VLOOKUP(MID(N102,O102,P102-O102),[5]skilldef!$A:$B,2,FALSE),"-")</f>
        <v>自分自身に / 状態異常耐性</v>
      </c>
      <c r="T102" s="45" t="str">
        <f t="shared" si="58"/>
        <v>[effect:fix_speed, target:myself, turn:4]</v>
      </c>
      <c r="U102" s="60">
        <f t="shared" si="59"/>
        <v>9</v>
      </c>
      <c r="V102" s="60">
        <f t="shared" si="60"/>
        <v>18</v>
      </c>
      <c r="W102" s="60">
        <f t="shared" si="61"/>
        <v>27</v>
      </c>
      <c r="X102" s="60">
        <f t="shared" si="62"/>
        <v>33</v>
      </c>
      <c r="Y102" s="60" t="str">
        <f>IFERROR(VLOOKUP(MID(T102,W102,X102-W102),[5]skilldef!$C:$D,2,FALSE),"-") &amp; " / " &amp; IFERROR(VLOOKUP(MID(T102,U102,V102-U102),[5]skilldef!$A:$B,2,FALSE),"-")</f>
        <v>自分自身に / 行動値設定</v>
      </c>
      <c r="Z102" s="47"/>
      <c r="AA102" s="49"/>
      <c r="AB102" s="47"/>
    </row>
    <row r="103" spans="1:28" ht="21" customHeight="1" x14ac:dyDescent="0.15">
      <c r="A103" s="44">
        <v>41015110</v>
      </c>
      <c r="B103" s="44" t="s">
        <v>475</v>
      </c>
      <c r="C103" s="47">
        <v>3</v>
      </c>
      <c r="D103" s="47" t="s">
        <v>456</v>
      </c>
      <c r="E103" s="186" t="s">
        <v>455</v>
      </c>
      <c r="F103" s="186" t="s">
        <v>431</v>
      </c>
      <c r="G103" s="60" t="str">
        <f t="shared" si="48"/>
        <v>[effect:enemy_message, val1:1, val2:2.6]</v>
      </c>
      <c r="H103" s="60">
        <f t="shared" si="49"/>
        <v>9</v>
      </c>
      <c r="I103" s="60">
        <f t="shared" si="50"/>
        <v>22</v>
      </c>
      <c r="J103" s="60" t="e">
        <f t="shared" si="51"/>
        <v>#VALUE!</v>
      </c>
      <c r="K103" s="60">
        <f t="shared" si="52"/>
        <v>30</v>
      </c>
      <c r="L103" s="60" t="str">
        <f>IFERROR(VLOOKUP(MID(G103,J103,K103-J103),[5]skilldef!$C:$D,2,FALSE),"-") &amp; " / " &amp; IFERROR(VLOOKUP(MID(G103,H103,I103-H103),[5]skilldef!$A:$B,2,FALSE),"-")</f>
        <v>- / -</v>
      </c>
      <c r="M103" s="60" t="str">
        <f t="shared" si="53"/>
        <v>[effect:tolerance, target:myself, turn:-1, tolerance_effect:all, count:-1, animation:enemy_tolerance],[effect:fix_speed, target:myself, turn:4]</v>
      </c>
      <c r="N103" s="45" t="str">
        <f t="shared" si="65"/>
        <v>[effect:tolerance, target:myself, turn:-1, tolerance_effect:all, count:-1, animation:enemy_tolerance],[effect:fix_speed, target:myself, turn:4]</v>
      </c>
      <c r="O103" s="60">
        <f t="shared" si="54"/>
        <v>9</v>
      </c>
      <c r="P103" s="60">
        <f t="shared" si="55"/>
        <v>18</v>
      </c>
      <c r="Q103" s="60">
        <f t="shared" si="56"/>
        <v>27</v>
      </c>
      <c r="R103" s="60">
        <f t="shared" si="57"/>
        <v>33</v>
      </c>
      <c r="S103" s="60" t="str">
        <f>IFERROR(VLOOKUP(MID(N103,Q103,R103-Q103),[5]skilldef!$C:$D,2,FALSE),"-") &amp; " / " &amp; IFERROR(VLOOKUP(MID(N103,O103,P103-O103),[5]skilldef!$A:$B,2,FALSE),"-")</f>
        <v>自分自身に / 状態異常耐性</v>
      </c>
      <c r="T103" s="45" t="str">
        <f t="shared" si="58"/>
        <v>[effect:fix_speed, target:myself, turn:4]</v>
      </c>
      <c r="U103" s="60">
        <f t="shared" si="59"/>
        <v>9</v>
      </c>
      <c r="V103" s="60">
        <f t="shared" si="60"/>
        <v>18</v>
      </c>
      <c r="W103" s="60">
        <f t="shared" si="61"/>
        <v>27</v>
      </c>
      <c r="X103" s="60">
        <f t="shared" si="62"/>
        <v>33</v>
      </c>
      <c r="Y103" s="60" t="str">
        <f>IFERROR(VLOOKUP(MID(T103,W103,X103-W103),[5]skilldef!$C:$D,2,FALSE),"-") &amp; " / " &amp; IFERROR(VLOOKUP(MID(T103,U103,V103-U103),[5]skilldef!$A:$B,2,FALSE),"-")</f>
        <v>自分自身に / 行動値設定</v>
      </c>
      <c r="Z103" s="47"/>
      <c r="AA103" s="49"/>
      <c r="AB103" s="47"/>
    </row>
    <row r="104" spans="1:28" s="194" customFormat="1" ht="21" customHeight="1" thickBot="1" x14ac:dyDescent="0.2">
      <c r="A104" s="188">
        <v>41015111</v>
      </c>
      <c r="B104" s="188" t="s">
        <v>475</v>
      </c>
      <c r="C104" s="189">
        <v>3</v>
      </c>
      <c r="D104" s="189" t="s">
        <v>126</v>
      </c>
      <c r="E104" s="190" t="s">
        <v>432</v>
      </c>
      <c r="F104" s="190" t="s">
        <v>433</v>
      </c>
      <c r="G104" s="191" t="str">
        <f t="shared" si="48"/>
        <v>[effect:enemy_message, val1:1, val2:2.6]</v>
      </c>
      <c r="H104" s="191">
        <f t="shared" si="49"/>
        <v>9</v>
      </c>
      <c r="I104" s="191">
        <f t="shared" si="50"/>
        <v>22</v>
      </c>
      <c r="J104" s="191" t="e">
        <f t="shared" si="51"/>
        <v>#VALUE!</v>
      </c>
      <c r="K104" s="191">
        <f t="shared" si="52"/>
        <v>30</v>
      </c>
      <c r="L104" s="191" t="str">
        <f>IFERROR(VLOOKUP(MID(G104,J104,K104-J104),[5]skilldef!$C:$D,2,FALSE),"-") &amp; " / " &amp; IFERROR(VLOOKUP(MID(G104,H104,I104-H104),[5]skilldef!$A:$B,2,FALSE),"-")</f>
        <v>- / -</v>
      </c>
      <c r="M104" s="191" t="str">
        <f t="shared" si="53"/>
        <v>[effect:tolerance, target:myself, turn:-1, tolerance_effect:all, count:-1, animation:enemy_tolerance],[effect:fix_speed, target:myself, turn:4]</v>
      </c>
      <c r="N104" s="192" t="str">
        <f t="shared" si="65"/>
        <v>[effect:tolerance, target:myself, turn:-1, tolerance_effect:all, count:-1, animation:enemy_tolerance],[effect:fix_speed, target:myself, turn:4]</v>
      </c>
      <c r="O104" s="191">
        <f t="shared" si="54"/>
        <v>9</v>
      </c>
      <c r="P104" s="191">
        <f t="shared" si="55"/>
        <v>18</v>
      </c>
      <c r="Q104" s="191">
        <f t="shared" si="56"/>
        <v>27</v>
      </c>
      <c r="R104" s="191">
        <f t="shared" si="57"/>
        <v>33</v>
      </c>
      <c r="S104" s="191" t="str">
        <f>IFERROR(VLOOKUP(MID(N104,Q104,R104-Q104),[5]skilldef!$C:$D,2,FALSE),"-") &amp; " / " &amp; IFERROR(VLOOKUP(MID(N104,O104,P104-O104),[5]skilldef!$A:$B,2,FALSE),"-")</f>
        <v>自分自身に / 状態異常耐性</v>
      </c>
      <c r="T104" s="192" t="str">
        <f t="shared" si="58"/>
        <v>[effect:fix_speed, target:myself, turn:4]</v>
      </c>
      <c r="U104" s="191">
        <f t="shared" si="59"/>
        <v>9</v>
      </c>
      <c r="V104" s="191">
        <f t="shared" si="60"/>
        <v>18</v>
      </c>
      <c r="W104" s="191">
        <f t="shared" si="61"/>
        <v>27</v>
      </c>
      <c r="X104" s="191">
        <f t="shared" si="62"/>
        <v>33</v>
      </c>
      <c r="Y104" s="191" t="str">
        <f>IFERROR(VLOOKUP(MID(T104,W104,X104-W104),[5]skilldef!$C:$D,2,FALSE),"-") &amp; " / " &amp; IFERROR(VLOOKUP(MID(T104,U104,V104-U104),[5]skilldef!$A:$B,2,FALSE),"-")</f>
        <v>自分自身に / 行動値設定</v>
      </c>
      <c r="Z104" s="189"/>
      <c r="AA104" s="193"/>
      <c r="AB104" s="189"/>
    </row>
    <row r="105" spans="1:28" ht="21" customHeight="1" x14ac:dyDescent="0.15">
      <c r="A105" s="44">
        <v>41015112</v>
      </c>
      <c r="B105" s="44" t="s">
        <v>258</v>
      </c>
      <c r="C105" s="170">
        <v>3</v>
      </c>
      <c r="D105" s="170" t="s">
        <v>277</v>
      </c>
      <c r="E105" s="171" t="s">
        <v>286</v>
      </c>
      <c r="F105" s="171" t="s">
        <v>287</v>
      </c>
      <c r="G105" s="60" t="str">
        <f t="shared" si="48"/>
        <v>[effect:nothing]</v>
      </c>
      <c r="H105" s="172">
        <v>9</v>
      </c>
      <c r="I105" s="172">
        <v>13</v>
      </c>
      <c r="J105" s="172">
        <v>22</v>
      </c>
      <c r="K105" s="172">
        <v>31</v>
      </c>
      <c r="L105" s="172" t="s">
        <v>282</v>
      </c>
      <c r="M105" s="172" t="s">
        <v>283</v>
      </c>
      <c r="N105" s="173" t="s">
        <v>283</v>
      </c>
      <c r="O105" s="172" t="e">
        <v>#VALUE!</v>
      </c>
      <c r="P105" s="172">
        <v>4</v>
      </c>
      <c r="Q105" s="172" t="e">
        <v>#VALUE!</v>
      </c>
      <c r="R105" s="172" t="e">
        <v>#VALUE!</v>
      </c>
      <c r="S105" s="172" t="s">
        <v>284</v>
      </c>
      <c r="T105" s="173" t="s">
        <v>283</v>
      </c>
      <c r="U105" s="172" t="e">
        <v>#VALUE!</v>
      </c>
      <c r="V105" s="172">
        <v>4</v>
      </c>
      <c r="W105" s="172" t="e">
        <v>#VALUE!</v>
      </c>
      <c r="X105" s="172" t="e">
        <v>#VALUE!</v>
      </c>
      <c r="Y105" s="172" t="s">
        <v>284</v>
      </c>
      <c r="Z105" s="170"/>
      <c r="AA105" s="174"/>
      <c r="AB105" s="170"/>
    </row>
    <row r="106" spans="1:28" ht="21" customHeight="1" x14ac:dyDescent="0.15">
      <c r="A106" s="44">
        <v>41015113</v>
      </c>
      <c r="B106" s="44" t="s">
        <v>258</v>
      </c>
      <c r="C106" s="170">
        <v>3</v>
      </c>
      <c r="D106" s="170" t="s">
        <v>277</v>
      </c>
      <c r="E106" s="171" t="s">
        <v>278</v>
      </c>
      <c r="F106" s="171" t="s">
        <v>280</v>
      </c>
      <c r="G106" s="60" t="str">
        <f t="shared" si="48"/>
        <v>[effect:nothing]</v>
      </c>
      <c r="H106" s="172">
        <v>9</v>
      </c>
      <c r="I106" s="172">
        <v>13</v>
      </c>
      <c r="J106" s="172">
        <v>22</v>
      </c>
      <c r="K106" s="172">
        <v>31</v>
      </c>
      <c r="L106" s="172" t="s">
        <v>282</v>
      </c>
      <c r="M106" s="172" t="s">
        <v>283</v>
      </c>
      <c r="N106" s="173" t="s">
        <v>283</v>
      </c>
      <c r="O106" s="172" t="e">
        <v>#VALUE!</v>
      </c>
      <c r="P106" s="172">
        <v>4</v>
      </c>
      <c r="Q106" s="172" t="e">
        <v>#VALUE!</v>
      </c>
      <c r="R106" s="172" t="e">
        <v>#VALUE!</v>
      </c>
      <c r="S106" s="172" t="s">
        <v>284</v>
      </c>
      <c r="T106" s="173" t="s">
        <v>283</v>
      </c>
      <c r="U106" s="172" t="e">
        <v>#VALUE!</v>
      </c>
      <c r="V106" s="172">
        <v>4</v>
      </c>
      <c r="W106" s="172" t="e">
        <v>#VALUE!</v>
      </c>
      <c r="X106" s="172" t="e">
        <v>#VALUE!</v>
      </c>
      <c r="Y106" s="172" t="s">
        <v>284</v>
      </c>
      <c r="Z106" s="170"/>
      <c r="AA106" s="174"/>
      <c r="AB106" s="170"/>
    </row>
    <row r="107" spans="1:28" ht="21" customHeight="1" x14ac:dyDescent="0.15">
      <c r="A107" s="44">
        <v>41015114</v>
      </c>
      <c r="B107" s="44" t="s">
        <v>338</v>
      </c>
      <c r="C107" s="47">
        <v>3</v>
      </c>
      <c r="D107" s="47" t="s">
        <v>126</v>
      </c>
      <c r="E107" s="186" t="s">
        <v>441</v>
      </c>
      <c r="F107" s="186" t="s">
        <v>442</v>
      </c>
      <c r="G107" s="60" t="str">
        <f t="shared" ref="G107:G116" si="66">IFERROR(LEFT(B107,FIND("],",B107)),B107)</f>
        <v>[effect:tolerance, target:myself, turn:-1, tolerance_effect:hungup, count:-1, animation:enemy_tolerance]</v>
      </c>
      <c r="H107" s="60">
        <f t="shared" ref="H107:H116" si="67">FIND("effect:",G107)+7</f>
        <v>9</v>
      </c>
      <c r="I107" s="60">
        <f t="shared" ref="I107:I116" si="68">IFERROR(FIND(",",G107),LEN(G107))</f>
        <v>18</v>
      </c>
      <c r="J107" s="60">
        <f t="shared" ref="J107:J116" si="69">FIND("target:",G107)+7</f>
        <v>27</v>
      </c>
      <c r="K107" s="60">
        <f t="shared" ref="K107:K116" si="70">FIND(",",G107,I107+1)</f>
        <v>33</v>
      </c>
      <c r="L107" s="60" t="str">
        <f>IFERROR(VLOOKUP(MID(G107,J107,K107-J107),[5]skilldef!$C:$D,2,FALSE),"-") &amp; " / " &amp; IFERROR(VLOOKUP(MID(G107,H107,I107-H107),[5]skilldef!$A:$B,2,FALSE),"-")</f>
        <v>自分自身に / 状態異常耐性</v>
      </c>
      <c r="M107" s="60" t="str">
        <f t="shared" ref="M107:M116" si="71">IFERROR(RIGHT(B107,LEN(B107)-FIND("],",B107)-1),"none")</f>
        <v>none</v>
      </c>
      <c r="N107" s="45" t="str">
        <f>IFERROR(LEFT(M107,FIND("],",M107)+S120),M107)</f>
        <v>none</v>
      </c>
      <c r="O107" s="60" t="e">
        <f t="shared" ref="O107:O116" si="72">FIND("effect:",N107)+7</f>
        <v>#VALUE!</v>
      </c>
      <c r="P107" s="60">
        <f t="shared" ref="P107:P116" si="73">IFERROR(FIND(",",N107),LEN(N107))</f>
        <v>4</v>
      </c>
      <c r="Q107" s="60" t="e">
        <f t="shared" ref="Q107:Q116" si="74">FIND("target:",N107)+7</f>
        <v>#VALUE!</v>
      </c>
      <c r="R107" s="60" t="e">
        <f t="shared" ref="R107:R116" si="75">FIND(",",N107,P107+1)</f>
        <v>#VALUE!</v>
      </c>
      <c r="S107" s="60" t="str">
        <f>IFERROR(VLOOKUP(MID(N107,Q107,R107-Q107),[5]skilldef!$C:$D,2,FALSE),"-") &amp; " / " &amp; IFERROR(VLOOKUP(MID(N107,O107,P107-O107),[5]skilldef!$A:$B,2,FALSE),"-")</f>
        <v>- / -</v>
      </c>
      <c r="T107" s="45" t="str">
        <f t="shared" ref="T107:T116" si="76">IFERROR(RIGHT(M107,LEN(M107)-FIND("],",M107)-1),"none")</f>
        <v>none</v>
      </c>
      <c r="U107" s="60" t="e">
        <f t="shared" ref="U107:U116" si="77">FIND("effect:",T107)+7</f>
        <v>#VALUE!</v>
      </c>
      <c r="V107" s="60">
        <f t="shared" ref="V107:V116" si="78">IFERROR(FIND(",",T107),LEN(T107))</f>
        <v>4</v>
      </c>
      <c r="W107" s="60" t="e">
        <f t="shared" ref="W107:W116" si="79">FIND("target:",T107)+7</f>
        <v>#VALUE!</v>
      </c>
      <c r="X107" s="60" t="e">
        <f t="shared" ref="X107:X116" si="80">FIND(",",T107,V107+1)</f>
        <v>#VALUE!</v>
      </c>
      <c r="Y107" s="60" t="str">
        <f>IFERROR(VLOOKUP(MID(T107,W107,X107-W107),[5]skilldef!$C:$D,2,FALSE),"-") &amp; " / " &amp; IFERROR(VLOOKUP(MID(T107,U107,V107-U107),[5]skilldef!$A:$B,2,FALSE),"-")</f>
        <v>- / -</v>
      </c>
      <c r="Z107" s="47"/>
      <c r="AA107" s="49"/>
      <c r="AB107" s="47"/>
    </row>
    <row r="108" spans="1:28" ht="21" customHeight="1" x14ac:dyDescent="0.15">
      <c r="A108" s="44">
        <v>41015115</v>
      </c>
      <c r="B108" s="44" t="s">
        <v>338</v>
      </c>
      <c r="C108" s="47">
        <v>3</v>
      </c>
      <c r="D108" s="47" t="s">
        <v>126</v>
      </c>
      <c r="E108" s="186" t="s">
        <v>341</v>
      </c>
      <c r="F108" s="186" t="s">
        <v>443</v>
      </c>
      <c r="G108" s="60" t="str">
        <f t="shared" si="66"/>
        <v>[effect:tolerance, target:myself, turn:-1, tolerance_effect:hungup, count:-1, animation:enemy_tolerance]</v>
      </c>
      <c r="H108" s="60">
        <f t="shared" si="67"/>
        <v>9</v>
      </c>
      <c r="I108" s="60">
        <f t="shared" si="68"/>
        <v>18</v>
      </c>
      <c r="J108" s="60">
        <f t="shared" si="69"/>
        <v>27</v>
      </c>
      <c r="K108" s="60">
        <f t="shared" si="70"/>
        <v>33</v>
      </c>
      <c r="L108" s="60" t="str">
        <f>IFERROR(VLOOKUP(MID(G108,J108,K108-J108),[5]skilldef!$C:$D,2,FALSE),"-") &amp; " / " &amp; IFERROR(VLOOKUP(MID(G108,H108,I108-H108),[5]skilldef!$A:$B,2,FALSE),"-")</f>
        <v>自分自身に / 状態異常耐性</v>
      </c>
      <c r="M108" s="60" t="str">
        <f t="shared" si="71"/>
        <v>none</v>
      </c>
      <c r="N108" s="45" t="str">
        <f>IFERROR(LEFT(M108,FIND("],",M108)+S122),M108)</f>
        <v>none</v>
      </c>
      <c r="O108" s="60" t="e">
        <f t="shared" si="72"/>
        <v>#VALUE!</v>
      </c>
      <c r="P108" s="60">
        <f t="shared" si="73"/>
        <v>4</v>
      </c>
      <c r="Q108" s="60" t="e">
        <f t="shared" si="74"/>
        <v>#VALUE!</v>
      </c>
      <c r="R108" s="60" t="e">
        <f t="shared" si="75"/>
        <v>#VALUE!</v>
      </c>
      <c r="S108" s="60" t="str">
        <f>IFERROR(VLOOKUP(MID(N108,Q108,R108-Q108),[5]skilldef!$C:$D,2,FALSE),"-") &amp; " / " &amp; IFERROR(VLOOKUP(MID(N108,O108,P108-O108),[5]skilldef!$A:$B,2,FALSE),"-")</f>
        <v>- / -</v>
      </c>
      <c r="T108" s="45" t="str">
        <f t="shared" si="76"/>
        <v>none</v>
      </c>
      <c r="U108" s="60" t="e">
        <f t="shared" si="77"/>
        <v>#VALUE!</v>
      </c>
      <c r="V108" s="60">
        <f t="shared" si="78"/>
        <v>4</v>
      </c>
      <c r="W108" s="60" t="e">
        <f t="shared" si="79"/>
        <v>#VALUE!</v>
      </c>
      <c r="X108" s="60" t="e">
        <f t="shared" si="80"/>
        <v>#VALUE!</v>
      </c>
      <c r="Y108" s="60" t="str">
        <f>IFERROR(VLOOKUP(MID(T108,W108,X108-W108),[5]skilldef!$C:$D,2,FALSE),"-") &amp; " / " &amp; IFERROR(VLOOKUP(MID(T108,U108,V108-U108),[5]skilldef!$A:$B,2,FALSE),"-")</f>
        <v>- / -</v>
      </c>
      <c r="Z108" s="47"/>
      <c r="AA108" s="49"/>
      <c r="AB108" s="47"/>
    </row>
    <row r="109" spans="1:28" ht="21" customHeight="1" x14ac:dyDescent="0.15">
      <c r="A109" s="44">
        <v>41015116</v>
      </c>
      <c r="B109" s="44" t="s">
        <v>338</v>
      </c>
      <c r="C109" s="47">
        <v>3</v>
      </c>
      <c r="D109" s="47" t="s">
        <v>126</v>
      </c>
      <c r="E109" s="186" t="s">
        <v>343</v>
      </c>
      <c r="F109" s="186" t="s">
        <v>344</v>
      </c>
      <c r="G109" s="60" t="str">
        <f t="shared" si="66"/>
        <v>[effect:tolerance, target:myself, turn:-1, tolerance_effect:hungup, count:-1, animation:enemy_tolerance]</v>
      </c>
      <c r="H109" s="60">
        <f t="shared" si="67"/>
        <v>9</v>
      </c>
      <c r="I109" s="60">
        <f t="shared" si="68"/>
        <v>18</v>
      </c>
      <c r="J109" s="60">
        <f t="shared" si="69"/>
        <v>27</v>
      </c>
      <c r="K109" s="60">
        <f t="shared" si="70"/>
        <v>33</v>
      </c>
      <c r="L109" s="60" t="str">
        <f>IFERROR(VLOOKUP(MID(G109,J109,K109-J109),[5]skilldef!$C:$D,2,FALSE),"-") &amp; " / " &amp; IFERROR(VLOOKUP(MID(G109,H109,I109-H109),[5]skilldef!$A:$B,2,FALSE),"-")</f>
        <v>自分自身に / 状態異常耐性</v>
      </c>
      <c r="M109" s="60" t="str">
        <f t="shared" si="71"/>
        <v>none</v>
      </c>
      <c r="N109" s="45" t="str">
        <f>IFERROR(LEFT(M109,FIND("],",M109)+S124),M109)</f>
        <v>none</v>
      </c>
      <c r="O109" s="60" t="e">
        <f t="shared" si="72"/>
        <v>#VALUE!</v>
      </c>
      <c r="P109" s="60">
        <f t="shared" si="73"/>
        <v>4</v>
      </c>
      <c r="Q109" s="60" t="e">
        <f t="shared" si="74"/>
        <v>#VALUE!</v>
      </c>
      <c r="R109" s="60" t="e">
        <f t="shared" si="75"/>
        <v>#VALUE!</v>
      </c>
      <c r="S109" s="60" t="str">
        <f>IFERROR(VLOOKUP(MID(N109,Q109,R109-Q109),[5]skilldef!$C:$D,2,FALSE),"-") &amp; " / " &amp; IFERROR(VLOOKUP(MID(N109,O109,P109-O109),[5]skilldef!$A:$B,2,FALSE),"-")</f>
        <v>- / -</v>
      </c>
      <c r="T109" s="45" t="str">
        <f t="shared" si="76"/>
        <v>none</v>
      </c>
      <c r="U109" s="60" t="e">
        <f t="shared" si="77"/>
        <v>#VALUE!</v>
      </c>
      <c r="V109" s="60">
        <f t="shared" si="78"/>
        <v>4</v>
      </c>
      <c r="W109" s="60" t="e">
        <f t="shared" si="79"/>
        <v>#VALUE!</v>
      </c>
      <c r="X109" s="60" t="e">
        <f t="shared" si="80"/>
        <v>#VALUE!</v>
      </c>
      <c r="Y109" s="60" t="str">
        <f>IFERROR(VLOOKUP(MID(T109,W109,X109-W109),[5]skilldef!$C:$D,2,FALSE),"-") &amp; " / " &amp; IFERROR(VLOOKUP(MID(T109,U109,V109-U109),[5]skilldef!$A:$B,2,FALSE),"-")</f>
        <v>- / -</v>
      </c>
      <c r="Z109" s="47"/>
      <c r="AA109" s="49"/>
      <c r="AB109" s="47"/>
    </row>
    <row r="110" spans="1:28" ht="21" customHeight="1" x14ac:dyDescent="0.15">
      <c r="A110" s="44">
        <v>41015117</v>
      </c>
      <c r="B110" s="103" t="s">
        <v>370</v>
      </c>
      <c r="C110" s="47">
        <v>3</v>
      </c>
      <c r="D110" s="47" t="s">
        <v>126</v>
      </c>
      <c r="E110" s="187" t="s">
        <v>373</v>
      </c>
      <c r="F110" s="187" t="s">
        <v>374</v>
      </c>
      <c r="G110" s="60" t="str">
        <f t="shared" si="66"/>
        <v>[effect:tolerance, target:myself, turn:-1, tolerance_effect:hungup, count:-1, animation:enemy_tolerance]</v>
      </c>
      <c r="H110" s="60">
        <f t="shared" si="67"/>
        <v>9</v>
      </c>
      <c r="I110" s="60">
        <f t="shared" si="68"/>
        <v>18</v>
      </c>
      <c r="J110" s="60">
        <f t="shared" si="69"/>
        <v>27</v>
      </c>
      <c r="K110" s="60">
        <f t="shared" si="70"/>
        <v>33</v>
      </c>
      <c r="L110" s="60" t="str">
        <f>IFERROR(VLOOKUP(MID(G110,J110,K110-J110),[5]skilldef!$C:$D,2,FALSE),"-") &amp; " / " &amp; IFERROR(VLOOKUP(MID(G110,H110,I110-H110),[5]skilldef!$A:$B,2,FALSE),"-")</f>
        <v>自分自身に / 状態異常耐性</v>
      </c>
      <c r="M110" s="60" t="str">
        <f t="shared" si="71"/>
        <v>[effect:fix_speed, target:myself, turn:1]</v>
      </c>
      <c r="N110" s="45" t="str">
        <f>IFERROR(LEFT(M110,FIND("],",M110)+S123),M110)</f>
        <v>[effect:fix_speed, target:myself, turn:1]</v>
      </c>
      <c r="O110" s="60">
        <f t="shared" si="72"/>
        <v>9</v>
      </c>
      <c r="P110" s="60">
        <f t="shared" si="73"/>
        <v>18</v>
      </c>
      <c r="Q110" s="60">
        <f t="shared" si="74"/>
        <v>27</v>
      </c>
      <c r="R110" s="60">
        <f t="shared" si="75"/>
        <v>33</v>
      </c>
      <c r="S110" s="60" t="str">
        <f>IFERROR(VLOOKUP(MID(N110,Q110,R110-Q110),[5]skilldef!$C:$D,2,FALSE),"-") &amp; " / " &amp; IFERROR(VLOOKUP(MID(N110,O110,P110-O110),[5]skilldef!$A:$B,2,FALSE),"-")</f>
        <v>自分自身に / 行動値設定</v>
      </c>
      <c r="T110" s="45" t="str">
        <f t="shared" si="76"/>
        <v>none</v>
      </c>
      <c r="U110" s="60" t="e">
        <f t="shared" si="77"/>
        <v>#VALUE!</v>
      </c>
      <c r="V110" s="60">
        <f t="shared" si="78"/>
        <v>4</v>
      </c>
      <c r="W110" s="60" t="e">
        <f t="shared" si="79"/>
        <v>#VALUE!</v>
      </c>
      <c r="X110" s="60" t="e">
        <f t="shared" si="80"/>
        <v>#VALUE!</v>
      </c>
      <c r="Y110" s="60" t="str">
        <f>IFERROR(VLOOKUP(MID(T110,W110,X110-W110),[5]skilldef!$C:$D,2,FALSE),"-") &amp; " / " &amp; IFERROR(VLOOKUP(MID(T110,U110,V110-U110),[5]skilldef!$A:$B,2,FALSE),"-")</f>
        <v>- / -</v>
      </c>
      <c r="Z110" s="47"/>
      <c r="AA110" s="49"/>
      <c r="AB110" s="47"/>
    </row>
    <row r="111" spans="1:28" ht="21" customHeight="1" x14ac:dyDescent="0.15">
      <c r="A111" s="44">
        <v>41015118</v>
      </c>
      <c r="B111" s="103" t="s">
        <v>445</v>
      </c>
      <c r="C111" s="47">
        <v>3</v>
      </c>
      <c r="D111" s="47" t="s">
        <v>446</v>
      </c>
      <c r="E111" s="187" t="s">
        <v>376</v>
      </c>
      <c r="F111" s="187" t="s">
        <v>447</v>
      </c>
      <c r="G111" s="60" t="str">
        <f t="shared" si="66"/>
        <v>[effect:tolerance, target:myself, turn:-1, tolerance_effect:hungup, count:-1, animation:enemy_tolerance]</v>
      </c>
      <c r="H111" s="60">
        <f t="shared" si="67"/>
        <v>9</v>
      </c>
      <c r="I111" s="60">
        <f t="shared" si="68"/>
        <v>18</v>
      </c>
      <c r="J111" s="60">
        <f t="shared" si="69"/>
        <v>27</v>
      </c>
      <c r="K111" s="60">
        <f t="shared" si="70"/>
        <v>33</v>
      </c>
      <c r="L111" s="60" t="str">
        <f>IFERROR(VLOOKUP(MID(G111,J111,K111-J111),[5]skilldef!$C:$D,2,FALSE),"-") &amp; " / " &amp; IFERROR(VLOOKUP(MID(G111,H111,I111-H111),[5]skilldef!$A:$B,2,FALSE),"-")</f>
        <v>自分自身に / 状態異常耐性</v>
      </c>
      <c r="M111" s="60" t="str">
        <f t="shared" si="71"/>
        <v>[effect:fix_speed, target:myself, turn:1]</v>
      </c>
      <c r="N111" s="45" t="str">
        <f>IFERROR(LEFT(M111,FIND("],",M111)+S125),M111)</f>
        <v>[effect:fix_speed, target:myself, turn:1]</v>
      </c>
      <c r="O111" s="60">
        <f t="shared" si="72"/>
        <v>9</v>
      </c>
      <c r="P111" s="60">
        <f t="shared" si="73"/>
        <v>18</v>
      </c>
      <c r="Q111" s="60">
        <f t="shared" si="74"/>
        <v>27</v>
      </c>
      <c r="R111" s="60">
        <f t="shared" si="75"/>
        <v>33</v>
      </c>
      <c r="S111" s="60" t="str">
        <f>IFERROR(VLOOKUP(MID(N111,Q111,R111-Q111),[5]skilldef!$C:$D,2,FALSE),"-") &amp; " / " &amp; IFERROR(VLOOKUP(MID(N111,O111,P111-O111),[5]skilldef!$A:$B,2,FALSE),"-")</f>
        <v>自分自身に / 行動値設定</v>
      </c>
      <c r="T111" s="45" t="str">
        <f t="shared" si="76"/>
        <v>none</v>
      </c>
      <c r="U111" s="60" t="e">
        <f t="shared" si="77"/>
        <v>#VALUE!</v>
      </c>
      <c r="V111" s="60">
        <f t="shared" si="78"/>
        <v>4</v>
      </c>
      <c r="W111" s="60" t="e">
        <f t="shared" si="79"/>
        <v>#VALUE!</v>
      </c>
      <c r="X111" s="60" t="e">
        <f t="shared" si="80"/>
        <v>#VALUE!</v>
      </c>
      <c r="Y111" s="60" t="str">
        <f>IFERROR(VLOOKUP(MID(T111,W111,X111-W111),[5]skilldef!$C:$D,2,FALSE),"-") &amp; " / " &amp; IFERROR(VLOOKUP(MID(T111,U111,V111-U111),[5]skilldef!$A:$B,2,FALSE),"-")</f>
        <v>- / -</v>
      </c>
      <c r="Z111" s="47"/>
      <c r="AA111" s="49"/>
      <c r="AB111" s="47"/>
    </row>
    <row r="112" spans="1:28" ht="21" customHeight="1" x14ac:dyDescent="0.15">
      <c r="A112" s="44">
        <v>41015119</v>
      </c>
      <c r="B112" s="103" t="s">
        <v>370</v>
      </c>
      <c r="C112" s="47">
        <v>3</v>
      </c>
      <c r="D112" s="47" t="s">
        <v>126</v>
      </c>
      <c r="E112" s="187" t="s">
        <v>448</v>
      </c>
      <c r="F112" s="187" t="s">
        <v>379</v>
      </c>
      <c r="G112" s="60" t="str">
        <f t="shared" si="66"/>
        <v>[effect:tolerance, target:myself, turn:-1, tolerance_effect:hungup, count:-1, animation:enemy_tolerance]</v>
      </c>
      <c r="H112" s="60">
        <f t="shared" si="67"/>
        <v>9</v>
      </c>
      <c r="I112" s="60">
        <f t="shared" si="68"/>
        <v>18</v>
      </c>
      <c r="J112" s="60">
        <f t="shared" si="69"/>
        <v>27</v>
      </c>
      <c r="K112" s="60">
        <f t="shared" si="70"/>
        <v>33</v>
      </c>
      <c r="L112" s="60" t="str">
        <f>IFERROR(VLOOKUP(MID(G112,J112,K112-J112),[5]skilldef!$C:$D,2,FALSE),"-") &amp; " / " &amp; IFERROR(VLOOKUP(MID(G112,H112,I112-H112),[5]skilldef!$A:$B,2,FALSE),"-")</f>
        <v>自分自身に / 状態異常耐性</v>
      </c>
      <c r="M112" s="60" t="str">
        <f t="shared" si="71"/>
        <v>[effect:fix_speed, target:myself, turn:1]</v>
      </c>
      <c r="N112" s="45" t="str">
        <f>IFERROR(LEFT(M112,FIND("],",M112)+S128),M112)</f>
        <v>[effect:fix_speed, target:myself, turn:1]</v>
      </c>
      <c r="O112" s="60">
        <f t="shared" si="72"/>
        <v>9</v>
      </c>
      <c r="P112" s="60">
        <f t="shared" si="73"/>
        <v>18</v>
      </c>
      <c r="Q112" s="60">
        <f t="shared" si="74"/>
        <v>27</v>
      </c>
      <c r="R112" s="60">
        <f t="shared" si="75"/>
        <v>33</v>
      </c>
      <c r="S112" s="60" t="str">
        <f>IFERROR(VLOOKUP(MID(N112,Q112,R112-Q112),[5]skilldef!$C:$D,2,FALSE),"-") &amp; " / " &amp; IFERROR(VLOOKUP(MID(N112,O112,P112-O112),[5]skilldef!$A:$B,2,FALSE),"-")</f>
        <v>自分自身に / 行動値設定</v>
      </c>
      <c r="T112" s="45" t="str">
        <f t="shared" si="76"/>
        <v>none</v>
      </c>
      <c r="U112" s="60" t="e">
        <f t="shared" si="77"/>
        <v>#VALUE!</v>
      </c>
      <c r="V112" s="60">
        <f t="shared" si="78"/>
        <v>4</v>
      </c>
      <c r="W112" s="60" t="e">
        <f t="shared" si="79"/>
        <v>#VALUE!</v>
      </c>
      <c r="X112" s="60" t="e">
        <f t="shared" si="80"/>
        <v>#VALUE!</v>
      </c>
      <c r="Y112" s="60" t="str">
        <f>IFERROR(VLOOKUP(MID(T112,W112,X112-W112),[5]skilldef!$C:$D,2,FALSE),"-") &amp; " / " &amp; IFERROR(VLOOKUP(MID(T112,U112,V112-U112),[5]skilldef!$A:$B,2,FALSE),"-")</f>
        <v>- / -</v>
      </c>
      <c r="Z112" s="47"/>
      <c r="AA112" s="49"/>
      <c r="AB112" s="47"/>
    </row>
    <row r="113" spans="1:28" ht="21" customHeight="1" x14ac:dyDescent="0.15">
      <c r="A113" s="44">
        <v>41015120</v>
      </c>
      <c r="B113" s="44" t="s">
        <v>476</v>
      </c>
      <c r="C113" s="47">
        <v>3</v>
      </c>
      <c r="D113" s="47" t="s">
        <v>126</v>
      </c>
      <c r="E113" s="186" t="s">
        <v>417</v>
      </c>
      <c r="F113" s="186" t="s">
        <v>451</v>
      </c>
      <c r="G113" s="60" t="str">
        <f t="shared" si="66"/>
        <v>[effect:enemy_message, val1:1, val2:2.6]</v>
      </c>
      <c r="H113" s="60">
        <f t="shared" si="67"/>
        <v>9</v>
      </c>
      <c r="I113" s="60">
        <f t="shared" si="68"/>
        <v>22</v>
      </c>
      <c r="J113" s="60" t="e">
        <f t="shared" si="69"/>
        <v>#VALUE!</v>
      </c>
      <c r="K113" s="60">
        <f t="shared" si="70"/>
        <v>30</v>
      </c>
      <c r="L113" s="60" t="str">
        <f>IFERROR(VLOOKUP(MID(G113,J113,K113-J113),[5]skilldef!$C:$D,2,FALSE),"-") &amp; " / " &amp; IFERROR(VLOOKUP(MID(G113,H113,I113-H113),[5]skilldef!$A:$B,2,FALSE),"-")</f>
        <v>- / -</v>
      </c>
      <c r="M113" s="60" t="str">
        <f t="shared" si="71"/>
        <v>[effect:tolerance, target:myself, turn:-1, tolerance_effect:all, count:-1, animation:enemy_tolerance],[effect:fix_speed, target:myself, turn:4]</v>
      </c>
      <c r="N113" s="45" t="str">
        <f>IFERROR(LEFT(M113,FIND("],",M113)+S126),M113)</f>
        <v>[effect:tolerance, target:myself, turn:-1, tolerance_effect:all, count:-1, animation:enemy_tolerance]</v>
      </c>
      <c r="O113" s="60">
        <f t="shared" si="72"/>
        <v>9</v>
      </c>
      <c r="P113" s="60">
        <f t="shared" si="73"/>
        <v>18</v>
      </c>
      <c r="Q113" s="60">
        <f t="shared" si="74"/>
        <v>27</v>
      </c>
      <c r="R113" s="60">
        <f t="shared" si="75"/>
        <v>33</v>
      </c>
      <c r="S113" s="60" t="str">
        <f>IFERROR(VLOOKUP(MID(N113,Q113,R113-Q113),[5]skilldef!$C:$D,2,FALSE),"-") &amp; " / " &amp; IFERROR(VLOOKUP(MID(N113,O113,P113-O113),[5]skilldef!$A:$B,2,FALSE),"-")</f>
        <v>自分自身に / 状態異常耐性</v>
      </c>
      <c r="T113" s="45" t="str">
        <f t="shared" si="76"/>
        <v>[effect:fix_speed, target:myself, turn:4]</v>
      </c>
      <c r="U113" s="60">
        <f t="shared" si="77"/>
        <v>9</v>
      </c>
      <c r="V113" s="60">
        <f t="shared" si="78"/>
        <v>18</v>
      </c>
      <c r="W113" s="60">
        <f t="shared" si="79"/>
        <v>27</v>
      </c>
      <c r="X113" s="60">
        <f t="shared" si="80"/>
        <v>33</v>
      </c>
      <c r="Y113" s="60" t="str">
        <f>IFERROR(VLOOKUP(MID(T113,W113,X113-W113),[5]skilldef!$C:$D,2,FALSE),"-") &amp; " / " &amp; IFERROR(VLOOKUP(MID(T113,U113,V113-U113),[5]skilldef!$A:$B,2,FALSE),"-")</f>
        <v>自分自身に / 行動値設定</v>
      </c>
      <c r="Z113" s="47"/>
      <c r="AA113" s="49"/>
      <c r="AB113" s="47"/>
    </row>
    <row r="114" spans="1:28" ht="21" customHeight="1" x14ac:dyDescent="0.15">
      <c r="A114" s="44">
        <v>41015121</v>
      </c>
      <c r="B114" s="44" t="s">
        <v>475</v>
      </c>
      <c r="C114" s="47">
        <v>3</v>
      </c>
      <c r="D114" s="47" t="s">
        <v>126</v>
      </c>
      <c r="E114" s="186" t="s">
        <v>452</v>
      </c>
      <c r="F114" s="186" t="s">
        <v>453</v>
      </c>
      <c r="G114" s="60" t="str">
        <f t="shared" si="66"/>
        <v>[effect:enemy_message, val1:1, val2:2.6]</v>
      </c>
      <c r="H114" s="60">
        <f t="shared" si="67"/>
        <v>9</v>
      </c>
      <c r="I114" s="60">
        <f t="shared" si="68"/>
        <v>22</v>
      </c>
      <c r="J114" s="60" t="e">
        <f t="shared" si="69"/>
        <v>#VALUE!</v>
      </c>
      <c r="K114" s="60">
        <f t="shared" si="70"/>
        <v>30</v>
      </c>
      <c r="L114" s="60" t="str">
        <f>IFERROR(VLOOKUP(MID(G114,J114,K114-J114),[5]skilldef!$C:$D,2,FALSE),"-") &amp; " / " &amp; IFERROR(VLOOKUP(MID(G114,H114,I114-H114),[5]skilldef!$A:$B,2,FALSE),"-")</f>
        <v>- / -</v>
      </c>
      <c r="M114" s="60" t="str">
        <f t="shared" si="71"/>
        <v>[effect:tolerance, target:myself, turn:-1, tolerance_effect:all, count:-1, animation:enemy_tolerance],[effect:fix_speed, target:myself, turn:4]</v>
      </c>
      <c r="N114" s="45" t="str">
        <f>IFERROR(LEFT(M114,FIND("],",M114)+S127),M114)</f>
        <v>[effect:tolerance, target:myself, turn:-1, tolerance_effect:all, count:-1, animation:enemy_tolerance]</v>
      </c>
      <c r="O114" s="60">
        <f t="shared" si="72"/>
        <v>9</v>
      </c>
      <c r="P114" s="60">
        <f t="shared" si="73"/>
        <v>18</v>
      </c>
      <c r="Q114" s="60">
        <f t="shared" si="74"/>
        <v>27</v>
      </c>
      <c r="R114" s="60">
        <f t="shared" si="75"/>
        <v>33</v>
      </c>
      <c r="S114" s="60" t="str">
        <f>IFERROR(VLOOKUP(MID(N114,Q114,R114-Q114),[5]skilldef!$C:$D,2,FALSE),"-") &amp; " / " &amp; IFERROR(VLOOKUP(MID(N114,O114,P114-O114),[5]skilldef!$A:$B,2,FALSE),"-")</f>
        <v>自分自身に / 状態異常耐性</v>
      </c>
      <c r="T114" s="45" t="str">
        <f t="shared" si="76"/>
        <v>[effect:fix_speed, target:myself, turn:4]</v>
      </c>
      <c r="U114" s="60">
        <f t="shared" si="77"/>
        <v>9</v>
      </c>
      <c r="V114" s="60">
        <f t="shared" si="78"/>
        <v>18</v>
      </c>
      <c r="W114" s="60">
        <f t="shared" si="79"/>
        <v>27</v>
      </c>
      <c r="X114" s="60">
        <f t="shared" si="80"/>
        <v>33</v>
      </c>
      <c r="Y114" s="60" t="str">
        <f>IFERROR(VLOOKUP(MID(T114,W114,X114-W114),[5]skilldef!$C:$D,2,FALSE),"-") &amp; " / " &amp; IFERROR(VLOOKUP(MID(T114,U114,V114-U114),[5]skilldef!$A:$B,2,FALSE),"-")</f>
        <v>自分自身に / 行動値設定</v>
      </c>
      <c r="Z114" s="47"/>
      <c r="AA114" s="49"/>
      <c r="AB114" s="47"/>
    </row>
    <row r="115" spans="1:28" ht="21" customHeight="1" x14ac:dyDescent="0.15">
      <c r="A115" s="44">
        <v>41015122</v>
      </c>
      <c r="B115" s="44" t="s">
        <v>478</v>
      </c>
      <c r="C115" s="47">
        <v>3</v>
      </c>
      <c r="D115" s="47" t="s">
        <v>126</v>
      </c>
      <c r="E115" s="186" t="s">
        <v>423</v>
      </c>
      <c r="F115" s="186" t="s">
        <v>424</v>
      </c>
      <c r="G115" s="60" t="str">
        <f t="shared" si="66"/>
        <v>[effect:enemy_message, val1:1, val2:2.6]</v>
      </c>
      <c r="H115" s="60">
        <f t="shared" si="67"/>
        <v>9</v>
      </c>
      <c r="I115" s="60">
        <f t="shared" si="68"/>
        <v>22</v>
      </c>
      <c r="J115" s="60" t="e">
        <f t="shared" si="69"/>
        <v>#VALUE!</v>
      </c>
      <c r="K115" s="60">
        <f t="shared" si="70"/>
        <v>30</v>
      </c>
      <c r="L115" s="60" t="str">
        <f>IFERROR(VLOOKUP(MID(G115,J115,K115-J115),[5]skilldef!$C:$D,2,FALSE),"-") &amp; " / " &amp; IFERROR(VLOOKUP(MID(G115,H115,I115-H115),[5]skilldef!$A:$B,2,FALSE),"-")</f>
        <v>- / -</v>
      </c>
      <c r="M115" s="60" t="str">
        <f t="shared" si="71"/>
        <v>[effect:tolerance, target:myself, turn:-1, tolerance_effect:all, count:-1, animation:enemy_tolerance],[effect:fix_speed, target:myself, turn:4]</v>
      </c>
      <c r="N115" s="45" t="str">
        <f>IFERROR(LEFT(M115,FIND("],",M115)+S128),M115)</f>
        <v>[effect:tolerance, target:myself, turn:-1, tolerance_effect:all, count:-1, animation:enemy_tolerance]</v>
      </c>
      <c r="O115" s="60">
        <f t="shared" si="72"/>
        <v>9</v>
      </c>
      <c r="P115" s="60">
        <f t="shared" si="73"/>
        <v>18</v>
      </c>
      <c r="Q115" s="60">
        <f t="shared" si="74"/>
        <v>27</v>
      </c>
      <c r="R115" s="60">
        <f t="shared" si="75"/>
        <v>33</v>
      </c>
      <c r="S115" s="60" t="str">
        <f>IFERROR(VLOOKUP(MID(N115,Q115,R115-Q115),[5]skilldef!$C:$D,2,FALSE),"-") &amp; " / " &amp; IFERROR(VLOOKUP(MID(N115,O115,P115-O115),[5]skilldef!$A:$B,2,FALSE),"-")</f>
        <v>自分自身に / 状態異常耐性</v>
      </c>
      <c r="T115" s="45" t="str">
        <f t="shared" si="76"/>
        <v>[effect:fix_speed, target:myself, turn:4]</v>
      </c>
      <c r="U115" s="60">
        <f t="shared" si="77"/>
        <v>9</v>
      </c>
      <c r="V115" s="60">
        <f t="shared" si="78"/>
        <v>18</v>
      </c>
      <c r="W115" s="60">
        <f t="shared" si="79"/>
        <v>27</v>
      </c>
      <c r="X115" s="60">
        <f t="shared" si="80"/>
        <v>33</v>
      </c>
      <c r="Y115" s="60" t="str">
        <f>IFERROR(VLOOKUP(MID(T115,W115,X115-W115),[5]skilldef!$C:$D,2,FALSE),"-") &amp; " / " &amp; IFERROR(VLOOKUP(MID(T115,U115,V115-U115),[5]skilldef!$A:$B,2,FALSE),"-")</f>
        <v>自分自身に / 行動値設定</v>
      </c>
      <c r="Z115" s="47"/>
      <c r="AA115" s="49"/>
      <c r="AB115" s="47"/>
    </row>
    <row r="116" spans="1:28" ht="21" customHeight="1" x14ac:dyDescent="0.15">
      <c r="A116" s="44">
        <v>41015123</v>
      </c>
      <c r="B116" s="44" t="s">
        <v>472</v>
      </c>
      <c r="C116" s="47">
        <v>3</v>
      </c>
      <c r="D116" s="47" t="s">
        <v>126</v>
      </c>
      <c r="E116" s="48" t="s">
        <v>309</v>
      </c>
      <c r="F116" s="48" t="s">
        <v>310</v>
      </c>
      <c r="G116" s="60" t="str">
        <f t="shared" si="66"/>
        <v>[effect:fix_speed, target:enemy_all, turn:6]</v>
      </c>
      <c r="H116" s="60">
        <f t="shared" si="67"/>
        <v>9</v>
      </c>
      <c r="I116" s="60">
        <f t="shared" si="68"/>
        <v>18</v>
      </c>
      <c r="J116" s="60">
        <f t="shared" si="69"/>
        <v>27</v>
      </c>
      <c r="K116" s="60">
        <f t="shared" si="70"/>
        <v>36</v>
      </c>
      <c r="L116" s="60" t="str">
        <f>IFERROR(VLOOKUP(MID(G116,J116,K116-J116),[5]skilldef!$C:$D,2,FALSE),"-") &amp; " / " &amp; IFERROR(VLOOKUP(MID(G116,H116,I116-H116),[5]skilldef!$A:$B,2,FALSE),"-")</f>
        <v>敵全体に / 行動値設定</v>
      </c>
      <c r="M116" s="60" t="str">
        <f t="shared" si="71"/>
        <v>none</v>
      </c>
      <c r="N116" s="45" t="str">
        <f t="shared" ref="N116" si="81">IFERROR(LEFT(M116,FIND("],",M116)+S126),M116)</f>
        <v>none</v>
      </c>
      <c r="O116" s="60" t="e">
        <f t="shared" si="72"/>
        <v>#VALUE!</v>
      </c>
      <c r="P116" s="60">
        <f t="shared" si="73"/>
        <v>4</v>
      </c>
      <c r="Q116" s="60" t="e">
        <f t="shared" si="74"/>
        <v>#VALUE!</v>
      </c>
      <c r="R116" s="60" t="e">
        <f t="shared" si="75"/>
        <v>#VALUE!</v>
      </c>
      <c r="S116" s="60" t="str">
        <f>IFERROR(VLOOKUP(MID(N116,Q116,R116-Q116),[5]skilldef!$C:$D,2,FALSE),"-") &amp; " / " &amp; IFERROR(VLOOKUP(MID(N116,O116,P116-O116),[5]skilldef!$A:$B,2,FALSE),"-")</f>
        <v>- / -</v>
      </c>
      <c r="T116" s="45" t="str">
        <f t="shared" si="76"/>
        <v>none</v>
      </c>
      <c r="U116" s="60" t="e">
        <f t="shared" si="77"/>
        <v>#VALUE!</v>
      </c>
      <c r="V116" s="60">
        <f t="shared" si="78"/>
        <v>4</v>
      </c>
      <c r="W116" s="60" t="e">
        <f t="shared" si="79"/>
        <v>#VALUE!</v>
      </c>
      <c r="X116" s="60" t="e">
        <f t="shared" si="80"/>
        <v>#VALUE!</v>
      </c>
      <c r="Y116" s="60" t="str">
        <f>IFERROR(VLOOKUP(MID(T116,W116,X116-W116),[5]skilldef!$C:$D,2,FALSE),"-") &amp; " / " &amp; IFERROR(VLOOKUP(MID(T116,U116,V116-U116),[5]skilldef!$A:$B,2,FALSE),"-")</f>
        <v>- / -</v>
      </c>
      <c r="Z116" s="47"/>
      <c r="AA116" s="49"/>
      <c r="AB116" s="47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116"/>
  <sheetViews>
    <sheetView showGridLines="0" zoomScale="90" zoomScaleNormal="90" zoomScalePageLayoutView="90" workbookViewId="0">
      <pane ySplit="1" topLeftCell="A75" activePane="bottomLeft" state="frozenSplit"/>
      <selection pane="bottomLeft" activeCell="A116" sqref="A116"/>
    </sheetView>
  </sheetViews>
  <sheetFormatPr baseColWidth="12" defaultColWidth="12.83203125" defaultRowHeight="21" customHeight="1" x14ac:dyDescent="0.15"/>
  <cols>
    <col min="1" max="1" width="16.1640625" style="46" bestFit="1" customWidth="1"/>
    <col min="2" max="2" width="13.33203125" style="46" bestFit="1" customWidth="1"/>
    <col min="3" max="3" width="11.83203125" style="46" bestFit="1" customWidth="1"/>
    <col min="4" max="4" width="14.6640625" style="46" bestFit="1" customWidth="1"/>
    <col min="5" max="5" width="15.6640625" style="46" bestFit="1" customWidth="1"/>
    <col min="6" max="6" width="17" style="46" bestFit="1" customWidth="1"/>
    <col min="7" max="7" width="15.6640625" style="46" bestFit="1" customWidth="1"/>
    <col min="8" max="9" width="14.6640625" style="46" customWidth="1"/>
    <col min="10" max="10" width="14.6640625" style="46" bestFit="1" customWidth="1"/>
    <col min="11" max="11" width="22.83203125" style="36" bestFit="1" customWidth="1"/>
    <col min="12" max="16384" width="12.83203125" style="42"/>
  </cols>
  <sheetData>
    <row r="1" spans="1:11" ht="21" customHeight="1" x14ac:dyDescent="0.15">
      <c r="A1" s="39" t="s">
        <v>84</v>
      </c>
      <c r="B1" s="39" t="s">
        <v>85</v>
      </c>
      <c r="C1" s="39" t="s">
        <v>86</v>
      </c>
      <c r="D1" s="39" t="s">
        <v>87</v>
      </c>
      <c r="E1" s="39" t="s">
        <v>70</v>
      </c>
      <c r="F1" s="50" t="s">
        <v>71</v>
      </c>
      <c r="G1" s="50" t="s">
        <v>72</v>
      </c>
      <c r="H1" s="39" t="s">
        <v>73</v>
      </c>
      <c r="I1" s="39" t="s">
        <v>74</v>
      </c>
      <c r="J1" s="39" t="s">
        <v>75</v>
      </c>
      <c r="K1" s="51" t="s">
        <v>88</v>
      </c>
    </row>
    <row r="2" spans="1:11" ht="21" customHeight="1" x14ac:dyDescent="0.15">
      <c r="A2" s="44">
        <v>41015001</v>
      </c>
      <c r="B2" s="44">
        <v>1</v>
      </c>
      <c r="C2" s="44">
        <v>50</v>
      </c>
      <c r="D2" s="44">
        <v>100</v>
      </c>
      <c r="E2" s="44" t="s">
        <v>457</v>
      </c>
      <c r="F2" s="44" t="s">
        <v>457</v>
      </c>
      <c r="G2" s="44">
        <v>1</v>
      </c>
      <c r="H2" s="44" t="s">
        <v>457</v>
      </c>
      <c r="I2" s="44" t="s">
        <v>457</v>
      </c>
      <c r="J2" s="45">
        <f t="shared" ref="J2:J65" si="0">D2</f>
        <v>100</v>
      </c>
    </row>
    <row r="3" spans="1:11" ht="21" customHeight="1" x14ac:dyDescent="0.15">
      <c r="A3" s="44">
        <v>41015002</v>
      </c>
      <c r="B3" s="44">
        <v>1</v>
      </c>
      <c r="C3" s="44">
        <v>50</v>
      </c>
      <c r="D3" s="44">
        <v>100</v>
      </c>
      <c r="E3" s="44" t="s">
        <v>53</v>
      </c>
      <c r="F3" s="44" t="s">
        <v>53</v>
      </c>
      <c r="G3" s="44">
        <v>1</v>
      </c>
      <c r="H3" s="44" t="s">
        <v>53</v>
      </c>
      <c r="I3" s="44" t="s">
        <v>53</v>
      </c>
      <c r="J3" s="45">
        <f t="shared" si="0"/>
        <v>100</v>
      </c>
    </row>
    <row r="4" spans="1:11" ht="21" customHeight="1" x14ac:dyDescent="0.15">
      <c r="A4" s="44">
        <v>41015003</v>
      </c>
      <c r="B4" s="44">
        <v>0</v>
      </c>
      <c r="C4" s="44">
        <v>25</v>
      </c>
      <c r="D4" s="44">
        <v>50</v>
      </c>
      <c r="E4" s="44" t="s">
        <v>53</v>
      </c>
      <c r="F4" s="44" t="s">
        <v>53</v>
      </c>
      <c r="G4" s="44" t="s">
        <v>53</v>
      </c>
      <c r="H4" s="44" t="s">
        <v>53</v>
      </c>
      <c r="I4" s="44" t="s">
        <v>53</v>
      </c>
      <c r="J4" s="45">
        <f t="shared" si="0"/>
        <v>50</v>
      </c>
    </row>
    <row r="5" spans="1:11" ht="21" customHeight="1" x14ac:dyDescent="0.15">
      <c r="A5" s="44">
        <v>41015004</v>
      </c>
      <c r="B5" s="44">
        <v>0</v>
      </c>
      <c r="C5" s="44">
        <v>24</v>
      </c>
      <c r="D5" s="44">
        <v>100</v>
      </c>
      <c r="E5" s="44" t="s">
        <v>53</v>
      </c>
      <c r="F5" s="44" t="s">
        <v>53</v>
      </c>
      <c r="G5" s="44">
        <v>2</v>
      </c>
      <c r="H5" s="44" t="s">
        <v>53</v>
      </c>
      <c r="I5" s="44" t="s">
        <v>53</v>
      </c>
      <c r="J5" s="45">
        <f t="shared" si="0"/>
        <v>100</v>
      </c>
    </row>
    <row r="6" spans="1:11" ht="21" customHeight="1" x14ac:dyDescent="0.15">
      <c r="A6" s="44">
        <v>41015005</v>
      </c>
      <c r="B6" s="44">
        <v>0</v>
      </c>
      <c r="C6" s="44">
        <v>30</v>
      </c>
      <c r="D6" s="44">
        <v>100</v>
      </c>
      <c r="E6" s="44" t="s">
        <v>53</v>
      </c>
      <c r="F6" s="44" t="s">
        <v>53</v>
      </c>
      <c r="G6" s="44">
        <v>1</v>
      </c>
      <c r="H6" s="44" t="s">
        <v>53</v>
      </c>
      <c r="I6" s="44" t="s">
        <v>53</v>
      </c>
      <c r="J6" s="45">
        <f t="shared" si="0"/>
        <v>100</v>
      </c>
    </row>
    <row r="7" spans="1:11" ht="21" customHeight="1" x14ac:dyDescent="0.15">
      <c r="A7" s="44">
        <v>41015006</v>
      </c>
      <c r="B7" s="44">
        <v>1</v>
      </c>
      <c r="C7" s="44">
        <v>50</v>
      </c>
      <c r="D7" s="44">
        <v>100</v>
      </c>
      <c r="E7" s="44" t="s">
        <v>53</v>
      </c>
      <c r="F7" s="44" t="s">
        <v>53</v>
      </c>
      <c r="G7" s="44">
        <v>1</v>
      </c>
      <c r="H7" s="44" t="s">
        <v>53</v>
      </c>
      <c r="I7" s="44" t="s">
        <v>53</v>
      </c>
      <c r="J7" s="45">
        <f t="shared" si="0"/>
        <v>100</v>
      </c>
    </row>
    <row r="8" spans="1:11" ht="21" customHeight="1" x14ac:dyDescent="0.15">
      <c r="A8" s="44">
        <v>41015007</v>
      </c>
      <c r="B8" s="44">
        <v>1</v>
      </c>
      <c r="C8" s="44">
        <v>52</v>
      </c>
      <c r="D8" s="44">
        <v>100</v>
      </c>
      <c r="E8" s="44" t="s">
        <v>53</v>
      </c>
      <c r="F8" s="44" t="s">
        <v>53</v>
      </c>
      <c r="G8" s="44">
        <v>1</v>
      </c>
      <c r="H8" s="44" t="s">
        <v>53</v>
      </c>
      <c r="I8" s="44">
        <v>466</v>
      </c>
      <c r="J8" s="45">
        <f t="shared" si="0"/>
        <v>100</v>
      </c>
    </row>
    <row r="9" spans="1:11" ht="21" customHeight="1" x14ac:dyDescent="0.15">
      <c r="A9" s="44">
        <v>41015008</v>
      </c>
      <c r="B9" s="44">
        <v>1</v>
      </c>
      <c r="C9" s="44">
        <v>51</v>
      </c>
      <c r="D9" s="44">
        <v>100</v>
      </c>
      <c r="E9" s="44" t="s">
        <v>53</v>
      </c>
      <c r="F9" s="44" t="s">
        <v>53</v>
      </c>
      <c r="G9" s="44">
        <v>1</v>
      </c>
      <c r="H9" s="44" t="s">
        <v>53</v>
      </c>
      <c r="I9" s="44">
        <v>473</v>
      </c>
      <c r="J9" s="45">
        <f t="shared" si="0"/>
        <v>100</v>
      </c>
    </row>
    <row r="10" spans="1:11" ht="21" customHeight="1" x14ac:dyDescent="0.15">
      <c r="A10" s="44">
        <v>41015009</v>
      </c>
      <c r="B10" s="44">
        <v>0</v>
      </c>
      <c r="C10" s="44">
        <v>25</v>
      </c>
      <c r="D10" s="44">
        <v>100</v>
      </c>
      <c r="E10" s="44" t="s">
        <v>53</v>
      </c>
      <c r="F10" s="44" t="s">
        <v>53</v>
      </c>
      <c r="G10" s="44" t="s">
        <v>53</v>
      </c>
      <c r="H10" s="44" t="s">
        <v>53</v>
      </c>
      <c r="I10" s="44" t="s">
        <v>53</v>
      </c>
      <c r="J10" s="45">
        <f t="shared" si="0"/>
        <v>100</v>
      </c>
    </row>
    <row r="11" spans="1:11" ht="21" customHeight="1" x14ac:dyDescent="0.15">
      <c r="A11" s="44">
        <v>41015010</v>
      </c>
      <c r="B11" s="44">
        <v>0</v>
      </c>
      <c r="C11" s="44">
        <v>30</v>
      </c>
      <c r="D11" s="44">
        <v>60</v>
      </c>
      <c r="E11" s="44">
        <v>70</v>
      </c>
      <c r="F11" s="44" t="s">
        <v>53</v>
      </c>
      <c r="G11" s="44">
        <v>3</v>
      </c>
      <c r="H11" s="44" t="s">
        <v>53</v>
      </c>
      <c r="I11" s="44" t="s">
        <v>53</v>
      </c>
      <c r="J11" s="45">
        <f t="shared" si="0"/>
        <v>60</v>
      </c>
    </row>
    <row r="12" spans="1:11" ht="21" customHeight="1" x14ac:dyDescent="0.15">
      <c r="A12" s="44">
        <v>41015011</v>
      </c>
      <c r="B12" s="44">
        <v>0</v>
      </c>
      <c r="C12" s="44">
        <v>40</v>
      </c>
      <c r="D12" s="44">
        <v>100</v>
      </c>
      <c r="E12" s="44">
        <v>30</v>
      </c>
      <c r="F12" s="44" t="s">
        <v>53</v>
      </c>
      <c r="G12" s="44">
        <v>1</v>
      </c>
      <c r="H12" s="44" t="s">
        <v>53</v>
      </c>
      <c r="I12" s="44" t="s">
        <v>53</v>
      </c>
      <c r="J12" s="45">
        <f t="shared" si="0"/>
        <v>100</v>
      </c>
    </row>
    <row r="13" spans="1:11" ht="21" customHeight="1" x14ac:dyDescent="0.15">
      <c r="A13" s="44">
        <v>41015012</v>
      </c>
      <c r="B13" s="44">
        <v>0</v>
      </c>
      <c r="C13" s="44">
        <v>39</v>
      </c>
      <c r="D13" s="44">
        <v>100</v>
      </c>
      <c r="E13" s="44">
        <v>30</v>
      </c>
      <c r="F13" s="44" t="s">
        <v>53</v>
      </c>
      <c r="G13" s="44">
        <v>1</v>
      </c>
      <c r="H13" s="44" t="s">
        <v>53</v>
      </c>
      <c r="I13" s="44" t="s">
        <v>53</v>
      </c>
      <c r="J13" s="45">
        <f t="shared" si="0"/>
        <v>100</v>
      </c>
    </row>
    <row r="14" spans="1:11" ht="21" customHeight="1" x14ac:dyDescent="0.15">
      <c r="A14" s="44">
        <v>41015013</v>
      </c>
      <c r="B14" s="44">
        <v>0</v>
      </c>
      <c r="C14" s="44">
        <v>45</v>
      </c>
      <c r="D14" s="44">
        <v>100</v>
      </c>
      <c r="E14" s="44" t="s">
        <v>53</v>
      </c>
      <c r="F14" s="44" t="s">
        <v>53</v>
      </c>
      <c r="G14" s="44" t="s">
        <v>53</v>
      </c>
      <c r="H14" s="44">
        <v>3</v>
      </c>
      <c r="I14" s="44" t="s">
        <v>53</v>
      </c>
      <c r="J14" s="45">
        <f t="shared" si="0"/>
        <v>100</v>
      </c>
    </row>
    <row r="15" spans="1:11" ht="21" customHeight="1" x14ac:dyDescent="0.15">
      <c r="A15" s="44">
        <v>41015014</v>
      </c>
      <c r="B15" s="44">
        <v>1</v>
      </c>
      <c r="C15" s="44">
        <v>50</v>
      </c>
      <c r="D15" s="44">
        <v>100</v>
      </c>
      <c r="E15" s="44" t="s">
        <v>53</v>
      </c>
      <c r="F15" s="44" t="s">
        <v>53</v>
      </c>
      <c r="G15" s="44">
        <v>1</v>
      </c>
      <c r="H15" s="44" t="s">
        <v>53</v>
      </c>
      <c r="I15" s="44" t="s">
        <v>53</v>
      </c>
      <c r="J15" s="45">
        <f t="shared" si="0"/>
        <v>100</v>
      </c>
    </row>
    <row r="16" spans="1:11" ht="21" customHeight="1" x14ac:dyDescent="0.15">
      <c r="A16" s="44">
        <v>41015015</v>
      </c>
      <c r="B16" s="44">
        <v>0</v>
      </c>
      <c r="C16" s="44">
        <v>25</v>
      </c>
      <c r="D16" s="44">
        <v>100</v>
      </c>
      <c r="E16" s="44" t="s">
        <v>53</v>
      </c>
      <c r="F16" s="44" t="s">
        <v>53</v>
      </c>
      <c r="G16" s="44">
        <v>1</v>
      </c>
      <c r="H16" s="44" t="s">
        <v>53</v>
      </c>
      <c r="I16" s="44">
        <v>121</v>
      </c>
      <c r="J16" s="45">
        <f t="shared" si="0"/>
        <v>100</v>
      </c>
    </row>
    <row r="17" spans="1:10" ht="21" customHeight="1" x14ac:dyDescent="0.15">
      <c r="A17" s="44">
        <v>41015016</v>
      </c>
      <c r="B17" s="44">
        <v>1</v>
      </c>
      <c r="C17" s="44">
        <v>50</v>
      </c>
      <c r="D17" s="44">
        <v>100</v>
      </c>
      <c r="E17" s="44" t="s">
        <v>53</v>
      </c>
      <c r="F17" s="44" t="s">
        <v>53</v>
      </c>
      <c r="G17" s="44">
        <v>1</v>
      </c>
      <c r="H17" s="44" t="s">
        <v>53</v>
      </c>
      <c r="I17" s="44" t="s">
        <v>53</v>
      </c>
      <c r="J17" s="45">
        <f t="shared" si="0"/>
        <v>100</v>
      </c>
    </row>
    <row r="18" spans="1:10" ht="21" customHeight="1" x14ac:dyDescent="0.15">
      <c r="A18" s="44">
        <v>41015017</v>
      </c>
      <c r="B18" s="44">
        <v>0</v>
      </c>
      <c r="C18" s="44">
        <v>25</v>
      </c>
      <c r="D18" s="44">
        <v>100</v>
      </c>
      <c r="E18" s="44" t="s">
        <v>53</v>
      </c>
      <c r="F18" s="44" t="s">
        <v>53</v>
      </c>
      <c r="G18" s="44" t="s">
        <v>53</v>
      </c>
      <c r="H18" s="44" t="s">
        <v>53</v>
      </c>
      <c r="I18" s="44" t="s">
        <v>53</v>
      </c>
      <c r="J18" s="45">
        <f t="shared" si="0"/>
        <v>100</v>
      </c>
    </row>
    <row r="19" spans="1:10" ht="21" customHeight="1" x14ac:dyDescent="0.15">
      <c r="A19" s="44">
        <v>41015018</v>
      </c>
      <c r="B19" s="44">
        <v>0</v>
      </c>
      <c r="C19" s="44">
        <v>30</v>
      </c>
      <c r="D19" s="44">
        <v>50</v>
      </c>
      <c r="E19" s="44" t="s">
        <v>53</v>
      </c>
      <c r="F19" s="44" t="s">
        <v>53</v>
      </c>
      <c r="G19" s="44" t="s">
        <v>53</v>
      </c>
      <c r="H19" s="44">
        <v>2</v>
      </c>
      <c r="I19" s="44" t="s">
        <v>53</v>
      </c>
      <c r="J19" s="45">
        <f t="shared" si="0"/>
        <v>50</v>
      </c>
    </row>
    <row r="20" spans="1:10" ht="21" customHeight="1" x14ac:dyDescent="0.15">
      <c r="A20" s="44">
        <v>41015019</v>
      </c>
      <c r="B20" s="44">
        <v>0</v>
      </c>
      <c r="C20" s="44">
        <v>30</v>
      </c>
      <c r="D20" s="44">
        <v>50</v>
      </c>
      <c r="E20" s="44" t="s">
        <v>53</v>
      </c>
      <c r="F20" s="44" t="s">
        <v>53</v>
      </c>
      <c r="G20" s="44" t="s">
        <v>53</v>
      </c>
      <c r="H20" s="44">
        <v>2</v>
      </c>
      <c r="I20" s="44" t="s">
        <v>53</v>
      </c>
      <c r="J20" s="45">
        <f t="shared" si="0"/>
        <v>50</v>
      </c>
    </row>
    <row r="21" spans="1:10" ht="21" customHeight="1" x14ac:dyDescent="0.15">
      <c r="A21" s="44">
        <v>41015020</v>
      </c>
      <c r="B21" s="44">
        <v>0</v>
      </c>
      <c r="C21" s="44">
        <v>31</v>
      </c>
      <c r="D21" s="44">
        <v>100</v>
      </c>
      <c r="E21" s="44" t="s">
        <v>53</v>
      </c>
      <c r="F21" s="44" t="s">
        <v>53</v>
      </c>
      <c r="G21" s="44" t="s">
        <v>53</v>
      </c>
      <c r="H21" s="44">
        <v>5</v>
      </c>
      <c r="I21" s="44" t="s">
        <v>53</v>
      </c>
      <c r="J21" s="45">
        <f t="shared" si="0"/>
        <v>100</v>
      </c>
    </row>
    <row r="22" spans="1:10" ht="21" customHeight="1" x14ac:dyDescent="0.15">
      <c r="A22" s="44">
        <v>41015021</v>
      </c>
      <c r="B22" s="44">
        <v>1</v>
      </c>
      <c r="C22" s="44">
        <v>50</v>
      </c>
      <c r="D22" s="44">
        <v>100</v>
      </c>
      <c r="E22" s="44" t="s">
        <v>53</v>
      </c>
      <c r="F22" s="44" t="s">
        <v>53</v>
      </c>
      <c r="G22" s="44">
        <v>1</v>
      </c>
      <c r="H22" s="44" t="s">
        <v>53</v>
      </c>
      <c r="I22" s="44" t="s">
        <v>53</v>
      </c>
      <c r="J22" s="45">
        <f t="shared" si="0"/>
        <v>100</v>
      </c>
    </row>
    <row r="23" spans="1:10" ht="21" customHeight="1" x14ac:dyDescent="0.15">
      <c r="A23" s="44">
        <v>41015022</v>
      </c>
      <c r="B23" s="44">
        <v>0</v>
      </c>
      <c r="C23" s="44">
        <v>49</v>
      </c>
      <c r="D23" s="44">
        <v>100</v>
      </c>
      <c r="E23" s="44" t="s">
        <v>53</v>
      </c>
      <c r="F23" s="44" t="s">
        <v>53</v>
      </c>
      <c r="G23" s="44">
        <v>1</v>
      </c>
      <c r="H23" s="44">
        <v>1</v>
      </c>
      <c r="I23" s="44" t="s">
        <v>53</v>
      </c>
      <c r="J23" s="45">
        <f t="shared" si="0"/>
        <v>100</v>
      </c>
    </row>
    <row r="24" spans="1:10" ht="21" customHeight="1" x14ac:dyDescent="0.15">
      <c r="A24" s="44">
        <v>41015023</v>
      </c>
      <c r="B24" s="44">
        <v>0</v>
      </c>
      <c r="C24" s="44">
        <v>25</v>
      </c>
      <c r="D24" s="44">
        <v>100</v>
      </c>
      <c r="E24" s="44" t="s">
        <v>53</v>
      </c>
      <c r="F24" s="44" t="s">
        <v>53</v>
      </c>
      <c r="G24" s="44" t="s">
        <v>53</v>
      </c>
      <c r="H24" s="44" t="s">
        <v>53</v>
      </c>
      <c r="I24" s="44" t="s">
        <v>53</v>
      </c>
      <c r="J24" s="45">
        <f t="shared" si="0"/>
        <v>100</v>
      </c>
    </row>
    <row r="25" spans="1:10" ht="21" customHeight="1" x14ac:dyDescent="0.15">
      <c r="A25" s="44">
        <v>41015024</v>
      </c>
      <c r="B25" s="44">
        <v>0</v>
      </c>
      <c r="C25" s="44">
        <v>30</v>
      </c>
      <c r="D25" s="44">
        <v>100</v>
      </c>
      <c r="E25" s="44" t="s">
        <v>53</v>
      </c>
      <c r="F25" s="44" t="s">
        <v>53</v>
      </c>
      <c r="G25" s="44" t="s">
        <v>53</v>
      </c>
      <c r="H25" s="44">
        <v>3</v>
      </c>
      <c r="I25" s="44" t="s">
        <v>53</v>
      </c>
      <c r="J25" s="45">
        <f t="shared" si="0"/>
        <v>100</v>
      </c>
    </row>
    <row r="26" spans="1:10" ht="21" customHeight="1" x14ac:dyDescent="0.15">
      <c r="A26" s="44">
        <v>41015025</v>
      </c>
      <c r="B26" s="44">
        <v>0</v>
      </c>
      <c r="C26" s="44">
        <v>40</v>
      </c>
      <c r="D26" s="44">
        <v>100</v>
      </c>
      <c r="E26" s="44">
        <v>50</v>
      </c>
      <c r="F26" s="44" t="s">
        <v>53</v>
      </c>
      <c r="G26" s="44">
        <v>1</v>
      </c>
      <c r="H26" s="44">
        <v>1</v>
      </c>
      <c r="I26" s="44" t="s">
        <v>53</v>
      </c>
      <c r="J26" s="45">
        <f t="shared" si="0"/>
        <v>100</v>
      </c>
    </row>
    <row r="27" spans="1:10" ht="21" customHeight="1" x14ac:dyDescent="0.15">
      <c r="A27" s="44">
        <v>41015026</v>
      </c>
      <c r="B27" s="44">
        <v>0</v>
      </c>
      <c r="C27" s="44">
        <v>39</v>
      </c>
      <c r="D27" s="44">
        <v>100</v>
      </c>
      <c r="E27" s="44">
        <v>50</v>
      </c>
      <c r="F27" s="44" t="s">
        <v>53</v>
      </c>
      <c r="G27" s="44">
        <v>1</v>
      </c>
      <c r="H27" s="44">
        <v>1</v>
      </c>
      <c r="I27" s="44" t="s">
        <v>53</v>
      </c>
      <c r="J27" s="45">
        <f t="shared" si="0"/>
        <v>100</v>
      </c>
    </row>
    <row r="28" spans="1:10" ht="21" customHeight="1" x14ac:dyDescent="0.15">
      <c r="A28" s="44">
        <v>41015027</v>
      </c>
      <c r="B28" s="44">
        <v>1</v>
      </c>
      <c r="C28" s="44">
        <v>50</v>
      </c>
      <c r="D28" s="44">
        <v>100</v>
      </c>
      <c r="E28" s="44" t="s">
        <v>53</v>
      </c>
      <c r="F28" s="44" t="s">
        <v>53</v>
      </c>
      <c r="G28" s="44">
        <v>1</v>
      </c>
      <c r="H28" s="44" t="s">
        <v>53</v>
      </c>
      <c r="I28" s="44" t="s">
        <v>53</v>
      </c>
      <c r="J28" s="45">
        <f t="shared" si="0"/>
        <v>100</v>
      </c>
    </row>
    <row r="29" spans="1:10" ht="21" customHeight="1" x14ac:dyDescent="0.15">
      <c r="A29" s="44">
        <v>41015028</v>
      </c>
      <c r="B29" s="197">
        <v>1</v>
      </c>
      <c r="C29" s="197">
        <v>99</v>
      </c>
      <c r="D29" s="197">
        <v>100</v>
      </c>
      <c r="E29" s="197" t="s">
        <v>458</v>
      </c>
      <c r="F29" s="197" t="s">
        <v>458</v>
      </c>
      <c r="G29" s="197">
        <v>1</v>
      </c>
      <c r="H29" s="197" t="s">
        <v>458</v>
      </c>
      <c r="I29" s="197">
        <v>473</v>
      </c>
      <c r="J29" s="173">
        <v>100</v>
      </c>
    </row>
    <row r="30" spans="1:10" ht="21" customHeight="1" x14ac:dyDescent="0.15">
      <c r="A30" s="44">
        <v>41015029</v>
      </c>
      <c r="B30" s="198">
        <v>1</v>
      </c>
      <c r="C30" s="198">
        <v>98</v>
      </c>
      <c r="D30" s="198">
        <v>100</v>
      </c>
      <c r="E30" s="198" t="s">
        <v>458</v>
      </c>
      <c r="F30" s="198" t="s">
        <v>458</v>
      </c>
      <c r="G30" s="198">
        <v>1</v>
      </c>
      <c r="H30" s="198" t="s">
        <v>458</v>
      </c>
      <c r="I30" s="198">
        <v>466</v>
      </c>
      <c r="J30" s="199">
        <v>100</v>
      </c>
    </row>
    <row r="31" spans="1:10" ht="21" customHeight="1" x14ac:dyDescent="0.15">
      <c r="A31" s="44">
        <v>41015030</v>
      </c>
      <c r="B31" s="198">
        <v>1</v>
      </c>
      <c r="C31" s="198">
        <v>97</v>
      </c>
      <c r="D31" s="198">
        <v>100</v>
      </c>
      <c r="E31" s="198" t="s">
        <v>458</v>
      </c>
      <c r="F31" s="198" t="s">
        <v>458</v>
      </c>
      <c r="G31" s="198">
        <v>1</v>
      </c>
      <c r="H31" s="198" t="s">
        <v>458</v>
      </c>
      <c r="I31" s="198">
        <v>468</v>
      </c>
      <c r="J31" s="199">
        <v>100</v>
      </c>
    </row>
    <row r="32" spans="1:10" ht="21" customHeight="1" x14ac:dyDescent="0.15">
      <c r="A32" s="44">
        <v>41015031</v>
      </c>
      <c r="B32" s="198">
        <v>1</v>
      </c>
      <c r="C32" s="198">
        <v>96</v>
      </c>
      <c r="D32" s="198">
        <v>100</v>
      </c>
      <c r="E32" s="198" t="s">
        <v>458</v>
      </c>
      <c r="F32" s="198" t="s">
        <v>458</v>
      </c>
      <c r="G32" s="198">
        <v>1</v>
      </c>
      <c r="H32" s="198" t="s">
        <v>458</v>
      </c>
      <c r="I32" s="198">
        <v>464</v>
      </c>
      <c r="J32" s="199">
        <v>100</v>
      </c>
    </row>
    <row r="33" spans="1:10" ht="21" customHeight="1" x14ac:dyDescent="0.15">
      <c r="A33" s="44">
        <v>41015032</v>
      </c>
      <c r="B33" s="198">
        <v>1</v>
      </c>
      <c r="C33" s="198">
        <v>95</v>
      </c>
      <c r="D33" s="198">
        <v>100</v>
      </c>
      <c r="E33" s="198" t="s">
        <v>458</v>
      </c>
      <c r="F33" s="198" t="s">
        <v>458</v>
      </c>
      <c r="G33" s="198">
        <v>1</v>
      </c>
      <c r="H33" s="198" t="s">
        <v>458</v>
      </c>
      <c r="I33" s="198">
        <v>471</v>
      </c>
      <c r="J33" s="199">
        <v>100</v>
      </c>
    </row>
    <row r="34" spans="1:10" ht="21" customHeight="1" x14ac:dyDescent="0.15">
      <c r="A34" s="44">
        <v>41015033</v>
      </c>
      <c r="B34" s="198">
        <v>1</v>
      </c>
      <c r="C34" s="198">
        <v>94</v>
      </c>
      <c r="D34" s="198">
        <v>100</v>
      </c>
      <c r="E34" s="198" t="s">
        <v>458</v>
      </c>
      <c r="F34" s="198" t="s">
        <v>458</v>
      </c>
      <c r="G34" s="198">
        <v>1</v>
      </c>
      <c r="H34" s="198" t="s">
        <v>458</v>
      </c>
      <c r="I34" s="198">
        <v>234</v>
      </c>
      <c r="J34" s="199">
        <v>100</v>
      </c>
    </row>
    <row r="35" spans="1:10" ht="21" customHeight="1" x14ac:dyDescent="0.15">
      <c r="A35" s="44">
        <v>41015034</v>
      </c>
      <c r="B35" s="198">
        <v>1</v>
      </c>
      <c r="C35" s="198">
        <v>93</v>
      </c>
      <c r="D35" s="198">
        <v>100</v>
      </c>
      <c r="E35" s="198" t="s">
        <v>458</v>
      </c>
      <c r="F35" s="198" t="s">
        <v>458</v>
      </c>
      <c r="G35" s="198">
        <v>1</v>
      </c>
      <c r="H35" s="198" t="s">
        <v>458</v>
      </c>
      <c r="I35" s="198">
        <v>765</v>
      </c>
      <c r="J35" s="199">
        <v>100</v>
      </c>
    </row>
    <row r="36" spans="1:10" ht="21" customHeight="1" x14ac:dyDescent="0.15">
      <c r="A36" s="44">
        <v>41015035</v>
      </c>
      <c r="B36" s="44">
        <v>0</v>
      </c>
      <c r="C36" s="44">
        <v>25</v>
      </c>
      <c r="D36" s="44">
        <v>50</v>
      </c>
      <c r="E36" s="44" t="s">
        <v>457</v>
      </c>
      <c r="F36" s="44" t="s">
        <v>457</v>
      </c>
      <c r="G36" s="44" t="s">
        <v>457</v>
      </c>
      <c r="H36" s="44" t="s">
        <v>457</v>
      </c>
      <c r="I36" s="44" t="s">
        <v>457</v>
      </c>
      <c r="J36" s="45">
        <f t="shared" si="0"/>
        <v>50</v>
      </c>
    </row>
    <row r="37" spans="1:10" ht="21" customHeight="1" x14ac:dyDescent="0.15">
      <c r="A37" s="44">
        <v>41015036</v>
      </c>
      <c r="B37" s="44">
        <v>0</v>
      </c>
      <c r="C37" s="44">
        <v>24</v>
      </c>
      <c r="D37" s="44">
        <v>100</v>
      </c>
      <c r="E37" s="44" t="s">
        <v>457</v>
      </c>
      <c r="F37" s="44" t="s">
        <v>457</v>
      </c>
      <c r="G37" s="44" t="s">
        <v>457</v>
      </c>
      <c r="H37" s="44" t="s">
        <v>457</v>
      </c>
      <c r="I37" s="44" t="s">
        <v>457</v>
      </c>
      <c r="J37" s="45">
        <f t="shared" si="0"/>
        <v>100</v>
      </c>
    </row>
    <row r="38" spans="1:10" ht="21" customHeight="1" x14ac:dyDescent="0.15">
      <c r="A38" s="44">
        <v>41015037</v>
      </c>
      <c r="B38" s="44">
        <v>0</v>
      </c>
      <c r="C38" s="44">
        <v>30</v>
      </c>
      <c r="D38" s="44">
        <v>100</v>
      </c>
      <c r="E38" s="44" t="s">
        <v>457</v>
      </c>
      <c r="F38" s="44" t="s">
        <v>457</v>
      </c>
      <c r="G38" s="44" t="s">
        <v>457</v>
      </c>
      <c r="H38" s="44">
        <v>4</v>
      </c>
      <c r="I38" s="44" t="s">
        <v>457</v>
      </c>
      <c r="J38" s="45">
        <f t="shared" si="0"/>
        <v>100</v>
      </c>
    </row>
    <row r="39" spans="1:10" ht="21" customHeight="1" x14ac:dyDescent="0.15">
      <c r="A39" s="44">
        <v>41015038</v>
      </c>
      <c r="B39" s="44">
        <v>0</v>
      </c>
      <c r="C39" s="44">
        <v>40</v>
      </c>
      <c r="D39" s="44">
        <v>100</v>
      </c>
      <c r="E39" s="44" t="s">
        <v>457</v>
      </c>
      <c r="F39" s="44">
        <v>50</v>
      </c>
      <c r="G39" s="44">
        <v>1</v>
      </c>
      <c r="H39" s="44">
        <v>1</v>
      </c>
      <c r="I39" s="44" t="s">
        <v>457</v>
      </c>
      <c r="J39" s="45">
        <f t="shared" si="0"/>
        <v>100</v>
      </c>
    </row>
    <row r="40" spans="1:10" ht="21" customHeight="1" x14ac:dyDescent="0.15">
      <c r="A40" s="44">
        <v>41015039</v>
      </c>
      <c r="B40" s="44">
        <v>0</v>
      </c>
      <c r="C40" s="44">
        <v>35</v>
      </c>
      <c r="D40" s="44">
        <v>100</v>
      </c>
      <c r="E40" s="44">
        <v>25</v>
      </c>
      <c r="F40" s="44" t="s">
        <v>457</v>
      </c>
      <c r="G40" s="44">
        <v>1</v>
      </c>
      <c r="H40" s="44">
        <v>1</v>
      </c>
      <c r="I40" s="44" t="s">
        <v>457</v>
      </c>
      <c r="J40" s="45">
        <f t="shared" si="0"/>
        <v>100</v>
      </c>
    </row>
    <row r="41" spans="1:10" ht="21" customHeight="1" x14ac:dyDescent="0.15">
      <c r="A41" s="44">
        <v>41015040</v>
      </c>
      <c r="B41" s="44">
        <v>1</v>
      </c>
      <c r="C41" s="44">
        <v>50</v>
      </c>
      <c r="D41" s="44">
        <v>100</v>
      </c>
      <c r="E41" s="44" t="s">
        <v>457</v>
      </c>
      <c r="F41" s="44" t="s">
        <v>457</v>
      </c>
      <c r="G41" s="44">
        <v>1</v>
      </c>
      <c r="H41" s="44" t="s">
        <v>457</v>
      </c>
      <c r="I41" s="44" t="s">
        <v>457</v>
      </c>
      <c r="J41" s="45">
        <f t="shared" si="0"/>
        <v>100</v>
      </c>
    </row>
    <row r="42" spans="1:10" ht="21" customHeight="1" x14ac:dyDescent="0.15">
      <c r="A42" s="44">
        <v>41015041</v>
      </c>
      <c r="B42" s="44">
        <v>1</v>
      </c>
      <c r="C42" s="44">
        <v>99</v>
      </c>
      <c r="D42" s="44">
        <v>100</v>
      </c>
      <c r="E42" s="44" t="s">
        <v>457</v>
      </c>
      <c r="F42" s="44" t="s">
        <v>457</v>
      </c>
      <c r="G42" s="44">
        <v>1</v>
      </c>
      <c r="H42" s="44" t="s">
        <v>457</v>
      </c>
      <c r="I42" s="44">
        <v>473</v>
      </c>
      <c r="J42" s="45">
        <f t="shared" si="0"/>
        <v>100</v>
      </c>
    </row>
    <row r="43" spans="1:10" ht="21" customHeight="1" x14ac:dyDescent="0.15">
      <c r="A43" s="44">
        <v>41015042</v>
      </c>
      <c r="B43" s="44">
        <v>1</v>
      </c>
      <c r="C43" s="44">
        <v>98</v>
      </c>
      <c r="D43" s="44">
        <v>100</v>
      </c>
      <c r="E43" s="44" t="s">
        <v>457</v>
      </c>
      <c r="F43" s="44" t="s">
        <v>457</v>
      </c>
      <c r="G43" s="44">
        <v>1</v>
      </c>
      <c r="H43" s="44" t="s">
        <v>457</v>
      </c>
      <c r="I43" s="44">
        <v>466</v>
      </c>
      <c r="J43" s="45">
        <f t="shared" si="0"/>
        <v>100</v>
      </c>
    </row>
    <row r="44" spans="1:10" ht="21" customHeight="1" x14ac:dyDescent="0.15">
      <c r="A44" s="44">
        <v>41015043</v>
      </c>
      <c r="B44" s="44">
        <v>1</v>
      </c>
      <c r="C44" s="44">
        <v>97</v>
      </c>
      <c r="D44" s="44">
        <v>100</v>
      </c>
      <c r="E44" s="44" t="s">
        <v>457</v>
      </c>
      <c r="F44" s="44" t="s">
        <v>457</v>
      </c>
      <c r="G44" s="44">
        <v>1</v>
      </c>
      <c r="H44" s="44" t="s">
        <v>457</v>
      </c>
      <c r="I44" s="44">
        <v>468</v>
      </c>
      <c r="J44" s="45">
        <f t="shared" si="0"/>
        <v>100</v>
      </c>
    </row>
    <row r="45" spans="1:10" ht="21" customHeight="1" x14ac:dyDescent="0.15">
      <c r="A45" s="44">
        <v>41015044</v>
      </c>
      <c r="B45" s="44">
        <v>1</v>
      </c>
      <c r="C45" s="44">
        <v>96</v>
      </c>
      <c r="D45" s="44">
        <v>100</v>
      </c>
      <c r="E45" s="44" t="s">
        <v>457</v>
      </c>
      <c r="F45" s="44" t="s">
        <v>457</v>
      </c>
      <c r="G45" s="44">
        <v>1</v>
      </c>
      <c r="H45" s="44" t="s">
        <v>457</v>
      </c>
      <c r="I45" s="44">
        <v>464</v>
      </c>
      <c r="J45" s="45">
        <f t="shared" si="0"/>
        <v>100</v>
      </c>
    </row>
    <row r="46" spans="1:10" ht="21" customHeight="1" x14ac:dyDescent="0.15">
      <c r="A46" s="44">
        <v>41015045</v>
      </c>
      <c r="B46" s="44">
        <v>1</v>
      </c>
      <c r="C46" s="44">
        <v>95</v>
      </c>
      <c r="D46" s="44">
        <v>100</v>
      </c>
      <c r="E46" s="44" t="s">
        <v>457</v>
      </c>
      <c r="F46" s="44" t="s">
        <v>457</v>
      </c>
      <c r="G46" s="44">
        <v>1</v>
      </c>
      <c r="H46" s="44" t="s">
        <v>457</v>
      </c>
      <c r="I46" s="44">
        <v>471</v>
      </c>
      <c r="J46" s="45">
        <f t="shared" si="0"/>
        <v>100</v>
      </c>
    </row>
    <row r="47" spans="1:10" ht="21" customHeight="1" x14ac:dyDescent="0.15">
      <c r="A47" s="44">
        <v>41015046</v>
      </c>
      <c r="B47" s="44">
        <v>1</v>
      </c>
      <c r="C47" s="44">
        <v>94</v>
      </c>
      <c r="D47" s="44">
        <v>100</v>
      </c>
      <c r="E47" s="44" t="s">
        <v>457</v>
      </c>
      <c r="F47" s="44" t="s">
        <v>457</v>
      </c>
      <c r="G47" s="44">
        <v>1</v>
      </c>
      <c r="H47" s="44" t="s">
        <v>457</v>
      </c>
      <c r="I47" s="44">
        <v>234</v>
      </c>
      <c r="J47" s="45">
        <f t="shared" si="0"/>
        <v>100</v>
      </c>
    </row>
    <row r="48" spans="1:10" ht="21" customHeight="1" x14ac:dyDescent="0.15">
      <c r="A48" s="44">
        <v>41015047</v>
      </c>
      <c r="B48" s="44">
        <v>1</v>
      </c>
      <c r="C48" s="44">
        <v>93</v>
      </c>
      <c r="D48" s="44">
        <v>100</v>
      </c>
      <c r="E48" s="44" t="s">
        <v>457</v>
      </c>
      <c r="F48" s="44" t="s">
        <v>457</v>
      </c>
      <c r="G48" s="44">
        <v>1</v>
      </c>
      <c r="H48" s="44" t="s">
        <v>457</v>
      </c>
      <c r="I48" s="44">
        <v>765</v>
      </c>
      <c r="J48" s="45">
        <f t="shared" si="0"/>
        <v>100</v>
      </c>
    </row>
    <row r="49" spans="1:10" ht="21" customHeight="1" x14ac:dyDescent="0.15">
      <c r="A49" s="44">
        <v>41015048</v>
      </c>
      <c r="B49" s="44">
        <v>0</v>
      </c>
      <c r="C49" s="44">
        <v>25</v>
      </c>
      <c r="D49" s="44">
        <v>100</v>
      </c>
      <c r="E49" s="44" t="s">
        <v>457</v>
      </c>
      <c r="F49" s="44">
        <v>66</v>
      </c>
      <c r="G49" s="44">
        <v>1</v>
      </c>
      <c r="H49" s="44" t="s">
        <v>457</v>
      </c>
      <c r="I49" s="44" t="s">
        <v>457</v>
      </c>
      <c r="J49" s="45">
        <f t="shared" si="0"/>
        <v>100</v>
      </c>
    </row>
    <row r="50" spans="1:10" ht="21" customHeight="1" x14ac:dyDescent="0.15">
      <c r="A50" s="44">
        <v>41015049</v>
      </c>
      <c r="B50" s="44">
        <v>0</v>
      </c>
      <c r="C50" s="44">
        <v>25</v>
      </c>
      <c r="D50" s="44">
        <v>100</v>
      </c>
      <c r="E50" s="44">
        <v>66</v>
      </c>
      <c r="F50" s="44">
        <v>33</v>
      </c>
      <c r="G50" s="44">
        <v>1</v>
      </c>
      <c r="H50" s="44" t="s">
        <v>457</v>
      </c>
      <c r="I50" s="44" t="s">
        <v>457</v>
      </c>
      <c r="J50" s="45">
        <f t="shared" si="0"/>
        <v>100</v>
      </c>
    </row>
    <row r="51" spans="1:10" ht="21" customHeight="1" x14ac:dyDescent="0.15">
      <c r="A51" s="44">
        <v>41015050</v>
      </c>
      <c r="B51" s="44">
        <v>0</v>
      </c>
      <c r="C51" s="44">
        <v>25</v>
      </c>
      <c r="D51" s="44">
        <v>100</v>
      </c>
      <c r="E51" s="44">
        <v>33</v>
      </c>
      <c r="F51" s="44" t="s">
        <v>457</v>
      </c>
      <c r="G51" s="44">
        <v>1</v>
      </c>
      <c r="H51" s="44" t="s">
        <v>457</v>
      </c>
      <c r="I51" s="44" t="s">
        <v>457</v>
      </c>
      <c r="J51" s="45">
        <f t="shared" si="0"/>
        <v>100</v>
      </c>
    </row>
    <row r="52" spans="1:10" ht="21" customHeight="1" x14ac:dyDescent="0.15">
      <c r="A52" s="44">
        <v>41015051</v>
      </c>
      <c r="B52" s="44">
        <v>0</v>
      </c>
      <c r="C52" s="44">
        <v>30</v>
      </c>
      <c r="D52" s="44">
        <v>20</v>
      </c>
      <c r="E52" s="44" t="s">
        <v>457</v>
      </c>
      <c r="F52" s="44" t="s">
        <v>457</v>
      </c>
      <c r="G52" s="44">
        <v>1</v>
      </c>
      <c r="H52" s="44" t="s">
        <v>457</v>
      </c>
      <c r="I52" s="44" t="s">
        <v>457</v>
      </c>
      <c r="J52" s="45">
        <f t="shared" si="0"/>
        <v>20</v>
      </c>
    </row>
    <row r="53" spans="1:10" ht="21" customHeight="1" x14ac:dyDescent="0.15">
      <c r="A53" s="44">
        <v>41015052</v>
      </c>
      <c r="B53" s="44">
        <v>0</v>
      </c>
      <c r="C53" s="44">
        <v>24</v>
      </c>
      <c r="D53" s="44">
        <v>100</v>
      </c>
      <c r="E53" s="44" t="s">
        <v>457</v>
      </c>
      <c r="F53" s="44">
        <v>66</v>
      </c>
      <c r="G53" s="44">
        <v>1</v>
      </c>
      <c r="H53" s="44" t="s">
        <v>457</v>
      </c>
      <c r="I53" s="44" t="s">
        <v>457</v>
      </c>
      <c r="J53" s="45">
        <f t="shared" si="0"/>
        <v>100</v>
      </c>
    </row>
    <row r="54" spans="1:10" ht="21" customHeight="1" x14ac:dyDescent="0.15">
      <c r="A54" s="44">
        <v>41015053</v>
      </c>
      <c r="B54" s="44">
        <v>0</v>
      </c>
      <c r="C54" s="44">
        <v>24</v>
      </c>
      <c r="D54" s="44">
        <v>100</v>
      </c>
      <c r="E54" s="44">
        <v>66</v>
      </c>
      <c r="F54" s="44">
        <v>33</v>
      </c>
      <c r="G54" s="44">
        <v>1</v>
      </c>
      <c r="H54" s="44" t="s">
        <v>457</v>
      </c>
      <c r="I54" s="44" t="s">
        <v>457</v>
      </c>
      <c r="J54" s="45">
        <f t="shared" si="0"/>
        <v>100</v>
      </c>
    </row>
    <row r="55" spans="1:10" ht="21" customHeight="1" x14ac:dyDescent="0.15">
      <c r="A55" s="44">
        <v>41015054</v>
      </c>
      <c r="B55" s="44">
        <v>0</v>
      </c>
      <c r="C55" s="44">
        <v>24</v>
      </c>
      <c r="D55" s="44">
        <v>100</v>
      </c>
      <c r="E55" s="44">
        <v>33</v>
      </c>
      <c r="F55" s="44" t="s">
        <v>457</v>
      </c>
      <c r="G55" s="44">
        <v>1</v>
      </c>
      <c r="H55" s="44" t="s">
        <v>457</v>
      </c>
      <c r="I55" s="44" t="s">
        <v>457</v>
      </c>
      <c r="J55" s="45">
        <f t="shared" si="0"/>
        <v>100</v>
      </c>
    </row>
    <row r="56" spans="1:10" ht="21" customHeight="1" x14ac:dyDescent="0.15">
      <c r="A56" s="44">
        <v>41015055</v>
      </c>
      <c r="B56" s="44">
        <v>0</v>
      </c>
      <c r="C56" s="44">
        <v>30</v>
      </c>
      <c r="D56" s="44">
        <v>20</v>
      </c>
      <c r="E56" s="44" t="s">
        <v>457</v>
      </c>
      <c r="F56" s="44" t="s">
        <v>457</v>
      </c>
      <c r="G56" s="44">
        <v>1</v>
      </c>
      <c r="H56" s="44" t="s">
        <v>457</v>
      </c>
      <c r="I56" s="44" t="s">
        <v>457</v>
      </c>
      <c r="J56" s="45">
        <f t="shared" si="0"/>
        <v>20</v>
      </c>
    </row>
    <row r="57" spans="1:10" ht="21" customHeight="1" x14ac:dyDescent="0.15">
      <c r="A57" s="44">
        <v>41015056</v>
      </c>
      <c r="B57" s="44">
        <v>0</v>
      </c>
      <c r="C57" s="44">
        <v>23</v>
      </c>
      <c r="D57" s="44">
        <v>100</v>
      </c>
      <c r="E57" s="44" t="s">
        <v>457</v>
      </c>
      <c r="F57" s="44">
        <v>66</v>
      </c>
      <c r="G57" s="44">
        <v>1</v>
      </c>
      <c r="H57" s="44" t="s">
        <v>457</v>
      </c>
      <c r="I57" s="44" t="s">
        <v>457</v>
      </c>
      <c r="J57" s="45">
        <f t="shared" si="0"/>
        <v>100</v>
      </c>
    </row>
    <row r="58" spans="1:10" ht="21" customHeight="1" x14ac:dyDescent="0.15">
      <c r="A58" s="44">
        <v>41015057</v>
      </c>
      <c r="B58" s="44">
        <v>0</v>
      </c>
      <c r="C58" s="44">
        <v>23</v>
      </c>
      <c r="D58" s="44">
        <v>100</v>
      </c>
      <c r="E58" s="103">
        <v>66</v>
      </c>
      <c r="F58" s="197">
        <v>33</v>
      </c>
      <c r="G58" s="44">
        <v>1</v>
      </c>
      <c r="H58" s="44" t="s">
        <v>457</v>
      </c>
      <c r="I58" s="44" t="s">
        <v>457</v>
      </c>
      <c r="J58" s="45">
        <f t="shared" si="0"/>
        <v>100</v>
      </c>
    </row>
    <row r="59" spans="1:10" ht="21" customHeight="1" x14ac:dyDescent="0.15">
      <c r="A59" s="44">
        <v>41015058</v>
      </c>
      <c r="B59" s="44">
        <v>0</v>
      </c>
      <c r="C59" s="44">
        <v>23</v>
      </c>
      <c r="D59" s="44">
        <v>100</v>
      </c>
      <c r="E59" s="200">
        <v>33</v>
      </c>
      <c r="F59" s="198" t="s">
        <v>458</v>
      </c>
      <c r="G59" s="44">
        <v>1</v>
      </c>
      <c r="H59" s="44" t="s">
        <v>457</v>
      </c>
      <c r="I59" s="44" t="s">
        <v>457</v>
      </c>
      <c r="J59" s="45">
        <f t="shared" si="0"/>
        <v>100</v>
      </c>
    </row>
    <row r="60" spans="1:10" ht="21" customHeight="1" x14ac:dyDescent="0.15">
      <c r="A60" s="44">
        <v>41015059</v>
      </c>
      <c r="B60" s="44">
        <v>0</v>
      </c>
      <c r="C60" s="44">
        <v>20</v>
      </c>
      <c r="D60" s="44">
        <v>100</v>
      </c>
      <c r="E60" s="44" t="s">
        <v>457</v>
      </c>
      <c r="F60" s="44" t="s">
        <v>457</v>
      </c>
      <c r="G60" s="44" t="s">
        <v>457</v>
      </c>
      <c r="H60" s="44" t="s">
        <v>457</v>
      </c>
      <c r="I60" s="44" t="s">
        <v>457</v>
      </c>
      <c r="J60" s="45">
        <f t="shared" si="0"/>
        <v>100</v>
      </c>
    </row>
    <row r="61" spans="1:10" ht="21" customHeight="1" x14ac:dyDescent="0.15">
      <c r="A61" s="44">
        <v>41015060</v>
      </c>
      <c r="B61" s="44">
        <v>0</v>
      </c>
      <c r="C61" s="44">
        <v>35</v>
      </c>
      <c r="D61" s="44">
        <v>100</v>
      </c>
      <c r="E61" s="44" t="s">
        <v>457</v>
      </c>
      <c r="F61" s="44" t="s">
        <v>457</v>
      </c>
      <c r="G61" s="44">
        <v>1</v>
      </c>
      <c r="H61" s="44">
        <v>4</v>
      </c>
      <c r="I61" s="44" t="s">
        <v>457</v>
      </c>
      <c r="J61" s="45">
        <f t="shared" si="0"/>
        <v>100</v>
      </c>
    </row>
    <row r="62" spans="1:10" ht="21" customHeight="1" x14ac:dyDescent="0.15">
      <c r="A62" s="44">
        <v>41015061</v>
      </c>
      <c r="B62" s="44">
        <v>0</v>
      </c>
      <c r="C62" s="44">
        <v>35</v>
      </c>
      <c r="D62" s="44">
        <v>100</v>
      </c>
      <c r="E62" s="44" t="s">
        <v>457</v>
      </c>
      <c r="F62" s="44" t="s">
        <v>457</v>
      </c>
      <c r="G62" s="44">
        <v>1</v>
      </c>
      <c r="H62" s="44">
        <v>4</v>
      </c>
      <c r="I62" s="44" t="s">
        <v>457</v>
      </c>
      <c r="J62" s="45">
        <f t="shared" si="0"/>
        <v>100</v>
      </c>
    </row>
    <row r="63" spans="1:10" ht="21" customHeight="1" x14ac:dyDescent="0.15">
      <c r="A63" s="44">
        <v>41015062</v>
      </c>
      <c r="B63" s="44">
        <v>0</v>
      </c>
      <c r="C63" s="44">
        <v>35</v>
      </c>
      <c r="D63" s="44">
        <v>100</v>
      </c>
      <c r="E63" s="44" t="s">
        <v>457</v>
      </c>
      <c r="F63" s="44" t="s">
        <v>457</v>
      </c>
      <c r="G63" s="44">
        <v>1</v>
      </c>
      <c r="H63" s="44">
        <v>8</v>
      </c>
      <c r="I63" s="44" t="s">
        <v>457</v>
      </c>
      <c r="J63" s="45">
        <f t="shared" si="0"/>
        <v>100</v>
      </c>
    </row>
    <row r="64" spans="1:10" ht="21" customHeight="1" x14ac:dyDescent="0.15">
      <c r="A64" s="44">
        <v>41015063</v>
      </c>
      <c r="B64" s="44">
        <v>1</v>
      </c>
      <c r="C64" s="44">
        <v>50</v>
      </c>
      <c r="D64" s="44">
        <v>100</v>
      </c>
      <c r="E64" s="44" t="s">
        <v>457</v>
      </c>
      <c r="F64" s="44" t="s">
        <v>457</v>
      </c>
      <c r="G64" s="44">
        <v>1</v>
      </c>
      <c r="H64" s="44" t="s">
        <v>457</v>
      </c>
      <c r="I64" s="44" t="s">
        <v>457</v>
      </c>
      <c r="J64" s="45">
        <f t="shared" si="0"/>
        <v>100</v>
      </c>
    </row>
    <row r="65" spans="1:10" ht="21" customHeight="1" x14ac:dyDescent="0.15">
      <c r="A65" s="44">
        <v>41015064</v>
      </c>
      <c r="B65" s="44">
        <v>1</v>
      </c>
      <c r="C65" s="44">
        <v>99</v>
      </c>
      <c r="D65" s="44">
        <v>100</v>
      </c>
      <c r="E65" s="44" t="s">
        <v>457</v>
      </c>
      <c r="F65" s="44" t="s">
        <v>457</v>
      </c>
      <c r="G65" s="44">
        <v>1</v>
      </c>
      <c r="H65" s="44" t="s">
        <v>457</v>
      </c>
      <c r="I65" s="44">
        <v>473</v>
      </c>
      <c r="J65" s="45">
        <f t="shared" si="0"/>
        <v>100</v>
      </c>
    </row>
    <row r="66" spans="1:10" ht="21" customHeight="1" x14ac:dyDescent="0.15">
      <c r="A66" s="44">
        <v>41015065</v>
      </c>
      <c r="B66" s="44">
        <v>1</v>
      </c>
      <c r="C66" s="44">
        <v>98</v>
      </c>
      <c r="D66" s="44">
        <v>100</v>
      </c>
      <c r="E66" s="44" t="s">
        <v>457</v>
      </c>
      <c r="F66" s="44" t="s">
        <v>457</v>
      </c>
      <c r="G66" s="44">
        <v>1</v>
      </c>
      <c r="H66" s="44" t="s">
        <v>457</v>
      </c>
      <c r="I66" s="44">
        <v>466</v>
      </c>
      <c r="J66" s="45">
        <f t="shared" ref="J66:J81" si="1">D66</f>
        <v>100</v>
      </c>
    </row>
    <row r="67" spans="1:10" ht="21" customHeight="1" x14ac:dyDescent="0.15">
      <c r="A67" s="44">
        <v>41015066</v>
      </c>
      <c r="B67" s="44">
        <v>1</v>
      </c>
      <c r="C67" s="44">
        <v>97</v>
      </c>
      <c r="D67" s="44">
        <v>100</v>
      </c>
      <c r="E67" s="44" t="s">
        <v>457</v>
      </c>
      <c r="F67" s="44" t="s">
        <v>457</v>
      </c>
      <c r="G67" s="44">
        <v>1</v>
      </c>
      <c r="H67" s="44" t="s">
        <v>457</v>
      </c>
      <c r="I67" s="44">
        <v>468</v>
      </c>
      <c r="J67" s="45">
        <f t="shared" si="1"/>
        <v>100</v>
      </c>
    </row>
    <row r="68" spans="1:10" ht="21" customHeight="1" x14ac:dyDescent="0.15">
      <c r="A68" s="44">
        <v>41015067</v>
      </c>
      <c r="B68" s="44">
        <v>1</v>
      </c>
      <c r="C68" s="44">
        <v>96</v>
      </c>
      <c r="D68" s="44">
        <v>100</v>
      </c>
      <c r="E68" s="44" t="s">
        <v>457</v>
      </c>
      <c r="F68" s="44" t="s">
        <v>457</v>
      </c>
      <c r="G68" s="44">
        <v>1</v>
      </c>
      <c r="H68" s="44" t="s">
        <v>457</v>
      </c>
      <c r="I68" s="44">
        <v>464</v>
      </c>
      <c r="J68" s="45">
        <f t="shared" si="1"/>
        <v>100</v>
      </c>
    </row>
    <row r="69" spans="1:10" ht="21" customHeight="1" x14ac:dyDescent="0.15">
      <c r="A69" s="44">
        <v>41015068</v>
      </c>
      <c r="B69" s="44">
        <v>1</v>
      </c>
      <c r="C69" s="44">
        <v>95</v>
      </c>
      <c r="D69" s="44">
        <v>100</v>
      </c>
      <c r="E69" s="44" t="s">
        <v>457</v>
      </c>
      <c r="F69" s="44" t="s">
        <v>457</v>
      </c>
      <c r="G69" s="44">
        <v>1</v>
      </c>
      <c r="H69" s="44" t="s">
        <v>457</v>
      </c>
      <c r="I69" s="44">
        <v>471</v>
      </c>
      <c r="J69" s="45">
        <f t="shared" si="1"/>
        <v>100</v>
      </c>
    </row>
    <row r="70" spans="1:10" ht="21" customHeight="1" x14ac:dyDescent="0.15">
      <c r="A70" s="44">
        <v>41015069</v>
      </c>
      <c r="B70" s="44">
        <v>1</v>
      </c>
      <c r="C70" s="44">
        <v>94</v>
      </c>
      <c r="D70" s="44">
        <v>100</v>
      </c>
      <c r="E70" s="44" t="s">
        <v>457</v>
      </c>
      <c r="F70" s="44" t="s">
        <v>457</v>
      </c>
      <c r="G70" s="44">
        <v>1</v>
      </c>
      <c r="H70" s="44" t="s">
        <v>457</v>
      </c>
      <c r="I70" s="44">
        <v>234</v>
      </c>
      <c r="J70" s="45">
        <f t="shared" si="1"/>
        <v>100</v>
      </c>
    </row>
    <row r="71" spans="1:10" ht="21" customHeight="1" x14ac:dyDescent="0.15">
      <c r="A71" s="44">
        <v>41015070</v>
      </c>
      <c r="B71" s="44">
        <v>1</v>
      </c>
      <c r="C71" s="44">
        <v>93</v>
      </c>
      <c r="D71" s="44">
        <v>100</v>
      </c>
      <c r="E71" s="44" t="s">
        <v>457</v>
      </c>
      <c r="F71" s="44" t="s">
        <v>457</v>
      </c>
      <c r="G71" s="44">
        <v>1</v>
      </c>
      <c r="H71" s="44" t="s">
        <v>457</v>
      </c>
      <c r="I71" s="44">
        <v>765</v>
      </c>
      <c r="J71" s="45">
        <f t="shared" si="1"/>
        <v>100</v>
      </c>
    </row>
    <row r="72" spans="1:10" ht="21" customHeight="1" x14ac:dyDescent="0.15">
      <c r="A72" s="44">
        <v>41015071</v>
      </c>
      <c r="B72" s="44">
        <v>0</v>
      </c>
      <c r="C72" s="44">
        <v>25</v>
      </c>
      <c r="D72" s="44">
        <v>100</v>
      </c>
      <c r="E72" s="44" t="s">
        <v>457</v>
      </c>
      <c r="F72" s="44" t="s">
        <v>457</v>
      </c>
      <c r="G72" s="44">
        <v>1</v>
      </c>
      <c r="H72" s="44">
        <v>1</v>
      </c>
      <c r="I72" s="44" t="s">
        <v>457</v>
      </c>
      <c r="J72" s="45">
        <f t="shared" si="1"/>
        <v>100</v>
      </c>
    </row>
    <row r="73" spans="1:10" ht="21" customHeight="1" x14ac:dyDescent="0.15">
      <c r="A73" s="44">
        <v>41015072</v>
      </c>
      <c r="B73" s="44">
        <v>0</v>
      </c>
      <c r="C73" s="44">
        <v>25</v>
      </c>
      <c r="D73" s="44">
        <v>100</v>
      </c>
      <c r="E73" s="44" t="s">
        <v>457</v>
      </c>
      <c r="F73" s="44" t="s">
        <v>457</v>
      </c>
      <c r="G73" s="44">
        <v>1</v>
      </c>
      <c r="H73" s="44">
        <v>2</v>
      </c>
      <c r="I73" s="44" t="s">
        <v>457</v>
      </c>
      <c r="J73" s="45">
        <f t="shared" si="1"/>
        <v>100</v>
      </c>
    </row>
    <row r="74" spans="1:10" ht="21" customHeight="1" x14ac:dyDescent="0.15">
      <c r="A74" s="44">
        <v>41015073</v>
      </c>
      <c r="B74" s="44">
        <v>0</v>
      </c>
      <c r="C74" s="44">
        <v>24</v>
      </c>
      <c r="D74" s="44">
        <v>100</v>
      </c>
      <c r="E74" s="44" t="s">
        <v>457</v>
      </c>
      <c r="F74" s="44" t="s">
        <v>457</v>
      </c>
      <c r="G74" s="44">
        <v>1</v>
      </c>
      <c r="H74" s="44">
        <v>3</v>
      </c>
      <c r="I74" s="44" t="s">
        <v>457</v>
      </c>
      <c r="J74" s="45">
        <f t="shared" si="1"/>
        <v>100</v>
      </c>
    </row>
    <row r="75" spans="1:10" ht="21" customHeight="1" x14ac:dyDescent="0.15">
      <c r="A75" s="44">
        <v>41015074</v>
      </c>
      <c r="B75" s="44">
        <v>0</v>
      </c>
      <c r="C75" s="44">
        <v>25</v>
      </c>
      <c r="D75" s="44">
        <v>100</v>
      </c>
      <c r="E75" s="44" t="s">
        <v>457</v>
      </c>
      <c r="F75" s="44" t="s">
        <v>457</v>
      </c>
      <c r="G75" s="44">
        <v>1</v>
      </c>
      <c r="H75" s="44">
        <v>4</v>
      </c>
      <c r="I75" s="44" t="s">
        <v>457</v>
      </c>
      <c r="J75" s="45">
        <f t="shared" si="1"/>
        <v>100</v>
      </c>
    </row>
    <row r="76" spans="1:10" ht="21" customHeight="1" x14ac:dyDescent="0.15">
      <c r="A76" s="44">
        <v>41015075</v>
      </c>
      <c r="B76" s="44">
        <v>0</v>
      </c>
      <c r="C76" s="44">
        <v>30</v>
      </c>
      <c r="D76" s="44">
        <v>100</v>
      </c>
      <c r="E76" s="44" t="s">
        <v>457</v>
      </c>
      <c r="F76" s="44" t="s">
        <v>457</v>
      </c>
      <c r="G76" s="44">
        <v>1</v>
      </c>
      <c r="H76" s="44">
        <v>1</v>
      </c>
      <c r="I76" s="44" t="s">
        <v>457</v>
      </c>
      <c r="J76" s="45">
        <f t="shared" si="1"/>
        <v>100</v>
      </c>
    </row>
    <row r="77" spans="1:10" ht="21" customHeight="1" x14ac:dyDescent="0.15">
      <c r="A77" s="44">
        <v>41015076</v>
      </c>
      <c r="B77" s="44">
        <v>0</v>
      </c>
      <c r="C77" s="44">
        <v>40</v>
      </c>
      <c r="D77" s="44">
        <v>100</v>
      </c>
      <c r="E77" s="44">
        <v>50</v>
      </c>
      <c r="F77" s="44" t="s">
        <v>457</v>
      </c>
      <c r="G77" s="44" t="s">
        <v>457</v>
      </c>
      <c r="H77" s="44">
        <v>1</v>
      </c>
      <c r="I77" s="44" t="s">
        <v>457</v>
      </c>
      <c r="J77" s="45">
        <f t="shared" si="1"/>
        <v>100</v>
      </c>
    </row>
    <row r="78" spans="1:10" ht="21" customHeight="1" x14ac:dyDescent="0.15">
      <c r="A78" s="44">
        <v>41015077</v>
      </c>
      <c r="B78" s="44">
        <v>0</v>
      </c>
      <c r="C78" s="44">
        <v>25</v>
      </c>
      <c r="D78" s="44">
        <v>100</v>
      </c>
      <c r="E78" s="44" t="s">
        <v>457</v>
      </c>
      <c r="F78" s="44" t="s">
        <v>457</v>
      </c>
      <c r="G78" s="44">
        <v>1</v>
      </c>
      <c r="H78" s="44" t="s">
        <v>457</v>
      </c>
      <c r="I78" s="44">
        <v>122</v>
      </c>
      <c r="J78" s="45">
        <f t="shared" si="1"/>
        <v>100</v>
      </c>
    </row>
    <row r="79" spans="1:10" ht="21" customHeight="1" x14ac:dyDescent="0.15">
      <c r="A79" s="44">
        <v>41015078</v>
      </c>
      <c r="B79" s="44">
        <v>0</v>
      </c>
      <c r="C79" s="44">
        <v>25</v>
      </c>
      <c r="D79" s="44">
        <v>100</v>
      </c>
      <c r="E79" s="44" t="s">
        <v>457</v>
      </c>
      <c r="F79" s="44" t="s">
        <v>457</v>
      </c>
      <c r="G79" s="44">
        <v>1</v>
      </c>
      <c r="H79" s="44" t="s">
        <v>457</v>
      </c>
      <c r="I79" s="44">
        <v>123</v>
      </c>
      <c r="J79" s="45">
        <f t="shared" si="1"/>
        <v>100</v>
      </c>
    </row>
    <row r="80" spans="1:10" ht="21" customHeight="1" x14ac:dyDescent="0.15">
      <c r="A80" s="195">
        <v>41015080</v>
      </c>
      <c r="B80" s="44">
        <v>1</v>
      </c>
      <c r="C80" s="44">
        <v>52</v>
      </c>
      <c r="D80" s="44">
        <v>100</v>
      </c>
      <c r="E80" s="44" t="s">
        <v>457</v>
      </c>
      <c r="F80" s="44" t="s">
        <v>457</v>
      </c>
      <c r="G80" s="44">
        <v>1</v>
      </c>
      <c r="H80" s="44" t="s">
        <v>457</v>
      </c>
      <c r="I80" s="44">
        <v>465</v>
      </c>
      <c r="J80" s="45">
        <f t="shared" si="1"/>
        <v>100</v>
      </c>
    </row>
    <row r="81" spans="1:10" ht="21" customHeight="1" x14ac:dyDescent="0.15">
      <c r="A81" s="195">
        <v>41015081</v>
      </c>
      <c r="B81" s="44">
        <v>1</v>
      </c>
      <c r="C81" s="44">
        <v>51</v>
      </c>
      <c r="D81" s="44">
        <v>100</v>
      </c>
      <c r="E81" s="44" t="s">
        <v>457</v>
      </c>
      <c r="F81" s="44" t="s">
        <v>457</v>
      </c>
      <c r="G81" s="44">
        <v>1</v>
      </c>
      <c r="H81" s="44" t="s">
        <v>457</v>
      </c>
      <c r="I81" s="44">
        <v>472</v>
      </c>
      <c r="J81" s="45">
        <f t="shared" si="1"/>
        <v>100</v>
      </c>
    </row>
    <row r="82" spans="1:10" ht="21" customHeight="1" x14ac:dyDescent="0.15">
      <c r="A82" s="195">
        <v>41015082</v>
      </c>
      <c r="B82" s="197">
        <v>1</v>
      </c>
      <c r="C82" s="197">
        <v>99</v>
      </c>
      <c r="D82" s="197">
        <v>100</v>
      </c>
      <c r="E82" s="197" t="s">
        <v>458</v>
      </c>
      <c r="F82" s="197" t="s">
        <v>458</v>
      </c>
      <c r="G82" s="197">
        <v>1</v>
      </c>
      <c r="H82" s="197" t="s">
        <v>458</v>
      </c>
      <c r="I82" s="197">
        <v>472</v>
      </c>
      <c r="J82" s="173">
        <v>100</v>
      </c>
    </row>
    <row r="83" spans="1:10" ht="21" customHeight="1" x14ac:dyDescent="0.15">
      <c r="A83" s="195">
        <v>41015083</v>
      </c>
      <c r="B83" s="198">
        <v>1</v>
      </c>
      <c r="C83" s="198">
        <v>98</v>
      </c>
      <c r="D83" s="198">
        <v>100</v>
      </c>
      <c r="E83" s="198" t="s">
        <v>458</v>
      </c>
      <c r="F83" s="198" t="s">
        <v>458</v>
      </c>
      <c r="G83" s="198">
        <v>1</v>
      </c>
      <c r="H83" s="198" t="s">
        <v>458</v>
      </c>
      <c r="I83" s="198">
        <v>465</v>
      </c>
      <c r="J83" s="199">
        <v>100</v>
      </c>
    </row>
    <row r="84" spans="1:10" ht="21" customHeight="1" x14ac:dyDescent="0.15">
      <c r="A84" s="195">
        <v>41015084</v>
      </c>
      <c r="B84" s="198">
        <v>1</v>
      </c>
      <c r="C84" s="198">
        <v>97</v>
      </c>
      <c r="D84" s="198">
        <v>100</v>
      </c>
      <c r="E84" s="198" t="s">
        <v>458</v>
      </c>
      <c r="F84" s="198" t="s">
        <v>458</v>
      </c>
      <c r="G84" s="198">
        <v>1</v>
      </c>
      <c r="H84" s="198" t="s">
        <v>458</v>
      </c>
      <c r="I84" s="198">
        <v>467</v>
      </c>
      <c r="J84" s="199">
        <v>100</v>
      </c>
    </row>
    <row r="85" spans="1:10" ht="21" customHeight="1" x14ac:dyDescent="0.15">
      <c r="A85" s="195">
        <v>41015085</v>
      </c>
      <c r="B85" s="198">
        <v>1</v>
      </c>
      <c r="C85" s="198">
        <v>96</v>
      </c>
      <c r="D85" s="198">
        <v>100</v>
      </c>
      <c r="E85" s="198" t="s">
        <v>458</v>
      </c>
      <c r="F85" s="198" t="s">
        <v>458</v>
      </c>
      <c r="G85" s="198">
        <v>1</v>
      </c>
      <c r="H85" s="198" t="s">
        <v>458</v>
      </c>
      <c r="I85" s="198">
        <v>463</v>
      </c>
      <c r="J85" s="199">
        <v>100</v>
      </c>
    </row>
    <row r="86" spans="1:10" ht="21" customHeight="1" x14ac:dyDescent="0.15">
      <c r="A86" s="195">
        <v>41015086</v>
      </c>
      <c r="B86" s="198">
        <v>1</v>
      </c>
      <c r="C86" s="198">
        <v>96</v>
      </c>
      <c r="D86" s="198">
        <v>100</v>
      </c>
      <c r="E86" s="198" t="s">
        <v>458</v>
      </c>
      <c r="F86" s="198" t="s">
        <v>458</v>
      </c>
      <c r="G86" s="198">
        <v>1</v>
      </c>
      <c r="H86" s="198" t="s">
        <v>458</v>
      </c>
      <c r="I86" s="198">
        <v>462</v>
      </c>
      <c r="J86" s="199">
        <v>100</v>
      </c>
    </row>
    <row r="87" spans="1:10" ht="21" customHeight="1" x14ac:dyDescent="0.15">
      <c r="A87" s="195">
        <v>41015087</v>
      </c>
      <c r="B87" s="198">
        <v>1</v>
      </c>
      <c r="C87" s="198">
        <v>95</v>
      </c>
      <c r="D87" s="198">
        <v>100</v>
      </c>
      <c r="E87" s="198" t="s">
        <v>458</v>
      </c>
      <c r="F87" s="198" t="s">
        <v>458</v>
      </c>
      <c r="G87" s="198">
        <v>1</v>
      </c>
      <c r="H87" s="198" t="s">
        <v>458</v>
      </c>
      <c r="I87" s="198">
        <v>470</v>
      </c>
      <c r="J87" s="199">
        <v>100</v>
      </c>
    </row>
    <row r="88" spans="1:10" ht="21" customHeight="1" x14ac:dyDescent="0.15">
      <c r="A88" s="195">
        <v>41015088</v>
      </c>
      <c r="B88" s="198">
        <v>1</v>
      </c>
      <c r="C88" s="198">
        <v>95</v>
      </c>
      <c r="D88" s="198">
        <v>100</v>
      </c>
      <c r="E88" s="198" t="s">
        <v>458</v>
      </c>
      <c r="F88" s="198" t="s">
        <v>458</v>
      </c>
      <c r="G88" s="198">
        <v>1</v>
      </c>
      <c r="H88" s="198" t="s">
        <v>458</v>
      </c>
      <c r="I88" s="198">
        <v>469</v>
      </c>
      <c r="J88" s="199">
        <v>100</v>
      </c>
    </row>
    <row r="89" spans="1:10" ht="21" customHeight="1" x14ac:dyDescent="0.15">
      <c r="A89" s="195">
        <v>41015089</v>
      </c>
      <c r="B89" s="198">
        <v>1</v>
      </c>
      <c r="C89" s="198">
        <v>94</v>
      </c>
      <c r="D89" s="198">
        <v>100</v>
      </c>
      <c r="E89" s="198" t="s">
        <v>458</v>
      </c>
      <c r="F89" s="198" t="s">
        <v>458</v>
      </c>
      <c r="G89" s="198">
        <v>1</v>
      </c>
      <c r="H89" s="198" t="s">
        <v>458</v>
      </c>
      <c r="I89" s="198">
        <v>233</v>
      </c>
      <c r="J89" s="199">
        <v>100</v>
      </c>
    </row>
    <row r="90" spans="1:10" ht="21" customHeight="1" x14ac:dyDescent="0.15">
      <c r="A90" s="195">
        <v>41015090</v>
      </c>
      <c r="B90" s="198">
        <v>1</v>
      </c>
      <c r="C90" s="198">
        <v>94</v>
      </c>
      <c r="D90" s="198">
        <v>100</v>
      </c>
      <c r="E90" s="198" t="s">
        <v>458</v>
      </c>
      <c r="F90" s="198" t="s">
        <v>458</v>
      </c>
      <c r="G90" s="198">
        <v>1</v>
      </c>
      <c r="H90" s="198" t="s">
        <v>458</v>
      </c>
      <c r="I90" s="198">
        <v>232</v>
      </c>
      <c r="J90" s="199">
        <v>100</v>
      </c>
    </row>
    <row r="91" spans="1:10" ht="21" customHeight="1" x14ac:dyDescent="0.15">
      <c r="A91" s="195">
        <v>41015091</v>
      </c>
      <c r="B91" s="198">
        <v>1</v>
      </c>
      <c r="C91" s="198">
        <v>93</v>
      </c>
      <c r="D91" s="198">
        <v>100</v>
      </c>
      <c r="E91" s="198" t="s">
        <v>458</v>
      </c>
      <c r="F91" s="198" t="s">
        <v>458</v>
      </c>
      <c r="G91" s="198">
        <v>1</v>
      </c>
      <c r="H91" s="198" t="s">
        <v>458</v>
      </c>
      <c r="I91" s="198">
        <v>764</v>
      </c>
      <c r="J91" s="199">
        <v>100</v>
      </c>
    </row>
    <row r="92" spans="1:10" ht="21" customHeight="1" x14ac:dyDescent="0.15">
      <c r="A92" s="195">
        <v>41015092</v>
      </c>
      <c r="B92" s="197">
        <v>1</v>
      </c>
      <c r="C92" s="197">
        <v>99</v>
      </c>
      <c r="D92" s="197">
        <v>100</v>
      </c>
      <c r="E92" s="197" t="s">
        <v>458</v>
      </c>
      <c r="F92" s="197" t="s">
        <v>458</v>
      </c>
      <c r="G92" s="197">
        <v>1</v>
      </c>
      <c r="H92" s="197" t="s">
        <v>458</v>
      </c>
      <c r="I92" s="197">
        <v>472</v>
      </c>
      <c r="J92" s="173">
        <v>100</v>
      </c>
    </row>
    <row r="93" spans="1:10" ht="21" customHeight="1" x14ac:dyDescent="0.15">
      <c r="A93" s="195">
        <v>41015093</v>
      </c>
      <c r="B93" s="198">
        <v>1</v>
      </c>
      <c r="C93" s="198">
        <v>98</v>
      </c>
      <c r="D93" s="198">
        <v>100</v>
      </c>
      <c r="E93" s="198" t="s">
        <v>458</v>
      </c>
      <c r="F93" s="198" t="s">
        <v>458</v>
      </c>
      <c r="G93" s="198">
        <v>1</v>
      </c>
      <c r="H93" s="198" t="s">
        <v>458</v>
      </c>
      <c r="I93" s="198">
        <v>465</v>
      </c>
      <c r="J93" s="199">
        <v>100</v>
      </c>
    </row>
    <row r="94" spans="1:10" ht="21" customHeight="1" x14ac:dyDescent="0.15">
      <c r="A94" s="195">
        <v>41015094</v>
      </c>
      <c r="B94" s="198">
        <v>1</v>
      </c>
      <c r="C94" s="198">
        <v>97</v>
      </c>
      <c r="D94" s="198">
        <v>100</v>
      </c>
      <c r="E94" s="198" t="s">
        <v>458</v>
      </c>
      <c r="F94" s="198" t="s">
        <v>458</v>
      </c>
      <c r="G94" s="198">
        <v>1</v>
      </c>
      <c r="H94" s="198" t="s">
        <v>458</v>
      </c>
      <c r="I94" s="198">
        <v>467</v>
      </c>
      <c r="J94" s="199">
        <v>100</v>
      </c>
    </row>
    <row r="95" spans="1:10" ht="21" customHeight="1" x14ac:dyDescent="0.15">
      <c r="A95" s="195">
        <v>41015095</v>
      </c>
      <c r="B95" s="198">
        <v>1</v>
      </c>
      <c r="C95" s="198">
        <v>96</v>
      </c>
      <c r="D95" s="198">
        <v>100</v>
      </c>
      <c r="E95" s="198" t="s">
        <v>458</v>
      </c>
      <c r="F95" s="198" t="s">
        <v>458</v>
      </c>
      <c r="G95" s="198">
        <v>1</v>
      </c>
      <c r="H95" s="198" t="s">
        <v>458</v>
      </c>
      <c r="I95" s="198">
        <v>463</v>
      </c>
      <c r="J95" s="199">
        <v>100</v>
      </c>
    </row>
    <row r="96" spans="1:10" ht="21" customHeight="1" x14ac:dyDescent="0.15">
      <c r="A96" s="195">
        <v>41015096</v>
      </c>
      <c r="B96" s="198">
        <v>1</v>
      </c>
      <c r="C96" s="198">
        <v>96</v>
      </c>
      <c r="D96" s="198">
        <v>100</v>
      </c>
      <c r="E96" s="198" t="s">
        <v>458</v>
      </c>
      <c r="F96" s="198" t="s">
        <v>458</v>
      </c>
      <c r="G96" s="198">
        <v>1</v>
      </c>
      <c r="H96" s="198" t="s">
        <v>458</v>
      </c>
      <c r="I96" s="198">
        <v>462</v>
      </c>
      <c r="J96" s="199">
        <v>100</v>
      </c>
    </row>
    <row r="97" spans="1:10" ht="21" customHeight="1" x14ac:dyDescent="0.15">
      <c r="A97" s="195">
        <v>41015097</v>
      </c>
      <c r="B97" s="198">
        <v>1</v>
      </c>
      <c r="C97" s="198">
        <v>95</v>
      </c>
      <c r="D97" s="198">
        <v>100</v>
      </c>
      <c r="E97" s="198" t="s">
        <v>458</v>
      </c>
      <c r="F97" s="198" t="s">
        <v>458</v>
      </c>
      <c r="G97" s="198">
        <v>1</v>
      </c>
      <c r="H97" s="198" t="s">
        <v>458</v>
      </c>
      <c r="I97" s="198">
        <v>470</v>
      </c>
      <c r="J97" s="199">
        <v>100</v>
      </c>
    </row>
    <row r="98" spans="1:10" ht="21" customHeight="1" x14ac:dyDescent="0.15">
      <c r="A98" s="195">
        <v>41015098</v>
      </c>
      <c r="B98" s="198">
        <v>1</v>
      </c>
      <c r="C98" s="198">
        <v>95</v>
      </c>
      <c r="D98" s="198">
        <v>100</v>
      </c>
      <c r="E98" s="198" t="s">
        <v>458</v>
      </c>
      <c r="F98" s="198" t="s">
        <v>458</v>
      </c>
      <c r="G98" s="198">
        <v>1</v>
      </c>
      <c r="H98" s="198" t="s">
        <v>458</v>
      </c>
      <c r="I98" s="198">
        <v>469</v>
      </c>
      <c r="J98" s="199">
        <v>100</v>
      </c>
    </row>
    <row r="99" spans="1:10" ht="21" customHeight="1" x14ac:dyDescent="0.15">
      <c r="A99" s="195">
        <v>41015099</v>
      </c>
      <c r="B99" s="198">
        <v>1</v>
      </c>
      <c r="C99" s="198">
        <v>94</v>
      </c>
      <c r="D99" s="198">
        <v>100</v>
      </c>
      <c r="E99" s="198" t="s">
        <v>458</v>
      </c>
      <c r="F99" s="198" t="s">
        <v>458</v>
      </c>
      <c r="G99" s="198">
        <v>1</v>
      </c>
      <c r="H99" s="198" t="s">
        <v>458</v>
      </c>
      <c r="I99" s="198">
        <v>233</v>
      </c>
      <c r="J99" s="199">
        <v>100</v>
      </c>
    </row>
    <row r="100" spans="1:10" ht="21" customHeight="1" x14ac:dyDescent="0.15">
      <c r="A100" s="195">
        <v>41015100</v>
      </c>
      <c r="B100" s="198">
        <v>1</v>
      </c>
      <c r="C100" s="198">
        <v>94</v>
      </c>
      <c r="D100" s="198">
        <v>100</v>
      </c>
      <c r="E100" s="198" t="s">
        <v>458</v>
      </c>
      <c r="F100" s="198" t="s">
        <v>458</v>
      </c>
      <c r="G100" s="198">
        <v>1</v>
      </c>
      <c r="H100" s="198" t="s">
        <v>458</v>
      </c>
      <c r="I100" s="198">
        <v>232</v>
      </c>
      <c r="J100" s="199">
        <v>100</v>
      </c>
    </row>
    <row r="101" spans="1:10" ht="21" customHeight="1" x14ac:dyDescent="0.15">
      <c r="A101" s="195">
        <v>41015101</v>
      </c>
      <c r="B101" s="198">
        <v>1</v>
      </c>
      <c r="C101" s="198">
        <v>93</v>
      </c>
      <c r="D101" s="198">
        <v>100</v>
      </c>
      <c r="E101" s="198" t="s">
        <v>458</v>
      </c>
      <c r="F101" s="198" t="s">
        <v>458</v>
      </c>
      <c r="G101" s="198">
        <v>1</v>
      </c>
      <c r="H101" s="198" t="s">
        <v>458</v>
      </c>
      <c r="I101" s="198">
        <v>764</v>
      </c>
      <c r="J101" s="199">
        <v>100</v>
      </c>
    </row>
    <row r="102" spans="1:10" ht="21" customHeight="1" x14ac:dyDescent="0.15">
      <c r="A102" s="195">
        <v>41015102</v>
      </c>
      <c r="B102" s="197">
        <v>1</v>
      </c>
      <c r="C102" s="197">
        <v>99</v>
      </c>
      <c r="D102" s="197">
        <v>100</v>
      </c>
      <c r="E102" s="197" t="s">
        <v>458</v>
      </c>
      <c r="F102" s="197" t="s">
        <v>458</v>
      </c>
      <c r="G102" s="197">
        <v>1</v>
      </c>
      <c r="H102" s="197" t="s">
        <v>458</v>
      </c>
      <c r="I102" s="197">
        <v>472</v>
      </c>
      <c r="J102" s="173">
        <v>100</v>
      </c>
    </row>
    <row r="103" spans="1:10" ht="21" customHeight="1" x14ac:dyDescent="0.15">
      <c r="A103" s="195">
        <v>41015103</v>
      </c>
      <c r="B103" s="198">
        <v>1</v>
      </c>
      <c r="C103" s="198">
        <v>98</v>
      </c>
      <c r="D103" s="198">
        <v>100</v>
      </c>
      <c r="E103" s="198" t="s">
        <v>458</v>
      </c>
      <c r="F103" s="198" t="s">
        <v>458</v>
      </c>
      <c r="G103" s="198">
        <v>1</v>
      </c>
      <c r="H103" s="198" t="s">
        <v>458</v>
      </c>
      <c r="I103" s="198">
        <v>465</v>
      </c>
      <c r="J103" s="199">
        <v>100</v>
      </c>
    </row>
    <row r="104" spans="1:10" ht="21" customHeight="1" x14ac:dyDescent="0.15">
      <c r="A104" s="195">
        <v>41015104</v>
      </c>
      <c r="B104" s="198">
        <v>1</v>
      </c>
      <c r="C104" s="198">
        <v>97</v>
      </c>
      <c r="D104" s="198">
        <v>100</v>
      </c>
      <c r="E104" s="198" t="s">
        <v>458</v>
      </c>
      <c r="F104" s="198" t="s">
        <v>458</v>
      </c>
      <c r="G104" s="198">
        <v>1</v>
      </c>
      <c r="H104" s="198" t="s">
        <v>458</v>
      </c>
      <c r="I104" s="198">
        <v>467</v>
      </c>
      <c r="J104" s="199">
        <v>100</v>
      </c>
    </row>
    <row r="105" spans="1:10" ht="21" customHeight="1" x14ac:dyDescent="0.15">
      <c r="A105" s="195">
        <v>41015105</v>
      </c>
      <c r="B105" s="198">
        <v>1</v>
      </c>
      <c r="C105" s="198">
        <v>96</v>
      </c>
      <c r="D105" s="198">
        <v>100</v>
      </c>
      <c r="E105" s="198" t="s">
        <v>458</v>
      </c>
      <c r="F105" s="198" t="s">
        <v>458</v>
      </c>
      <c r="G105" s="198">
        <v>1</v>
      </c>
      <c r="H105" s="198" t="s">
        <v>458</v>
      </c>
      <c r="I105" s="198">
        <v>463</v>
      </c>
      <c r="J105" s="199">
        <v>100</v>
      </c>
    </row>
    <row r="106" spans="1:10" ht="21" customHeight="1" x14ac:dyDescent="0.15">
      <c r="A106" s="195">
        <v>41015106</v>
      </c>
      <c r="B106" s="198">
        <v>1</v>
      </c>
      <c r="C106" s="198">
        <v>96</v>
      </c>
      <c r="D106" s="198">
        <v>100</v>
      </c>
      <c r="E106" s="198" t="s">
        <v>458</v>
      </c>
      <c r="F106" s="198" t="s">
        <v>458</v>
      </c>
      <c r="G106" s="198">
        <v>1</v>
      </c>
      <c r="H106" s="198" t="s">
        <v>458</v>
      </c>
      <c r="I106" s="198">
        <v>462</v>
      </c>
      <c r="J106" s="199">
        <v>100</v>
      </c>
    </row>
    <row r="107" spans="1:10" ht="21" customHeight="1" x14ac:dyDescent="0.15">
      <c r="A107" s="195">
        <v>41015107</v>
      </c>
      <c r="B107" s="198">
        <v>1</v>
      </c>
      <c r="C107" s="198">
        <v>95</v>
      </c>
      <c r="D107" s="198">
        <v>100</v>
      </c>
      <c r="E107" s="198" t="s">
        <v>458</v>
      </c>
      <c r="F107" s="198" t="s">
        <v>458</v>
      </c>
      <c r="G107" s="198">
        <v>1</v>
      </c>
      <c r="H107" s="198" t="s">
        <v>458</v>
      </c>
      <c r="I107" s="198">
        <v>470</v>
      </c>
      <c r="J107" s="199">
        <v>100</v>
      </c>
    </row>
    <row r="108" spans="1:10" ht="21" customHeight="1" x14ac:dyDescent="0.15">
      <c r="A108" s="195">
        <v>41015108</v>
      </c>
      <c r="B108" s="198">
        <v>1</v>
      </c>
      <c r="C108" s="198">
        <v>95</v>
      </c>
      <c r="D108" s="198">
        <v>100</v>
      </c>
      <c r="E108" s="198" t="s">
        <v>458</v>
      </c>
      <c r="F108" s="198" t="s">
        <v>458</v>
      </c>
      <c r="G108" s="198">
        <v>1</v>
      </c>
      <c r="H108" s="198" t="s">
        <v>458</v>
      </c>
      <c r="I108" s="198">
        <v>469</v>
      </c>
      <c r="J108" s="199">
        <v>100</v>
      </c>
    </row>
    <row r="109" spans="1:10" ht="21" customHeight="1" x14ac:dyDescent="0.15">
      <c r="A109" s="195">
        <v>41015109</v>
      </c>
      <c r="B109" s="198">
        <v>1</v>
      </c>
      <c r="C109" s="198">
        <v>94</v>
      </c>
      <c r="D109" s="198">
        <v>100</v>
      </c>
      <c r="E109" s="198" t="s">
        <v>458</v>
      </c>
      <c r="F109" s="198" t="s">
        <v>458</v>
      </c>
      <c r="G109" s="198">
        <v>1</v>
      </c>
      <c r="H109" s="198" t="s">
        <v>458</v>
      </c>
      <c r="I109" s="198">
        <v>233</v>
      </c>
      <c r="J109" s="199">
        <v>100</v>
      </c>
    </row>
    <row r="110" spans="1:10" ht="21" customHeight="1" x14ac:dyDescent="0.15">
      <c r="A110" s="195">
        <v>41015110</v>
      </c>
      <c r="B110" s="198">
        <v>1</v>
      </c>
      <c r="C110" s="198">
        <v>94</v>
      </c>
      <c r="D110" s="198">
        <v>100</v>
      </c>
      <c r="E110" s="198" t="s">
        <v>458</v>
      </c>
      <c r="F110" s="198" t="s">
        <v>458</v>
      </c>
      <c r="G110" s="198">
        <v>1</v>
      </c>
      <c r="H110" s="198" t="s">
        <v>458</v>
      </c>
      <c r="I110" s="198">
        <v>232</v>
      </c>
      <c r="J110" s="199">
        <v>100</v>
      </c>
    </row>
    <row r="111" spans="1:10" ht="21" customHeight="1" x14ac:dyDescent="0.15">
      <c r="A111" s="195">
        <v>41015111</v>
      </c>
      <c r="B111" s="198">
        <v>1</v>
      </c>
      <c r="C111" s="198">
        <v>93</v>
      </c>
      <c r="D111" s="198">
        <v>100</v>
      </c>
      <c r="E111" s="198" t="s">
        <v>458</v>
      </c>
      <c r="F111" s="198" t="s">
        <v>458</v>
      </c>
      <c r="G111" s="198">
        <v>1</v>
      </c>
      <c r="H111" s="198" t="s">
        <v>458</v>
      </c>
      <c r="I111" s="198">
        <v>764</v>
      </c>
      <c r="J111" s="199">
        <v>100</v>
      </c>
    </row>
    <row r="112" spans="1:10" ht="21" customHeight="1" x14ac:dyDescent="0.15">
      <c r="A112" s="44">
        <v>41015112</v>
      </c>
      <c r="B112" s="44">
        <v>1</v>
      </c>
      <c r="C112" s="44">
        <v>51</v>
      </c>
      <c r="D112" s="44">
        <v>100</v>
      </c>
      <c r="E112" s="44" t="s">
        <v>53</v>
      </c>
      <c r="F112" s="44" t="s">
        <v>53</v>
      </c>
      <c r="G112" s="44">
        <v>1</v>
      </c>
      <c r="H112" s="44" t="s">
        <v>53</v>
      </c>
      <c r="I112" s="44">
        <v>820</v>
      </c>
      <c r="J112" s="45">
        <f t="shared" ref="J112:J113" si="2">D112</f>
        <v>100</v>
      </c>
    </row>
    <row r="113" spans="1:10" ht="21" customHeight="1" x14ac:dyDescent="0.15">
      <c r="A113" s="44">
        <v>41015113</v>
      </c>
      <c r="B113" s="44">
        <v>1</v>
      </c>
      <c r="C113" s="44">
        <v>52</v>
      </c>
      <c r="D113" s="44">
        <v>100</v>
      </c>
      <c r="E113" s="44" t="s">
        <v>53</v>
      </c>
      <c r="F113" s="44" t="s">
        <v>53</v>
      </c>
      <c r="G113" s="44">
        <v>1</v>
      </c>
      <c r="H113" s="44" t="s">
        <v>53</v>
      </c>
      <c r="I113" s="44">
        <v>839</v>
      </c>
      <c r="J113" s="45">
        <f t="shared" si="2"/>
        <v>100</v>
      </c>
    </row>
    <row r="114" spans="1:10" ht="21" customHeight="1" x14ac:dyDescent="0.15">
      <c r="A114" s="195">
        <v>41015114</v>
      </c>
      <c r="B114" s="197">
        <v>1</v>
      </c>
      <c r="C114" s="197">
        <v>99</v>
      </c>
      <c r="D114" s="197">
        <v>100</v>
      </c>
      <c r="E114" s="197" t="s">
        <v>458</v>
      </c>
      <c r="F114" s="197" t="s">
        <v>458</v>
      </c>
      <c r="G114" s="197">
        <v>1</v>
      </c>
      <c r="H114" s="197" t="s">
        <v>458</v>
      </c>
      <c r="I114" s="197">
        <v>820</v>
      </c>
      <c r="J114" s="173">
        <v>100</v>
      </c>
    </row>
    <row r="115" spans="1:10" ht="21" customHeight="1" x14ac:dyDescent="0.15">
      <c r="A115" s="195">
        <v>41015115</v>
      </c>
      <c r="B115" s="198">
        <v>1</v>
      </c>
      <c r="C115" s="198">
        <v>98</v>
      </c>
      <c r="D115" s="198">
        <v>100</v>
      </c>
      <c r="E115" s="198" t="s">
        <v>458</v>
      </c>
      <c r="F115" s="198" t="s">
        <v>458</v>
      </c>
      <c r="G115" s="198">
        <v>1</v>
      </c>
      <c r="H115" s="198" t="s">
        <v>458</v>
      </c>
      <c r="I115" s="198">
        <v>839</v>
      </c>
      <c r="J115" s="199">
        <v>100</v>
      </c>
    </row>
    <row r="116" spans="1:10" ht="21" customHeight="1" x14ac:dyDescent="0.15">
      <c r="A116" s="195">
        <v>41015116</v>
      </c>
      <c r="B116" s="198">
        <v>1</v>
      </c>
      <c r="C116" s="198">
        <v>97</v>
      </c>
      <c r="D116" s="198">
        <v>100</v>
      </c>
      <c r="E116" s="198" t="s">
        <v>458</v>
      </c>
      <c r="F116" s="198" t="s">
        <v>458</v>
      </c>
      <c r="G116" s="198">
        <v>1</v>
      </c>
      <c r="H116" s="198" t="s">
        <v>458</v>
      </c>
      <c r="I116" s="198">
        <v>819</v>
      </c>
      <c r="J116" s="199">
        <v>100</v>
      </c>
    </row>
  </sheetData>
  <autoFilter ref="A1:G1"/>
  <phoneticPr fontId="5"/>
  <conditionalFormatting sqref="K1 K117:K1048576">
    <cfRule type="duplicateValues" dxfId="23" priority="24"/>
  </conditionalFormatting>
  <conditionalFormatting sqref="K2 K4:K77">
    <cfRule type="duplicateValues" dxfId="22" priority="23"/>
  </conditionalFormatting>
  <conditionalFormatting sqref="K3">
    <cfRule type="duplicateValues" dxfId="21" priority="22"/>
  </conditionalFormatting>
  <conditionalFormatting sqref="K78">
    <cfRule type="duplicateValues" dxfId="20" priority="21"/>
  </conditionalFormatting>
  <conditionalFormatting sqref="K79">
    <cfRule type="duplicateValues" dxfId="19" priority="20"/>
  </conditionalFormatting>
  <conditionalFormatting sqref="K80">
    <cfRule type="duplicateValues" dxfId="18" priority="19"/>
  </conditionalFormatting>
  <conditionalFormatting sqref="K81">
    <cfRule type="duplicateValues" dxfId="17" priority="18"/>
  </conditionalFormatting>
  <conditionalFormatting sqref="K82:K85 K87 K90:K91">
    <cfRule type="duplicateValues" dxfId="16" priority="17"/>
  </conditionalFormatting>
  <conditionalFormatting sqref="K86">
    <cfRule type="duplicateValues" dxfId="15" priority="16"/>
  </conditionalFormatting>
  <conditionalFormatting sqref="K89">
    <cfRule type="duplicateValues" dxfId="14" priority="15"/>
  </conditionalFormatting>
  <conditionalFormatting sqref="K88">
    <cfRule type="duplicateValues" dxfId="13" priority="14"/>
  </conditionalFormatting>
  <conditionalFormatting sqref="K92:K95 K97 K100:K101">
    <cfRule type="duplicateValues" dxfId="12" priority="13"/>
  </conditionalFormatting>
  <conditionalFormatting sqref="K96">
    <cfRule type="duplicateValues" dxfId="11" priority="12"/>
  </conditionalFormatting>
  <conditionalFormatting sqref="K99">
    <cfRule type="duplicateValues" dxfId="10" priority="11"/>
  </conditionalFormatting>
  <conditionalFormatting sqref="K98">
    <cfRule type="duplicateValues" dxfId="9" priority="10"/>
  </conditionalFormatting>
  <conditionalFormatting sqref="K102:K105 K107 K110:K111">
    <cfRule type="duplicateValues" dxfId="8" priority="9"/>
  </conditionalFormatting>
  <conditionalFormatting sqref="K106">
    <cfRule type="duplicateValues" dxfId="7" priority="8"/>
  </conditionalFormatting>
  <conditionalFormatting sqref="K109">
    <cfRule type="duplicateValues" dxfId="6" priority="7"/>
  </conditionalFormatting>
  <conditionalFormatting sqref="K108">
    <cfRule type="duplicateValues" dxfId="5" priority="6"/>
  </conditionalFormatting>
  <conditionalFormatting sqref="K112">
    <cfRule type="duplicateValues" dxfId="4" priority="5"/>
  </conditionalFormatting>
  <conditionalFormatting sqref="K113">
    <cfRule type="duplicateValues" dxfId="3" priority="4"/>
  </conditionalFormatting>
  <conditionalFormatting sqref="K114">
    <cfRule type="duplicateValues" dxfId="2" priority="3"/>
  </conditionalFormatting>
  <conditionalFormatting sqref="K115">
    <cfRule type="duplicateValues" dxfId="1" priority="2"/>
  </conditionalFormatting>
  <conditionalFormatting sqref="K11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8"/>
  <sheetViews>
    <sheetView zoomScale="90" zoomScaleNormal="90" zoomScalePageLayoutView="90" workbookViewId="0">
      <selection activeCell="K25" sqref="K25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1" t="s">
        <v>149</v>
      </c>
      <c r="B1" s="61" t="s">
        <v>150</v>
      </c>
      <c r="C1" s="62" t="s">
        <v>151</v>
      </c>
      <c r="D1" s="68" t="s">
        <v>152</v>
      </c>
      <c r="E1" s="63" t="s">
        <v>153</v>
      </c>
      <c r="F1" s="61" t="s">
        <v>154</v>
      </c>
      <c r="G1" s="61" t="s">
        <v>155</v>
      </c>
      <c r="H1" s="61" t="s">
        <v>156</v>
      </c>
      <c r="I1" s="61" t="s">
        <v>157</v>
      </c>
      <c r="J1" s="61" t="s">
        <v>158</v>
      </c>
      <c r="K1" s="61" t="s">
        <v>159</v>
      </c>
      <c r="L1" s="61" t="s">
        <v>160</v>
      </c>
      <c r="M1" s="61" t="s">
        <v>161</v>
      </c>
      <c r="N1" s="61" t="s">
        <v>162</v>
      </c>
      <c r="O1" s="61" t="s">
        <v>163</v>
      </c>
      <c r="P1" s="61" t="s">
        <v>164</v>
      </c>
      <c r="Q1" s="61" t="s">
        <v>165</v>
      </c>
      <c r="R1" s="61" t="s">
        <v>166</v>
      </c>
    </row>
    <row r="2" spans="1:18" x14ac:dyDescent="0.15">
      <c r="A2" s="54">
        <v>41015</v>
      </c>
      <c r="B2" s="77">
        <v>1</v>
      </c>
      <c r="C2" s="67" t="str">
        <f t="shared" ref="C2:C18" si="0">A2&amp; "_"&amp;B2</f>
        <v>41015_1</v>
      </c>
      <c r="D2" s="17" t="str">
        <f ca="1">VLOOKUP($C2,OFFSET([2]stages!$A$1,0,0,COUNTA([2]stages!$A:$A),MATCH(D$1,[2]stages!$2:$2,0)-MATCH($C$1,[2]stages!$2:$2,0)+1),MATCH(D$1,[2]stages!$2:$2,0)-MATCH($C$1,[2]stages!$2:$2,0)+1,FALSE)</f>
        <v>everyone</v>
      </c>
      <c r="E2" s="77">
        <v>1</v>
      </c>
      <c r="F2" s="54" t="s">
        <v>167</v>
      </c>
      <c r="G2" s="54">
        <v>40000</v>
      </c>
      <c r="H2" s="54" t="s">
        <v>458</v>
      </c>
      <c r="I2" s="54">
        <v>1</v>
      </c>
      <c r="J2" s="54">
        <v>1</v>
      </c>
      <c r="K2" s="54">
        <v>0</v>
      </c>
      <c r="L2" s="54">
        <v>0</v>
      </c>
      <c r="M2" s="54">
        <v>0</v>
      </c>
      <c r="N2" s="54">
        <v>0</v>
      </c>
      <c r="O2" s="54">
        <v>1</v>
      </c>
      <c r="P2" s="54">
        <v>150</v>
      </c>
      <c r="Q2" s="54" t="s">
        <v>168</v>
      </c>
      <c r="R2" s="54" t="s">
        <v>169</v>
      </c>
    </row>
    <row r="3" spans="1:18" x14ac:dyDescent="0.15">
      <c r="A3" s="54">
        <v>41015</v>
      </c>
      <c r="B3" s="77">
        <v>1</v>
      </c>
      <c r="C3" s="67" t="str">
        <f t="shared" si="0"/>
        <v>41015_1</v>
      </c>
      <c r="D3" s="17" t="str">
        <f ca="1">VLOOKUP($C3,OFFSET([2]stages!$A$1,0,0,COUNTA([2]stages!$A:$A),MATCH(D$1,[2]stages!$2:$2,0)-MATCH($C$1,[2]stages!$2:$2,0)+1),MATCH(D$1,[2]stages!$2:$2,0)-MATCH($C$1,[2]stages!$2:$2,0)+1,FALSE)</f>
        <v>everyone</v>
      </c>
      <c r="E3" s="77">
        <v>2</v>
      </c>
      <c r="F3" s="54" t="s">
        <v>460</v>
      </c>
      <c r="G3" s="54">
        <v>30</v>
      </c>
      <c r="H3" s="54" t="s">
        <v>458</v>
      </c>
      <c r="I3" s="54">
        <v>1</v>
      </c>
      <c r="J3" s="54">
        <v>1</v>
      </c>
      <c r="K3" s="54">
        <v>0</v>
      </c>
      <c r="L3" s="54">
        <v>0</v>
      </c>
      <c r="M3" s="54">
        <v>0</v>
      </c>
      <c r="N3" s="54">
        <v>0</v>
      </c>
      <c r="O3" s="54">
        <v>1</v>
      </c>
      <c r="P3" s="54">
        <v>150</v>
      </c>
      <c r="Q3" s="54" t="s">
        <v>168</v>
      </c>
      <c r="R3" s="54" t="s">
        <v>169</v>
      </c>
    </row>
    <row r="4" spans="1:18" x14ac:dyDescent="0.15">
      <c r="A4" s="54">
        <v>41015</v>
      </c>
      <c r="B4" s="77">
        <v>1</v>
      </c>
      <c r="C4" s="67" t="str">
        <f t="shared" si="0"/>
        <v>41015_1</v>
      </c>
      <c r="D4" s="17" t="str">
        <f ca="1">VLOOKUP($C4,OFFSET([2]stages!$A$1,0,0,COUNTA([2]stages!$A:$A),MATCH(D$1,[2]stages!$2:$2,0)-MATCH($C$1,[2]stages!$2:$2,0)+1),MATCH(D$1,[2]stages!$2:$2,0)-MATCH($C$1,[2]stages!$2:$2,0)+1,FALSE)</f>
        <v>everyone</v>
      </c>
      <c r="E4" s="77">
        <v>3</v>
      </c>
      <c r="F4" s="54" t="s">
        <v>461</v>
      </c>
      <c r="G4" s="54">
        <v>337</v>
      </c>
      <c r="H4" s="54">
        <v>1</v>
      </c>
      <c r="I4" s="54">
        <v>1</v>
      </c>
      <c r="J4" s="54">
        <v>1</v>
      </c>
      <c r="K4" s="54">
        <v>0</v>
      </c>
      <c r="L4" s="54">
        <v>0</v>
      </c>
      <c r="M4" s="54">
        <v>0</v>
      </c>
      <c r="N4" s="54">
        <v>0</v>
      </c>
      <c r="O4" s="54">
        <v>1</v>
      </c>
      <c r="P4" s="54">
        <v>28</v>
      </c>
      <c r="Q4" s="54" t="s">
        <v>168</v>
      </c>
      <c r="R4" s="54" t="s">
        <v>169</v>
      </c>
    </row>
    <row r="5" spans="1:18" x14ac:dyDescent="0.15">
      <c r="A5" s="54">
        <v>41015</v>
      </c>
      <c r="B5" s="77">
        <v>1</v>
      </c>
      <c r="C5" s="67" t="str">
        <f t="shared" si="0"/>
        <v>41015_1</v>
      </c>
      <c r="D5" s="17" t="str">
        <f ca="1">VLOOKUP($C5,OFFSET([2]stages!$A$1,0,0,COUNTA([2]stages!$A:$A),MATCH(D$1,[2]stages!$2:$2,0)-MATCH($C$1,[2]stages!$2:$2,0)+1),MATCH(D$1,[2]stages!$2:$2,0)-MATCH($C$1,[2]stages!$2:$2,0)+1,FALSE)</f>
        <v>everyone</v>
      </c>
      <c r="E5" s="77">
        <v>4</v>
      </c>
      <c r="F5" s="54" t="s">
        <v>461</v>
      </c>
      <c r="G5" s="54">
        <v>338</v>
      </c>
      <c r="H5" s="54">
        <v>1</v>
      </c>
      <c r="I5" s="54">
        <v>1</v>
      </c>
      <c r="J5" s="54">
        <v>1</v>
      </c>
      <c r="K5" s="54">
        <v>0</v>
      </c>
      <c r="L5" s="54">
        <v>0</v>
      </c>
      <c r="M5" s="54">
        <v>0</v>
      </c>
      <c r="N5" s="54">
        <v>0</v>
      </c>
      <c r="O5" s="54">
        <v>1</v>
      </c>
      <c r="P5" s="54">
        <v>112</v>
      </c>
      <c r="Q5" s="54" t="s">
        <v>168</v>
      </c>
      <c r="R5" s="54" t="s">
        <v>169</v>
      </c>
    </row>
    <row r="6" spans="1:18" x14ac:dyDescent="0.15">
      <c r="A6" s="54">
        <v>41015</v>
      </c>
      <c r="B6" s="77">
        <v>1</v>
      </c>
      <c r="C6" s="67" t="str">
        <f t="shared" si="0"/>
        <v>41015_1</v>
      </c>
      <c r="D6" s="17" t="str">
        <f ca="1">VLOOKUP($C6,OFFSET([2]stages!$A$1,0,0,COUNTA([2]stages!$A:$A),MATCH(D$1,[2]stages!$2:$2,0)-MATCH($C$1,[2]stages!$2:$2,0)+1),MATCH(D$1,[2]stages!$2:$2,0)-MATCH($C$1,[2]stages!$2:$2,0)+1,FALSE)</f>
        <v>everyone</v>
      </c>
      <c r="E6" s="77">
        <v>5</v>
      </c>
      <c r="F6" s="54" t="s">
        <v>461</v>
      </c>
      <c r="G6" s="54">
        <v>121</v>
      </c>
      <c r="H6" s="54">
        <v>1</v>
      </c>
      <c r="I6" s="54">
        <v>1</v>
      </c>
      <c r="J6" s="54">
        <v>1</v>
      </c>
      <c r="K6" s="54">
        <v>0</v>
      </c>
      <c r="L6" s="54">
        <v>0</v>
      </c>
      <c r="M6" s="54">
        <v>0</v>
      </c>
      <c r="N6" s="54">
        <v>0</v>
      </c>
      <c r="O6" s="54">
        <v>1</v>
      </c>
      <c r="P6" s="54">
        <v>100</v>
      </c>
      <c r="Q6" s="54" t="s">
        <v>168</v>
      </c>
      <c r="R6" s="54" t="s">
        <v>169</v>
      </c>
    </row>
    <row r="7" spans="1:18" x14ac:dyDescent="0.15">
      <c r="A7" s="54">
        <v>41015</v>
      </c>
      <c r="B7" s="77">
        <v>1</v>
      </c>
      <c r="C7" s="67" t="str">
        <f t="shared" si="0"/>
        <v>41015_1</v>
      </c>
      <c r="D7" s="17" t="str">
        <f ca="1">VLOOKUP($C7,OFFSET([2]stages!$A$1,0,0,COUNTA([2]stages!$A:$A),MATCH(D$1,[2]stages!$2:$2,0)-MATCH($C$1,[2]stages!$2:$2,0)+1),MATCH(D$1,[2]stages!$2:$2,0)-MATCH($C$1,[2]stages!$2:$2,0)+1,FALSE)</f>
        <v>everyone</v>
      </c>
      <c r="E7" s="77">
        <v>6</v>
      </c>
      <c r="F7" s="54" t="s">
        <v>461</v>
      </c>
      <c r="G7" s="54">
        <v>122</v>
      </c>
      <c r="H7" s="54">
        <v>1</v>
      </c>
      <c r="I7" s="54">
        <v>1</v>
      </c>
      <c r="J7" s="54">
        <v>1</v>
      </c>
      <c r="K7" s="54">
        <v>0</v>
      </c>
      <c r="L7" s="54">
        <v>0</v>
      </c>
      <c r="M7" s="54">
        <v>0</v>
      </c>
      <c r="N7" s="54">
        <v>0</v>
      </c>
      <c r="O7" s="54">
        <v>1</v>
      </c>
      <c r="P7" s="54">
        <v>100</v>
      </c>
      <c r="Q7" s="54" t="s">
        <v>168</v>
      </c>
      <c r="R7" s="54" t="s">
        <v>169</v>
      </c>
    </row>
    <row r="8" spans="1:18" x14ac:dyDescent="0.15">
      <c r="A8" s="54">
        <v>41015</v>
      </c>
      <c r="B8" s="77">
        <v>1</v>
      </c>
      <c r="C8" s="67" t="str">
        <f t="shared" si="0"/>
        <v>41015_1</v>
      </c>
      <c r="D8" s="17" t="str">
        <f ca="1">VLOOKUP($C8,OFFSET([2]stages!$A$1,0,0,COUNTA([2]stages!$A:$A),MATCH(D$1,[2]stages!$2:$2,0)-MATCH($C$1,[2]stages!$2:$2,0)+1),MATCH(D$1,[2]stages!$2:$2,0)-MATCH($C$1,[2]stages!$2:$2,0)+1,FALSE)</f>
        <v>everyone</v>
      </c>
      <c r="E8" s="77">
        <v>7</v>
      </c>
      <c r="F8" s="54" t="s">
        <v>461</v>
      </c>
      <c r="G8" s="54">
        <v>123</v>
      </c>
      <c r="H8" s="54">
        <v>1</v>
      </c>
      <c r="I8" s="54">
        <v>1</v>
      </c>
      <c r="J8" s="54">
        <v>1</v>
      </c>
      <c r="K8" s="54">
        <v>0</v>
      </c>
      <c r="L8" s="54">
        <v>0</v>
      </c>
      <c r="M8" s="54">
        <v>0</v>
      </c>
      <c r="N8" s="54">
        <v>0</v>
      </c>
      <c r="O8" s="54">
        <v>1</v>
      </c>
      <c r="P8" s="54">
        <v>100</v>
      </c>
      <c r="Q8" s="54" t="s">
        <v>168</v>
      </c>
      <c r="R8" s="54" t="s">
        <v>169</v>
      </c>
    </row>
    <row r="9" spans="1:18" x14ac:dyDescent="0.15">
      <c r="A9" s="54">
        <v>41015</v>
      </c>
      <c r="B9" s="77">
        <v>1</v>
      </c>
      <c r="C9" s="67" t="str">
        <f t="shared" si="0"/>
        <v>41015_1</v>
      </c>
      <c r="D9" s="17" t="str">
        <f ca="1">VLOOKUP($C9,OFFSET([2]stages!$A$1,0,0,COUNTA([2]stages!$A:$A),MATCH(D$1,[2]stages!$2:$2,0)-MATCH($C$1,[2]stages!$2:$2,0)+1),MATCH(D$1,[2]stages!$2:$2,0)-MATCH($C$1,[2]stages!$2:$2,0)+1,FALSE)</f>
        <v>everyone</v>
      </c>
      <c r="E9" s="77">
        <v>8</v>
      </c>
      <c r="F9" s="54" t="s">
        <v>461</v>
      </c>
      <c r="G9" s="54">
        <v>125</v>
      </c>
      <c r="H9" s="54">
        <v>1</v>
      </c>
      <c r="I9" s="54">
        <v>1</v>
      </c>
      <c r="J9" s="54">
        <v>1</v>
      </c>
      <c r="K9" s="54">
        <v>0</v>
      </c>
      <c r="L9" s="54">
        <v>0</v>
      </c>
      <c r="M9" s="54">
        <v>0</v>
      </c>
      <c r="N9" s="54">
        <v>0</v>
      </c>
      <c r="O9" s="54">
        <v>1</v>
      </c>
      <c r="P9" s="54">
        <v>10</v>
      </c>
      <c r="Q9" s="54" t="s">
        <v>168</v>
      </c>
      <c r="R9" s="54" t="s">
        <v>169</v>
      </c>
    </row>
    <row r="10" spans="1:18" x14ac:dyDescent="0.15">
      <c r="A10" s="54">
        <v>41015</v>
      </c>
      <c r="B10" s="77">
        <v>1</v>
      </c>
      <c r="C10" s="67" t="str">
        <f t="shared" si="0"/>
        <v>41015_1</v>
      </c>
      <c r="D10" s="17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77">
        <v>9</v>
      </c>
      <c r="F10" s="54" t="s">
        <v>461</v>
      </c>
      <c r="G10" s="54">
        <v>768</v>
      </c>
      <c r="H10" s="54">
        <v>1</v>
      </c>
      <c r="I10" s="54">
        <v>1</v>
      </c>
      <c r="J10" s="54">
        <v>1</v>
      </c>
      <c r="K10" s="54">
        <v>0</v>
      </c>
      <c r="L10" s="54">
        <v>0</v>
      </c>
      <c r="M10" s="54">
        <v>0</v>
      </c>
      <c r="N10" s="54">
        <v>0</v>
      </c>
      <c r="O10" s="54">
        <v>1</v>
      </c>
      <c r="P10" s="54">
        <v>100</v>
      </c>
      <c r="Q10" s="54" t="s">
        <v>168</v>
      </c>
      <c r="R10" s="54" t="s">
        <v>169</v>
      </c>
    </row>
    <row r="11" spans="1:18" x14ac:dyDescent="0.15">
      <c r="A11" s="54">
        <v>41015</v>
      </c>
      <c r="B11" s="77">
        <v>1</v>
      </c>
      <c r="C11" s="67" t="str">
        <f t="shared" si="0"/>
        <v>41015_1</v>
      </c>
      <c r="D11" s="17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77">
        <v>10</v>
      </c>
      <c r="F11" s="54" t="s">
        <v>461</v>
      </c>
      <c r="G11" s="54">
        <v>350</v>
      </c>
      <c r="H11" s="54">
        <v>1</v>
      </c>
      <c r="I11" s="54">
        <v>1</v>
      </c>
      <c r="J11" s="54">
        <v>1</v>
      </c>
      <c r="K11" s="54">
        <v>0</v>
      </c>
      <c r="L11" s="54">
        <v>0</v>
      </c>
      <c r="M11" s="54">
        <v>0</v>
      </c>
      <c r="N11" s="54">
        <v>0</v>
      </c>
      <c r="O11" s="54">
        <v>1</v>
      </c>
      <c r="P11" s="54">
        <v>150</v>
      </c>
      <c r="Q11" s="54" t="s">
        <v>168</v>
      </c>
      <c r="R11" s="54" t="s">
        <v>169</v>
      </c>
    </row>
    <row r="12" spans="1:18" x14ac:dyDescent="0.15">
      <c r="A12" s="54">
        <v>41015</v>
      </c>
      <c r="B12" s="77">
        <v>2</v>
      </c>
      <c r="C12" s="67" t="str">
        <f t="shared" si="0"/>
        <v>41015_2</v>
      </c>
      <c r="D12" s="17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77">
        <v>1</v>
      </c>
      <c r="F12" s="54" t="s">
        <v>461</v>
      </c>
      <c r="G12" s="54">
        <v>338</v>
      </c>
      <c r="H12" s="54">
        <v>1</v>
      </c>
      <c r="I12" s="54">
        <v>1</v>
      </c>
      <c r="J12" s="54">
        <v>1</v>
      </c>
      <c r="K12" s="54">
        <v>0</v>
      </c>
      <c r="L12" s="54">
        <v>0</v>
      </c>
      <c r="M12" s="54">
        <v>0</v>
      </c>
      <c r="N12" s="54">
        <v>0</v>
      </c>
      <c r="O12" s="54">
        <v>1</v>
      </c>
      <c r="P12" s="54">
        <v>50</v>
      </c>
      <c r="Q12" s="54" t="s">
        <v>168</v>
      </c>
      <c r="R12" s="54" t="s">
        <v>169</v>
      </c>
    </row>
    <row r="13" spans="1:18" x14ac:dyDescent="0.15">
      <c r="A13" s="54">
        <v>41015</v>
      </c>
      <c r="B13" s="77">
        <v>2</v>
      </c>
      <c r="C13" s="67" t="str">
        <f t="shared" si="0"/>
        <v>41015_2</v>
      </c>
      <c r="D13" s="17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77">
        <v>2</v>
      </c>
      <c r="F13" s="54" t="s">
        <v>461</v>
      </c>
      <c r="G13" s="54">
        <v>607</v>
      </c>
      <c r="H13" s="54">
        <v>1</v>
      </c>
      <c r="I13" s="54">
        <v>1</v>
      </c>
      <c r="J13" s="54">
        <v>1</v>
      </c>
      <c r="K13" s="54">
        <v>0</v>
      </c>
      <c r="L13" s="54">
        <v>0</v>
      </c>
      <c r="M13" s="54">
        <v>0</v>
      </c>
      <c r="N13" s="54">
        <v>0</v>
      </c>
      <c r="O13" s="54">
        <v>1</v>
      </c>
      <c r="P13" s="54">
        <v>100</v>
      </c>
      <c r="Q13" s="54" t="s">
        <v>168</v>
      </c>
      <c r="R13" s="54" t="s">
        <v>169</v>
      </c>
    </row>
    <row r="14" spans="1:18" x14ac:dyDescent="0.15">
      <c r="A14" s="54">
        <v>41015</v>
      </c>
      <c r="B14" s="77">
        <v>2</v>
      </c>
      <c r="C14" s="67" t="str">
        <f t="shared" si="0"/>
        <v>41015_2</v>
      </c>
      <c r="D14" s="17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77">
        <v>3</v>
      </c>
      <c r="F14" s="54" t="s">
        <v>461</v>
      </c>
      <c r="G14" s="54">
        <v>608</v>
      </c>
      <c r="H14" s="54">
        <v>1</v>
      </c>
      <c r="I14" s="54">
        <v>1</v>
      </c>
      <c r="J14" s="54">
        <v>1</v>
      </c>
      <c r="K14" s="54">
        <v>0</v>
      </c>
      <c r="L14" s="54">
        <v>0</v>
      </c>
      <c r="M14" s="54">
        <v>0</v>
      </c>
      <c r="N14" s="54">
        <v>0</v>
      </c>
      <c r="O14" s="54">
        <v>1</v>
      </c>
      <c r="P14" s="54">
        <v>100</v>
      </c>
      <c r="Q14" s="54" t="s">
        <v>168</v>
      </c>
      <c r="R14" s="54" t="s">
        <v>169</v>
      </c>
    </row>
    <row r="15" spans="1:18" x14ac:dyDescent="0.15">
      <c r="A15" s="54">
        <v>41015</v>
      </c>
      <c r="B15" s="77">
        <v>2</v>
      </c>
      <c r="C15" s="67" t="str">
        <f t="shared" si="0"/>
        <v>41015_2</v>
      </c>
      <c r="D15" s="17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77">
        <v>4</v>
      </c>
      <c r="F15" s="54" t="s">
        <v>461</v>
      </c>
      <c r="G15" s="54">
        <v>609</v>
      </c>
      <c r="H15" s="54">
        <v>1</v>
      </c>
      <c r="I15" s="54">
        <v>1</v>
      </c>
      <c r="J15" s="54">
        <v>1</v>
      </c>
      <c r="K15" s="54">
        <v>0</v>
      </c>
      <c r="L15" s="54">
        <v>0</v>
      </c>
      <c r="M15" s="54">
        <v>0</v>
      </c>
      <c r="N15" s="54">
        <v>0</v>
      </c>
      <c r="O15" s="54">
        <v>1</v>
      </c>
      <c r="P15" s="54">
        <v>100</v>
      </c>
      <c r="Q15" s="54" t="s">
        <v>168</v>
      </c>
      <c r="R15" s="54" t="s">
        <v>169</v>
      </c>
    </row>
    <row r="16" spans="1:18" x14ac:dyDescent="0.15">
      <c r="A16" s="54">
        <v>41015</v>
      </c>
      <c r="B16" s="77">
        <v>2</v>
      </c>
      <c r="C16" s="67" t="str">
        <f t="shared" si="0"/>
        <v>41015_2</v>
      </c>
      <c r="D16" s="17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77">
        <v>5</v>
      </c>
      <c r="F16" s="54" t="s">
        <v>461</v>
      </c>
      <c r="G16" s="54">
        <v>125</v>
      </c>
      <c r="H16" s="54">
        <v>1</v>
      </c>
      <c r="I16" s="54">
        <v>1</v>
      </c>
      <c r="J16" s="54">
        <v>1</v>
      </c>
      <c r="K16" s="54">
        <v>0</v>
      </c>
      <c r="L16" s="54">
        <v>0</v>
      </c>
      <c r="M16" s="54">
        <v>0</v>
      </c>
      <c r="N16" s="54">
        <v>0</v>
      </c>
      <c r="O16" s="54">
        <v>1</v>
      </c>
      <c r="P16" s="54">
        <v>30</v>
      </c>
      <c r="Q16" s="54" t="s">
        <v>168</v>
      </c>
      <c r="R16" s="54" t="s">
        <v>169</v>
      </c>
    </row>
    <row r="17" spans="1:18" x14ac:dyDescent="0.15">
      <c r="A17" s="54">
        <v>41015</v>
      </c>
      <c r="B17" s="77">
        <v>2</v>
      </c>
      <c r="C17" s="67" t="str">
        <f t="shared" si="0"/>
        <v>41015_2</v>
      </c>
      <c r="D17" s="17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77">
        <v>6</v>
      </c>
      <c r="F17" s="54" t="s">
        <v>461</v>
      </c>
      <c r="G17" s="54">
        <v>768</v>
      </c>
      <c r="H17" s="54">
        <v>1</v>
      </c>
      <c r="I17" s="54">
        <v>1</v>
      </c>
      <c r="J17" s="54">
        <v>1</v>
      </c>
      <c r="K17" s="54">
        <v>0</v>
      </c>
      <c r="L17" s="54">
        <v>0</v>
      </c>
      <c r="M17" s="54">
        <v>0</v>
      </c>
      <c r="N17" s="54">
        <v>0</v>
      </c>
      <c r="O17" s="54">
        <v>1</v>
      </c>
      <c r="P17" s="54">
        <v>500</v>
      </c>
      <c r="Q17" s="54" t="s">
        <v>168</v>
      </c>
      <c r="R17" s="54" t="s">
        <v>169</v>
      </c>
    </row>
    <row r="18" spans="1:18" x14ac:dyDescent="0.15">
      <c r="A18" s="54">
        <v>41015</v>
      </c>
      <c r="B18" s="77">
        <v>2</v>
      </c>
      <c r="C18" s="67" t="str">
        <f t="shared" si="0"/>
        <v>41015_2</v>
      </c>
      <c r="D18" s="17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77">
        <v>7</v>
      </c>
      <c r="F18" s="54" t="s">
        <v>461</v>
      </c>
      <c r="G18" s="54">
        <v>350</v>
      </c>
      <c r="H18" s="54">
        <v>1</v>
      </c>
      <c r="I18" s="54">
        <v>1</v>
      </c>
      <c r="J18" s="54">
        <v>1</v>
      </c>
      <c r="K18" s="54">
        <v>0</v>
      </c>
      <c r="L18" s="54">
        <v>0</v>
      </c>
      <c r="M18" s="54">
        <v>0</v>
      </c>
      <c r="N18" s="54">
        <v>0</v>
      </c>
      <c r="O18" s="54">
        <v>1</v>
      </c>
      <c r="P18" s="54">
        <v>120</v>
      </c>
      <c r="Q18" s="54" t="s">
        <v>168</v>
      </c>
      <c r="R18" s="54" t="s">
        <v>169</v>
      </c>
    </row>
  </sheetData>
  <phoneticPr fontId="5"/>
  <dataValidations count="1">
    <dataValidation type="list" allowBlank="1" showInputMessage="1" showErrorMessage="1" sqref="F2:F18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27"/>
  <sheetViews>
    <sheetView showGridLines="0" zoomScale="90" zoomScaleNormal="90" zoomScalePageLayoutView="90" workbookViewId="0">
      <pane ySplit="1" topLeftCell="A2" activePane="bottomLeft" state="frozen"/>
      <selection pane="bottomLeft" activeCell="M31" sqref="M31"/>
    </sheetView>
  </sheetViews>
  <sheetFormatPr baseColWidth="12" defaultColWidth="13" defaultRowHeight="15" outlineLevelCol="1" x14ac:dyDescent="0.15"/>
  <cols>
    <col min="1" max="1" width="13" style="84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2" t="s">
        <v>186</v>
      </c>
      <c r="B1" s="69" t="s">
        <v>187</v>
      </c>
      <c r="C1" s="73" t="s">
        <v>188</v>
      </c>
      <c r="D1" s="73" t="s">
        <v>33</v>
      </c>
      <c r="E1" s="69" t="s">
        <v>189</v>
      </c>
      <c r="F1" s="73" t="s">
        <v>190</v>
      </c>
      <c r="G1" s="73" t="s">
        <v>33</v>
      </c>
      <c r="H1" s="69" t="s">
        <v>191</v>
      </c>
      <c r="I1" s="87" t="s">
        <v>193</v>
      </c>
      <c r="J1" s="75" t="s">
        <v>125</v>
      </c>
      <c r="K1" s="74" t="s">
        <v>185</v>
      </c>
      <c r="L1" s="88" t="s">
        <v>184</v>
      </c>
      <c r="M1" s="76" t="s">
        <v>194</v>
      </c>
    </row>
    <row r="2" spans="1:13" x14ac:dyDescent="0.15">
      <c r="A2" s="77" t="s">
        <v>198</v>
      </c>
      <c r="B2" s="78">
        <v>41015</v>
      </c>
      <c r="C2" s="79" t="str">
        <f ca="1">VLOOKUP($B2,OFFSET([2]quests!$A$1,0,0,COUNTA([2]quests!$A:$A),MATCH(C$1,[2]quests!$1:$1,0)-MATCH($B$1,[2]quests!$1:$1,0)+1),MATCH(C$1,[2]quests!$1:$1,0)-MATCH($B$1,[2]quests!$1:$1,0)+1,FALSE)</f>
        <v>ガレス襲来！</v>
      </c>
      <c r="D2" s="79" t="str">
        <f ca="1">VLOOKUP($B2,OFFSET([2]quests!$A$1,0,0,COUNTA([2]quests!$A:$A),MATCH(D$1,[2]quests!$1:$1,0)-MATCH($B$1,[2]quests!$1:$1,0)+1),MATCH(D$1,[2]quests!$1:$1,0)-MATCH($B$1,[2]quests!$1:$1,0)+1,FALSE)</f>
        <v>降臨1</v>
      </c>
      <c r="E2" s="83">
        <v>1</v>
      </c>
      <c r="F2" s="79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【超絶級】ガレス襲来</v>
      </c>
      <c r="G2" s="79" t="str">
        <f ca="1">VLOOKUP($B2&amp;"_"&amp;$E2,OFFSET([2]stages!$A$1,0,0,COUNTA([2]stages!$A:$A),MATCH(G$1,[2]stages!$2:$2,0)-MATCH("temp_stage",[2]stages!$2:$2,0)+1),MATCH(G$1,[2]stages!$2:$2,0)-MATCH("temp_stage",[2]stages!$2:$2,0)+1,FALSE)</f>
        <v>降臨1</v>
      </c>
      <c r="H2" s="81">
        <v>0</v>
      </c>
      <c r="I2">
        <v>12</v>
      </c>
      <c r="J2" s="80" t="s">
        <v>196</v>
      </c>
      <c r="K2" s="89" t="str">
        <f>VLOOKUP(I2,[6]stage_hints!$A:$C,3,FALSE)</f>
        <v>ユニットのお気に入り登録</v>
      </c>
      <c r="L2" s="90" t="str">
        <f>VLOOKUP(I2,[6]stage_hints!$A:$D,4,FALSE)</f>
        <v>大事なユニットを誤って消さないように_x000D_フォルダから「お気に入り登録」しましょう</v>
      </c>
      <c r="M2" s="54" t="s">
        <v>208</v>
      </c>
    </row>
    <row r="3" spans="1:13" x14ac:dyDescent="0.15">
      <c r="A3" s="77" t="s">
        <v>198</v>
      </c>
      <c r="B3" s="78">
        <v>41015</v>
      </c>
      <c r="C3" s="79" t="str">
        <f ca="1">VLOOKUP($B3,OFFSET([2]quests!$A$1,0,0,COUNTA([2]quests!$A:$A),MATCH(C$1,[2]quests!$1:$1,0)-MATCH($B$1,[2]quests!$1:$1,0)+1),MATCH(C$1,[2]quests!$1:$1,0)-MATCH($B$1,[2]quests!$1:$1,0)+1,FALSE)</f>
        <v>ガレス襲来！</v>
      </c>
      <c r="D3" s="79" t="str">
        <f ca="1">VLOOKUP($B3,OFFSET([2]quests!$A$1,0,0,COUNTA([2]quests!$A:$A),MATCH(D$1,[2]quests!$1:$1,0)-MATCH($B$1,[2]quests!$1:$1,0)+1),MATCH(D$1,[2]quests!$1:$1,0)-MATCH($B$1,[2]quests!$1:$1,0)+1,FALSE)</f>
        <v>降臨1</v>
      </c>
      <c r="E3" s="83">
        <v>1</v>
      </c>
      <c r="F3" s="79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【超絶級】ガレス襲来</v>
      </c>
      <c r="G3" s="79" t="str">
        <f ca="1">VLOOKUP($B3&amp;"_"&amp;$E3,OFFSET([2]stages!$A$1,0,0,COUNTA([2]stages!$A:$A),MATCH(G$1,[2]stages!$2:$2,0)-MATCH("temp_stage",[2]stages!$2:$2,0)+1),MATCH(G$1,[2]stages!$2:$2,0)-MATCH("temp_stage",[2]stages!$2:$2,0)+1,FALSE)</f>
        <v>降臨1</v>
      </c>
      <c r="H3" s="81">
        <v>0</v>
      </c>
      <c r="I3">
        <v>17</v>
      </c>
      <c r="J3" s="80" t="s">
        <v>196</v>
      </c>
      <c r="K3" s="89" t="str">
        <f>VLOOKUP(I3,[6]stage_hints!$A:$C,3,FALSE)</f>
        <v>リンクガチャ</v>
      </c>
      <c r="L3" s="90" t="str">
        <f>VLOOKUP(I3,[6]stage_hints!$A:$D,4,FALSE)</f>
        <v>無料のリンクガチャを回して_x000D_経験値素材や売却素材を獲得しましょう</v>
      </c>
      <c r="M3" s="54" t="s">
        <v>208</v>
      </c>
    </row>
    <row r="4" spans="1:13" x14ac:dyDescent="0.15">
      <c r="A4" s="77" t="s">
        <v>198</v>
      </c>
      <c r="B4" s="78">
        <v>41015</v>
      </c>
      <c r="C4" s="79" t="str">
        <f ca="1">VLOOKUP($B4,OFFSET([2]quests!$A$1,0,0,COUNTA([2]quests!$A:$A),MATCH(C$1,[2]quests!$1:$1,0)-MATCH($B$1,[2]quests!$1:$1,0)+1),MATCH(C$1,[2]quests!$1:$1,0)-MATCH($B$1,[2]quests!$1:$1,0)+1,FALSE)</f>
        <v>ガレス襲来！</v>
      </c>
      <c r="D4" s="79" t="str">
        <f ca="1">VLOOKUP($B4,OFFSET([2]quests!$A$1,0,0,COUNTA([2]quests!$A:$A),MATCH(D$1,[2]quests!$1:$1,0)-MATCH($B$1,[2]quests!$1:$1,0)+1),MATCH(D$1,[2]quests!$1:$1,0)-MATCH($B$1,[2]quests!$1:$1,0)+1,FALSE)</f>
        <v>降臨1</v>
      </c>
      <c r="E4" s="83">
        <v>1</v>
      </c>
      <c r="F4" s="79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【超絶級】ガレス襲来</v>
      </c>
      <c r="G4" s="79" t="str">
        <f ca="1">VLOOKUP($B4&amp;"_"&amp;$E4,OFFSET([2]stages!$A$1,0,0,COUNTA([2]stages!$A:$A),MATCH(G$1,[2]stages!$2:$2,0)-MATCH("temp_stage",[2]stages!$2:$2,0)+1),MATCH(G$1,[2]stages!$2:$2,0)-MATCH("temp_stage",[2]stages!$2:$2,0)+1,FALSE)</f>
        <v>降臨1</v>
      </c>
      <c r="H4" s="81">
        <v>0</v>
      </c>
      <c r="I4">
        <v>19</v>
      </c>
      <c r="J4" s="80" t="s">
        <v>196</v>
      </c>
      <c r="K4" s="89" t="str">
        <f>VLOOKUP(I4,[6]stage_hints!$A:$C,3,FALSE)</f>
        <v>ソロ専用タワーオブザクイーン</v>
      </c>
      <c r="L4" s="90" t="str">
        <f>VLOOKUP(I4,[6]stage_hints!$A:$D,4,FALSE)</f>
        <v>ソロ専用の「タワーオブザクイーン」は_x000D_期間限定で定期的に開催されます_x000D_ここでしか獲得できない報酬もあるようです</v>
      </c>
      <c r="M4" s="54" t="s">
        <v>208</v>
      </c>
    </row>
    <row r="5" spans="1:13" x14ac:dyDescent="0.15">
      <c r="A5" s="77" t="s">
        <v>198</v>
      </c>
      <c r="B5" s="78">
        <v>41015</v>
      </c>
      <c r="C5" s="79" t="str">
        <f ca="1">VLOOKUP($B5,OFFSET([2]quests!$A$1,0,0,COUNTA([2]quests!$A:$A),MATCH(C$1,[2]quests!$1:$1,0)-MATCH($B$1,[2]quests!$1:$1,0)+1),MATCH(C$1,[2]quests!$1:$1,0)-MATCH($B$1,[2]quests!$1:$1,0)+1,FALSE)</f>
        <v>ガレス襲来！</v>
      </c>
      <c r="D5" s="79" t="str">
        <f ca="1">VLOOKUP($B5,OFFSET([2]quests!$A$1,0,0,COUNTA([2]quests!$A:$A),MATCH(D$1,[2]quests!$1:$1,0)-MATCH($B$1,[2]quests!$1:$1,0)+1),MATCH(D$1,[2]quests!$1:$1,0)-MATCH($B$1,[2]quests!$1:$1,0)+1,FALSE)</f>
        <v>降臨1</v>
      </c>
      <c r="E5" s="83">
        <v>1</v>
      </c>
      <c r="F5" s="79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【超絶級】ガレス襲来</v>
      </c>
      <c r="G5" s="79" t="str">
        <f ca="1">VLOOKUP($B5&amp;"_"&amp;$E5,OFFSET([2]stages!$A$1,0,0,COUNTA([2]stages!$A:$A),MATCH(G$1,[2]stages!$2:$2,0)-MATCH("temp_stage",[2]stages!$2:$2,0)+1),MATCH(G$1,[2]stages!$2:$2,0)-MATCH("temp_stage",[2]stages!$2:$2,0)+1,FALSE)</f>
        <v>降臨1</v>
      </c>
      <c r="H5" s="81">
        <v>0</v>
      </c>
      <c r="I5">
        <v>21</v>
      </c>
      <c r="J5" s="80" t="s">
        <v>196</v>
      </c>
      <c r="K5" s="89" t="str">
        <f>VLOOKUP(I5,[6]stage_hints!$A:$C,3,FALSE)</f>
        <v>スキルを有効に</v>
      </c>
      <c r="L5" s="90" t="str">
        <f>VLOOKUP(I5,[6]stage_hints!$A:$D,4,FALSE)</f>
        <v>ターン経過でユニットのスキルが使えます_x000D_強力スキルでバトルを有利に進めましょう</v>
      </c>
      <c r="M5" s="54" t="s">
        <v>208</v>
      </c>
    </row>
    <row r="6" spans="1:13" x14ac:dyDescent="0.15">
      <c r="A6" s="77" t="s">
        <v>198</v>
      </c>
      <c r="B6" s="78">
        <v>41015</v>
      </c>
      <c r="C6" s="79" t="str">
        <f ca="1">VLOOKUP($B6,OFFSET([2]quests!$A$1,0,0,COUNTA([2]quests!$A:$A),MATCH(C$1,[2]quests!$1:$1,0)-MATCH($B$1,[2]quests!$1:$1,0)+1),MATCH(C$1,[2]quests!$1:$1,0)-MATCH($B$1,[2]quests!$1:$1,0)+1,FALSE)</f>
        <v>ガレス襲来！</v>
      </c>
      <c r="D6" s="79" t="str">
        <f ca="1">VLOOKUP($B6,OFFSET([2]quests!$A$1,0,0,COUNTA([2]quests!$A:$A),MATCH(D$1,[2]quests!$1:$1,0)-MATCH($B$1,[2]quests!$1:$1,0)+1),MATCH(D$1,[2]quests!$1:$1,0)-MATCH($B$1,[2]quests!$1:$1,0)+1,FALSE)</f>
        <v>降臨1</v>
      </c>
      <c r="E6" s="83">
        <v>1</v>
      </c>
      <c r="F6" s="79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【超絶級】ガレス襲来</v>
      </c>
      <c r="G6" s="79" t="str">
        <f ca="1">VLOOKUP($B6&amp;"_"&amp;$E6,OFFSET([2]stages!$A$1,0,0,COUNTA([2]stages!$A:$A),MATCH(G$1,[2]stages!$2:$2,0)-MATCH("temp_stage",[2]stages!$2:$2,0)+1),MATCH(G$1,[2]stages!$2:$2,0)-MATCH("temp_stage",[2]stages!$2:$2,0)+1,FALSE)</f>
        <v>降臨1</v>
      </c>
      <c r="H6" s="81">
        <v>0</v>
      </c>
      <c r="I6">
        <v>29</v>
      </c>
      <c r="J6" s="80" t="s">
        <v>196</v>
      </c>
      <c r="K6" s="89" t="str">
        <f>VLOOKUP(I6,[6]stage_hints!$A:$C,3,FALSE)</f>
        <v>「バグ」のメリット</v>
      </c>
      <c r="L6" s="90" t="str">
        <f>VLOOKUP(I6,[6]stage_hints!$A:$D,4,FALSE)</f>
        <v>ユニットの「バグ」を増やすと_x000D_報酬をもらえる確率がアップします</v>
      </c>
      <c r="M6" s="54" t="s">
        <v>208</v>
      </c>
    </row>
    <row r="7" spans="1:13" x14ac:dyDescent="0.15">
      <c r="A7" s="77" t="s">
        <v>198</v>
      </c>
      <c r="B7" s="78">
        <v>41015</v>
      </c>
      <c r="C7" s="79" t="str">
        <f ca="1">VLOOKUP($B7,OFFSET([2]quests!$A$1,0,0,COUNTA([2]quests!$A:$A),MATCH(C$1,[2]quests!$1:$1,0)-MATCH($B$1,[2]quests!$1:$1,0)+1),MATCH(C$1,[2]quests!$1:$1,0)-MATCH($B$1,[2]quests!$1:$1,0)+1,FALSE)</f>
        <v>ガレス襲来！</v>
      </c>
      <c r="D7" s="79" t="str">
        <f ca="1">VLOOKUP($B7,OFFSET([2]quests!$A$1,0,0,COUNTA([2]quests!$A:$A),MATCH(D$1,[2]quests!$1:$1,0)-MATCH($B$1,[2]quests!$1:$1,0)+1),MATCH(D$1,[2]quests!$1:$1,0)-MATCH($B$1,[2]quests!$1:$1,0)+1,FALSE)</f>
        <v>降臨1</v>
      </c>
      <c r="E7" s="83">
        <v>1</v>
      </c>
      <c r="F7" s="79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【超絶級】ガレス襲来</v>
      </c>
      <c r="G7" s="79" t="str">
        <f ca="1">VLOOKUP($B7&amp;"_"&amp;$E7,OFFSET([2]stages!$A$1,0,0,COUNTA([2]stages!$A:$A),MATCH(G$1,[2]stages!$2:$2,0)-MATCH("temp_stage",[2]stages!$2:$2,0)+1),MATCH(G$1,[2]stages!$2:$2,0)-MATCH("temp_stage",[2]stages!$2:$2,0)+1,FALSE)</f>
        <v>降臨1</v>
      </c>
      <c r="H7" s="81">
        <v>0</v>
      </c>
      <c r="I7">
        <v>30</v>
      </c>
      <c r="J7" s="80" t="s">
        <v>196</v>
      </c>
      <c r="K7" s="89" t="str">
        <f>VLOOKUP(I7,[6]stage_hints!$A:$C,3,FALSE)</f>
        <v>「バグ」の増やし方</v>
      </c>
      <c r="L7" s="90" t="str">
        <f>VLOOKUP(I7,[6]stage_hints!$A:$D,4,FALSE)</f>
        <v>同じユニット同士を強化で合成すると_x000D_「バグ」を増やすことができます</v>
      </c>
      <c r="M7" s="54" t="s">
        <v>208</v>
      </c>
    </row>
    <row r="8" spans="1:13" x14ac:dyDescent="0.15">
      <c r="A8" s="77" t="s">
        <v>198</v>
      </c>
      <c r="B8" s="78">
        <v>41015</v>
      </c>
      <c r="C8" s="79" t="str">
        <f ca="1">VLOOKUP($B8,OFFSET([2]quests!$A$1,0,0,COUNTA([2]quests!$A:$A),MATCH(C$1,[2]quests!$1:$1,0)-MATCH($B$1,[2]quests!$1:$1,0)+1),MATCH(C$1,[2]quests!$1:$1,0)-MATCH($B$1,[2]quests!$1:$1,0)+1,FALSE)</f>
        <v>ガレス襲来！</v>
      </c>
      <c r="D8" s="79" t="str">
        <f ca="1">VLOOKUP($B8,OFFSET([2]quests!$A$1,0,0,COUNTA([2]quests!$A:$A),MATCH(D$1,[2]quests!$1:$1,0)-MATCH($B$1,[2]quests!$1:$1,0)+1),MATCH(D$1,[2]quests!$1:$1,0)-MATCH($B$1,[2]quests!$1:$1,0)+1,FALSE)</f>
        <v>降臨1</v>
      </c>
      <c r="E8" s="83">
        <v>1</v>
      </c>
      <c r="F8" s="79" t="str">
        <f ca="1">VLOOKUP($B8&amp;"_"&amp;$E8,OFFSET([2]stages!$A$1,0,0,COUNTA([2]stages!$A:$A),MATCH(F$1,[2]stages!$2:$2,0)-MATCH("temp_stage",[2]stages!$2:$2,0)+1),MATCH(F$1,[2]stages!$2:$2,0)-MATCH("temp_stage",[2]stages!$2:$2,0)+1,FALSE)</f>
        <v>【超絶級】ガレス襲来</v>
      </c>
      <c r="G8" s="79" t="str">
        <f ca="1">VLOOKUP($B8&amp;"_"&amp;$E8,OFFSET([2]stages!$A$1,0,0,COUNTA([2]stages!$A:$A),MATCH(G$1,[2]stages!$2:$2,0)-MATCH("temp_stage",[2]stages!$2:$2,0)+1),MATCH(G$1,[2]stages!$2:$2,0)-MATCH("temp_stage",[2]stages!$2:$2,0)+1,FALSE)</f>
        <v>降臨1</v>
      </c>
      <c r="H8" s="81">
        <v>0</v>
      </c>
      <c r="I8">
        <v>32</v>
      </c>
      <c r="J8" s="80" t="s">
        <v>196</v>
      </c>
      <c r="K8" s="89" t="str">
        <f>VLOOKUP(I8,[6]stage_hints!$A:$C,3,FALSE)</f>
        <v>敵の連続攻撃には</v>
      </c>
      <c r="L8" s="90" t="str">
        <f>VLOOKUP(I8,[6]stage_hints!$A:$D,4,FALSE)</f>
        <v>カウンタースキルを持つユニットがいれば_x000D_ダメージ回数分の反撃ができます</v>
      </c>
      <c r="M8" s="54" t="s">
        <v>208</v>
      </c>
    </row>
    <row r="9" spans="1:13" x14ac:dyDescent="0.15">
      <c r="A9" s="77" t="s">
        <v>198</v>
      </c>
      <c r="B9" s="78">
        <v>41015</v>
      </c>
      <c r="C9" s="79" t="str">
        <f ca="1">VLOOKUP($B9,OFFSET([2]quests!$A$1,0,0,COUNTA([2]quests!$A:$A),MATCH(C$1,[2]quests!$1:$1,0)-MATCH($B$1,[2]quests!$1:$1,0)+1),MATCH(C$1,[2]quests!$1:$1,0)-MATCH($B$1,[2]quests!$1:$1,0)+1,FALSE)</f>
        <v>ガレス襲来！</v>
      </c>
      <c r="D9" s="79" t="str">
        <f ca="1">VLOOKUP($B9,OFFSET([2]quests!$A$1,0,0,COUNTA([2]quests!$A:$A),MATCH(D$1,[2]quests!$1:$1,0)-MATCH($B$1,[2]quests!$1:$1,0)+1),MATCH(D$1,[2]quests!$1:$1,0)-MATCH($B$1,[2]quests!$1:$1,0)+1,FALSE)</f>
        <v>降臨1</v>
      </c>
      <c r="E9" s="83">
        <v>1</v>
      </c>
      <c r="F9" s="79" t="str">
        <f ca="1">VLOOKUP($B9&amp;"_"&amp;$E9,OFFSET([2]stages!$A$1,0,0,COUNTA([2]stages!$A:$A),MATCH(F$1,[2]stages!$2:$2,0)-MATCH("temp_stage",[2]stages!$2:$2,0)+1),MATCH(F$1,[2]stages!$2:$2,0)-MATCH("temp_stage",[2]stages!$2:$2,0)+1,FALSE)</f>
        <v>【超絶級】ガレス襲来</v>
      </c>
      <c r="G9" s="79" t="str">
        <f ca="1">VLOOKUP($B9&amp;"_"&amp;$E9,OFFSET([2]stages!$A$1,0,0,COUNTA([2]stages!$A:$A),MATCH(G$1,[2]stages!$2:$2,0)-MATCH("temp_stage",[2]stages!$2:$2,0)+1),MATCH(G$1,[2]stages!$2:$2,0)-MATCH("temp_stage",[2]stages!$2:$2,0)+1,FALSE)</f>
        <v>降臨1</v>
      </c>
      <c r="H9" s="81">
        <v>0</v>
      </c>
      <c r="I9">
        <v>33</v>
      </c>
      <c r="J9" s="80" t="s">
        <v>196</v>
      </c>
      <c r="K9" s="89" t="str">
        <f>VLOOKUP(I9,[6]stage_hints!$A:$C,3,FALSE)</f>
        <v>敵のカウンター攻撃には</v>
      </c>
      <c r="L9" s="90" t="str">
        <f>VLOOKUP(I9,[6]stage_hints!$A:$D,4,FALSE)</f>
        <v>カウンターブレイクスキルを持っていれば_x000D_敵のカウンターを解除して攻撃ができます</v>
      </c>
      <c r="M9" s="54" t="s">
        <v>208</v>
      </c>
    </row>
    <row r="10" spans="1:13" x14ac:dyDescent="0.15">
      <c r="A10" s="77" t="s">
        <v>198</v>
      </c>
      <c r="B10" s="78">
        <v>41015</v>
      </c>
      <c r="C10" s="79" t="str">
        <f ca="1">VLOOKUP($B10,OFFSET([2]quests!$A$1,0,0,COUNTA([2]quests!$A:$A),MATCH(C$1,[2]quests!$1:$1,0)-MATCH($B$1,[2]quests!$1:$1,0)+1),MATCH(C$1,[2]quests!$1:$1,0)-MATCH($B$1,[2]quests!$1:$1,0)+1,FALSE)</f>
        <v>ガレス襲来！</v>
      </c>
      <c r="D10" s="79" t="str">
        <f ca="1">VLOOKUP($B10,OFFSET([2]quests!$A$1,0,0,COUNTA([2]quests!$A:$A),MATCH(D$1,[2]quests!$1:$1,0)-MATCH($B$1,[2]quests!$1:$1,0)+1),MATCH(D$1,[2]quests!$1:$1,0)-MATCH($B$1,[2]quests!$1:$1,0)+1,FALSE)</f>
        <v>降臨1</v>
      </c>
      <c r="E10" s="83">
        <v>1</v>
      </c>
      <c r="F10" s="79" t="str">
        <f ca="1">VLOOKUP($B10&amp;"_"&amp;$E10,OFFSET([2]stages!$A$1,0,0,COUNTA([2]stages!$A:$A),MATCH(F$1,[2]stages!$2:$2,0)-MATCH("temp_stage",[2]stages!$2:$2,0)+1),MATCH(F$1,[2]stages!$2:$2,0)-MATCH("temp_stage",[2]stages!$2:$2,0)+1,FALSE)</f>
        <v>【超絶級】ガレス襲来</v>
      </c>
      <c r="G10" s="79" t="str">
        <f ca="1">VLOOKUP($B10&amp;"_"&amp;$E10,OFFSET([2]stages!$A$1,0,0,COUNTA([2]stages!$A:$A),MATCH(G$1,[2]stages!$2:$2,0)-MATCH("temp_stage",[2]stages!$2:$2,0)+1),MATCH(G$1,[2]stages!$2:$2,0)-MATCH("temp_stage",[2]stages!$2:$2,0)+1,FALSE)</f>
        <v>降臨1</v>
      </c>
      <c r="H10" s="81">
        <v>0</v>
      </c>
      <c r="I10">
        <v>34</v>
      </c>
      <c r="J10" s="80" t="s">
        <v>196</v>
      </c>
      <c r="K10" s="89" t="str">
        <f>VLOOKUP(I10,[6]stage_hints!$A:$C,3,FALSE)</f>
        <v>ステータスをスキルで下げられたら</v>
      </c>
      <c r="L10" s="90" t="str">
        <f>VLOOKUP(I10,[6]stage_hints!$A:$D,4,FALSE)</f>
        <v>ステータスダウンのスキルを受けたら_x000D_ステータスアップスキルで上書きしましょう</v>
      </c>
      <c r="M10" s="54" t="s">
        <v>208</v>
      </c>
    </row>
    <row r="11" spans="1:13" x14ac:dyDescent="0.15">
      <c r="A11" s="77" t="s">
        <v>198</v>
      </c>
      <c r="B11" s="78">
        <v>41015</v>
      </c>
      <c r="C11" s="79" t="str">
        <f ca="1">VLOOKUP($B11,OFFSET([2]quests!$A$1,0,0,COUNTA([2]quests!$A:$A),MATCH(C$1,[2]quests!$1:$1,0)-MATCH($B$1,[2]quests!$1:$1,0)+1),MATCH(C$1,[2]quests!$1:$1,0)-MATCH($B$1,[2]quests!$1:$1,0)+1,FALSE)</f>
        <v>ガレス襲来！</v>
      </c>
      <c r="D11" s="79" t="str">
        <f ca="1">VLOOKUP($B11,OFFSET([2]quests!$A$1,0,0,COUNTA([2]quests!$A:$A),MATCH(D$1,[2]quests!$1:$1,0)-MATCH($B$1,[2]quests!$1:$1,0)+1),MATCH(D$1,[2]quests!$1:$1,0)-MATCH($B$1,[2]quests!$1:$1,0)+1,FALSE)</f>
        <v>降臨1</v>
      </c>
      <c r="E11" s="83">
        <v>1</v>
      </c>
      <c r="F11" s="79" t="str">
        <f ca="1">VLOOKUP($B11&amp;"_"&amp;$E11,OFFSET([2]stages!$A$1,0,0,COUNTA([2]stages!$A:$A),MATCH(F$1,[2]stages!$2:$2,0)-MATCH("temp_stage",[2]stages!$2:$2,0)+1),MATCH(F$1,[2]stages!$2:$2,0)-MATCH("temp_stage",[2]stages!$2:$2,0)+1,FALSE)</f>
        <v>【超絶級】ガレス襲来</v>
      </c>
      <c r="G11" s="79" t="str">
        <f ca="1">VLOOKUP($B11&amp;"_"&amp;$E11,OFFSET([2]stages!$A$1,0,0,COUNTA([2]stages!$A:$A),MATCH(G$1,[2]stages!$2:$2,0)-MATCH("temp_stage",[2]stages!$2:$2,0)+1),MATCH(G$1,[2]stages!$2:$2,0)-MATCH("temp_stage",[2]stages!$2:$2,0)+1,FALSE)</f>
        <v>降臨1</v>
      </c>
      <c r="H11" s="81">
        <v>0</v>
      </c>
      <c r="I11">
        <v>35</v>
      </c>
      <c r="J11" s="80" t="s">
        <v>196</v>
      </c>
      <c r="K11" s="89" t="str">
        <f>VLOOKUP(I11,[6]stage_hints!$A:$C,3,FALSE)</f>
        <v>敵のステータスがスキルで上がったら</v>
      </c>
      <c r="L11" s="90" t="str">
        <f>VLOOKUP(I11,[6]stage_hints!$A:$D,4,FALSE)</f>
        <v>敵のステータスがスキルでアップしたときは_x000D_ステータスダウンスキルで上書きしましょう</v>
      </c>
      <c r="M11" s="54" t="s">
        <v>208</v>
      </c>
    </row>
    <row r="12" spans="1:13" x14ac:dyDescent="0.15">
      <c r="A12" s="77" t="s">
        <v>198</v>
      </c>
      <c r="B12" s="78">
        <v>41015</v>
      </c>
      <c r="C12" s="79" t="str">
        <f ca="1">VLOOKUP($B12,OFFSET([2]quests!$A$1,0,0,COUNTA([2]quests!$A:$A),MATCH(C$1,[2]quests!$1:$1,0)-MATCH($B$1,[2]quests!$1:$1,0)+1),MATCH(C$1,[2]quests!$1:$1,0)-MATCH($B$1,[2]quests!$1:$1,0)+1,FALSE)</f>
        <v>ガレス襲来！</v>
      </c>
      <c r="D12" s="79" t="str">
        <f ca="1">VLOOKUP($B12,OFFSET([2]quests!$A$1,0,0,COUNTA([2]quests!$A:$A),MATCH(D$1,[2]quests!$1:$1,0)-MATCH($B$1,[2]quests!$1:$1,0)+1),MATCH(D$1,[2]quests!$1:$1,0)-MATCH($B$1,[2]quests!$1:$1,0)+1,FALSE)</f>
        <v>降臨1</v>
      </c>
      <c r="E12" s="83">
        <v>1</v>
      </c>
      <c r="F12" s="79" t="str">
        <f ca="1">VLOOKUP($B12&amp;"_"&amp;$E12,OFFSET([2]stages!$A$1,0,0,COUNTA([2]stages!$A:$A),MATCH(F$1,[2]stages!$2:$2,0)-MATCH("temp_stage",[2]stages!$2:$2,0)+1),MATCH(F$1,[2]stages!$2:$2,0)-MATCH("temp_stage",[2]stages!$2:$2,0)+1,FALSE)</f>
        <v>【超絶級】ガレス襲来</v>
      </c>
      <c r="G12" s="79" t="str">
        <f ca="1">VLOOKUP($B12&amp;"_"&amp;$E12,OFFSET([2]stages!$A$1,0,0,COUNTA([2]stages!$A:$A),MATCH(G$1,[2]stages!$2:$2,0)-MATCH("temp_stage",[2]stages!$2:$2,0)+1),MATCH(G$1,[2]stages!$2:$2,0)-MATCH("temp_stage",[2]stages!$2:$2,0)+1,FALSE)</f>
        <v>降臨1</v>
      </c>
      <c r="H12" s="81">
        <v>0</v>
      </c>
      <c r="I12">
        <v>36</v>
      </c>
      <c r="J12" s="80" t="s">
        <v>196</v>
      </c>
      <c r="K12" s="89" t="str">
        <f>VLOOKUP(I12,[6]stage_hints!$A:$C,3,FALSE)</f>
        <v>タワーオブザクイーンのボス</v>
      </c>
      <c r="L12" s="90" t="str">
        <f>VLOOKUP(I12,[6]stage_hints!$A:$D,4,FALSE)</f>
        <v>「タワーオブザクイーン」最上階のボスは_x000D_15階の初回クリア報酬で獲得できるほか_x000D_その階にて低確率でドロップもします</v>
      </c>
      <c r="M12" s="54" t="s">
        <v>208</v>
      </c>
    </row>
    <row r="13" spans="1:13" x14ac:dyDescent="0.15">
      <c r="A13" s="77" t="s">
        <v>198</v>
      </c>
      <c r="B13" s="78">
        <v>41015</v>
      </c>
      <c r="C13" s="79" t="str">
        <f ca="1">VLOOKUP($B13,OFFSET([2]quests!$A$1,0,0,COUNTA([2]quests!$A:$A),MATCH(C$1,[2]quests!$1:$1,0)-MATCH($B$1,[2]quests!$1:$1,0)+1),MATCH(C$1,[2]quests!$1:$1,0)-MATCH($B$1,[2]quests!$1:$1,0)+1,FALSE)</f>
        <v>ガレス襲来！</v>
      </c>
      <c r="D13" s="79" t="str">
        <f ca="1">VLOOKUP($B13,OFFSET([2]quests!$A$1,0,0,COUNTA([2]quests!$A:$A),MATCH(D$1,[2]quests!$1:$1,0)-MATCH($B$1,[2]quests!$1:$1,0)+1),MATCH(D$1,[2]quests!$1:$1,0)-MATCH($B$1,[2]quests!$1:$1,0)+1,FALSE)</f>
        <v>降臨1</v>
      </c>
      <c r="E13" s="83">
        <v>1</v>
      </c>
      <c r="F13" s="79" t="str">
        <f ca="1">VLOOKUP($B13&amp;"_"&amp;$E13,OFFSET([2]stages!$A$1,0,0,COUNTA([2]stages!$A:$A),MATCH(F$1,[2]stages!$2:$2,0)-MATCH("temp_stage",[2]stages!$2:$2,0)+1),MATCH(F$1,[2]stages!$2:$2,0)-MATCH("temp_stage",[2]stages!$2:$2,0)+1,FALSE)</f>
        <v>【超絶級】ガレス襲来</v>
      </c>
      <c r="G13" s="79" t="str">
        <f ca="1">VLOOKUP($B13&amp;"_"&amp;$E13,OFFSET([2]stages!$A$1,0,0,COUNTA([2]stages!$A:$A),MATCH(G$1,[2]stages!$2:$2,0)-MATCH("temp_stage",[2]stages!$2:$2,0)+1),MATCH(G$1,[2]stages!$2:$2,0)-MATCH("temp_stage",[2]stages!$2:$2,0)+1,FALSE)</f>
        <v>降臨1</v>
      </c>
      <c r="H13" s="81">
        <v>0</v>
      </c>
      <c r="I13">
        <v>37</v>
      </c>
      <c r="J13" s="80" t="s">
        <v>196</v>
      </c>
      <c r="K13" s="89" t="str">
        <f>VLOOKUP(I13,[6]stage_hints!$A:$C,3,FALSE)</f>
        <v>限界突破値の引き継ぎ</v>
      </c>
      <c r="L13" s="90" t="str">
        <f>VLOOKUP(I13,[6]stage_hints!$A:$D,4,FALSE)</f>
        <v>同じユニットを強化で合成すると_x000D_限界突破値を引き継げます（覚醒前後も可）</v>
      </c>
      <c r="M13" s="54" t="s">
        <v>208</v>
      </c>
    </row>
    <row r="14" spans="1:13" x14ac:dyDescent="0.15">
      <c r="A14" s="77" t="s">
        <v>198</v>
      </c>
      <c r="B14" s="78">
        <v>41015</v>
      </c>
      <c r="C14" s="79" t="str">
        <f ca="1">VLOOKUP($B14,OFFSET([2]quests!$A$1,0,0,COUNTA([2]quests!$A:$A),MATCH(C$1,[2]quests!$1:$1,0)-MATCH($B$1,[2]quests!$1:$1,0)+1),MATCH(C$1,[2]quests!$1:$1,0)-MATCH($B$1,[2]quests!$1:$1,0)+1,FALSE)</f>
        <v>ガレス襲来！</v>
      </c>
      <c r="D14" s="79" t="str">
        <f ca="1">VLOOKUP($B14,OFFSET([2]quests!$A$1,0,0,COUNTA([2]quests!$A:$A),MATCH(D$1,[2]quests!$1:$1,0)-MATCH($B$1,[2]quests!$1:$1,0)+1),MATCH(D$1,[2]quests!$1:$1,0)-MATCH($B$1,[2]quests!$1:$1,0)+1,FALSE)</f>
        <v>降臨1</v>
      </c>
      <c r="E14" s="83">
        <v>1</v>
      </c>
      <c r="F14" s="79" t="str">
        <f ca="1">VLOOKUP($B14&amp;"_"&amp;$E14,OFFSET([2]stages!$A$1,0,0,COUNTA([2]stages!$A:$A),MATCH(F$1,[2]stages!$2:$2,0)-MATCH("temp_stage",[2]stages!$2:$2,0)+1),MATCH(F$1,[2]stages!$2:$2,0)-MATCH("temp_stage",[2]stages!$2:$2,0)+1,FALSE)</f>
        <v>【超絶級】ガレス襲来</v>
      </c>
      <c r="G14" s="79" t="str">
        <f ca="1">VLOOKUP($B14&amp;"_"&amp;$E14,OFFSET([2]stages!$A$1,0,0,COUNTA([2]stages!$A:$A),MATCH(G$1,[2]stages!$2:$2,0)-MATCH("temp_stage",[2]stages!$2:$2,0)+1),MATCH(G$1,[2]stages!$2:$2,0)-MATCH("temp_stage",[2]stages!$2:$2,0)+1,FALSE)</f>
        <v>降臨1</v>
      </c>
      <c r="H14" s="81">
        <v>0</v>
      </c>
      <c r="I14">
        <v>39</v>
      </c>
      <c r="J14" s="80" t="s">
        <v>196</v>
      </c>
      <c r="K14" s="89" t="str">
        <f>VLOOKUP(I14,[6]stage_hints!$A:$C,3,FALSE)</f>
        <v>システム適合者を確認</v>
      </c>
      <c r="L14" s="90" t="str">
        <f>VLOOKUP(I14,[6]stage_hints!$A:$D,4,FALSE)</f>
        <v>ALICEが 「アナタ」を呼んでいます</v>
      </c>
      <c r="M14" s="54" t="s">
        <v>208</v>
      </c>
    </row>
    <row r="15" spans="1:13" x14ac:dyDescent="0.15">
      <c r="A15" s="77" t="s">
        <v>198</v>
      </c>
      <c r="B15" s="78">
        <v>41015</v>
      </c>
      <c r="C15" s="79" t="str">
        <f ca="1">VLOOKUP($B15,OFFSET([2]quests!$A$1,0,0,COUNTA([2]quests!$A:$A),MATCH(C$1,[2]quests!$1:$1,0)-MATCH($B$1,[2]quests!$1:$1,0)+1),MATCH(C$1,[2]quests!$1:$1,0)-MATCH($B$1,[2]quests!$1:$1,0)+1,FALSE)</f>
        <v>ガレス襲来！</v>
      </c>
      <c r="D15" s="79" t="str">
        <f ca="1">VLOOKUP($B15,OFFSET([2]quests!$A$1,0,0,COUNTA([2]quests!$A:$A),MATCH(D$1,[2]quests!$1:$1,0)-MATCH($B$1,[2]quests!$1:$1,0)+1),MATCH(D$1,[2]quests!$1:$1,0)-MATCH($B$1,[2]quests!$1:$1,0)+1,FALSE)</f>
        <v>降臨1</v>
      </c>
      <c r="E15" s="83">
        <v>2</v>
      </c>
      <c r="F15" s="79" t="str">
        <f ca="1">VLOOKUP($B15&amp;"_"&amp;$E15,OFFSET([2]stages!$A$1,0,0,COUNTA([2]stages!$A:$A),MATCH(F$1,[2]stages!$2:$2,0)-MATCH("temp_stage",[2]stages!$2:$2,0)+1),MATCH(F$1,[2]stages!$2:$2,0)-MATCH("temp_stage",[2]stages!$2:$2,0)+1,FALSE)</f>
        <v>【ウィザード級】ガレス襲来</v>
      </c>
      <c r="G15" s="79" t="str">
        <f ca="1">VLOOKUP($B15&amp;"_"&amp;$E15,OFFSET([2]stages!$A$1,0,0,COUNTA([2]stages!$A:$A),MATCH(G$1,[2]stages!$2:$2,0)-MATCH("temp_stage",[2]stages!$2:$2,0)+1),MATCH(G$1,[2]stages!$2:$2,0)-MATCH("temp_stage",[2]stages!$2:$2,0)+1,FALSE)</f>
        <v>降臨1</v>
      </c>
      <c r="H15" s="81">
        <v>0</v>
      </c>
      <c r="I15">
        <v>12</v>
      </c>
      <c r="J15" s="80" t="s">
        <v>196</v>
      </c>
      <c r="K15" s="89" t="str">
        <f>VLOOKUP(I15,[6]stage_hints!$A:$C,3,FALSE)</f>
        <v>ユニットのお気に入り登録</v>
      </c>
      <c r="L15" s="90" t="str">
        <f>VLOOKUP(I15,[6]stage_hints!$A:$D,4,FALSE)</f>
        <v>大事なユニットを誤って消さないように_x000D_フォルダから「お気に入り登録」しましょう</v>
      </c>
      <c r="M15" s="54" t="s">
        <v>208</v>
      </c>
    </row>
    <row r="16" spans="1:13" x14ac:dyDescent="0.15">
      <c r="A16" s="77" t="s">
        <v>198</v>
      </c>
      <c r="B16" s="78">
        <v>41015</v>
      </c>
      <c r="C16" s="79" t="str">
        <f ca="1">VLOOKUP($B16,OFFSET([2]quests!$A$1,0,0,COUNTA([2]quests!$A:$A),MATCH(C$1,[2]quests!$1:$1,0)-MATCH($B$1,[2]quests!$1:$1,0)+1),MATCH(C$1,[2]quests!$1:$1,0)-MATCH($B$1,[2]quests!$1:$1,0)+1,FALSE)</f>
        <v>ガレス襲来！</v>
      </c>
      <c r="D16" s="79" t="str">
        <f ca="1">VLOOKUP($B16,OFFSET([2]quests!$A$1,0,0,COUNTA([2]quests!$A:$A),MATCH(D$1,[2]quests!$1:$1,0)-MATCH($B$1,[2]quests!$1:$1,0)+1),MATCH(D$1,[2]quests!$1:$1,0)-MATCH($B$1,[2]quests!$1:$1,0)+1,FALSE)</f>
        <v>降臨1</v>
      </c>
      <c r="E16" s="83">
        <v>2</v>
      </c>
      <c r="F16" s="79" t="str">
        <f ca="1">VLOOKUP($B16&amp;"_"&amp;$E16,OFFSET([2]stages!$A$1,0,0,COUNTA([2]stages!$A:$A),MATCH(F$1,[2]stages!$2:$2,0)-MATCH("temp_stage",[2]stages!$2:$2,0)+1),MATCH(F$1,[2]stages!$2:$2,0)-MATCH("temp_stage",[2]stages!$2:$2,0)+1,FALSE)</f>
        <v>【ウィザード級】ガレス襲来</v>
      </c>
      <c r="G16" s="79" t="str">
        <f ca="1">VLOOKUP($B16&amp;"_"&amp;$E16,OFFSET([2]stages!$A$1,0,0,COUNTA([2]stages!$A:$A),MATCH(G$1,[2]stages!$2:$2,0)-MATCH("temp_stage",[2]stages!$2:$2,0)+1),MATCH(G$1,[2]stages!$2:$2,0)-MATCH("temp_stage",[2]stages!$2:$2,0)+1,FALSE)</f>
        <v>降臨1</v>
      </c>
      <c r="H16" s="81">
        <v>0</v>
      </c>
      <c r="I16">
        <v>17</v>
      </c>
      <c r="J16" s="80" t="s">
        <v>196</v>
      </c>
      <c r="K16" s="89" t="str">
        <f>VLOOKUP(I16,[6]stage_hints!$A:$C,3,FALSE)</f>
        <v>リンクガチャ</v>
      </c>
      <c r="L16" s="90" t="str">
        <f>VLOOKUP(I16,[6]stage_hints!$A:$D,4,FALSE)</f>
        <v>無料のリンクガチャを回して_x000D_経験値素材や売却素材を獲得しましょう</v>
      </c>
      <c r="M16" s="54" t="s">
        <v>208</v>
      </c>
    </row>
    <row r="17" spans="1:13" x14ac:dyDescent="0.15">
      <c r="A17" s="77" t="s">
        <v>198</v>
      </c>
      <c r="B17" s="78">
        <v>41015</v>
      </c>
      <c r="C17" s="79" t="str">
        <f ca="1">VLOOKUP($B17,OFFSET([2]quests!$A$1,0,0,COUNTA([2]quests!$A:$A),MATCH(C$1,[2]quests!$1:$1,0)-MATCH($B$1,[2]quests!$1:$1,0)+1),MATCH(C$1,[2]quests!$1:$1,0)-MATCH($B$1,[2]quests!$1:$1,0)+1,FALSE)</f>
        <v>ガレス襲来！</v>
      </c>
      <c r="D17" s="79" t="str">
        <f ca="1">VLOOKUP($B17,OFFSET([2]quests!$A$1,0,0,COUNTA([2]quests!$A:$A),MATCH(D$1,[2]quests!$1:$1,0)-MATCH($B$1,[2]quests!$1:$1,0)+1),MATCH(D$1,[2]quests!$1:$1,0)-MATCH($B$1,[2]quests!$1:$1,0)+1,FALSE)</f>
        <v>降臨1</v>
      </c>
      <c r="E17" s="83">
        <v>2</v>
      </c>
      <c r="F17" s="79" t="str">
        <f ca="1">VLOOKUP($B17&amp;"_"&amp;$E17,OFFSET([2]stages!$A$1,0,0,COUNTA([2]stages!$A:$A),MATCH(F$1,[2]stages!$2:$2,0)-MATCH("temp_stage",[2]stages!$2:$2,0)+1),MATCH(F$1,[2]stages!$2:$2,0)-MATCH("temp_stage",[2]stages!$2:$2,0)+1,FALSE)</f>
        <v>【ウィザード級】ガレス襲来</v>
      </c>
      <c r="G17" s="79" t="str">
        <f ca="1">VLOOKUP($B17&amp;"_"&amp;$E17,OFFSET([2]stages!$A$1,0,0,COUNTA([2]stages!$A:$A),MATCH(G$1,[2]stages!$2:$2,0)-MATCH("temp_stage",[2]stages!$2:$2,0)+1),MATCH(G$1,[2]stages!$2:$2,0)-MATCH("temp_stage",[2]stages!$2:$2,0)+1,FALSE)</f>
        <v>降臨1</v>
      </c>
      <c r="H17" s="81">
        <v>0</v>
      </c>
      <c r="I17">
        <v>19</v>
      </c>
      <c r="J17" s="80" t="s">
        <v>196</v>
      </c>
      <c r="K17" s="89" t="str">
        <f>VLOOKUP(I17,[6]stage_hints!$A:$C,3,FALSE)</f>
        <v>ソロ専用タワーオブザクイーン</v>
      </c>
      <c r="L17" s="90" t="str">
        <f>VLOOKUP(I17,[6]stage_hints!$A:$D,4,FALSE)</f>
        <v>ソロ専用の「タワーオブザクイーン」は_x000D_期間限定で定期的に開催されます_x000D_ここでしか獲得できない報酬もあるようです</v>
      </c>
      <c r="M17" s="54" t="s">
        <v>208</v>
      </c>
    </row>
    <row r="18" spans="1:13" x14ac:dyDescent="0.15">
      <c r="A18" s="77" t="s">
        <v>198</v>
      </c>
      <c r="B18" s="78">
        <v>41015</v>
      </c>
      <c r="C18" s="79" t="str">
        <f ca="1">VLOOKUP($B18,OFFSET([2]quests!$A$1,0,0,COUNTA([2]quests!$A:$A),MATCH(C$1,[2]quests!$1:$1,0)-MATCH($B$1,[2]quests!$1:$1,0)+1),MATCH(C$1,[2]quests!$1:$1,0)-MATCH($B$1,[2]quests!$1:$1,0)+1,FALSE)</f>
        <v>ガレス襲来！</v>
      </c>
      <c r="D18" s="79" t="str">
        <f ca="1">VLOOKUP($B18,OFFSET([2]quests!$A$1,0,0,COUNTA([2]quests!$A:$A),MATCH(D$1,[2]quests!$1:$1,0)-MATCH($B$1,[2]quests!$1:$1,0)+1),MATCH(D$1,[2]quests!$1:$1,0)-MATCH($B$1,[2]quests!$1:$1,0)+1,FALSE)</f>
        <v>降臨1</v>
      </c>
      <c r="E18" s="83">
        <v>2</v>
      </c>
      <c r="F18" s="79" t="str">
        <f ca="1">VLOOKUP($B18&amp;"_"&amp;$E18,OFFSET([2]stages!$A$1,0,0,COUNTA([2]stages!$A:$A),MATCH(F$1,[2]stages!$2:$2,0)-MATCH("temp_stage",[2]stages!$2:$2,0)+1),MATCH(F$1,[2]stages!$2:$2,0)-MATCH("temp_stage",[2]stages!$2:$2,0)+1,FALSE)</f>
        <v>【ウィザード級】ガレス襲来</v>
      </c>
      <c r="G18" s="79" t="str">
        <f ca="1">VLOOKUP($B18&amp;"_"&amp;$E18,OFFSET([2]stages!$A$1,0,0,COUNTA([2]stages!$A:$A),MATCH(G$1,[2]stages!$2:$2,0)-MATCH("temp_stage",[2]stages!$2:$2,0)+1),MATCH(G$1,[2]stages!$2:$2,0)-MATCH("temp_stage",[2]stages!$2:$2,0)+1,FALSE)</f>
        <v>降臨1</v>
      </c>
      <c r="H18" s="81">
        <v>0</v>
      </c>
      <c r="I18">
        <v>21</v>
      </c>
      <c r="J18" s="80" t="s">
        <v>196</v>
      </c>
      <c r="K18" s="89" t="str">
        <f>VLOOKUP(I18,[6]stage_hints!$A:$C,3,FALSE)</f>
        <v>スキルを有効に</v>
      </c>
      <c r="L18" s="90" t="str">
        <f>VLOOKUP(I18,[6]stage_hints!$A:$D,4,FALSE)</f>
        <v>ターン経過でユニットのスキルが使えます_x000D_強力スキルでバトルを有利に進めましょう</v>
      </c>
      <c r="M18" s="54" t="s">
        <v>208</v>
      </c>
    </row>
    <row r="19" spans="1:13" x14ac:dyDescent="0.15">
      <c r="A19" s="77" t="s">
        <v>198</v>
      </c>
      <c r="B19" s="78">
        <v>41015</v>
      </c>
      <c r="C19" s="79" t="str">
        <f ca="1">VLOOKUP($B19,OFFSET([2]quests!$A$1,0,0,COUNTA([2]quests!$A:$A),MATCH(C$1,[2]quests!$1:$1,0)-MATCH($B$1,[2]quests!$1:$1,0)+1),MATCH(C$1,[2]quests!$1:$1,0)-MATCH($B$1,[2]quests!$1:$1,0)+1,FALSE)</f>
        <v>ガレス襲来！</v>
      </c>
      <c r="D19" s="79" t="str">
        <f ca="1">VLOOKUP($B19,OFFSET([2]quests!$A$1,0,0,COUNTA([2]quests!$A:$A),MATCH(D$1,[2]quests!$1:$1,0)-MATCH($B$1,[2]quests!$1:$1,0)+1),MATCH(D$1,[2]quests!$1:$1,0)-MATCH($B$1,[2]quests!$1:$1,0)+1,FALSE)</f>
        <v>降臨1</v>
      </c>
      <c r="E19" s="83">
        <v>2</v>
      </c>
      <c r="F19" s="79" t="str">
        <f ca="1">VLOOKUP($B19&amp;"_"&amp;$E19,OFFSET([2]stages!$A$1,0,0,COUNTA([2]stages!$A:$A),MATCH(F$1,[2]stages!$2:$2,0)-MATCH("temp_stage",[2]stages!$2:$2,0)+1),MATCH(F$1,[2]stages!$2:$2,0)-MATCH("temp_stage",[2]stages!$2:$2,0)+1,FALSE)</f>
        <v>【ウィザード級】ガレス襲来</v>
      </c>
      <c r="G19" s="79" t="str">
        <f ca="1">VLOOKUP($B19&amp;"_"&amp;$E19,OFFSET([2]stages!$A$1,0,0,COUNTA([2]stages!$A:$A),MATCH(G$1,[2]stages!$2:$2,0)-MATCH("temp_stage",[2]stages!$2:$2,0)+1),MATCH(G$1,[2]stages!$2:$2,0)-MATCH("temp_stage",[2]stages!$2:$2,0)+1,FALSE)</f>
        <v>降臨1</v>
      </c>
      <c r="H19" s="81">
        <v>0</v>
      </c>
      <c r="I19">
        <v>29</v>
      </c>
      <c r="J19" s="80" t="s">
        <v>196</v>
      </c>
      <c r="K19" s="89" t="str">
        <f>VLOOKUP(I19,[6]stage_hints!$A:$C,3,FALSE)</f>
        <v>「バグ」のメリット</v>
      </c>
      <c r="L19" s="90" t="str">
        <f>VLOOKUP(I19,[6]stage_hints!$A:$D,4,FALSE)</f>
        <v>ユニットの「バグ」を増やすと_x000D_報酬をもらえる確率がアップします</v>
      </c>
      <c r="M19" s="54" t="s">
        <v>208</v>
      </c>
    </row>
    <row r="20" spans="1:13" x14ac:dyDescent="0.15">
      <c r="A20" s="77" t="s">
        <v>198</v>
      </c>
      <c r="B20" s="78">
        <v>41015</v>
      </c>
      <c r="C20" s="79" t="str">
        <f ca="1">VLOOKUP($B20,OFFSET([2]quests!$A$1,0,0,COUNTA([2]quests!$A:$A),MATCH(C$1,[2]quests!$1:$1,0)-MATCH($B$1,[2]quests!$1:$1,0)+1),MATCH(C$1,[2]quests!$1:$1,0)-MATCH($B$1,[2]quests!$1:$1,0)+1,FALSE)</f>
        <v>ガレス襲来！</v>
      </c>
      <c r="D20" s="79" t="str">
        <f ca="1">VLOOKUP($B20,OFFSET([2]quests!$A$1,0,0,COUNTA([2]quests!$A:$A),MATCH(D$1,[2]quests!$1:$1,0)-MATCH($B$1,[2]quests!$1:$1,0)+1),MATCH(D$1,[2]quests!$1:$1,0)-MATCH($B$1,[2]quests!$1:$1,0)+1,FALSE)</f>
        <v>降臨1</v>
      </c>
      <c r="E20" s="83">
        <v>2</v>
      </c>
      <c r="F20" s="79" t="str">
        <f ca="1">VLOOKUP($B20&amp;"_"&amp;$E20,OFFSET([2]stages!$A$1,0,0,COUNTA([2]stages!$A:$A),MATCH(F$1,[2]stages!$2:$2,0)-MATCH("temp_stage",[2]stages!$2:$2,0)+1),MATCH(F$1,[2]stages!$2:$2,0)-MATCH("temp_stage",[2]stages!$2:$2,0)+1,FALSE)</f>
        <v>【ウィザード級】ガレス襲来</v>
      </c>
      <c r="G20" s="79" t="str">
        <f ca="1">VLOOKUP($B20&amp;"_"&amp;$E20,OFFSET([2]stages!$A$1,0,0,COUNTA([2]stages!$A:$A),MATCH(G$1,[2]stages!$2:$2,0)-MATCH("temp_stage",[2]stages!$2:$2,0)+1),MATCH(G$1,[2]stages!$2:$2,0)-MATCH("temp_stage",[2]stages!$2:$2,0)+1,FALSE)</f>
        <v>降臨1</v>
      </c>
      <c r="H20" s="81">
        <v>0</v>
      </c>
      <c r="I20">
        <v>30</v>
      </c>
      <c r="J20" s="80" t="s">
        <v>196</v>
      </c>
      <c r="K20" s="89" t="str">
        <f>VLOOKUP(I20,[6]stage_hints!$A:$C,3,FALSE)</f>
        <v>「バグ」の増やし方</v>
      </c>
      <c r="L20" s="90" t="str">
        <f>VLOOKUP(I20,[6]stage_hints!$A:$D,4,FALSE)</f>
        <v>同じユニット同士を強化で合成すると_x000D_「バグ」を増やすことができます</v>
      </c>
      <c r="M20" s="54" t="s">
        <v>208</v>
      </c>
    </row>
    <row r="21" spans="1:13" x14ac:dyDescent="0.15">
      <c r="A21" s="77" t="s">
        <v>198</v>
      </c>
      <c r="B21" s="78">
        <v>41015</v>
      </c>
      <c r="C21" s="79" t="str">
        <f ca="1">VLOOKUP($B21,OFFSET([2]quests!$A$1,0,0,COUNTA([2]quests!$A:$A),MATCH(C$1,[2]quests!$1:$1,0)-MATCH($B$1,[2]quests!$1:$1,0)+1),MATCH(C$1,[2]quests!$1:$1,0)-MATCH($B$1,[2]quests!$1:$1,0)+1,FALSE)</f>
        <v>ガレス襲来！</v>
      </c>
      <c r="D21" s="79" t="str">
        <f ca="1">VLOOKUP($B21,OFFSET([2]quests!$A$1,0,0,COUNTA([2]quests!$A:$A),MATCH(D$1,[2]quests!$1:$1,0)-MATCH($B$1,[2]quests!$1:$1,0)+1),MATCH(D$1,[2]quests!$1:$1,0)-MATCH($B$1,[2]quests!$1:$1,0)+1,FALSE)</f>
        <v>降臨1</v>
      </c>
      <c r="E21" s="83">
        <v>2</v>
      </c>
      <c r="F21" s="79" t="str">
        <f ca="1">VLOOKUP($B21&amp;"_"&amp;$E21,OFFSET([2]stages!$A$1,0,0,COUNTA([2]stages!$A:$A),MATCH(F$1,[2]stages!$2:$2,0)-MATCH("temp_stage",[2]stages!$2:$2,0)+1),MATCH(F$1,[2]stages!$2:$2,0)-MATCH("temp_stage",[2]stages!$2:$2,0)+1,FALSE)</f>
        <v>【ウィザード級】ガレス襲来</v>
      </c>
      <c r="G21" s="79" t="str">
        <f ca="1">VLOOKUP($B21&amp;"_"&amp;$E21,OFFSET([2]stages!$A$1,0,0,COUNTA([2]stages!$A:$A),MATCH(G$1,[2]stages!$2:$2,0)-MATCH("temp_stage",[2]stages!$2:$2,0)+1),MATCH(G$1,[2]stages!$2:$2,0)-MATCH("temp_stage",[2]stages!$2:$2,0)+1,FALSE)</f>
        <v>降臨1</v>
      </c>
      <c r="H21" s="81">
        <v>0</v>
      </c>
      <c r="I21">
        <v>32</v>
      </c>
      <c r="J21" s="80" t="s">
        <v>196</v>
      </c>
      <c r="K21" s="89" t="str">
        <f>VLOOKUP(I21,[6]stage_hints!$A:$C,3,FALSE)</f>
        <v>敵の連続攻撃には</v>
      </c>
      <c r="L21" s="90" t="str">
        <f>VLOOKUP(I21,[6]stage_hints!$A:$D,4,FALSE)</f>
        <v>カウンタースキルを持つユニットがいれば_x000D_ダメージ回数分の反撃ができます</v>
      </c>
      <c r="M21" s="54" t="s">
        <v>208</v>
      </c>
    </row>
    <row r="22" spans="1:13" x14ac:dyDescent="0.15">
      <c r="A22" s="77" t="s">
        <v>198</v>
      </c>
      <c r="B22" s="78">
        <v>41015</v>
      </c>
      <c r="C22" s="79" t="str">
        <f ca="1">VLOOKUP($B22,OFFSET([2]quests!$A$1,0,0,COUNTA([2]quests!$A:$A),MATCH(C$1,[2]quests!$1:$1,0)-MATCH($B$1,[2]quests!$1:$1,0)+1),MATCH(C$1,[2]quests!$1:$1,0)-MATCH($B$1,[2]quests!$1:$1,0)+1,FALSE)</f>
        <v>ガレス襲来！</v>
      </c>
      <c r="D22" s="79" t="str">
        <f ca="1">VLOOKUP($B22,OFFSET([2]quests!$A$1,0,0,COUNTA([2]quests!$A:$A),MATCH(D$1,[2]quests!$1:$1,0)-MATCH($B$1,[2]quests!$1:$1,0)+1),MATCH(D$1,[2]quests!$1:$1,0)-MATCH($B$1,[2]quests!$1:$1,0)+1,FALSE)</f>
        <v>降臨1</v>
      </c>
      <c r="E22" s="83">
        <v>2</v>
      </c>
      <c r="F22" s="79" t="str">
        <f ca="1">VLOOKUP($B22&amp;"_"&amp;$E22,OFFSET([2]stages!$A$1,0,0,COUNTA([2]stages!$A:$A),MATCH(F$1,[2]stages!$2:$2,0)-MATCH("temp_stage",[2]stages!$2:$2,0)+1),MATCH(F$1,[2]stages!$2:$2,0)-MATCH("temp_stage",[2]stages!$2:$2,0)+1,FALSE)</f>
        <v>【ウィザード級】ガレス襲来</v>
      </c>
      <c r="G22" s="79" t="str">
        <f ca="1">VLOOKUP($B22&amp;"_"&amp;$E22,OFFSET([2]stages!$A$1,0,0,COUNTA([2]stages!$A:$A),MATCH(G$1,[2]stages!$2:$2,0)-MATCH("temp_stage",[2]stages!$2:$2,0)+1),MATCH(G$1,[2]stages!$2:$2,0)-MATCH("temp_stage",[2]stages!$2:$2,0)+1,FALSE)</f>
        <v>降臨1</v>
      </c>
      <c r="H22" s="81">
        <v>0</v>
      </c>
      <c r="I22">
        <v>33</v>
      </c>
      <c r="J22" s="80" t="s">
        <v>196</v>
      </c>
      <c r="K22" s="89" t="str">
        <f>VLOOKUP(I22,[6]stage_hints!$A:$C,3,FALSE)</f>
        <v>敵のカウンター攻撃には</v>
      </c>
      <c r="L22" s="90" t="str">
        <f>VLOOKUP(I22,[6]stage_hints!$A:$D,4,FALSE)</f>
        <v>カウンターブレイクスキルを持っていれば_x000D_敵のカウンターを解除して攻撃ができます</v>
      </c>
      <c r="M22" s="54" t="s">
        <v>208</v>
      </c>
    </row>
    <row r="23" spans="1:13" x14ac:dyDescent="0.15">
      <c r="A23" s="77" t="s">
        <v>198</v>
      </c>
      <c r="B23" s="78">
        <v>41015</v>
      </c>
      <c r="C23" s="79" t="str">
        <f ca="1">VLOOKUP($B23,OFFSET([2]quests!$A$1,0,0,COUNTA([2]quests!$A:$A),MATCH(C$1,[2]quests!$1:$1,0)-MATCH($B$1,[2]quests!$1:$1,0)+1),MATCH(C$1,[2]quests!$1:$1,0)-MATCH($B$1,[2]quests!$1:$1,0)+1,FALSE)</f>
        <v>ガレス襲来！</v>
      </c>
      <c r="D23" s="79" t="str">
        <f ca="1">VLOOKUP($B23,OFFSET([2]quests!$A$1,0,0,COUNTA([2]quests!$A:$A),MATCH(D$1,[2]quests!$1:$1,0)-MATCH($B$1,[2]quests!$1:$1,0)+1),MATCH(D$1,[2]quests!$1:$1,0)-MATCH($B$1,[2]quests!$1:$1,0)+1,FALSE)</f>
        <v>降臨1</v>
      </c>
      <c r="E23" s="83">
        <v>2</v>
      </c>
      <c r="F23" s="79" t="str">
        <f ca="1">VLOOKUP($B23&amp;"_"&amp;$E23,OFFSET([2]stages!$A$1,0,0,COUNTA([2]stages!$A:$A),MATCH(F$1,[2]stages!$2:$2,0)-MATCH("temp_stage",[2]stages!$2:$2,0)+1),MATCH(F$1,[2]stages!$2:$2,0)-MATCH("temp_stage",[2]stages!$2:$2,0)+1,FALSE)</f>
        <v>【ウィザード級】ガレス襲来</v>
      </c>
      <c r="G23" s="79" t="str">
        <f ca="1">VLOOKUP($B23&amp;"_"&amp;$E23,OFFSET([2]stages!$A$1,0,0,COUNTA([2]stages!$A:$A),MATCH(G$1,[2]stages!$2:$2,0)-MATCH("temp_stage",[2]stages!$2:$2,0)+1),MATCH(G$1,[2]stages!$2:$2,0)-MATCH("temp_stage",[2]stages!$2:$2,0)+1,FALSE)</f>
        <v>降臨1</v>
      </c>
      <c r="H23" s="81">
        <v>0</v>
      </c>
      <c r="I23">
        <v>34</v>
      </c>
      <c r="J23" s="80" t="s">
        <v>196</v>
      </c>
      <c r="K23" s="89" t="str">
        <f>VLOOKUP(I23,[6]stage_hints!$A:$C,3,FALSE)</f>
        <v>ステータスをスキルで下げられたら</v>
      </c>
      <c r="L23" s="90" t="str">
        <f>VLOOKUP(I23,[6]stage_hints!$A:$D,4,FALSE)</f>
        <v>ステータスダウンのスキルを受けたら_x000D_ステータスアップスキルで上書きしましょう</v>
      </c>
      <c r="M23" s="54" t="s">
        <v>208</v>
      </c>
    </row>
    <row r="24" spans="1:13" x14ac:dyDescent="0.15">
      <c r="A24" s="77" t="s">
        <v>198</v>
      </c>
      <c r="B24" s="78">
        <v>41015</v>
      </c>
      <c r="C24" s="79" t="str">
        <f ca="1">VLOOKUP($B24,OFFSET([2]quests!$A$1,0,0,COUNTA([2]quests!$A:$A),MATCH(C$1,[2]quests!$1:$1,0)-MATCH($B$1,[2]quests!$1:$1,0)+1),MATCH(C$1,[2]quests!$1:$1,0)-MATCH($B$1,[2]quests!$1:$1,0)+1,FALSE)</f>
        <v>ガレス襲来！</v>
      </c>
      <c r="D24" s="79" t="str">
        <f ca="1">VLOOKUP($B24,OFFSET([2]quests!$A$1,0,0,COUNTA([2]quests!$A:$A),MATCH(D$1,[2]quests!$1:$1,0)-MATCH($B$1,[2]quests!$1:$1,0)+1),MATCH(D$1,[2]quests!$1:$1,0)-MATCH($B$1,[2]quests!$1:$1,0)+1,FALSE)</f>
        <v>降臨1</v>
      </c>
      <c r="E24" s="83">
        <v>2</v>
      </c>
      <c r="F24" s="79" t="str">
        <f ca="1">VLOOKUP($B24&amp;"_"&amp;$E24,OFFSET([2]stages!$A$1,0,0,COUNTA([2]stages!$A:$A),MATCH(F$1,[2]stages!$2:$2,0)-MATCH("temp_stage",[2]stages!$2:$2,0)+1),MATCH(F$1,[2]stages!$2:$2,0)-MATCH("temp_stage",[2]stages!$2:$2,0)+1,FALSE)</f>
        <v>【ウィザード級】ガレス襲来</v>
      </c>
      <c r="G24" s="79" t="str">
        <f ca="1">VLOOKUP($B24&amp;"_"&amp;$E24,OFFSET([2]stages!$A$1,0,0,COUNTA([2]stages!$A:$A),MATCH(G$1,[2]stages!$2:$2,0)-MATCH("temp_stage",[2]stages!$2:$2,0)+1),MATCH(G$1,[2]stages!$2:$2,0)-MATCH("temp_stage",[2]stages!$2:$2,0)+1,FALSE)</f>
        <v>降臨1</v>
      </c>
      <c r="H24" s="81">
        <v>0</v>
      </c>
      <c r="I24">
        <v>35</v>
      </c>
      <c r="J24" s="80" t="s">
        <v>196</v>
      </c>
      <c r="K24" s="89" t="str">
        <f>VLOOKUP(I24,[6]stage_hints!$A:$C,3,FALSE)</f>
        <v>敵のステータスがスキルで上がったら</v>
      </c>
      <c r="L24" s="90" t="str">
        <f>VLOOKUP(I24,[6]stage_hints!$A:$D,4,FALSE)</f>
        <v>敵のステータスがスキルでアップしたときは_x000D_ステータスダウンスキルで上書きしましょう</v>
      </c>
      <c r="M24" s="54" t="s">
        <v>208</v>
      </c>
    </row>
    <row r="25" spans="1:13" x14ac:dyDescent="0.15">
      <c r="A25" s="77" t="s">
        <v>198</v>
      </c>
      <c r="B25" s="78">
        <v>41015</v>
      </c>
      <c r="C25" s="79" t="str">
        <f ca="1">VLOOKUP($B25,OFFSET([2]quests!$A$1,0,0,COUNTA([2]quests!$A:$A),MATCH(C$1,[2]quests!$1:$1,0)-MATCH($B$1,[2]quests!$1:$1,0)+1),MATCH(C$1,[2]quests!$1:$1,0)-MATCH($B$1,[2]quests!$1:$1,0)+1,FALSE)</f>
        <v>ガレス襲来！</v>
      </c>
      <c r="D25" s="79" t="str">
        <f ca="1">VLOOKUP($B25,OFFSET([2]quests!$A$1,0,0,COUNTA([2]quests!$A:$A),MATCH(D$1,[2]quests!$1:$1,0)-MATCH($B$1,[2]quests!$1:$1,0)+1),MATCH(D$1,[2]quests!$1:$1,0)-MATCH($B$1,[2]quests!$1:$1,0)+1,FALSE)</f>
        <v>降臨1</v>
      </c>
      <c r="E25" s="83">
        <v>2</v>
      </c>
      <c r="F25" s="79" t="str">
        <f ca="1">VLOOKUP($B25&amp;"_"&amp;$E25,OFFSET([2]stages!$A$1,0,0,COUNTA([2]stages!$A:$A),MATCH(F$1,[2]stages!$2:$2,0)-MATCH("temp_stage",[2]stages!$2:$2,0)+1),MATCH(F$1,[2]stages!$2:$2,0)-MATCH("temp_stage",[2]stages!$2:$2,0)+1,FALSE)</f>
        <v>【ウィザード級】ガレス襲来</v>
      </c>
      <c r="G25" s="79" t="str">
        <f ca="1">VLOOKUP($B25&amp;"_"&amp;$E25,OFFSET([2]stages!$A$1,0,0,COUNTA([2]stages!$A:$A),MATCH(G$1,[2]stages!$2:$2,0)-MATCH("temp_stage",[2]stages!$2:$2,0)+1),MATCH(G$1,[2]stages!$2:$2,0)-MATCH("temp_stage",[2]stages!$2:$2,0)+1,FALSE)</f>
        <v>降臨1</v>
      </c>
      <c r="H25" s="81">
        <v>0</v>
      </c>
      <c r="I25">
        <v>36</v>
      </c>
      <c r="J25" s="80" t="s">
        <v>196</v>
      </c>
      <c r="K25" s="89" t="str">
        <f>VLOOKUP(I25,[6]stage_hints!$A:$C,3,FALSE)</f>
        <v>タワーオブザクイーンのボス</v>
      </c>
      <c r="L25" s="90" t="str">
        <f>VLOOKUP(I25,[6]stage_hints!$A:$D,4,FALSE)</f>
        <v>「タワーオブザクイーン」最上階のボスは_x000D_15階の初回クリア報酬で獲得できるほか_x000D_その階にて低確率でドロップもします</v>
      </c>
      <c r="M25" s="54" t="s">
        <v>208</v>
      </c>
    </row>
    <row r="26" spans="1:13" x14ac:dyDescent="0.15">
      <c r="A26" s="77" t="s">
        <v>198</v>
      </c>
      <c r="B26" s="78">
        <v>41015</v>
      </c>
      <c r="C26" s="79" t="str">
        <f ca="1">VLOOKUP($B26,OFFSET([2]quests!$A$1,0,0,COUNTA([2]quests!$A:$A),MATCH(C$1,[2]quests!$1:$1,0)-MATCH($B$1,[2]quests!$1:$1,0)+1),MATCH(C$1,[2]quests!$1:$1,0)-MATCH($B$1,[2]quests!$1:$1,0)+1,FALSE)</f>
        <v>ガレス襲来！</v>
      </c>
      <c r="D26" s="79" t="str">
        <f ca="1">VLOOKUP($B26,OFFSET([2]quests!$A$1,0,0,COUNTA([2]quests!$A:$A),MATCH(D$1,[2]quests!$1:$1,0)-MATCH($B$1,[2]quests!$1:$1,0)+1),MATCH(D$1,[2]quests!$1:$1,0)-MATCH($B$1,[2]quests!$1:$1,0)+1,FALSE)</f>
        <v>降臨1</v>
      </c>
      <c r="E26" s="83">
        <v>2</v>
      </c>
      <c r="F26" s="79" t="str">
        <f ca="1">VLOOKUP($B26&amp;"_"&amp;$E26,OFFSET([2]stages!$A$1,0,0,COUNTA([2]stages!$A:$A),MATCH(F$1,[2]stages!$2:$2,0)-MATCH("temp_stage",[2]stages!$2:$2,0)+1),MATCH(F$1,[2]stages!$2:$2,0)-MATCH("temp_stage",[2]stages!$2:$2,0)+1,FALSE)</f>
        <v>【ウィザード級】ガレス襲来</v>
      </c>
      <c r="G26" s="79" t="str">
        <f ca="1">VLOOKUP($B26&amp;"_"&amp;$E26,OFFSET([2]stages!$A$1,0,0,COUNTA([2]stages!$A:$A),MATCH(G$1,[2]stages!$2:$2,0)-MATCH("temp_stage",[2]stages!$2:$2,0)+1),MATCH(G$1,[2]stages!$2:$2,0)-MATCH("temp_stage",[2]stages!$2:$2,0)+1,FALSE)</f>
        <v>降臨1</v>
      </c>
      <c r="H26" s="81">
        <v>0</v>
      </c>
      <c r="I26">
        <v>37</v>
      </c>
      <c r="J26" s="80" t="s">
        <v>196</v>
      </c>
      <c r="K26" s="89" t="str">
        <f>VLOOKUP(I26,[6]stage_hints!$A:$C,3,FALSE)</f>
        <v>限界突破値の引き継ぎ</v>
      </c>
      <c r="L26" s="90" t="str">
        <f>VLOOKUP(I26,[6]stage_hints!$A:$D,4,FALSE)</f>
        <v>同じユニットを強化で合成すると_x000D_限界突破値を引き継げます（覚醒前後も可）</v>
      </c>
      <c r="M26" s="54" t="s">
        <v>208</v>
      </c>
    </row>
    <row r="27" spans="1:13" x14ac:dyDescent="0.15">
      <c r="A27" s="77" t="s">
        <v>198</v>
      </c>
      <c r="B27" s="78">
        <v>41015</v>
      </c>
      <c r="C27" s="79" t="str">
        <f ca="1">VLOOKUP($B27,OFFSET([2]quests!$A$1,0,0,COUNTA([2]quests!$A:$A),MATCH(C$1,[2]quests!$1:$1,0)-MATCH($B$1,[2]quests!$1:$1,0)+1),MATCH(C$1,[2]quests!$1:$1,0)-MATCH($B$1,[2]quests!$1:$1,0)+1,FALSE)</f>
        <v>ガレス襲来！</v>
      </c>
      <c r="D27" s="79" t="str">
        <f ca="1">VLOOKUP($B27,OFFSET([2]quests!$A$1,0,0,COUNTA([2]quests!$A:$A),MATCH(D$1,[2]quests!$1:$1,0)-MATCH($B$1,[2]quests!$1:$1,0)+1),MATCH(D$1,[2]quests!$1:$1,0)-MATCH($B$1,[2]quests!$1:$1,0)+1,FALSE)</f>
        <v>降臨1</v>
      </c>
      <c r="E27" s="83">
        <v>2</v>
      </c>
      <c r="F27" s="79" t="str">
        <f ca="1">VLOOKUP($B27&amp;"_"&amp;$E27,OFFSET([2]stages!$A$1,0,0,COUNTA([2]stages!$A:$A),MATCH(F$1,[2]stages!$2:$2,0)-MATCH("temp_stage",[2]stages!$2:$2,0)+1),MATCH(F$1,[2]stages!$2:$2,0)-MATCH("temp_stage",[2]stages!$2:$2,0)+1,FALSE)</f>
        <v>【ウィザード級】ガレス襲来</v>
      </c>
      <c r="G27" s="79" t="str">
        <f ca="1">VLOOKUP($B27&amp;"_"&amp;$E27,OFFSET([2]stages!$A$1,0,0,COUNTA([2]stages!$A:$A),MATCH(G$1,[2]stages!$2:$2,0)-MATCH("temp_stage",[2]stages!$2:$2,0)+1),MATCH(G$1,[2]stages!$2:$2,0)-MATCH("temp_stage",[2]stages!$2:$2,0)+1,FALSE)</f>
        <v>降臨1</v>
      </c>
      <c r="H27" s="81">
        <v>0</v>
      </c>
      <c r="I27">
        <v>39</v>
      </c>
      <c r="J27" s="80" t="s">
        <v>196</v>
      </c>
      <c r="K27" s="89" t="str">
        <f>VLOOKUP(I27,[6]stage_hints!$A:$C,3,FALSE)</f>
        <v>システム適合者を確認</v>
      </c>
      <c r="L27" s="90" t="str">
        <f>VLOOKUP(I27,[6]stage_hints!$A:$D,4,FALSE)</f>
        <v>ALICEが 「アナタ」を呼んでいます</v>
      </c>
      <c r="M27" s="54" t="s">
        <v>208</v>
      </c>
    </row>
  </sheetData>
  <phoneticPr fontId="5"/>
  <dataValidations count="1">
    <dataValidation type="list" allowBlank="1" showInputMessage="1" showErrorMessage="1" sqref="A2:A2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3"/>
  <sheetViews>
    <sheetView showGridLines="0" workbookViewId="0">
      <pane ySplit="1" topLeftCell="A2" activePane="bottomLeft" state="frozen"/>
      <selection pane="bottomLeft" activeCell="C2" sqref="C2"/>
    </sheetView>
  </sheetViews>
  <sheetFormatPr baseColWidth="12" defaultColWidth="13" defaultRowHeight="15" outlineLevelCol="1" x14ac:dyDescent="0.15"/>
  <cols>
    <col min="1" max="1" width="13" style="84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2" t="s">
        <v>186</v>
      </c>
      <c r="B1" s="69" t="s">
        <v>149</v>
      </c>
      <c r="C1" s="73" t="s">
        <v>188</v>
      </c>
      <c r="D1" s="73" t="s">
        <v>33</v>
      </c>
      <c r="E1" s="69" t="s">
        <v>189</v>
      </c>
      <c r="F1" s="73" t="s">
        <v>18</v>
      </c>
      <c r="G1" s="73" t="s">
        <v>33</v>
      </c>
      <c r="H1" s="69" t="s">
        <v>191</v>
      </c>
      <c r="I1" s="85" t="s">
        <v>192</v>
      </c>
      <c r="J1" s="87" t="s">
        <v>193</v>
      </c>
      <c r="K1" s="75" t="s">
        <v>125</v>
      </c>
      <c r="L1" s="74" t="s">
        <v>185</v>
      </c>
      <c r="M1" s="88" t="s">
        <v>184</v>
      </c>
      <c r="N1" s="76" t="s">
        <v>194</v>
      </c>
    </row>
    <row r="2" spans="1:14" ht="56" x14ac:dyDescent="0.15">
      <c r="A2" s="77" t="s">
        <v>195</v>
      </c>
      <c r="B2" s="78">
        <v>41015</v>
      </c>
      <c r="C2" s="79" t="str">
        <f ca="1">VLOOKUP($B2,OFFSET([2]quests!$A$1,0,0,COUNTA([2]quests!$A:$A),MATCH(C$1,[2]quests!$1:$1,0)-MATCH($B$1,[2]quests!$1:$1,0)+1),MATCH(C$1,[2]quests!$1:$1,0)-MATCH($B$1,[2]quests!$1:$1,0)+1,FALSE)</f>
        <v>ガレス襲来！</v>
      </c>
      <c r="D2" s="79" t="str">
        <f ca="1">VLOOKUP($B2,OFFSET([2]quests!$A$1,0,0,COUNTA([2]quests!$A:$A),MATCH(D$1,[2]quests!$1:$1,0)-MATCH($B$1,[2]quests!$1:$1,0)+1),MATCH(D$1,[2]quests!$1:$1,0)-MATCH($B$1,[2]quests!$1:$1,0)+1,FALSE)</f>
        <v>降臨1</v>
      </c>
      <c r="E2" s="80">
        <v>1</v>
      </c>
      <c r="F2" s="79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【超絶級】ガレス襲来</v>
      </c>
      <c r="G2" s="79" t="str">
        <f ca="1">VLOOKUP($B2&amp;"_"&amp;$E2,OFFSET([2]stages!$A$1,0,0,COUNTA([2]stages!$A:$A),MATCH(G$1,[2]stages!$2:$2,0)-MATCH("temp_stage",[2]stages!$2:$2,0)+1),MATCH(G$1,[2]stages!$2:$2,0)-MATCH("temp_stage",[2]stages!$2:$2,0)+1,FALSE)</f>
        <v>降臨1</v>
      </c>
      <c r="H2" s="81">
        <v>1</v>
      </c>
      <c r="I2" s="86">
        <f t="shared" ref="I2:I13" si="0">ROW()-1</f>
        <v>1</v>
      </c>
      <c r="J2" s="82" t="str">
        <f t="shared" ref="J2:J7" si="1">B2&amp;TEXT(I2,"00")</f>
        <v>4101501</v>
      </c>
      <c r="K2" s="80" t="s">
        <v>462</v>
      </c>
      <c r="L2" s="83" t="s">
        <v>197</v>
      </c>
      <c r="M2" s="217" t="s">
        <v>463</v>
      </c>
      <c r="N2" s="54" t="s">
        <v>464</v>
      </c>
    </row>
    <row r="3" spans="1:14" ht="56" x14ac:dyDescent="0.15">
      <c r="A3" s="77" t="s">
        <v>195</v>
      </c>
      <c r="B3" s="78">
        <v>41015</v>
      </c>
      <c r="C3" s="79" t="str">
        <f ca="1">VLOOKUP($B3,OFFSET([2]quests!$A$1,0,0,COUNTA([2]quests!$A:$A),MATCH(C$1,[2]quests!$1:$1,0)-MATCH($B$1,[2]quests!$1:$1,0)+1),MATCH(C$1,[2]quests!$1:$1,0)-MATCH($B$1,[2]quests!$1:$1,0)+1,FALSE)</f>
        <v>ガレス襲来！</v>
      </c>
      <c r="D3" s="79" t="str">
        <f ca="1">VLOOKUP($B3,OFFSET([2]quests!$A$1,0,0,COUNTA([2]quests!$A:$A),MATCH(D$1,[2]quests!$1:$1,0)-MATCH($B$1,[2]quests!$1:$1,0)+1),MATCH(D$1,[2]quests!$1:$1,0)-MATCH($B$1,[2]quests!$1:$1,0)+1,FALSE)</f>
        <v>降臨1</v>
      </c>
      <c r="E3" s="80">
        <v>1</v>
      </c>
      <c r="F3" s="79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【超絶級】ガレス襲来</v>
      </c>
      <c r="G3" s="79" t="str">
        <f ca="1">VLOOKUP($B3&amp;"_"&amp;$E3,OFFSET([2]stages!$A$1,0,0,COUNTA([2]stages!$A:$A),MATCH(G$1,[2]stages!$2:$2,0)-MATCH("temp_stage",[2]stages!$2:$2,0)+1),MATCH(G$1,[2]stages!$2:$2,0)-MATCH("temp_stage",[2]stages!$2:$2,0)+1,FALSE)</f>
        <v>降臨1</v>
      </c>
      <c r="H3" s="81">
        <v>2</v>
      </c>
      <c r="I3" s="86">
        <f t="shared" si="0"/>
        <v>2</v>
      </c>
      <c r="J3" s="82" t="str">
        <f t="shared" si="1"/>
        <v>4101502</v>
      </c>
      <c r="K3" s="80" t="s">
        <v>462</v>
      </c>
      <c r="L3" s="83" t="s">
        <v>197</v>
      </c>
      <c r="M3" s="217" t="s">
        <v>465</v>
      </c>
      <c r="N3" s="54" t="s">
        <v>464</v>
      </c>
    </row>
    <row r="4" spans="1:14" ht="56" x14ac:dyDescent="0.15">
      <c r="A4" s="77" t="s">
        <v>195</v>
      </c>
      <c r="B4" s="78">
        <v>41015</v>
      </c>
      <c r="C4" s="79" t="str">
        <f ca="1">VLOOKUP($B4,OFFSET([2]quests!$A$1,0,0,COUNTA([2]quests!$A:$A),MATCH(C$1,[2]quests!$1:$1,0)-MATCH($B$1,[2]quests!$1:$1,0)+1),MATCH(C$1,[2]quests!$1:$1,0)-MATCH($B$1,[2]quests!$1:$1,0)+1,FALSE)</f>
        <v>ガレス襲来！</v>
      </c>
      <c r="D4" s="79" t="str">
        <f ca="1">VLOOKUP($B4,OFFSET([2]quests!$A$1,0,0,COUNTA([2]quests!$A:$A),MATCH(D$1,[2]quests!$1:$1,0)-MATCH($B$1,[2]quests!$1:$1,0)+1),MATCH(D$1,[2]quests!$1:$1,0)-MATCH($B$1,[2]quests!$1:$1,0)+1,FALSE)</f>
        <v>降臨1</v>
      </c>
      <c r="E4" s="80">
        <v>1</v>
      </c>
      <c r="F4" s="79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【超絶級】ガレス襲来</v>
      </c>
      <c r="G4" s="79" t="str">
        <f ca="1">VLOOKUP($B4&amp;"_"&amp;$E4,OFFSET([2]stages!$A$1,0,0,COUNTA([2]stages!$A:$A),MATCH(G$1,[2]stages!$2:$2,0)-MATCH("temp_stage",[2]stages!$2:$2,0)+1),MATCH(G$1,[2]stages!$2:$2,0)-MATCH("temp_stage",[2]stages!$2:$2,0)+1,FALSE)</f>
        <v>降臨1</v>
      </c>
      <c r="H4" s="81">
        <v>3</v>
      </c>
      <c r="I4" s="86">
        <f t="shared" si="0"/>
        <v>3</v>
      </c>
      <c r="J4" s="82" t="str">
        <f t="shared" si="1"/>
        <v>4101503</v>
      </c>
      <c r="K4" s="80" t="s">
        <v>462</v>
      </c>
      <c r="L4" s="83" t="s">
        <v>197</v>
      </c>
      <c r="M4" s="217" t="s">
        <v>466</v>
      </c>
      <c r="N4" s="54" t="s">
        <v>464</v>
      </c>
    </row>
    <row r="5" spans="1:14" ht="56" x14ac:dyDescent="0.15">
      <c r="A5" s="77" t="s">
        <v>195</v>
      </c>
      <c r="B5" s="78">
        <v>41015</v>
      </c>
      <c r="C5" s="79" t="str">
        <f ca="1">VLOOKUP($B5,OFFSET([2]quests!$A$1,0,0,COUNTA([2]quests!$A:$A),MATCH(C$1,[2]quests!$1:$1,0)-MATCH($B$1,[2]quests!$1:$1,0)+1),MATCH(C$1,[2]quests!$1:$1,0)-MATCH($B$1,[2]quests!$1:$1,0)+1,FALSE)</f>
        <v>ガレス襲来！</v>
      </c>
      <c r="D5" s="79" t="str">
        <f ca="1">VLOOKUP($B5,OFFSET([2]quests!$A$1,0,0,COUNTA([2]quests!$A:$A),MATCH(D$1,[2]quests!$1:$1,0)-MATCH($B$1,[2]quests!$1:$1,0)+1),MATCH(D$1,[2]quests!$1:$1,0)-MATCH($B$1,[2]quests!$1:$1,0)+1,FALSE)</f>
        <v>降臨1</v>
      </c>
      <c r="E5" s="80">
        <v>1</v>
      </c>
      <c r="F5" s="79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【超絶級】ガレス襲来</v>
      </c>
      <c r="G5" s="79" t="str">
        <f ca="1">VLOOKUP($B5&amp;"_"&amp;$E5,OFFSET([2]stages!$A$1,0,0,COUNTA([2]stages!$A:$A),MATCH(G$1,[2]stages!$2:$2,0)-MATCH("temp_stage",[2]stages!$2:$2,0)+1),MATCH(G$1,[2]stages!$2:$2,0)-MATCH("temp_stage",[2]stages!$2:$2,0)+1,FALSE)</f>
        <v>降臨1</v>
      </c>
      <c r="H5" s="81">
        <v>4</v>
      </c>
      <c r="I5" s="86">
        <f t="shared" si="0"/>
        <v>4</v>
      </c>
      <c r="J5" s="82" t="str">
        <f t="shared" si="1"/>
        <v>4101504</v>
      </c>
      <c r="K5" s="80" t="s">
        <v>467</v>
      </c>
      <c r="L5" s="83" t="s">
        <v>197</v>
      </c>
      <c r="M5" s="217" t="s">
        <v>468</v>
      </c>
      <c r="N5" s="54" t="s">
        <v>469</v>
      </c>
    </row>
    <row r="6" spans="1:14" ht="56" x14ac:dyDescent="0.15">
      <c r="A6" s="77" t="s">
        <v>195</v>
      </c>
      <c r="B6" s="78">
        <v>41015</v>
      </c>
      <c r="C6" s="79" t="str">
        <f ca="1">VLOOKUP($B6,OFFSET([2]quests!$A$1,0,0,COUNTA([2]quests!$A:$A),MATCH(C$1,[2]quests!$1:$1,0)-MATCH($B$1,[2]quests!$1:$1,0)+1),MATCH(C$1,[2]quests!$1:$1,0)-MATCH($B$1,[2]quests!$1:$1,0)+1,FALSE)</f>
        <v>ガレス襲来！</v>
      </c>
      <c r="D6" s="79" t="str">
        <f ca="1">VLOOKUP($B6,OFFSET([2]quests!$A$1,0,0,COUNTA([2]quests!$A:$A),MATCH(D$1,[2]quests!$1:$1,0)-MATCH($B$1,[2]quests!$1:$1,0)+1),MATCH(D$1,[2]quests!$1:$1,0)-MATCH($B$1,[2]quests!$1:$1,0)+1,FALSE)</f>
        <v>降臨1</v>
      </c>
      <c r="E6" s="80">
        <v>1</v>
      </c>
      <c r="F6" s="79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【超絶級】ガレス襲来</v>
      </c>
      <c r="G6" s="79" t="str">
        <f ca="1">VLOOKUP($B6&amp;"_"&amp;$E6,OFFSET([2]stages!$A$1,0,0,COUNTA([2]stages!$A:$A),MATCH(G$1,[2]stages!$2:$2,0)-MATCH("temp_stage",[2]stages!$2:$2,0)+1),MATCH(G$1,[2]stages!$2:$2,0)-MATCH("temp_stage",[2]stages!$2:$2,0)+1,FALSE)</f>
        <v>降臨1</v>
      </c>
      <c r="H6" s="81">
        <v>4</v>
      </c>
      <c r="I6" s="86">
        <f t="shared" si="0"/>
        <v>5</v>
      </c>
      <c r="J6" s="82" t="str">
        <f t="shared" si="1"/>
        <v>4101505</v>
      </c>
      <c r="K6" s="80" t="s">
        <v>462</v>
      </c>
      <c r="L6" s="83" t="s">
        <v>197</v>
      </c>
      <c r="M6" s="217" t="s">
        <v>470</v>
      </c>
      <c r="N6" s="54" t="s">
        <v>464</v>
      </c>
    </row>
    <row r="7" spans="1:14" ht="56" x14ac:dyDescent="0.15">
      <c r="A7" s="77" t="s">
        <v>195</v>
      </c>
      <c r="B7" s="78">
        <v>41015</v>
      </c>
      <c r="C7" s="79" t="str">
        <f ca="1">VLOOKUP($B7,OFFSET([2]quests!$A$1,0,0,COUNTA([2]quests!$A:$A),MATCH(C$1,[2]quests!$1:$1,0)-MATCH($B$1,[2]quests!$1:$1,0)+1),MATCH(C$1,[2]quests!$1:$1,0)-MATCH($B$1,[2]quests!$1:$1,0)+1,FALSE)</f>
        <v>ガレス襲来！</v>
      </c>
      <c r="D7" s="79" t="str">
        <f ca="1">VLOOKUP($B7,OFFSET([2]quests!$A$1,0,0,COUNTA([2]quests!$A:$A),MATCH(D$1,[2]quests!$1:$1,0)-MATCH($B$1,[2]quests!$1:$1,0)+1),MATCH(D$1,[2]quests!$1:$1,0)-MATCH($B$1,[2]quests!$1:$1,0)+1,FALSE)</f>
        <v>降臨1</v>
      </c>
      <c r="E7" s="80">
        <v>1</v>
      </c>
      <c r="F7" s="79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【超絶級】ガレス襲来</v>
      </c>
      <c r="G7" s="79" t="str">
        <f ca="1">VLOOKUP($B7&amp;"_"&amp;$E7,OFFSET([2]stages!$A$1,0,0,COUNTA([2]stages!$A:$A),MATCH(G$1,[2]stages!$2:$2,0)-MATCH("temp_stage",[2]stages!$2:$2,0)+1),MATCH(G$1,[2]stages!$2:$2,0)-MATCH("temp_stage",[2]stages!$2:$2,0)+1,FALSE)</f>
        <v>降臨1</v>
      </c>
      <c r="H7" s="81">
        <v>4</v>
      </c>
      <c r="I7" s="86">
        <f t="shared" si="0"/>
        <v>6</v>
      </c>
      <c r="J7" s="82" t="str">
        <f t="shared" si="1"/>
        <v>4101506</v>
      </c>
      <c r="K7" s="80" t="s">
        <v>462</v>
      </c>
      <c r="L7" s="83" t="s">
        <v>197</v>
      </c>
      <c r="M7" s="217" t="s">
        <v>471</v>
      </c>
      <c r="N7" s="54" t="s">
        <v>464</v>
      </c>
    </row>
    <row r="8" spans="1:14" ht="56" x14ac:dyDescent="0.15">
      <c r="A8" s="77" t="s">
        <v>195</v>
      </c>
      <c r="B8" s="78">
        <v>41015</v>
      </c>
      <c r="C8" s="79" t="str">
        <f ca="1">VLOOKUP($B8,OFFSET([2]quests!$A$1,0,0,COUNTA([2]quests!$A:$A),MATCH(C$1,[2]quests!$1:$1,0)-MATCH($B$1,[2]quests!$1:$1,0)+1),MATCH(C$1,[2]quests!$1:$1,0)-MATCH($B$1,[2]quests!$1:$1,0)+1,FALSE)</f>
        <v>ガレス襲来！</v>
      </c>
      <c r="D8" s="79" t="str">
        <f ca="1">VLOOKUP($B8,OFFSET([2]quests!$A$1,0,0,COUNTA([2]quests!$A:$A),MATCH(D$1,[2]quests!$1:$1,0)-MATCH($B$1,[2]quests!$1:$1,0)+1),MATCH(D$1,[2]quests!$1:$1,0)-MATCH($B$1,[2]quests!$1:$1,0)+1,FALSE)</f>
        <v>降臨1</v>
      </c>
      <c r="E8" s="80">
        <v>2</v>
      </c>
      <c r="F8" s="79" t="str">
        <f ca="1">VLOOKUP($B8&amp;"_"&amp;$E8,OFFSET([2]stages!$A$1,0,0,COUNTA([2]stages!$A:$A),MATCH(F$1,[2]stages!$2:$2,0)-MATCH("temp_stage",[2]stages!$2:$2,0)+1),MATCH(F$1,[2]stages!$2:$2,0)-MATCH("temp_stage",[2]stages!$2:$2,0)+1,FALSE)</f>
        <v>【ウィザード級】ガレス襲来</v>
      </c>
      <c r="G8" s="79" t="str">
        <f ca="1">VLOOKUP($B8&amp;"_"&amp;$E8,OFFSET([2]stages!$A$1,0,0,COUNTA([2]stages!$A:$A),MATCH(G$1,[2]stages!$2:$2,0)-MATCH("temp_stage",[2]stages!$2:$2,0)+1),MATCH(G$1,[2]stages!$2:$2,0)-MATCH("temp_stage",[2]stages!$2:$2,0)+1,FALSE)</f>
        <v>降臨1</v>
      </c>
      <c r="H8" s="81">
        <v>1</v>
      </c>
      <c r="I8" s="86">
        <f t="shared" si="0"/>
        <v>7</v>
      </c>
      <c r="J8" s="82" t="str">
        <f t="shared" ref="J8:J13" si="2">B8&amp;TEXT(I8,"00")</f>
        <v>4101507</v>
      </c>
      <c r="K8" s="80" t="s">
        <v>462</v>
      </c>
      <c r="L8" s="83" t="s">
        <v>197</v>
      </c>
      <c r="M8" s="217" t="s">
        <v>463</v>
      </c>
      <c r="N8" s="54" t="s">
        <v>464</v>
      </c>
    </row>
    <row r="9" spans="1:14" ht="56" x14ac:dyDescent="0.15">
      <c r="A9" s="77" t="s">
        <v>195</v>
      </c>
      <c r="B9" s="78">
        <v>41015</v>
      </c>
      <c r="C9" s="79" t="str">
        <f ca="1">VLOOKUP($B9,OFFSET([2]quests!$A$1,0,0,COUNTA([2]quests!$A:$A),MATCH(C$1,[2]quests!$1:$1,0)-MATCH($B$1,[2]quests!$1:$1,0)+1),MATCH(C$1,[2]quests!$1:$1,0)-MATCH($B$1,[2]quests!$1:$1,0)+1,FALSE)</f>
        <v>ガレス襲来！</v>
      </c>
      <c r="D9" s="79" t="str">
        <f ca="1">VLOOKUP($B9,OFFSET([2]quests!$A$1,0,0,COUNTA([2]quests!$A:$A),MATCH(D$1,[2]quests!$1:$1,0)-MATCH($B$1,[2]quests!$1:$1,0)+1),MATCH(D$1,[2]quests!$1:$1,0)-MATCH($B$1,[2]quests!$1:$1,0)+1,FALSE)</f>
        <v>降臨1</v>
      </c>
      <c r="E9" s="80">
        <v>2</v>
      </c>
      <c r="F9" s="79" t="str">
        <f ca="1">VLOOKUP($B9&amp;"_"&amp;$E9,OFFSET([2]stages!$A$1,0,0,COUNTA([2]stages!$A:$A),MATCH(F$1,[2]stages!$2:$2,0)-MATCH("temp_stage",[2]stages!$2:$2,0)+1),MATCH(F$1,[2]stages!$2:$2,0)-MATCH("temp_stage",[2]stages!$2:$2,0)+1,FALSE)</f>
        <v>【ウィザード級】ガレス襲来</v>
      </c>
      <c r="G9" s="79" t="str">
        <f ca="1">VLOOKUP($B9&amp;"_"&amp;$E9,OFFSET([2]stages!$A$1,0,0,COUNTA([2]stages!$A:$A),MATCH(G$1,[2]stages!$2:$2,0)-MATCH("temp_stage",[2]stages!$2:$2,0)+1),MATCH(G$1,[2]stages!$2:$2,0)-MATCH("temp_stage",[2]stages!$2:$2,0)+1,FALSE)</f>
        <v>降臨1</v>
      </c>
      <c r="H9" s="81">
        <v>2</v>
      </c>
      <c r="I9" s="86">
        <f t="shared" si="0"/>
        <v>8</v>
      </c>
      <c r="J9" s="82" t="str">
        <f t="shared" si="2"/>
        <v>4101508</v>
      </c>
      <c r="K9" s="80" t="s">
        <v>462</v>
      </c>
      <c r="L9" s="83" t="s">
        <v>197</v>
      </c>
      <c r="M9" s="217" t="s">
        <v>465</v>
      </c>
      <c r="N9" s="54" t="s">
        <v>464</v>
      </c>
    </row>
    <row r="10" spans="1:14" ht="56" x14ac:dyDescent="0.15">
      <c r="A10" s="77" t="s">
        <v>195</v>
      </c>
      <c r="B10" s="78">
        <v>41015</v>
      </c>
      <c r="C10" s="79" t="str">
        <f ca="1">VLOOKUP($B10,OFFSET([2]quests!$A$1,0,0,COUNTA([2]quests!$A:$A),MATCH(C$1,[2]quests!$1:$1,0)-MATCH($B$1,[2]quests!$1:$1,0)+1),MATCH(C$1,[2]quests!$1:$1,0)-MATCH($B$1,[2]quests!$1:$1,0)+1,FALSE)</f>
        <v>ガレス襲来！</v>
      </c>
      <c r="D10" s="79" t="str">
        <f ca="1">VLOOKUP($B10,OFFSET([2]quests!$A$1,0,0,COUNTA([2]quests!$A:$A),MATCH(D$1,[2]quests!$1:$1,0)-MATCH($B$1,[2]quests!$1:$1,0)+1),MATCH(D$1,[2]quests!$1:$1,0)-MATCH($B$1,[2]quests!$1:$1,0)+1,FALSE)</f>
        <v>降臨1</v>
      </c>
      <c r="E10" s="80">
        <v>2</v>
      </c>
      <c r="F10" s="79" t="str">
        <f ca="1">VLOOKUP($B10&amp;"_"&amp;$E10,OFFSET([2]stages!$A$1,0,0,COUNTA([2]stages!$A:$A),MATCH(F$1,[2]stages!$2:$2,0)-MATCH("temp_stage",[2]stages!$2:$2,0)+1),MATCH(F$1,[2]stages!$2:$2,0)-MATCH("temp_stage",[2]stages!$2:$2,0)+1,FALSE)</f>
        <v>【ウィザード級】ガレス襲来</v>
      </c>
      <c r="G10" s="79" t="str">
        <f ca="1">VLOOKUP($B10&amp;"_"&amp;$E10,OFFSET([2]stages!$A$1,0,0,COUNTA([2]stages!$A:$A),MATCH(G$1,[2]stages!$2:$2,0)-MATCH("temp_stage",[2]stages!$2:$2,0)+1),MATCH(G$1,[2]stages!$2:$2,0)-MATCH("temp_stage",[2]stages!$2:$2,0)+1,FALSE)</f>
        <v>降臨1</v>
      </c>
      <c r="H10" s="81">
        <v>3</v>
      </c>
      <c r="I10" s="86">
        <f t="shared" si="0"/>
        <v>9</v>
      </c>
      <c r="J10" s="82" t="str">
        <f t="shared" si="2"/>
        <v>4101509</v>
      </c>
      <c r="K10" s="80" t="s">
        <v>462</v>
      </c>
      <c r="L10" s="83" t="s">
        <v>197</v>
      </c>
      <c r="M10" s="217" t="s">
        <v>466</v>
      </c>
      <c r="N10" s="54" t="s">
        <v>464</v>
      </c>
    </row>
    <row r="11" spans="1:14" ht="56" x14ac:dyDescent="0.15">
      <c r="A11" s="77" t="s">
        <v>195</v>
      </c>
      <c r="B11" s="78">
        <v>41015</v>
      </c>
      <c r="C11" s="79" t="str">
        <f ca="1">VLOOKUP($B11,OFFSET([2]quests!$A$1,0,0,COUNTA([2]quests!$A:$A),MATCH(C$1,[2]quests!$1:$1,0)-MATCH($B$1,[2]quests!$1:$1,0)+1),MATCH(C$1,[2]quests!$1:$1,0)-MATCH($B$1,[2]quests!$1:$1,0)+1,FALSE)</f>
        <v>ガレス襲来！</v>
      </c>
      <c r="D11" s="79" t="str">
        <f ca="1">VLOOKUP($B11,OFFSET([2]quests!$A$1,0,0,COUNTA([2]quests!$A:$A),MATCH(D$1,[2]quests!$1:$1,0)-MATCH($B$1,[2]quests!$1:$1,0)+1),MATCH(D$1,[2]quests!$1:$1,0)-MATCH($B$1,[2]quests!$1:$1,0)+1,FALSE)</f>
        <v>降臨1</v>
      </c>
      <c r="E11" s="80">
        <v>2</v>
      </c>
      <c r="F11" s="79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【ウィザード級】ガレス襲来</v>
      </c>
      <c r="G11" s="79" t="str">
        <f ca="1">VLOOKUP($B11&amp;"_"&amp;$E11,OFFSET([2]stages!$A$1,0,0,COUNTA([2]stages!$A:$A),MATCH(G$1,[2]stages!$2:$2,0)-MATCH("temp_stage",[2]stages!$2:$2,0)+1),MATCH(G$1,[2]stages!$2:$2,0)-MATCH("temp_stage",[2]stages!$2:$2,0)+1,FALSE)</f>
        <v>降臨1</v>
      </c>
      <c r="H11" s="81">
        <v>4</v>
      </c>
      <c r="I11" s="86">
        <f t="shared" si="0"/>
        <v>10</v>
      </c>
      <c r="J11" s="82" t="str">
        <f t="shared" si="2"/>
        <v>4101510</v>
      </c>
      <c r="K11" s="80" t="s">
        <v>467</v>
      </c>
      <c r="L11" s="83" t="s">
        <v>197</v>
      </c>
      <c r="M11" s="217" t="s">
        <v>468</v>
      </c>
      <c r="N11" s="54" t="s">
        <v>469</v>
      </c>
    </row>
    <row r="12" spans="1:14" ht="56" x14ac:dyDescent="0.15">
      <c r="A12" s="77" t="s">
        <v>195</v>
      </c>
      <c r="B12" s="78">
        <v>41015</v>
      </c>
      <c r="C12" s="79" t="str">
        <f ca="1">VLOOKUP($B12,OFFSET([2]quests!$A$1,0,0,COUNTA([2]quests!$A:$A),MATCH(C$1,[2]quests!$1:$1,0)-MATCH($B$1,[2]quests!$1:$1,0)+1),MATCH(C$1,[2]quests!$1:$1,0)-MATCH($B$1,[2]quests!$1:$1,0)+1,FALSE)</f>
        <v>ガレス襲来！</v>
      </c>
      <c r="D12" s="79" t="str">
        <f ca="1">VLOOKUP($B12,OFFSET([2]quests!$A$1,0,0,COUNTA([2]quests!$A:$A),MATCH(D$1,[2]quests!$1:$1,0)-MATCH($B$1,[2]quests!$1:$1,0)+1),MATCH(D$1,[2]quests!$1:$1,0)-MATCH($B$1,[2]quests!$1:$1,0)+1,FALSE)</f>
        <v>降臨1</v>
      </c>
      <c r="E12" s="80">
        <v>2</v>
      </c>
      <c r="F12" s="79" t="str">
        <f ca="1">VLOOKUP($B12&amp;"_"&amp;$E12,OFFSET([2]stages!$A$1,0,0,COUNTA([2]stages!$A:$A),MATCH(F$1,[2]stages!$2:$2,0)-MATCH("temp_stage",[2]stages!$2:$2,0)+1),MATCH(F$1,[2]stages!$2:$2,0)-MATCH("temp_stage",[2]stages!$2:$2,0)+1,FALSE)</f>
        <v>【ウィザード級】ガレス襲来</v>
      </c>
      <c r="G12" s="79" t="str">
        <f ca="1">VLOOKUP($B12&amp;"_"&amp;$E12,OFFSET([2]stages!$A$1,0,0,COUNTA([2]stages!$A:$A),MATCH(G$1,[2]stages!$2:$2,0)-MATCH("temp_stage",[2]stages!$2:$2,0)+1),MATCH(G$1,[2]stages!$2:$2,0)-MATCH("temp_stage",[2]stages!$2:$2,0)+1,FALSE)</f>
        <v>降臨1</v>
      </c>
      <c r="H12" s="81">
        <v>4</v>
      </c>
      <c r="I12" s="86">
        <f t="shared" si="0"/>
        <v>11</v>
      </c>
      <c r="J12" s="82" t="str">
        <f t="shared" si="2"/>
        <v>4101511</v>
      </c>
      <c r="K12" s="80" t="s">
        <v>462</v>
      </c>
      <c r="L12" s="83" t="s">
        <v>197</v>
      </c>
      <c r="M12" s="217" t="s">
        <v>470</v>
      </c>
      <c r="N12" s="54" t="s">
        <v>464</v>
      </c>
    </row>
    <row r="13" spans="1:14" ht="56" x14ac:dyDescent="0.15">
      <c r="A13" s="77" t="s">
        <v>195</v>
      </c>
      <c r="B13" s="78">
        <v>41015</v>
      </c>
      <c r="C13" s="79" t="str">
        <f ca="1">VLOOKUP($B13,OFFSET([2]quests!$A$1,0,0,COUNTA([2]quests!$A:$A),MATCH(C$1,[2]quests!$1:$1,0)-MATCH($B$1,[2]quests!$1:$1,0)+1),MATCH(C$1,[2]quests!$1:$1,0)-MATCH($B$1,[2]quests!$1:$1,0)+1,FALSE)</f>
        <v>ガレス襲来！</v>
      </c>
      <c r="D13" s="79" t="str">
        <f ca="1">VLOOKUP($B13,OFFSET([2]quests!$A$1,0,0,COUNTA([2]quests!$A:$A),MATCH(D$1,[2]quests!$1:$1,0)-MATCH($B$1,[2]quests!$1:$1,0)+1),MATCH(D$1,[2]quests!$1:$1,0)-MATCH($B$1,[2]quests!$1:$1,0)+1,FALSE)</f>
        <v>降臨1</v>
      </c>
      <c r="E13" s="80">
        <v>2</v>
      </c>
      <c r="F13" s="79" t="str">
        <f ca="1">VLOOKUP($B13&amp;"_"&amp;$E13,OFFSET([2]stages!$A$1,0,0,COUNTA([2]stages!$A:$A),MATCH(F$1,[2]stages!$2:$2,0)-MATCH("temp_stage",[2]stages!$2:$2,0)+1),MATCH(F$1,[2]stages!$2:$2,0)-MATCH("temp_stage",[2]stages!$2:$2,0)+1,FALSE)</f>
        <v>【ウィザード級】ガレス襲来</v>
      </c>
      <c r="G13" s="79" t="str">
        <f ca="1">VLOOKUP($B13&amp;"_"&amp;$E13,OFFSET([2]stages!$A$1,0,0,COUNTA([2]stages!$A:$A),MATCH(G$1,[2]stages!$2:$2,0)-MATCH("temp_stage",[2]stages!$2:$2,0)+1),MATCH(G$1,[2]stages!$2:$2,0)-MATCH("temp_stage",[2]stages!$2:$2,0)+1,FALSE)</f>
        <v>降臨1</v>
      </c>
      <c r="H13" s="81">
        <v>4</v>
      </c>
      <c r="I13" s="86">
        <f t="shared" si="0"/>
        <v>12</v>
      </c>
      <c r="J13" s="82" t="str">
        <f t="shared" si="2"/>
        <v>4101512</v>
      </c>
      <c r="K13" s="80" t="s">
        <v>462</v>
      </c>
      <c r="L13" s="83" t="s">
        <v>197</v>
      </c>
      <c r="M13" s="217" t="s">
        <v>471</v>
      </c>
      <c r="N13" s="54" t="s">
        <v>464</v>
      </c>
    </row>
  </sheetData>
  <phoneticPr fontId="5"/>
  <dataValidations count="1">
    <dataValidation type="list" allowBlank="1" showInputMessage="1" showErrorMessage="1" sqref="A2:A13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2"/>
  <sheetViews>
    <sheetView showGridLines="0" workbookViewId="0">
      <pane ySplit="1" topLeftCell="A2" activePane="bottomLeft" state="frozen"/>
      <selection pane="bottomLeft" activeCell="L22" sqref="L22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2" t="s">
        <v>211</v>
      </c>
      <c r="B1" s="93" t="s">
        <v>212</v>
      </c>
      <c r="C1" s="73" t="s">
        <v>213</v>
      </c>
      <c r="D1" s="73" t="s">
        <v>33</v>
      </c>
      <c r="E1" s="93" t="s">
        <v>214</v>
      </c>
      <c r="F1" s="73" t="s">
        <v>215</v>
      </c>
      <c r="G1" s="73" t="s">
        <v>33</v>
      </c>
      <c r="H1" s="93" t="s">
        <v>216</v>
      </c>
      <c r="I1" s="93" t="s">
        <v>217</v>
      </c>
      <c r="J1" s="93" t="s">
        <v>218</v>
      </c>
      <c r="K1" s="69" t="s">
        <v>219</v>
      </c>
      <c r="L1" s="69" t="s">
        <v>220</v>
      </c>
      <c r="M1" s="69" t="s">
        <v>155</v>
      </c>
      <c r="N1" s="73" t="s">
        <v>16</v>
      </c>
      <c r="O1" s="69" t="s">
        <v>221</v>
      </c>
      <c r="P1" s="69" t="s">
        <v>57</v>
      </c>
      <c r="Q1" s="69" t="s">
        <v>222</v>
      </c>
      <c r="R1" s="69" t="s">
        <v>38</v>
      </c>
      <c r="S1" s="69" t="s">
        <v>40</v>
      </c>
      <c r="T1" s="69" t="s">
        <v>42</v>
      </c>
      <c r="U1" s="69" t="s">
        <v>44</v>
      </c>
      <c r="V1" s="69" t="s">
        <v>46</v>
      </c>
      <c r="W1" s="69" t="s">
        <v>223</v>
      </c>
      <c r="X1" s="69" t="s">
        <v>224</v>
      </c>
    </row>
    <row r="2" spans="1:24" x14ac:dyDescent="0.15">
      <c r="A2" s="94" t="str">
        <f>B2&amp;"_"&amp;E2&amp;"_"&amp;H2&amp;"_"&amp;I2&amp;"_"&amp;J2</f>
        <v>41015_2_everyone_no_continue_1</v>
      </c>
      <c r="B2" s="78">
        <v>41015</v>
      </c>
      <c r="C2" s="79" t="str">
        <f ca="1">VLOOKUP($B2,OFFSET([2]quests!$A$1,0,0,COUNTA([2]quests!$A:$A),MATCH(C$1,[2]quests!$1:$1,0)-MATCH($B$1,[2]quests!$1:$1,0)+1),MATCH(C$1,[2]quests!$1:$1,0)-MATCH($B$1,[2]quests!$1:$1,0)+1,FALSE)</f>
        <v>ガレス襲来！</v>
      </c>
      <c r="D2" s="79" t="str">
        <f ca="1">VLOOKUP($B2,OFFSET([2]quests!$A$1,0,0,COUNTA([2]quests!$A:$A),MATCH(D$1,[2]quests!$1:$1,0)-MATCH($B$1,[2]quests!$1:$1,0)+1),MATCH(D$1,[2]quests!$1:$1,0)-MATCH($B$1,[2]quests!$1:$1,0)+1,FALSE)</f>
        <v>降臨1</v>
      </c>
      <c r="E2" s="80">
        <v>2</v>
      </c>
      <c r="F2" s="79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【ウィザード級】ガレス襲来</v>
      </c>
      <c r="G2" s="79" t="str">
        <f ca="1">VLOOKUP($B2&amp;"_"&amp;$E2,OFFSET([2]stages!$A$1,0,0,COUNTA([2]stages!$A:$A),MATCH(G$1,[2]stages!$2:$2,0)-MATCH("temp_stage",[2]stages!$2:$2,0)+1),MATCH(G$1,[2]stages!$2:$2,0)-MATCH("temp_stage",[2]stages!$2:$2,0)+1,FALSE)</f>
        <v>降臨1</v>
      </c>
      <c r="H2" s="81" t="s">
        <v>225</v>
      </c>
      <c r="I2" s="80" t="s">
        <v>229</v>
      </c>
      <c r="J2" s="80">
        <v>1</v>
      </c>
      <c r="K2" s="80">
        <v>1000</v>
      </c>
      <c r="L2" s="80" t="s">
        <v>226</v>
      </c>
      <c r="M2" s="80">
        <v>768</v>
      </c>
      <c r="N2" s="95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ガレス</v>
      </c>
      <c r="O2" s="80">
        <v>1</v>
      </c>
      <c r="P2" s="80">
        <v>1</v>
      </c>
      <c r="Q2" s="80">
        <v>1</v>
      </c>
      <c r="R2" s="80">
        <v>0</v>
      </c>
      <c r="S2" s="80">
        <v>0</v>
      </c>
      <c r="T2" s="80">
        <v>0</v>
      </c>
      <c r="U2" s="80">
        <v>0</v>
      </c>
      <c r="V2" s="80">
        <v>1</v>
      </c>
      <c r="W2" s="96" t="s">
        <v>227</v>
      </c>
      <c r="X2" s="97" t="s">
        <v>228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2017-04-04T08:39:57Z</dcterms:modified>
</cp:coreProperties>
</file>