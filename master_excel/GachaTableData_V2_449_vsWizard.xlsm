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firstSheet="1" activeTab="2"/>
  </bookViews>
  <sheets>
    <sheet name="確率の考え方" sheetId="110" r:id="rId1"/>
    <sheet name="Sheet1" sheetId="107" r:id="rId2"/>
    <sheet name="output" sheetId="103" r:id="rId3"/>
    <sheet name="input_449010" sheetId="157" r:id="rId4"/>
    <sheet name="tables_449010" sheetId="158" r:id="rId5"/>
    <sheet name="input_449100" sheetId="153" r:id="rId6"/>
    <sheet name="tables_449100" sheetId="154" r:id="rId7"/>
    <sheet name="tables_settle_449105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tables_449010!$A$1:$V$294</definedName>
    <definedName name="_xlnm._FilterDatabase" localSheetId="6" hidden="1">tables_449100!$A$1:$V$294</definedName>
    <definedName name="_xlnm._FilterDatabase" localSheetId="7" hidden="1">tables_settle_449105!$A$1:$V$1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53" l="1"/>
  <c r="I44" i="154"/>
  <c r="D44" i="154"/>
  <c r="J44" i="154"/>
  <c r="E44" i="154"/>
  <c r="C44" i="154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F5" i="153"/>
  <c r="F6" i="153"/>
  <c r="A3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6" i="153"/>
  <c r="B26" i="153"/>
  <c r="G26" i="153"/>
  <c r="H26" i="153"/>
  <c r="O44" i="154"/>
  <c r="O47" i="154"/>
  <c r="O50" i="154"/>
  <c r="E23" i="153"/>
  <c r="B23" i="153"/>
  <c r="E5" i="153"/>
  <c r="E28" i="153"/>
  <c r="B28" i="153"/>
  <c r="E29" i="153"/>
  <c r="B29" i="153"/>
  <c r="B21" i="153"/>
  <c r="G21" i="153"/>
  <c r="E21" i="153"/>
  <c r="H21" i="153"/>
  <c r="O53" i="154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O45" i="154"/>
  <c r="O46" i="154"/>
  <c r="O48" i="154"/>
  <c r="O49" i="154"/>
  <c r="G19" i="153"/>
  <c r="H19" i="153"/>
  <c r="O51" i="154"/>
  <c r="E20" i="153"/>
  <c r="B20" i="153"/>
  <c r="G20" i="153"/>
  <c r="H20" i="153"/>
  <c r="O52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R4" i="153"/>
  <c r="O258" i="154"/>
  <c r="R5" i="153"/>
  <c r="O259" i="154"/>
  <c r="O260" i="154"/>
  <c r="O261" i="154"/>
  <c r="E22" i="153"/>
  <c r="B22" i="153"/>
  <c r="G22" i="153"/>
  <c r="H22" i="153"/>
  <c r="O262" i="154"/>
  <c r="O263" i="154"/>
  <c r="O264" i="154"/>
  <c r="O265" i="154"/>
  <c r="G29" i="153"/>
  <c r="H29" i="153"/>
  <c r="O266" i="154"/>
  <c r="O267" i="154"/>
  <c r="O268" i="154"/>
  <c r="R3" i="153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F42" i="153"/>
  <c r="G42" i="153"/>
  <c r="F35" i="153"/>
  <c r="F41" i="153"/>
  <c r="G41" i="153"/>
  <c r="F34" i="153"/>
  <c r="B30" i="153"/>
  <c r="M8" i="153"/>
  <c r="M7" i="153"/>
  <c r="M6" i="153"/>
  <c r="M5" i="153"/>
  <c r="M4" i="153"/>
  <c r="M3" i="153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F6" i="157"/>
  <c r="E6" i="157"/>
  <c r="B23" i="157"/>
  <c r="E26" i="157"/>
  <c r="B26" i="157"/>
  <c r="F5" i="157"/>
  <c r="E5" i="157"/>
  <c r="E28" i="157"/>
  <c r="B28" i="157"/>
  <c r="E29" i="157"/>
  <c r="B29" i="157"/>
  <c r="B21" i="157"/>
  <c r="E18" i="157"/>
  <c r="E19" i="157"/>
  <c r="B19" i="157"/>
  <c r="E24" i="157"/>
  <c r="B24" i="157"/>
  <c r="B17" i="157"/>
  <c r="B18" i="157"/>
  <c r="A2" i="157"/>
  <c r="A36" i="157"/>
  <c r="G26" i="157"/>
  <c r="H26" i="157"/>
  <c r="O44" i="158"/>
  <c r="O47" i="158"/>
  <c r="O50" i="158"/>
  <c r="G21" i="157"/>
  <c r="E21" i="157"/>
  <c r="H21" i="157"/>
  <c r="O53" i="158"/>
  <c r="G17" i="157"/>
  <c r="E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O45" i="158"/>
  <c r="O46" i="158"/>
  <c r="O48" i="158"/>
  <c r="O49" i="158"/>
  <c r="G19" i="157"/>
  <c r="H19" i="157"/>
  <c r="O51" i="158"/>
  <c r="E20" i="157"/>
  <c r="B20" i="157"/>
  <c r="G20" i="157"/>
  <c r="H20" i="157"/>
  <c r="O52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R4" i="157"/>
  <c r="O258" i="158"/>
  <c r="R5" i="157"/>
  <c r="O259" i="158"/>
  <c r="O260" i="158"/>
  <c r="O261" i="158"/>
  <c r="E22" i="157"/>
  <c r="B22" i="157"/>
  <c r="G22" i="157"/>
  <c r="H22" i="157"/>
  <c r="O262" i="158"/>
  <c r="O263" i="158"/>
  <c r="O264" i="158"/>
  <c r="O265" i="158"/>
  <c r="G29" i="157"/>
  <c r="H29" i="157"/>
  <c r="O266" i="158"/>
  <c r="O267" i="158"/>
  <c r="O268" i="158"/>
  <c r="R3" i="157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F42" i="157"/>
  <c r="G42" i="157"/>
  <c r="F35" i="157"/>
  <c r="F41" i="157"/>
  <c r="G41" i="157"/>
  <c r="F34" i="157"/>
  <c r="R6" i="153"/>
  <c r="R7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F331" i="154"/>
  <c r="H331" i="154"/>
  <c r="K331" i="154"/>
  <c r="L331" i="154"/>
  <c r="M331" i="154"/>
  <c r="N331" i="154"/>
  <c r="F332" i="154"/>
  <c r="F333" i="154"/>
  <c r="F334" i="154"/>
  <c r="F335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R6" i="157"/>
  <c r="R7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K331" i="158"/>
  <c r="L331" i="158"/>
  <c r="M331" i="158"/>
  <c r="N331" i="158"/>
  <c r="F332" i="158"/>
  <c r="F333" i="158"/>
  <c r="F334" i="158"/>
  <c r="F335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F325" i="154"/>
  <c r="H325" i="154"/>
  <c r="K325" i="154"/>
  <c r="L325" i="154"/>
  <c r="M325" i="154"/>
  <c r="N325" i="154"/>
  <c r="F326" i="154"/>
  <c r="F327" i="154"/>
  <c r="F328" i="154"/>
  <c r="F329" i="154"/>
  <c r="F330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I3" i="159"/>
  <c r="D3" i="159"/>
  <c r="E3" i="159"/>
  <c r="I4" i="159"/>
  <c r="D4" i="159"/>
  <c r="E4" i="159"/>
  <c r="I2" i="159"/>
  <c r="E2" i="159"/>
  <c r="D2" i="159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P4" i="159"/>
  <c r="N4" i="159"/>
  <c r="M4" i="159"/>
  <c r="L4" i="159"/>
  <c r="K4" i="159"/>
  <c r="J4" i="159"/>
  <c r="H4" i="159"/>
  <c r="F4" i="159"/>
  <c r="C4" i="159"/>
  <c r="P3" i="159"/>
  <c r="N3" i="159"/>
  <c r="M3" i="159"/>
  <c r="L3" i="159"/>
  <c r="K3" i="159"/>
  <c r="J3" i="159"/>
  <c r="H3" i="159"/>
  <c r="F3" i="159"/>
  <c r="C3" i="159"/>
  <c r="P2" i="159"/>
  <c r="N2" i="159"/>
  <c r="M2" i="159"/>
  <c r="L2" i="159"/>
  <c r="K2" i="159"/>
  <c r="J2" i="159"/>
  <c r="H2" i="159"/>
  <c r="F2" i="159"/>
  <c r="C2" i="159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<sst xmlns="http://schemas.openxmlformats.org/spreadsheetml/2006/main" count="535" uniqueCount="256">
  <si>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</si>
  <si>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</si>
  <si>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</si>
  <si>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</si>
  <si>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</si>
  <si>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</si>
  <si>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</si>
  <si>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</si>
  <si>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</si>
  <si>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</si>
  <si>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</si>
  <si>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</si>
  <si>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</si>
  <si>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</si>
  <si>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</si>
  <si>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</si>
  <si>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</si>
  <si>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</si>
  <si>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</si>
  <si>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</si>
  <si>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</si>
  <si>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</si>
  <si>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</si>
  <si>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</si>
  <si>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</si>
  <si>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</si>
  <si>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</si>
  <si>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</si>
  <si>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</si>
  <si>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</si>
  <si>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</si>
  <si>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</si>
  <si>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</si>
  <si>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</si>
  <si>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</si>
  <si>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</si>
  <si>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</si>
  <si>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</si>
  <si>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</si>
  <si>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</si>
  <si>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</si>
  <si>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</si>
  <si>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</si>
  <si>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</si>
  <si>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</si>
  <si>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</si>
  <si>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</si>
  <si>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</si>
  <si>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</si>
  <si>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</si>
  <si>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</si>
  <si>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</si>
  <si>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</si>
  <si>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</si>
  <si>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</si>
  <si>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</si>
  <si>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</si>
  <si>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</si>
  <si>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</si>
  <si>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</si>
  <si>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</si>
  <si>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</si>
  <si>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</si>
  <si>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</si>
  <si>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</si>
  <si>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</si>
  <si>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</si>
  <si>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</si>
  <si>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</si>
  <si>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</si>
  <si>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</si>
  <si>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</si>
  <si>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</si>
  <si>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</si>
  <si>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</si>
  <si>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</si>
  <si>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</si>
  <si>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</si>
  <si>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</si>
  <si>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</si>
  <si>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</si>
  <si>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</si>
  <si>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</si>
  <si>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</si>
  <si>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</si>
  <si>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</si>
  <si>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</si>
  <si>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</si>
  <si>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</si>
  <si>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</si>
  <si>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</si>
  <si>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</si>
  <si>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</si>
  <si>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</si>
  <si>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</si>
  <si>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</si>
  <si>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</si>
  <si>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</si>
  <si>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</si>
  <si>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</si>
  <si>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</si>
  <si>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</si>
  <si>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</si>
  <si>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</si>
  <si>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</si>
  <si>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</si>
  <si>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</si>
  <si>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</si>
  <si>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</si>
  <si>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</si>
  <si>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</si>
  <si>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</si>
  <si>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</si>
  <si>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</si>
  <si>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</si>
  <si>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</si>
  <si>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</si>
  <si>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</si>
  <si>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</si>
  <si>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</si>
  <si>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</si>
  <si>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</si>
  <si>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</si>
  <si>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</si>
  <si>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</si>
  <si>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</si>
  <si>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</si>
  <si>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</si>
  <si>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</si>
  <si>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</si>
  <si>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</si>
  <si>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</si>
  <si>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</si>
  <si>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</si>
  <si>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</si>
  <si>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</si>
  <si>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</si>
  <si>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</si>
  <si>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</si>
  <si>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</si>
  <si>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</si>
  <si>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</si>
  <si>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</si>
  <si>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</si>
  <si>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</si>
  <si>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</si>
  <si>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</si>
  <si>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</si>
  <si>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</si>
  <si>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</si>
  <si>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</si>
  <si>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</si>
  <si>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</si>
  <si>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</si>
  <si>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</si>
  <si>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</si>
  <si>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</si>
  <si>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</si>
  <si>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</si>
  <si>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</si>
  <si>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</si>
  <si>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</si>
  <si>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</si>
  <si>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</si>
  <si>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</si>
  <si>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</si>
  <si>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</si>
  <si>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</si>
  <si>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</si>
  <si>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</si>
  <si>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</si>
  <si>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</si>
  <si>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</si>
  <si>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</si>
  <si>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</si>
  <si>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</si>
  <si>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</si>
  <si>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</si>
  <si>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</si>
  <si>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</si>
  <si>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</si>
  <si>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</si>
  <si>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</si>
  <si>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</si>
  <si>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</si>
  <si>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</si>
  <si>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</si>
  <si>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</si>
  <si>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</si>
  <si>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</si>
  <si>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</si>
  <si>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</si>
  <si>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</si>
  <si>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</si>
  <si>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</si>
  <si>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</si>
  <si>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</si>
  <si>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</si>
  <si>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</si>
  <si>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</si>
  <si>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</si>
  <si>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</si>
  <si>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</si>
  <si>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</si>
  <si>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</si>
  <si>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</si>
  <si>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</si>
  <si>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</si>
  <si>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</si>
  <si>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</si>
  <si>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</si>
  <si>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</si>
  <si>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</si>
  <si>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</si>
  <si>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</si>
  <si>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</si>
  <si>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</si>
  <si>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</si>
  <si>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</si>
  <si>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</si>
  <si>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</si>
  <si>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</si>
  <si>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</si>
  <si>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</si>
  <si>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</si>
  <si>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</si>
  <si>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</si>
  <si>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</si>
  <si>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</si>
  <si>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</si>
  <si>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</si>
  <si>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</si>
  <si>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</si>
  <si>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</si>
  <si>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</si>
  <si>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</si>
  <si>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</si>
  <si>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</si>
  <si>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</si>
  <si>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</si>
  <si>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</si>
  <si>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</si>
  <si>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</si>
  <si>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</si>
  <si>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</si>
  <si>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</si>
  <si>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</si>
  <si>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</si>
  <si>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</si>
  <si>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</si>
  <si>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</si>
  <si>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</si>
  <si>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</si>
  <si>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tables_449100</t>
  </si>
  <si>
    <t>tables_449010</t>
  </si>
  <si>
    <t>tables_settle_449105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</si>
</sst>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4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3036" applyFont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3" fillId="4" borderId="1" xfId="2978" applyFont="1" applyFill="1" applyBorder="1"/>
    <xf numFmtId="0" fontId="0" fillId="0" borderId="0" xfId="0" applyFill="1" applyBorder="1"/>
    <xf numFmtId="177" fontId="0" fillId="0" borderId="0" xfId="3575" applyNumberFormat="1" applyFont="1" applyFill="1" applyBorder="1"/>
    <xf numFmtId="0" fontId="54" fillId="0" borderId="0" xfId="0" applyFont="1" applyFill="1" applyBorder="1" applyAlignment="1">
      <alignment vertical="center"/>
    </xf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attack</v>
          </cell>
          <cell r="L1165" t="str">
            <v>攻撃タイプ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attack</v>
          </cell>
          <cell r="L1166" t="str">
            <v>攻撃タイプ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balance</v>
          </cell>
          <cell r="L1167" t="str">
            <v>バランスタイプ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balance</v>
          </cell>
          <cell r="L1168" t="str">
            <v>バランスタイプ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unknown</v>
          </cell>
        </row>
        <row r="1220">
          <cell r="A1220">
            <v>1219</v>
          </cell>
          <cell r="B1220" t="str">
            <v>ja</v>
          </cell>
          <cell r="C1220" t="str">
            <v>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unknown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芥川龍之介</v>
          </cell>
          <cell r="H1230" t="str">
            <v>blue</v>
          </cell>
          <cell r="I1230">
            <v>6</v>
          </cell>
          <cell r="J1230" t="str">
            <v>PremiumSS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attack</v>
          </cell>
          <cell r="L1243" t="str">
            <v>攻撃タイプ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attack</v>
          </cell>
          <cell r="L1244" t="str">
            <v>攻撃タイプ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attack</v>
          </cell>
          <cell r="L1247" t="str">
            <v>攻撃タイプ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attack</v>
          </cell>
          <cell r="L1248" t="str">
            <v>攻撃タイプ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blue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blue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attack</v>
          </cell>
          <cell r="L1296" t="str">
            <v>攻撃タイプ</v>
          </cell>
          <cell r="M1296" t="str">
            <v>human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attack</v>
          </cell>
          <cell r="L1297" t="str">
            <v>攻撃タイプ</v>
          </cell>
          <cell r="M1297" t="str">
            <v>human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attack</v>
          </cell>
          <cell r="L1298" t="str">
            <v>攻撃タイプ</v>
          </cell>
          <cell r="M1298" t="str">
            <v>human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attack</v>
          </cell>
          <cell r="L1299" t="str">
            <v>攻撃タイプ</v>
          </cell>
          <cell r="M1299" t="str">
            <v>human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balance</v>
          </cell>
          <cell r="L1301" t="str">
            <v>バランスタイプ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balance</v>
          </cell>
          <cell r="L1302" t="str">
            <v>バランスタイプ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balance</v>
          </cell>
          <cell r="L1305" t="str">
            <v>バランスタイプ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balance</v>
          </cell>
          <cell r="L1306" t="str">
            <v>バランスタイプ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</v>
          </cell>
          <cell r="K1307" t="str">
            <v>balance</v>
          </cell>
          <cell r="L1307" t="str">
            <v>バランスタイプ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</v>
          </cell>
          <cell r="K1308" t="str">
            <v>balance</v>
          </cell>
          <cell r="L1308" t="str">
            <v>バランスタイプ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technical</v>
          </cell>
          <cell r="L1311" t="str">
            <v>テクニカルタイプ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DropWizS</v>
          </cell>
          <cell r="K1317" t="str">
            <v>attack</v>
          </cell>
          <cell r="L1317" t="str">
            <v>攻撃タイプ</v>
          </cell>
          <cell r="M1317" t="str">
            <v>human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DropWizS</v>
          </cell>
          <cell r="K1318" t="str">
            <v>attack</v>
          </cell>
          <cell r="L1318" t="str">
            <v>攻撃タイプ</v>
          </cell>
          <cell r="M1318" t="str">
            <v>human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DropWizS</v>
          </cell>
          <cell r="K1319" t="str">
            <v>attack</v>
          </cell>
          <cell r="L1319" t="str">
            <v>攻撃タイプ</v>
          </cell>
          <cell r="M1319" t="str">
            <v>human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DropWizS</v>
          </cell>
          <cell r="K1320" t="str">
            <v>attack</v>
          </cell>
          <cell r="L1320" t="str">
            <v>攻撃タイプ</v>
          </cell>
          <cell r="M1320" t="str">
            <v>human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DropWizS</v>
          </cell>
          <cell r="K1321" t="str">
            <v>attack</v>
          </cell>
          <cell r="L1321" t="str">
            <v>攻撃タイプ</v>
          </cell>
          <cell r="M1321" t="str">
            <v>human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human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DropWizS</v>
          </cell>
          <cell r="K1323" t="str">
            <v>attack</v>
          </cell>
          <cell r="L1323" t="str">
            <v>攻撃タイプ</v>
          </cell>
          <cell r="M1323" t="str">
            <v>human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DropWizS</v>
          </cell>
          <cell r="K1324" t="str">
            <v>attack</v>
          </cell>
          <cell r="L1324" t="str">
            <v>攻撃タイプ</v>
          </cell>
          <cell r="M1324" t="str">
            <v>human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フェルメール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heal</v>
          </cell>
          <cell r="L1368" t="str">
            <v>回復タイプ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フェルメール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heal</v>
          </cell>
          <cell r="L1369" t="str">
            <v>回復タイプ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6001</v>
          </cell>
          <cell r="B1372" t="str">
            <v>ja</v>
          </cell>
          <cell r="C1372" t="str">
            <v>ジェリー</v>
          </cell>
          <cell r="D1372" t="str">
            <v>ノーマルクエスト</v>
          </cell>
          <cell r="E1372" t="str">
            <v>QoH</v>
          </cell>
          <cell r="F1372" t="str">
            <v>世界観</v>
          </cell>
          <cell r="G1372" t="str">
            <v>不明</v>
          </cell>
          <cell r="H1372" t="str">
            <v>red</v>
          </cell>
          <cell r="I1372">
            <v>1</v>
          </cell>
          <cell r="J1372" t="str">
            <v>Drop1T</v>
          </cell>
          <cell r="K1372" t="str">
            <v>ra</v>
          </cell>
          <cell r="L1372" t="str">
            <v>ラグランジュチャレンジ</v>
          </cell>
          <cell r="M1372" t="str">
            <v>unknown</v>
          </cell>
        </row>
        <row r="1373">
          <cell r="A1373">
            <v>6002</v>
          </cell>
          <cell r="B1373" t="str">
            <v>ja</v>
          </cell>
          <cell r="C1373" t="str">
            <v>ヨシタカ</v>
          </cell>
          <cell r="D1373" t="str">
            <v>ノーマルクエスト</v>
          </cell>
          <cell r="E1373" t="str">
            <v>アバター</v>
          </cell>
          <cell r="F1373" t="str">
            <v>世界観</v>
          </cell>
          <cell r="G1373" t="str">
            <v>男性</v>
          </cell>
          <cell r="H1373" t="str">
            <v>red</v>
          </cell>
          <cell r="I1373">
            <v>2</v>
          </cell>
          <cell r="J1373" t="str">
            <v>Drop1N</v>
          </cell>
          <cell r="K1373" t="str">
            <v>ra</v>
          </cell>
          <cell r="L1373" t="str">
            <v>ラグランジュチャレンジ</v>
          </cell>
          <cell r="M1373" t="str">
            <v>human</v>
          </cell>
        </row>
        <row r="1374">
          <cell r="A1374">
            <v>6003</v>
          </cell>
          <cell r="B1374" t="str">
            <v>ja</v>
          </cell>
          <cell r="C1374" t="str">
            <v>朱雀</v>
          </cell>
          <cell r="D1374" t="str">
            <v>リンクガチャ:4神</v>
          </cell>
          <cell r="E1374" t="str">
            <v>守護神</v>
          </cell>
          <cell r="F1374" t="str">
            <v>格好いい</v>
          </cell>
          <cell r="G1374" t="str">
            <v>不明</v>
          </cell>
          <cell r="H1374" t="str">
            <v>red</v>
          </cell>
          <cell r="I1374">
            <v>3</v>
          </cell>
          <cell r="J1374" t="str">
            <v>Drop2N</v>
          </cell>
          <cell r="K1374" t="str">
            <v>ra</v>
          </cell>
          <cell r="L1374" t="str">
            <v>ラグランジュチャレンジ</v>
          </cell>
          <cell r="M1374" t="str">
            <v>animal</v>
          </cell>
        </row>
        <row r="1375">
          <cell r="A1375">
            <v>6004</v>
          </cell>
          <cell r="B1375" t="str">
            <v>ja</v>
          </cell>
          <cell r="C1375" t="str">
            <v>ブレット</v>
          </cell>
          <cell r="D1375" t="str">
            <v>ノーマルクエスト</v>
          </cell>
          <cell r="E1375" t="str">
            <v>アバター</v>
          </cell>
          <cell r="F1375" t="str">
            <v>世界観</v>
          </cell>
          <cell r="G1375" t="str">
            <v>不明</v>
          </cell>
          <cell r="H1375" t="str">
            <v>red</v>
          </cell>
          <cell r="I1375">
            <v>1</v>
          </cell>
          <cell r="J1375" t="str">
            <v>Drop1W</v>
          </cell>
          <cell r="K1375" t="str">
            <v>ra</v>
          </cell>
          <cell r="L1375" t="str">
            <v>ラグランジュチャレンジ</v>
          </cell>
          <cell r="M1375" t="str">
            <v>animal</v>
          </cell>
        </row>
        <row r="1376">
          <cell r="A1376">
            <v>6005</v>
          </cell>
          <cell r="B1376" t="str">
            <v>ja</v>
          </cell>
          <cell r="C1376" t="str">
            <v>孤神 テティス</v>
          </cell>
          <cell r="D1376" t="str">
            <v>初期ガチャ</v>
          </cell>
          <cell r="E1376" t="str">
            <v>管理者</v>
          </cell>
          <cell r="F1376" t="str">
            <v>美しい</v>
          </cell>
          <cell r="G1376" t="str">
            <v>女性</v>
          </cell>
          <cell r="H1376" t="str">
            <v>blue</v>
          </cell>
          <cell r="I1376">
            <v>4</v>
          </cell>
          <cell r="J1376" t="str">
            <v>PremiumN</v>
          </cell>
          <cell r="K1376" t="str">
            <v>ra</v>
          </cell>
          <cell r="L1376" t="str">
            <v>ラグランジュチャレンジ</v>
          </cell>
          <cell r="M1376" t="str">
            <v>god</v>
          </cell>
        </row>
        <row r="1377">
          <cell r="A1377">
            <v>6006</v>
          </cell>
          <cell r="B1377" t="str">
            <v>ja</v>
          </cell>
          <cell r="C1377" t="str">
            <v>海底の孤高神 テティス</v>
          </cell>
          <cell r="D1377" t="str">
            <v>初期ガチャ</v>
          </cell>
          <cell r="E1377" t="str">
            <v>管理者</v>
          </cell>
          <cell r="F1377" t="str">
            <v>美しい</v>
          </cell>
          <cell r="G1377" t="str">
            <v>女性</v>
          </cell>
          <cell r="H1377" t="str">
            <v>blue</v>
          </cell>
          <cell r="I1377">
            <v>5</v>
          </cell>
          <cell r="J1377" t="str">
            <v>PremiumN</v>
          </cell>
          <cell r="K1377" t="str">
            <v>ra</v>
          </cell>
          <cell r="L1377" t="str">
            <v>ラグランジュチャレンジ</v>
          </cell>
          <cell r="M1377" t="str">
            <v>god</v>
          </cell>
        </row>
        <row r="1378">
          <cell r="A1378">
            <v>6007</v>
          </cell>
          <cell r="B1378" t="str">
            <v>ja</v>
          </cell>
          <cell r="C1378" t="str">
            <v>番犬 ケルベロス</v>
          </cell>
          <cell r="D1378" t="str">
            <v>初期ガチャ</v>
          </cell>
          <cell r="E1378" t="str">
            <v>破界者</v>
          </cell>
          <cell r="F1378" t="str">
            <v>可愛い</v>
          </cell>
          <cell r="G1378" t="str">
            <v>女性</v>
          </cell>
          <cell r="H1378" t="str">
            <v>red</v>
          </cell>
          <cell r="I1378">
            <v>4</v>
          </cell>
          <cell r="J1378" t="str">
            <v>PremiumN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6008</v>
          </cell>
          <cell r="B1379" t="str">
            <v>ja</v>
          </cell>
          <cell r="C1379" t="str">
            <v>焔神 プロメテウス</v>
          </cell>
          <cell r="D1379" t="str">
            <v>初期ガチャ</v>
          </cell>
          <cell r="E1379" t="str">
            <v>管理者</v>
          </cell>
          <cell r="F1379" t="str">
            <v>格好いい</v>
          </cell>
          <cell r="G1379" t="str">
            <v>男性</v>
          </cell>
          <cell r="H1379" t="str">
            <v>red</v>
          </cell>
          <cell r="I1379">
            <v>4</v>
          </cell>
          <cell r="J1379" t="str">
            <v>PremiumN</v>
          </cell>
          <cell r="K1379" t="str">
            <v>ra</v>
          </cell>
          <cell r="L1379" t="str">
            <v>ラグランジュチャレンジ</v>
          </cell>
          <cell r="M1379" t="str">
            <v>god</v>
          </cell>
        </row>
        <row r="1380">
          <cell r="A1380">
            <v>6009</v>
          </cell>
          <cell r="B1380" t="str">
            <v>ja</v>
          </cell>
          <cell r="C1380" t="str">
            <v>超越自我 ラグランジュ</v>
          </cell>
          <cell r="D1380" t="str">
            <v>ガチャ:フィーバーフェス02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red</v>
          </cell>
          <cell r="I1380">
            <v>5</v>
          </cell>
          <cell r="J1380" t="str">
            <v>PremiumSSS</v>
          </cell>
          <cell r="K1380" t="str">
            <v>ra</v>
          </cell>
          <cell r="L1380" t="str">
            <v>ラグランジュチャレンジ</v>
          </cell>
          <cell r="M1380" t="str">
            <v>human</v>
          </cell>
        </row>
        <row r="1381">
          <cell r="A1381">
            <v>6010</v>
          </cell>
          <cell r="B1381" t="str">
            <v>ja</v>
          </cell>
          <cell r="C1381" t="str">
            <v>超越凌駕 ラグランジュ</v>
          </cell>
          <cell r="D1381" t="str">
            <v>ガチャ:フィーバーフェス02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red</v>
          </cell>
          <cell r="I1381">
            <v>6</v>
          </cell>
          <cell r="J1381" t="str">
            <v>PremiumSSS</v>
          </cell>
          <cell r="K1381" t="str">
            <v>ra</v>
          </cell>
          <cell r="L1381" t="str">
            <v>ラグランジュチャレンジ</v>
          </cell>
          <cell r="M1381" t="str">
            <v>human</v>
          </cell>
        </row>
        <row r="1382">
          <cell r="A1382">
            <v>6011</v>
          </cell>
          <cell r="B1382" t="str">
            <v>ja</v>
          </cell>
          <cell r="C1382" t="str">
            <v>パトドッグリーダー ポチ</v>
          </cell>
          <cell r="D1382" t="str">
            <v>ガチャ:フィーバーフェス02</v>
          </cell>
          <cell r="E1382" t="str">
            <v>執行者</v>
          </cell>
          <cell r="F1382" t="str">
            <v>格好いい</v>
          </cell>
          <cell r="G1382" t="str">
            <v>男性</v>
          </cell>
          <cell r="H1382" t="str">
            <v>blue</v>
          </cell>
          <cell r="I1382">
            <v>2</v>
          </cell>
          <cell r="J1382" t="str">
            <v>Drop1T</v>
          </cell>
          <cell r="K1382" t="str">
            <v>ra002</v>
          </cell>
          <cell r="L1382" t="str">
            <v>ユークリッドチャレンジ</v>
          </cell>
          <cell r="M1382" t="str">
            <v>unknown</v>
          </cell>
        </row>
        <row r="1383">
          <cell r="A1383">
            <v>6012</v>
          </cell>
          <cell r="B1383" t="str">
            <v>ja</v>
          </cell>
          <cell r="C1383" t="str">
            <v>ミミ</v>
          </cell>
          <cell r="D1383" t="str">
            <v>ガチャ:フィーバーフェス02</v>
          </cell>
          <cell r="E1383" t="str">
            <v>執行者</v>
          </cell>
          <cell r="F1383" t="str">
            <v>格好いい</v>
          </cell>
          <cell r="G1383" t="str">
            <v>男性</v>
          </cell>
          <cell r="H1383" t="str">
            <v>yellow</v>
          </cell>
          <cell r="I1383">
            <v>1</v>
          </cell>
          <cell r="J1383" t="str">
            <v>Drop1W</v>
          </cell>
          <cell r="K1383" t="str">
            <v>ra002</v>
          </cell>
          <cell r="L1383" t="str">
            <v>ユークリッドチャレンジ</v>
          </cell>
          <cell r="M1383" t="str">
            <v>animal</v>
          </cell>
        </row>
        <row r="1384">
          <cell r="A1384">
            <v>6013</v>
          </cell>
          <cell r="B1384" t="str">
            <v>ja</v>
          </cell>
          <cell r="C1384" t="str">
            <v>護衛機人 スケアクロウ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男性</v>
          </cell>
          <cell r="H1384" t="str">
            <v>blue</v>
          </cell>
          <cell r="I1384">
            <v>2</v>
          </cell>
          <cell r="J1384" t="str">
            <v>Drop1N</v>
          </cell>
          <cell r="K1384" t="str">
            <v>ra002</v>
          </cell>
          <cell r="L1384" t="str">
            <v>ユークリッドチャレンジ</v>
          </cell>
          <cell r="M1384" t="str">
            <v>machine</v>
          </cell>
        </row>
        <row r="1385">
          <cell r="A1385">
            <v>6014</v>
          </cell>
          <cell r="B1385" t="str">
            <v>ja</v>
          </cell>
          <cell r="C1385" t="str">
            <v>月下の人狼 ローレンス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男性</v>
          </cell>
          <cell r="H1385" t="str">
            <v>blue</v>
          </cell>
          <cell r="I1385">
            <v>4</v>
          </cell>
          <cell r="J1385" t="str">
            <v>PremiumW</v>
          </cell>
          <cell r="K1385" t="str">
            <v>ra002</v>
          </cell>
          <cell r="L1385" t="str">
            <v>ユークリッドチャレンジ</v>
          </cell>
          <cell r="M1385" t="str">
            <v>animal</v>
          </cell>
        </row>
        <row r="1386">
          <cell r="A1386">
            <v>6015</v>
          </cell>
          <cell r="B1386" t="str">
            <v>ja</v>
          </cell>
          <cell r="C1386" t="str">
            <v>フレイヤ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4</v>
          </cell>
          <cell r="J1386" t="str">
            <v>PremiumSS</v>
          </cell>
          <cell r="K1386" t="str">
            <v>ra002</v>
          </cell>
          <cell r="L1386" t="str">
            <v>ユークリッドチャレンジ</v>
          </cell>
          <cell r="M1386" t="str">
            <v>animal</v>
          </cell>
        </row>
        <row r="1387">
          <cell r="A1387">
            <v>6016</v>
          </cell>
          <cell r="B1387" t="str">
            <v>ja</v>
          </cell>
          <cell r="C1387" t="str">
            <v>根原論理 ユークリッド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blue</v>
          </cell>
          <cell r="I1387">
            <v>5</v>
          </cell>
          <cell r="J1387" t="str">
            <v>PremiumSSS</v>
          </cell>
          <cell r="K1387" t="str">
            <v>ra002</v>
          </cell>
          <cell r="L1387" t="str">
            <v>ユークリッドチャレンジ</v>
          </cell>
          <cell r="M1387" t="str">
            <v>human</v>
          </cell>
        </row>
        <row r="1388">
          <cell r="A1388">
            <v>6017</v>
          </cell>
          <cell r="B1388" t="str">
            <v>ja</v>
          </cell>
          <cell r="C1388" t="str">
            <v>不朽の極論 ユークリッド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6</v>
          </cell>
          <cell r="J1388" t="str">
            <v>PremiumSSS</v>
          </cell>
          <cell r="K1388" t="str">
            <v>ra002</v>
          </cell>
          <cell r="L1388" t="str">
            <v>ユークリッドチャレンジ</v>
          </cell>
          <cell r="M1388" t="str">
            <v>human</v>
          </cell>
        </row>
        <row r="1389">
          <cell r="A1389">
            <v>6018</v>
          </cell>
          <cell r="B1389" t="str">
            <v>ja</v>
          </cell>
          <cell r="C1389" t="str">
            <v>ハヅル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red</v>
          </cell>
          <cell r="I1389">
            <v>4</v>
          </cell>
          <cell r="J1389" t="str">
            <v>PremiumSS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6019</v>
          </cell>
          <cell r="B1390" t="str">
            <v>ja</v>
          </cell>
          <cell r="C1390" t="str">
            <v>天織羽鶴 ハヅル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red</v>
          </cell>
          <cell r="I1390">
            <v>5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6020</v>
          </cell>
          <cell r="B1391" t="str">
            <v>ja</v>
          </cell>
          <cell r="C1391" t="str">
            <v>ミズチ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4</v>
          </cell>
          <cell r="J1391" t="str">
            <v>PremiumS</v>
          </cell>
          <cell r="K1391" t="str">
            <v>ra002</v>
          </cell>
          <cell r="L1391" t="str">
            <v>ユークリッドチャレンジ</v>
          </cell>
          <cell r="M1391" t="str">
            <v>dragon</v>
          </cell>
        </row>
        <row r="1392">
          <cell r="A1392">
            <v>8001</v>
          </cell>
          <cell r="B1392" t="str">
            <v>ja</v>
          </cell>
          <cell r="C1392" t="str">
            <v>媽祖</v>
          </cell>
          <cell r="D1392" t="str">
            <v>イベント:ミクコラボ01</v>
          </cell>
          <cell r="E1392" t="str">
            <v>執行者</v>
          </cell>
          <cell r="F1392" t="str">
            <v>格好いい</v>
          </cell>
          <cell r="G1392" t="str">
            <v>女性</v>
          </cell>
          <cell r="H1392" t="str">
            <v>yellow</v>
          </cell>
          <cell r="I1392">
            <v>5</v>
          </cell>
          <cell r="J1392" t="str">
            <v>PremiumSS</v>
          </cell>
          <cell r="K1392" t="str">
            <v>attack</v>
          </cell>
          <cell r="L1392" t="str">
            <v>攻撃タイプ</v>
          </cell>
          <cell r="M1392" t="str">
            <v>god</v>
          </cell>
        </row>
        <row r="1393">
          <cell r="A1393">
            <v>8002</v>
          </cell>
          <cell r="B1393" t="str">
            <v>ja</v>
          </cell>
          <cell r="C1393" t="str">
            <v>天后 媽祖</v>
          </cell>
          <cell r="D1393" t="str">
            <v>イベント:ミクコラボ01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yellow</v>
          </cell>
          <cell r="I1393">
            <v>6</v>
          </cell>
          <cell r="J1393" t="str">
            <v>PremiumSS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8003</v>
          </cell>
          <cell r="B1394" t="str">
            <v>ja</v>
          </cell>
          <cell r="C1394" t="str">
            <v>蛟龍</v>
          </cell>
          <cell r="D1394" t="str">
            <v>イベント:ミクコラボ01</v>
          </cell>
          <cell r="E1394" t="str">
            <v>執行者</v>
          </cell>
          <cell r="F1394" t="str">
            <v>格好いい</v>
          </cell>
          <cell r="G1394" t="str">
            <v>不明</v>
          </cell>
          <cell r="H1394" t="str">
            <v>blue</v>
          </cell>
          <cell r="I1394">
            <v>5</v>
          </cell>
          <cell r="J1394" t="str">
            <v>DropWizS</v>
          </cell>
          <cell r="K1394" t="str">
            <v>hp</v>
          </cell>
          <cell r="L1394" t="str">
            <v>体力タイプ</v>
          </cell>
          <cell r="M1394" t="str">
            <v>dragon</v>
          </cell>
        </row>
        <row r="1395">
          <cell r="A1395">
            <v>8004</v>
          </cell>
          <cell r="B1395" t="str">
            <v>ja</v>
          </cell>
          <cell r="C1395" t="str">
            <v>深海蛟龍怪‧晏公</v>
          </cell>
          <cell r="D1395" t="str">
            <v>イベント:ミクコラボ01</v>
          </cell>
          <cell r="E1395" t="str">
            <v>執行者</v>
          </cell>
          <cell r="F1395" t="str">
            <v>格好いい</v>
          </cell>
          <cell r="G1395" t="str">
            <v>不明</v>
          </cell>
          <cell r="H1395" t="str">
            <v>blue</v>
          </cell>
          <cell r="I1395">
            <v>6</v>
          </cell>
          <cell r="J1395" t="str">
            <v>DropWizS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  <row r="1396">
          <cell r="A1396">
            <v>8005</v>
          </cell>
          <cell r="B1396" t="str">
            <v>ja</v>
          </cell>
          <cell r="C1396" t="str">
            <v>三蔵法師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不明</v>
          </cell>
          <cell r="H1396" t="str">
            <v>blue</v>
          </cell>
          <cell r="I1396">
            <v>5</v>
          </cell>
          <cell r="J1396" t="str">
            <v>PremiumSS</v>
          </cell>
          <cell r="K1396" t="str">
            <v>balance</v>
          </cell>
          <cell r="L1396" t="str">
            <v>バランスタイプ</v>
          </cell>
          <cell r="M1396" t="str">
            <v>human</v>
          </cell>
        </row>
        <row r="1397">
          <cell r="A1397">
            <v>8006</v>
          </cell>
          <cell r="B1397" t="str">
            <v>ja</v>
          </cell>
          <cell r="C1397" t="str">
            <v>三蔵法師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不明</v>
          </cell>
          <cell r="H1397" t="str">
            <v>blue</v>
          </cell>
          <cell r="I1397">
            <v>6</v>
          </cell>
          <cell r="J1397" t="str">
            <v>PremiumSS</v>
          </cell>
          <cell r="K1397" t="str">
            <v>balance</v>
          </cell>
          <cell r="L1397" t="str">
            <v>バランスタイプ</v>
          </cell>
          <cell r="M1397" t="str">
            <v>human</v>
          </cell>
        </row>
        <row r="1398">
          <cell r="A1398">
            <v>8007</v>
          </cell>
          <cell r="B1398" t="str">
            <v>ja</v>
          </cell>
          <cell r="C1398" t="str">
            <v>孫悟空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red</v>
          </cell>
          <cell r="I1398">
            <v>5</v>
          </cell>
          <cell r="J1398" t="str">
            <v>DropWizS</v>
          </cell>
          <cell r="K1398" t="str">
            <v>attack</v>
          </cell>
          <cell r="L1398" t="str">
            <v>攻撃タイプ</v>
          </cell>
          <cell r="M1398" t="str">
            <v>animal</v>
          </cell>
        </row>
        <row r="1399">
          <cell r="A1399">
            <v>8008</v>
          </cell>
          <cell r="B1399" t="str">
            <v>ja</v>
          </cell>
          <cell r="C1399" t="str">
            <v>孫悟空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red</v>
          </cell>
          <cell r="I1399">
            <v>6</v>
          </cell>
          <cell r="J1399" t="str">
            <v>DropWizS</v>
          </cell>
          <cell r="K1399" t="str">
            <v>attack</v>
          </cell>
          <cell r="L1399" t="str">
            <v>攻撃タイプ</v>
          </cell>
          <cell r="M1399" t="str">
            <v>animal</v>
          </cell>
        </row>
        <row r="1400">
          <cell r="A1400">
            <v>8009</v>
          </cell>
          <cell r="B1400" t="str">
            <v>ja</v>
          </cell>
          <cell r="C1400" t="str">
            <v>西王娘娘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green</v>
          </cell>
          <cell r="I1400">
            <v>5</v>
          </cell>
          <cell r="J1400" t="str">
            <v>PremiumSS</v>
          </cell>
          <cell r="K1400" t="str">
            <v>attack</v>
          </cell>
          <cell r="L1400" t="str">
            <v>攻撃タイプ</v>
          </cell>
          <cell r="M1400" t="str">
            <v>god</v>
          </cell>
        </row>
        <row r="1401">
          <cell r="A1401">
            <v>8010</v>
          </cell>
          <cell r="B1401" t="str">
            <v>ja</v>
          </cell>
          <cell r="C1401" t="str">
            <v>西王娘娘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green</v>
          </cell>
          <cell r="I1401">
            <v>6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8011</v>
          </cell>
          <cell r="B1402" t="str">
            <v>ja</v>
          </cell>
          <cell r="C1402" t="str">
            <v>月下老人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5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god</v>
          </cell>
        </row>
        <row r="1403">
          <cell r="A1403">
            <v>8012</v>
          </cell>
          <cell r="B1403" t="str">
            <v>ja</v>
          </cell>
          <cell r="C1403" t="str">
            <v>良緣祈福 月下老人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女性</v>
          </cell>
          <cell r="H1403" t="str">
            <v>yellow</v>
          </cell>
          <cell r="I1403">
            <v>6</v>
          </cell>
          <cell r="J1403" t="str">
            <v>DropWizS</v>
          </cell>
          <cell r="K1403" t="str">
            <v>balance</v>
          </cell>
          <cell r="L1403" t="str">
            <v>バランスタイプ</v>
          </cell>
          <cell r="M1403" t="str">
            <v>god</v>
          </cell>
        </row>
        <row r="1404">
          <cell r="A1404">
            <v>8013</v>
          </cell>
          <cell r="B1404" t="str">
            <v>ja</v>
          </cell>
          <cell r="C1404" t="str">
            <v>初音ミクV3</v>
          </cell>
          <cell r="D1404" t="str">
            <v>初音ミクV3</v>
          </cell>
          <cell r="E1404" t="str">
            <v>執行者</v>
          </cell>
          <cell r="F1404" t="str">
            <v>格好いい</v>
          </cell>
          <cell r="G1404" t="str">
            <v>女性</v>
          </cell>
          <cell r="H1404" t="str">
            <v>yellow</v>
          </cell>
          <cell r="I1404">
            <v>4</v>
          </cell>
          <cell r="J1404" t="str">
            <v>DropWizS</v>
          </cell>
          <cell r="K1404" t="str">
            <v>balance</v>
          </cell>
          <cell r="L1404" t="str">
            <v>バランスタイプ</v>
          </cell>
          <cell r="M1404" t="str">
            <v>unknown</v>
          </cell>
        </row>
        <row r="1405">
          <cell r="A1405">
            <v>8014</v>
          </cell>
          <cell r="B1405" t="str">
            <v>ja</v>
          </cell>
          <cell r="C1405" t="str">
            <v>初音ミクV3</v>
          </cell>
          <cell r="D1405" t="str">
            <v>初音ミクV3</v>
          </cell>
          <cell r="E1405" t="str">
            <v>執行者</v>
          </cell>
          <cell r="F1405" t="str">
            <v>格好いい</v>
          </cell>
          <cell r="G1405" t="str">
            <v>女性</v>
          </cell>
          <cell r="H1405" t="str">
            <v>yellow</v>
          </cell>
          <cell r="I1405">
            <v>5</v>
          </cell>
          <cell r="J1405" t="str">
            <v>DropWizS</v>
          </cell>
          <cell r="K1405" t="str">
            <v>balance</v>
          </cell>
          <cell r="L1405" t="str">
            <v>バランスタイプ</v>
          </cell>
          <cell r="M1405" t="str">
            <v>unknown</v>
          </cell>
        </row>
        <row r="1406">
          <cell r="A1406">
            <v>8015</v>
          </cell>
          <cell r="B1406" t="str">
            <v>ja</v>
          </cell>
          <cell r="C1406" t="str">
            <v>初音ミク・アペンド</v>
          </cell>
          <cell r="D1406" t="str">
            <v>初音ミク・アペンド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green</v>
          </cell>
          <cell r="I1406">
            <v>4</v>
          </cell>
          <cell r="J1406" t="str">
            <v>PremiumSSS</v>
          </cell>
          <cell r="K1406" t="str">
            <v>technical</v>
          </cell>
          <cell r="L1406" t="str">
            <v>テクニカルタイプ</v>
          </cell>
          <cell r="M1406" t="str">
            <v>unknown</v>
          </cell>
        </row>
        <row r="1407">
          <cell r="A1407">
            <v>8016</v>
          </cell>
          <cell r="B1407" t="str">
            <v>ja</v>
          </cell>
          <cell r="C1407" t="str">
            <v>初音ミク・アペンド</v>
          </cell>
          <cell r="D1407" t="str">
            <v>初音ミク・アペンド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green</v>
          </cell>
          <cell r="I1407">
            <v>5</v>
          </cell>
          <cell r="J1407" t="str">
            <v>PremiumSSS</v>
          </cell>
          <cell r="K1407" t="str">
            <v>technical</v>
          </cell>
          <cell r="L1407" t="str">
            <v>テクニカルタイプ</v>
          </cell>
          <cell r="M1407" t="str">
            <v>unknown</v>
          </cell>
        </row>
        <row r="1408">
          <cell r="A1408">
            <v>8017</v>
          </cell>
          <cell r="B1408" t="str">
            <v>ja</v>
          </cell>
          <cell r="C1408" t="str">
            <v>初音ミク</v>
          </cell>
          <cell r="D1408" t="str">
            <v>初音ミク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green</v>
          </cell>
          <cell r="I1408">
            <v>4</v>
          </cell>
          <cell r="J1408" t="str">
            <v>PremiumSSS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8018</v>
          </cell>
          <cell r="B1409" t="str">
            <v>ja</v>
          </cell>
          <cell r="C1409" t="str">
            <v>初音ミク</v>
          </cell>
          <cell r="D1409" t="str">
            <v>初音ミク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green</v>
          </cell>
          <cell r="I1409">
            <v>5</v>
          </cell>
          <cell r="J1409" t="str">
            <v>PremiumSSS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8019</v>
          </cell>
          <cell r="B1410" t="str">
            <v>ja</v>
          </cell>
          <cell r="C1410" t="str">
            <v>鏡音リン</v>
          </cell>
          <cell r="D1410" t="str">
            <v>鏡音リン</v>
          </cell>
          <cell r="E1410" t="str">
            <v>執行者</v>
          </cell>
          <cell r="F1410" t="str">
            <v>格好いい</v>
          </cell>
          <cell r="G1410" t="str">
            <v>男性</v>
          </cell>
          <cell r="H1410" t="str">
            <v>yellow</v>
          </cell>
          <cell r="I1410">
            <v>4</v>
          </cell>
          <cell r="J1410" t="str">
            <v>PremiumSS</v>
          </cell>
          <cell r="K1410" t="str">
            <v>balance</v>
          </cell>
          <cell r="L1410" t="str">
            <v>バランスタイプ</v>
          </cell>
          <cell r="M1410" t="str">
            <v>unknown</v>
          </cell>
        </row>
        <row r="1411">
          <cell r="A1411">
            <v>8020</v>
          </cell>
          <cell r="B1411" t="str">
            <v>ja</v>
          </cell>
          <cell r="C1411" t="str">
            <v>鏡音リン</v>
          </cell>
          <cell r="D1411" t="str">
            <v>鏡音リン</v>
          </cell>
          <cell r="E1411" t="str">
            <v>執行者</v>
          </cell>
          <cell r="F1411" t="str">
            <v>格好いい</v>
          </cell>
          <cell r="G1411" t="str">
            <v>男性</v>
          </cell>
          <cell r="H1411" t="str">
            <v>yellow</v>
          </cell>
          <cell r="I1411">
            <v>5</v>
          </cell>
          <cell r="J1411" t="str">
            <v>PremiumSS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8021</v>
          </cell>
          <cell r="B1412" t="str">
            <v>ja</v>
          </cell>
          <cell r="C1412" t="str">
            <v>鏡音レン</v>
          </cell>
          <cell r="D1412" t="str">
            <v>鏡音レン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4</v>
          </cell>
          <cell r="J1412" t="str">
            <v>PremiumSS</v>
          </cell>
          <cell r="K1412" t="str">
            <v>heal</v>
          </cell>
          <cell r="L1412" t="str">
            <v>回復タイプ</v>
          </cell>
          <cell r="M1412" t="str">
            <v>unknown</v>
          </cell>
        </row>
        <row r="1413">
          <cell r="A1413">
            <v>8022</v>
          </cell>
          <cell r="B1413" t="str">
            <v>ja</v>
          </cell>
          <cell r="C1413" t="str">
            <v>鏡音レン</v>
          </cell>
          <cell r="D1413" t="str">
            <v>鏡音レン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5</v>
          </cell>
          <cell r="J1413" t="str">
            <v>PremiumSS</v>
          </cell>
          <cell r="K1413" t="str">
            <v>heal</v>
          </cell>
          <cell r="L1413" t="str">
            <v>回復タイプ</v>
          </cell>
          <cell r="M1413" t="str">
            <v>unknown</v>
          </cell>
        </row>
        <row r="1414">
          <cell r="A1414">
            <v>8023</v>
          </cell>
          <cell r="B1414" t="str">
            <v>ja</v>
          </cell>
          <cell r="C1414" t="str">
            <v>巡音ルカ</v>
          </cell>
          <cell r="D1414" t="str">
            <v>巡音ルカ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red</v>
          </cell>
          <cell r="I1414">
            <v>3</v>
          </cell>
          <cell r="J1414" t="str">
            <v>PremiumS</v>
          </cell>
          <cell r="K1414" t="str">
            <v>attack</v>
          </cell>
          <cell r="L1414" t="str">
            <v>攻撃タイプ</v>
          </cell>
          <cell r="M1414" t="str">
            <v>unknown</v>
          </cell>
        </row>
        <row r="1415">
          <cell r="A1415">
            <v>8024</v>
          </cell>
          <cell r="B1415" t="str">
            <v>ja</v>
          </cell>
          <cell r="C1415" t="str">
            <v>巡音ルカ</v>
          </cell>
          <cell r="D1415" t="str">
            <v>巡音ルカ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red</v>
          </cell>
          <cell r="I1415">
            <v>4</v>
          </cell>
          <cell r="J1415" t="str">
            <v>PremiumS</v>
          </cell>
          <cell r="K1415" t="str">
            <v>attack</v>
          </cell>
          <cell r="L1415" t="str">
            <v>攻撃タイプ</v>
          </cell>
          <cell r="M1415" t="str">
            <v>unknown</v>
          </cell>
        </row>
        <row r="1416">
          <cell r="A1416">
            <v>8025</v>
          </cell>
          <cell r="B1416" t="str">
            <v>ja</v>
          </cell>
          <cell r="C1416" t="str">
            <v>MEIKO</v>
          </cell>
          <cell r="D1416" t="str">
            <v>MEIKO</v>
          </cell>
          <cell r="E1416" t="str">
            <v>執行者</v>
          </cell>
          <cell r="F1416" t="str">
            <v>格好いい</v>
          </cell>
          <cell r="G1416" t="str">
            <v>男性</v>
          </cell>
          <cell r="H1416" t="str">
            <v>red</v>
          </cell>
          <cell r="I1416">
            <v>3</v>
          </cell>
          <cell r="J1416" t="str">
            <v>PremiumS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8026</v>
          </cell>
          <cell r="B1417" t="str">
            <v>ja</v>
          </cell>
          <cell r="C1417" t="str">
            <v>MEIKO</v>
          </cell>
          <cell r="D1417" t="str">
            <v>MEIKO</v>
          </cell>
          <cell r="E1417" t="str">
            <v>執行者</v>
          </cell>
          <cell r="F1417" t="str">
            <v>格好いい</v>
          </cell>
          <cell r="G1417" t="str">
            <v>男性</v>
          </cell>
          <cell r="H1417" t="str">
            <v>red</v>
          </cell>
          <cell r="I1417">
            <v>4</v>
          </cell>
          <cell r="J1417" t="str">
            <v>PremiumS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8027</v>
          </cell>
          <cell r="B1418" t="str">
            <v>ja</v>
          </cell>
          <cell r="C1418" t="str">
            <v>KAITO</v>
          </cell>
          <cell r="D1418" t="str">
            <v>KAITO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blue</v>
          </cell>
          <cell r="I1418">
            <v>3</v>
          </cell>
          <cell r="J1418" t="str">
            <v>PremiumS</v>
          </cell>
          <cell r="K1418" t="str">
            <v>technical</v>
          </cell>
          <cell r="L1418" t="str">
            <v>テクニカルタイプ</v>
          </cell>
          <cell r="M1418" t="str">
            <v>unknown</v>
          </cell>
        </row>
        <row r="1419">
          <cell r="A1419">
            <v>8028</v>
          </cell>
          <cell r="B1419" t="str">
            <v>ja</v>
          </cell>
          <cell r="C1419" t="str">
            <v>KAITO</v>
          </cell>
          <cell r="D1419" t="str">
            <v>KAITO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blue</v>
          </cell>
          <cell r="I1419">
            <v>4</v>
          </cell>
          <cell r="J1419" t="str">
            <v>PremiumS</v>
          </cell>
          <cell r="K1419" t="str">
            <v>technical</v>
          </cell>
          <cell r="L1419" t="str">
            <v>テクニカルタイプ</v>
          </cell>
          <cell r="M1419" t="str">
            <v>unknown</v>
          </cell>
        </row>
        <row r="1420">
          <cell r="A1420">
            <v>8029</v>
          </cell>
          <cell r="B1420" t="str">
            <v>ja</v>
          </cell>
          <cell r="C1420" t="str">
            <v>Expoミク</v>
          </cell>
          <cell r="D1420" t="str">
            <v>Expoミク</v>
          </cell>
          <cell r="E1420" t="str">
            <v>執行者</v>
          </cell>
          <cell r="F1420" t="str">
            <v>格好いい</v>
          </cell>
          <cell r="G1420" t="str">
            <v>女性</v>
          </cell>
          <cell r="H1420" t="str">
            <v>blue</v>
          </cell>
          <cell r="I1420">
            <v>4</v>
          </cell>
          <cell r="J1420" t="str">
            <v>Drop2N</v>
          </cell>
          <cell r="K1420" t="str">
            <v>heal</v>
          </cell>
          <cell r="L1420" t="str">
            <v>回復タイプ</v>
          </cell>
          <cell r="M1420" t="str">
            <v>unknown</v>
          </cell>
        </row>
        <row r="1421">
          <cell r="A1421">
            <v>8030</v>
          </cell>
          <cell r="B1421" t="str">
            <v>ja</v>
          </cell>
          <cell r="C1421" t="str">
            <v>Expoミク</v>
          </cell>
          <cell r="D1421" t="str">
            <v>Expoミク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blue</v>
          </cell>
          <cell r="I1421">
            <v>4</v>
          </cell>
          <cell r="J1421" t="str">
            <v>Drop2N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8031</v>
          </cell>
          <cell r="B1422" t="str">
            <v>ja</v>
          </cell>
          <cell r="C1422" t="str">
            <v>閻羅王</v>
          </cell>
          <cell r="D1422" t="str">
            <v>Expoミク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red</v>
          </cell>
          <cell r="I1422">
            <v>5</v>
          </cell>
          <cell r="J1422" t="str">
            <v>PremiumSS</v>
          </cell>
          <cell r="K1422" t="str">
            <v>balance</v>
          </cell>
          <cell r="L1422" t="str">
            <v>バランスタイプ</v>
          </cell>
          <cell r="M1422" t="str">
            <v>god</v>
          </cell>
        </row>
        <row r="1423">
          <cell r="A1423">
            <v>8032</v>
          </cell>
          <cell r="B1423" t="str">
            <v>ja</v>
          </cell>
          <cell r="C1423" t="str">
            <v>十殿閻羅王</v>
          </cell>
          <cell r="D1423" t="str">
            <v>Expoミク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6</v>
          </cell>
          <cell r="J1423" t="str">
            <v>PremiumSS</v>
          </cell>
          <cell r="K1423" t="str">
            <v>balance</v>
          </cell>
          <cell r="L1423" t="str">
            <v>バランスタイプ</v>
          </cell>
          <cell r="M1423" t="str">
            <v>god</v>
          </cell>
        </row>
        <row r="1424">
          <cell r="A1424">
            <v>8033</v>
          </cell>
          <cell r="B1424" t="str">
            <v>ja</v>
          </cell>
          <cell r="C1424" t="str">
            <v>牛頭馬面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green</v>
          </cell>
          <cell r="I1424">
            <v>5</v>
          </cell>
          <cell r="J1424" t="str">
            <v>DropWizS</v>
          </cell>
          <cell r="K1424" t="str">
            <v>attack</v>
          </cell>
          <cell r="L1424" t="str">
            <v>攻撃タイプ</v>
          </cell>
          <cell r="M1424" t="str">
            <v>god</v>
          </cell>
        </row>
        <row r="1425">
          <cell r="A1425">
            <v>8034</v>
          </cell>
          <cell r="B1425" t="str">
            <v>ja</v>
          </cell>
          <cell r="C1425" t="str">
            <v>牛頭馬面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green</v>
          </cell>
          <cell r="I1425">
            <v>6</v>
          </cell>
          <cell r="J1425" t="str">
            <v>DropWizS</v>
          </cell>
          <cell r="K1425" t="str">
            <v>attack</v>
          </cell>
          <cell r="L1425" t="str">
            <v>攻撃タイプ</v>
          </cell>
          <cell r="M1425" t="str">
            <v>god</v>
          </cell>
        </row>
        <row r="1426">
          <cell r="A1426">
            <v>8035</v>
          </cell>
          <cell r="B1426" t="str">
            <v>ja</v>
          </cell>
          <cell r="C1426" t="str">
            <v>嫦娥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blue</v>
          </cell>
          <cell r="I1426">
            <v>4</v>
          </cell>
          <cell r="J1426" t="str">
            <v>Drop2N</v>
          </cell>
          <cell r="K1426" t="str">
            <v>heal</v>
          </cell>
          <cell r="L1426" t="str">
            <v>回復タイプ</v>
          </cell>
          <cell r="M1426" t="str">
            <v>unknown</v>
          </cell>
        </row>
        <row r="1427">
          <cell r="A1427">
            <v>8036</v>
          </cell>
          <cell r="B1427" t="str">
            <v>ja</v>
          </cell>
          <cell r="C1427" t="str">
            <v>嫦娥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4</v>
          </cell>
          <cell r="J1427" t="str">
            <v>Drop2N</v>
          </cell>
          <cell r="K1427" t="str">
            <v>heal</v>
          </cell>
          <cell r="L1427" t="str">
            <v>回復タイプ</v>
          </cell>
          <cell r="M1427" t="str">
            <v>unknown</v>
          </cell>
        </row>
        <row r="1428">
          <cell r="A1428">
            <v>8037</v>
          </cell>
          <cell r="B1428" t="str">
            <v>ja</v>
          </cell>
          <cell r="C1428" t="str">
            <v>后羿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heal</v>
          </cell>
          <cell r="L1428" t="str">
            <v>回復タイプ</v>
          </cell>
          <cell r="M1428" t="str">
            <v>unknown</v>
          </cell>
        </row>
        <row r="1429">
          <cell r="A1429">
            <v>8038</v>
          </cell>
          <cell r="B1429" t="str">
            <v>ja</v>
          </cell>
          <cell r="C1429" t="str">
            <v>后羿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8039</v>
          </cell>
          <cell r="B1430" t="str">
            <v>ja</v>
          </cell>
          <cell r="C1430" t="str">
            <v>何仙姑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4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8040</v>
          </cell>
          <cell r="B1431" t="str">
            <v>ja</v>
          </cell>
          <cell r="C1431" t="str">
            <v>何仙姑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4</v>
          </cell>
          <cell r="J1431" t="str">
            <v>Drop2N</v>
          </cell>
          <cell r="K1431" t="str">
            <v>heal</v>
          </cell>
          <cell r="L1431" t="str">
            <v>回復タイプ</v>
          </cell>
          <cell r="M1431" t="str">
            <v>unknown</v>
          </cell>
        </row>
        <row r="1432">
          <cell r="A1432">
            <v>8041</v>
          </cell>
          <cell r="B1432" t="str">
            <v>ja</v>
          </cell>
          <cell r="C1432" t="str">
            <v>藍采和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blue</v>
          </cell>
          <cell r="I1432">
            <v>4</v>
          </cell>
          <cell r="J1432" t="str">
            <v>Drop2N</v>
          </cell>
          <cell r="K1432" t="str">
            <v>heal</v>
          </cell>
          <cell r="L1432" t="str">
            <v>回復タイプ</v>
          </cell>
          <cell r="M1432" t="str">
            <v>unknown</v>
          </cell>
        </row>
        <row r="1433">
          <cell r="A1433">
            <v>8042</v>
          </cell>
          <cell r="B1433" t="str">
            <v>ja</v>
          </cell>
          <cell r="C1433" t="str">
            <v>藍采和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blue</v>
          </cell>
          <cell r="I1433">
            <v>4</v>
          </cell>
          <cell r="J1433" t="str">
            <v>Drop2N</v>
          </cell>
          <cell r="K1433" t="str">
            <v>heal</v>
          </cell>
          <cell r="L1433" t="str">
            <v>回復タイプ</v>
          </cell>
          <cell r="M1433" t="str">
            <v>unknown</v>
          </cell>
        </row>
        <row r="1434">
          <cell r="A1434">
            <v>8043</v>
          </cell>
          <cell r="B1434" t="str">
            <v>ja</v>
          </cell>
          <cell r="C1434" t="str">
            <v>サンリオキャラ大集合+アザゼル</v>
          </cell>
          <cell r="D1434" t="str">
            <v>サンリオキャラ大集合+アザゼル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5</v>
          </cell>
          <cell r="J1434" t="str">
            <v>DropWizS</v>
          </cell>
          <cell r="K1434" t="str">
            <v>technical</v>
          </cell>
          <cell r="L1434" t="str">
            <v>テクニカルタイプ</v>
          </cell>
          <cell r="M1434" t="str">
            <v>ss</v>
          </cell>
        </row>
        <row r="1435">
          <cell r="A1435">
            <v>8044</v>
          </cell>
          <cell r="B1435" t="str">
            <v>ja</v>
          </cell>
          <cell r="C1435" t="str">
            <v>サンリオキャラ大集合+アザゼル</v>
          </cell>
          <cell r="D1435" t="str">
            <v>サンリオキャラ大集合+アザゼル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green</v>
          </cell>
          <cell r="I1435">
            <v>6</v>
          </cell>
          <cell r="J1435" t="str">
            <v>DropWizS</v>
          </cell>
          <cell r="K1435" t="str">
            <v>technical</v>
          </cell>
          <cell r="L1435" t="str">
            <v>テクニカルタイプ</v>
          </cell>
          <cell r="M1435" t="str">
            <v>ss</v>
          </cell>
        </row>
        <row r="1436">
          <cell r="A1436">
            <v>8045</v>
          </cell>
          <cell r="B1436" t="str">
            <v>ja</v>
          </cell>
          <cell r="C1436" t="str">
            <v>ニムダ_サンリオキャラ混じり</v>
          </cell>
          <cell r="D1436" t="str">
            <v>ニムダ_サンリオキャラ混じり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yellow</v>
          </cell>
          <cell r="I1436">
            <v>4</v>
          </cell>
          <cell r="J1436" t="str">
            <v>Drop2N</v>
          </cell>
          <cell r="K1436" t="str">
            <v>technical</v>
          </cell>
          <cell r="L1436" t="str">
            <v>テクニカルタイプ</v>
          </cell>
          <cell r="M1436" t="str">
            <v>ss</v>
          </cell>
        </row>
        <row r="1437">
          <cell r="A1437">
            <v>8046</v>
          </cell>
          <cell r="B1437" t="str">
            <v>ja</v>
          </cell>
          <cell r="C1437" t="str">
            <v>ニムダ_サンリオキャラ混じり</v>
          </cell>
          <cell r="D1437" t="str">
            <v>ニムダ_サンリオキャラ混じり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yellow</v>
          </cell>
          <cell r="I1437">
            <v>5</v>
          </cell>
          <cell r="J1437" t="str">
            <v>Drop2N</v>
          </cell>
          <cell r="K1437" t="str">
            <v>technical</v>
          </cell>
          <cell r="L1437" t="str">
            <v>テクニカルタイプ</v>
          </cell>
          <cell r="M1437" t="str">
            <v>ss</v>
          </cell>
        </row>
        <row r="1438">
          <cell r="A1438">
            <v>8047</v>
          </cell>
          <cell r="B1438" t="str">
            <v>ja</v>
          </cell>
          <cell r="C1438" t="str">
            <v>ハローキティ</v>
          </cell>
          <cell r="D1438" t="str">
            <v>ハローキティ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4</v>
          </cell>
          <cell r="J1438" t="str">
            <v>Drop2N</v>
          </cell>
          <cell r="K1438" t="str">
            <v>balance</v>
          </cell>
          <cell r="L1438" t="str">
            <v>バランスタイプ</v>
          </cell>
          <cell r="M1438" t="str">
            <v>ss</v>
          </cell>
        </row>
        <row r="1439">
          <cell r="A1439">
            <v>8048</v>
          </cell>
          <cell r="B1439" t="str">
            <v>ja</v>
          </cell>
          <cell r="C1439" t="str">
            <v>ハローキティ</v>
          </cell>
          <cell r="D1439" t="str">
            <v>ハローキティ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red</v>
          </cell>
          <cell r="I1439">
            <v>5</v>
          </cell>
          <cell r="J1439" t="str">
            <v>Drop2N</v>
          </cell>
          <cell r="K1439" t="str">
            <v>balance</v>
          </cell>
          <cell r="L1439" t="str">
            <v>バランスタイプ</v>
          </cell>
          <cell r="M1439" t="str">
            <v>ss</v>
          </cell>
        </row>
        <row r="1440">
          <cell r="A1440">
            <v>8049</v>
          </cell>
          <cell r="B1440" t="str">
            <v>ja</v>
          </cell>
          <cell r="C1440" t="str">
            <v>KIRIMIちゃん</v>
          </cell>
          <cell r="D1440" t="str">
            <v>KIRIMIちゃん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red</v>
          </cell>
          <cell r="I1440">
            <v>4</v>
          </cell>
          <cell r="J1440" t="str">
            <v>Drop2N</v>
          </cell>
          <cell r="K1440" t="str">
            <v>hp</v>
          </cell>
          <cell r="L1440" t="str">
            <v>体力タイプ</v>
          </cell>
          <cell r="M1440" t="str">
            <v>ss</v>
          </cell>
        </row>
        <row r="1441">
          <cell r="A1441">
            <v>8050</v>
          </cell>
          <cell r="B1441" t="str">
            <v>ja</v>
          </cell>
          <cell r="C1441" t="str">
            <v>KIRIMIちゃん</v>
          </cell>
          <cell r="D1441" t="str">
            <v>KIRIMIちゃん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red</v>
          </cell>
          <cell r="I1441">
            <v>5</v>
          </cell>
          <cell r="J1441" t="str">
            <v>Drop2N</v>
          </cell>
          <cell r="K1441" t="str">
            <v>hp</v>
          </cell>
          <cell r="L1441" t="str">
            <v>体力タイプ</v>
          </cell>
          <cell r="M1441" t="str">
            <v>ss</v>
          </cell>
        </row>
        <row r="1442">
          <cell r="A1442">
            <v>8051</v>
          </cell>
          <cell r="B1442" t="str">
            <v>ja</v>
          </cell>
          <cell r="C1442" t="str">
            <v>ハローキティのリボン</v>
          </cell>
          <cell r="D1442" t="str">
            <v>ハローキティのリボン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5</v>
          </cell>
          <cell r="J1442" t="str">
            <v>Drop2N</v>
          </cell>
          <cell r="K1442" t="str">
            <v>evolution</v>
          </cell>
          <cell r="L1442" t="str">
            <v>覚醒素材タイプ</v>
          </cell>
          <cell r="M1442" t="str">
            <v>ss</v>
          </cell>
        </row>
        <row r="1443">
          <cell r="A1443">
            <v>8052</v>
          </cell>
          <cell r="B1443" t="str">
            <v>ja</v>
          </cell>
          <cell r="C1443" t="str">
            <v>ママの作ったアップルパイ</v>
          </cell>
          <cell r="D1443" t="str">
            <v>ママの作ったアップルパイ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4</v>
          </cell>
          <cell r="J1443" t="str">
            <v>Drop2N</v>
          </cell>
          <cell r="K1443" t="str">
            <v>evolution</v>
          </cell>
          <cell r="L1443" t="str">
            <v>覚醒素材タイプ</v>
          </cell>
          <cell r="M1443" t="str">
            <v>ss</v>
          </cell>
        </row>
        <row r="1444">
          <cell r="A1444">
            <v>8053</v>
          </cell>
          <cell r="B1444" t="str">
            <v>ja</v>
          </cell>
          <cell r="C1444" t="str">
            <v>D.R.T.H__キティコスプレ</v>
          </cell>
          <cell r="D1444" t="str">
            <v>D.R.T.H__キティコスプレ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5</v>
          </cell>
          <cell r="J1444" t="str">
            <v>PremiumSS</v>
          </cell>
          <cell r="K1444" t="str">
            <v>balance</v>
          </cell>
          <cell r="L1444" t="str">
            <v>バランスタイプ</v>
          </cell>
          <cell r="M1444" t="str">
            <v>ss</v>
          </cell>
        </row>
        <row r="1445">
          <cell r="A1445">
            <v>8054</v>
          </cell>
          <cell r="B1445" t="str">
            <v>ja</v>
          </cell>
          <cell r="C1445" t="str">
            <v>D.R.T.H__キティコスプレ</v>
          </cell>
          <cell r="D1445" t="str">
            <v>D.R.T.H__キティコスプレ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6</v>
          </cell>
          <cell r="J1445" t="str">
            <v>PremiumSS</v>
          </cell>
          <cell r="K1445" t="str">
            <v>balance</v>
          </cell>
          <cell r="L1445" t="str">
            <v>バランスタイプ</v>
          </cell>
          <cell r="M1445" t="str">
            <v>ss</v>
          </cell>
        </row>
        <row r="1446">
          <cell r="A1446">
            <v>8055</v>
          </cell>
          <cell r="B1446" t="str">
            <v>ja</v>
          </cell>
          <cell r="C1446" t="str">
            <v>マイメロディ</v>
          </cell>
          <cell r="D1446" t="str">
            <v>マイメロディ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4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ss</v>
          </cell>
        </row>
        <row r="1447">
          <cell r="A1447">
            <v>8056</v>
          </cell>
          <cell r="B1447" t="str">
            <v>ja</v>
          </cell>
          <cell r="C1447" t="str">
            <v>マイメロディ</v>
          </cell>
          <cell r="D1447" t="str">
            <v>マイメロディ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5</v>
          </cell>
          <cell r="J1447" t="str">
            <v>PremiumS</v>
          </cell>
          <cell r="K1447" t="str">
            <v>attack</v>
          </cell>
          <cell r="L1447" t="str">
            <v>攻撃タイプ</v>
          </cell>
          <cell r="M1447" t="str">
            <v>ss</v>
          </cell>
        </row>
        <row r="1448">
          <cell r="A1448">
            <v>8057</v>
          </cell>
          <cell r="B1448" t="str">
            <v>ja</v>
          </cell>
          <cell r="C1448" t="str">
            <v>ニーベルゲン_シナモロールコスプレ</v>
          </cell>
          <cell r="D1448" t="str">
            <v>ニーベルゲン_シナモロールコスプレ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green</v>
          </cell>
          <cell r="I1448">
            <v>4</v>
          </cell>
          <cell r="J1448" t="str">
            <v>PremiumS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8058</v>
          </cell>
          <cell r="B1449" t="str">
            <v>ja</v>
          </cell>
          <cell r="C1449" t="str">
            <v>ニーベルゲン_シナモロールコスプレ</v>
          </cell>
          <cell r="D1449" t="str">
            <v>ニーベルゲン_シナモロールコスプレ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green</v>
          </cell>
          <cell r="I1449">
            <v>5</v>
          </cell>
          <cell r="J1449" t="str">
            <v>PremiumS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8059</v>
          </cell>
          <cell r="B1450" t="str">
            <v>ja</v>
          </cell>
          <cell r="C1450" t="str">
            <v>カカシ_マイメロディコスプレ</v>
          </cell>
          <cell r="D1450" t="str">
            <v>カカシ_マイメロディコスプレ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green</v>
          </cell>
          <cell r="I1450">
            <v>4</v>
          </cell>
          <cell r="J1450" t="str">
            <v>PremiumS</v>
          </cell>
          <cell r="K1450" t="str">
            <v>technical</v>
          </cell>
          <cell r="L1450" t="str">
            <v>テクニカルタイプ</v>
          </cell>
          <cell r="M1450" t="str">
            <v>ss</v>
          </cell>
        </row>
        <row r="1451">
          <cell r="A1451">
            <v>8060</v>
          </cell>
          <cell r="B1451" t="str">
            <v>ja</v>
          </cell>
          <cell r="C1451" t="str">
            <v>カカシ_マイメロディコスプレ</v>
          </cell>
          <cell r="D1451" t="str">
            <v>カカシ_マイメロディコスプレ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green</v>
          </cell>
          <cell r="I1451">
            <v>5</v>
          </cell>
          <cell r="J1451" t="str">
            <v>PremiumS</v>
          </cell>
          <cell r="K1451" t="str">
            <v>technical</v>
          </cell>
          <cell r="L1451" t="str">
            <v>テクニカルタイプ</v>
          </cell>
          <cell r="M1451" t="str">
            <v>ss</v>
          </cell>
        </row>
        <row r="1452">
          <cell r="A1452">
            <v>8061</v>
          </cell>
          <cell r="B1452" t="str">
            <v>ja</v>
          </cell>
          <cell r="C1452" t="str">
            <v>ケロケロけろっぴ</v>
          </cell>
          <cell r="D1452" t="str">
            <v>ケロケロけろっぴ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3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8062</v>
          </cell>
          <cell r="B1453" t="str">
            <v>ja</v>
          </cell>
          <cell r="C1453" t="str">
            <v>ケロケロけろっぴ</v>
          </cell>
          <cell r="D1453" t="str">
            <v>ケロケロけろっぴ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4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8063</v>
          </cell>
          <cell r="B1454" t="str">
            <v>ja</v>
          </cell>
          <cell r="C1454" t="str">
            <v>モルドレッド_ポムポムプリンコスプレ</v>
          </cell>
          <cell r="D1454" t="str">
            <v>モルドレッド_ポムポムプリンコスプレ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blue</v>
          </cell>
          <cell r="I1454">
            <v>5</v>
          </cell>
          <cell r="J1454" t="str">
            <v>PremiumSS</v>
          </cell>
          <cell r="K1454" t="str">
            <v>heal</v>
          </cell>
          <cell r="L1454" t="str">
            <v>回復タイプ</v>
          </cell>
          <cell r="M1454" t="str">
            <v>ss</v>
          </cell>
        </row>
        <row r="1455">
          <cell r="A1455">
            <v>8064</v>
          </cell>
          <cell r="B1455" t="str">
            <v>ja</v>
          </cell>
          <cell r="C1455" t="str">
            <v>モルドレッド_ポムポムプリンコスプレ</v>
          </cell>
          <cell r="D1455" t="str">
            <v>モルドレッド_ポムポムプリンコスプレ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blue</v>
          </cell>
          <cell r="I1455">
            <v>6</v>
          </cell>
          <cell r="J1455" t="str">
            <v>PremiumSS</v>
          </cell>
          <cell r="K1455" t="str">
            <v>heal</v>
          </cell>
          <cell r="L1455" t="str">
            <v>回復タイプ</v>
          </cell>
          <cell r="M1455" t="str">
            <v>ss</v>
          </cell>
        </row>
        <row r="1456">
          <cell r="A1456">
            <v>8065</v>
          </cell>
          <cell r="B1456" t="str">
            <v>ja</v>
          </cell>
          <cell r="C1456" t="str">
            <v>クロミ</v>
          </cell>
          <cell r="D1456" t="str">
            <v>クロミ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blue</v>
          </cell>
          <cell r="I1456">
            <v>3</v>
          </cell>
          <cell r="J1456" t="str">
            <v>PremiumS</v>
          </cell>
          <cell r="K1456" t="str">
            <v>technical</v>
          </cell>
          <cell r="L1456" t="str">
            <v>テクニカルタイプ</v>
          </cell>
          <cell r="M1456" t="str">
            <v>ss</v>
          </cell>
        </row>
        <row r="1457">
          <cell r="A1457">
            <v>8066</v>
          </cell>
          <cell r="B1457" t="str">
            <v>ja</v>
          </cell>
          <cell r="C1457" t="str">
            <v>クロミ</v>
          </cell>
          <cell r="D1457" t="str">
            <v>クロミ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blue</v>
          </cell>
          <cell r="I1457">
            <v>4</v>
          </cell>
          <cell r="J1457" t="str">
            <v>PremiumS</v>
          </cell>
          <cell r="K1457" t="str">
            <v>technical</v>
          </cell>
          <cell r="L1457" t="str">
            <v>テクニカルタイプ</v>
          </cell>
          <cell r="M1457" t="str">
            <v>ss</v>
          </cell>
        </row>
        <row r="1458">
          <cell r="A1458">
            <v>8067</v>
          </cell>
          <cell r="B1458" t="str">
            <v>ja</v>
          </cell>
          <cell r="C1458" t="str">
            <v>バッドばつ丸</v>
          </cell>
          <cell r="D1458" t="str">
            <v>バッドばつ丸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3</v>
          </cell>
          <cell r="J1458" t="str">
            <v>PremiumS</v>
          </cell>
          <cell r="K1458" t="str">
            <v>attack</v>
          </cell>
          <cell r="L1458" t="str">
            <v>攻撃タイプ</v>
          </cell>
          <cell r="M1458" t="str">
            <v>ss</v>
          </cell>
        </row>
        <row r="1459">
          <cell r="A1459">
            <v>8068</v>
          </cell>
          <cell r="B1459" t="str">
            <v>ja</v>
          </cell>
          <cell r="C1459" t="str">
            <v>バッドばつ丸</v>
          </cell>
          <cell r="D1459" t="str">
            <v>バッドばつ丸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4</v>
          </cell>
          <cell r="J1459" t="str">
            <v>PremiumS</v>
          </cell>
          <cell r="K1459" t="str">
            <v>attack</v>
          </cell>
          <cell r="L1459" t="str">
            <v>攻撃タイプ</v>
          </cell>
          <cell r="M1459" t="str">
            <v>ss</v>
          </cell>
        </row>
        <row r="1460">
          <cell r="A1460">
            <v>8069</v>
          </cell>
          <cell r="B1460" t="str">
            <v>ja</v>
          </cell>
          <cell r="C1460" t="str">
            <v>シナモロール</v>
          </cell>
          <cell r="D1460" t="str">
            <v>シナモロール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yellow</v>
          </cell>
          <cell r="I1460">
            <v>4</v>
          </cell>
          <cell r="J1460" t="str">
            <v>PremiumS</v>
          </cell>
          <cell r="K1460" t="str">
            <v>heal</v>
          </cell>
          <cell r="L1460" t="str">
            <v>回復タイプ</v>
          </cell>
          <cell r="M1460" t="str">
            <v>ss</v>
          </cell>
        </row>
        <row r="1461">
          <cell r="A1461">
            <v>8070</v>
          </cell>
          <cell r="B1461" t="str">
            <v>ja</v>
          </cell>
          <cell r="C1461" t="str">
            <v>シナモロール</v>
          </cell>
          <cell r="D1461" t="str">
            <v>シナモロール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yellow</v>
          </cell>
          <cell r="I1461">
            <v>5</v>
          </cell>
          <cell r="J1461" t="str">
            <v>PremiumS</v>
          </cell>
          <cell r="K1461" t="str">
            <v>heal</v>
          </cell>
          <cell r="L1461" t="str">
            <v>回復タイプ</v>
          </cell>
          <cell r="M1461" t="str">
            <v>ss</v>
          </cell>
        </row>
        <row r="1462">
          <cell r="A1462">
            <v>8071</v>
          </cell>
          <cell r="B1462" t="str">
            <v>ja</v>
          </cell>
          <cell r="C1462" t="str">
            <v>ポムポムプリン</v>
          </cell>
          <cell r="D1462" t="str">
            <v>ポムポムプリン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3</v>
          </cell>
          <cell r="J1462" t="str">
            <v>PremiumS</v>
          </cell>
          <cell r="K1462" t="str">
            <v>hp</v>
          </cell>
          <cell r="L1462" t="str">
            <v>体力タイプ</v>
          </cell>
          <cell r="M1462" t="str">
            <v>ss</v>
          </cell>
        </row>
        <row r="1463">
          <cell r="A1463">
            <v>8072</v>
          </cell>
          <cell r="B1463" t="str">
            <v>ja</v>
          </cell>
          <cell r="C1463" t="str">
            <v>ポムポムプリン</v>
          </cell>
          <cell r="D1463" t="str">
            <v>ポムポムプリン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yellow</v>
          </cell>
          <cell r="I1463">
            <v>4</v>
          </cell>
          <cell r="J1463" t="str">
            <v>PremiumS</v>
          </cell>
          <cell r="K1463" t="str">
            <v>hp</v>
          </cell>
          <cell r="L1463" t="str">
            <v>体力タイプ</v>
          </cell>
          <cell r="M1463" t="str">
            <v>ss</v>
          </cell>
        </row>
        <row r="1464">
          <cell r="A1464">
            <v>8077</v>
          </cell>
          <cell r="B1464" t="str">
            <v>ja</v>
          </cell>
          <cell r="C1464" t="str">
            <v>鄭成功</v>
          </cell>
          <cell r="D1464" t="str">
            <v>ポムポムプリン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5</v>
          </cell>
          <cell r="J1464" t="str">
            <v>PremiumSS</v>
          </cell>
          <cell r="K1464" t="str">
            <v>attack</v>
          </cell>
          <cell r="L1464" t="str">
            <v>攻撃タイプ</v>
          </cell>
          <cell r="M1464" t="str">
            <v>human</v>
          </cell>
        </row>
        <row r="1465">
          <cell r="A1465">
            <v>8078</v>
          </cell>
          <cell r="B1465" t="str">
            <v>ja</v>
          </cell>
          <cell r="C1465" t="str">
            <v>レア６鄭成功</v>
          </cell>
          <cell r="D1465" t="str">
            <v>ポムポムプリン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6</v>
          </cell>
          <cell r="J1465" t="str">
            <v>PremiumSS</v>
          </cell>
          <cell r="K1465" t="str">
            <v>attack</v>
          </cell>
          <cell r="L1465" t="str">
            <v>攻撃タイプ</v>
          </cell>
          <cell r="M1465" t="str">
            <v>human</v>
          </cell>
        </row>
        <row r="1466">
          <cell r="A1466">
            <v>8079</v>
          </cell>
          <cell r="B1466" t="str">
            <v>ja</v>
          </cell>
          <cell r="C1466" t="str">
            <v>赤鬼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red</v>
          </cell>
          <cell r="I1466">
            <v>5</v>
          </cell>
          <cell r="J1466" t="str">
            <v>DropWizS</v>
          </cell>
          <cell r="K1466" t="str">
            <v>hp</v>
          </cell>
          <cell r="L1466" t="str">
            <v>体力タイプ</v>
          </cell>
          <cell r="M1466" t="str">
            <v>dragon</v>
          </cell>
        </row>
        <row r="1467">
          <cell r="A1467">
            <v>8080</v>
          </cell>
          <cell r="B1467" t="str">
            <v>ja</v>
          </cell>
          <cell r="C1467" t="str">
            <v>レア６赤鬼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red</v>
          </cell>
          <cell r="I1467">
            <v>6</v>
          </cell>
          <cell r="J1467" t="str">
            <v>DropWizS</v>
          </cell>
          <cell r="K1467" t="str">
            <v>hp</v>
          </cell>
          <cell r="L1467" t="str">
            <v>体力タイプ</v>
          </cell>
          <cell r="M1467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H46" sqref="H46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449100</v>
      </c>
      <c r="D2" s="19" t="s">
        <v>45</v>
      </c>
      <c r="E2" s="17" t="str">
        <f t="shared" ref="E2" si="1">B2&amp;C2&amp;D2</f>
        <v>gacha_select_tables_449100.tmp</v>
      </c>
      <c r="F2" s="99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449010</v>
      </c>
      <c r="D3" s="19" t="s">
        <v>45</v>
      </c>
      <c r="E3" s="17" t="str">
        <f t="shared" ref="E3:E10" si="3">B3&amp;C3&amp;D3</f>
        <v>gacha_select_tables_449010.tmp</v>
      </c>
      <c r="F3" s="99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248</v>
      </c>
      <c r="B4" s="96" t="s">
        <v>249</v>
      </c>
      <c r="C4" s="97" t="str">
        <f t="shared" si="2"/>
        <v>449105</v>
      </c>
      <c r="D4" s="19" t="s">
        <v>250</v>
      </c>
      <c r="E4" s="17" t="str">
        <f t="shared" si="3"/>
        <v>gacha_settle_tables_449105.tmp</v>
      </c>
      <c r="F4" s="103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B36" sqref="B3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449010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744</v>
      </c>
      <c r="M3" s="37" t="str">
        <f>VLOOKUP(L3,[1]characters!$A:$C,3,FALSE)</f>
        <v>ヘルメス</v>
      </c>
      <c r="N3" s="63">
        <v>0.02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VLOOKUP(L3,tables_449010!B:C,2,FALSE)</f>
        <v>PremiumSS5R5only</v>
      </c>
      <c r="R3" s="62">
        <f t="shared" ref="R3:R20" si="1">N3*A$36</f>
        <v>1067200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674</v>
      </c>
      <c r="M4" s="37" t="str">
        <f>VLOOKUP(L4,[1]characters!$A:$C,3,FALSE)</f>
        <v>サラスヴァティ</v>
      </c>
      <c r="N4" s="63">
        <v>1.9E-2</v>
      </c>
      <c r="O4" s="37">
        <f>VLOOKUP(L4,[1]characters!$A:$I,9,FALSE)</f>
        <v>4</v>
      </c>
      <c r="P4" s="37" t="str">
        <f>VLOOKUP(L4,[1]characters!$A:$J,10,FALSE)</f>
        <v>PremiumSS</v>
      </c>
      <c r="Q4" s="37" t="str">
        <f>VLOOKUP(L4,tables_449010!B:C,2,FALSE)</f>
        <v>PremiumSS4</v>
      </c>
      <c r="R4" s="62">
        <f t="shared" si="1"/>
        <v>1013840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1.7241379310344832E-4</v>
      </c>
      <c r="F5">
        <f>(COUNTIF(tables_449010!C:C,input_449010!A28)+COUNTIF(tables_449010!C:C,input_449010!A29))</f>
        <v>60</v>
      </c>
      <c r="H5" s="84">
        <v>0.04</v>
      </c>
      <c r="I5" s="31">
        <v>2</v>
      </c>
      <c r="L5" s="60">
        <v>675</v>
      </c>
      <c r="M5" s="37" t="str">
        <f>VLOOKUP(L5,[1]characters!$A:$C,3,FALSE)</f>
        <v>芸楽の奔流 サラスヴァティ</v>
      </c>
      <c r="N5" s="63">
        <v>1E-3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VLOOKUP(L5,tables_449010!B:C,2,FALSE)</f>
        <v>PremiumSS5</v>
      </c>
      <c r="R5" s="62">
        <f t="shared" si="1"/>
        <v>53360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1.0326086956521738E-2</v>
      </c>
      <c r="F6">
        <f>(COUNTIF(tables_449010!C:C,input_449010!A25)+COUNTIF(tables_449010!C:C,input_449010!A18)+COUNTIF(tables_449010!C:C,input_449010!A20)+COUNTIF(tables_449010!C:C,input_449010!A22))</f>
        <v>92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VLOOKUP(L6,tables_449010!B:C,2,FALSE)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VLOOKUP(L7,tables_449010!B:C,2,FALSE)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VLOOKUP(L8,tables_449010!B:C,2,FALSE)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VLOOKUP(L9,tables_449010!B:C,2,FALSE)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VLOOKUP(L10,tables_449010!B:C,2,FALSE)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VLOOKUP(L11,tables_449010!B:C,2,FALSE)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VLOOKUP(L12,tables_449010!B:C,2,FALSE)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1.9E-2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VLOOKUP(L13,tables_449010!B:C,2,FALSE)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1E-3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VLOOKUP(L14,tables_449010!B:C,2,FALSE)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VLOOKUP(L15,tables_449010!B:C,2,FALSE)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VLOOKUP(L16,tables_449010!B:C,2,FALSE)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0.21086956521739131</v>
      </c>
      <c r="C17" s="85">
        <f t="shared" ref="C17:C31" si="2">SUMIF(Q:Q,A17,N:N)</f>
        <v>0</v>
      </c>
      <c r="D17" s="74">
        <f t="shared" ref="D17:D32" si="3">B17-C17</f>
        <v>0.21086956521739131</v>
      </c>
      <c r="E17">
        <f>COUNTIF(tables_449010!C:C,input_449010!A17)-COUNTIF(Q:Q,A17)</f>
        <v>20</v>
      </c>
      <c r="F17" s="43">
        <f>IFERROR(B17/E17,0)</f>
        <v>1.0543478260869566E-2</v>
      </c>
      <c r="G17">
        <f t="shared" ref="G17:G31" si="4">A$36*B17</f>
        <v>11252000</v>
      </c>
      <c r="H17">
        <f t="shared" ref="H17:H31" si="5">IFERROR(ROUND(G17/E17,5),0)</f>
        <v>562600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VLOOKUP(L17,tables_449010!B:C,2,FALSE)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</f>
        <v>1.2501499250374803E-2</v>
      </c>
      <c r="C18" s="85">
        <f t="shared" si="2"/>
        <v>0</v>
      </c>
      <c r="D18" s="74">
        <f t="shared" si="3"/>
        <v>1.2501499250374803E-2</v>
      </c>
      <c r="E18">
        <f>COUNTIF(tables_449010!C:C,input_449010!A18)-COUNTIF(Q:Q,A18)</f>
        <v>20</v>
      </c>
      <c r="F18" s="43">
        <f>IFERROR(B18/E18,0)</f>
        <v>6.2507496251874015E-4</v>
      </c>
      <c r="G18">
        <f t="shared" si="4"/>
        <v>667079.99999999953</v>
      </c>
      <c r="H18">
        <f t="shared" si="5"/>
        <v>33354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VLOOKUP(L18,tables_449010!B:C,2,FALSE)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0.26847826086956522</v>
      </c>
      <c r="C19" s="85">
        <f t="shared" si="2"/>
        <v>0</v>
      </c>
      <c r="D19" s="74">
        <f t="shared" si="3"/>
        <v>0.26847826086956522</v>
      </c>
      <c r="E19">
        <f>COUNTIF(tables_449010!C:C,input_449010!A19)-COUNTIF(Q:Q,A19)</f>
        <v>52</v>
      </c>
      <c r="F19" s="43">
        <f t="shared" ref="F19:F31" si="8">IFERROR(B19/E19,0)</f>
        <v>5.1630434782608692E-3</v>
      </c>
      <c r="G19">
        <f t="shared" si="4"/>
        <v>14326000</v>
      </c>
      <c r="H19">
        <f t="shared" si="5"/>
        <v>275500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VLOOKUP(L19,tables_449010!B:C,2,FALSE)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0.24163043478260871</v>
      </c>
      <c r="C20" s="85">
        <f t="shared" si="2"/>
        <v>0</v>
      </c>
      <c r="D20" s="74">
        <f t="shared" si="3"/>
        <v>0.24163043478260871</v>
      </c>
      <c r="E20">
        <f>COUNTIF(tables_449010!C:C,input_449010!A20)-COUNTIF(Q:Q,A20)</f>
        <v>52</v>
      </c>
      <c r="F20" s="43">
        <f t="shared" si="8"/>
        <v>4.6467391304347832E-3</v>
      </c>
      <c r="G20">
        <f t="shared" si="4"/>
        <v>12893400</v>
      </c>
      <c r="H20">
        <f t="shared" si="5"/>
        <v>247950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VLOOKUP(L20,tables_449010!B:C,2,FALSE)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9.9985007488755662E-3</v>
      </c>
      <c r="C21" s="85">
        <f t="shared" si="2"/>
        <v>0</v>
      </c>
      <c r="D21" s="74">
        <f t="shared" si="3"/>
        <v>9.9985007488755662E-3</v>
      </c>
      <c r="E21">
        <f>COUNTIF(tables_449010!C:C,input_449010!A21)-COUNTIF(Q:Q,A21)</f>
        <v>52</v>
      </c>
      <c r="F21" s="43">
        <f t="shared" si="8"/>
        <v>1.9227886055529935E-4</v>
      </c>
      <c r="G21">
        <f t="shared" si="4"/>
        <v>533519.99996000016</v>
      </c>
      <c r="H21">
        <f t="shared" si="5"/>
        <v>10260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0.15385869565217392</v>
      </c>
      <c r="C22" s="85">
        <f t="shared" si="2"/>
        <v>0</v>
      </c>
      <c r="D22" s="74">
        <f t="shared" si="3"/>
        <v>0.15385869565217392</v>
      </c>
      <c r="E22">
        <f>COUNTIF(tables_449010!C:C,input_449010!A22)-COUNTIF(Q:Q,A22)</f>
        <v>16</v>
      </c>
      <c r="F22" s="43">
        <f t="shared" si="8"/>
        <v>9.6161684782608697E-3</v>
      </c>
      <c r="G22">
        <f t="shared" si="4"/>
        <v>8209900</v>
      </c>
      <c r="H22">
        <f t="shared" si="5"/>
        <v>513118.75</v>
      </c>
      <c r="I22">
        <f t="shared" si="6"/>
        <v>0.75</v>
      </c>
      <c r="J22">
        <f t="shared" si="7"/>
        <v>1.3333333333333333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1.1358695652173914E-2</v>
      </c>
      <c r="C23" s="85">
        <f t="shared" si="2"/>
        <v>0</v>
      </c>
      <c r="D23" s="74">
        <f t="shared" si="3"/>
        <v>1.1358695652173914E-2</v>
      </c>
      <c r="E23">
        <f>COUNTIF(tables_449010!C:C,input_449010!A23)-COUNTIF(Q:Q,A23)</f>
        <v>22</v>
      </c>
      <c r="F23" s="43">
        <f t="shared" si="8"/>
        <v>5.1630434782608703E-4</v>
      </c>
      <c r="G23">
        <f t="shared" si="4"/>
        <v>606100</v>
      </c>
      <c r="H23">
        <f t="shared" si="5"/>
        <v>27550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2.0652173913043477E-2</v>
      </c>
      <c r="C24" s="85">
        <f t="shared" si="2"/>
        <v>0</v>
      </c>
      <c r="D24" s="74">
        <f t="shared" si="3"/>
        <v>2.0652173913043477E-2</v>
      </c>
      <c r="E24">
        <f>COUNTIF(tables_449010!C:C,input_449010!A24)-COUNTIF(Q:Q,A24)</f>
        <v>4</v>
      </c>
      <c r="F24" s="43">
        <f t="shared" si="8"/>
        <v>5.1630434782608692E-3</v>
      </c>
      <c r="G24">
        <f t="shared" si="4"/>
        <v>1102000</v>
      </c>
      <c r="H24">
        <f t="shared" si="5"/>
        <v>275500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1.8586956521739129E-2</v>
      </c>
      <c r="C25" s="85">
        <f t="shared" si="2"/>
        <v>0</v>
      </c>
      <c r="D25" s="74">
        <f t="shared" si="3"/>
        <v>1.8586956521739129E-2</v>
      </c>
      <c r="E25">
        <f>COUNTIF(tables_449010!C:C,input_449010!A25)-COUNTIF(Q:Q,A25)</f>
        <v>4</v>
      </c>
      <c r="F25" s="43">
        <f t="shared" si="8"/>
        <v>4.6467391304347823E-3</v>
      </c>
      <c r="G25">
        <f t="shared" si="4"/>
        <v>991799.99999999988</v>
      </c>
      <c r="H25">
        <f t="shared" si="5"/>
        <v>247950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2.0652173913043477E-3</v>
      </c>
      <c r="C26" s="85">
        <f t="shared" si="2"/>
        <v>0</v>
      </c>
      <c r="D26" s="74">
        <f t="shared" si="3"/>
        <v>2.0652173913043477E-3</v>
      </c>
      <c r="E26">
        <f>COUNTIF(tables_449010!C:C,input_449010!A26)-COUNTIF(Q:Q,A26)</f>
        <v>4</v>
      </c>
      <c r="F26" s="43">
        <f t="shared" si="8"/>
        <v>5.1630434782608692E-4</v>
      </c>
      <c r="G26">
        <f t="shared" si="4"/>
        <v>110200</v>
      </c>
      <c r="H26">
        <f t="shared" si="5"/>
        <v>27550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4.4224137931034493E-3</v>
      </c>
      <c r="C27" s="85">
        <f t="shared" si="2"/>
        <v>1.9E-2</v>
      </c>
      <c r="D27" s="74">
        <f t="shared" si="3"/>
        <v>-1.457758620689655E-2</v>
      </c>
      <c r="E27">
        <f>COUNTIF(tables_449010!C:C,input_449010!A27)-COUNTIF(Q:Q,A27)</f>
        <v>27</v>
      </c>
      <c r="F27" s="43">
        <f>IFERROR(B27/E27,0)</f>
        <v>1.637931034482759E-4</v>
      </c>
      <c r="G27">
        <f t="shared" si="4"/>
        <v>235980.00000000006</v>
      </c>
      <c r="H27">
        <f t="shared" si="5"/>
        <v>8740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2.3275862068965525E-4</v>
      </c>
      <c r="C28" s="85">
        <f t="shared" si="2"/>
        <v>1E-3</v>
      </c>
      <c r="D28" s="74">
        <f t="shared" si="3"/>
        <v>-7.6724137931034474E-4</v>
      </c>
      <c r="E28">
        <f>COUNTIF(tables_449010!C:C,input_449010!A28)-COUNTIF(Q:Q,A28)</f>
        <v>27</v>
      </c>
      <c r="F28" s="43">
        <f t="shared" si="8"/>
        <v>8.6206896551724175E-6</v>
      </c>
      <c r="G28">
        <f t="shared" si="4"/>
        <v>12420.000000000004</v>
      </c>
      <c r="H28">
        <f t="shared" si="5"/>
        <v>460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5.344827586206898E-3</v>
      </c>
      <c r="C29" s="85">
        <f t="shared" si="2"/>
        <v>0.02</v>
      </c>
      <c r="D29" s="74">
        <f t="shared" si="3"/>
        <v>-1.4655172413793102E-2</v>
      </c>
      <c r="E29">
        <f>COUNTIF(tables_449010!C:C,input_449010!A29)-COUNTIF(Q:Q,A29)</f>
        <v>31</v>
      </c>
      <c r="F29" s="43">
        <f t="shared" si="8"/>
        <v>1.7241379310344832E-4</v>
      </c>
      <c r="G29">
        <f t="shared" si="4"/>
        <v>285200.00000000006</v>
      </c>
      <c r="H29">
        <f t="shared" si="5"/>
        <v>9200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COUNTIF(tables_449010!C:C,input_449010!A30)-COUNTIF(Q:Q,A30)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COUNTIF(tables_449010!C:C,input_449010!A31)-COUNTIF(Q:Q,A31)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0.95999999999925056</v>
      </c>
      <c r="C32" s="41">
        <f>SUM(C19:C31)</f>
        <v>0.04</v>
      </c>
      <c r="D32" s="42">
        <f t="shared" si="3"/>
        <v>0.91999999999925053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1.6849325337331356E-2</v>
      </c>
      <c r="F34" s="55">
        <f ca="1">0.45-G41</f>
        <v>0</v>
      </c>
    </row>
    <row r="35" spans="1:7" x14ac:dyDescent="0.15">
      <c r="A35" t="s">
        <v>73</v>
      </c>
      <c r="E35">
        <v>2.1000000000749627E-2</v>
      </c>
      <c r="F35">
        <f ca="1">G42-0.05</f>
        <v>0</v>
      </c>
    </row>
    <row r="36" spans="1:7" x14ac:dyDescent="0.15">
      <c r="A36" s="31">
        <f>LCM(F5-I5,F6-I6)*1000*2*2*5</f>
        <v>53360000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SUMIF(tables_449010!C:C,input_449010!A40,tables_449010!O:O)</f>
        <v>14326000</v>
      </c>
      <c r="C40" s="54">
        <f t="shared" ref="C40:C46" ca="1" si="9">B40/B$47</f>
        <v>0.49283554855905976</v>
      </c>
      <c r="E40">
        <v>3</v>
      </c>
      <c r="F40">
        <f ca="1">SUMIF(tables_449010!J:J,input_449010!E40,tables_449010!O:O)</f>
        <v>26680000</v>
      </c>
      <c r="G40">
        <f ca="1">F40/A36</f>
        <v>0.5</v>
      </c>
    </row>
    <row r="41" spans="1:7" x14ac:dyDescent="0.15">
      <c r="A41" s="33" t="s">
        <v>104</v>
      </c>
      <c r="B41">
        <f ca="1">SUMIF(tables_449010!C:C,input_449010!A41,tables_449010!O:O)</f>
        <v>12893400</v>
      </c>
      <c r="C41" s="54">
        <f t="shared" ca="1" si="9"/>
        <v>0.44355199370315379</v>
      </c>
      <c r="E41">
        <v>4</v>
      </c>
      <c r="F41">
        <f ca="1">SUMIF(tables_449010!J:J,input_449010!E41,tables_449010!O:O)</f>
        <v>24012000</v>
      </c>
      <c r="G41">
        <f ca="1">F41/A36</f>
        <v>0.45</v>
      </c>
    </row>
    <row r="42" spans="1:7" x14ac:dyDescent="0.15">
      <c r="A42" s="33" t="s">
        <v>106</v>
      </c>
      <c r="B42">
        <f ca="1">SUMIF(tables_449010!C:C,input_449010!A42,tables_449010!O:O)</f>
        <v>1249820</v>
      </c>
      <c r="C42" s="54">
        <f t="shared" ca="1" si="9"/>
        <v>4.2995653029462802E-2</v>
      </c>
      <c r="E42">
        <v>5</v>
      </c>
      <c r="F42">
        <f ca="1">SUMIF(tables_449010!J:J,input_449010!E42,tables_449010!O:O)</f>
        <v>2668000</v>
      </c>
      <c r="G42">
        <f ca="1">F42/A36</f>
        <v>0.05</v>
      </c>
    </row>
    <row r="43" spans="1:7" x14ac:dyDescent="0.15">
      <c r="A43" s="33" t="s">
        <v>109</v>
      </c>
      <c r="B43">
        <f>SUMIF(tables_449010!C:C,input_449010!A43,tables_449010!O:O)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SUMIF(tables_449010!C:C,input_449010!A44,tables_449010!O:O)</f>
        <v>533520</v>
      </c>
      <c r="C44" s="54">
        <f t="shared" ca="1" si="9"/>
        <v>1.8353875601509813E-2</v>
      </c>
      <c r="E44" t="s">
        <v>54</v>
      </c>
      <c r="F44" s="55"/>
    </row>
    <row r="45" spans="1:7" x14ac:dyDescent="0.15">
      <c r="A45" s="33" t="s">
        <v>107</v>
      </c>
      <c r="B45">
        <f ca="1">SUMIF(tables_449010!C:C,input_449010!A45,tables_449010!O:O)</f>
        <v>65780</v>
      </c>
      <c r="C45" s="54">
        <f t="shared" ca="1" si="9"/>
        <v>2.2629291068138315E-3</v>
      </c>
      <c r="E45" t="s">
        <v>204</v>
      </c>
      <c r="F45" s="55">
        <f ca="1">SUMIF(tables_449010!I:I,input_449010!E45,tables_449010!P:P)</f>
        <v>0.22646889055472269</v>
      </c>
    </row>
    <row r="46" spans="1:7" x14ac:dyDescent="0.15">
      <c r="A46" s="33" t="s">
        <v>108</v>
      </c>
      <c r="B46">
        <f>SUMIF(tables_449010!C:C,input_449010!A46,tables_449010!O:O)</f>
        <v>0</v>
      </c>
      <c r="C46" s="54">
        <f t="shared" ca="1" si="9"/>
        <v>0</v>
      </c>
      <c r="E46" t="s">
        <v>205</v>
      </c>
      <c r="F46" s="55">
        <f ca="1">SUMIF(tables_449010!I:I,input_449010!E46,tables_449010!P:P)</f>
        <v>0.20101330584707661</v>
      </c>
    </row>
    <row r="47" spans="1:7" x14ac:dyDescent="0.15">
      <c r="A47" s="39" t="s">
        <v>59</v>
      </c>
      <c r="B47">
        <f ca="1">SUM(B40:B46)</f>
        <v>29068520</v>
      </c>
      <c r="C47" s="55">
        <f ca="1">SUM(C40:C46)</f>
        <v>1</v>
      </c>
      <c r="E47" t="s">
        <v>206</v>
      </c>
      <c r="F47" s="55">
        <f ca="1">SUMIF(tables_449010!I:I,input_449010!E47,tables_449010!P:P)</f>
        <v>0.52251780359820066</v>
      </c>
    </row>
    <row r="48" spans="1:7" x14ac:dyDescent="0.15">
      <c r="E48" t="s">
        <v>207</v>
      </c>
      <c r="F48" s="55">
        <f ca="1">SUMIF(tables_449010!I:I,input_449010!E48,tables_449010!P:P)</f>
        <v>4.9137931034482732E-2</v>
      </c>
      <c r="G48" s="55"/>
    </row>
    <row r="49" spans="5:6" x14ac:dyDescent="0.15">
      <c r="E49" t="s">
        <v>251</v>
      </c>
      <c r="F49" s="55">
        <f ca="1">SUMIF(tables_449010!I:I,input_449010!E49,tables_449010!P:P)</f>
        <v>8.6206896551724137E-4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35"/>
  <sheetViews>
    <sheetView showGridLines="0" zoomScale="75" zoomScaleNormal="75" zoomScalePageLayoutView="75" workbookViewId="0">
      <pane ySplit="1" topLeftCell="A287" activePane="bottomLeft" state="frozen"/>
      <selection activeCell="H276" sqref="H276"/>
      <selection pane="bottomLeft" activeCell="Q2" sqref="Q2:Q33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input_449010!A$2</f>
        <v>449010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IFERROR(VLOOKUP(B2,input_449010!L:R,7,FALSE),VLOOKUP(tables_449010!C2,input_449010!A:H,8,FALSE))</f>
        <v>562600</v>
      </c>
      <c r="P2" s="46">
        <f t="shared" ref="P2:P65" ca="1" si="1">O2/SUM(O:O)</f>
        <v>1.0543478260869566E-2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input_449010!A$2</f>
        <v>449010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IFERROR(VLOOKUP(B3,input_449010!L:R,7,FALSE),VLOOKUP(tables_449010!C3,input_449010!A:H,8,FALSE))</f>
        <v>33354</v>
      </c>
      <c r="P3" s="46">
        <f t="shared" ca="1" si="1"/>
        <v>6.2507496251874059E-4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input_449010!A$2</f>
        <v>449010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IFERROR(VLOOKUP(B4,input_449010!L:R,7,FALSE),VLOOKUP(tables_449010!C4,input_449010!A:H,8,FALSE))</f>
        <v>562600</v>
      </c>
      <c r="P4" s="46">
        <f t="shared" ca="1" si="1"/>
        <v>1.0543478260869566E-2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input_449010!A$2</f>
        <v>449010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IFERROR(VLOOKUP(B5,input_449010!L:R,7,FALSE),VLOOKUP(tables_449010!C5,input_449010!A:H,8,FALSE))</f>
        <v>33354</v>
      </c>
      <c r="P5" s="46">
        <f t="shared" ca="1" si="1"/>
        <v>6.2507496251874059E-4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input_449010!A$2</f>
        <v>449010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IFERROR(VLOOKUP(B6,input_449010!L:R,7,FALSE),VLOOKUP(tables_449010!C6,input_449010!A:H,8,FALSE))</f>
        <v>562600</v>
      </c>
      <c r="P6" s="46">
        <f t="shared" ca="1" si="1"/>
        <v>1.0543478260869566E-2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input_449010!A$2</f>
        <v>449010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IFERROR(VLOOKUP(B7,input_449010!L:R,7,FALSE),VLOOKUP(tables_449010!C7,input_449010!A:H,8,FALSE))</f>
        <v>33354</v>
      </c>
      <c r="P7" s="46">
        <f t="shared" ca="1" si="1"/>
        <v>6.2507496251874059E-4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input_449010!A$2</f>
        <v>449010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IFERROR(VLOOKUP(B8,input_449010!L:R,7,FALSE),VLOOKUP(tables_449010!C8,input_449010!A:H,8,FALSE))</f>
        <v>562600</v>
      </c>
      <c r="P8" s="46">
        <f t="shared" ca="1" si="1"/>
        <v>1.0543478260869566E-2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input_449010!A$2</f>
        <v>449010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IFERROR(VLOOKUP(B9,input_449010!L:R,7,FALSE),VLOOKUP(tables_449010!C9,input_449010!A:H,8,FALSE))</f>
        <v>33354</v>
      </c>
      <c r="P9" s="46">
        <f t="shared" ca="1" si="1"/>
        <v>6.2507496251874059E-4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input_449010!A$2</f>
        <v>449010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IFERROR(VLOOKUP(B10,input_449010!L:R,7,FALSE),VLOOKUP(tables_449010!C10,input_449010!A:H,8,FALSE))</f>
        <v>562600</v>
      </c>
      <c r="P10" s="46">
        <f t="shared" ca="1" si="1"/>
        <v>1.0543478260869566E-2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input_449010!A$2</f>
        <v>449010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IFERROR(VLOOKUP(B11,input_449010!L:R,7,FALSE),VLOOKUP(tables_449010!C11,input_449010!A:H,8,FALSE))</f>
        <v>33354</v>
      </c>
      <c r="P11" s="46">
        <f t="shared" ca="1" si="1"/>
        <v>6.2507496251874059E-4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input_449010!A$2</f>
        <v>449010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IFERROR(VLOOKUP(B12,input_449010!L:R,7,FALSE),VLOOKUP(tables_449010!C12,input_449010!A:H,8,FALSE))</f>
        <v>562600</v>
      </c>
      <c r="P12" s="46">
        <f t="shared" ca="1" si="1"/>
        <v>1.0543478260869566E-2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input_449010!A$2</f>
        <v>449010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IFERROR(VLOOKUP(B13,input_449010!L:R,7,FALSE),VLOOKUP(tables_449010!C13,input_449010!A:H,8,FALSE))</f>
        <v>33354</v>
      </c>
      <c r="P13" s="46">
        <f t="shared" ca="1" si="1"/>
        <v>6.2507496251874059E-4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input_449010!A$2</f>
        <v>449010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IFERROR(VLOOKUP(B14,input_449010!L:R,7,FALSE),VLOOKUP(tables_449010!C14,input_449010!A:H,8,FALSE))</f>
        <v>562600</v>
      </c>
      <c r="P14" s="46">
        <f t="shared" ca="1" si="1"/>
        <v>1.0543478260869566E-2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input_449010!A$2</f>
        <v>449010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IFERROR(VLOOKUP(B15,input_449010!L:R,7,FALSE),VLOOKUP(tables_449010!C15,input_449010!A:H,8,FALSE))</f>
        <v>33354</v>
      </c>
      <c r="P15" s="46">
        <f t="shared" ca="1" si="1"/>
        <v>6.2507496251874059E-4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input_449010!A$2</f>
        <v>449010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IFERROR(VLOOKUP(B16,input_449010!L:R,7,FALSE),VLOOKUP(tables_449010!C16,input_449010!A:H,8,FALSE))</f>
        <v>562600</v>
      </c>
      <c r="P16" s="46">
        <f t="shared" ca="1" si="1"/>
        <v>1.0543478260869566E-2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input_449010!A$2</f>
        <v>449010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IFERROR(VLOOKUP(B17,input_449010!L:R,7,FALSE),VLOOKUP(tables_449010!C17,input_449010!A:H,8,FALSE))</f>
        <v>33354</v>
      </c>
      <c r="P17" s="46">
        <f t="shared" ca="1" si="1"/>
        <v>6.2507496251874059E-4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input_449010!A$2</f>
        <v>449010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IFERROR(VLOOKUP(B18,input_449010!L:R,7,FALSE),VLOOKUP(tables_449010!C18,input_449010!A:H,8,FALSE))</f>
        <v>562600</v>
      </c>
      <c r="P18" s="46">
        <f t="shared" ca="1" si="1"/>
        <v>1.0543478260869566E-2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input_449010!A$2</f>
        <v>449010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IFERROR(VLOOKUP(B19,input_449010!L:R,7,FALSE),VLOOKUP(tables_449010!C19,input_449010!A:H,8,FALSE))</f>
        <v>33354</v>
      </c>
      <c r="P19" s="46">
        <f t="shared" ca="1" si="1"/>
        <v>6.2507496251874059E-4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input_449010!A$2</f>
        <v>449010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IFERROR(VLOOKUP(B20,input_449010!L:R,7,FALSE),VLOOKUP(tables_449010!C20,input_449010!A:H,8,FALSE))</f>
        <v>562600</v>
      </c>
      <c r="P20" s="46">
        <f t="shared" ca="1" si="1"/>
        <v>1.0543478260869566E-2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input_449010!A$2</f>
        <v>449010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IFERROR(VLOOKUP(B21,input_449010!L:R,7,FALSE),VLOOKUP(tables_449010!C21,input_449010!A:H,8,FALSE))</f>
        <v>33354</v>
      </c>
      <c r="P21" s="46">
        <f t="shared" ca="1" si="1"/>
        <v>6.2507496251874059E-4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input_449010!A$2</f>
        <v>449010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IFERROR(VLOOKUP(B22,input_449010!L:R,7,FALSE),VLOOKUP(tables_449010!C22,input_449010!A:H,8,FALSE))</f>
        <v>562600</v>
      </c>
      <c r="P22" s="46">
        <f t="shared" ca="1" si="1"/>
        <v>1.0543478260869566E-2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input_449010!A$2</f>
        <v>449010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IFERROR(VLOOKUP(B23,input_449010!L:R,7,FALSE),VLOOKUP(tables_449010!C23,input_449010!A:H,8,FALSE))</f>
        <v>33354</v>
      </c>
      <c r="P23" s="46">
        <f t="shared" ca="1" si="1"/>
        <v>6.2507496251874059E-4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input_449010!A$2</f>
        <v>449010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IFERROR(VLOOKUP(B24,input_449010!L:R,7,FALSE),VLOOKUP(tables_449010!C24,input_449010!A:H,8,FALSE))</f>
        <v>562600</v>
      </c>
      <c r="P24" s="46">
        <f t="shared" ca="1" si="1"/>
        <v>1.0543478260869566E-2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input_449010!A$2</f>
        <v>449010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IFERROR(VLOOKUP(B25,input_449010!L:R,7,FALSE),VLOOKUP(tables_449010!C25,input_449010!A:H,8,FALSE))</f>
        <v>33354</v>
      </c>
      <c r="P25" s="46">
        <f t="shared" ca="1" si="1"/>
        <v>6.2507496251874059E-4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input_449010!A$2</f>
        <v>449010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IFERROR(VLOOKUP(B26,input_449010!L:R,7,FALSE),VLOOKUP(tables_449010!C26,input_449010!A:H,8,FALSE))</f>
        <v>562600</v>
      </c>
      <c r="P26" s="46">
        <f t="shared" ca="1" si="1"/>
        <v>1.0543478260869566E-2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input_449010!A$2</f>
        <v>449010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IFERROR(VLOOKUP(B27,input_449010!L:R,7,FALSE),VLOOKUP(tables_449010!C27,input_449010!A:H,8,FALSE))</f>
        <v>33354</v>
      </c>
      <c r="P27" s="46">
        <f t="shared" ca="1" si="1"/>
        <v>6.2507496251874059E-4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input_449010!A$2</f>
        <v>449010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IFERROR(VLOOKUP(B28,input_449010!L:R,7,FALSE),VLOOKUP(tables_449010!C28,input_449010!A:H,8,FALSE))</f>
        <v>562600</v>
      </c>
      <c r="P28" s="46">
        <f t="shared" ca="1" si="1"/>
        <v>1.0543478260869566E-2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input_449010!A$2</f>
        <v>449010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IFERROR(VLOOKUP(B29,input_449010!L:R,7,FALSE),VLOOKUP(tables_449010!C29,input_449010!A:H,8,FALSE))</f>
        <v>33354</v>
      </c>
      <c r="P29" s="46">
        <f t="shared" ca="1" si="1"/>
        <v>6.2507496251874059E-4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input_449010!A$2</f>
        <v>449010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IFERROR(VLOOKUP(B30,input_449010!L:R,7,FALSE),VLOOKUP(tables_449010!C30,input_449010!A:H,8,FALSE))</f>
        <v>562600</v>
      </c>
      <c r="P30" s="46">
        <f t="shared" ca="1" si="1"/>
        <v>1.0543478260869566E-2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input_449010!A$2</f>
        <v>449010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IFERROR(VLOOKUP(B31,input_449010!L:R,7,FALSE),VLOOKUP(tables_449010!C31,input_449010!A:H,8,FALSE))</f>
        <v>33354</v>
      </c>
      <c r="P31" s="46">
        <f t="shared" ca="1" si="1"/>
        <v>6.2507496251874059E-4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input_449010!A$2</f>
        <v>449010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IFERROR(VLOOKUP(B32,input_449010!L:R,7,FALSE),VLOOKUP(tables_449010!C32,input_449010!A:H,8,FALSE))</f>
        <v>562600</v>
      </c>
      <c r="P32" s="46">
        <f t="shared" ca="1" si="1"/>
        <v>1.0543478260869566E-2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input_449010!A$2</f>
        <v>449010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IFERROR(VLOOKUP(B33,input_449010!L:R,7,FALSE),VLOOKUP(tables_449010!C33,input_449010!A:H,8,FALSE))</f>
        <v>33354</v>
      </c>
      <c r="P33" s="46">
        <f t="shared" ca="1" si="1"/>
        <v>6.2507496251874059E-4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input_449010!A$2</f>
        <v>449010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IFERROR(VLOOKUP(B34,input_449010!L:R,7,FALSE),VLOOKUP(tables_449010!C34,input_449010!A:H,8,FALSE))</f>
        <v>562600</v>
      </c>
      <c r="P34" s="46">
        <f t="shared" ca="1" si="1"/>
        <v>1.0543478260869566E-2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input_449010!A$2</f>
        <v>449010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IFERROR(VLOOKUP(B35,input_449010!L:R,7,FALSE),VLOOKUP(tables_449010!C35,input_449010!A:H,8,FALSE))</f>
        <v>33354</v>
      </c>
      <c r="P35" s="46">
        <f t="shared" ca="1" si="1"/>
        <v>6.2507496251874059E-4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input_449010!A$2</f>
        <v>449010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IFERROR(VLOOKUP(B36,input_449010!L:R,7,FALSE),VLOOKUP(tables_449010!C36,input_449010!A:H,8,FALSE))</f>
        <v>562600</v>
      </c>
      <c r="P36" s="46">
        <f t="shared" ca="1" si="1"/>
        <v>1.0543478260869566E-2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input_449010!A$2</f>
        <v>449010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IFERROR(VLOOKUP(B37,input_449010!L:R,7,FALSE),VLOOKUP(tables_449010!C37,input_449010!A:H,8,FALSE))</f>
        <v>33354</v>
      </c>
      <c r="P37" s="46">
        <f t="shared" ca="1" si="1"/>
        <v>6.2507496251874059E-4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input_449010!A$2</f>
        <v>449010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IFERROR(VLOOKUP(B38,input_449010!L:R,7,FALSE),VLOOKUP(tables_449010!C38,input_449010!A:H,8,FALSE))</f>
        <v>562600</v>
      </c>
      <c r="P38" s="46">
        <f t="shared" ca="1" si="1"/>
        <v>1.0543478260869566E-2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input_449010!A$2</f>
        <v>449010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IFERROR(VLOOKUP(B39,input_449010!L:R,7,FALSE),VLOOKUP(tables_449010!C39,input_449010!A:H,8,FALSE))</f>
        <v>33354</v>
      </c>
      <c r="P39" s="46">
        <f t="shared" ca="1" si="1"/>
        <v>6.2507496251874059E-4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input_449010!A$2</f>
        <v>449010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IFERROR(VLOOKUP(B40,input_449010!L:R,7,FALSE),VLOOKUP(tables_449010!C40,input_449010!A:H,8,FALSE))</f>
        <v>562600</v>
      </c>
      <c r="P40" s="46">
        <f t="shared" ca="1" si="1"/>
        <v>1.0543478260869566E-2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input_449010!A$2</f>
        <v>449010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IFERROR(VLOOKUP(B41,input_449010!L:R,7,FALSE),VLOOKUP(tables_449010!C41,input_449010!A:H,8,FALSE))</f>
        <v>33354</v>
      </c>
      <c r="P41" s="46">
        <f t="shared" ca="1" si="1"/>
        <v>6.2507496251874059E-4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input_449010!A$2</f>
        <v>449010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IFERROR(VLOOKUP(B42,input_449010!L:R,7,FALSE),VLOOKUP(tables_449010!C42,input_449010!A:H,8,FALSE))</f>
        <v>275500</v>
      </c>
      <c r="P42" s="46">
        <f t="shared" ca="1" si="1"/>
        <v>5.1630434782608692E-3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input_449010!A$2</f>
        <v>449010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IFERROR(VLOOKUP(B43,input_449010!L:R,7,FALSE),VLOOKUP(tables_449010!C43,input_449010!A:H,8,FALSE))</f>
        <v>247950</v>
      </c>
      <c r="P43" s="46">
        <f t="shared" ca="1" si="1"/>
        <v>4.6467391304347823E-3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input_449010!A$2</f>
        <v>449010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IFERROR(VLOOKUP(B44,input_449010!L:R,7,FALSE),VLOOKUP(tables_449010!C44,input_449010!A:H,8,FALSE))</f>
        <v>27550</v>
      </c>
      <c r="P44" s="46">
        <f t="shared" ca="1" si="1"/>
        <v>5.1630434782608692E-4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input_449010!A$2</f>
        <v>449010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IFERROR(VLOOKUP(B45,input_449010!L:R,7,FALSE),VLOOKUP(tables_449010!C45,input_449010!A:H,8,FALSE))</f>
        <v>275500</v>
      </c>
      <c r="P45" s="46">
        <f t="shared" ca="1" si="1"/>
        <v>5.1630434782608692E-3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input_449010!A$2</f>
        <v>449010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IFERROR(VLOOKUP(B46,input_449010!L:R,7,FALSE),VLOOKUP(tables_449010!C46,input_449010!A:H,8,FALSE))</f>
        <v>247950</v>
      </c>
      <c r="P46" s="46">
        <f t="shared" ca="1" si="1"/>
        <v>4.6467391304347823E-3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input_449010!A$2</f>
        <v>449010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IFERROR(VLOOKUP(B47,input_449010!L:R,7,FALSE),VLOOKUP(tables_449010!C47,input_449010!A:H,8,FALSE))</f>
        <v>27550</v>
      </c>
      <c r="P47" s="46">
        <f t="shared" ca="1" si="1"/>
        <v>5.1630434782608692E-4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input_449010!A$2</f>
        <v>449010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IFERROR(VLOOKUP(B48,input_449010!L:R,7,FALSE),VLOOKUP(tables_449010!C48,input_449010!A:H,8,FALSE))</f>
        <v>275500</v>
      </c>
      <c r="P48" s="46">
        <f t="shared" ca="1" si="1"/>
        <v>5.1630434782608692E-3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input_449010!A$2</f>
        <v>449010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IFERROR(VLOOKUP(B49,input_449010!L:R,7,FALSE),VLOOKUP(tables_449010!C49,input_449010!A:H,8,FALSE))</f>
        <v>247950</v>
      </c>
      <c r="P49" s="46">
        <f t="shared" ca="1" si="1"/>
        <v>4.6467391304347823E-3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input_449010!A$2</f>
        <v>449010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IFERROR(VLOOKUP(B50,input_449010!L:R,7,FALSE),VLOOKUP(tables_449010!C50,input_449010!A:H,8,FALSE))</f>
        <v>27550</v>
      </c>
      <c r="P50" s="46">
        <f t="shared" ca="1" si="1"/>
        <v>5.1630434782608692E-4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input_449010!A$2</f>
        <v>449010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IFERROR(VLOOKUP(B51,input_449010!L:R,7,FALSE),VLOOKUP(tables_449010!C51,input_449010!A:H,8,FALSE))</f>
        <v>275500</v>
      </c>
      <c r="P51" s="46">
        <f t="shared" ca="1" si="1"/>
        <v>5.1630434782608692E-3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input_449010!A$2</f>
        <v>449010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IFERROR(VLOOKUP(B52,input_449010!L:R,7,FALSE),VLOOKUP(tables_449010!C52,input_449010!A:H,8,FALSE))</f>
        <v>247950</v>
      </c>
      <c r="P52" s="46">
        <f t="shared" ca="1" si="1"/>
        <v>4.6467391304347823E-3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input_449010!A$2</f>
        <v>449010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IFERROR(VLOOKUP(B53,input_449010!L:R,7,FALSE),VLOOKUP(tables_449010!C53,input_449010!A:H,8,FALSE))</f>
        <v>10260</v>
      </c>
      <c r="P53" s="46">
        <f t="shared" ca="1" si="1"/>
        <v>1.9227886056971514E-4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input_449010!A$2</f>
        <v>449010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IFERROR(VLOOKUP(B54,input_449010!L:R,7,FALSE),VLOOKUP(tables_449010!C54,input_449010!A:H,8,FALSE))</f>
        <v>275500</v>
      </c>
      <c r="P54" s="46">
        <f t="shared" ca="1" si="1"/>
        <v>5.1630434782608692E-3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input_449010!A$2</f>
        <v>449010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IFERROR(VLOOKUP(B55,input_449010!L:R,7,FALSE),VLOOKUP(tables_449010!C55,input_449010!A:H,8,FALSE))</f>
        <v>247950</v>
      </c>
      <c r="P55" s="46">
        <f t="shared" ca="1" si="1"/>
        <v>4.6467391304347823E-3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input_449010!A$2</f>
        <v>449010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IFERROR(VLOOKUP(B56,input_449010!L:R,7,FALSE),VLOOKUP(tables_449010!C56,input_449010!A:H,8,FALSE))</f>
        <v>10260</v>
      </c>
      <c r="P56" s="46">
        <f t="shared" ca="1" si="1"/>
        <v>1.9227886056971514E-4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input_449010!A$2</f>
        <v>449010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IFERROR(VLOOKUP(B57,input_449010!L:R,7,FALSE),VLOOKUP(tables_449010!C57,input_449010!A:H,8,FALSE))</f>
        <v>275500</v>
      </c>
      <c r="P57" s="46">
        <f t="shared" ca="1" si="1"/>
        <v>5.1630434782608692E-3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input_449010!A$2</f>
        <v>449010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IFERROR(VLOOKUP(B58,input_449010!L:R,7,FALSE),VLOOKUP(tables_449010!C58,input_449010!A:H,8,FALSE))</f>
        <v>247950</v>
      </c>
      <c r="P58" s="46">
        <f t="shared" ca="1" si="1"/>
        <v>4.6467391304347823E-3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input_449010!A$2</f>
        <v>449010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IFERROR(VLOOKUP(B59,input_449010!L:R,7,FALSE),VLOOKUP(tables_449010!C59,input_449010!A:H,8,FALSE))</f>
        <v>10260</v>
      </c>
      <c r="P59" s="46">
        <f t="shared" ca="1" si="1"/>
        <v>1.9227886056971514E-4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input_449010!A$2</f>
        <v>449010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IFERROR(VLOOKUP(B60,input_449010!L:R,7,FALSE),VLOOKUP(tables_449010!C60,input_449010!A:H,8,FALSE))</f>
        <v>275500</v>
      </c>
      <c r="P60" s="46">
        <f t="shared" ca="1" si="1"/>
        <v>5.1630434782608692E-3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input_449010!A$2</f>
        <v>449010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IFERROR(VLOOKUP(B61,input_449010!L:R,7,FALSE),VLOOKUP(tables_449010!C61,input_449010!A:H,8,FALSE))</f>
        <v>247950</v>
      </c>
      <c r="P61" s="46">
        <f t="shared" ca="1" si="1"/>
        <v>4.6467391304347823E-3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input_449010!A$2</f>
        <v>449010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IFERROR(VLOOKUP(B62,input_449010!L:R,7,FALSE),VLOOKUP(tables_449010!C62,input_449010!A:H,8,FALSE))</f>
        <v>10260</v>
      </c>
      <c r="P62" s="46">
        <f t="shared" ca="1" si="1"/>
        <v>1.9227886056971514E-4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input_449010!A$2</f>
        <v>449010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IFERROR(VLOOKUP(B63,input_449010!L:R,7,FALSE),VLOOKUP(tables_449010!C63,input_449010!A:H,8,FALSE))</f>
        <v>275500</v>
      </c>
      <c r="P63" s="46">
        <f t="shared" ca="1" si="1"/>
        <v>5.1630434782608692E-3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input_449010!A$2</f>
        <v>449010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IFERROR(VLOOKUP(B64,input_449010!L:R,7,FALSE),VLOOKUP(tables_449010!C64,input_449010!A:H,8,FALSE))</f>
        <v>247950</v>
      </c>
      <c r="P64" s="46">
        <f t="shared" ca="1" si="1"/>
        <v>4.6467391304347823E-3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input_449010!A$2</f>
        <v>449010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IFERROR(VLOOKUP(B65,input_449010!L:R,7,FALSE),VLOOKUP(tables_449010!C65,input_449010!A:H,8,FALSE))</f>
        <v>10260</v>
      </c>
      <c r="P65" s="46">
        <f t="shared" ca="1" si="1"/>
        <v>1.9227886056971514E-4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input_449010!A$2</f>
        <v>449010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IFERROR(VLOOKUP(B66,input_449010!L:R,7,FALSE),VLOOKUP(tables_449010!C66,input_449010!A:H,8,FALSE))</f>
        <v>275500</v>
      </c>
      <c r="P66" s="46">
        <f t="shared" ref="P66:P129" ca="1" si="4">O66/SUM(O:O)</f>
        <v>5.1630434782608692E-3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input_449010!A$2</f>
        <v>449010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IFERROR(VLOOKUP(B67,input_449010!L:R,7,FALSE),VLOOKUP(tables_449010!C67,input_449010!A:H,8,FALSE))</f>
        <v>247950</v>
      </c>
      <c r="P67" s="46">
        <f t="shared" ca="1" si="4"/>
        <v>4.6467391304347823E-3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input_449010!A$2</f>
        <v>449010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IFERROR(VLOOKUP(B68,input_449010!L:R,7,FALSE),VLOOKUP(tables_449010!C68,input_449010!A:H,8,FALSE))</f>
        <v>10260</v>
      </c>
      <c r="P68" s="46">
        <f t="shared" ca="1" si="4"/>
        <v>1.9227886056971514E-4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input_449010!A$2</f>
        <v>449010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IFERROR(VLOOKUP(B69,input_449010!L:R,7,FALSE),VLOOKUP(tables_449010!C69,input_449010!A:H,8,FALSE))</f>
        <v>275500</v>
      </c>
      <c r="P69" s="46">
        <f t="shared" ca="1" si="4"/>
        <v>5.1630434782608692E-3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input_449010!A$2</f>
        <v>449010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IFERROR(VLOOKUP(B70,input_449010!L:R,7,FALSE),VLOOKUP(tables_449010!C70,input_449010!A:H,8,FALSE))</f>
        <v>247950</v>
      </c>
      <c r="P70" s="46">
        <f t="shared" ca="1" si="4"/>
        <v>4.6467391304347823E-3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input_449010!A$2</f>
        <v>449010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IFERROR(VLOOKUP(B71,input_449010!L:R,7,FALSE),VLOOKUP(tables_449010!C71,input_449010!A:H,8,FALSE))</f>
        <v>10260</v>
      </c>
      <c r="P71" s="46">
        <f t="shared" ca="1" si="4"/>
        <v>1.9227886056971514E-4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input_449010!A$2</f>
        <v>449010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IFERROR(VLOOKUP(B72,input_449010!L:R,7,FALSE),VLOOKUP(tables_449010!C72,input_449010!A:H,8,FALSE))</f>
        <v>275500</v>
      </c>
      <c r="P72" s="46">
        <f t="shared" ca="1" si="4"/>
        <v>5.1630434782608692E-3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input_449010!A$2</f>
        <v>449010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IFERROR(VLOOKUP(B73,input_449010!L:R,7,FALSE),VLOOKUP(tables_449010!C73,input_449010!A:H,8,FALSE))</f>
        <v>247950</v>
      </c>
      <c r="P73" s="46">
        <f t="shared" ca="1" si="4"/>
        <v>4.6467391304347823E-3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input_449010!A$2</f>
        <v>449010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IFERROR(VLOOKUP(B74,input_449010!L:R,7,FALSE),VLOOKUP(tables_449010!C74,input_449010!A:H,8,FALSE))</f>
        <v>10260</v>
      </c>
      <c r="P74" s="46">
        <f t="shared" ca="1" si="4"/>
        <v>1.9227886056971514E-4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input_449010!A$2</f>
        <v>449010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IFERROR(VLOOKUP(B75,input_449010!L:R,7,FALSE),VLOOKUP(tables_449010!C75,input_449010!A:H,8,FALSE))</f>
        <v>275500</v>
      </c>
      <c r="P75" s="46">
        <f t="shared" ca="1" si="4"/>
        <v>5.1630434782608692E-3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input_449010!A$2</f>
        <v>449010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IFERROR(VLOOKUP(B76,input_449010!L:R,7,FALSE),VLOOKUP(tables_449010!C76,input_449010!A:H,8,FALSE))</f>
        <v>247950</v>
      </c>
      <c r="P76" s="46">
        <f t="shared" ca="1" si="4"/>
        <v>4.6467391304347823E-3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input_449010!A$2</f>
        <v>449010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IFERROR(VLOOKUP(B77,input_449010!L:R,7,FALSE),VLOOKUP(tables_449010!C77,input_449010!A:H,8,FALSE))</f>
        <v>10260</v>
      </c>
      <c r="P77" s="46">
        <f t="shared" ca="1" si="4"/>
        <v>1.9227886056971514E-4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input_449010!A$2</f>
        <v>449010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IFERROR(VLOOKUP(B78,input_449010!L:R,7,FALSE),VLOOKUP(tables_449010!C78,input_449010!A:H,8,FALSE))</f>
        <v>275500</v>
      </c>
      <c r="P78" s="46">
        <f t="shared" ca="1" si="4"/>
        <v>5.1630434782608692E-3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input_449010!A$2</f>
        <v>449010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IFERROR(VLOOKUP(B79,input_449010!L:R,7,FALSE),VLOOKUP(tables_449010!C79,input_449010!A:H,8,FALSE))</f>
        <v>247950</v>
      </c>
      <c r="P79" s="46">
        <f t="shared" ca="1" si="4"/>
        <v>4.6467391304347823E-3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input_449010!A$2</f>
        <v>449010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IFERROR(VLOOKUP(B80,input_449010!L:R,7,FALSE),VLOOKUP(tables_449010!C80,input_449010!A:H,8,FALSE))</f>
        <v>10260</v>
      </c>
      <c r="P80" s="46">
        <f t="shared" ca="1" si="4"/>
        <v>1.9227886056971514E-4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input_449010!A$2</f>
        <v>449010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IFERROR(VLOOKUP(B81,input_449010!L:R,7,FALSE),VLOOKUP(tables_449010!C81,input_449010!A:H,8,FALSE))</f>
        <v>275500</v>
      </c>
      <c r="P81" s="46">
        <f t="shared" ca="1" si="4"/>
        <v>5.1630434782608692E-3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input_449010!A$2</f>
        <v>449010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IFERROR(VLOOKUP(B82,input_449010!L:R,7,FALSE),VLOOKUP(tables_449010!C82,input_449010!A:H,8,FALSE))</f>
        <v>247950</v>
      </c>
      <c r="P82" s="46">
        <f t="shared" ca="1" si="4"/>
        <v>4.6467391304347823E-3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input_449010!A$2</f>
        <v>449010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IFERROR(VLOOKUP(B83,input_449010!L:R,7,FALSE),VLOOKUP(tables_449010!C83,input_449010!A:H,8,FALSE))</f>
        <v>10260</v>
      </c>
      <c r="P83" s="46">
        <f t="shared" ca="1" si="4"/>
        <v>1.9227886056971514E-4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input_449010!A$2</f>
        <v>449010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IFERROR(VLOOKUP(B84,input_449010!L:R,7,FALSE),VLOOKUP(tables_449010!C84,input_449010!A:H,8,FALSE))</f>
        <v>275500</v>
      </c>
      <c r="P84" s="46">
        <f t="shared" ca="1" si="4"/>
        <v>5.1630434782608692E-3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input_449010!A$2</f>
        <v>449010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IFERROR(VLOOKUP(B85,input_449010!L:R,7,FALSE),VLOOKUP(tables_449010!C85,input_449010!A:H,8,FALSE))</f>
        <v>247950</v>
      </c>
      <c r="P85" s="46">
        <f t="shared" ca="1" si="4"/>
        <v>4.6467391304347823E-3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input_449010!A$2</f>
        <v>449010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IFERROR(VLOOKUP(B86,input_449010!L:R,7,FALSE),VLOOKUP(tables_449010!C86,input_449010!A:H,8,FALSE))</f>
        <v>10260</v>
      </c>
      <c r="P86" s="46">
        <f t="shared" ca="1" si="4"/>
        <v>1.9227886056971514E-4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input_449010!A$2</f>
        <v>449010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IFERROR(VLOOKUP(B87,input_449010!L:R,7,FALSE),VLOOKUP(tables_449010!C87,input_449010!A:H,8,FALSE))</f>
        <v>275500</v>
      </c>
      <c r="P87" s="46">
        <f t="shared" ca="1" si="4"/>
        <v>5.1630434782608692E-3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input_449010!A$2</f>
        <v>449010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IFERROR(VLOOKUP(B88,input_449010!L:R,7,FALSE),VLOOKUP(tables_449010!C88,input_449010!A:H,8,FALSE))</f>
        <v>247950</v>
      </c>
      <c r="P88" s="46">
        <f t="shared" ca="1" si="4"/>
        <v>4.6467391304347823E-3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input_449010!A$2</f>
        <v>449010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IFERROR(VLOOKUP(B89,input_449010!L:R,7,FALSE),VLOOKUP(tables_449010!C89,input_449010!A:H,8,FALSE))</f>
        <v>10260</v>
      </c>
      <c r="P89" s="46">
        <f t="shared" ca="1" si="4"/>
        <v>1.9227886056971514E-4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input_449010!A$2</f>
        <v>449010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IFERROR(VLOOKUP(B90,input_449010!L:R,7,FALSE),VLOOKUP(tables_449010!C90,input_449010!A:H,8,FALSE))</f>
        <v>275500</v>
      </c>
      <c r="P90" s="46">
        <f t="shared" ca="1" si="4"/>
        <v>5.1630434782608692E-3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input_449010!A$2</f>
        <v>449010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IFERROR(VLOOKUP(B91,input_449010!L:R,7,FALSE),VLOOKUP(tables_449010!C91,input_449010!A:H,8,FALSE))</f>
        <v>247950</v>
      </c>
      <c r="P91" s="46">
        <f t="shared" ca="1" si="4"/>
        <v>4.6467391304347823E-3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input_449010!A$2</f>
        <v>449010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IFERROR(VLOOKUP(B92,input_449010!L:R,7,FALSE),VLOOKUP(tables_449010!C92,input_449010!A:H,8,FALSE))</f>
        <v>10260</v>
      </c>
      <c r="P92" s="46">
        <f t="shared" ca="1" si="4"/>
        <v>1.9227886056971514E-4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input_449010!A$2</f>
        <v>449010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IFERROR(VLOOKUP(B93,input_449010!L:R,7,FALSE),VLOOKUP(tables_449010!C93,input_449010!A:H,8,FALSE))</f>
        <v>275500</v>
      </c>
      <c r="P93" s="46">
        <f t="shared" ca="1" si="4"/>
        <v>5.1630434782608692E-3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input_449010!A$2</f>
        <v>449010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IFERROR(VLOOKUP(B94,input_449010!L:R,7,FALSE),VLOOKUP(tables_449010!C94,input_449010!A:H,8,FALSE))</f>
        <v>247950</v>
      </c>
      <c r="P94" s="46">
        <f t="shared" ca="1" si="4"/>
        <v>4.6467391304347823E-3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input_449010!A$2</f>
        <v>449010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IFERROR(VLOOKUP(B95,input_449010!L:R,7,FALSE),VLOOKUP(tables_449010!C95,input_449010!A:H,8,FALSE))</f>
        <v>10260</v>
      </c>
      <c r="P95" s="46">
        <f t="shared" ca="1" si="4"/>
        <v>1.9227886056971514E-4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input_449010!A$2</f>
        <v>449010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IFERROR(VLOOKUP(B96,input_449010!L:R,7,FALSE),VLOOKUP(tables_449010!C96,input_449010!A:H,8,FALSE))</f>
        <v>275500</v>
      </c>
      <c r="P96" s="46">
        <f t="shared" ca="1" si="4"/>
        <v>5.1630434782608692E-3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input_449010!A$2</f>
        <v>449010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IFERROR(VLOOKUP(B97,input_449010!L:R,7,FALSE),VLOOKUP(tables_449010!C97,input_449010!A:H,8,FALSE))</f>
        <v>247950</v>
      </c>
      <c r="P97" s="46">
        <f t="shared" ca="1" si="4"/>
        <v>4.6467391304347823E-3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input_449010!A$2</f>
        <v>449010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IFERROR(VLOOKUP(B98,input_449010!L:R,7,FALSE),VLOOKUP(tables_449010!C98,input_449010!A:H,8,FALSE))</f>
        <v>10260</v>
      </c>
      <c r="P98" s="46">
        <f t="shared" ca="1" si="4"/>
        <v>1.9227886056971514E-4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input_449010!A$2</f>
        <v>449010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IFERROR(VLOOKUP(B99,input_449010!L:R,7,FALSE),VLOOKUP(tables_449010!C99,input_449010!A:H,8,FALSE))</f>
        <v>275500</v>
      </c>
      <c r="P99" s="46">
        <f t="shared" ca="1" si="4"/>
        <v>5.1630434782608692E-3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input_449010!A$2</f>
        <v>449010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IFERROR(VLOOKUP(B100,input_449010!L:R,7,FALSE),VLOOKUP(tables_449010!C100,input_449010!A:H,8,FALSE))</f>
        <v>247950</v>
      </c>
      <c r="P100" s="46">
        <f t="shared" ca="1" si="4"/>
        <v>4.6467391304347823E-3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input_449010!A$2</f>
        <v>449010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IFERROR(VLOOKUP(B101,input_449010!L:R,7,FALSE),VLOOKUP(tables_449010!C101,input_449010!A:H,8,FALSE))</f>
        <v>10260</v>
      </c>
      <c r="P101" s="46">
        <f t="shared" ca="1" si="4"/>
        <v>1.9227886056971514E-4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input_449010!A$2</f>
        <v>449010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IFERROR(VLOOKUP(B102,input_449010!L:R,7,FALSE),VLOOKUP(tables_449010!C102,input_449010!A:H,8,FALSE))</f>
        <v>275500</v>
      </c>
      <c r="P102" s="46">
        <f t="shared" ca="1" si="4"/>
        <v>5.1630434782608692E-3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input_449010!A$2</f>
        <v>449010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IFERROR(VLOOKUP(B103,input_449010!L:R,7,FALSE),VLOOKUP(tables_449010!C103,input_449010!A:H,8,FALSE))</f>
        <v>247950</v>
      </c>
      <c r="P103" s="46">
        <f t="shared" ca="1" si="4"/>
        <v>4.6467391304347823E-3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input_449010!A$2</f>
        <v>449010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IFERROR(VLOOKUP(B104,input_449010!L:R,7,FALSE),VLOOKUP(tables_449010!C104,input_449010!A:H,8,FALSE))</f>
        <v>10260</v>
      </c>
      <c r="P104" s="46">
        <f t="shared" ca="1" si="4"/>
        <v>1.9227886056971514E-4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input_449010!A$2</f>
        <v>449010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IFERROR(VLOOKUP(B105,input_449010!L:R,7,FALSE),VLOOKUP(tables_449010!C105,input_449010!A:H,8,FALSE))</f>
        <v>275500</v>
      </c>
      <c r="P105" s="46">
        <f t="shared" ca="1" si="4"/>
        <v>5.1630434782608692E-3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input_449010!A$2</f>
        <v>449010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IFERROR(VLOOKUP(B106,input_449010!L:R,7,FALSE),VLOOKUP(tables_449010!C106,input_449010!A:H,8,FALSE))</f>
        <v>247950</v>
      </c>
      <c r="P106" s="46">
        <f t="shared" ca="1" si="4"/>
        <v>4.6467391304347823E-3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input_449010!A$2</f>
        <v>449010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IFERROR(VLOOKUP(B107,input_449010!L:R,7,FALSE),VLOOKUP(tables_449010!C107,input_449010!A:H,8,FALSE))</f>
        <v>10260</v>
      </c>
      <c r="P107" s="46">
        <f t="shared" ca="1" si="4"/>
        <v>1.9227886056971514E-4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input_449010!A$2</f>
        <v>449010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IFERROR(VLOOKUP(B108,input_449010!L:R,7,FALSE),VLOOKUP(tables_449010!C108,input_449010!A:H,8,FALSE))</f>
        <v>275500</v>
      </c>
      <c r="P108" s="46">
        <f t="shared" ca="1" si="4"/>
        <v>5.1630434782608692E-3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input_449010!A$2</f>
        <v>449010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IFERROR(VLOOKUP(B109,input_449010!L:R,7,FALSE),VLOOKUP(tables_449010!C109,input_449010!A:H,8,FALSE))</f>
        <v>247950</v>
      </c>
      <c r="P109" s="46">
        <f t="shared" ca="1" si="4"/>
        <v>4.6467391304347823E-3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input_449010!A$2</f>
        <v>449010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IFERROR(VLOOKUP(B110,input_449010!L:R,7,FALSE),VLOOKUP(tables_449010!C110,input_449010!A:H,8,FALSE))</f>
        <v>10260</v>
      </c>
      <c r="P110" s="46">
        <f t="shared" ca="1" si="4"/>
        <v>1.9227886056971514E-4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input_449010!A$2</f>
        <v>449010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IFERROR(VLOOKUP(B111,input_449010!L:R,7,FALSE),VLOOKUP(tables_449010!C111,input_449010!A:H,8,FALSE))</f>
        <v>275500</v>
      </c>
      <c r="P111" s="46">
        <f t="shared" ca="1" si="4"/>
        <v>5.1630434782608692E-3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input_449010!A$2</f>
        <v>449010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IFERROR(VLOOKUP(B112,input_449010!L:R,7,FALSE),VLOOKUP(tables_449010!C112,input_449010!A:H,8,FALSE))</f>
        <v>247950</v>
      </c>
      <c r="P112" s="46">
        <f t="shared" ca="1" si="4"/>
        <v>4.6467391304347823E-3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input_449010!A$2</f>
        <v>449010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IFERROR(VLOOKUP(B113,input_449010!L:R,7,FALSE),VLOOKUP(tables_449010!C113,input_449010!A:H,8,FALSE))</f>
        <v>27550</v>
      </c>
      <c r="P113" s="46">
        <f t="shared" ca="1" si="4"/>
        <v>5.1630434782608692E-4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input_449010!A$2</f>
        <v>449010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IFERROR(VLOOKUP(B114,input_449010!L:R,7,FALSE),VLOOKUP(tables_449010!C114,input_449010!A:H,8,FALSE))</f>
        <v>275500</v>
      </c>
      <c r="P114" s="46">
        <f t="shared" ca="1" si="4"/>
        <v>5.1630434782608692E-3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input_449010!A$2</f>
        <v>449010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IFERROR(VLOOKUP(B115,input_449010!L:R,7,FALSE),VLOOKUP(tables_449010!C115,input_449010!A:H,8,FALSE))</f>
        <v>247950</v>
      </c>
      <c r="P115" s="46">
        <f t="shared" ca="1" si="4"/>
        <v>4.6467391304347823E-3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input_449010!A$2</f>
        <v>449010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IFERROR(VLOOKUP(B116,input_449010!L:R,7,FALSE),VLOOKUP(tables_449010!C116,input_449010!A:H,8,FALSE))</f>
        <v>10260</v>
      </c>
      <c r="P116" s="46">
        <f t="shared" ca="1" si="4"/>
        <v>1.9227886056971514E-4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input_449010!A$2</f>
        <v>449010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IFERROR(VLOOKUP(B117,input_449010!L:R,7,FALSE),VLOOKUP(tables_449010!C117,input_449010!A:H,8,FALSE))</f>
        <v>275500</v>
      </c>
      <c r="P117" s="46">
        <f t="shared" ca="1" si="4"/>
        <v>5.1630434782608692E-3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input_449010!A$2</f>
        <v>449010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IFERROR(VLOOKUP(B118,input_449010!L:R,7,FALSE),VLOOKUP(tables_449010!C118,input_449010!A:H,8,FALSE))</f>
        <v>247950</v>
      </c>
      <c r="P118" s="46">
        <f t="shared" ca="1" si="4"/>
        <v>4.6467391304347823E-3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input_449010!A$2</f>
        <v>449010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IFERROR(VLOOKUP(B119,input_449010!L:R,7,FALSE),VLOOKUP(tables_449010!C119,input_449010!A:H,8,FALSE))</f>
        <v>10260</v>
      </c>
      <c r="P119" s="46">
        <f t="shared" ca="1" si="4"/>
        <v>1.9227886056971514E-4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input_449010!A$2</f>
        <v>449010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IFERROR(VLOOKUP(B120,input_449010!L:R,7,FALSE),VLOOKUP(tables_449010!C120,input_449010!A:H,8,FALSE))</f>
        <v>275500</v>
      </c>
      <c r="P120" s="46">
        <f t="shared" ca="1" si="4"/>
        <v>5.1630434782608692E-3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input_449010!A$2</f>
        <v>449010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IFERROR(VLOOKUP(B121,input_449010!L:R,7,FALSE),VLOOKUP(tables_449010!C121,input_449010!A:H,8,FALSE))</f>
        <v>247950</v>
      </c>
      <c r="P121" s="46">
        <f t="shared" ca="1" si="4"/>
        <v>4.6467391304347823E-3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input_449010!A$2</f>
        <v>449010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IFERROR(VLOOKUP(B122,input_449010!L:R,7,FALSE),VLOOKUP(tables_449010!C122,input_449010!A:H,8,FALSE))</f>
        <v>10260</v>
      </c>
      <c r="P122" s="46">
        <f t="shared" ca="1" si="4"/>
        <v>1.9227886056971514E-4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input_449010!A$2</f>
        <v>449010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IFERROR(VLOOKUP(B123,input_449010!L:R,7,FALSE),VLOOKUP(tables_449010!C123,input_449010!A:H,8,FALSE))</f>
        <v>275500</v>
      </c>
      <c r="P123" s="46">
        <f t="shared" ca="1" si="4"/>
        <v>5.1630434782608692E-3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input_449010!A$2</f>
        <v>449010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IFERROR(VLOOKUP(B124,input_449010!L:R,7,FALSE),VLOOKUP(tables_449010!C124,input_449010!A:H,8,FALSE))</f>
        <v>247950</v>
      </c>
      <c r="P124" s="46">
        <f t="shared" ca="1" si="4"/>
        <v>4.6467391304347823E-3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input_449010!A$2</f>
        <v>449010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IFERROR(VLOOKUP(B125,input_449010!L:R,7,FALSE),VLOOKUP(tables_449010!C125,input_449010!A:H,8,FALSE))</f>
        <v>10260</v>
      </c>
      <c r="P125" s="46">
        <f t="shared" ca="1" si="4"/>
        <v>1.9227886056971514E-4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input_449010!A$2</f>
        <v>449010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IFERROR(VLOOKUP(B126,input_449010!L:R,7,FALSE),VLOOKUP(tables_449010!C126,input_449010!A:H,8,FALSE))</f>
        <v>275500</v>
      </c>
      <c r="P126" s="46">
        <f t="shared" ca="1" si="4"/>
        <v>5.1630434782608692E-3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input_449010!A$2</f>
        <v>449010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IFERROR(VLOOKUP(B127,input_449010!L:R,7,FALSE),VLOOKUP(tables_449010!C127,input_449010!A:H,8,FALSE))</f>
        <v>247950</v>
      </c>
      <c r="P127" s="46">
        <f t="shared" ca="1" si="4"/>
        <v>4.6467391304347823E-3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input_449010!A$2</f>
        <v>449010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IFERROR(VLOOKUP(B128,input_449010!L:R,7,FALSE),VLOOKUP(tables_449010!C128,input_449010!A:H,8,FALSE))</f>
        <v>10260</v>
      </c>
      <c r="P128" s="46">
        <f t="shared" ca="1" si="4"/>
        <v>1.9227886056971514E-4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input_449010!A$2</f>
        <v>449010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IFERROR(VLOOKUP(B129,input_449010!L:R,7,FALSE),VLOOKUP(tables_449010!C129,input_449010!A:H,8,FALSE))</f>
        <v>275500</v>
      </c>
      <c r="P129" s="46">
        <f t="shared" ca="1" si="4"/>
        <v>5.1630434782608692E-3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input_449010!A$2</f>
        <v>449010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IFERROR(VLOOKUP(B130,input_449010!L:R,7,FALSE),VLOOKUP(tables_449010!C130,input_449010!A:H,8,FALSE))</f>
        <v>247950</v>
      </c>
      <c r="P130" s="46">
        <f t="shared" ref="P130:P193" ca="1" si="7">O130/SUM(O:O)</f>
        <v>4.6467391304347823E-3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input_449010!A$2</f>
        <v>449010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IFERROR(VLOOKUP(B131,input_449010!L:R,7,FALSE),VLOOKUP(tables_449010!C131,input_449010!A:H,8,FALSE))</f>
        <v>10260</v>
      </c>
      <c r="P131" s="46">
        <f t="shared" ca="1" si="7"/>
        <v>1.9227886056971514E-4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input_449010!A$2</f>
        <v>449010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IFERROR(VLOOKUP(B132,input_449010!L:R,7,FALSE),VLOOKUP(tables_449010!C132,input_449010!A:H,8,FALSE))</f>
        <v>275500</v>
      </c>
      <c r="P132" s="46">
        <f t="shared" ca="1" si="7"/>
        <v>5.1630434782608692E-3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input_449010!A$2</f>
        <v>449010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IFERROR(VLOOKUP(B133,input_449010!L:R,7,FALSE),VLOOKUP(tables_449010!C133,input_449010!A:H,8,FALSE))</f>
        <v>247950</v>
      </c>
      <c r="P133" s="46">
        <f t="shared" ca="1" si="7"/>
        <v>4.6467391304347823E-3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input_449010!A$2</f>
        <v>449010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IFERROR(VLOOKUP(B134,input_449010!L:R,7,FALSE),VLOOKUP(tables_449010!C134,input_449010!A:H,8,FALSE))</f>
        <v>10260</v>
      </c>
      <c r="P134" s="46">
        <f t="shared" ca="1" si="7"/>
        <v>1.9227886056971514E-4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input_449010!A$2</f>
        <v>449010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IFERROR(VLOOKUP(B135,input_449010!L:R,7,FALSE),VLOOKUP(tables_449010!C135,input_449010!A:H,8,FALSE))</f>
        <v>275500</v>
      </c>
      <c r="P135" s="46">
        <f t="shared" ca="1" si="7"/>
        <v>5.1630434782608692E-3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input_449010!A$2</f>
        <v>449010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IFERROR(VLOOKUP(B136,input_449010!L:R,7,FALSE),VLOOKUP(tables_449010!C136,input_449010!A:H,8,FALSE))</f>
        <v>247950</v>
      </c>
      <c r="P136" s="46">
        <f t="shared" ca="1" si="7"/>
        <v>4.6467391304347823E-3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input_449010!A$2</f>
        <v>449010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IFERROR(VLOOKUP(B137,input_449010!L:R,7,FALSE),VLOOKUP(tables_449010!C137,input_449010!A:H,8,FALSE))</f>
        <v>10260</v>
      </c>
      <c r="P137" s="46">
        <f t="shared" ca="1" si="7"/>
        <v>1.9227886056971514E-4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input_449010!A$2</f>
        <v>449010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IFERROR(VLOOKUP(B138,input_449010!L:R,7,FALSE),VLOOKUP(tables_449010!C138,input_449010!A:H,8,FALSE))</f>
        <v>8740</v>
      </c>
      <c r="P138" s="46">
        <f t="shared" ca="1" si="7"/>
        <v>1.6379310344827587E-4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input_449010!A$2</f>
        <v>449010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IFERROR(VLOOKUP(B139,input_449010!L:R,7,FALSE),VLOOKUP(tables_449010!C139,input_449010!A:H,8,FALSE))</f>
        <v>460</v>
      </c>
      <c r="P139" s="46">
        <f t="shared" ca="1" si="7"/>
        <v>8.6206896551724141E-6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input_449010!A$2</f>
        <v>449010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IFERROR(VLOOKUP(B140,input_449010!L:R,7,FALSE),VLOOKUP(tables_449010!C140,input_449010!A:H,8,FALSE))</f>
        <v>8740</v>
      </c>
      <c r="P140" s="46">
        <f t="shared" ca="1" si="7"/>
        <v>1.6379310344827587E-4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input_449010!A$2</f>
        <v>449010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IFERROR(VLOOKUP(B141,input_449010!L:R,7,FALSE),VLOOKUP(tables_449010!C141,input_449010!A:H,8,FALSE))</f>
        <v>460</v>
      </c>
      <c r="P141" s="46">
        <f t="shared" ca="1" si="7"/>
        <v>8.6206896551724141E-6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input_449010!A$2</f>
        <v>449010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IFERROR(VLOOKUP(B142,input_449010!L:R,7,FALSE),VLOOKUP(tables_449010!C142,input_449010!A:H,8,FALSE))</f>
        <v>8740</v>
      </c>
      <c r="P142" s="46">
        <f t="shared" ca="1" si="7"/>
        <v>1.6379310344827587E-4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input_449010!A$2</f>
        <v>449010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IFERROR(VLOOKUP(B143,input_449010!L:R,7,FALSE),VLOOKUP(tables_449010!C143,input_449010!A:H,8,FALSE))</f>
        <v>460</v>
      </c>
      <c r="P143" s="46">
        <f t="shared" ca="1" si="7"/>
        <v>8.6206896551724141E-6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input_449010!A$2</f>
        <v>449010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IFERROR(VLOOKUP(B144,input_449010!L:R,7,FALSE),VLOOKUP(tables_449010!C144,input_449010!A:H,8,FALSE))</f>
        <v>8740</v>
      </c>
      <c r="P144" s="46">
        <f t="shared" ca="1" si="7"/>
        <v>1.6379310344827587E-4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input_449010!A$2</f>
        <v>449010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IFERROR(VLOOKUP(B145,input_449010!L:R,7,FALSE),VLOOKUP(tables_449010!C145,input_449010!A:H,8,FALSE))</f>
        <v>460</v>
      </c>
      <c r="P145" s="46">
        <f t="shared" ca="1" si="7"/>
        <v>8.6206896551724141E-6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input_449010!A$2</f>
        <v>449010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IFERROR(VLOOKUP(B146,input_449010!L:R,7,FALSE),VLOOKUP(tables_449010!C146,input_449010!A:H,8,FALSE))</f>
        <v>275500</v>
      </c>
      <c r="P146" s="46">
        <f t="shared" ca="1" si="7"/>
        <v>5.1630434782608692E-3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input_449010!A$2</f>
        <v>449010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IFERROR(VLOOKUP(B147,input_449010!L:R,7,FALSE),VLOOKUP(tables_449010!C147,input_449010!A:H,8,FALSE))</f>
        <v>247950</v>
      </c>
      <c r="P147" s="46">
        <f t="shared" ca="1" si="7"/>
        <v>4.6467391304347823E-3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input_449010!A$2</f>
        <v>449010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IFERROR(VLOOKUP(B148,input_449010!L:R,7,FALSE),VLOOKUP(tables_449010!C148,input_449010!A:H,8,FALSE))</f>
        <v>10260</v>
      </c>
      <c r="P148" s="46">
        <f t="shared" ca="1" si="7"/>
        <v>1.9227886056971514E-4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input_449010!A$2</f>
        <v>449010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IFERROR(VLOOKUP(B149,input_449010!L:R,7,FALSE),VLOOKUP(tables_449010!C149,input_449010!A:H,8,FALSE))</f>
        <v>8740</v>
      </c>
      <c r="P149" s="46">
        <f t="shared" ca="1" si="7"/>
        <v>1.6379310344827587E-4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input_449010!A$2</f>
        <v>449010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IFERROR(VLOOKUP(B150,input_449010!L:R,7,FALSE),VLOOKUP(tables_449010!C150,input_449010!A:H,8,FALSE))</f>
        <v>460</v>
      </c>
      <c r="P150" s="46">
        <f t="shared" ca="1" si="7"/>
        <v>8.6206896551724141E-6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input_449010!A$2</f>
        <v>449010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IFERROR(VLOOKUP(B151,input_449010!L:R,7,FALSE),VLOOKUP(tables_449010!C151,input_449010!A:H,8,FALSE))</f>
        <v>8740</v>
      </c>
      <c r="P151" s="46">
        <f t="shared" ca="1" si="7"/>
        <v>1.6379310344827587E-4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input_449010!A$2</f>
        <v>449010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IFERROR(VLOOKUP(B152,input_449010!L:R,7,FALSE),VLOOKUP(tables_449010!C152,input_449010!A:H,8,FALSE))</f>
        <v>460</v>
      </c>
      <c r="P152" s="46">
        <f t="shared" ca="1" si="7"/>
        <v>8.6206896551724141E-6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input_449010!A$2</f>
        <v>449010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IFERROR(VLOOKUP(B153,input_449010!L:R,7,FALSE),VLOOKUP(tables_449010!C153,input_449010!A:H,8,FALSE))</f>
        <v>275500</v>
      </c>
      <c r="P153" s="46">
        <f t="shared" ca="1" si="7"/>
        <v>5.1630434782608692E-3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input_449010!A$2</f>
        <v>449010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IFERROR(VLOOKUP(B154,input_449010!L:R,7,FALSE),VLOOKUP(tables_449010!C154,input_449010!A:H,8,FALSE))</f>
        <v>247950</v>
      </c>
      <c r="P154" s="46">
        <f t="shared" ca="1" si="7"/>
        <v>4.6467391304347823E-3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input_449010!A$2</f>
        <v>449010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IFERROR(VLOOKUP(B155,input_449010!L:R,7,FALSE),VLOOKUP(tables_449010!C155,input_449010!A:H,8,FALSE))</f>
        <v>10260</v>
      </c>
      <c r="P155" s="46">
        <f t="shared" ca="1" si="7"/>
        <v>1.9227886056971514E-4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input_449010!A$2</f>
        <v>449010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IFERROR(VLOOKUP(B156,input_449010!L:R,7,FALSE),VLOOKUP(tables_449010!C156,input_449010!A:H,8,FALSE))</f>
        <v>8740</v>
      </c>
      <c r="P156" s="46">
        <f t="shared" ca="1" si="7"/>
        <v>1.6379310344827587E-4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input_449010!A$2</f>
        <v>449010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IFERROR(VLOOKUP(B157,input_449010!L:R,7,FALSE),VLOOKUP(tables_449010!C157,input_449010!A:H,8,FALSE))</f>
        <v>460</v>
      </c>
      <c r="P157" s="46">
        <f t="shared" ca="1" si="7"/>
        <v>8.6206896551724141E-6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input_449010!A$2</f>
        <v>449010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IFERROR(VLOOKUP(B158,input_449010!L:R,7,FALSE),VLOOKUP(tables_449010!C158,input_449010!A:H,8,FALSE))</f>
        <v>275500</v>
      </c>
      <c r="P158" s="46">
        <f t="shared" ca="1" si="7"/>
        <v>5.1630434782608692E-3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input_449010!A$2</f>
        <v>449010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IFERROR(VLOOKUP(B159,input_449010!L:R,7,FALSE),VLOOKUP(tables_449010!C159,input_449010!A:H,8,FALSE))</f>
        <v>247950</v>
      </c>
      <c r="P159" s="46">
        <f t="shared" ca="1" si="7"/>
        <v>4.6467391304347823E-3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input_449010!A$2</f>
        <v>449010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IFERROR(VLOOKUP(B160,input_449010!L:R,7,FALSE),VLOOKUP(tables_449010!C160,input_449010!A:H,8,FALSE))</f>
        <v>10260</v>
      </c>
      <c r="P160" s="46">
        <f t="shared" ca="1" si="7"/>
        <v>1.9227886056971514E-4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input_449010!A$2</f>
        <v>449010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IFERROR(VLOOKUP(B161,input_449010!L:R,7,FALSE),VLOOKUP(tables_449010!C161,input_449010!A:H,8,FALSE))</f>
        <v>275500</v>
      </c>
      <c r="P161" s="46">
        <f t="shared" ca="1" si="7"/>
        <v>5.1630434782608692E-3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input_449010!A$2</f>
        <v>449010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IFERROR(VLOOKUP(B162,input_449010!L:R,7,FALSE),VLOOKUP(tables_449010!C162,input_449010!A:H,8,FALSE))</f>
        <v>247950</v>
      </c>
      <c r="P162" s="46">
        <f t="shared" ca="1" si="7"/>
        <v>4.6467391304347823E-3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input_449010!A$2</f>
        <v>449010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IFERROR(VLOOKUP(B163,input_449010!L:R,7,FALSE),VLOOKUP(tables_449010!C163,input_449010!A:H,8,FALSE))</f>
        <v>10260</v>
      </c>
      <c r="P163" s="46">
        <f t="shared" ca="1" si="7"/>
        <v>1.9227886056971514E-4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input_449010!A$2</f>
        <v>449010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IFERROR(VLOOKUP(B164,input_449010!L:R,7,FALSE),VLOOKUP(tables_449010!C164,input_449010!A:H,8,FALSE))</f>
        <v>8740</v>
      </c>
      <c r="P164" s="46">
        <f t="shared" ca="1" si="7"/>
        <v>1.6379310344827587E-4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input_449010!A$2</f>
        <v>449010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IFERROR(VLOOKUP(B165,input_449010!L:R,7,FALSE),VLOOKUP(tables_449010!C165,input_449010!A:H,8,FALSE))</f>
        <v>460</v>
      </c>
      <c r="P165" s="46">
        <f t="shared" ca="1" si="7"/>
        <v>8.6206896551724141E-6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input_449010!A$2</f>
        <v>449010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IFERROR(VLOOKUP(B166,input_449010!L:R,7,FALSE),VLOOKUP(tables_449010!C166,input_449010!A:H,8,FALSE))</f>
        <v>275500</v>
      </c>
      <c r="P166" s="46">
        <f t="shared" ca="1" si="7"/>
        <v>5.1630434782608692E-3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input_449010!A$2</f>
        <v>449010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IFERROR(VLOOKUP(B167,input_449010!L:R,7,FALSE),VLOOKUP(tables_449010!C167,input_449010!A:H,8,FALSE))</f>
        <v>247950</v>
      </c>
      <c r="P167" s="46">
        <f t="shared" ca="1" si="7"/>
        <v>4.6467391304347823E-3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input_449010!A$2</f>
        <v>449010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IFERROR(VLOOKUP(B168,input_449010!L:R,7,FALSE),VLOOKUP(tables_449010!C168,input_449010!A:H,8,FALSE))</f>
        <v>10260</v>
      </c>
      <c r="P168" s="46">
        <f t="shared" ca="1" si="7"/>
        <v>1.9227886056971514E-4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input_449010!A$2</f>
        <v>449010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IFERROR(VLOOKUP(B169,input_449010!L:R,7,FALSE),VLOOKUP(tables_449010!C169,input_449010!A:H,8,FALSE))</f>
        <v>8740</v>
      </c>
      <c r="P169" s="46">
        <f t="shared" ca="1" si="7"/>
        <v>1.6379310344827587E-4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input_449010!A$2</f>
        <v>449010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IFERROR(VLOOKUP(B170,input_449010!L:R,7,FALSE),VLOOKUP(tables_449010!C170,input_449010!A:H,8,FALSE))</f>
        <v>460</v>
      </c>
      <c r="P170" s="46">
        <f t="shared" ca="1" si="7"/>
        <v>8.6206896551724141E-6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input_449010!A$2</f>
        <v>449010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IFERROR(VLOOKUP(B171,input_449010!L:R,7,FALSE),VLOOKUP(tables_449010!C171,input_449010!A:H,8,FALSE))</f>
        <v>275500</v>
      </c>
      <c r="P171" s="46">
        <f t="shared" ca="1" si="7"/>
        <v>5.1630434782608692E-3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input_449010!A$2</f>
        <v>449010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IFERROR(VLOOKUP(B172,input_449010!L:R,7,FALSE),VLOOKUP(tables_449010!C172,input_449010!A:H,8,FALSE))</f>
        <v>247950</v>
      </c>
      <c r="P172" s="46">
        <f t="shared" ca="1" si="7"/>
        <v>4.6467391304347823E-3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input_449010!A$2</f>
        <v>449010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IFERROR(VLOOKUP(B173,input_449010!L:R,7,FALSE),VLOOKUP(tables_449010!C173,input_449010!A:H,8,FALSE))</f>
        <v>10260</v>
      </c>
      <c r="P173" s="46">
        <f t="shared" ca="1" si="7"/>
        <v>1.9227886056971514E-4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input_449010!A$2</f>
        <v>449010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IFERROR(VLOOKUP(B174,input_449010!L:R,7,FALSE),VLOOKUP(tables_449010!C174,input_449010!A:H,8,FALSE))</f>
        <v>8740</v>
      </c>
      <c r="P174" s="46">
        <f t="shared" ca="1" si="7"/>
        <v>1.6379310344827587E-4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input_449010!A$2</f>
        <v>449010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IFERROR(VLOOKUP(B175,input_449010!L:R,7,FALSE),VLOOKUP(tables_449010!C175,input_449010!A:H,8,FALSE))</f>
        <v>460</v>
      </c>
      <c r="P175" s="46">
        <f t="shared" ca="1" si="7"/>
        <v>8.6206896551724141E-6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input_449010!A$2</f>
        <v>449010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IFERROR(VLOOKUP(B176,input_449010!L:R,7,FALSE),VLOOKUP(tables_449010!C176,input_449010!A:H,8,FALSE))</f>
        <v>8740</v>
      </c>
      <c r="P176" s="46">
        <f t="shared" ca="1" si="7"/>
        <v>1.6379310344827587E-4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input_449010!A$2</f>
        <v>449010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IFERROR(VLOOKUP(B177,input_449010!L:R,7,FALSE),VLOOKUP(tables_449010!C177,input_449010!A:H,8,FALSE))</f>
        <v>460</v>
      </c>
      <c r="P177" s="46">
        <f t="shared" ca="1" si="7"/>
        <v>8.6206896551724141E-6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input_449010!A$2</f>
        <v>449010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IFERROR(VLOOKUP(B178,input_449010!L:R,7,FALSE),VLOOKUP(tables_449010!C178,input_449010!A:H,8,FALSE))</f>
        <v>275500</v>
      </c>
      <c r="P178" s="46">
        <f t="shared" ca="1" si="7"/>
        <v>5.1630434782608692E-3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input_449010!A$2</f>
        <v>449010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IFERROR(VLOOKUP(B179,input_449010!L:R,7,FALSE),VLOOKUP(tables_449010!C179,input_449010!A:H,8,FALSE))</f>
        <v>247950</v>
      </c>
      <c r="P179" s="46">
        <f t="shared" ca="1" si="7"/>
        <v>4.6467391304347823E-3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input_449010!A$2</f>
        <v>449010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IFERROR(VLOOKUP(B180,input_449010!L:R,7,FALSE),VLOOKUP(tables_449010!C180,input_449010!A:H,8,FALSE))</f>
        <v>10260</v>
      </c>
      <c r="P180" s="46">
        <f t="shared" ca="1" si="7"/>
        <v>1.9227886056971514E-4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input_449010!A$2</f>
        <v>449010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IFERROR(VLOOKUP(B181,input_449010!L:R,7,FALSE),VLOOKUP(tables_449010!C181,input_449010!A:H,8,FALSE))</f>
        <v>275500</v>
      </c>
      <c r="P181" s="46">
        <f t="shared" ca="1" si="7"/>
        <v>5.1630434782608692E-3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input_449010!A$2</f>
        <v>449010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IFERROR(VLOOKUP(B182,input_449010!L:R,7,FALSE),VLOOKUP(tables_449010!C182,input_449010!A:H,8,FALSE))</f>
        <v>247950</v>
      </c>
      <c r="P182" s="46">
        <f t="shared" ca="1" si="7"/>
        <v>4.6467391304347823E-3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input_449010!A$2</f>
        <v>449010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IFERROR(VLOOKUP(B183,input_449010!L:R,7,FALSE),VLOOKUP(tables_449010!C183,input_449010!A:H,8,FALSE))</f>
        <v>10260</v>
      </c>
      <c r="P183" s="46">
        <f t="shared" ca="1" si="7"/>
        <v>1.9227886056971514E-4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input_449010!A$2</f>
        <v>449010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IFERROR(VLOOKUP(B184,input_449010!L:R,7,FALSE),VLOOKUP(tables_449010!C184,input_449010!A:H,8,FALSE))</f>
        <v>8740</v>
      </c>
      <c r="P184" s="46">
        <f t="shared" ca="1" si="7"/>
        <v>1.6379310344827587E-4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input_449010!A$2</f>
        <v>449010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IFERROR(VLOOKUP(B185,input_449010!L:R,7,FALSE),VLOOKUP(tables_449010!C185,input_449010!A:H,8,FALSE))</f>
        <v>460</v>
      </c>
      <c r="P185" s="46">
        <f t="shared" ca="1" si="7"/>
        <v>8.6206896551724141E-6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input_449010!A$2</f>
        <v>449010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IFERROR(VLOOKUP(B186,input_449010!L:R,7,FALSE),VLOOKUP(tables_449010!C186,input_449010!A:H,8,FALSE))</f>
        <v>275500</v>
      </c>
      <c r="P186" s="46">
        <f t="shared" ca="1" si="7"/>
        <v>5.1630434782608692E-3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input_449010!A$2</f>
        <v>449010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IFERROR(VLOOKUP(B187,input_449010!L:R,7,FALSE),VLOOKUP(tables_449010!C187,input_449010!A:H,8,FALSE))</f>
        <v>247950</v>
      </c>
      <c r="P187" s="46">
        <f t="shared" ca="1" si="7"/>
        <v>4.6467391304347823E-3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input_449010!A$2</f>
        <v>449010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IFERROR(VLOOKUP(B188,input_449010!L:R,7,FALSE),VLOOKUP(tables_449010!C188,input_449010!A:H,8,FALSE))</f>
        <v>10260</v>
      </c>
      <c r="P188" s="46">
        <f t="shared" ca="1" si="7"/>
        <v>1.9227886056971514E-4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input_449010!A$2</f>
        <v>449010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IFERROR(VLOOKUP(B189,input_449010!L:R,7,FALSE),VLOOKUP(tables_449010!C189,input_449010!A:H,8,FALSE))</f>
        <v>8740</v>
      </c>
      <c r="P189" s="46">
        <f t="shared" ca="1" si="7"/>
        <v>1.6379310344827587E-4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input_449010!A$2</f>
        <v>449010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IFERROR(VLOOKUP(B190,input_449010!L:R,7,FALSE),VLOOKUP(tables_449010!C190,input_449010!A:H,8,FALSE))</f>
        <v>460</v>
      </c>
      <c r="P190" s="46">
        <f t="shared" ca="1" si="7"/>
        <v>8.6206896551724141E-6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input_449010!A$2</f>
        <v>449010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IFERROR(VLOOKUP(B191,input_449010!L:R,7,FALSE),VLOOKUP(tables_449010!C191,input_449010!A:H,8,FALSE))</f>
        <v>8740</v>
      </c>
      <c r="P191" s="46">
        <f t="shared" ca="1" si="7"/>
        <v>1.6379310344827587E-4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input_449010!A$2</f>
        <v>449010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IFERROR(VLOOKUP(B192,input_449010!L:R,7,FALSE),VLOOKUP(tables_449010!C192,input_449010!A:H,8,FALSE))</f>
        <v>460</v>
      </c>
      <c r="P192" s="46">
        <f t="shared" ca="1" si="7"/>
        <v>8.6206896551724141E-6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input_449010!A$2</f>
        <v>449010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IFERROR(VLOOKUP(B193,input_449010!L:R,7,FALSE),VLOOKUP(tables_449010!C193,input_449010!A:H,8,FALSE))</f>
        <v>275500</v>
      </c>
      <c r="P193" s="46">
        <f t="shared" ca="1" si="7"/>
        <v>5.1630434782608692E-3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input_449010!A$2</f>
        <v>449010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IFERROR(VLOOKUP(B194,input_449010!L:R,7,FALSE),VLOOKUP(tables_449010!C194,input_449010!A:H,8,FALSE))</f>
        <v>247950</v>
      </c>
      <c r="P194" s="46">
        <f t="shared" ref="P194:P257" ca="1" si="10">O194/SUM(O:O)</f>
        <v>4.6467391304347823E-3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input_449010!A$2</f>
        <v>449010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IFERROR(VLOOKUP(B195,input_449010!L:R,7,FALSE),VLOOKUP(tables_449010!C195,input_449010!A:H,8,FALSE))</f>
        <v>10260</v>
      </c>
      <c r="P195" s="46">
        <f t="shared" ca="1" si="10"/>
        <v>1.9227886056971514E-4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input_449010!A$2</f>
        <v>449010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IFERROR(VLOOKUP(B196,input_449010!L:R,7,FALSE),VLOOKUP(tables_449010!C196,input_449010!A:H,8,FALSE))</f>
        <v>8740</v>
      </c>
      <c r="P196" s="46">
        <f t="shared" ca="1" si="10"/>
        <v>1.6379310344827587E-4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input_449010!A$2</f>
        <v>449010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IFERROR(VLOOKUP(B197,input_449010!L:R,7,FALSE),VLOOKUP(tables_449010!C197,input_449010!A:H,8,FALSE))</f>
        <v>460</v>
      </c>
      <c r="P197" s="46">
        <f t="shared" ca="1" si="10"/>
        <v>8.6206896551724141E-6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input_449010!A$2</f>
        <v>449010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IFERROR(VLOOKUP(B198,input_449010!L:R,7,FALSE),VLOOKUP(tables_449010!C198,input_449010!A:H,8,FALSE))</f>
        <v>275500</v>
      </c>
      <c r="P198" s="46">
        <f t="shared" ca="1" si="10"/>
        <v>5.1630434782608692E-3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input_449010!A$2</f>
        <v>449010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IFERROR(VLOOKUP(B199,input_449010!L:R,7,FALSE),VLOOKUP(tables_449010!C199,input_449010!A:H,8,FALSE))</f>
        <v>247950</v>
      </c>
      <c r="P199" s="46">
        <f t="shared" ca="1" si="10"/>
        <v>4.6467391304347823E-3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input_449010!A$2</f>
        <v>449010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IFERROR(VLOOKUP(B200,input_449010!L:R,7,FALSE),VLOOKUP(tables_449010!C200,input_449010!A:H,8,FALSE))</f>
        <v>10260</v>
      </c>
      <c r="P200" s="46">
        <f t="shared" ca="1" si="10"/>
        <v>1.9227886056971514E-4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input_449010!A$2</f>
        <v>449010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IFERROR(VLOOKUP(B201,input_449010!L:R,7,FALSE),VLOOKUP(tables_449010!C201,input_449010!A:H,8,FALSE))</f>
        <v>8740</v>
      </c>
      <c r="P201" s="46">
        <f t="shared" ca="1" si="10"/>
        <v>1.6379310344827587E-4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input_449010!A$2</f>
        <v>449010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IFERROR(VLOOKUP(B202,input_449010!L:R,7,FALSE),VLOOKUP(tables_449010!C202,input_449010!A:H,8,FALSE))</f>
        <v>460</v>
      </c>
      <c r="P202" s="46">
        <f t="shared" ca="1" si="10"/>
        <v>8.6206896551724141E-6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input_449010!A$2</f>
        <v>449010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IFERROR(VLOOKUP(B203,input_449010!L:R,7,FALSE),VLOOKUP(tables_449010!C203,input_449010!A:H,8,FALSE))</f>
        <v>275500</v>
      </c>
      <c r="P203" s="46">
        <f t="shared" ca="1" si="10"/>
        <v>5.1630434782608692E-3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input_449010!A$2</f>
        <v>449010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IFERROR(VLOOKUP(B204,input_449010!L:R,7,FALSE),VLOOKUP(tables_449010!C204,input_449010!A:H,8,FALSE))</f>
        <v>247950</v>
      </c>
      <c r="P204" s="46">
        <f t="shared" ca="1" si="10"/>
        <v>4.6467391304347823E-3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input_449010!A$2</f>
        <v>449010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IFERROR(VLOOKUP(B205,input_449010!L:R,7,FALSE),VLOOKUP(tables_449010!C205,input_449010!A:H,8,FALSE))</f>
        <v>10260</v>
      </c>
      <c r="P205" s="46">
        <f t="shared" ca="1" si="10"/>
        <v>1.9227886056971514E-4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input_449010!A$2</f>
        <v>449010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IFERROR(VLOOKUP(B206,input_449010!L:R,7,FALSE),VLOOKUP(tables_449010!C206,input_449010!A:H,8,FALSE))</f>
        <v>8740</v>
      </c>
      <c r="P206" s="46">
        <f t="shared" ca="1" si="10"/>
        <v>1.6379310344827587E-4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input_449010!A$2</f>
        <v>449010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IFERROR(VLOOKUP(B207,input_449010!L:R,7,FALSE),VLOOKUP(tables_449010!C207,input_449010!A:H,8,FALSE))</f>
        <v>460</v>
      </c>
      <c r="P207" s="46">
        <f t="shared" ca="1" si="10"/>
        <v>8.6206896551724141E-6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input_449010!A$2</f>
        <v>449010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IFERROR(VLOOKUP(B208,input_449010!L:R,7,FALSE),VLOOKUP(tables_449010!C208,input_449010!A:H,8,FALSE))</f>
        <v>8740</v>
      </c>
      <c r="P208" s="46">
        <f t="shared" ca="1" si="10"/>
        <v>1.6379310344827587E-4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input_449010!A$2</f>
        <v>449010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IFERROR(VLOOKUP(B209,input_449010!L:R,7,FALSE),VLOOKUP(tables_449010!C209,input_449010!A:H,8,FALSE))</f>
        <v>460</v>
      </c>
      <c r="P209" s="46">
        <f t="shared" ca="1" si="10"/>
        <v>8.6206896551724141E-6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input_449010!A$2</f>
        <v>449010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IFERROR(VLOOKUP(B210,input_449010!L:R,7,FALSE),VLOOKUP(tables_449010!C210,input_449010!A:H,8,FALSE))</f>
        <v>275500</v>
      </c>
      <c r="P210" s="46">
        <f t="shared" ca="1" si="10"/>
        <v>5.1630434782608692E-3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input_449010!A$2</f>
        <v>449010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IFERROR(VLOOKUP(B211,input_449010!L:R,7,FALSE),VLOOKUP(tables_449010!C211,input_449010!A:H,8,FALSE))</f>
        <v>247950</v>
      </c>
      <c r="P211" s="46">
        <f t="shared" ca="1" si="10"/>
        <v>4.6467391304347823E-3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input_449010!A$2</f>
        <v>449010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IFERROR(VLOOKUP(B212,input_449010!L:R,7,FALSE),VLOOKUP(tables_449010!C212,input_449010!A:H,8,FALSE))</f>
        <v>10260</v>
      </c>
      <c r="P212" s="46">
        <f t="shared" ca="1" si="10"/>
        <v>1.9227886056971514E-4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input_449010!A$2</f>
        <v>449010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IFERROR(VLOOKUP(B213,input_449010!L:R,7,FALSE),VLOOKUP(tables_449010!C213,input_449010!A:H,8,FALSE))</f>
        <v>8740</v>
      </c>
      <c r="P213" s="46">
        <f t="shared" ca="1" si="10"/>
        <v>1.6379310344827587E-4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input_449010!A$2</f>
        <v>449010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IFERROR(VLOOKUP(B214,input_449010!L:R,7,FALSE),VLOOKUP(tables_449010!C214,input_449010!A:H,8,FALSE))</f>
        <v>460</v>
      </c>
      <c r="P214" s="46">
        <f t="shared" ca="1" si="10"/>
        <v>8.6206896551724141E-6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input_449010!A$2</f>
        <v>449010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IFERROR(VLOOKUP(B215,input_449010!L:R,7,FALSE),VLOOKUP(tables_449010!C215,input_449010!A:H,8,FALSE))</f>
        <v>27550</v>
      </c>
      <c r="P215" s="46">
        <f t="shared" ca="1" si="10"/>
        <v>5.1630434782608692E-4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input_449010!A$2</f>
        <v>449010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IFERROR(VLOOKUP(B216,input_449010!L:R,7,FALSE),VLOOKUP(tables_449010!C216,input_449010!A:H,8,FALSE))</f>
        <v>27550</v>
      </c>
      <c r="P216" s="46">
        <f t="shared" ca="1" si="10"/>
        <v>5.1630434782608692E-4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input_449010!A$2</f>
        <v>449010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IFERROR(VLOOKUP(B217,input_449010!L:R,7,FALSE),VLOOKUP(tables_449010!C217,input_449010!A:H,8,FALSE))</f>
        <v>27550</v>
      </c>
      <c r="P217" s="46">
        <f t="shared" ca="1" si="10"/>
        <v>5.1630434782608692E-4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input_449010!A$2</f>
        <v>449010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IFERROR(VLOOKUP(B218,input_449010!L:R,7,FALSE),VLOOKUP(tables_449010!C218,input_449010!A:H,8,FALSE))</f>
        <v>27550</v>
      </c>
      <c r="P218" s="46">
        <f t="shared" ca="1" si="10"/>
        <v>5.1630434782608692E-4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input_449010!A$2</f>
        <v>449010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IFERROR(VLOOKUP(B219,input_449010!L:R,7,FALSE),VLOOKUP(tables_449010!C219,input_449010!A:H,8,FALSE))</f>
        <v>27550</v>
      </c>
      <c r="P219" s="46">
        <f t="shared" ca="1" si="10"/>
        <v>5.1630434782608692E-4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input_449010!A$2</f>
        <v>449010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IFERROR(VLOOKUP(B220,input_449010!L:R,7,FALSE),VLOOKUP(tables_449010!C220,input_449010!A:H,8,FALSE))</f>
        <v>27550</v>
      </c>
      <c r="P220" s="46">
        <f t="shared" ca="1" si="10"/>
        <v>5.1630434782608692E-4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input_449010!A$2</f>
        <v>449010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IFERROR(VLOOKUP(B221,input_449010!L:R,7,FALSE),VLOOKUP(tables_449010!C221,input_449010!A:H,8,FALSE))</f>
        <v>8740</v>
      </c>
      <c r="P221" s="46">
        <f t="shared" ca="1" si="10"/>
        <v>1.6379310344827587E-4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input_449010!A$2</f>
        <v>449010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IFERROR(VLOOKUP(B222,input_449010!L:R,7,FALSE),VLOOKUP(tables_449010!C222,input_449010!A:H,8,FALSE))</f>
        <v>460</v>
      </c>
      <c r="P222" s="46">
        <f t="shared" ca="1" si="10"/>
        <v>8.6206896551724141E-6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input_449010!A$2</f>
        <v>449010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IFERROR(VLOOKUP(B223,input_449010!L:R,7,FALSE),VLOOKUP(tables_449010!C223,input_449010!A:H,8,FALSE))</f>
        <v>275500</v>
      </c>
      <c r="P223" s="46">
        <f t="shared" ca="1" si="10"/>
        <v>5.1630434782608692E-3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input_449010!A$2</f>
        <v>449010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IFERROR(VLOOKUP(B224,input_449010!L:R,7,FALSE),VLOOKUP(tables_449010!C224,input_449010!A:H,8,FALSE))</f>
        <v>247950</v>
      </c>
      <c r="P224" s="46">
        <f t="shared" ca="1" si="10"/>
        <v>4.6467391304347823E-3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input_449010!A$2</f>
        <v>449010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IFERROR(VLOOKUP(B225,input_449010!L:R,7,FALSE),VLOOKUP(tables_449010!C225,input_449010!A:H,8,FALSE))</f>
        <v>10260</v>
      </c>
      <c r="P225" s="46">
        <f t="shared" ca="1" si="10"/>
        <v>1.9227886056971514E-4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input_449010!A$2</f>
        <v>449010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IFERROR(VLOOKUP(B226,input_449010!L:R,7,FALSE),VLOOKUP(tables_449010!C226,input_449010!A:H,8,FALSE))</f>
        <v>275500</v>
      </c>
      <c r="P226" s="46">
        <f t="shared" ca="1" si="10"/>
        <v>5.1630434782608692E-3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input_449010!A$2</f>
        <v>449010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IFERROR(VLOOKUP(B227,input_449010!L:R,7,FALSE),VLOOKUP(tables_449010!C227,input_449010!A:H,8,FALSE))</f>
        <v>247950</v>
      </c>
      <c r="P227" s="46">
        <f t="shared" ca="1" si="10"/>
        <v>4.6467391304347823E-3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input_449010!A$2</f>
        <v>449010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IFERROR(VLOOKUP(B228,input_449010!L:R,7,FALSE),VLOOKUP(tables_449010!C228,input_449010!A:H,8,FALSE))</f>
        <v>10260</v>
      </c>
      <c r="P228" s="46">
        <f t="shared" ca="1" si="10"/>
        <v>1.9227886056971514E-4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input_449010!A$2</f>
        <v>449010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IFERROR(VLOOKUP(B229,input_449010!L:R,7,FALSE),VLOOKUP(tables_449010!C229,input_449010!A:H,8,FALSE))</f>
        <v>8740</v>
      </c>
      <c r="P229" s="46">
        <f t="shared" ca="1" si="10"/>
        <v>1.6379310344827587E-4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input_449010!A$2</f>
        <v>449010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IFERROR(VLOOKUP(B230,input_449010!L:R,7,FALSE),VLOOKUP(tables_449010!C230,input_449010!A:H,8,FALSE))</f>
        <v>460</v>
      </c>
      <c r="P230" s="46">
        <f t="shared" ca="1" si="10"/>
        <v>8.6206896551724141E-6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input_449010!A$2</f>
        <v>449010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IFERROR(VLOOKUP(B231,input_449010!L:R,7,FALSE),VLOOKUP(tables_449010!C231,input_449010!A:H,8,FALSE))</f>
        <v>275500</v>
      </c>
      <c r="P231" s="46">
        <f t="shared" ca="1" si="10"/>
        <v>5.1630434782608692E-3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input_449010!A$2</f>
        <v>449010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IFERROR(VLOOKUP(B232,input_449010!L:R,7,FALSE),VLOOKUP(tables_449010!C232,input_449010!A:H,8,FALSE))</f>
        <v>247950</v>
      </c>
      <c r="P232" s="46">
        <f t="shared" ca="1" si="10"/>
        <v>4.6467391304347823E-3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input_449010!A$2</f>
        <v>449010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IFERROR(VLOOKUP(B233,input_449010!L:R,7,FALSE),VLOOKUP(tables_449010!C233,input_449010!A:H,8,FALSE))</f>
        <v>10260</v>
      </c>
      <c r="P233" s="46">
        <f t="shared" ca="1" si="10"/>
        <v>1.9227886056971514E-4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input_449010!A$2</f>
        <v>449010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IFERROR(VLOOKUP(B234,input_449010!L:R,7,FALSE),VLOOKUP(tables_449010!C234,input_449010!A:H,8,FALSE))</f>
        <v>275500</v>
      </c>
      <c r="P234" s="46">
        <f t="shared" ca="1" si="10"/>
        <v>5.1630434782608692E-3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input_449010!A$2</f>
        <v>449010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IFERROR(VLOOKUP(B235,input_449010!L:R,7,FALSE),VLOOKUP(tables_449010!C235,input_449010!A:H,8,FALSE))</f>
        <v>247950</v>
      </c>
      <c r="P235" s="46">
        <f t="shared" ca="1" si="10"/>
        <v>4.6467391304347823E-3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input_449010!A$2</f>
        <v>449010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IFERROR(VLOOKUP(B236,input_449010!L:R,7,FALSE),VLOOKUP(tables_449010!C236,input_449010!A:H,8,FALSE))</f>
        <v>10260</v>
      </c>
      <c r="P236" s="46">
        <f t="shared" ca="1" si="10"/>
        <v>1.9227886056971514E-4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input_449010!A$2</f>
        <v>449010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IFERROR(VLOOKUP(B237,input_449010!L:R,7,FALSE),VLOOKUP(tables_449010!C237,input_449010!A:H,8,FALSE))</f>
        <v>8740</v>
      </c>
      <c r="P237" s="46">
        <f t="shared" ca="1" si="10"/>
        <v>1.6379310344827587E-4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input_449010!A$2</f>
        <v>449010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IFERROR(VLOOKUP(B238,input_449010!L:R,7,FALSE),VLOOKUP(tables_449010!C238,input_449010!A:H,8,FALSE))</f>
        <v>460</v>
      </c>
      <c r="P238" s="46">
        <f t="shared" ca="1" si="10"/>
        <v>8.6206896551724141E-6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input_449010!A$2</f>
        <v>449010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IFERROR(VLOOKUP(B239,input_449010!L:R,7,FALSE),VLOOKUP(tables_449010!C239,input_449010!A:H,8,FALSE))</f>
        <v>275500</v>
      </c>
      <c r="P239" s="46">
        <f t="shared" ca="1" si="10"/>
        <v>5.1630434782608692E-3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input_449010!A$2</f>
        <v>449010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IFERROR(VLOOKUP(B240,input_449010!L:R,7,FALSE),VLOOKUP(tables_449010!C240,input_449010!A:H,8,FALSE))</f>
        <v>247950</v>
      </c>
      <c r="P240" s="46">
        <f t="shared" ca="1" si="10"/>
        <v>4.6467391304347823E-3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input_449010!A$2</f>
        <v>449010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IFERROR(VLOOKUP(B241,input_449010!L:R,7,FALSE),VLOOKUP(tables_449010!C241,input_449010!A:H,8,FALSE))</f>
        <v>10260</v>
      </c>
      <c r="P241" s="46">
        <f t="shared" ca="1" si="10"/>
        <v>1.9227886056971514E-4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input_449010!A$2</f>
        <v>449010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IFERROR(VLOOKUP(B242,input_449010!L:R,7,FALSE),VLOOKUP(tables_449010!C242,input_449010!A:H,8,FALSE))</f>
        <v>8740</v>
      </c>
      <c r="P242" s="46">
        <f t="shared" ca="1" si="10"/>
        <v>1.6379310344827587E-4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input_449010!A$2</f>
        <v>449010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IFERROR(VLOOKUP(B243,input_449010!L:R,7,FALSE),VLOOKUP(tables_449010!C243,input_449010!A:H,8,FALSE))</f>
        <v>460</v>
      </c>
      <c r="P243" s="46">
        <f t="shared" ca="1" si="10"/>
        <v>8.6206896551724141E-6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input_449010!A$2</f>
        <v>449010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IFERROR(VLOOKUP(B244,input_449010!L:R,7,FALSE),VLOOKUP(tables_449010!C244,input_449010!A:H,8,FALSE))</f>
        <v>8740</v>
      </c>
      <c r="P244" s="46">
        <f t="shared" ca="1" si="10"/>
        <v>1.6379310344827587E-4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input_449010!A$2</f>
        <v>449010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IFERROR(VLOOKUP(B245,input_449010!L:R,7,FALSE),VLOOKUP(tables_449010!C245,input_449010!A:H,8,FALSE))</f>
        <v>460</v>
      </c>
      <c r="P245" s="46">
        <f t="shared" ca="1" si="10"/>
        <v>8.6206896551724141E-6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input_449010!A$2</f>
        <v>449010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IFERROR(VLOOKUP(B246,input_449010!L:R,7,FALSE),VLOOKUP(tables_449010!C246,input_449010!A:H,8,FALSE))</f>
        <v>275500</v>
      </c>
      <c r="P246" s="46">
        <f t="shared" ca="1" si="10"/>
        <v>5.1630434782608692E-3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input_449010!A$2</f>
        <v>449010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IFERROR(VLOOKUP(B247,input_449010!L:R,7,FALSE),VLOOKUP(tables_449010!C247,input_449010!A:H,8,FALSE))</f>
        <v>247950</v>
      </c>
      <c r="P247" s="46">
        <f t="shared" ca="1" si="10"/>
        <v>4.6467391304347823E-3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input_449010!A$2</f>
        <v>449010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IFERROR(VLOOKUP(B248,input_449010!L:R,7,FALSE),VLOOKUP(tables_449010!C248,input_449010!A:H,8,FALSE))</f>
        <v>10260</v>
      </c>
      <c r="P248" s="46">
        <f t="shared" ca="1" si="10"/>
        <v>1.9227886056971514E-4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input_449010!A$2</f>
        <v>449010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IFERROR(VLOOKUP(B249,input_449010!L:R,7,FALSE),VLOOKUP(tables_449010!C249,input_449010!A:H,8,FALSE))</f>
        <v>275500</v>
      </c>
      <c r="P249" s="46">
        <f t="shared" ca="1" si="10"/>
        <v>5.1630434782608692E-3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input_449010!A$2</f>
        <v>449010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IFERROR(VLOOKUP(B250,input_449010!L:R,7,FALSE),VLOOKUP(tables_449010!C250,input_449010!A:H,8,FALSE))</f>
        <v>247950</v>
      </c>
      <c r="P250" s="46">
        <f t="shared" ca="1" si="10"/>
        <v>4.6467391304347823E-3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input_449010!A$2</f>
        <v>449010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IFERROR(VLOOKUP(B251,input_449010!L:R,7,FALSE),VLOOKUP(tables_449010!C251,input_449010!A:H,8,FALSE))</f>
        <v>10260</v>
      </c>
      <c r="P251" s="46">
        <f t="shared" ca="1" si="10"/>
        <v>1.9227886056971514E-4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input_449010!A$2</f>
        <v>449010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IFERROR(VLOOKUP(B252,input_449010!L:R,7,FALSE),VLOOKUP(tables_449010!C252,input_449010!A:H,8,FALSE))</f>
        <v>275500</v>
      </c>
      <c r="P252" s="46">
        <f t="shared" ca="1" si="10"/>
        <v>5.1630434782608692E-3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input_449010!A$2</f>
        <v>449010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IFERROR(VLOOKUP(B253,input_449010!L:R,7,FALSE),VLOOKUP(tables_449010!C253,input_449010!A:H,8,FALSE))</f>
        <v>247950</v>
      </c>
      <c r="P253" s="46">
        <f t="shared" ca="1" si="10"/>
        <v>4.6467391304347823E-3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input_449010!A$2</f>
        <v>449010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IFERROR(VLOOKUP(B254,input_449010!L:R,7,FALSE),VLOOKUP(tables_449010!C254,input_449010!A:H,8,FALSE))</f>
        <v>10260</v>
      </c>
      <c r="P254" s="46">
        <f t="shared" ca="1" si="10"/>
        <v>1.9227886056971514E-4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input_449010!A$2</f>
        <v>449010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IFERROR(VLOOKUP(B255,input_449010!L:R,7,FALSE),VLOOKUP(tables_449010!C255,input_449010!A:H,8,FALSE))</f>
        <v>275500</v>
      </c>
      <c r="P255" s="46">
        <f t="shared" ca="1" si="10"/>
        <v>5.1630434782608692E-3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input_449010!A$2</f>
        <v>449010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IFERROR(VLOOKUP(B256,input_449010!L:R,7,FALSE),VLOOKUP(tables_449010!C256,input_449010!A:H,8,FALSE))</f>
        <v>247950</v>
      </c>
      <c r="P256" s="46">
        <f t="shared" ca="1" si="10"/>
        <v>4.6467391304347823E-3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input_449010!A$2</f>
        <v>449010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IFERROR(VLOOKUP(B257,input_449010!L:R,7,FALSE),VLOOKUP(tables_449010!C257,input_449010!A:H,8,FALSE))</f>
        <v>10260</v>
      </c>
      <c r="P257" s="46">
        <f t="shared" ca="1" si="10"/>
        <v>1.9227886056971514E-4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input_449010!A$2</f>
        <v>449010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>IFERROR(VLOOKUP(B258,input_449010!L:R,7,FALSE),VLOOKUP(tables_449010!C258,input_449010!A:H,8,FALSE))</f>
        <v>1013840</v>
      </c>
      <c r="P258" s="46">
        <f t="shared" ref="P258:P321" ca="1" si="13">O258/SUM(O:O)</f>
        <v>1.9E-2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input_449010!A$2</f>
        <v>449010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>IFERROR(VLOOKUP(B259,input_449010!L:R,7,FALSE),VLOOKUP(tables_449010!C259,input_449010!A:H,8,FALSE))</f>
        <v>53360</v>
      </c>
      <c r="P259" s="46">
        <f t="shared" ca="1" si="13"/>
        <v>1E-3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input_449010!A$2</f>
        <v>449010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IFERROR(VLOOKUP(B260,input_449010!L:R,7,FALSE),VLOOKUP(tables_449010!C260,input_449010!A:H,8,FALSE))</f>
        <v>8740</v>
      </c>
      <c r="P260" s="46">
        <f t="shared" ca="1" si="13"/>
        <v>1.6379310344827587E-4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input_449010!A$2</f>
        <v>449010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IFERROR(VLOOKUP(B261,input_449010!L:R,7,FALSE),VLOOKUP(tables_449010!C261,input_449010!A:H,8,FALSE))</f>
        <v>460</v>
      </c>
      <c r="P261" s="46">
        <f t="shared" ca="1" si="13"/>
        <v>8.6206896551724141E-6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input_449010!A$2</f>
        <v>449010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IFERROR(VLOOKUP(B262,input_449010!L:R,7,FALSE),VLOOKUP(tables_449010!C262,input_449010!A:H,8,FALSE))</f>
        <v>513118.75</v>
      </c>
      <c r="P262" s="46">
        <f t="shared" ca="1" si="13"/>
        <v>9.6161684782608697E-3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input_449010!A$2</f>
        <v>449010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IFERROR(VLOOKUP(B263,input_449010!L:R,7,FALSE),VLOOKUP(tables_449010!C263,input_449010!A:H,8,FALSE))</f>
        <v>27550</v>
      </c>
      <c r="P263" s="46">
        <f t="shared" ca="1" si="13"/>
        <v>5.1630434782608692E-4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input_449010!A$2</f>
        <v>449010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IFERROR(VLOOKUP(B264,input_449010!L:R,7,FALSE),VLOOKUP(tables_449010!C264,input_449010!A:H,8,FALSE))</f>
        <v>513118.75</v>
      </c>
      <c r="P264" s="46">
        <f t="shared" ca="1" si="13"/>
        <v>9.6161684782608697E-3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input_449010!A$2</f>
        <v>449010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IFERROR(VLOOKUP(B265,input_449010!L:R,7,FALSE),VLOOKUP(tables_449010!C265,input_449010!A:H,8,FALSE))</f>
        <v>27550</v>
      </c>
      <c r="P265" s="46">
        <f t="shared" ca="1" si="13"/>
        <v>5.1630434782608692E-4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input_449010!A$2</f>
        <v>449010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IFERROR(VLOOKUP(B266,input_449010!L:R,7,FALSE),VLOOKUP(tables_449010!C266,input_449010!A:H,8,FALSE))</f>
        <v>9200</v>
      </c>
      <c r="P266" s="46">
        <f t="shared" ca="1" si="13"/>
        <v>1.7241379310344826E-4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input_449010!A$2</f>
        <v>449010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IFERROR(VLOOKUP(B267,input_449010!L:R,7,FALSE),VLOOKUP(tables_449010!C267,input_449010!A:H,8,FALSE))</f>
        <v>9200</v>
      </c>
      <c r="P267" s="46">
        <f t="shared" ca="1" si="13"/>
        <v>1.7241379310344826E-4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input_449010!A$2</f>
        <v>449010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IFERROR(VLOOKUP(B268,input_449010!L:R,7,FALSE),VLOOKUP(tables_449010!C268,input_449010!A:H,8,FALSE))</f>
        <v>9200</v>
      </c>
      <c r="P268" s="46">
        <f t="shared" ca="1" si="13"/>
        <v>1.7241379310344826E-4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input_449010!A$2</f>
        <v>449010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>IFERROR(VLOOKUP(B269,input_449010!L:R,7,FALSE),VLOOKUP(tables_449010!C269,input_449010!A:H,8,FALSE))</f>
        <v>1067200</v>
      </c>
      <c r="P269" s="46">
        <f t="shared" ca="1" si="13"/>
        <v>0.02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input_449010!A$2</f>
        <v>449010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IFERROR(VLOOKUP(B270,input_449010!L:R,7,FALSE),VLOOKUP(tables_449010!C270,input_449010!A:H,8,FALSE))</f>
        <v>513118.75</v>
      </c>
      <c r="P270" s="46">
        <f t="shared" ca="1" si="13"/>
        <v>9.6161684782608697E-3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input_449010!A$2</f>
        <v>449010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IFERROR(VLOOKUP(B271,input_449010!L:R,7,FALSE),VLOOKUP(tables_449010!C271,input_449010!A:H,8,FALSE))</f>
        <v>27550</v>
      </c>
      <c r="P271" s="46">
        <f t="shared" ca="1" si="13"/>
        <v>5.1630434782608692E-4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input_449010!A$2</f>
        <v>449010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IFERROR(VLOOKUP(B272,input_449010!L:R,7,FALSE),VLOOKUP(tables_449010!C272,input_449010!A:H,8,FALSE))</f>
        <v>513118.75</v>
      </c>
      <c r="P272" s="46">
        <f t="shared" ca="1" si="13"/>
        <v>9.6161684782608697E-3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input_449010!A$2</f>
        <v>449010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IFERROR(VLOOKUP(B273,input_449010!L:R,7,FALSE),VLOOKUP(tables_449010!C273,input_449010!A:H,8,FALSE))</f>
        <v>27550</v>
      </c>
      <c r="P273" s="46">
        <f t="shared" ca="1" si="13"/>
        <v>5.1630434782608692E-4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input_449010!A$2</f>
        <v>449010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IFERROR(VLOOKUP(B274,input_449010!L:R,7,FALSE),VLOOKUP(tables_449010!C274,input_449010!A:H,8,FALSE))</f>
        <v>8740</v>
      </c>
      <c r="P274" s="46">
        <f t="shared" ca="1" si="13"/>
        <v>1.6379310344827587E-4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input_449010!A$2</f>
        <v>449010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IFERROR(VLOOKUP(B275,input_449010!L:R,7,FALSE),VLOOKUP(tables_449010!C275,input_449010!A:H,8,FALSE))</f>
        <v>460</v>
      </c>
      <c r="P275" s="46">
        <f t="shared" ca="1" si="13"/>
        <v>8.6206896551724141E-6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input_449010!A$2</f>
        <v>449010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IFERROR(VLOOKUP(B276,input_449010!L:R,7,FALSE),VLOOKUP(tables_449010!C276,input_449010!A:H,8,FALSE))</f>
        <v>8740</v>
      </c>
      <c r="P276" s="46">
        <f t="shared" ca="1" si="13"/>
        <v>1.6379310344827587E-4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input_449010!A$2</f>
        <v>449010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IFERROR(VLOOKUP(B277,input_449010!L:R,7,FALSE),VLOOKUP(tables_449010!C277,input_449010!A:H,8,FALSE))</f>
        <v>460</v>
      </c>
      <c r="P277" s="46">
        <f t="shared" ca="1" si="13"/>
        <v>8.6206896551724141E-6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input_449010!A$2</f>
        <v>449010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IFERROR(VLOOKUP(B278,input_449010!L:R,7,FALSE),VLOOKUP(tables_449010!C278,input_449010!A:H,8,FALSE))</f>
        <v>275500</v>
      </c>
      <c r="P278" s="46">
        <f t="shared" ca="1" si="13"/>
        <v>5.1630434782608692E-3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input_449010!A$2</f>
        <v>449010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IFERROR(VLOOKUP(B279,input_449010!L:R,7,FALSE),VLOOKUP(tables_449010!C279,input_449010!A:H,8,FALSE))</f>
        <v>247950</v>
      </c>
      <c r="P279" s="46">
        <f t="shared" ca="1" si="13"/>
        <v>4.6467391304347823E-3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input_449010!A$2</f>
        <v>449010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IFERROR(VLOOKUP(B280,input_449010!L:R,7,FALSE),VLOOKUP(tables_449010!C280,input_449010!A:H,8,FALSE))</f>
        <v>10260</v>
      </c>
      <c r="P280" s="46">
        <f t="shared" ca="1" si="13"/>
        <v>1.9227886056971514E-4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input_449010!A$2</f>
        <v>449010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IFERROR(VLOOKUP(B281,input_449010!L:R,7,FALSE),VLOOKUP(tables_449010!C281,input_449010!A:H,8,FALSE))</f>
        <v>275500</v>
      </c>
      <c r="P281" s="46">
        <f t="shared" ca="1" si="13"/>
        <v>5.1630434782608692E-3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input_449010!A$2</f>
        <v>449010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IFERROR(VLOOKUP(B282,input_449010!L:R,7,FALSE),VLOOKUP(tables_449010!C282,input_449010!A:H,8,FALSE))</f>
        <v>247950</v>
      </c>
      <c r="P282" s="46">
        <f t="shared" ca="1" si="13"/>
        <v>4.6467391304347823E-3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input_449010!A$2</f>
        <v>449010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IFERROR(VLOOKUP(B283,input_449010!L:R,7,FALSE),VLOOKUP(tables_449010!C283,input_449010!A:H,8,FALSE))</f>
        <v>10260</v>
      </c>
      <c r="P283" s="46">
        <f t="shared" ca="1" si="13"/>
        <v>1.9227886056971514E-4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input_449010!A$2</f>
        <v>449010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IFERROR(VLOOKUP(B284,input_449010!L:R,7,FALSE),VLOOKUP(tables_449010!C284,input_449010!A:H,8,FALSE))</f>
        <v>9200</v>
      </c>
      <c r="P284" s="46">
        <f t="shared" ca="1" si="13"/>
        <v>1.7241379310344826E-4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input_449010!A$2</f>
        <v>449010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IFERROR(VLOOKUP(B285,input_449010!L:R,7,FALSE),VLOOKUP(tables_449010!C285,input_449010!A:H,8,FALSE))</f>
        <v>9200</v>
      </c>
      <c r="P285" s="46">
        <f t="shared" ca="1" si="13"/>
        <v>1.7241379310344826E-4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input_449010!A$2</f>
        <v>449010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IFERROR(VLOOKUP(B286,input_449010!L:R,7,FALSE),VLOOKUP(tables_449010!C286,input_449010!A:H,8,FALSE))</f>
        <v>513118.75</v>
      </c>
      <c r="P286" s="46">
        <f t="shared" ca="1" si="13"/>
        <v>9.6161684782608697E-3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input_449010!A$2</f>
        <v>449010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IFERROR(VLOOKUP(B287,input_449010!L:R,7,FALSE),VLOOKUP(tables_449010!C287,input_449010!A:H,8,FALSE))</f>
        <v>27550</v>
      </c>
      <c r="P287" s="46">
        <f t="shared" ca="1" si="13"/>
        <v>5.1630434782608692E-4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input_449010!A$2</f>
        <v>449010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IFERROR(VLOOKUP(B288,input_449010!L:R,7,FALSE),VLOOKUP(tables_449010!C288,input_449010!A:H,8,FALSE))</f>
        <v>513118.75</v>
      </c>
      <c r="P288" s="46">
        <f t="shared" ca="1" si="13"/>
        <v>9.6161684782608697E-3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input_449010!A$2</f>
        <v>449010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IFERROR(VLOOKUP(B289,input_449010!L:R,7,FALSE),VLOOKUP(tables_449010!C289,input_449010!A:H,8,FALSE))</f>
        <v>27550</v>
      </c>
      <c r="P289" s="46">
        <f t="shared" ca="1" si="13"/>
        <v>5.1630434782608692E-4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input_449010!A$2</f>
        <v>449010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IFERROR(VLOOKUP(B290,input_449010!L:R,7,FALSE),VLOOKUP(tables_449010!C290,input_449010!A:H,8,FALSE))</f>
        <v>513118.75</v>
      </c>
      <c r="P290" s="46">
        <f t="shared" ca="1" si="13"/>
        <v>9.6161684782608697E-3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input_449010!A$2</f>
        <v>449010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IFERROR(VLOOKUP(B291,input_449010!L:R,7,FALSE),VLOOKUP(tables_449010!C291,input_449010!A:H,8,FALSE))</f>
        <v>27550</v>
      </c>
      <c r="P291" s="46">
        <f t="shared" ca="1" si="13"/>
        <v>5.1630434782608692E-4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input_449010!A$2</f>
        <v>449010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IFERROR(VLOOKUP(B292,input_449010!L:R,7,FALSE),VLOOKUP(tables_449010!C292,input_449010!A:H,8,FALSE))</f>
        <v>513118.75</v>
      </c>
      <c r="P292" s="46">
        <f t="shared" ca="1" si="13"/>
        <v>9.6161684782608697E-3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input_449010!A$2</f>
        <v>449010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IFERROR(VLOOKUP(B293,input_449010!L:R,7,FALSE),VLOOKUP(tables_449010!C293,input_449010!A:H,8,FALSE))</f>
        <v>27550</v>
      </c>
      <c r="P293" s="46">
        <f t="shared" ca="1" si="13"/>
        <v>5.1630434782608692E-4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input_449010!A$2</f>
        <v>449010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IFERROR(VLOOKUP(B294,input_449010!L:R,7,FALSE),VLOOKUP(tables_449010!C294,input_449010!A:H,8,FALSE))</f>
        <v>9200</v>
      </c>
      <c r="P294" s="46">
        <f t="shared" ca="1" si="13"/>
        <v>1.7241379310344826E-4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input_449010!A$2</f>
        <v>449010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IFERROR(VLOOKUP(B295,input_449010!L:R,7,FALSE),VLOOKUP(tables_449010!C295,input_449010!A:H,8,FALSE))</f>
        <v>9200</v>
      </c>
      <c r="P295" s="46">
        <f t="shared" ca="1" si="13"/>
        <v>1.7241379310344826E-4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input_449010!A$2</f>
        <v>449010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IFERROR(VLOOKUP(B296,input_449010!L:R,7,FALSE),VLOOKUP(tables_449010!C296,input_449010!A:H,8,FALSE))</f>
        <v>9200</v>
      </c>
      <c r="P296" s="46">
        <f t="shared" ca="1" si="13"/>
        <v>1.7241379310344826E-4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input_449010!A$2</f>
        <v>449010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IFERROR(VLOOKUP(B297,input_449010!L:R,7,FALSE),VLOOKUP(tables_449010!C297,input_449010!A:H,8,FALSE))</f>
        <v>513118.75</v>
      </c>
      <c r="P297" s="46">
        <f t="shared" ca="1" si="13"/>
        <v>9.6161684782608697E-3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input_449010!A$2</f>
        <v>449010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IFERROR(VLOOKUP(B298,input_449010!L:R,7,FALSE),VLOOKUP(tables_449010!C298,input_449010!A:H,8,FALSE))</f>
        <v>27550</v>
      </c>
      <c r="P298" s="46">
        <f t="shared" ca="1" si="13"/>
        <v>5.1630434782608692E-4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input_449010!A$2</f>
        <v>449010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IFERROR(VLOOKUP(B299,input_449010!L:R,7,FALSE),VLOOKUP(tables_449010!C299,input_449010!A:H,8,FALSE))</f>
        <v>9200</v>
      </c>
      <c r="P299" s="46">
        <f t="shared" ca="1" si="13"/>
        <v>1.7241379310344826E-4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input_449010!A$2</f>
        <v>449010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IFERROR(VLOOKUP(B300,input_449010!L:R,7,FALSE),VLOOKUP(tables_449010!C300,input_449010!A:H,8,FALSE))</f>
        <v>9200</v>
      </c>
      <c r="P300" s="46">
        <f t="shared" ca="1" si="13"/>
        <v>1.7241379310344826E-4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input_449010!A$2</f>
        <v>449010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IFERROR(VLOOKUP(B301,input_449010!L:R,7,FALSE),VLOOKUP(tables_449010!C301,input_449010!A:H,8,FALSE))</f>
        <v>9200</v>
      </c>
      <c r="P301" s="46">
        <f t="shared" ca="1" si="13"/>
        <v>1.7241379310344826E-4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input_449010!A$2</f>
        <v>449010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IFERROR(VLOOKUP(B302,input_449010!L:R,7,FALSE),VLOOKUP(tables_449010!C302,input_449010!A:H,8,FALSE))</f>
        <v>9200</v>
      </c>
      <c r="P302" s="46">
        <f t="shared" ca="1" si="13"/>
        <v>1.7241379310344826E-4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input_449010!A$2</f>
        <v>449010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IFERROR(VLOOKUP(B303,input_449010!L:R,7,FALSE),VLOOKUP(tables_449010!C303,input_449010!A:H,8,FALSE))</f>
        <v>513118.75</v>
      </c>
      <c r="P303" s="46">
        <f t="shared" ca="1" si="13"/>
        <v>9.6161684782608697E-3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input_449010!A$2</f>
        <v>449010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IFERROR(VLOOKUP(B304,input_449010!L:R,7,FALSE),VLOOKUP(tables_449010!C304,input_449010!A:H,8,FALSE))</f>
        <v>27550</v>
      </c>
      <c r="P304" s="46">
        <f t="shared" ca="1" si="13"/>
        <v>5.1630434782608692E-4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input_449010!A$2</f>
        <v>449010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IFERROR(VLOOKUP(B305,input_449010!L:R,7,FALSE),VLOOKUP(tables_449010!C305,input_449010!A:H,8,FALSE))</f>
        <v>9200</v>
      </c>
      <c r="P305" s="46">
        <f t="shared" ca="1" si="13"/>
        <v>1.7241379310344826E-4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input_449010!A$2</f>
        <v>449010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IFERROR(VLOOKUP(B306,input_449010!L:R,7,FALSE),VLOOKUP(tables_449010!C306,input_449010!A:H,8,FALSE))</f>
        <v>513118.75</v>
      </c>
      <c r="P306" s="46">
        <f t="shared" ca="1" si="13"/>
        <v>9.6161684782608697E-3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input_449010!A$2</f>
        <v>449010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IFERROR(VLOOKUP(B307,input_449010!L:R,7,FALSE),VLOOKUP(tables_449010!C307,input_449010!A:H,8,FALSE))</f>
        <v>27550</v>
      </c>
      <c r="P307" s="46">
        <f t="shared" ca="1" si="13"/>
        <v>5.1630434782608692E-4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input_449010!A$2</f>
        <v>449010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IFERROR(VLOOKUP(B308,input_449010!L:R,7,FALSE),VLOOKUP(tables_449010!C308,input_449010!A:H,8,FALSE))</f>
        <v>9200</v>
      </c>
      <c r="P308" s="46">
        <f t="shared" ca="1" si="13"/>
        <v>1.7241379310344826E-4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input_449010!A$2</f>
        <v>449010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IFERROR(VLOOKUP(B309,input_449010!L:R,7,FALSE),VLOOKUP(tables_449010!C309,input_449010!A:H,8,FALSE))</f>
        <v>9200</v>
      </c>
      <c r="P309" s="46">
        <f t="shared" ca="1" si="13"/>
        <v>1.7241379310344826E-4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input_449010!A$2</f>
        <v>449010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IFERROR(VLOOKUP(B310,input_449010!L:R,7,FALSE),VLOOKUP(tables_449010!C310,input_449010!A:H,8,FALSE))</f>
        <v>9200</v>
      </c>
      <c r="P310" s="46">
        <f t="shared" ca="1" si="13"/>
        <v>1.7241379310344826E-4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input_449010!A$2</f>
        <v>449010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IFERROR(VLOOKUP(B311,input_449010!L:R,7,FALSE),VLOOKUP(tables_449010!C311,input_449010!A:H,8,FALSE))</f>
        <v>513118.75</v>
      </c>
      <c r="P311" s="46">
        <f t="shared" ca="1" si="13"/>
        <v>9.6161684782608697E-3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input_449010!A$2</f>
        <v>449010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IFERROR(VLOOKUP(B312,input_449010!L:R,7,FALSE),VLOOKUP(tables_449010!C312,input_449010!A:H,8,FALSE))</f>
        <v>27550</v>
      </c>
      <c r="P312" s="46">
        <f t="shared" ca="1" si="13"/>
        <v>5.1630434782608692E-4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input_449010!A$2</f>
        <v>449010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IFERROR(VLOOKUP(B313,input_449010!L:R,7,FALSE),VLOOKUP(tables_449010!C313,input_449010!A:H,8,FALSE))</f>
        <v>9200</v>
      </c>
      <c r="P313" s="46">
        <f t="shared" ca="1" si="13"/>
        <v>1.7241379310344826E-4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input_449010!A$2</f>
        <v>449010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IFERROR(VLOOKUP(B314,input_449010!L:R,7,FALSE),VLOOKUP(tables_449010!C314,input_449010!A:H,8,FALSE))</f>
        <v>9200</v>
      </c>
      <c r="P314" s="46">
        <f t="shared" ca="1" si="13"/>
        <v>1.7241379310344826E-4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input_449010!A$2</f>
        <v>449010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IFERROR(VLOOKUP(B315,input_449010!L:R,7,FALSE),VLOOKUP(tables_449010!C315,input_449010!A:H,8,FALSE))</f>
        <v>9200</v>
      </c>
      <c r="P315" s="46">
        <f t="shared" ca="1" si="13"/>
        <v>1.7241379310344826E-4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input_449010!A$2</f>
        <v>449010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IFERROR(VLOOKUP(B316,input_449010!L:R,7,FALSE),VLOOKUP(tables_449010!C316,input_449010!A:H,8,FALSE))</f>
        <v>9200</v>
      </c>
      <c r="P316" s="46">
        <f t="shared" ca="1" si="13"/>
        <v>1.7241379310344826E-4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input_449010!A$2</f>
        <v>449010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IFERROR(VLOOKUP(B317,input_449010!L:R,7,FALSE),VLOOKUP(tables_449010!C317,input_449010!A:H,8,FALSE))</f>
        <v>9200</v>
      </c>
      <c r="P317" s="46">
        <f t="shared" ca="1" si="13"/>
        <v>1.7241379310344826E-4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input_449010!A$2</f>
        <v>449010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IFERROR(VLOOKUP(B318,input_449010!L:R,7,FALSE),VLOOKUP(tables_449010!C318,input_449010!A:H,8,FALSE))</f>
        <v>513118.75</v>
      </c>
      <c r="P318" s="46">
        <f t="shared" ca="1" si="13"/>
        <v>9.6161684782608697E-3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input_449010!A$2</f>
        <v>449010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IFERROR(VLOOKUP(B319,input_449010!L:R,7,FALSE),VLOOKUP(tables_449010!C319,input_449010!A:H,8,FALSE))</f>
        <v>27550</v>
      </c>
      <c r="P319" s="46">
        <f t="shared" ca="1" si="13"/>
        <v>5.1630434782608692E-4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input_449010!A$2</f>
        <v>449010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IFERROR(VLOOKUP(B320,input_449010!L:R,7,FALSE),VLOOKUP(tables_449010!C320,input_449010!A:H,8,FALSE))</f>
        <v>9200</v>
      </c>
      <c r="P320" s="46">
        <f t="shared" ca="1" si="13"/>
        <v>1.7241379310344826E-4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input_449010!A$2</f>
        <v>449010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IFERROR(VLOOKUP(B321,input_449010!L:R,7,FALSE),VLOOKUP(tables_449010!C321,input_449010!A:H,8,FALSE))</f>
        <v>9200</v>
      </c>
      <c r="P321" s="46">
        <f t="shared" ca="1" si="13"/>
        <v>1.7241379310344826E-4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input_449010!A$2</f>
        <v>449010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IFERROR(VLOOKUP(B322,input_449010!L:R,7,FALSE),VLOOKUP(tables_449010!C322,input_449010!A:H,8,FALSE))</f>
        <v>9200</v>
      </c>
      <c r="P322" s="46">
        <f t="shared" ref="P322:P330" ca="1" si="23">O322/SUM(O:O)</f>
        <v>1.7241379310344826E-4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input_449010!A$2</f>
        <v>449010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IFERROR(VLOOKUP(B323,input_449010!L:R,7,FALSE),VLOOKUP(tables_449010!C323,input_449010!A:H,8,FALSE))</f>
        <v>9200</v>
      </c>
      <c r="P323" s="46">
        <f t="shared" ca="1" si="23"/>
        <v>1.7241379310344826E-4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input_449010!A$2</f>
        <v>449010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IFERROR(VLOOKUP(B324,input_449010!L:R,7,FALSE),VLOOKUP(tables_449010!C324,input_449010!A:H,8,FALSE))</f>
        <v>513118.75</v>
      </c>
      <c r="P324" s="46">
        <f t="shared" ca="1" si="23"/>
        <v>9.6161684782608697E-3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input_449010!A$2</f>
        <v>449010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IFERROR(VLOOKUP(B325,input_449010!L:R,7,FALSE),VLOOKUP(tables_449010!C325,input_449010!A:H,8,FALSE))</f>
        <v>27550</v>
      </c>
      <c r="P325" s="46">
        <f t="shared" ca="1" si="23"/>
        <v>5.1630434782608692E-4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input_449010!A$2</f>
        <v>449010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IFERROR(VLOOKUP(B326,input_449010!L:R,7,FALSE),VLOOKUP(tables_449010!C326,input_449010!A:H,8,FALSE))</f>
        <v>513118.75</v>
      </c>
      <c r="P326" s="46">
        <f t="shared" ca="1" si="23"/>
        <v>9.6161684782608697E-3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input_449010!A$2</f>
        <v>449010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IFERROR(VLOOKUP(B327,input_449010!L:R,7,FALSE),VLOOKUP(tables_449010!C327,input_449010!A:H,8,FALSE))</f>
        <v>27550</v>
      </c>
      <c r="P327" s="46">
        <f t="shared" ca="1" si="23"/>
        <v>5.1630434782608692E-4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input_449010!A$2</f>
        <v>449010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IFERROR(VLOOKUP(B328,input_449010!L:R,7,FALSE),VLOOKUP(tables_449010!C328,input_449010!A:H,8,FALSE))</f>
        <v>9200</v>
      </c>
      <c r="P328" s="46">
        <f t="shared" ca="1" si="23"/>
        <v>1.7241379310344826E-4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input_449010!A$2</f>
        <v>449010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IFERROR(VLOOKUP(B329,input_449010!L:R,7,FALSE),VLOOKUP(tables_449010!C329,input_449010!A:H,8,FALSE))</f>
        <v>9200</v>
      </c>
      <c r="P329" s="46">
        <f t="shared" ca="1" si="23"/>
        <v>1.7241379310344826E-4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input_449010!A$2</f>
        <v>449010</v>
      </c>
      <c r="B330" s="2">
        <v>1157</v>
      </c>
      <c r="C330" s="7" t="str">
        <f t="shared" si="25"/>
        <v>PremiumSS5R5only</v>
      </c>
      <c r="D330" s="98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IFERROR(VLOOKUP(B330,input_449010!L:R,7,FALSE),VLOOKUP(tables_449010!C330,input_449010!A:H,8,FALSE))</f>
        <v>9200</v>
      </c>
      <c r="P330" s="46">
        <f t="shared" ca="1" si="23"/>
        <v>1.7241379310344826E-4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input_449010!A$2</f>
        <v>449010</v>
      </c>
      <c r="B331" s="60">
        <v>1214</v>
      </c>
      <c r="C331" s="7" t="str">
        <f t="shared" ref="C331:C335" si="26">D331&amp;J331&amp;E331&amp;F331&amp;G331</f>
        <v>PremiumSS5R5only</v>
      </c>
      <c r="D331" s="98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IFERROR(VLOOKUP(B331,input_449010!L:R,7,FALSE),VLOOKUP(tables_449010!C331,input_449010!A:H,8,FALSE))</f>
        <v>9200</v>
      </c>
      <c r="P331" s="46">
        <f t="shared" ref="P331:P335" ca="1" si="28">O331/SUM(O:O)</f>
        <v>1.7241379310344826E-4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input_449010!A$2</f>
        <v>449010</v>
      </c>
      <c r="B332" s="60">
        <v>1212</v>
      </c>
      <c r="C332" s="7" t="str">
        <f t="shared" si="26"/>
        <v>PremiumSS5R5only</v>
      </c>
      <c r="D332" s="98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IFERROR(VLOOKUP(B332,input_449010!L:R,7,FALSE),VLOOKUP(tables_449010!C332,input_449010!A:H,8,FALSE))</f>
        <v>9200</v>
      </c>
      <c r="P332" s="46">
        <f t="shared" ca="1" si="28"/>
        <v>1.7241379310344826E-4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input_449010!A$2</f>
        <v>449010</v>
      </c>
      <c r="B333" s="60">
        <v>1208</v>
      </c>
      <c r="C333" s="7" t="str">
        <f t="shared" si="26"/>
        <v>PremiumSS5R5only</v>
      </c>
      <c r="D333" s="98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IFERROR(VLOOKUP(B333,input_449010!L:R,7,FALSE),VLOOKUP(tables_449010!C333,input_449010!A:H,8,FALSE))</f>
        <v>9200</v>
      </c>
      <c r="P333" s="46">
        <f t="shared" ca="1" si="28"/>
        <v>1.7241379310344826E-4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input_449010!A$2</f>
        <v>449010</v>
      </c>
      <c r="B334" s="93">
        <v>1210</v>
      </c>
      <c r="C334" s="7" t="str">
        <f t="shared" si="26"/>
        <v>Premium4R3less</v>
      </c>
      <c r="D334" s="98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IFERROR(VLOOKUP(B334,input_449010!L:R,7,FALSE),VLOOKUP(tables_449010!C334,input_449010!A:H,8,FALSE))</f>
        <v>513118.75</v>
      </c>
      <c r="P334" s="46">
        <f t="shared" ca="1" si="28"/>
        <v>9.6161684782608697E-3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input_449010!A$2</f>
        <v>449010</v>
      </c>
      <c r="B335" s="60">
        <v>1211</v>
      </c>
      <c r="C335" s="7" t="str">
        <f t="shared" si="26"/>
        <v>Premium5R3less</v>
      </c>
      <c r="D335" s="98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IFERROR(VLOOKUP(B335,input_449010!L:R,7,FALSE),VLOOKUP(tables_449010!C335,input_449010!A:H,8,FALSE))</f>
        <v>27550</v>
      </c>
      <c r="P335" s="46">
        <f t="shared" ca="1" si="28"/>
        <v>5.1630434782608692E-4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L3" sqref="L3:L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449100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744</v>
      </c>
      <c r="M3" s="37" t="str">
        <f>VLOOKUP(L3,[1]characters!$A:$C,3,FALSE)</f>
        <v>ヘルメス</v>
      </c>
      <c r="N3" s="63">
        <v>0.02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VLOOKUP(L3,tables_449100!B:C,2,FALSE)</f>
        <v>PremiumSS5R5only</v>
      </c>
      <c r="R3" s="62">
        <f t="shared" ref="R3:R20" si="1">N3*A$36</f>
        <v>1067200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674</v>
      </c>
      <c r="M4" s="37" t="str">
        <f>VLOOKUP(L4,[1]characters!$A:$C,3,FALSE)</f>
        <v>サラスヴァティ</v>
      </c>
      <c r="N4" s="63">
        <v>1.9E-2</v>
      </c>
      <c r="O4" s="37">
        <f>VLOOKUP(L4,[1]characters!$A:$I,9,FALSE)</f>
        <v>4</v>
      </c>
      <c r="P4" s="37" t="str">
        <f>VLOOKUP(L4,[1]characters!$A:$J,10,FALSE)</f>
        <v>PremiumSS</v>
      </c>
      <c r="Q4" s="37" t="str">
        <f>VLOOKUP(L4,tables_449100!B:C,2,FALSE)</f>
        <v>PremiumSS4</v>
      </c>
      <c r="R4" s="62">
        <f t="shared" si="1"/>
        <v>1013840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1.7241379310344832E-4</v>
      </c>
      <c r="F5">
        <f>(COUNTIF(tables_449100!C:C,input_449100!A28)+COUNTIF(tables_449100!C:C,input_449100!A29))</f>
        <v>60</v>
      </c>
      <c r="H5" s="84">
        <v>0.04</v>
      </c>
      <c r="I5" s="31">
        <v>2</v>
      </c>
      <c r="L5" s="60">
        <v>675</v>
      </c>
      <c r="M5" s="37" t="str">
        <f>VLOOKUP(L5,[1]characters!$A:$C,3,FALSE)</f>
        <v>芸楽の奔流 サラスヴァティ</v>
      </c>
      <c r="N5" s="63">
        <v>1E-3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VLOOKUP(L5,tables_449100!B:C,2,FALSE)</f>
        <v>PremiumSS5</v>
      </c>
      <c r="R5" s="62">
        <f t="shared" si="1"/>
        <v>53360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1.0326086956521738E-2</v>
      </c>
      <c r="F6">
        <f>(COUNTIF(tables_449100!C:C,input_449100!A25)+COUNTIF(tables_449100!C:C,input_449100!A18)+COUNTIF(tables_449100!C:C,input_449100!A20)+COUNTIF(tables_449100!C:C,input_449100!A22))</f>
        <v>92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VLOOKUP(L6,tables_449100!B:C,2,FALSE)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VLOOKUP(L7,tables_449100!B:C,2,FALSE)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VLOOKUP(L8,tables_449100!B:C,2,FALSE)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VLOOKUP(L9,tables_449100!B:C,2,FALSE)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VLOOKUP(L10,tables_449100!B:C,2,FALSE)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VLOOKUP(L11,tables_449100!B:C,2,FALSE)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VLOOKUP(L12,tables_449100!B:C,2,FALSE)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1.9E-2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VLOOKUP(L13,tables_449100!B:C,2,FALSE)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1E-3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VLOOKUP(L14,tables_449100!B:C,2,FALSE)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VLOOKUP(L15,tables_449100!B:C,2,FALSE)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VLOOKUP(L16,tables_449100!B:C,2,FALSE)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COUNTIF(tables_449100!C:C,input_449100!A17)-COUNTIF(Q:Q,A17)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VLOOKUP(L17,tables_449100!B:C,2,FALSE)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</f>
        <v>0.22337106446776611</v>
      </c>
      <c r="C18" s="85">
        <f t="shared" si="2"/>
        <v>0</v>
      </c>
      <c r="D18" s="74">
        <f t="shared" si="3"/>
        <v>0.22337106446776611</v>
      </c>
      <c r="E18">
        <f>COUNTIF(tables_449100!C:C,input_449100!A18)-COUNTIF(Q:Q,A18)</f>
        <v>20</v>
      </c>
      <c r="F18" s="43">
        <f>IFERROR(B18/E18,0)</f>
        <v>1.1168553223388306E-2</v>
      </c>
      <c r="G18">
        <f t="shared" si="4"/>
        <v>11919080</v>
      </c>
      <c r="H18">
        <f t="shared" si="5"/>
        <v>595954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VLOOKUP(L18,tables_449100!B:C,2,FALSE)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COUNTIF(tables_449100!C:C,input_449100!A19)-COUNTIF(Q:Q,A19)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VLOOKUP(L19,tables_449100!B:C,2,FALSE)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0.51010869565217387</v>
      </c>
      <c r="C20" s="85">
        <f t="shared" si="2"/>
        <v>0</v>
      </c>
      <c r="D20" s="74">
        <f t="shared" si="3"/>
        <v>0.51010869565217387</v>
      </c>
      <c r="E20">
        <f>COUNTIF(tables_449100!C:C,input_449100!A20)-COUNTIF(Q:Q,A20)</f>
        <v>52</v>
      </c>
      <c r="F20" s="43">
        <f t="shared" si="8"/>
        <v>9.8097826086956507E-3</v>
      </c>
      <c r="G20">
        <f t="shared" si="4"/>
        <v>27219399.999999996</v>
      </c>
      <c r="H20">
        <f t="shared" si="5"/>
        <v>523450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VLOOKUP(L20,tables_449100!B:C,2,FALSE)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9.9985007488755662E-3</v>
      </c>
      <c r="C21" s="85">
        <f t="shared" si="2"/>
        <v>0</v>
      </c>
      <c r="D21" s="74">
        <f t="shared" si="3"/>
        <v>9.9985007488755662E-3</v>
      </c>
      <c r="E21">
        <f>COUNTIF(tables_449100!C:C,input_449100!A21)-COUNTIF(Q:Q,A21)</f>
        <v>52</v>
      </c>
      <c r="F21" s="43">
        <f t="shared" si="8"/>
        <v>1.9227886055529935E-4</v>
      </c>
      <c r="G21">
        <f t="shared" si="4"/>
        <v>533519.99996000016</v>
      </c>
      <c r="H21">
        <f t="shared" si="5"/>
        <v>10260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0.15385869565217392</v>
      </c>
      <c r="C22" s="85">
        <f t="shared" si="2"/>
        <v>0</v>
      </c>
      <c r="D22" s="74">
        <f t="shared" si="3"/>
        <v>0.15385869565217392</v>
      </c>
      <c r="E22">
        <f>COUNTIF(tables_449100!C:C,input_449100!A22)-COUNTIF(Q:Q,A22)</f>
        <v>16</v>
      </c>
      <c r="F22" s="43">
        <f t="shared" si="8"/>
        <v>9.6161684782608697E-3</v>
      </c>
      <c r="G22">
        <f t="shared" si="4"/>
        <v>8209900</v>
      </c>
      <c r="H22">
        <f t="shared" si="5"/>
        <v>513118.75</v>
      </c>
      <c r="I22">
        <f t="shared" si="6"/>
        <v>0.75</v>
      </c>
      <c r="J22">
        <f t="shared" si="7"/>
        <v>1.3333333333333333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1.1358695652173914E-2</v>
      </c>
      <c r="C23" s="85">
        <f t="shared" si="2"/>
        <v>0</v>
      </c>
      <c r="D23" s="74">
        <f t="shared" si="3"/>
        <v>1.1358695652173914E-2</v>
      </c>
      <c r="E23">
        <f>COUNTIF(tables_449100!C:C,input_449100!A23)-COUNTIF(Q:Q,A23)</f>
        <v>22</v>
      </c>
      <c r="F23" s="43">
        <f t="shared" si="8"/>
        <v>5.1630434782608703E-4</v>
      </c>
      <c r="G23">
        <f t="shared" si="4"/>
        <v>606100</v>
      </c>
      <c r="H23">
        <f t="shared" si="5"/>
        <v>27550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COUNTIF(tables_449100!C:C,input_449100!A24)-COUNTIF(Q:Q,A24)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3.9239130434782603E-2</v>
      </c>
      <c r="C25" s="85">
        <f t="shared" si="2"/>
        <v>0</v>
      </c>
      <c r="D25" s="74">
        <f t="shared" si="3"/>
        <v>3.9239130434782603E-2</v>
      </c>
      <c r="E25">
        <f>COUNTIF(tables_449100!C:C,input_449100!A25)-COUNTIF(Q:Q,A25)</f>
        <v>4</v>
      </c>
      <c r="F25" s="43">
        <f t="shared" si="8"/>
        <v>9.8097826086956507E-3</v>
      </c>
      <c r="G25">
        <f t="shared" si="4"/>
        <v>2093799.9999999998</v>
      </c>
      <c r="H25">
        <f t="shared" si="5"/>
        <v>523450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2.0652173913043477E-3</v>
      </c>
      <c r="C26" s="85">
        <f t="shared" si="2"/>
        <v>0</v>
      </c>
      <c r="D26" s="74">
        <f t="shared" si="3"/>
        <v>2.0652173913043477E-3</v>
      </c>
      <c r="E26">
        <f>COUNTIF(tables_449100!C:C,input_449100!A26)-COUNTIF(Q:Q,A26)</f>
        <v>4</v>
      </c>
      <c r="F26" s="43">
        <f t="shared" si="8"/>
        <v>5.1630434782608692E-4</v>
      </c>
      <c r="G26">
        <f t="shared" si="4"/>
        <v>110200</v>
      </c>
      <c r="H26">
        <f t="shared" si="5"/>
        <v>27550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4.4224137931034493E-3</v>
      </c>
      <c r="C27" s="85">
        <f t="shared" si="2"/>
        <v>1.9E-2</v>
      </c>
      <c r="D27" s="74">
        <f t="shared" si="3"/>
        <v>-1.457758620689655E-2</v>
      </c>
      <c r="E27">
        <f>COUNTIF(tables_449100!C:C,input_449100!A27)-COUNTIF(Q:Q,A27)</f>
        <v>27</v>
      </c>
      <c r="F27" s="43">
        <f>IFERROR(B27/E27,0)</f>
        <v>1.637931034482759E-4</v>
      </c>
      <c r="G27">
        <f t="shared" si="4"/>
        <v>235980.00000000006</v>
      </c>
      <c r="H27">
        <f t="shared" si="5"/>
        <v>8740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2.3275862068965525E-4</v>
      </c>
      <c r="C28" s="85">
        <f t="shared" si="2"/>
        <v>1E-3</v>
      </c>
      <c r="D28" s="74">
        <f t="shared" si="3"/>
        <v>-7.6724137931034474E-4</v>
      </c>
      <c r="E28">
        <f>COUNTIF(tables_449100!C:C,input_449100!A28)-COUNTIF(Q:Q,A28)</f>
        <v>27</v>
      </c>
      <c r="F28" s="43">
        <f t="shared" si="8"/>
        <v>8.6206896551724175E-6</v>
      </c>
      <c r="G28">
        <f t="shared" si="4"/>
        <v>12420.000000000004</v>
      </c>
      <c r="H28">
        <f t="shared" si="5"/>
        <v>460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5.344827586206898E-3</v>
      </c>
      <c r="C29" s="85">
        <f t="shared" si="2"/>
        <v>0.02</v>
      </c>
      <c r="D29" s="74">
        <f t="shared" si="3"/>
        <v>-1.4655172413793102E-2</v>
      </c>
      <c r="E29">
        <f>COUNTIF(tables_449100!C:C,input_449100!A29)-COUNTIF(Q:Q,A29)</f>
        <v>31</v>
      </c>
      <c r="F29" s="43">
        <f t="shared" si="8"/>
        <v>1.7241379310344832E-4</v>
      </c>
      <c r="G29">
        <f t="shared" si="4"/>
        <v>285200.00000000006</v>
      </c>
      <c r="H29">
        <f t="shared" si="5"/>
        <v>9200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COUNTIF(tables_449100!C:C,input_449100!A30)-COUNTIF(Q:Q,A30)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COUNTIF(tables_449100!C:C,input_449100!A31)-COUNTIF(Q:Q,A31)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0.95999999999925034</v>
      </c>
      <c r="C32" s="41">
        <f>SUM(C19:C31)</f>
        <v>0.04</v>
      </c>
      <c r="D32" s="42">
        <f t="shared" si="3"/>
        <v>0.91999999999925031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1.6849325337331356E-2</v>
      </c>
      <c r="F34" s="55">
        <f ca="1">0.45-G41</f>
        <v>-0.49999999999999994</v>
      </c>
    </row>
    <row r="35" spans="1:7" x14ac:dyDescent="0.15">
      <c r="A35" t="s">
        <v>73</v>
      </c>
      <c r="E35">
        <v>2.1000000000749627E-2</v>
      </c>
      <c r="F35">
        <f ca="1">G42-0.05</f>
        <v>0</v>
      </c>
    </row>
    <row r="36" spans="1:7" x14ac:dyDescent="0.15">
      <c r="A36" s="31">
        <f>LCM(F5-I5,F6-I6)*1000*2*2*5</f>
        <v>53360000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SUMIF(tables_449100!C:C,input_449100!A40,tables_449100!O:O)</f>
        <v>0</v>
      </c>
      <c r="C40" s="54">
        <f t="shared" ref="C40:C46" ca="1" si="9">B40/B$47</f>
        <v>0</v>
      </c>
      <c r="E40">
        <v>3</v>
      </c>
      <c r="F40">
        <f ca="1">SUMIF(tables_449100!J:J,input_449100!E40,tables_449100!O:O)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SUMIF(tables_449100!C:C,input_449100!A41,tables_449100!O:O)</f>
        <v>27219400</v>
      </c>
      <c r="C41" s="54">
        <f t="shared" ca="1" si="9"/>
        <v>0.93638754226221355</v>
      </c>
      <c r="E41">
        <v>4</v>
      </c>
      <c r="F41">
        <f ca="1">SUMIF(tables_449100!J:J,input_449100!E41,tables_449100!O:O)</f>
        <v>50692000</v>
      </c>
      <c r="G41">
        <f ca="1">F41/A36</f>
        <v>0.95</v>
      </c>
    </row>
    <row r="42" spans="1:7" x14ac:dyDescent="0.15">
      <c r="A42" s="33" t="s">
        <v>106</v>
      </c>
      <c r="B42">
        <f ca="1">SUMIF(tables_449100!C:C,input_449100!A42,tables_449100!O:O)</f>
        <v>1249820</v>
      </c>
      <c r="C42" s="54">
        <f t="shared" ca="1" si="9"/>
        <v>4.2995653029462802E-2</v>
      </c>
      <c r="E42">
        <v>5</v>
      </c>
      <c r="F42">
        <f ca="1">SUMIF(tables_449100!J:J,input_449100!E42,tables_449100!O:O)</f>
        <v>2668000</v>
      </c>
      <c r="G42">
        <f ca="1">F42/A36</f>
        <v>0.05</v>
      </c>
    </row>
    <row r="43" spans="1:7" x14ac:dyDescent="0.15">
      <c r="A43" s="33" t="s">
        <v>109</v>
      </c>
      <c r="B43">
        <f>SUMIF(tables_449100!C:C,input_449100!A43,tables_449100!O:O)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SUMIF(tables_449100!C:C,input_449100!A44,tables_449100!O:O)</f>
        <v>533520</v>
      </c>
      <c r="C44" s="54">
        <f t="shared" ca="1" si="9"/>
        <v>1.8353875601509813E-2</v>
      </c>
      <c r="E44" t="s">
        <v>54</v>
      </c>
      <c r="F44" s="55"/>
    </row>
    <row r="45" spans="1:7" x14ac:dyDescent="0.15">
      <c r="A45" s="33" t="s">
        <v>107</v>
      </c>
      <c r="B45">
        <f ca="1">SUMIF(tables_449100!C:C,input_449100!A45,tables_449100!O:O)</f>
        <v>65780</v>
      </c>
      <c r="C45" s="54">
        <f t="shared" ca="1" si="9"/>
        <v>2.2629291068138315E-3</v>
      </c>
      <c r="E45" t="s">
        <v>204</v>
      </c>
      <c r="F45" s="55">
        <f ca="1">SUMIF(tables_449100!I:I,input_449100!E45,tables_449100!P:P)</f>
        <v>0.22646889055472269</v>
      </c>
    </row>
    <row r="46" spans="1:7" x14ac:dyDescent="0.15">
      <c r="A46" s="33" t="s">
        <v>108</v>
      </c>
      <c r="B46">
        <f>SUMIF(tables_449100!C:C,input_449100!A46,tables_449100!O:O)</f>
        <v>0</v>
      </c>
      <c r="C46" s="54">
        <f t="shared" ca="1" si="9"/>
        <v>0</v>
      </c>
      <c r="E46" t="s">
        <v>205</v>
      </c>
      <c r="F46" s="55">
        <f ca="1">SUMIF(tables_449100!I:I,input_449100!E46,tables_449100!P:P)</f>
        <v>0.20101330584707638</v>
      </c>
    </row>
    <row r="47" spans="1:7" x14ac:dyDescent="0.15">
      <c r="A47" s="39" t="s">
        <v>59</v>
      </c>
      <c r="B47">
        <f ca="1">SUM(B40:B46)</f>
        <v>29068520</v>
      </c>
      <c r="C47" s="55">
        <f ca="1">SUM(C40:C46)</f>
        <v>1</v>
      </c>
      <c r="E47" t="s">
        <v>206</v>
      </c>
      <c r="F47" s="55">
        <f ca="1">SUMIF(tables_449100!I:I,input_449100!E47,tables_449100!P:P)</f>
        <v>0.52251780359820033</v>
      </c>
    </row>
    <row r="48" spans="1:7" x14ac:dyDescent="0.15">
      <c r="E48" t="s">
        <v>207</v>
      </c>
      <c r="F48" s="55">
        <f ca="1">SUMIF(tables_449100!I:I,input_449100!E48,tables_449100!P:P)</f>
        <v>4.9137931034482732E-2</v>
      </c>
    </row>
    <row r="49" spans="5:6" x14ac:dyDescent="0.15">
      <c r="E49" t="s">
        <v>252</v>
      </c>
      <c r="F49" s="55">
        <f ca="1">SUMIF(tables_449100!I:I,input_449100!E49,tables_449100!P:P)</f>
        <v>8.6206896551724137E-4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35"/>
  <sheetViews>
    <sheetView showGridLines="0" zoomScale="75" zoomScaleNormal="75" zoomScalePageLayoutView="75" workbookViewId="0">
      <pane ySplit="1" topLeftCell="A287" activePane="bottomLeft" state="frozen"/>
      <selection activeCell="D34" sqref="D34"/>
      <selection pane="bottomLeft" activeCell="Q2" sqref="Q2:Q33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input_449100!A$2</f>
        <v>449100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IFERROR(VLOOKUP(B2,input_449100!L:R,7,FALSE),VLOOKUP(tables_449100!C2,input_449100!A:H,8,FALSE))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input_449100!A$2</f>
        <v>449100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IFERROR(VLOOKUP(B3,input_449100!L:R,7,FALSE),VLOOKUP(tables_449100!C3,input_449100!A:H,8,FALSE))</f>
        <v>595954</v>
      </c>
      <c r="P3" s="46">
        <f t="shared" ca="1" si="1"/>
        <v>1.1168553223388306E-2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input_449100!A$2</f>
        <v>449100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IFERROR(VLOOKUP(B4,input_449100!L:R,7,FALSE),VLOOKUP(tables_449100!C4,input_449100!A:H,8,FALSE))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input_449100!A$2</f>
        <v>449100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IFERROR(VLOOKUP(B5,input_449100!L:R,7,FALSE),VLOOKUP(tables_449100!C5,input_449100!A:H,8,FALSE))</f>
        <v>595954</v>
      </c>
      <c r="P5" s="46">
        <f t="shared" ca="1" si="1"/>
        <v>1.1168553223388306E-2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input_449100!A$2</f>
        <v>449100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IFERROR(VLOOKUP(B6,input_449100!L:R,7,FALSE),VLOOKUP(tables_449100!C6,input_449100!A:H,8,FALSE))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input_449100!A$2</f>
        <v>449100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IFERROR(VLOOKUP(B7,input_449100!L:R,7,FALSE),VLOOKUP(tables_449100!C7,input_449100!A:H,8,FALSE))</f>
        <v>595954</v>
      </c>
      <c r="P7" s="46">
        <f t="shared" ca="1" si="1"/>
        <v>1.1168553223388306E-2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input_449100!A$2</f>
        <v>449100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IFERROR(VLOOKUP(B8,input_449100!L:R,7,FALSE),VLOOKUP(tables_449100!C8,input_449100!A:H,8,FALSE))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input_449100!A$2</f>
        <v>449100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IFERROR(VLOOKUP(B9,input_449100!L:R,7,FALSE),VLOOKUP(tables_449100!C9,input_449100!A:H,8,FALSE))</f>
        <v>595954</v>
      </c>
      <c r="P9" s="46">
        <f t="shared" ca="1" si="1"/>
        <v>1.1168553223388306E-2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input_449100!A$2</f>
        <v>449100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IFERROR(VLOOKUP(B10,input_449100!L:R,7,FALSE),VLOOKUP(tables_449100!C10,input_449100!A:H,8,FALSE))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input_449100!A$2</f>
        <v>449100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IFERROR(VLOOKUP(B11,input_449100!L:R,7,FALSE),VLOOKUP(tables_449100!C11,input_449100!A:H,8,FALSE))</f>
        <v>595954</v>
      </c>
      <c r="P11" s="46">
        <f t="shared" ca="1" si="1"/>
        <v>1.1168553223388306E-2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input_449100!A$2</f>
        <v>449100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IFERROR(VLOOKUP(B12,input_449100!L:R,7,FALSE),VLOOKUP(tables_449100!C12,input_449100!A:H,8,FALSE))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input_449100!A$2</f>
        <v>449100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IFERROR(VLOOKUP(B13,input_449100!L:R,7,FALSE),VLOOKUP(tables_449100!C13,input_449100!A:H,8,FALSE))</f>
        <v>595954</v>
      </c>
      <c r="P13" s="46">
        <f t="shared" ca="1" si="1"/>
        <v>1.1168553223388306E-2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input_449100!A$2</f>
        <v>449100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IFERROR(VLOOKUP(B14,input_449100!L:R,7,FALSE),VLOOKUP(tables_449100!C14,input_449100!A:H,8,FALSE))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input_449100!A$2</f>
        <v>449100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IFERROR(VLOOKUP(B15,input_449100!L:R,7,FALSE),VLOOKUP(tables_449100!C15,input_449100!A:H,8,FALSE))</f>
        <v>595954</v>
      </c>
      <c r="P15" s="46">
        <f t="shared" ca="1" si="1"/>
        <v>1.1168553223388306E-2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input_449100!A$2</f>
        <v>449100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IFERROR(VLOOKUP(B16,input_449100!L:R,7,FALSE),VLOOKUP(tables_449100!C16,input_449100!A:H,8,FALSE))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input_449100!A$2</f>
        <v>449100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IFERROR(VLOOKUP(B17,input_449100!L:R,7,FALSE),VLOOKUP(tables_449100!C17,input_449100!A:H,8,FALSE))</f>
        <v>595954</v>
      </c>
      <c r="P17" s="46">
        <f t="shared" ca="1" si="1"/>
        <v>1.1168553223388306E-2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input_449100!A$2</f>
        <v>449100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IFERROR(VLOOKUP(B18,input_449100!L:R,7,FALSE),VLOOKUP(tables_449100!C18,input_449100!A:H,8,FALSE))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input_449100!A$2</f>
        <v>449100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IFERROR(VLOOKUP(B19,input_449100!L:R,7,FALSE),VLOOKUP(tables_449100!C19,input_449100!A:H,8,FALSE))</f>
        <v>595954</v>
      </c>
      <c r="P19" s="46">
        <f t="shared" ca="1" si="1"/>
        <v>1.1168553223388306E-2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input_449100!A$2</f>
        <v>449100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IFERROR(VLOOKUP(B20,input_449100!L:R,7,FALSE),VLOOKUP(tables_449100!C20,input_449100!A:H,8,FALSE))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input_449100!A$2</f>
        <v>449100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IFERROR(VLOOKUP(B21,input_449100!L:R,7,FALSE),VLOOKUP(tables_449100!C21,input_449100!A:H,8,FALSE))</f>
        <v>595954</v>
      </c>
      <c r="P21" s="46">
        <f t="shared" ca="1" si="1"/>
        <v>1.1168553223388306E-2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input_449100!A$2</f>
        <v>449100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IFERROR(VLOOKUP(B22,input_449100!L:R,7,FALSE),VLOOKUP(tables_449100!C22,input_449100!A:H,8,FALSE))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input_449100!A$2</f>
        <v>449100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IFERROR(VLOOKUP(B23,input_449100!L:R,7,FALSE),VLOOKUP(tables_449100!C23,input_449100!A:H,8,FALSE))</f>
        <v>595954</v>
      </c>
      <c r="P23" s="46">
        <f t="shared" ca="1" si="1"/>
        <v>1.1168553223388306E-2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input_449100!A$2</f>
        <v>449100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IFERROR(VLOOKUP(B24,input_449100!L:R,7,FALSE),VLOOKUP(tables_449100!C24,input_449100!A:H,8,FALSE))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input_449100!A$2</f>
        <v>449100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IFERROR(VLOOKUP(B25,input_449100!L:R,7,FALSE),VLOOKUP(tables_449100!C25,input_449100!A:H,8,FALSE))</f>
        <v>595954</v>
      </c>
      <c r="P25" s="46">
        <f t="shared" ca="1" si="1"/>
        <v>1.1168553223388306E-2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input_449100!A$2</f>
        <v>449100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IFERROR(VLOOKUP(B26,input_449100!L:R,7,FALSE),VLOOKUP(tables_449100!C26,input_449100!A:H,8,FALSE))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input_449100!A$2</f>
        <v>449100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IFERROR(VLOOKUP(B27,input_449100!L:R,7,FALSE),VLOOKUP(tables_449100!C27,input_449100!A:H,8,FALSE))</f>
        <v>595954</v>
      </c>
      <c r="P27" s="46">
        <f t="shared" ca="1" si="1"/>
        <v>1.1168553223388306E-2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input_449100!A$2</f>
        <v>449100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IFERROR(VLOOKUP(B28,input_449100!L:R,7,FALSE),VLOOKUP(tables_449100!C28,input_449100!A:H,8,FALSE))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input_449100!A$2</f>
        <v>449100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IFERROR(VLOOKUP(B29,input_449100!L:R,7,FALSE),VLOOKUP(tables_449100!C29,input_449100!A:H,8,FALSE))</f>
        <v>595954</v>
      </c>
      <c r="P29" s="46">
        <f t="shared" ca="1" si="1"/>
        <v>1.1168553223388306E-2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input_449100!A$2</f>
        <v>449100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IFERROR(VLOOKUP(B30,input_449100!L:R,7,FALSE),VLOOKUP(tables_449100!C30,input_449100!A:H,8,FALSE))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input_449100!A$2</f>
        <v>449100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IFERROR(VLOOKUP(B31,input_449100!L:R,7,FALSE),VLOOKUP(tables_449100!C31,input_449100!A:H,8,FALSE))</f>
        <v>595954</v>
      </c>
      <c r="P31" s="46">
        <f t="shared" ca="1" si="1"/>
        <v>1.1168553223388306E-2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input_449100!A$2</f>
        <v>449100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IFERROR(VLOOKUP(B32,input_449100!L:R,7,FALSE),VLOOKUP(tables_449100!C32,input_449100!A:H,8,FALSE))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input_449100!A$2</f>
        <v>449100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IFERROR(VLOOKUP(B33,input_449100!L:R,7,FALSE),VLOOKUP(tables_449100!C33,input_449100!A:H,8,FALSE))</f>
        <v>595954</v>
      </c>
      <c r="P33" s="46">
        <f t="shared" ca="1" si="1"/>
        <v>1.1168553223388306E-2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input_449100!A$2</f>
        <v>449100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IFERROR(VLOOKUP(B34,input_449100!L:R,7,FALSE),VLOOKUP(tables_449100!C34,input_449100!A:H,8,FALSE))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input_449100!A$2</f>
        <v>449100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IFERROR(VLOOKUP(B35,input_449100!L:R,7,FALSE),VLOOKUP(tables_449100!C35,input_449100!A:H,8,FALSE))</f>
        <v>595954</v>
      </c>
      <c r="P35" s="46">
        <f t="shared" ca="1" si="1"/>
        <v>1.1168553223388306E-2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input_449100!A$2</f>
        <v>449100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IFERROR(VLOOKUP(B36,input_449100!L:R,7,FALSE),VLOOKUP(tables_449100!C36,input_449100!A:H,8,FALSE))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input_449100!A$2</f>
        <v>449100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IFERROR(VLOOKUP(B37,input_449100!L:R,7,FALSE),VLOOKUP(tables_449100!C37,input_449100!A:H,8,FALSE))</f>
        <v>595954</v>
      </c>
      <c r="P37" s="46">
        <f t="shared" ca="1" si="1"/>
        <v>1.1168553223388306E-2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input_449100!A$2</f>
        <v>449100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IFERROR(VLOOKUP(B38,input_449100!L:R,7,FALSE),VLOOKUP(tables_449100!C38,input_449100!A:H,8,FALSE))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input_449100!A$2</f>
        <v>449100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IFERROR(VLOOKUP(B39,input_449100!L:R,7,FALSE),VLOOKUP(tables_449100!C39,input_449100!A:H,8,FALSE))</f>
        <v>595954</v>
      </c>
      <c r="P39" s="46">
        <f t="shared" ca="1" si="1"/>
        <v>1.1168553223388306E-2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input_449100!A$2</f>
        <v>449100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IFERROR(VLOOKUP(B40,input_449100!L:R,7,FALSE),VLOOKUP(tables_449100!C40,input_449100!A:H,8,FALSE))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input_449100!A$2</f>
        <v>449100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IFERROR(VLOOKUP(B41,input_449100!L:R,7,FALSE),VLOOKUP(tables_449100!C41,input_449100!A:H,8,FALSE))</f>
        <v>595954</v>
      </c>
      <c r="P41" s="46">
        <f t="shared" ca="1" si="1"/>
        <v>1.1168553223388306E-2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input_449100!A$2</f>
        <v>449100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IFERROR(VLOOKUP(B42,input_449100!L:R,7,FALSE),VLOOKUP(tables_449100!C42,input_449100!A:H,8,FALSE))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input_449100!A$2</f>
        <v>449100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IFERROR(VLOOKUP(B43,input_449100!L:R,7,FALSE),VLOOKUP(tables_449100!C43,input_449100!A:H,8,FALSE))</f>
        <v>523450</v>
      </c>
      <c r="P43" s="46">
        <f t="shared" ca="1" si="1"/>
        <v>9.8097826086956524E-3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input_449100!A$2</f>
        <v>449100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IFERROR(VLOOKUP(B44,input_449100!L:R,7,FALSE),VLOOKUP(tables_449100!C44,input_449100!A:H,8,FALSE))</f>
        <v>27550</v>
      </c>
      <c r="P44" s="46">
        <f t="shared" ca="1" si="1"/>
        <v>5.1630434782608692E-4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input_449100!A$2</f>
        <v>449100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IFERROR(VLOOKUP(B45,input_449100!L:R,7,FALSE),VLOOKUP(tables_449100!C45,input_449100!A:H,8,FALSE))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input_449100!A$2</f>
        <v>449100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IFERROR(VLOOKUP(B46,input_449100!L:R,7,FALSE),VLOOKUP(tables_449100!C46,input_449100!A:H,8,FALSE))</f>
        <v>523450</v>
      </c>
      <c r="P46" s="46">
        <f t="shared" ca="1" si="1"/>
        <v>9.8097826086956524E-3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input_449100!A$2</f>
        <v>449100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IFERROR(VLOOKUP(B47,input_449100!L:R,7,FALSE),VLOOKUP(tables_449100!C47,input_449100!A:H,8,FALSE))</f>
        <v>27550</v>
      </c>
      <c r="P47" s="46">
        <f t="shared" ca="1" si="1"/>
        <v>5.1630434782608692E-4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input_449100!A$2</f>
        <v>449100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IFERROR(VLOOKUP(B48,input_449100!L:R,7,FALSE),VLOOKUP(tables_449100!C48,input_449100!A:H,8,FALSE))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input_449100!A$2</f>
        <v>449100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IFERROR(VLOOKUP(B49,input_449100!L:R,7,FALSE),VLOOKUP(tables_449100!C49,input_449100!A:H,8,FALSE))</f>
        <v>523450</v>
      </c>
      <c r="P49" s="46">
        <f t="shared" ca="1" si="1"/>
        <v>9.8097826086956524E-3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input_449100!A$2</f>
        <v>449100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IFERROR(VLOOKUP(B50,input_449100!L:R,7,FALSE),VLOOKUP(tables_449100!C50,input_449100!A:H,8,FALSE))</f>
        <v>27550</v>
      </c>
      <c r="P50" s="46">
        <f t="shared" ca="1" si="1"/>
        <v>5.1630434782608692E-4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input_449100!A$2</f>
        <v>449100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IFERROR(VLOOKUP(B51,input_449100!L:R,7,FALSE),VLOOKUP(tables_449100!C51,input_449100!A:H,8,FALSE))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input_449100!A$2</f>
        <v>449100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IFERROR(VLOOKUP(B52,input_449100!L:R,7,FALSE),VLOOKUP(tables_449100!C52,input_449100!A:H,8,FALSE))</f>
        <v>523450</v>
      </c>
      <c r="P52" s="46">
        <f t="shared" ca="1" si="1"/>
        <v>9.8097826086956524E-3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input_449100!A$2</f>
        <v>449100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IFERROR(VLOOKUP(B53,input_449100!L:R,7,FALSE),VLOOKUP(tables_449100!C53,input_449100!A:H,8,FALSE))</f>
        <v>10260</v>
      </c>
      <c r="P53" s="46">
        <f t="shared" ca="1" si="1"/>
        <v>1.9227886056971514E-4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input_449100!A$2</f>
        <v>449100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IFERROR(VLOOKUP(B54,input_449100!L:R,7,FALSE),VLOOKUP(tables_449100!C54,input_449100!A:H,8,FALSE))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input_449100!A$2</f>
        <v>449100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IFERROR(VLOOKUP(B55,input_449100!L:R,7,FALSE),VLOOKUP(tables_449100!C55,input_449100!A:H,8,FALSE))</f>
        <v>523450</v>
      </c>
      <c r="P55" s="46">
        <f t="shared" ca="1" si="1"/>
        <v>9.8097826086956524E-3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input_449100!A$2</f>
        <v>449100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IFERROR(VLOOKUP(B56,input_449100!L:R,7,FALSE),VLOOKUP(tables_449100!C56,input_449100!A:H,8,FALSE))</f>
        <v>10260</v>
      </c>
      <c r="P56" s="46">
        <f t="shared" ca="1" si="1"/>
        <v>1.9227886056971514E-4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input_449100!A$2</f>
        <v>449100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IFERROR(VLOOKUP(B57,input_449100!L:R,7,FALSE),VLOOKUP(tables_449100!C57,input_449100!A:H,8,FALSE))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input_449100!A$2</f>
        <v>449100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IFERROR(VLOOKUP(B58,input_449100!L:R,7,FALSE),VLOOKUP(tables_449100!C58,input_449100!A:H,8,FALSE))</f>
        <v>523450</v>
      </c>
      <c r="P58" s="46">
        <f t="shared" ca="1" si="1"/>
        <v>9.8097826086956524E-3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input_449100!A$2</f>
        <v>449100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IFERROR(VLOOKUP(B59,input_449100!L:R,7,FALSE),VLOOKUP(tables_449100!C59,input_449100!A:H,8,FALSE))</f>
        <v>10260</v>
      </c>
      <c r="P59" s="46">
        <f t="shared" ca="1" si="1"/>
        <v>1.9227886056971514E-4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input_449100!A$2</f>
        <v>449100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IFERROR(VLOOKUP(B60,input_449100!L:R,7,FALSE),VLOOKUP(tables_449100!C60,input_449100!A:H,8,FALSE))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input_449100!A$2</f>
        <v>449100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IFERROR(VLOOKUP(B61,input_449100!L:R,7,FALSE),VLOOKUP(tables_449100!C61,input_449100!A:H,8,FALSE))</f>
        <v>523450</v>
      </c>
      <c r="P61" s="46">
        <f t="shared" ca="1" si="1"/>
        <v>9.8097826086956524E-3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input_449100!A$2</f>
        <v>449100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IFERROR(VLOOKUP(B62,input_449100!L:R,7,FALSE),VLOOKUP(tables_449100!C62,input_449100!A:H,8,FALSE))</f>
        <v>10260</v>
      </c>
      <c r="P62" s="46">
        <f t="shared" ca="1" si="1"/>
        <v>1.9227886056971514E-4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input_449100!A$2</f>
        <v>449100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IFERROR(VLOOKUP(B63,input_449100!L:R,7,FALSE),VLOOKUP(tables_449100!C63,input_449100!A:H,8,FALSE))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input_449100!A$2</f>
        <v>449100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IFERROR(VLOOKUP(B64,input_449100!L:R,7,FALSE),VLOOKUP(tables_449100!C64,input_449100!A:H,8,FALSE))</f>
        <v>523450</v>
      </c>
      <c r="P64" s="46">
        <f t="shared" ca="1" si="1"/>
        <v>9.8097826086956524E-3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input_449100!A$2</f>
        <v>449100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IFERROR(VLOOKUP(B65,input_449100!L:R,7,FALSE),VLOOKUP(tables_449100!C65,input_449100!A:H,8,FALSE))</f>
        <v>10260</v>
      </c>
      <c r="P65" s="46">
        <f t="shared" ca="1" si="1"/>
        <v>1.9227886056971514E-4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input_449100!A$2</f>
        <v>449100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IFERROR(VLOOKUP(B66,input_449100!L:R,7,FALSE),VLOOKUP(tables_449100!C66,input_449100!A:H,8,FALSE))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input_449100!A$2</f>
        <v>449100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IFERROR(VLOOKUP(B67,input_449100!L:R,7,FALSE),VLOOKUP(tables_449100!C67,input_449100!A:H,8,FALSE))</f>
        <v>523450</v>
      </c>
      <c r="P67" s="46">
        <f t="shared" ca="1" si="4"/>
        <v>9.8097826086956524E-3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input_449100!A$2</f>
        <v>449100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IFERROR(VLOOKUP(B68,input_449100!L:R,7,FALSE),VLOOKUP(tables_449100!C68,input_449100!A:H,8,FALSE))</f>
        <v>10260</v>
      </c>
      <c r="P68" s="46">
        <f t="shared" ca="1" si="4"/>
        <v>1.9227886056971514E-4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input_449100!A$2</f>
        <v>449100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IFERROR(VLOOKUP(B69,input_449100!L:R,7,FALSE),VLOOKUP(tables_449100!C69,input_449100!A:H,8,FALSE))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input_449100!A$2</f>
        <v>449100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IFERROR(VLOOKUP(B70,input_449100!L:R,7,FALSE),VLOOKUP(tables_449100!C70,input_449100!A:H,8,FALSE))</f>
        <v>523450</v>
      </c>
      <c r="P70" s="46">
        <f t="shared" ca="1" si="4"/>
        <v>9.8097826086956524E-3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input_449100!A$2</f>
        <v>449100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IFERROR(VLOOKUP(B71,input_449100!L:R,7,FALSE),VLOOKUP(tables_449100!C71,input_449100!A:H,8,FALSE))</f>
        <v>10260</v>
      </c>
      <c r="P71" s="46">
        <f t="shared" ca="1" si="4"/>
        <v>1.9227886056971514E-4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input_449100!A$2</f>
        <v>449100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IFERROR(VLOOKUP(B72,input_449100!L:R,7,FALSE),VLOOKUP(tables_449100!C72,input_449100!A:H,8,FALSE))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input_449100!A$2</f>
        <v>449100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IFERROR(VLOOKUP(B73,input_449100!L:R,7,FALSE),VLOOKUP(tables_449100!C73,input_449100!A:H,8,FALSE))</f>
        <v>523450</v>
      </c>
      <c r="P73" s="46">
        <f t="shared" ca="1" si="4"/>
        <v>9.8097826086956524E-3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input_449100!A$2</f>
        <v>449100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IFERROR(VLOOKUP(B74,input_449100!L:R,7,FALSE),VLOOKUP(tables_449100!C74,input_449100!A:H,8,FALSE))</f>
        <v>10260</v>
      </c>
      <c r="P74" s="46">
        <f t="shared" ca="1" si="4"/>
        <v>1.9227886056971514E-4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input_449100!A$2</f>
        <v>449100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IFERROR(VLOOKUP(B75,input_449100!L:R,7,FALSE),VLOOKUP(tables_449100!C75,input_449100!A:H,8,FALSE))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input_449100!A$2</f>
        <v>449100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IFERROR(VLOOKUP(B76,input_449100!L:R,7,FALSE),VLOOKUP(tables_449100!C76,input_449100!A:H,8,FALSE))</f>
        <v>523450</v>
      </c>
      <c r="P76" s="46">
        <f t="shared" ca="1" si="4"/>
        <v>9.8097826086956524E-3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input_449100!A$2</f>
        <v>449100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IFERROR(VLOOKUP(B77,input_449100!L:R,7,FALSE),VLOOKUP(tables_449100!C77,input_449100!A:H,8,FALSE))</f>
        <v>10260</v>
      </c>
      <c r="P77" s="46">
        <f t="shared" ca="1" si="4"/>
        <v>1.9227886056971514E-4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input_449100!A$2</f>
        <v>449100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IFERROR(VLOOKUP(B78,input_449100!L:R,7,FALSE),VLOOKUP(tables_449100!C78,input_449100!A:H,8,FALSE))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input_449100!A$2</f>
        <v>449100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IFERROR(VLOOKUP(B79,input_449100!L:R,7,FALSE),VLOOKUP(tables_449100!C79,input_449100!A:H,8,FALSE))</f>
        <v>523450</v>
      </c>
      <c r="P79" s="46">
        <f t="shared" ca="1" si="4"/>
        <v>9.8097826086956524E-3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input_449100!A$2</f>
        <v>449100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IFERROR(VLOOKUP(B80,input_449100!L:R,7,FALSE),VLOOKUP(tables_449100!C80,input_449100!A:H,8,FALSE))</f>
        <v>10260</v>
      </c>
      <c r="P80" s="46">
        <f t="shared" ca="1" si="4"/>
        <v>1.9227886056971514E-4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input_449100!A$2</f>
        <v>449100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IFERROR(VLOOKUP(B81,input_449100!L:R,7,FALSE),VLOOKUP(tables_449100!C81,input_449100!A:H,8,FALSE))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input_449100!A$2</f>
        <v>449100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IFERROR(VLOOKUP(B82,input_449100!L:R,7,FALSE),VLOOKUP(tables_449100!C82,input_449100!A:H,8,FALSE))</f>
        <v>523450</v>
      </c>
      <c r="P82" s="46">
        <f t="shared" ca="1" si="4"/>
        <v>9.8097826086956524E-3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input_449100!A$2</f>
        <v>449100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IFERROR(VLOOKUP(B83,input_449100!L:R,7,FALSE),VLOOKUP(tables_449100!C83,input_449100!A:H,8,FALSE))</f>
        <v>10260</v>
      </c>
      <c r="P83" s="46">
        <f t="shared" ca="1" si="4"/>
        <v>1.9227886056971514E-4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input_449100!A$2</f>
        <v>449100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IFERROR(VLOOKUP(B84,input_449100!L:R,7,FALSE),VLOOKUP(tables_449100!C84,input_449100!A:H,8,FALSE))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input_449100!A$2</f>
        <v>449100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IFERROR(VLOOKUP(B85,input_449100!L:R,7,FALSE),VLOOKUP(tables_449100!C85,input_449100!A:H,8,FALSE))</f>
        <v>523450</v>
      </c>
      <c r="P85" s="46">
        <f t="shared" ca="1" si="4"/>
        <v>9.8097826086956524E-3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input_449100!A$2</f>
        <v>449100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IFERROR(VLOOKUP(B86,input_449100!L:R,7,FALSE),VLOOKUP(tables_449100!C86,input_449100!A:H,8,FALSE))</f>
        <v>10260</v>
      </c>
      <c r="P86" s="46">
        <f t="shared" ca="1" si="4"/>
        <v>1.9227886056971514E-4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input_449100!A$2</f>
        <v>449100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IFERROR(VLOOKUP(B87,input_449100!L:R,7,FALSE),VLOOKUP(tables_449100!C87,input_449100!A:H,8,FALSE))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input_449100!A$2</f>
        <v>449100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IFERROR(VLOOKUP(B88,input_449100!L:R,7,FALSE),VLOOKUP(tables_449100!C88,input_449100!A:H,8,FALSE))</f>
        <v>523450</v>
      </c>
      <c r="P88" s="46">
        <f t="shared" ca="1" si="4"/>
        <v>9.8097826086956524E-3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input_449100!A$2</f>
        <v>449100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IFERROR(VLOOKUP(B89,input_449100!L:R,7,FALSE),VLOOKUP(tables_449100!C89,input_449100!A:H,8,FALSE))</f>
        <v>10260</v>
      </c>
      <c r="P89" s="46">
        <f t="shared" ca="1" si="4"/>
        <v>1.9227886056971514E-4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input_449100!A$2</f>
        <v>449100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IFERROR(VLOOKUP(B90,input_449100!L:R,7,FALSE),VLOOKUP(tables_449100!C90,input_449100!A:H,8,FALSE))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input_449100!A$2</f>
        <v>449100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IFERROR(VLOOKUP(B91,input_449100!L:R,7,FALSE),VLOOKUP(tables_449100!C91,input_449100!A:H,8,FALSE))</f>
        <v>523450</v>
      </c>
      <c r="P91" s="46">
        <f t="shared" ca="1" si="4"/>
        <v>9.8097826086956524E-3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input_449100!A$2</f>
        <v>449100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IFERROR(VLOOKUP(B92,input_449100!L:R,7,FALSE),VLOOKUP(tables_449100!C92,input_449100!A:H,8,FALSE))</f>
        <v>10260</v>
      </c>
      <c r="P92" s="46">
        <f t="shared" ca="1" si="4"/>
        <v>1.9227886056971514E-4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input_449100!A$2</f>
        <v>449100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IFERROR(VLOOKUP(B93,input_449100!L:R,7,FALSE),VLOOKUP(tables_449100!C93,input_449100!A:H,8,FALSE))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input_449100!A$2</f>
        <v>449100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IFERROR(VLOOKUP(B94,input_449100!L:R,7,FALSE),VLOOKUP(tables_449100!C94,input_449100!A:H,8,FALSE))</f>
        <v>523450</v>
      </c>
      <c r="P94" s="46">
        <f t="shared" ca="1" si="4"/>
        <v>9.8097826086956524E-3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input_449100!A$2</f>
        <v>449100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IFERROR(VLOOKUP(B95,input_449100!L:R,7,FALSE),VLOOKUP(tables_449100!C95,input_449100!A:H,8,FALSE))</f>
        <v>10260</v>
      </c>
      <c r="P95" s="46">
        <f t="shared" ca="1" si="4"/>
        <v>1.9227886056971514E-4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input_449100!A$2</f>
        <v>449100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IFERROR(VLOOKUP(B96,input_449100!L:R,7,FALSE),VLOOKUP(tables_449100!C96,input_449100!A:H,8,FALSE))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input_449100!A$2</f>
        <v>449100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IFERROR(VLOOKUP(B97,input_449100!L:R,7,FALSE),VLOOKUP(tables_449100!C97,input_449100!A:H,8,FALSE))</f>
        <v>523450</v>
      </c>
      <c r="P97" s="46">
        <f t="shared" ca="1" si="4"/>
        <v>9.8097826086956524E-3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input_449100!A$2</f>
        <v>449100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IFERROR(VLOOKUP(B98,input_449100!L:R,7,FALSE),VLOOKUP(tables_449100!C98,input_449100!A:H,8,FALSE))</f>
        <v>10260</v>
      </c>
      <c r="P98" s="46">
        <f t="shared" ca="1" si="4"/>
        <v>1.9227886056971514E-4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input_449100!A$2</f>
        <v>449100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IFERROR(VLOOKUP(B99,input_449100!L:R,7,FALSE),VLOOKUP(tables_449100!C99,input_449100!A:H,8,FALSE))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input_449100!A$2</f>
        <v>449100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IFERROR(VLOOKUP(B100,input_449100!L:R,7,FALSE),VLOOKUP(tables_449100!C100,input_449100!A:H,8,FALSE))</f>
        <v>523450</v>
      </c>
      <c r="P100" s="46">
        <f t="shared" ca="1" si="4"/>
        <v>9.8097826086956524E-3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input_449100!A$2</f>
        <v>449100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IFERROR(VLOOKUP(B101,input_449100!L:R,7,FALSE),VLOOKUP(tables_449100!C101,input_449100!A:H,8,FALSE))</f>
        <v>10260</v>
      </c>
      <c r="P101" s="46">
        <f t="shared" ca="1" si="4"/>
        <v>1.9227886056971514E-4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input_449100!A$2</f>
        <v>449100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IFERROR(VLOOKUP(B102,input_449100!L:R,7,FALSE),VLOOKUP(tables_449100!C102,input_449100!A:H,8,FALSE))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input_449100!A$2</f>
        <v>449100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IFERROR(VLOOKUP(B103,input_449100!L:R,7,FALSE),VLOOKUP(tables_449100!C103,input_449100!A:H,8,FALSE))</f>
        <v>523450</v>
      </c>
      <c r="P103" s="46">
        <f t="shared" ca="1" si="4"/>
        <v>9.8097826086956524E-3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input_449100!A$2</f>
        <v>449100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IFERROR(VLOOKUP(B104,input_449100!L:R,7,FALSE),VLOOKUP(tables_449100!C104,input_449100!A:H,8,FALSE))</f>
        <v>10260</v>
      </c>
      <c r="P104" s="46">
        <f t="shared" ca="1" si="4"/>
        <v>1.9227886056971514E-4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input_449100!A$2</f>
        <v>449100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IFERROR(VLOOKUP(B105,input_449100!L:R,7,FALSE),VLOOKUP(tables_449100!C105,input_449100!A:H,8,FALSE))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input_449100!A$2</f>
        <v>449100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IFERROR(VLOOKUP(B106,input_449100!L:R,7,FALSE),VLOOKUP(tables_449100!C106,input_449100!A:H,8,FALSE))</f>
        <v>523450</v>
      </c>
      <c r="P106" s="46">
        <f t="shared" ca="1" si="4"/>
        <v>9.8097826086956524E-3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input_449100!A$2</f>
        <v>449100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IFERROR(VLOOKUP(B107,input_449100!L:R,7,FALSE),VLOOKUP(tables_449100!C107,input_449100!A:H,8,FALSE))</f>
        <v>10260</v>
      </c>
      <c r="P107" s="46">
        <f t="shared" ca="1" si="4"/>
        <v>1.9227886056971514E-4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input_449100!A$2</f>
        <v>449100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IFERROR(VLOOKUP(B108,input_449100!L:R,7,FALSE),VLOOKUP(tables_449100!C108,input_449100!A:H,8,FALSE))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input_449100!A$2</f>
        <v>449100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IFERROR(VLOOKUP(B109,input_449100!L:R,7,FALSE),VLOOKUP(tables_449100!C109,input_449100!A:H,8,FALSE))</f>
        <v>523450</v>
      </c>
      <c r="P109" s="46">
        <f t="shared" ca="1" si="4"/>
        <v>9.8097826086956524E-3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input_449100!A$2</f>
        <v>449100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IFERROR(VLOOKUP(B110,input_449100!L:R,7,FALSE),VLOOKUP(tables_449100!C110,input_449100!A:H,8,FALSE))</f>
        <v>10260</v>
      </c>
      <c r="P110" s="46">
        <f t="shared" ca="1" si="4"/>
        <v>1.9227886056971514E-4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input_449100!A$2</f>
        <v>449100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IFERROR(VLOOKUP(B111,input_449100!L:R,7,FALSE),VLOOKUP(tables_449100!C111,input_449100!A:H,8,FALSE))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input_449100!A$2</f>
        <v>449100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IFERROR(VLOOKUP(B112,input_449100!L:R,7,FALSE),VLOOKUP(tables_449100!C112,input_449100!A:H,8,FALSE))</f>
        <v>523450</v>
      </c>
      <c r="P112" s="46">
        <f t="shared" ca="1" si="4"/>
        <v>9.8097826086956524E-3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input_449100!A$2</f>
        <v>449100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IFERROR(VLOOKUP(B113,input_449100!L:R,7,FALSE),VLOOKUP(tables_449100!C113,input_449100!A:H,8,FALSE))</f>
        <v>27550</v>
      </c>
      <c r="P113" s="46">
        <f t="shared" ca="1" si="4"/>
        <v>5.1630434782608692E-4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input_449100!A$2</f>
        <v>449100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IFERROR(VLOOKUP(B114,input_449100!L:R,7,FALSE),VLOOKUP(tables_449100!C114,input_449100!A:H,8,FALSE))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input_449100!A$2</f>
        <v>449100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IFERROR(VLOOKUP(B115,input_449100!L:R,7,FALSE),VLOOKUP(tables_449100!C115,input_449100!A:H,8,FALSE))</f>
        <v>523450</v>
      </c>
      <c r="P115" s="46">
        <f t="shared" ca="1" si="4"/>
        <v>9.8097826086956524E-3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input_449100!A$2</f>
        <v>449100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IFERROR(VLOOKUP(B116,input_449100!L:R,7,FALSE),VLOOKUP(tables_449100!C116,input_449100!A:H,8,FALSE))</f>
        <v>10260</v>
      </c>
      <c r="P116" s="46">
        <f t="shared" ca="1" si="4"/>
        <v>1.9227886056971514E-4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input_449100!A$2</f>
        <v>449100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IFERROR(VLOOKUP(B117,input_449100!L:R,7,FALSE),VLOOKUP(tables_449100!C117,input_449100!A:H,8,FALSE))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input_449100!A$2</f>
        <v>449100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IFERROR(VLOOKUP(B118,input_449100!L:R,7,FALSE),VLOOKUP(tables_449100!C118,input_449100!A:H,8,FALSE))</f>
        <v>523450</v>
      </c>
      <c r="P118" s="46">
        <f t="shared" ca="1" si="4"/>
        <v>9.8097826086956524E-3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input_449100!A$2</f>
        <v>449100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IFERROR(VLOOKUP(B119,input_449100!L:R,7,FALSE),VLOOKUP(tables_449100!C119,input_449100!A:H,8,FALSE))</f>
        <v>10260</v>
      </c>
      <c r="P119" s="46">
        <f t="shared" ca="1" si="4"/>
        <v>1.9227886056971514E-4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input_449100!A$2</f>
        <v>449100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IFERROR(VLOOKUP(B120,input_449100!L:R,7,FALSE),VLOOKUP(tables_449100!C120,input_449100!A:H,8,FALSE))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input_449100!A$2</f>
        <v>449100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IFERROR(VLOOKUP(B121,input_449100!L:R,7,FALSE),VLOOKUP(tables_449100!C121,input_449100!A:H,8,FALSE))</f>
        <v>523450</v>
      </c>
      <c r="P121" s="46">
        <f t="shared" ca="1" si="4"/>
        <v>9.8097826086956524E-3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input_449100!A$2</f>
        <v>449100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IFERROR(VLOOKUP(B122,input_449100!L:R,7,FALSE),VLOOKUP(tables_449100!C122,input_449100!A:H,8,FALSE))</f>
        <v>10260</v>
      </c>
      <c r="P122" s="46">
        <f t="shared" ca="1" si="4"/>
        <v>1.9227886056971514E-4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input_449100!A$2</f>
        <v>449100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IFERROR(VLOOKUP(B123,input_449100!L:R,7,FALSE),VLOOKUP(tables_449100!C123,input_449100!A:H,8,FALSE))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input_449100!A$2</f>
        <v>449100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IFERROR(VLOOKUP(B124,input_449100!L:R,7,FALSE),VLOOKUP(tables_449100!C124,input_449100!A:H,8,FALSE))</f>
        <v>523450</v>
      </c>
      <c r="P124" s="46">
        <f t="shared" ca="1" si="4"/>
        <v>9.8097826086956524E-3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input_449100!A$2</f>
        <v>449100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IFERROR(VLOOKUP(B125,input_449100!L:R,7,FALSE),VLOOKUP(tables_449100!C125,input_449100!A:H,8,FALSE))</f>
        <v>10260</v>
      </c>
      <c r="P125" s="46">
        <f t="shared" ca="1" si="4"/>
        <v>1.9227886056971514E-4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input_449100!A$2</f>
        <v>449100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IFERROR(VLOOKUP(B126,input_449100!L:R,7,FALSE),VLOOKUP(tables_449100!C126,input_449100!A:H,8,FALSE))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input_449100!A$2</f>
        <v>449100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IFERROR(VLOOKUP(B127,input_449100!L:R,7,FALSE),VLOOKUP(tables_449100!C127,input_449100!A:H,8,FALSE))</f>
        <v>523450</v>
      </c>
      <c r="P127" s="46">
        <f t="shared" ca="1" si="4"/>
        <v>9.8097826086956524E-3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input_449100!A$2</f>
        <v>449100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IFERROR(VLOOKUP(B128,input_449100!L:R,7,FALSE),VLOOKUP(tables_449100!C128,input_449100!A:H,8,FALSE))</f>
        <v>10260</v>
      </c>
      <c r="P128" s="46">
        <f t="shared" ca="1" si="4"/>
        <v>1.9227886056971514E-4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input_449100!A$2</f>
        <v>449100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IFERROR(VLOOKUP(B129,input_449100!L:R,7,FALSE),VLOOKUP(tables_449100!C129,input_449100!A:H,8,FALSE))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input_449100!A$2</f>
        <v>449100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IFERROR(VLOOKUP(B130,input_449100!L:R,7,FALSE),VLOOKUP(tables_449100!C130,input_449100!A:H,8,FALSE))</f>
        <v>523450</v>
      </c>
      <c r="P130" s="46">
        <f t="shared" ref="P130:P193" ca="1" si="7">O130/SUM(O:O)</f>
        <v>9.8097826086956524E-3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input_449100!A$2</f>
        <v>449100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IFERROR(VLOOKUP(B131,input_449100!L:R,7,FALSE),VLOOKUP(tables_449100!C131,input_449100!A:H,8,FALSE))</f>
        <v>10260</v>
      </c>
      <c r="P131" s="46">
        <f t="shared" ca="1" si="7"/>
        <v>1.9227886056971514E-4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input_449100!A$2</f>
        <v>449100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IFERROR(VLOOKUP(B132,input_449100!L:R,7,FALSE),VLOOKUP(tables_449100!C132,input_449100!A:H,8,FALSE))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input_449100!A$2</f>
        <v>449100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IFERROR(VLOOKUP(B133,input_449100!L:R,7,FALSE),VLOOKUP(tables_449100!C133,input_449100!A:H,8,FALSE))</f>
        <v>523450</v>
      </c>
      <c r="P133" s="46">
        <f t="shared" ca="1" si="7"/>
        <v>9.8097826086956524E-3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input_449100!A$2</f>
        <v>449100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IFERROR(VLOOKUP(B134,input_449100!L:R,7,FALSE),VLOOKUP(tables_449100!C134,input_449100!A:H,8,FALSE))</f>
        <v>10260</v>
      </c>
      <c r="P134" s="46">
        <f t="shared" ca="1" si="7"/>
        <v>1.9227886056971514E-4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input_449100!A$2</f>
        <v>449100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IFERROR(VLOOKUP(B135,input_449100!L:R,7,FALSE),VLOOKUP(tables_449100!C135,input_449100!A:H,8,FALSE))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input_449100!A$2</f>
        <v>449100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IFERROR(VLOOKUP(B136,input_449100!L:R,7,FALSE),VLOOKUP(tables_449100!C136,input_449100!A:H,8,FALSE))</f>
        <v>523450</v>
      </c>
      <c r="P136" s="46">
        <f t="shared" ca="1" si="7"/>
        <v>9.8097826086956524E-3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input_449100!A$2</f>
        <v>449100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IFERROR(VLOOKUP(B137,input_449100!L:R,7,FALSE),VLOOKUP(tables_449100!C137,input_449100!A:H,8,FALSE))</f>
        <v>10260</v>
      </c>
      <c r="P137" s="46">
        <f t="shared" ca="1" si="7"/>
        <v>1.9227886056971514E-4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input_449100!A$2</f>
        <v>449100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IFERROR(VLOOKUP(B138,input_449100!L:R,7,FALSE),VLOOKUP(tables_449100!C138,input_449100!A:H,8,FALSE))</f>
        <v>8740</v>
      </c>
      <c r="P138" s="46">
        <f t="shared" ca="1" si="7"/>
        <v>1.6379310344827587E-4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input_449100!A$2</f>
        <v>449100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IFERROR(VLOOKUP(B139,input_449100!L:R,7,FALSE),VLOOKUP(tables_449100!C139,input_449100!A:H,8,FALSE))</f>
        <v>460</v>
      </c>
      <c r="P139" s="46">
        <f t="shared" ca="1" si="7"/>
        <v>8.6206896551724141E-6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input_449100!A$2</f>
        <v>449100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IFERROR(VLOOKUP(B140,input_449100!L:R,7,FALSE),VLOOKUP(tables_449100!C140,input_449100!A:H,8,FALSE))</f>
        <v>8740</v>
      </c>
      <c r="P140" s="46">
        <f t="shared" ca="1" si="7"/>
        <v>1.6379310344827587E-4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input_449100!A$2</f>
        <v>449100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IFERROR(VLOOKUP(B141,input_449100!L:R,7,FALSE),VLOOKUP(tables_449100!C141,input_449100!A:H,8,FALSE))</f>
        <v>460</v>
      </c>
      <c r="P141" s="46">
        <f t="shared" ca="1" si="7"/>
        <v>8.6206896551724141E-6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input_449100!A$2</f>
        <v>449100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IFERROR(VLOOKUP(B142,input_449100!L:R,7,FALSE),VLOOKUP(tables_449100!C142,input_449100!A:H,8,FALSE))</f>
        <v>8740</v>
      </c>
      <c r="P142" s="46">
        <f t="shared" ca="1" si="7"/>
        <v>1.6379310344827587E-4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input_449100!A$2</f>
        <v>449100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IFERROR(VLOOKUP(B143,input_449100!L:R,7,FALSE),VLOOKUP(tables_449100!C143,input_449100!A:H,8,FALSE))</f>
        <v>460</v>
      </c>
      <c r="P143" s="46">
        <f t="shared" ca="1" si="7"/>
        <v>8.6206896551724141E-6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input_449100!A$2</f>
        <v>449100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IFERROR(VLOOKUP(B144,input_449100!L:R,7,FALSE),VLOOKUP(tables_449100!C144,input_449100!A:H,8,FALSE))</f>
        <v>8740</v>
      </c>
      <c r="P144" s="46">
        <f t="shared" ca="1" si="7"/>
        <v>1.6379310344827587E-4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input_449100!A$2</f>
        <v>449100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IFERROR(VLOOKUP(B145,input_449100!L:R,7,FALSE),VLOOKUP(tables_449100!C145,input_449100!A:H,8,FALSE))</f>
        <v>460</v>
      </c>
      <c r="P145" s="46">
        <f t="shared" ca="1" si="7"/>
        <v>8.6206896551724141E-6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input_449100!A$2</f>
        <v>449100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IFERROR(VLOOKUP(B146,input_449100!L:R,7,FALSE),VLOOKUP(tables_449100!C146,input_449100!A:H,8,FALSE))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input_449100!A$2</f>
        <v>449100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IFERROR(VLOOKUP(B147,input_449100!L:R,7,FALSE),VLOOKUP(tables_449100!C147,input_449100!A:H,8,FALSE))</f>
        <v>523450</v>
      </c>
      <c r="P147" s="46">
        <f t="shared" ca="1" si="7"/>
        <v>9.8097826086956524E-3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input_449100!A$2</f>
        <v>449100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IFERROR(VLOOKUP(B148,input_449100!L:R,7,FALSE),VLOOKUP(tables_449100!C148,input_449100!A:H,8,FALSE))</f>
        <v>10260</v>
      </c>
      <c r="P148" s="46">
        <f t="shared" ca="1" si="7"/>
        <v>1.9227886056971514E-4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input_449100!A$2</f>
        <v>449100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IFERROR(VLOOKUP(B149,input_449100!L:R,7,FALSE),VLOOKUP(tables_449100!C149,input_449100!A:H,8,FALSE))</f>
        <v>8740</v>
      </c>
      <c r="P149" s="46">
        <f t="shared" ca="1" si="7"/>
        <v>1.6379310344827587E-4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input_449100!A$2</f>
        <v>449100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IFERROR(VLOOKUP(B150,input_449100!L:R,7,FALSE),VLOOKUP(tables_449100!C150,input_449100!A:H,8,FALSE))</f>
        <v>460</v>
      </c>
      <c r="P150" s="46">
        <f t="shared" ca="1" si="7"/>
        <v>8.6206896551724141E-6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input_449100!A$2</f>
        <v>449100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IFERROR(VLOOKUP(B151,input_449100!L:R,7,FALSE),VLOOKUP(tables_449100!C151,input_449100!A:H,8,FALSE))</f>
        <v>8740</v>
      </c>
      <c r="P151" s="46">
        <f t="shared" ca="1" si="7"/>
        <v>1.6379310344827587E-4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input_449100!A$2</f>
        <v>449100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IFERROR(VLOOKUP(B152,input_449100!L:R,7,FALSE),VLOOKUP(tables_449100!C152,input_449100!A:H,8,FALSE))</f>
        <v>460</v>
      </c>
      <c r="P152" s="46">
        <f t="shared" ca="1" si="7"/>
        <v>8.6206896551724141E-6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input_449100!A$2</f>
        <v>449100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IFERROR(VLOOKUP(B153,input_449100!L:R,7,FALSE),VLOOKUP(tables_449100!C153,input_449100!A:H,8,FALSE))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input_449100!A$2</f>
        <v>449100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IFERROR(VLOOKUP(B154,input_449100!L:R,7,FALSE),VLOOKUP(tables_449100!C154,input_449100!A:H,8,FALSE))</f>
        <v>523450</v>
      </c>
      <c r="P154" s="46">
        <f t="shared" ca="1" si="7"/>
        <v>9.8097826086956524E-3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input_449100!A$2</f>
        <v>449100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IFERROR(VLOOKUP(B155,input_449100!L:R,7,FALSE),VLOOKUP(tables_449100!C155,input_449100!A:H,8,FALSE))</f>
        <v>10260</v>
      </c>
      <c r="P155" s="46">
        <f t="shared" ca="1" si="7"/>
        <v>1.9227886056971514E-4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input_449100!A$2</f>
        <v>449100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IFERROR(VLOOKUP(B156,input_449100!L:R,7,FALSE),VLOOKUP(tables_449100!C156,input_449100!A:H,8,FALSE))</f>
        <v>8740</v>
      </c>
      <c r="P156" s="46">
        <f t="shared" ca="1" si="7"/>
        <v>1.6379310344827587E-4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input_449100!A$2</f>
        <v>449100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IFERROR(VLOOKUP(B157,input_449100!L:R,7,FALSE),VLOOKUP(tables_449100!C157,input_449100!A:H,8,FALSE))</f>
        <v>460</v>
      </c>
      <c r="P157" s="46">
        <f t="shared" ca="1" si="7"/>
        <v>8.6206896551724141E-6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input_449100!A$2</f>
        <v>449100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IFERROR(VLOOKUP(B158,input_449100!L:R,7,FALSE),VLOOKUP(tables_449100!C158,input_449100!A:H,8,FALSE))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input_449100!A$2</f>
        <v>449100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IFERROR(VLOOKUP(B159,input_449100!L:R,7,FALSE),VLOOKUP(tables_449100!C159,input_449100!A:H,8,FALSE))</f>
        <v>523450</v>
      </c>
      <c r="P159" s="46">
        <f t="shared" ca="1" si="7"/>
        <v>9.8097826086956524E-3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input_449100!A$2</f>
        <v>449100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IFERROR(VLOOKUP(B160,input_449100!L:R,7,FALSE),VLOOKUP(tables_449100!C160,input_449100!A:H,8,FALSE))</f>
        <v>10260</v>
      </c>
      <c r="P160" s="46">
        <f t="shared" ca="1" si="7"/>
        <v>1.9227886056971514E-4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input_449100!A$2</f>
        <v>449100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IFERROR(VLOOKUP(B161,input_449100!L:R,7,FALSE),VLOOKUP(tables_449100!C161,input_449100!A:H,8,FALSE))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input_449100!A$2</f>
        <v>449100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IFERROR(VLOOKUP(B162,input_449100!L:R,7,FALSE),VLOOKUP(tables_449100!C162,input_449100!A:H,8,FALSE))</f>
        <v>523450</v>
      </c>
      <c r="P162" s="46">
        <f t="shared" ca="1" si="7"/>
        <v>9.8097826086956524E-3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input_449100!A$2</f>
        <v>449100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IFERROR(VLOOKUP(B163,input_449100!L:R,7,FALSE),VLOOKUP(tables_449100!C163,input_449100!A:H,8,FALSE))</f>
        <v>10260</v>
      </c>
      <c r="P163" s="46">
        <f t="shared" ca="1" si="7"/>
        <v>1.9227886056971514E-4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input_449100!A$2</f>
        <v>449100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IFERROR(VLOOKUP(B164,input_449100!L:R,7,FALSE),VLOOKUP(tables_449100!C164,input_449100!A:H,8,FALSE))</f>
        <v>8740</v>
      </c>
      <c r="P164" s="46">
        <f t="shared" ca="1" si="7"/>
        <v>1.6379310344827587E-4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input_449100!A$2</f>
        <v>449100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IFERROR(VLOOKUP(B165,input_449100!L:R,7,FALSE),VLOOKUP(tables_449100!C165,input_449100!A:H,8,FALSE))</f>
        <v>460</v>
      </c>
      <c r="P165" s="46">
        <f t="shared" ca="1" si="7"/>
        <v>8.6206896551724141E-6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input_449100!A$2</f>
        <v>449100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IFERROR(VLOOKUP(B166,input_449100!L:R,7,FALSE),VLOOKUP(tables_449100!C166,input_449100!A:H,8,FALSE))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input_449100!A$2</f>
        <v>449100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IFERROR(VLOOKUP(B167,input_449100!L:R,7,FALSE),VLOOKUP(tables_449100!C167,input_449100!A:H,8,FALSE))</f>
        <v>523450</v>
      </c>
      <c r="P167" s="46">
        <f t="shared" ca="1" si="7"/>
        <v>9.8097826086956524E-3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input_449100!A$2</f>
        <v>449100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IFERROR(VLOOKUP(B168,input_449100!L:R,7,FALSE),VLOOKUP(tables_449100!C168,input_449100!A:H,8,FALSE))</f>
        <v>10260</v>
      </c>
      <c r="P168" s="46">
        <f t="shared" ca="1" si="7"/>
        <v>1.9227886056971514E-4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input_449100!A$2</f>
        <v>449100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IFERROR(VLOOKUP(B169,input_449100!L:R,7,FALSE),VLOOKUP(tables_449100!C169,input_449100!A:H,8,FALSE))</f>
        <v>8740</v>
      </c>
      <c r="P169" s="46">
        <f t="shared" ca="1" si="7"/>
        <v>1.6379310344827587E-4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input_449100!A$2</f>
        <v>449100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IFERROR(VLOOKUP(B170,input_449100!L:R,7,FALSE),VLOOKUP(tables_449100!C170,input_449100!A:H,8,FALSE))</f>
        <v>460</v>
      </c>
      <c r="P170" s="46">
        <f t="shared" ca="1" si="7"/>
        <v>8.6206896551724141E-6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input_449100!A$2</f>
        <v>449100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IFERROR(VLOOKUP(B171,input_449100!L:R,7,FALSE),VLOOKUP(tables_449100!C171,input_449100!A:H,8,FALSE))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input_449100!A$2</f>
        <v>449100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IFERROR(VLOOKUP(B172,input_449100!L:R,7,FALSE),VLOOKUP(tables_449100!C172,input_449100!A:H,8,FALSE))</f>
        <v>523450</v>
      </c>
      <c r="P172" s="46">
        <f t="shared" ca="1" si="7"/>
        <v>9.8097826086956524E-3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input_449100!A$2</f>
        <v>449100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IFERROR(VLOOKUP(B173,input_449100!L:R,7,FALSE),VLOOKUP(tables_449100!C173,input_449100!A:H,8,FALSE))</f>
        <v>10260</v>
      </c>
      <c r="P173" s="46">
        <f t="shared" ca="1" si="7"/>
        <v>1.9227886056971514E-4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input_449100!A$2</f>
        <v>449100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IFERROR(VLOOKUP(B174,input_449100!L:R,7,FALSE),VLOOKUP(tables_449100!C174,input_449100!A:H,8,FALSE))</f>
        <v>8740</v>
      </c>
      <c r="P174" s="46">
        <f t="shared" ca="1" si="7"/>
        <v>1.6379310344827587E-4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input_449100!A$2</f>
        <v>449100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IFERROR(VLOOKUP(B175,input_449100!L:R,7,FALSE),VLOOKUP(tables_449100!C175,input_449100!A:H,8,FALSE))</f>
        <v>460</v>
      </c>
      <c r="P175" s="46">
        <f t="shared" ca="1" si="7"/>
        <v>8.6206896551724141E-6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input_449100!A$2</f>
        <v>449100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IFERROR(VLOOKUP(B176,input_449100!L:R,7,FALSE),VLOOKUP(tables_449100!C176,input_449100!A:H,8,FALSE))</f>
        <v>8740</v>
      </c>
      <c r="P176" s="46">
        <f t="shared" ca="1" si="7"/>
        <v>1.6379310344827587E-4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input_449100!A$2</f>
        <v>449100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IFERROR(VLOOKUP(B177,input_449100!L:R,7,FALSE),VLOOKUP(tables_449100!C177,input_449100!A:H,8,FALSE))</f>
        <v>460</v>
      </c>
      <c r="P177" s="46">
        <f t="shared" ca="1" si="7"/>
        <v>8.6206896551724141E-6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input_449100!A$2</f>
        <v>449100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IFERROR(VLOOKUP(B178,input_449100!L:R,7,FALSE),VLOOKUP(tables_449100!C178,input_449100!A:H,8,FALSE))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input_449100!A$2</f>
        <v>449100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IFERROR(VLOOKUP(B179,input_449100!L:R,7,FALSE),VLOOKUP(tables_449100!C179,input_449100!A:H,8,FALSE))</f>
        <v>523450</v>
      </c>
      <c r="P179" s="46">
        <f t="shared" ca="1" si="7"/>
        <v>9.8097826086956524E-3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input_449100!A$2</f>
        <v>449100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IFERROR(VLOOKUP(B180,input_449100!L:R,7,FALSE),VLOOKUP(tables_449100!C180,input_449100!A:H,8,FALSE))</f>
        <v>10260</v>
      </c>
      <c r="P180" s="46">
        <f t="shared" ca="1" si="7"/>
        <v>1.9227886056971514E-4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input_449100!A$2</f>
        <v>449100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IFERROR(VLOOKUP(B181,input_449100!L:R,7,FALSE),VLOOKUP(tables_449100!C181,input_449100!A:H,8,FALSE))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input_449100!A$2</f>
        <v>449100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IFERROR(VLOOKUP(B182,input_449100!L:R,7,FALSE),VLOOKUP(tables_449100!C182,input_449100!A:H,8,FALSE))</f>
        <v>523450</v>
      </c>
      <c r="P182" s="46">
        <f t="shared" ca="1" si="7"/>
        <v>9.8097826086956524E-3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input_449100!A$2</f>
        <v>449100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IFERROR(VLOOKUP(B183,input_449100!L:R,7,FALSE),VLOOKUP(tables_449100!C183,input_449100!A:H,8,FALSE))</f>
        <v>10260</v>
      </c>
      <c r="P183" s="46">
        <f t="shared" ca="1" si="7"/>
        <v>1.9227886056971514E-4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input_449100!A$2</f>
        <v>449100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IFERROR(VLOOKUP(B184,input_449100!L:R,7,FALSE),VLOOKUP(tables_449100!C184,input_449100!A:H,8,FALSE))</f>
        <v>8740</v>
      </c>
      <c r="P184" s="46">
        <f t="shared" ca="1" si="7"/>
        <v>1.6379310344827587E-4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input_449100!A$2</f>
        <v>449100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IFERROR(VLOOKUP(B185,input_449100!L:R,7,FALSE),VLOOKUP(tables_449100!C185,input_449100!A:H,8,FALSE))</f>
        <v>460</v>
      </c>
      <c r="P185" s="46">
        <f t="shared" ca="1" si="7"/>
        <v>8.6206896551724141E-6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input_449100!A$2</f>
        <v>449100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IFERROR(VLOOKUP(B186,input_449100!L:R,7,FALSE),VLOOKUP(tables_449100!C186,input_449100!A:H,8,FALSE))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input_449100!A$2</f>
        <v>449100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IFERROR(VLOOKUP(B187,input_449100!L:R,7,FALSE),VLOOKUP(tables_449100!C187,input_449100!A:H,8,FALSE))</f>
        <v>523450</v>
      </c>
      <c r="P187" s="46">
        <f t="shared" ca="1" si="7"/>
        <v>9.8097826086956524E-3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input_449100!A$2</f>
        <v>449100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IFERROR(VLOOKUP(B188,input_449100!L:R,7,FALSE),VLOOKUP(tables_449100!C188,input_449100!A:H,8,FALSE))</f>
        <v>10260</v>
      </c>
      <c r="P188" s="46">
        <f t="shared" ca="1" si="7"/>
        <v>1.9227886056971514E-4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input_449100!A$2</f>
        <v>449100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IFERROR(VLOOKUP(B189,input_449100!L:R,7,FALSE),VLOOKUP(tables_449100!C189,input_449100!A:H,8,FALSE))</f>
        <v>8740</v>
      </c>
      <c r="P189" s="46">
        <f t="shared" ca="1" si="7"/>
        <v>1.6379310344827587E-4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input_449100!A$2</f>
        <v>449100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IFERROR(VLOOKUP(B190,input_449100!L:R,7,FALSE),VLOOKUP(tables_449100!C190,input_449100!A:H,8,FALSE))</f>
        <v>460</v>
      </c>
      <c r="P190" s="46">
        <f t="shared" ca="1" si="7"/>
        <v>8.6206896551724141E-6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input_449100!A$2</f>
        <v>449100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IFERROR(VLOOKUP(B191,input_449100!L:R,7,FALSE),VLOOKUP(tables_449100!C191,input_449100!A:H,8,FALSE))</f>
        <v>8740</v>
      </c>
      <c r="P191" s="46">
        <f t="shared" ca="1" si="7"/>
        <v>1.6379310344827587E-4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input_449100!A$2</f>
        <v>449100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IFERROR(VLOOKUP(B192,input_449100!L:R,7,FALSE),VLOOKUP(tables_449100!C192,input_449100!A:H,8,FALSE))</f>
        <v>460</v>
      </c>
      <c r="P192" s="46">
        <f t="shared" ca="1" si="7"/>
        <v>8.6206896551724141E-6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input_449100!A$2</f>
        <v>449100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IFERROR(VLOOKUP(B193,input_449100!L:R,7,FALSE),VLOOKUP(tables_449100!C193,input_449100!A:H,8,FALSE))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input_449100!A$2</f>
        <v>449100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IFERROR(VLOOKUP(B194,input_449100!L:R,7,FALSE),VLOOKUP(tables_449100!C194,input_449100!A:H,8,FALSE))</f>
        <v>523450</v>
      </c>
      <c r="P194" s="46">
        <f t="shared" ref="P194:P257" ca="1" si="10">O194/SUM(O:O)</f>
        <v>9.8097826086956524E-3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input_449100!A$2</f>
        <v>449100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IFERROR(VLOOKUP(B195,input_449100!L:R,7,FALSE),VLOOKUP(tables_449100!C195,input_449100!A:H,8,FALSE))</f>
        <v>10260</v>
      </c>
      <c r="P195" s="46">
        <f t="shared" ca="1" si="10"/>
        <v>1.9227886056971514E-4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input_449100!A$2</f>
        <v>449100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IFERROR(VLOOKUP(B196,input_449100!L:R,7,FALSE),VLOOKUP(tables_449100!C196,input_449100!A:H,8,FALSE))</f>
        <v>8740</v>
      </c>
      <c r="P196" s="46">
        <f t="shared" ca="1" si="10"/>
        <v>1.6379310344827587E-4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input_449100!A$2</f>
        <v>449100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IFERROR(VLOOKUP(B197,input_449100!L:R,7,FALSE),VLOOKUP(tables_449100!C197,input_449100!A:H,8,FALSE))</f>
        <v>460</v>
      </c>
      <c r="P197" s="46">
        <f t="shared" ca="1" si="10"/>
        <v>8.6206896551724141E-6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input_449100!A$2</f>
        <v>449100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IFERROR(VLOOKUP(B198,input_449100!L:R,7,FALSE),VLOOKUP(tables_449100!C198,input_449100!A:H,8,FALSE))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input_449100!A$2</f>
        <v>449100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IFERROR(VLOOKUP(B199,input_449100!L:R,7,FALSE),VLOOKUP(tables_449100!C199,input_449100!A:H,8,FALSE))</f>
        <v>523450</v>
      </c>
      <c r="P199" s="46">
        <f t="shared" ca="1" si="10"/>
        <v>9.8097826086956524E-3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input_449100!A$2</f>
        <v>449100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IFERROR(VLOOKUP(B200,input_449100!L:R,7,FALSE),VLOOKUP(tables_449100!C200,input_449100!A:H,8,FALSE))</f>
        <v>10260</v>
      </c>
      <c r="P200" s="46">
        <f t="shared" ca="1" si="10"/>
        <v>1.9227886056971514E-4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input_449100!A$2</f>
        <v>449100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IFERROR(VLOOKUP(B201,input_449100!L:R,7,FALSE),VLOOKUP(tables_449100!C201,input_449100!A:H,8,FALSE))</f>
        <v>8740</v>
      </c>
      <c r="P201" s="46">
        <f t="shared" ca="1" si="10"/>
        <v>1.6379310344827587E-4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input_449100!A$2</f>
        <v>449100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IFERROR(VLOOKUP(B202,input_449100!L:R,7,FALSE),VLOOKUP(tables_449100!C202,input_449100!A:H,8,FALSE))</f>
        <v>460</v>
      </c>
      <c r="P202" s="46">
        <f t="shared" ca="1" si="10"/>
        <v>8.6206896551724141E-6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input_449100!A$2</f>
        <v>449100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IFERROR(VLOOKUP(B203,input_449100!L:R,7,FALSE),VLOOKUP(tables_449100!C203,input_449100!A:H,8,FALSE))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input_449100!A$2</f>
        <v>449100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IFERROR(VLOOKUP(B204,input_449100!L:R,7,FALSE),VLOOKUP(tables_449100!C204,input_449100!A:H,8,FALSE))</f>
        <v>523450</v>
      </c>
      <c r="P204" s="46">
        <f t="shared" ca="1" si="10"/>
        <v>9.8097826086956524E-3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input_449100!A$2</f>
        <v>449100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IFERROR(VLOOKUP(B205,input_449100!L:R,7,FALSE),VLOOKUP(tables_449100!C205,input_449100!A:H,8,FALSE))</f>
        <v>10260</v>
      </c>
      <c r="P205" s="46">
        <f t="shared" ca="1" si="10"/>
        <v>1.9227886056971514E-4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input_449100!A$2</f>
        <v>449100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IFERROR(VLOOKUP(B206,input_449100!L:R,7,FALSE),VLOOKUP(tables_449100!C206,input_449100!A:H,8,FALSE))</f>
        <v>8740</v>
      </c>
      <c r="P206" s="46">
        <f t="shared" ca="1" si="10"/>
        <v>1.6379310344827587E-4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input_449100!A$2</f>
        <v>449100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IFERROR(VLOOKUP(B207,input_449100!L:R,7,FALSE),VLOOKUP(tables_449100!C207,input_449100!A:H,8,FALSE))</f>
        <v>460</v>
      </c>
      <c r="P207" s="46">
        <f t="shared" ca="1" si="10"/>
        <v>8.6206896551724141E-6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input_449100!A$2</f>
        <v>449100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IFERROR(VLOOKUP(B208,input_449100!L:R,7,FALSE),VLOOKUP(tables_449100!C208,input_449100!A:H,8,FALSE))</f>
        <v>8740</v>
      </c>
      <c r="P208" s="46">
        <f t="shared" ca="1" si="10"/>
        <v>1.6379310344827587E-4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input_449100!A$2</f>
        <v>449100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IFERROR(VLOOKUP(B209,input_449100!L:R,7,FALSE),VLOOKUP(tables_449100!C209,input_449100!A:H,8,FALSE))</f>
        <v>460</v>
      </c>
      <c r="P209" s="46">
        <f t="shared" ca="1" si="10"/>
        <v>8.6206896551724141E-6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input_449100!A$2</f>
        <v>449100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IFERROR(VLOOKUP(B210,input_449100!L:R,7,FALSE),VLOOKUP(tables_449100!C210,input_449100!A:H,8,FALSE))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input_449100!A$2</f>
        <v>449100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IFERROR(VLOOKUP(B211,input_449100!L:R,7,FALSE),VLOOKUP(tables_449100!C211,input_449100!A:H,8,FALSE))</f>
        <v>523450</v>
      </c>
      <c r="P211" s="46">
        <f t="shared" ca="1" si="10"/>
        <v>9.8097826086956524E-3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input_449100!A$2</f>
        <v>449100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IFERROR(VLOOKUP(B212,input_449100!L:R,7,FALSE),VLOOKUP(tables_449100!C212,input_449100!A:H,8,FALSE))</f>
        <v>10260</v>
      </c>
      <c r="P212" s="46">
        <f t="shared" ca="1" si="10"/>
        <v>1.9227886056971514E-4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input_449100!A$2</f>
        <v>449100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IFERROR(VLOOKUP(B213,input_449100!L:R,7,FALSE),VLOOKUP(tables_449100!C213,input_449100!A:H,8,FALSE))</f>
        <v>8740</v>
      </c>
      <c r="P213" s="46">
        <f t="shared" ca="1" si="10"/>
        <v>1.6379310344827587E-4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input_449100!A$2</f>
        <v>449100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IFERROR(VLOOKUP(B214,input_449100!L:R,7,FALSE),VLOOKUP(tables_449100!C214,input_449100!A:H,8,FALSE))</f>
        <v>460</v>
      </c>
      <c r="P214" s="46">
        <f t="shared" ca="1" si="10"/>
        <v>8.6206896551724141E-6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input_449100!A$2</f>
        <v>449100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IFERROR(VLOOKUP(B215,input_449100!L:R,7,FALSE),VLOOKUP(tables_449100!C215,input_449100!A:H,8,FALSE))</f>
        <v>27550</v>
      </c>
      <c r="P215" s="46">
        <f t="shared" ca="1" si="10"/>
        <v>5.1630434782608692E-4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input_449100!A$2</f>
        <v>449100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IFERROR(VLOOKUP(B216,input_449100!L:R,7,FALSE),VLOOKUP(tables_449100!C216,input_449100!A:H,8,FALSE))</f>
        <v>27550</v>
      </c>
      <c r="P216" s="46">
        <f t="shared" ca="1" si="10"/>
        <v>5.1630434782608692E-4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input_449100!A$2</f>
        <v>449100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IFERROR(VLOOKUP(B217,input_449100!L:R,7,FALSE),VLOOKUP(tables_449100!C217,input_449100!A:H,8,FALSE))</f>
        <v>27550</v>
      </c>
      <c r="P217" s="46">
        <f t="shared" ca="1" si="10"/>
        <v>5.1630434782608692E-4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input_449100!A$2</f>
        <v>449100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IFERROR(VLOOKUP(B218,input_449100!L:R,7,FALSE),VLOOKUP(tables_449100!C218,input_449100!A:H,8,FALSE))</f>
        <v>27550</v>
      </c>
      <c r="P218" s="46">
        <f t="shared" ca="1" si="10"/>
        <v>5.1630434782608692E-4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input_449100!A$2</f>
        <v>449100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IFERROR(VLOOKUP(B219,input_449100!L:R,7,FALSE),VLOOKUP(tables_449100!C219,input_449100!A:H,8,FALSE))</f>
        <v>27550</v>
      </c>
      <c r="P219" s="46">
        <f t="shared" ca="1" si="10"/>
        <v>5.1630434782608692E-4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input_449100!A$2</f>
        <v>449100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IFERROR(VLOOKUP(B220,input_449100!L:R,7,FALSE),VLOOKUP(tables_449100!C220,input_449100!A:H,8,FALSE))</f>
        <v>27550</v>
      </c>
      <c r="P220" s="46">
        <f t="shared" ca="1" si="10"/>
        <v>5.1630434782608692E-4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input_449100!A$2</f>
        <v>449100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IFERROR(VLOOKUP(B221,input_449100!L:R,7,FALSE),VLOOKUP(tables_449100!C221,input_449100!A:H,8,FALSE))</f>
        <v>8740</v>
      </c>
      <c r="P221" s="46">
        <f t="shared" ca="1" si="10"/>
        <v>1.6379310344827587E-4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input_449100!A$2</f>
        <v>449100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IFERROR(VLOOKUP(B222,input_449100!L:R,7,FALSE),VLOOKUP(tables_449100!C222,input_449100!A:H,8,FALSE))</f>
        <v>460</v>
      </c>
      <c r="P222" s="46">
        <f t="shared" ca="1" si="10"/>
        <v>8.6206896551724141E-6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input_449100!A$2</f>
        <v>449100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IFERROR(VLOOKUP(B223,input_449100!L:R,7,FALSE),VLOOKUP(tables_449100!C223,input_449100!A:H,8,FALSE))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input_449100!A$2</f>
        <v>449100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IFERROR(VLOOKUP(B224,input_449100!L:R,7,FALSE),VLOOKUP(tables_449100!C224,input_449100!A:H,8,FALSE))</f>
        <v>523450</v>
      </c>
      <c r="P224" s="46">
        <f t="shared" ca="1" si="10"/>
        <v>9.8097826086956524E-3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input_449100!A$2</f>
        <v>449100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IFERROR(VLOOKUP(B225,input_449100!L:R,7,FALSE),VLOOKUP(tables_449100!C225,input_449100!A:H,8,FALSE))</f>
        <v>10260</v>
      </c>
      <c r="P225" s="46">
        <f t="shared" ca="1" si="10"/>
        <v>1.9227886056971514E-4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input_449100!A$2</f>
        <v>449100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IFERROR(VLOOKUP(B226,input_449100!L:R,7,FALSE),VLOOKUP(tables_449100!C226,input_449100!A:H,8,FALSE))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input_449100!A$2</f>
        <v>449100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IFERROR(VLOOKUP(B227,input_449100!L:R,7,FALSE),VLOOKUP(tables_449100!C227,input_449100!A:H,8,FALSE))</f>
        <v>523450</v>
      </c>
      <c r="P227" s="46">
        <f t="shared" ca="1" si="10"/>
        <v>9.8097826086956524E-3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input_449100!A$2</f>
        <v>449100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IFERROR(VLOOKUP(B228,input_449100!L:R,7,FALSE),VLOOKUP(tables_449100!C228,input_449100!A:H,8,FALSE))</f>
        <v>10260</v>
      </c>
      <c r="P228" s="46">
        <f t="shared" ca="1" si="10"/>
        <v>1.9227886056971514E-4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input_449100!A$2</f>
        <v>449100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IFERROR(VLOOKUP(B229,input_449100!L:R,7,FALSE),VLOOKUP(tables_449100!C229,input_449100!A:H,8,FALSE))</f>
        <v>8740</v>
      </c>
      <c r="P229" s="46">
        <f t="shared" ca="1" si="10"/>
        <v>1.6379310344827587E-4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input_449100!A$2</f>
        <v>449100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IFERROR(VLOOKUP(B230,input_449100!L:R,7,FALSE),VLOOKUP(tables_449100!C230,input_449100!A:H,8,FALSE))</f>
        <v>460</v>
      </c>
      <c r="P230" s="46">
        <f t="shared" ca="1" si="10"/>
        <v>8.6206896551724141E-6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input_449100!A$2</f>
        <v>449100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IFERROR(VLOOKUP(B231,input_449100!L:R,7,FALSE),VLOOKUP(tables_449100!C231,input_449100!A:H,8,FALSE))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input_449100!A$2</f>
        <v>449100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IFERROR(VLOOKUP(B232,input_449100!L:R,7,FALSE),VLOOKUP(tables_449100!C232,input_449100!A:H,8,FALSE))</f>
        <v>523450</v>
      </c>
      <c r="P232" s="46">
        <f t="shared" ca="1" si="10"/>
        <v>9.8097826086956524E-3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input_449100!A$2</f>
        <v>449100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IFERROR(VLOOKUP(B233,input_449100!L:R,7,FALSE),VLOOKUP(tables_449100!C233,input_449100!A:H,8,FALSE))</f>
        <v>10260</v>
      </c>
      <c r="P233" s="46">
        <f t="shared" ca="1" si="10"/>
        <v>1.9227886056971514E-4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input_449100!A$2</f>
        <v>449100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IFERROR(VLOOKUP(B234,input_449100!L:R,7,FALSE),VLOOKUP(tables_449100!C234,input_449100!A:H,8,FALSE))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input_449100!A$2</f>
        <v>449100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IFERROR(VLOOKUP(B235,input_449100!L:R,7,FALSE),VLOOKUP(tables_449100!C235,input_449100!A:H,8,FALSE))</f>
        <v>523450</v>
      </c>
      <c r="P235" s="46">
        <f t="shared" ca="1" si="10"/>
        <v>9.8097826086956524E-3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input_449100!A$2</f>
        <v>449100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IFERROR(VLOOKUP(B236,input_449100!L:R,7,FALSE),VLOOKUP(tables_449100!C236,input_449100!A:H,8,FALSE))</f>
        <v>10260</v>
      </c>
      <c r="P236" s="46">
        <f t="shared" ca="1" si="10"/>
        <v>1.9227886056971514E-4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input_449100!A$2</f>
        <v>449100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IFERROR(VLOOKUP(B237,input_449100!L:R,7,FALSE),VLOOKUP(tables_449100!C237,input_449100!A:H,8,FALSE))</f>
        <v>8740</v>
      </c>
      <c r="P237" s="46">
        <f t="shared" ca="1" si="10"/>
        <v>1.6379310344827587E-4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input_449100!A$2</f>
        <v>449100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IFERROR(VLOOKUP(B238,input_449100!L:R,7,FALSE),VLOOKUP(tables_449100!C238,input_449100!A:H,8,FALSE))</f>
        <v>460</v>
      </c>
      <c r="P238" s="46">
        <f t="shared" ca="1" si="10"/>
        <v>8.6206896551724141E-6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input_449100!A$2</f>
        <v>449100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IFERROR(VLOOKUP(B239,input_449100!L:R,7,FALSE),VLOOKUP(tables_449100!C239,input_449100!A:H,8,FALSE))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input_449100!A$2</f>
        <v>449100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IFERROR(VLOOKUP(B240,input_449100!L:R,7,FALSE),VLOOKUP(tables_449100!C240,input_449100!A:H,8,FALSE))</f>
        <v>523450</v>
      </c>
      <c r="P240" s="46">
        <f t="shared" ca="1" si="10"/>
        <v>9.8097826086956524E-3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input_449100!A$2</f>
        <v>449100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IFERROR(VLOOKUP(B241,input_449100!L:R,7,FALSE),VLOOKUP(tables_449100!C241,input_449100!A:H,8,FALSE))</f>
        <v>10260</v>
      </c>
      <c r="P241" s="46">
        <f t="shared" ca="1" si="10"/>
        <v>1.9227886056971514E-4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input_449100!A$2</f>
        <v>449100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IFERROR(VLOOKUP(B242,input_449100!L:R,7,FALSE),VLOOKUP(tables_449100!C242,input_449100!A:H,8,FALSE))</f>
        <v>8740</v>
      </c>
      <c r="P242" s="46">
        <f t="shared" ca="1" si="10"/>
        <v>1.6379310344827587E-4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input_449100!A$2</f>
        <v>449100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IFERROR(VLOOKUP(B243,input_449100!L:R,7,FALSE),VLOOKUP(tables_449100!C243,input_449100!A:H,8,FALSE))</f>
        <v>460</v>
      </c>
      <c r="P243" s="46">
        <f t="shared" ca="1" si="10"/>
        <v>8.6206896551724141E-6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input_449100!A$2</f>
        <v>449100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IFERROR(VLOOKUP(B244,input_449100!L:R,7,FALSE),VLOOKUP(tables_449100!C244,input_449100!A:H,8,FALSE))</f>
        <v>8740</v>
      </c>
      <c r="P244" s="46">
        <f t="shared" ca="1" si="10"/>
        <v>1.6379310344827587E-4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input_449100!A$2</f>
        <v>449100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IFERROR(VLOOKUP(B245,input_449100!L:R,7,FALSE),VLOOKUP(tables_449100!C245,input_449100!A:H,8,FALSE))</f>
        <v>460</v>
      </c>
      <c r="P245" s="46">
        <f t="shared" ca="1" si="10"/>
        <v>8.6206896551724141E-6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input_449100!A$2</f>
        <v>449100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IFERROR(VLOOKUP(B246,input_449100!L:R,7,FALSE),VLOOKUP(tables_449100!C246,input_449100!A:H,8,FALSE))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input_449100!A$2</f>
        <v>449100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IFERROR(VLOOKUP(B247,input_449100!L:R,7,FALSE),VLOOKUP(tables_449100!C247,input_449100!A:H,8,FALSE))</f>
        <v>523450</v>
      </c>
      <c r="P247" s="46">
        <f t="shared" ca="1" si="10"/>
        <v>9.8097826086956524E-3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input_449100!A$2</f>
        <v>449100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IFERROR(VLOOKUP(B248,input_449100!L:R,7,FALSE),VLOOKUP(tables_449100!C248,input_449100!A:H,8,FALSE))</f>
        <v>10260</v>
      </c>
      <c r="P248" s="46">
        <f t="shared" ca="1" si="10"/>
        <v>1.9227886056971514E-4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input_449100!A$2</f>
        <v>449100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IFERROR(VLOOKUP(B249,input_449100!L:R,7,FALSE),VLOOKUP(tables_449100!C249,input_449100!A:H,8,FALSE))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input_449100!A$2</f>
        <v>449100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IFERROR(VLOOKUP(B250,input_449100!L:R,7,FALSE),VLOOKUP(tables_449100!C250,input_449100!A:H,8,FALSE))</f>
        <v>523450</v>
      </c>
      <c r="P250" s="46">
        <f t="shared" ca="1" si="10"/>
        <v>9.8097826086956524E-3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input_449100!A$2</f>
        <v>449100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IFERROR(VLOOKUP(B251,input_449100!L:R,7,FALSE),VLOOKUP(tables_449100!C251,input_449100!A:H,8,FALSE))</f>
        <v>10260</v>
      </c>
      <c r="P251" s="46">
        <f t="shared" ca="1" si="10"/>
        <v>1.9227886056971514E-4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input_449100!A$2</f>
        <v>449100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IFERROR(VLOOKUP(B252,input_449100!L:R,7,FALSE),VLOOKUP(tables_449100!C252,input_449100!A:H,8,FALSE))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input_449100!A$2</f>
        <v>449100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IFERROR(VLOOKUP(B253,input_449100!L:R,7,FALSE),VLOOKUP(tables_449100!C253,input_449100!A:H,8,FALSE))</f>
        <v>523450</v>
      </c>
      <c r="P253" s="46">
        <f t="shared" ca="1" si="10"/>
        <v>9.8097826086956524E-3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input_449100!A$2</f>
        <v>449100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IFERROR(VLOOKUP(B254,input_449100!L:R,7,FALSE),VLOOKUP(tables_449100!C254,input_449100!A:H,8,FALSE))</f>
        <v>10260</v>
      </c>
      <c r="P254" s="46">
        <f t="shared" ca="1" si="10"/>
        <v>1.9227886056971514E-4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input_449100!A$2</f>
        <v>449100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IFERROR(VLOOKUP(B255,input_449100!L:R,7,FALSE),VLOOKUP(tables_449100!C255,input_449100!A:H,8,FALSE))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input_449100!A$2</f>
        <v>449100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IFERROR(VLOOKUP(B256,input_449100!L:R,7,FALSE),VLOOKUP(tables_449100!C256,input_449100!A:H,8,FALSE))</f>
        <v>523450</v>
      </c>
      <c r="P256" s="46">
        <f t="shared" ca="1" si="10"/>
        <v>9.8097826086956524E-3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input_449100!A$2</f>
        <v>449100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IFERROR(VLOOKUP(B257,input_449100!L:R,7,FALSE),VLOOKUP(tables_449100!C257,input_449100!A:H,8,FALSE))</f>
        <v>10260</v>
      </c>
      <c r="P257" s="46">
        <f t="shared" ca="1" si="10"/>
        <v>1.9227886056971514E-4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input_449100!A$2</f>
        <v>449100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>IFERROR(VLOOKUP(B258,input_449100!L:R,7,FALSE),VLOOKUP(tables_449100!C258,input_449100!A:H,8,FALSE))</f>
        <v>1013840</v>
      </c>
      <c r="P258" s="46">
        <f t="shared" ref="P258:P294" ca="1" si="13">O258/SUM(O:O)</f>
        <v>1.9E-2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input_449100!A$2</f>
        <v>449100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>IFERROR(VLOOKUP(B259,input_449100!L:R,7,FALSE),VLOOKUP(tables_449100!C259,input_449100!A:H,8,FALSE))</f>
        <v>53360</v>
      </c>
      <c r="P259" s="46">
        <f t="shared" ca="1" si="13"/>
        <v>1E-3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input_449100!A$2</f>
        <v>449100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IFERROR(VLOOKUP(B260,input_449100!L:R,7,FALSE),VLOOKUP(tables_449100!C260,input_449100!A:H,8,FALSE))</f>
        <v>8740</v>
      </c>
      <c r="P260" s="46">
        <f t="shared" ca="1" si="13"/>
        <v>1.6379310344827587E-4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input_449100!A$2</f>
        <v>449100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IFERROR(VLOOKUP(B261,input_449100!L:R,7,FALSE),VLOOKUP(tables_449100!C261,input_449100!A:H,8,FALSE))</f>
        <v>460</v>
      </c>
      <c r="P261" s="46">
        <f t="shared" ca="1" si="13"/>
        <v>8.6206896551724141E-6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input_449100!A$2</f>
        <v>449100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IFERROR(VLOOKUP(B262,input_449100!L:R,7,FALSE),VLOOKUP(tables_449100!C262,input_449100!A:H,8,FALSE))</f>
        <v>513118.75</v>
      </c>
      <c r="P262" s="46">
        <f t="shared" ca="1" si="13"/>
        <v>9.6161684782608697E-3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input_449100!A$2</f>
        <v>449100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IFERROR(VLOOKUP(B263,input_449100!L:R,7,FALSE),VLOOKUP(tables_449100!C263,input_449100!A:H,8,FALSE))</f>
        <v>27550</v>
      </c>
      <c r="P263" s="46">
        <f t="shared" ca="1" si="13"/>
        <v>5.1630434782608692E-4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input_449100!A$2</f>
        <v>449100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IFERROR(VLOOKUP(B264,input_449100!L:R,7,FALSE),VLOOKUP(tables_449100!C264,input_449100!A:H,8,FALSE))</f>
        <v>513118.75</v>
      </c>
      <c r="P264" s="46">
        <f t="shared" ca="1" si="13"/>
        <v>9.6161684782608697E-3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input_449100!A$2</f>
        <v>449100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IFERROR(VLOOKUP(B265,input_449100!L:R,7,FALSE),VLOOKUP(tables_449100!C265,input_449100!A:H,8,FALSE))</f>
        <v>27550</v>
      </c>
      <c r="P265" s="46">
        <f t="shared" ca="1" si="13"/>
        <v>5.1630434782608692E-4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input_449100!A$2</f>
        <v>449100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IFERROR(VLOOKUP(B266,input_449100!L:R,7,FALSE),VLOOKUP(tables_449100!C266,input_449100!A:H,8,FALSE))</f>
        <v>9200</v>
      </c>
      <c r="P266" s="46">
        <f t="shared" ca="1" si="13"/>
        <v>1.7241379310344826E-4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input_449100!A$2</f>
        <v>449100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IFERROR(VLOOKUP(B267,input_449100!L:R,7,FALSE),VLOOKUP(tables_449100!C267,input_449100!A:H,8,FALSE))</f>
        <v>9200</v>
      </c>
      <c r="P267" s="46">
        <f t="shared" ca="1" si="13"/>
        <v>1.7241379310344826E-4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input_449100!A$2</f>
        <v>449100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IFERROR(VLOOKUP(B268,input_449100!L:R,7,FALSE),VLOOKUP(tables_449100!C268,input_449100!A:H,8,FALSE))</f>
        <v>9200</v>
      </c>
      <c r="P268" s="46">
        <f t="shared" ca="1" si="13"/>
        <v>1.7241379310344826E-4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input_449100!A$2</f>
        <v>449100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>IFERROR(VLOOKUP(B269,input_449100!L:R,7,FALSE),VLOOKUP(tables_449100!C269,input_449100!A:H,8,FALSE))</f>
        <v>1067200</v>
      </c>
      <c r="P269" s="46">
        <f t="shared" ca="1" si="13"/>
        <v>0.02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input_449100!A$2</f>
        <v>449100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IFERROR(VLOOKUP(B270,input_449100!L:R,7,FALSE),VLOOKUP(tables_449100!C270,input_449100!A:H,8,FALSE))</f>
        <v>513118.75</v>
      </c>
      <c r="P270" s="46">
        <f t="shared" ca="1" si="13"/>
        <v>9.6161684782608697E-3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input_449100!A$2</f>
        <v>449100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IFERROR(VLOOKUP(B271,input_449100!L:R,7,FALSE),VLOOKUP(tables_449100!C271,input_449100!A:H,8,FALSE))</f>
        <v>27550</v>
      </c>
      <c r="P271" s="46">
        <f t="shared" ca="1" si="13"/>
        <v>5.1630434782608692E-4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input_449100!A$2</f>
        <v>449100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IFERROR(VLOOKUP(B272,input_449100!L:R,7,FALSE),VLOOKUP(tables_449100!C272,input_449100!A:H,8,FALSE))</f>
        <v>513118.75</v>
      </c>
      <c r="P272" s="46">
        <f t="shared" ca="1" si="13"/>
        <v>9.6161684782608697E-3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input_449100!A$2</f>
        <v>449100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IFERROR(VLOOKUP(B273,input_449100!L:R,7,FALSE),VLOOKUP(tables_449100!C273,input_449100!A:H,8,FALSE))</f>
        <v>27550</v>
      </c>
      <c r="P273" s="46">
        <f t="shared" ca="1" si="13"/>
        <v>5.1630434782608692E-4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input_449100!A$2</f>
        <v>449100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IFERROR(VLOOKUP(B274,input_449100!L:R,7,FALSE),VLOOKUP(tables_449100!C274,input_449100!A:H,8,FALSE))</f>
        <v>8740</v>
      </c>
      <c r="P274" s="46">
        <f t="shared" ca="1" si="13"/>
        <v>1.6379310344827587E-4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input_449100!A$2</f>
        <v>449100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IFERROR(VLOOKUP(B275,input_449100!L:R,7,FALSE),VLOOKUP(tables_449100!C275,input_449100!A:H,8,FALSE))</f>
        <v>460</v>
      </c>
      <c r="P275" s="46">
        <f t="shared" ca="1" si="13"/>
        <v>8.6206896551724141E-6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input_449100!A$2</f>
        <v>449100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IFERROR(VLOOKUP(B276,input_449100!L:R,7,FALSE),VLOOKUP(tables_449100!C276,input_449100!A:H,8,FALSE))</f>
        <v>8740</v>
      </c>
      <c r="P276" s="46">
        <f t="shared" ca="1" si="13"/>
        <v>1.6379310344827587E-4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input_449100!A$2</f>
        <v>449100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IFERROR(VLOOKUP(B277,input_449100!L:R,7,FALSE),VLOOKUP(tables_449100!C277,input_449100!A:H,8,FALSE))</f>
        <v>460</v>
      </c>
      <c r="P277" s="46">
        <f t="shared" ca="1" si="13"/>
        <v>8.6206896551724141E-6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input_449100!A$2</f>
        <v>449100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IFERROR(VLOOKUP(B278,input_449100!L:R,7,FALSE),VLOOKUP(tables_449100!C278,input_449100!A:H,8,FALSE))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input_449100!A$2</f>
        <v>449100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IFERROR(VLOOKUP(B279,input_449100!L:R,7,FALSE),VLOOKUP(tables_449100!C279,input_449100!A:H,8,FALSE))</f>
        <v>523450</v>
      </c>
      <c r="P279" s="46">
        <f t="shared" ca="1" si="13"/>
        <v>9.8097826086956524E-3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input_449100!A$2</f>
        <v>449100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IFERROR(VLOOKUP(B280,input_449100!L:R,7,FALSE),VLOOKUP(tables_449100!C280,input_449100!A:H,8,FALSE))</f>
        <v>10260</v>
      </c>
      <c r="P280" s="46">
        <f t="shared" ca="1" si="13"/>
        <v>1.9227886056971514E-4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input_449100!A$2</f>
        <v>449100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IFERROR(VLOOKUP(B281,input_449100!L:R,7,FALSE),VLOOKUP(tables_449100!C281,input_449100!A:H,8,FALSE))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input_449100!A$2</f>
        <v>449100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IFERROR(VLOOKUP(B282,input_449100!L:R,7,FALSE),VLOOKUP(tables_449100!C282,input_449100!A:H,8,FALSE))</f>
        <v>523450</v>
      </c>
      <c r="P282" s="46">
        <f t="shared" ca="1" si="13"/>
        <v>9.8097826086956524E-3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input_449100!A$2</f>
        <v>449100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IFERROR(VLOOKUP(B283,input_449100!L:R,7,FALSE),VLOOKUP(tables_449100!C283,input_449100!A:H,8,FALSE))</f>
        <v>10260</v>
      </c>
      <c r="P283" s="46">
        <f t="shared" ca="1" si="13"/>
        <v>1.9227886056971514E-4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input_449100!A$2</f>
        <v>449100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IFERROR(VLOOKUP(B284,input_449100!L:R,7,FALSE),VLOOKUP(tables_449100!C284,input_449100!A:H,8,FALSE))</f>
        <v>9200</v>
      </c>
      <c r="P284" s="46">
        <f t="shared" ca="1" si="13"/>
        <v>1.7241379310344826E-4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input_449100!A$2</f>
        <v>449100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IFERROR(VLOOKUP(B285,input_449100!L:R,7,FALSE),VLOOKUP(tables_449100!C285,input_449100!A:H,8,FALSE))</f>
        <v>9200</v>
      </c>
      <c r="P285" s="46">
        <f t="shared" ca="1" si="13"/>
        <v>1.7241379310344826E-4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input_449100!A$2</f>
        <v>449100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IFERROR(VLOOKUP(B286,input_449100!L:R,7,FALSE),VLOOKUP(tables_449100!C286,input_449100!A:H,8,FALSE))</f>
        <v>513118.75</v>
      </c>
      <c r="P286" s="46">
        <f t="shared" ca="1" si="13"/>
        <v>9.6161684782608697E-3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input_449100!A$2</f>
        <v>449100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IFERROR(VLOOKUP(B287,input_449100!L:R,7,FALSE),VLOOKUP(tables_449100!C287,input_449100!A:H,8,FALSE))</f>
        <v>27550</v>
      </c>
      <c r="P287" s="46">
        <f t="shared" ca="1" si="13"/>
        <v>5.1630434782608692E-4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input_449100!A$2</f>
        <v>449100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IFERROR(VLOOKUP(B288,input_449100!L:R,7,FALSE),VLOOKUP(tables_449100!C288,input_449100!A:H,8,FALSE))</f>
        <v>513118.75</v>
      </c>
      <c r="P288" s="46">
        <f t="shared" ca="1" si="13"/>
        <v>9.6161684782608697E-3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input_449100!A$2</f>
        <v>449100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IFERROR(VLOOKUP(B289,input_449100!L:R,7,FALSE),VLOOKUP(tables_449100!C289,input_449100!A:H,8,FALSE))</f>
        <v>27550</v>
      </c>
      <c r="P289" s="46">
        <f t="shared" ca="1" si="13"/>
        <v>5.1630434782608692E-4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input_449100!A$2</f>
        <v>449100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IFERROR(VLOOKUP(B290,input_449100!L:R,7,FALSE),VLOOKUP(tables_449100!C290,input_449100!A:H,8,FALSE))</f>
        <v>513118.75</v>
      </c>
      <c r="P290" s="46">
        <f t="shared" ca="1" si="13"/>
        <v>9.6161684782608697E-3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input_449100!A$2</f>
        <v>449100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IFERROR(VLOOKUP(B291,input_449100!L:R,7,FALSE),VLOOKUP(tables_449100!C291,input_449100!A:H,8,FALSE))</f>
        <v>27550</v>
      </c>
      <c r="P291" s="46">
        <f t="shared" ca="1" si="13"/>
        <v>5.1630434782608692E-4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input_449100!A$2</f>
        <v>449100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IFERROR(VLOOKUP(B292,input_449100!L:R,7,FALSE),VLOOKUP(tables_449100!C292,input_449100!A:H,8,FALSE))</f>
        <v>513118.75</v>
      </c>
      <c r="P292" s="46">
        <f t="shared" ca="1" si="13"/>
        <v>9.6161684782608697E-3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input_449100!A$2</f>
        <v>449100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IFERROR(VLOOKUP(B293,input_449100!L:R,7,FALSE),VLOOKUP(tables_449100!C293,input_449100!A:H,8,FALSE))</f>
        <v>27550</v>
      </c>
      <c r="P293" s="46">
        <f t="shared" ca="1" si="13"/>
        <v>5.1630434782608692E-4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input_449100!A$2</f>
        <v>449100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IFERROR(VLOOKUP(B294,input_449100!L:R,7,FALSE),VLOOKUP(tables_449100!C294,input_449100!A:H,8,FALSE))</f>
        <v>9200</v>
      </c>
      <c r="P294" s="46">
        <f t="shared" ca="1" si="13"/>
        <v>1.7241379310344826E-4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input_449100!A$2</f>
        <v>449100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IFERROR(VLOOKUP(B295,input_449100!L:R,7,FALSE),VLOOKUP(tables_449100!C295,input_449100!A:H,8,FALSE))</f>
        <v>9200</v>
      </c>
      <c r="P295" s="46">
        <f t="shared" ref="P295:P299" ca="1" si="20">O295/SUM(O:O)</f>
        <v>1.7241379310344826E-4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input_449100!A$2</f>
        <v>449100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IFERROR(VLOOKUP(B296,input_449100!L:R,7,FALSE),VLOOKUP(tables_449100!C296,input_449100!A:H,8,FALSE))</f>
        <v>9200</v>
      </c>
      <c r="P296" s="46">
        <f t="shared" ca="1" si="20"/>
        <v>1.7241379310344826E-4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input_449100!A$2</f>
        <v>449100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IFERROR(VLOOKUP(B297,input_449100!L:R,7,FALSE),VLOOKUP(tables_449100!C297,input_449100!A:H,8,FALSE))</f>
        <v>513118.75</v>
      </c>
      <c r="P297" s="46">
        <f t="shared" ca="1" si="20"/>
        <v>9.6161684782608697E-3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input_449100!A$2</f>
        <v>449100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IFERROR(VLOOKUP(B298,input_449100!L:R,7,FALSE),VLOOKUP(tables_449100!C298,input_449100!A:H,8,FALSE))</f>
        <v>27550</v>
      </c>
      <c r="P298" s="46">
        <f t="shared" ca="1" si="20"/>
        <v>5.1630434782608692E-4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input_449100!A$2</f>
        <v>449100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IFERROR(VLOOKUP(B299,input_449100!L:R,7,FALSE),VLOOKUP(tables_449100!C299,input_449100!A:H,8,FALSE))</f>
        <v>9200</v>
      </c>
      <c r="P299" s="46">
        <f t="shared" ca="1" si="20"/>
        <v>1.7241379310344826E-4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input_449100!A$2</f>
        <v>449100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IFERROR(VLOOKUP(B300,input_449100!L:R,7,FALSE),VLOOKUP(tables_449100!C300,input_449100!A:H,8,FALSE))</f>
        <v>9200</v>
      </c>
      <c r="P300" s="46">
        <f t="shared" ref="P300:P304" ca="1" si="22">O300/SUM(O:O)</f>
        <v>1.7241379310344826E-4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input_449100!A$2</f>
        <v>449100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IFERROR(VLOOKUP(B301,input_449100!L:R,7,FALSE),VLOOKUP(tables_449100!C301,input_449100!A:H,8,FALSE))</f>
        <v>9200</v>
      </c>
      <c r="P301" s="46">
        <f t="shared" ca="1" si="22"/>
        <v>1.7241379310344826E-4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input_449100!A$2</f>
        <v>449100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IFERROR(VLOOKUP(B302,input_449100!L:R,7,FALSE),VLOOKUP(tables_449100!C302,input_449100!A:H,8,FALSE))</f>
        <v>9200</v>
      </c>
      <c r="P302" s="46">
        <f t="shared" ca="1" si="22"/>
        <v>1.7241379310344826E-4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input_449100!A$2</f>
        <v>449100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IFERROR(VLOOKUP(B303,input_449100!L:R,7,FALSE),VLOOKUP(tables_449100!C303,input_449100!A:H,8,FALSE))</f>
        <v>513118.75</v>
      </c>
      <c r="P303" s="46">
        <f t="shared" ca="1" si="22"/>
        <v>9.6161684782608697E-3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input_449100!A$2</f>
        <v>449100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IFERROR(VLOOKUP(B304,input_449100!L:R,7,FALSE),VLOOKUP(tables_449100!C304,input_449100!A:H,8,FALSE))</f>
        <v>27550</v>
      </c>
      <c r="P304" s="46">
        <f t="shared" ca="1" si="22"/>
        <v>5.1630434782608692E-4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input_449100!A$2</f>
        <v>449100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IFERROR(VLOOKUP(B305,input_449100!L:R,7,FALSE),VLOOKUP(tables_449100!C305,input_449100!A:H,8,FALSE))</f>
        <v>9200</v>
      </c>
      <c r="P305" s="46">
        <f t="shared" ref="P305:P308" ca="1" si="24">O305/SUM(O:O)</f>
        <v>1.7241379310344826E-4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input_449100!A$2</f>
        <v>449100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IFERROR(VLOOKUP(B306,input_449100!L:R,7,FALSE),VLOOKUP(tables_449100!C306,input_449100!A:H,8,FALSE))</f>
        <v>513118.75</v>
      </c>
      <c r="P306" s="46">
        <f t="shared" ca="1" si="24"/>
        <v>9.6161684782608697E-3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input_449100!A$2</f>
        <v>449100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IFERROR(VLOOKUP(B307,input_449100!L:R,7,FALSE),VLOOKUP(tables_449100!C307,input_449100!A:H,8,FALSE))</f>
        <v>27550</v>
      </c>
      <c r="P307" s="46">
        <f t="shared" ca="1" si="24"/>
        <v>5.1630434782608692E-4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input_449100!A$2</f>
        <v>449100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IFERROR(VLOOKUP(B308,input_449100!L:R,7,FALSE),VLOOKUP(tables_449100!C308,input_449100!A:H,8,FALSE))</f>
        <v>9200</v>
      </c>
      <c r="P308" s="46">
        <f t="shared" ca="1" si="24"/>
        <v>1.7241379310344826E-4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input_449100!A$2</f>
        <v>449100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IFERROR(VLOOKUP(B309,input_449100!L:R,7,FALSE),VLOOKUP(tables_449100!C309,input_449100!A:H,8,FALSE))</f>
        <v>9200</v>
      </c>
      <c r="P309" s="46">
        <f t="shared" ref="P309" ca="1" si="26">O309/SUM(O:O)</f>
        <v>1.7241379310344826E-4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input_449100!A$2</f>
        <v>449100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IFERROR(VLOOKUP(B310,input_449100!L:R,7,FALSE),VLOOKUP(tables_449100!C310,input_449100!A:H,8,FALSE))</f>
        <v>9200</v>
      </c>
      <c r="P310" s="46">
        <f t="shared" ref="P310:P314" ca="1" si="28">O310/SUM(O:O)</f>
        <v>1.7241379310344826E-4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input_449100!A$2</f>
        <v>449100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IFERROR(VLOOKUP(B311,input_449100!L:R,7,FALSE),VLOOKUP(tables_449100!C311,input_449100!A:H,8,FALSE))</f>
        <v>513118.75</v>
      </c>
      <c r="P311" s="46">
        <f t="shared" ca="1" si="28"/>
        <v>9.6161684782608697E-3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input_449100!A$2</f>
        <v>449100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IFERROR(VLOOKUP(B312,input_449100!L:R,7,FALSE),VLOOKUP(tables_449100!C312,input_449100!A:H,8,FALSE))</f>
        <v>27550</v>
      </c>
      <c r="P312" s="46">
        <f t="shared" ca="1" si="28"/>
        <v>5.1630434782608692E-4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input_449100!A$2</f>
        <v>449100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IFERROR(VLOOKUP(B313,input_449100!L:R,7,FALSE),VLOOKUP(tables_449100!C313,input_449100!A:H,8,FALSE))</f>
        <v>9200</v>
      </c>
      <c r="P313" s="46">
        <f t="shared" ca="1" si="28"/>
        <v>1.7241379310344826E-4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input_449100!A$2</f>
        <v>449100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IFERROR(VLOOKUP(B314,input_449100!L:R,7,FALSE),VLOOKUP(tables_449100!C314,input_449100!A:H,8,FALSE))</f>
        <v>9200</v>
      </c>
      <c r="P314" s="46">
        <f t="shared" ca="1" si="28"/>
        <v>1.7241379310344826E-4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input_449100!A$2</f>
        <v>449100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IFERROR(VLOOKUP(B315,input_449100!L:R,7,FALSE),VLOOKUP(tables_449100!C315,input_449100!A:H,8,FALSE))</f>
        <v>9200</v>
      </c>
      <c r="P315" s="46">
        <f t="shared" ref="P315:P319" ca="1" si="30">O315/SUM(O:O)</f>
        <v>1.7241379310344826E-4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input_449100!A$2</f>
        <v>449100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IFERROR(VLOOKUP(B316,input_449100!L:R,7,FALSE),VLOOKUP(tables_449100!C316,input_449100!A:H,8,FALSE))</f>
        <v>9200</v>
      </c>
      <c r="P316" s="46">
        <f t="shared" ca="1" si="30"/>
        <v>1.7241379310344826E-4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input_449100!A$2</f>
        <v>449100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IFERROR(VLOOKUP(B317,input_449100!L:R,7,FALSE),VLOOKUP(tables_449100!C317,input_449100!A:H,8,FALSE))</f>
        <v>9200</v>
      </c>
      <c r="P317" s="46">
        <f t="shared" ca="1" si="30"/>
        <v>1.7241379310344826E-4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input_449100!A$2</f>
        <v>449100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IFERROR(VLOOKUP(B318,input_449100!L:R,7,FALSE),VLOOKUP(tables_449100!C318,input_449100!A:H,8,FALSE))</f>
        <v>513118.75</v>
      </c>
      <c r="P318" s="46">
        <f t="shared" ca="1" si="30"/>
        <v>9.6161684782608697E-3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input_449100!A$2</f>
        <v>449100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IFERROR(VLOOKUP(B319,input_449100!L:R,7,FALSE),VLOOKUP(tables_449100!C319,input_449100!A:H,8,FALSE))</f>
        <v>27550</v>
      </c>
      <c r="P319" s="46">
        <f t="shared" ca="1" si="30"/>
        <v>5.1630434782608692E-4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input_449100!A$2</f>
        <v>449100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IFERROR(VLOOKUP(B320,input_449100!L:R,7,FALSE),VLOOKUP(tables_449100!C320,input_449100!A:H,8,FALSE))</f>
        <v>9200</v>
      </c>
      <c r="P320" s="46">
        <f t="shared" ref="P320:P324" ca="1" si="32">O320/SUM(O:O)</f>
        <v>1.7241379310344826E-4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input_449100!A$2</f>
        <v>449100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IFERROR(VLOOKUP(B321,input_449100!L:R,7,FALSE),VLOOKUP(tables_449100!C321,input_449100!A:H,8,FALSE))</f>
        <v>9200</v>
      </c>
      <c r="P321" s="46">
        <f t="shared" ca="1" si="32"/>
        <v>1.7241379310344826E-4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input_449100!A$2</f>
        <v>449100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IFERROR(VLOOKUP(B322,input_449100!L:R,7,FALSE),VLOOKUP(tables_449100!C322,input_449100!A:H,8,FALSE))</f>
        <v>9200</v>
      </c>
      <c r="P322" s="46">
        <f t="shared" ca="1" si="32"/>
        <v>1.7241379310344826E-4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input_449100!A$2</f>
        <v>449100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IFERROR(VLOOKUP(B323,input_449100!L:R,7,FALSE),VLOOKUP(tables_449100!C323,input_449100!A:H,8,FALSE))</f>
        <v>9200</v>
      </c>
      <c r="P323" s="46">
        <f t="shared" ca="1" si="32"/>
        <v>1.7241379310344826E-4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input_449100!A$2</f>
        <v>449100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IFERROR(VLOOKUP(B324,input_449100!L:R,7,FALSE),VLOOKUP(tables_449100!C324,input_449100!A:H,8,FALSE))</f>
        <v>513118.75</v>
      </c>
      <c r="P324" s="46">
        <f t="shared" ca="1" si="32"/>
        <v>9.6161684782608697E-3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input_449100!A$2</f>
        <v>449100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IFERROR(VLOOKUP(B325,input_449100!L:R,7,FALSE),VLOOKUP(tables_449100!C325,input_449100!A:H,8,FALSE))</f>
        <v>27550</v>
      </c>
      <c r="P325" s="46">
        <f t="shared" ref="P325:P330" ca="1" si="35">O325/SUM(O:O)</f>
        <v>5.1630434782608692E-4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input_449100!A$2</f>
        <v>449100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IFERROR(VLOOKUP(B326,input_449100!L:R,7,FALSE),VLOOKUP(tables_449100!C326,input_449100!A:H,8,FALSE))</f>
        <v>513118.75</v>
      </c>
      <c r="P326" s="46">
        <f t="shared" ca="1" si="35"/>
        <v>9.6161684782608697E-3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input_449100!A$2</f>
        <v>449100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IFERROR(VLOOKUP(B327,input_449100!L:R,7,FALSE),VLOOKUP(tables_449100!C327,input_449100!A:H,8,FALSE))</f>
        <v>27550</v>
      </c>
      <c r="P327" s="46">
        <f t="shared" ca="1" si="35"/>
        <v>5.1630434782608692E-4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input_449100!A$2</f>
        <v>449100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IFERROR(VLOOKUP(B328,input_449100!L:R,7,FALSE),VLOOKUP(tables_449100!C328,input_449100!A:H,8,FALSE))</f>
        <v>9200</v>
      </c>
      <c r="P328" s="46">
        <f t="shared" ca="1" si="35"/>
        <v>1.7241379310344826E-4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input_449100!A$2</f>
        <v>449100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IFERROR(VLOOKUP(B329,input_449100!L:R,7,FALSE),VLOOKUP(tables_449100!C329,input_449100!A:H,8,FALSE))</f>
        <v>9200</v>
      </c>
      <c r="P329" s="46">
        <f t="shared" ca="1" si="35"/>
        <v>1.7241379310344826E-4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input_449100!A$2</f>
        <v>449100</v>
      </c>
      <c r="B330" s="2">
        <v>1157</v>
      </c>
      <c r="C330" s="7" t="str">
        <f t="shared" si="34"/>
        <v>PremiumSS5R5only</v>
      </c>
      <c r="D330" s="98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IFERROR(VLOOKUP(B330,input_449100!L:R,7,FALSE),VLOOKUP(tables_449100!C330,input_449100!A:H,8,FALSE))</f>
        <v>9200</v>
      </c>
      <c r="P330" s="46">
        <f t="shared" ca="1" si="35"/>
        <v>1.7241379310344826E-4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input_449100!A$2</f>
        <v>449100</v>
      </c>
      <c r="B331" s="60">
        <v>1214</v>
      </c>
      <c r="C331" s="7" t="str">
        <f t="shared" ref="C331:C335" si="36">D331&amp;J331&amp;E331&amp;F331&amp;G331</f>
        <v>PremiumSS5R5only</v>
      </c>
      <c r="D331" s="98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IFERROR(VLOOKUP(B331,input_449100!L:R,7,FALSE),VLOOKUP(tables_449100!C331,input_449100!A:H,8,FALSE))</f>
        <v>9200</v>
      </c>
      <c r="P331" s="46">
        <f t="shared" ref="P331:P335" ca="1" si="38">O331/SUM(O:O)</f>
        <v>1.7241379310344826E-4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input_449100!A$2</f>
        <v>449100</v>
      </c>
      <c r="B332" s="60">
        <v>1212</v>
      </c>
      <c r="C332" s="7" t="str">
        <f t="shared" si="36"/>
        <v>PremiumSS5R5only</v>
      </c>
      <c r="D332" s="98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IFERROR(VLOOKUP(B332,input_449100!L:R,7,FALSE),VLOOKUP(tables_449100!C332,input_449100!A:H,8,FALSE))</f>
        <v>9200</v>
      </c>
      <c r="P332" s="46">
        <f t="shared" ca="1" si="38"/>
        <v>1.7241379310344826E-4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input_449100!A$2</f>
        <v>449100</v>
      </c>
      <c r="B333" s="60">
        <v>1208</v>
      </c>
      <c r="C333" s="7" t="str">
        <f t="shared" si="36"/>
        <v>PremiumSS5R5only</v>
      </c>
      <c r="D333" s="98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IFERROR(VLOOKUP(B333,input_449100!L:R,7,FALSE),VLOOKUP(tables_449100!C333,input_449100!A:H,8,FALSE))</f>
        <v>9200</v>
      </c>
      <c r="P333" s="46">
        <f t="shared" ca="1" si="38"/>
        <v>1.7241379310344826E-4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input_449100!A$2</f>
        <v>449100</v>
      </c>
      <c r="B334" s="93">
        <v>1210</v>
      </c>
      <c r="C334" s="7" t="str">
        <f t="shared" si="36"/>
        <v>Premium4R3less</v>
      </c>
      <c r="D334" s="98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IFERROR(VLOOKUP(B334,input_449100!L:R,7,FALSE),VLOOKUP(tables_449100!C334,input_449100!A:H,8,FALSE))</f>
        <v>513118.75</v>
      </c>
      <c r="P334" s="46">
        <f t="shared" ca="1" si="38"/>
        <v>9.6161684782608697E-3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input_449100!A$2</f>
        <v>449100</v>
      </c>
      <c r="B335" s="60">
        <v>1211</v>
      </c>
      <c r="C335" s="7" t="str">
        <f t="shared" si="36"/>
        <v>Premium5R3less</v>
      </c>
      <c r="D335" s="98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IFERROR(VLOOKUP(B335,input_449100!L:R,7,FALSE),VLOOKUP(tables_449100!C335,input_449100!A:H,8,FALSE))</f>
        <v>27550</v>
      </c>
      <c r="P335" s="46">
        <f t="shared" ca="1" si="38"/>
        <v>5.1630434782608692E-4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33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C8" sqref="C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449105</v>
      </c>
      <c r="B2" s="60">
        <v>744</v>
      </c>
      <c r="C2" s="7" t="str">
        <f t="shared" ref="C2:C4" si="0">D2&amp;J2&amp;E2&amp;F2&amp;G2</f>
        <v>PremiumSS5R5only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ヘルメス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green</v>
      </c>
      <c r="L2" s="7" t="str">
        <f>VLOOKUP(B2,[1]characters!$A:$K,11,FALSE)</f>
        <v>technical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v>20</v>
      </c>
      <c r="P2" s="46">
        <f>O2/SUM(O:O)</f>
        <v>0.5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449105</v>
      </c>
      <c r="B3" s="60">
        <v>674</v>
      </c>
      <c r="C3" s="7" t="str">
        <f t="shared" si="0"/>
        <v>PremiumSS4</v>
      </c>
      <c r="D3" s="7" t="str">
        <f t="shared" ref="D3:D4" si="1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サラスヴァティ</v>
      </c>
      <c r="I3" s="7" t="str">
        <f>VLOOKUP(B3,[1]characters!$A:$J,10,FALSE)</f>
        <v>PremiumSS</v>
      </c>
      <c r="J3" s="7">
        <f>VLOOKUP(B3,[1]characters!$A:$I,9,FALSE)</f>
        <v>4</v>
      </c>
      <c r="K3" s="7" t="str">
        <f>VLOOKUP(B3,[1]characters!$A:$H,8,FALSE)</f>
        <v>blue</v>
      </c>
      <c r="L3" s="7" t="str">
        <f>VLOOKUP(B3,[1]characters!$A:$K,11,FALSE)</f>
        <v>balance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v>18</v>
      </c>
      <c r="P3" s="46">
        <f>O3/SUM(O:O)</f>
        <v>0.45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449105</v>
      </c>
      <c r="B4" s="60">
        <v>675</v>
      </c>
      <c r="C4" s="7" t="str">
        <f t="shared" si="0"/>
        <v>PremiumSS5</v>
      </c>
      <c r="D4" s="7" t="str">
        <f t="shared" si="1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芸楽の奔流 サラスヴァティ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v>2</v>
      </c>
      <c r="P4" s="46">
        <f>O4/SUM(O:O)</f>
        <v>0.05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86"/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100"/>
      <c r="P5" s="101"/>
      <c r="Q5" s="102"/>
      <c r="R5" s="102"/>
      <c r="S5" s="102"/>
      <c r="T5" s="102"/>
      <c r="U5" s="102"/>
      <c r="V5" s="102"/>
    </row>
    <row r="6" spans="1:22" ht="21" customHeight="1" x14ac:dyDescent="0.15">
      <c r="A6" s="86"/>
      <c r="B6" s="86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100"/>
      <c r="P6" s="101"/>
      <c r="Q6" s="102"/>
      <c r="R6" s="102"/>
      <c r="S6" s="102"/>
      <c r="T6" s="102"/>
      <c r="U6" s="102"/>
      <c r="V6" s="102"/>
    </row>
    <row r="7" spans="1:22" ht="21" customHeight="1" x14ac:dyDescent="0.15">
      <c r="A7" s="86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100"/>
      <c r="P7" s="101"/>
      <c r="Q7" s="102"/>
      <c r="R7" s="102"/>
      <c r="S7" s="102"/>
      <c r="T7" s="102"/>
      <c r="U7" s="102"/>
      <c r="V7" s="102"/>
    </row>
    <row r="8" spans="1:22" ht="21" customHeight="1" x14ac:dyDescent="0.15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100"/>
      <c r="P8" s="101"/>
      <c r="Q8" s="102"/>
      <c r="R8" s="102"/>
      <c r="S8" s="102"/>
      <c r="T8" s="102"/>
      <c r="U8" s="102"/>
      <c r="V8" s="102"/>
    </row>
    <row r="9" spans="1:22" ht="21" customHeight="1" x14ac:dyDescent="0.15">
      <c r="A9" s="86"/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100"/>
      <c r="P9" s="101"/>
      <c r="Q9" s="102"/>
      <c r="R9" s="102"/>
      <c r="S9" s="102"/>
      <c r="T9" s="102"/>
      <c r="U9" s="102"/>
      <c r="V9" s="102"/>
    </row>
    <row r="10" spans="1:22" ht="21" customHeight="1" x14ac:dyDescent="0.15">
      <c r="A10" s="86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100"/>
      <c r="P10" s="101"/>
      <c r="Q10" s="102"/>
      <c r="R10" s="102"/>
      <c r="S10" s="102"/>
      <c r="T10" s="102"/>
      <c r="U10" s="102"/>
      <c r="V10" s="102"/>
    </row>
    <row r="11" spans="1:22" ht="21" customHeight="1" x14ac:dyDescent="0.15">
      <c r="A11" s="86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100"/>
      <c r="P11" s="101"/>
      <c r="Q11" s="102"/>
      <c r="R11" s="102"/>
      <c r="S11" s="102"/>
      <c r="T11" s="102"/>
      <c r="U11" s="102"/>
      <c r="V11" s="102"/>
    </row>
    <row r="12" spans="1:22" ht="21" customHeight="1" x14ac:dyDescent="0.15">
      <c r="A12" s="86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100"/>
      <c r="P12" s="101"/>
      <c r="Q12" s="102"/>
      <c r="R12" s="102"/>
      <c r="S12" s="102"/>
      <c r="T12" s="102"/>
      <c r="U12" s="102"/>
      <c r="V12" s="102"/>
    </row>
    <row r="13" spans="1:22" ht="21" customHeight="1" x14ac:dyDescent="0.15">
      <c r="A13" s="86"/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100"/>
      <c r="P13" s="101"/>
      <c r="Q13" s="102"/>
      <c r="R13" s="102"/>
      <c r="S13" s="102"/>
      <c r="T13" s="102"/>
      <c r="U13" s="102"/>
      <c r="V13" s="102"/>
    </row>
    <row r="14" spans="1:22" ht="21" customHeight="1" x14ac:dyDescent="0.15">
      <c r="A14" s="86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100"/>
      <c r="P14" s="101"/>
      <c r="Q14" s="102"/>
      <c r="R14" s="102"/>
      <c r="S14" s="102"/>
      <c r="T14" s="102"/>
      <c r="U14" s="102"/>
      <c r="V14" s="102"/>
    </row>
    <row r="15" spans="1:22" ht="21" customHeight="1" x14ac:dyDescent="0.15">
      <c r="A15" s="86"/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100"/>
      <c r="P15" s="101"/>
      <c r="Q15" s="102"/>
      <c r="R15" s="102"/>
      <c r="S15" s="102"/>
      <c r="T15" s="102"/>
      <c r="U15" s="102"/>
      <c r="V15" s="102"/>
    </row>
    <row r="16" spans="1:22" ht="21" customHeight="1" x14ac:dyDescent="0.15">
      <c r="A16" s="86"/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100"/>
      <c r="P16" s="101"/>
      <c r="Q16" s="102"/>
      <c r="R16" s="102"/>
      <c r="S16" s="102"/>
      <c r="T16" s="102"/>
      <c r="U16" s="102"/>
      <c r="V16" s="102"/>
    </row>
    <row r="17" spans="1:22" ht="21" customHeight="1" x14ac:dyDescent="0.15">
      <c r="A17" s="86"/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100"/>
      <c r="P17" s="101"/>
      <c r="Q17" s="102"/>
      <c r="R17" s="102"/>
      <c r="S17" s="102"/>
      <c r="T17" s="102"/>
      <c r="U17" s="102"/>
      <c r="V17" s="102"/>
    </row>
    <row r="18" spans="1:22" ht="21" customHeight="1" x14ac:dyDescent="0.15">
      <c r="A18" s="86"/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100"/>
      <c r="P18" s="101"/>
      <c r="Q18" s="102"/>
      <c r="R18" s="102"/>
      <c r="S18" s="102"/>
      <c r="T18" s="102"/>
      <c r="U18" s="102"/>
      <c r="V18" s="102"/>
    </row>
    <row r="19" spans="1:22" ht="21" customHeight="1" x14ac:dyDescent="0.15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100"/>
      <c r="P19" s="101"/>
      <c r="Q19" s="102"/>
      <c r="R19" s="102"/>
      <c r="S19" s="102"/>
      <c r="T19" s="102"/>
      <c r="U19" s="102"/>
      <c r="V19" s="102"/>
    </row>
    <row r="20" spans="1:22" ht="21" customHeight="1" x14ac:dyDescent="0.15">
      <c r="A20" s="86"/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100"/>
      <c r="P20" s="101"/>
      <c r="Q20" s="102"/>
      <c r="R20" s="102"/>
      <c r="S20" s="102"/>
      <c r="T20" s="102"/>
      <c r="U20" s="102"/>
      <c r="V20" s="102"/>
    </row>
    <row r="21" spans="1:22" ht="21" customHeight="1" x14ac:dyDescent="0.15">
      <c r="A21" s="86"/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100"/>
      <c r="P21" s="101"/>
      <c r="Q21" s="102"/>
      <c r="R21" s="102"/>
      <c r="S21" s="102"/>
      <c r="T21" s="102"/>
      <c r="U21" s="102"/>
      <c r="V21" s="102"/>
    </row>
    <row r="22" spans="1:22" ht="21" customHeight="1" x14ac:dyDescent="0.15">
      <c r="A22" s="86"/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100"/>
      <c r="P22" s="101"/>
      <c r="Q22" s="102"/>
      <c r="R22" s="102"/>
      <c r="S22" s="102"/>
      <c r="T22" s="102"/>
      <c r="U22" s="102"/>
      <c r="V22" s="102"/>
    </row>
    <row r="23" spans="1:22" ht="21" customHeight="1" x14ac:dyDescent="0.15">
      <c r="A23" s="86"/>
      <c r="B23" s="86"/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100"/>
      <c r="P23" s="101"/>
      <c r="Q23" s="102"/>
      <c r="R23" s="102"/>
      <c r="S23" s="102"/>
      <c r="T23" s="102"/>
      <c r="U23" s="102"/>
      <c r="V23" s="102"/>
    </row>
    <row r="24" spans="1:22" ht="21" customHeight="1" x14ac:dyDescent="0.15">
      <c r="A24" s="86"/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100"/>
      <c r="P24" s="101"/>
      <c r="Q24" s="102"/>
      <c r="R24" s="102"/>
      <c r="S24" s="102"/>
      <c r="T24" s="102"/>
      <c r="U24" s="102"/>
      <c r="V24" s="102"/>
    </row>
    <row r="25" spans="1:22" ht="21" customHeight="1" x14ac:dyDescent="0.15">
      <c r="A25" s="86"/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100"/>
      <c r="P25" s="101"/>
      <c r="Q25" s="102"/>
      <c r="R25" s="102"/>
      <c r="S25" s="102"/>
      <c r="T25" s="102"/>
      <c r="U25" s="102"/>
      <c r="V25" s="102"/>
    </row>
    <row r="26" spans="1:22" ht="21" customHeight="1" x14ac:dyDescent="0.15">
      <c r="A26" s="86"/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100"/>
      <c r="P26" s="101"/>
      <c r="Q26" s="102"/>
      <c r="R26" s="102"/>
      <c r="S26" s="102"/>
      <c r="T26" s="102"/>
      <c r="U26" s="102"/>
      <c r="V26" s="102"/>
    </row>
    <row r="27" spans="1:22" ht="21" customHeight="1" x14ac:dyDescent="0.15">
      <c r="A27" s="86"/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100"/>
      <c r="P27" s="101"/>
      <c r="Q27" s="102"/>
      <c r="R27" s="102"/>
      <c r="S27" s="102"/>
      <c r="T27" s="102"/>
      <c r="U27" s="102"/>
      <c r="V27" s="102"/>
    </row>
    <row r="28" spans="1:22" ht="21" customHeight="1" x14ac:dyDescent="0.15">
      <c r="A28" s="86"/>
      <c r="B28" s="86"/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100"/>
      <c r="P28" s="101"/>
      <c r="Q28" s="102"/>
      <c r="R28" s="102"/>
      <c r="S28" s="102"/>
      <c r="T28" s="102"/>
      <c r="U28" s="102"/>
      <c r="V28" s="102"/>
    </row>
    <row r="29" spans="1:22" ht="21" customHeight="1" x14ac:dyDescent="0.15">
      <c r="A29" s="86"/>
      <c r="B29" s="86"/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100"/>
      <c r="P29" s="101"/>
      <c r="Q29" s="102"/>
      <c r="R29" s="102"/>
      <c r="S29" s="102"/>
      <c r="T29" s="102"/>
      <c r="U29" s="102"/>
      <c r="V29" s="102"/>
    </row>
    <row r="30" spans="1:22" ht="21" customHeight="1" x14ac:dyDescent="0.15">
      <c r="A30" s="86"/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100"/>
      <c r="P30" s="101"/>
      <c r="Q30" s="102"/>
      <c r="R30" s="102"/>
      <c r="S30" s="102"/>
      <c r="T30" s="102"/>
      <c r="U30" s="102"/>
      <c r="V30" s="102"/>
    </row>
    <row r="31" spans="1:22" ht="21" customHeight="1" x14ac:dyDescent="0.15">
      <c r="A31" s="86"/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100"/>
      <c r="P31" s="101"/>
      <c r="Q31" s="102"/>
      <c r="R31" s="102"/>
      <c r="S31" s="102"/>
      <c r="T31" s="102"/>
      <c r="U31" s="102"/>
      <c r="V31" s="102"/>
    </row>
    <row r="32" spans="1:22" ht="21" customHeight="1" x14ac:dyDescent="0.15">
      <c r="A32" s="86"/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100"/>
      <c r="P32" s="101"/>
      <c r="Q32" s="102"/>
      <c r="R32" s="102"/>
      <c r="S32" s="102"/>
      <c r="T32" s="102"/>
      <c r="U32" s="102"/>
      <c r="V32" s="102"/>
    </row>
    <row r="33" spans="1:22" ht="21" customHeight="1" x14ac:dyDescent="0.15">
      <c r="A33" s="86"/>
      <c r="B33" s="86"/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100"/>
      <c r="P33" s="101"/>
      <c r="Q33" s="102"/>
      <c r="R33" s="102"/>
      <c r="S33" s="102"/>
      <c r="T33" s="102"/>
      <c r="U33" s="102"/>
      <c r="V33" s="102"/>
    </row>
    <row r="34" spans="1:22" ht="21" customHeight="1" x14ac:dyDescent="0.15">
      <c r="A34" s="86"/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100"/>
      <c r="P34" s="101"/>
      <c r="Q34" s="102"/>
      <c r="R34" s="102"/>
      <c r="S34" s="102"/>
      <c r="T34" s="102"/>
      <c r="U34" s="102"/>
      <c r="V34" s="102"/>
    </row>
    <row r="35" spans="1:22" ht="21" customHeight="1" x14ac:dyDescent="0.15">
      <c r="A35" s="86"/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100"/>
      <c r="P35" s="101"/>
      <c r="Q35" s="102"/>
      <c r="R35" s="102"/>
      <c r="S35" s="102"/>
      <c r="T35" s="102"/>
      <c r="U35" s="102"/>
      <c r="V35" s="102"/>
    </row>
    <row r="36" spans="1:22" ht="21" customHeight="1" x14ac:dyDescent="0.15">
      <c r="A36" s="86"/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100"/>
      <c r="P36" s="101"/>
      <c r="Q36" s="102"/>
      <c r="R36" s="102"/>
      <c r="S36" s="102"/>
      <c r="T36" s="102"/>
      <c r="U36" s="102"/>
      <c r="V36" s="102"/>
    </row>
    <row r="37" spans="1:22" ht="21" customHeight="1" x14ac:dyDescent="0.15">
      <c r="A37" s="86"/>
      <c r="B37" s="86"/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100"/>
      <c r="P37" s="101"/>
      <c r="Q37" s="102"/>
      <c r="R37" s="102"/>
      <c r="S37" s="102"/>
      <c r="T37" s="102"/>
      <c r="U37" s="102"/>
      <c r="V37" s="102"/>
    </row>
    <row r="38" spans="1:22" ht="21" customHeight="1" x14ac:dyDescent="0.15">
      <c r="A38" s="86"/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100"/>
      <c r="P38" s="101"/>
      <c r="Q38" s="102"/>
      <c r="R38" s="102"/>
      <c r="S38" s="102"/>
      <c r="T38" s="102"/>
      <c r="U38" s="102"/>
      <c r="V38" s="102"/>
    </row>
    <row r="39" spans="1:22" ht="21" customHeight="1" x14ac:dyDescent="0.15">
      <c r="A39" s="86"/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100"/>
      <c r="P39" s="101"/>
      <c r="Q39" s="102"/>
      <c r="R39" s="102"/>
      <c r="S39" s="102"/>
      <c r="T39" s="102"/>
      <c r="U39" s="102"/>
      <c r="V39" s="102"/>
    </row>
    <row r="40" spans="1:22" ht="21" customHeight="1" x14ac:dyDescent="0.15">
      <c r="A40" s="86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100"/>
      <c r="P40" s="101"/>
      <c r="Q40" s="102"/>
      <c r="R40" s="102"/>
      <c r="S40" s="102"/>
      <c r="T40" s="102"/>
      <c r="U40" s="102"/>
      <c r="V40" s="102"/>
    </row>
    <row r="41" spans="1:22" ht="21" customHeight="1" x14ac:dyDescent="0.15">
      <c r="A41" s="86"/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100"/>
      <c r="P41" s="101"/>
      <c r="Q41" s="102"/>
      <c r="R41" s="102"/>
      <c r="S41" s="102"/>
      <c r="T41" s="102"/>
      <c r="U41" s="102"/>
      <c r="V41" s="102"/>
    </row>
    <row r="42" spans="1:22" ht="21" customHeight="1" x14ac:dyDescent="0.15">
      <c r="A42" s="86"/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100"/>
      <c r="P42" s="101"/>
      <c r="Q42" s="102"/>
      <c r="R42" s="102"/>
      <c r="S42" s="102"/>
      <c r="T42" s="102"/>
      <c r="U42" s="102"/>
      <c r="V42" s="102"/>
    </row>
    <row r="43" spans="1:22" ht="21" customHeight="1" x14ac:dyDescent="0.15">
      <c r="A43" s="86"/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100"/>
      <c r="P43" s="101"/>
      <c r="Q43" s="102"/>
      <c r="R43" s="102"/>
      <c r="S43" s="102"/>
      <c r="T43" s="102"/>
      <c r="U43" s="102"/>
      <c r="V43" s="102"/>
    </row>
    <row r="44" spans="1:22" ht="21" customHeight="1" x14ac:dyDescent="0.15">
      <c r="A44" s="86"/>
      <c r="B44" s="86"/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100"/>
      <c r="P44" s="101"/>
      <c r="Q44" s="102"/>
      <c r="R44" s="102"/>
      <c r="S44" s="102"/>
      <c r="T44" s="102"/>
      <c r="U44" s="102"/>
      <c r="V44" s="102"/>
    </row>
    <row r="45" spans="1:22" ht="21" customHeight="1" x14ac:dyDescent="0.15">
      <c r="A45" s="86"/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100"/>
      <c r="P45" s="101"/>
      <c r="Q45" s="102"/>
      <c r="R45" s="102"/>
      <c r="S45" s="102"/>
      <c r="T45" s="102"/>
      <c r="U45" s="102"/>
      <c r="V45" s="102"/>
    </row>
    <row r="46" spans="1:22" ht="21" customHeight="1" x14ac:dyDescent="0.15">
      <c r="A46" s="86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100"/>
      <c r="P46" s="101"/>
      <c r="Q46" s="102"/>
      <c r="R46" s="102"/>
      <c r="S46" s="102"/>
      <c r="T46" s="102"/>
      <c r="U46" s="102"/>
      <c r="V46" s="102"/>
    </row>
    <row r="47" spans="1:22" ht="21" customHeight="1" x14ac:dyDescent="0.15">
      <c r="A47" s="86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100"/>
      <c r="P47" s="101"/>
      <c r="Q47" s="102"/>
      <c r="R47" s="102"/>
      <c r="S47" s="102"/>
      <c r="T47" s="102"/>
      <c r="U47" s="102"/>
      <c r="V47" s="102"/>
    </row>
    <row r="48" spans="1:22" ht="21" customHeight="1" x14ac:dyDescent="0.15">
      <c r="A48" s="86"/>
      <c r="B48" s="86"/>
      <c r="C48" s="86"/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100"/>
      <c r="P48" s="101"/>
      <c r="Q48" s="102"/>
      <c r="R48" s="102"/>
      <c r="S48" s="102"/>
      <c r="T48" s="102"/>
      <c r="U48" s="102"/>
      <c r="V48" s="102"/>
    </row>
    <row r="49" spans="1:22" ht="21" customHeight="1" x14ac:dyDescent="0.15">
      <c r="A49" s="86"/>
      <c r="B49" s="86"/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100"/>
      <c r="P49" s="101"/>
      <c r="Q49" s="102"/>
      <c r="R49" s="102"/>
      <c r="S49" s="102"/>
      <c r="T49" s="102"/>
      <c r="U49" s="102"/>
      <c r="V49" s="102"/>
    </row>
    <row r="50" spans="1:22" ht="21" customHeight="1" x14ac:dyDescent="0.15">
      <c r="A50" s="86"/>
      <c r="B50" s="86"/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100"/>
      <c r="P50" s="101"/>
      <c r="Q50" s="102"/>
      <c r="R50" s="102"/>
      <c r="S50" s="102"/>
      <c r="T50" s="102"/>
      <c r="U50" s="102"/>
      <c r="V50" s="102"/>
    </row>
    <row r="51" spans="1:22" ht="21" customHeight="1" x14ac:dyDescent="0.15">
      <c r="A51" s="86"/>
      <c r="B51" s="86"/>
      <c r="C51" s="86"/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100"/>
      <c r="P51" s="101"/>
      <c r="Q51" s="102"/>
      <c r="R51" s="102"/>
      <c r="S51" s="102"/>
      <c r="T51" s="102"/>
      <c r="U51" s="102"/>
      <c r="V51" s="102"/>
    </row>
    <row r="52" spans="1:22" ht="21" customHeight="1" x14ac:dyDescent="0.15">
      <c r="A52" s="86"/>
      <c r="B52" s="86"/>
      <c r="C52" s="86"/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100"/>
      <c r="P52" s="101"/>
      <c r="Q52" s="102"/>
      <c r="R52" s="102"/>
      <c r="S52" s="102"/>
      <c r="T52" s="102"/>
      <c r="U52" s="102"/>
      <c r="V52" s="102"/>
    </row>
    <row r="53" spans="1:22" ht="21" customHeight="1" x14ac:dyDescent="0.15">
      <c r="A53" s="86"/>
      <c r="B53" s="86"/>
      <c r="C53" s="86"/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100"/>
      <c r="P53" s="101"/>
      <c r="Q53" s="102"/>
      <c r="R53" s="102"/>
      <c r="S53" s="102"/>
      <c r="T53" s="102"/>
      <c r="U53" s="102"/>
      <c r="V53" s="102"/>
    </row>
    <row r="54" spans="1:22" ht="21" customHeight="1" x14ac:dyDescent="0.15">
      <c r="A54" s="86"/>
      <c r="B54" s="86"/>
      <c r="C54" s="86"/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100"/>
      <c r="P54" s="101"/>
      <c r="Q54" s="102"/>
      <c r="R54" s="102"/>
      <c r="S54" s="102"/>
      <c r="T54" s="102"/>
      <c r="U54" s="102"/>
      <c r="V54" s="102"/>
    </row>
    <row r="55" spans="1:22" ht="21" customHeight="1" x14ac:dyDescent="0.15">
      <c r="A55" s="86"/>
      <c r="B55" s="86"/>
      <c r="C55" s="86"/>
      <c r="D55" s="86"/>
      <c r="E55" s="86"/>
      <c r="F55" s="86"/>
      <c r="G55" s="86"/>
      <c r="H55" s="86"/>
      <c r="I55" s="86"/>
      <c r="J55" s="86"/>
      <c r="K55" s="86"/>
      <c r="L55" s="86"/>
      <c r="M55" s="86"/>
      <c r="N55" s="86"/>
      <c r="O55" s="100"/>
      <c r="P55" s="101"/>
      <c r="Q55" s="102"/>
      <c r="R55" s="102"/>
      <c r="S55" s="102"/>
      <c r="T55" s="102"/>
      <c r="U55" s="102"/>
      <c r="V55" s="102"/>
    </row>
    <row r="56" spans="1:22" ht="21" customHeight="1" x14ac:dyDescent="0.15">
      <c r="A56" s="86"/>
      <c r="B56" s="86"/>
      <c r="C56" s="86"/>
      <c r="D56" s="86"/>
      <c r="E56" s="86"/>
      <c r="F56" s="86"/>
      <c r="G56" s="86"/>
      <c r="H56" s="86"/>
      <c r="I56" s="86"/>
      <c r="J56" s="86"/>
      <c r="K56" s="86"/>
      <c r="L56" s="86"/>
      <c r="M56" s="86"/>
      <c r="N56" s="86"/>
      <c r="O56" s="100"/>
      <c r="P56" s="101"/>
      <c r="Q56" s="102"/>
      <c r="R56" s="102"/>
      <c r="S56" s="102"/>
      <c r="T56" s="102"/>
      <c r="U56" s="102"/>
      <c r="V56" s="102"/>
    </row>
    <row r="57" spans="1:22" ht="21" customHeight="1" x14ac:dyDescent="0.15">
      <c r="A57" s="86"/>
      <c r="B57" s="86"/>
      <c r="C57" s="86"/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100"/>
      <c r="P57" s="101"/>
      <c r="Q57" s="102"/>
      <c r="R57" s="102"/>
      <c r="S57" s="102"/>
      <c r="T57" s="102"/>
      <c r="U57" s="102"/>
      <c r="V57" s="102"/>
    </row>
    <row r="58" spans="1:22" ht="21" customHeight="1" x14ac:dyDescent="0.15">
      <c r="A58" s="86"/>
      <c r="B58" s="86"/>
      <c r="C58" s="86"/>
      <c r="D58" s="86"/>
      <c r="E58" s="86"/>
      <c r="F58" s="86"/>
      <c r="G58" s="86"/>
      <c r="H58" s="86"/>
      <c r="I58" s="86"/>
      <c r="J58" s="86"/>
      <c r="K58" s="86"/>
      <c r="L58" s="86"/>
      <c r="M58" s="86"/>
      <c r="N58" s="86"/>
      <c r="O58" s="100"/>
      <c r="P58" s="101"/>
      <c r="Q58" s="102"/>
      <c r="R58" s="102"/>
      <c r="S58" s="102"/>
      <c r="T58" s="102"/>
      <c r="U58" s="102"/>
      <c r="V58" s="102"/>
    </row>
    <row r="59" spans="1:22" ht="21" customHeight="1" x14ac:dyDescent="0.15">
      <c r="A59" s="86"/>
      <c r="B59" s="86"/>
      <c r="C59" s="86"/>
      <c r="D59" s="86"/>
      <c r="E59" s="86"/>
      <c r="F59" s="86"/>
      <c r="G59" s="86"/>
      <c r="H59" s="86"/>
      <c r="I59" s="86"/>
      <c r="J59" s="86"/>
      <c r="K59" s="86"/>
      <c r="L59" s="86"/>
      <c r="M59" s="86"/>
      <c r="N59" s="86"/>
      <c r="O59" s="100"/>
      <c r="P59" s="101"/>
      <c r="Q59" s="102"/>
      <c r="R59" s="102"/>
      <c r="S59" s="102"/>
      <c r="T59" s="102"/>
      <c r="U59" s="102"/>
      <c r="V59" s="102"/>
    </row>
    <row r="60" spans="1:22" ht="21" customHeight="1" x14ac:dyDescent="0.15">
      <c r="A60" s="86"/>
      <c r="B60" s="86"/>
      <c r="C60" s="86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100"/>
      <c r="P60" s="101"/>
      <c r="Q60" s="102"/>
      <c r="R60" s="102"/>
      <c r="S60" s="102"/>
      <c r="T60" s="102"/>
      <c r="U60" s="102"/>
      <c r="V60" s="102"/>
    </row>
    <row r="61" spans="1:22" ht="21" customHeight="1" x14ac:dyDescent="0.15">
      <c r="A61" s="86"/>
      <c r="B61" s="86"/>
      <c r="C61" s="86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6"/>
      <c r="O61" s="100"/>
      <c r="P61" s="101"/>
      <c r="Q61" s="102"/>
      <c r="R61" s="102"/>
      <c r="S61" s="102"/>
      <c r="T61" s="102"/>
      <c r="U61" s="102"/>
      <c r="V61" s="102"/>
    </row>
    <row r="62" spans="1:22" ht="21" customHeight="1" x14ac:dyDescent="0.15">
      <c r="A62" s="86"/>
      <c r="B62" s="86"/>
      <c r="C62" s="86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100"/>
      <c r="P62" s="101"/>
      <c r="Q62" s="102"/>
      <c r="R62" s="102"/>
      <c r="S62" s="102"/>
      <c r="T62" s="102"/>
      <c r="U62" s="102"/>
      <c r="V62" s="102"/>
    </row>
    <row r="63" spans="1:22" ht="21" customHeight="1" x14ac:dyDescent="0.15">
      <c r="A63" s="86"/>
      <c r="B63" s="86"/>
      <c r="C63" s="86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100"/>
      <c r="P63" s="101"/>
      <c r="Q63" s="102"/>
      <c r="R63" s="102"/>
      <c r="S63" s="102"/>
      <c r="T63" s="102"/>
      <c r="U63" s="102"/>
      <c r="V63" s="102"/>
    </row>
    <row r="64" spans="1:22" ht="21" customHeight="1" x14ac:dyDescent="0.15">
      <c r="A64" s="86"/>
      <c r="B64" s="86"/>
      <c r="C64" s="86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100"/>
      <c r="P64" s="101"/>
      <c r="Q64" s="102"/>
      <c r="R64" s="102"/>
      <c r="S64" s="102"/>
      <c r="T64" s="102"/>
      <c r="U64" s="102"/>
      <c r="V64" s="102"/>
    </row>
    <row r="65" spans="1:22" ht="21" customHeight="1" x14ac:dyDescent="0.15">
      <c r="A65" s="86"/>
      <c r="B65" s="86"/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100"/>
      <c r="P65" s="101"/>
      <c r="Q65" s="102"/>
      <c r="R65" s="102"/>
      <c r="S65" s="102"/>
      <c r="T65" s="102"/>
      <c r="U65" s="102"/>
      <c r="V65" s="102"/>
    </row>
    <row r="66" spans="1:22" ht="21" customHeight="1" x14ac:dyDescent="0.15">
      <c r="A66" s="86"/>
      <c r="B66" s="86"/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100"/>
      <c r="P66" s="101"/>
      <c r="Q66" s="102"/>
      <c r="R66" s="102"/>
      <c r="S66" s="102"/>
      <c r="T66" s="102"/>
      <c r="U66" s="102"/>
      <c r="V66" s="102"/>
    </row>
    <row r="67" spans="1:22" ht="21" customHeight="1" x14ac:dyDescent="0.15">
      <c r="A67" s="86"/>
      <c r="B67" s="86"/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100"/>
      <c r="P67" s="101"/>
      <c r="Q67" s="102"/>
      <c r="R67" s="102"/>
      <c r="S67" s="102"/>
      <c r="T67" s="102"/>
      <c r="U67" s="102"/>
      <c r="V67" s="102"/>
    </row>
    <row r="68" spans="1:22" ht="21" customHeight="1" x14ac:dyDescent="0.15">
      <c r="A68" s="86"/>
      <c r="B68" s="86"/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100"/>
      <c r="P68" s="101"/>
      <c r="Q68" s="102"/>
      <c r="R68" s="102"/>
      <c r="S68" s="102"/>
      <c r="T68" s="102"/>
      <c r="U68" s="102"/>
      <c r="V68" s="102"/>
    </row>
    <row r="69" spans="1:22" ht="21" customHeight="1" x14ac:dyDescent="0.15">
      <c r="A69" s="86"/>
      <c r="B69" s="86"/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100"/>
      <c r="P69" s="101"/>
      <c r="Q69" s="102"/>
      <c r="R69" s="102"/>
      <c r="S69" s="102"/>
      <c r="T69" s="102"/>
      <c r="U69" s="102"/>
      <c r="V69" s="102"/>
    </row>
    <row r="70" spans="1:22" ht="21" customHeight="1" x14ac:dyDescent="0.15">
      <c r="A70" s="86"/>
      <c r="B70" s="86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100"/>
      <c r="P70" s="101"/>
      <c r="Q70" s="102"/>
      <c r="R70" s="102"/>
      <c r="S70" s="102"/>
      <c r="T70" s="102"/>
      <c r="U70" s="102"/>
      <c r="V70" s="102"/>
    </row>
    <row r="71" spans="1:22" ht="21" customHeight="1" x14ac:dyDescent="0.15">
      <c r="A71" s="86"/>
      <c r="B71" s="86"/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100"/>
      <c r="P71" s="101"/>
      <c r="Q71" s="102"/>
      <c r="R71" s="102"/>
      <c r="S71" s="102"/>
      <c r="T71" s="102"/>
      <c r="U71" s="102"/>
      <c r="V71" s="102"/>
    </row>
    <row r="72" spans="1:22" ht="21" customHeight="1" x14ac:dyDescent="0.15">
      <c r="A72" s="86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100"/>
      <c r="P72" s="101"/>
      <c r="Q72" s="102"/>
      <c r="R72" s="102"/>
      <c r="S72" s="102"/>
      <c r="T72" s="102"/>
      <c r="U72" s="102"/>
      <c r="V72" s="102"/>
    </row>
    <row r="73" spans="1:22" ht="21" customHeight="1" x14ac:dyDescent="0.15">
      <c r="A73" s="86"/>
      <c r="B73" s="86"/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100"/>
      <c r="P73" s="101"/>
      <c r="Q73" s="102"/>
      <c r="R73" s="102"/>
      <c r="S73" s="102"/>
      <c r="T73" s="102"/>
      <c r="U73" s="102"/>
      <c r="V73" s="102"/>
    </row>
    <row r="74" spans="1:22" ht="21" customHeight="1" x14ac:dyDescent="0.15">
      <c r="A74" s="86"/>
      <c r="B74" s="86"/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100"/>
      <c r="P74" s="101"/>
      <c r="Q74" s="102"/>
      <c r="R74" s="102"/>
      <c r="S74" s="102"/>
      <c r="T74" s="102"/>
      <c r="U74" s="102"/>
      <c r="V74" s="102"/>
    </row>
    <row r="75" spans="1:22" ht="21" customHeight="1" x14ac:dyDescent="0.15">
      <c r="A75" s="86"/>
      <c r="B75" s="86"/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100"/>
      <c r="P75" s="101"/>
      <c r="Q75" s="102"/>
      <c r="R75" s="102"/>
      <c r="S75" s="102"/>
      <c r="T75" s="102"/>
      <c r="U75" s="102"/>
      <c r="V75" s="102"/>
    </row>
    <row r="76" spans="1:22" ht="21" customHeight="1" x14ac:dyDescent="0.15">
      <c r="A76" s="86"/>
      <c r="B76" s="86"/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100"/>
      <c r="P76" s="101"/>
      <c r="Q76" s="102"/>
      <c r="R76" s="102"/>
      <c r="S76" s="102"/>
      <c r="T76" s="102"/>
      <c r="U76" s="102"/>
      <c r="V76" s="102"/>
    </row>
    <row r="77" spans="1:22" ht="21" customHeight="1" x14ac:dyDescent="0.15">
      <c r="A77" s="86"/>
      <c r="B77" s="86"/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100"/>
      <c r="P77" s="101"/>
      <c r="Q77" s="102"/>
      <c r="R77" s="102"/>
      <c r="S77" s="102"/>
      <c r="T77" s="102"/>
      <c r="U77" s="102"/>
      <c r="V77" s="102"/>
    </row>
    <row r="78" spans="1:22" ht="21" customHeight="1" x14ac:dyDescent="0.15">
      <c r="A78" s="86"/>
      <c r="B78" s="86"/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100"/>
      <c r="P78" s="101"/>
      <c r="Q78" s="102"/>
      <c r="R78" s="102"/>
      <c r="S78" s="102"/>
      <c r="T78" s="102"/>
      <c r="U78" s="102"/>
      <c r="V78" s="102"/>
    </row>
    <row r="79" spans="1:22" ht="21" customHeight="1" x14ac:dyDescent="0.15">
      <c r="A79" s="86"/>
      <c r="B79" s="86"/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100"/>
      <c r="P79" s="101"/>
      <c r="Q79" s="102"/>
      <c r="R79" s="102"/>
      <c r="S79" s="102"/>
      <c r="T79" s="102"/>
      <c r="U79" s="102"/>
      <c r="V79" s="102"/>
    </row>
    <row r="80" spans="1:22" ht="21" customHeight="1" x14ac:dyDescent="0.15">
      <c r="A80" s="86"/>
      <c r="B80" s="86"/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100"/>
      <c r="P80" s="101"/>
      <c r="Q80" s="102"/>
      <c r="R80" s="102"/>
      <c r="S80" s="102"/>
      <c r="T80" s="102"/>
      <c r="U80" s="102"/>
      <c r="V80" s="102"/>
    </row>
    <row r="81" spans="1:22" ht="21" customHeight="1" x14ac:dyDescent="0.15">
      <c r="A81" s="86"/>
      <c r="B81" s="86"/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100"/>
      <c r="P81" s="101"/>
      <c r="Q81" s="102"/>
      <c r="R81" s="102"/>
      <c r="S81" s="102"/>
      <c r="T81" s="102"/>
      <c r="U81" s="102"/>
      <c r="V81" s="102"/>
    </row>
    <row r="82" spans="1:22" ht="21" customHeight="1" x14ac:dyDescent="0.15">
      <c r="A82" s="86"/>
      <c r="B82" s="86"/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100"/>
      <c r="P82" s="101"/>
      <c r="Q82" s="102"/>
      <c r="R82" s="102"/>
      <c r="S82" s="102"/>
      <c r="T82" s="102"/>
      <c r="U82" s="102"/>
      <c r="V82" s="102"/>
    </row>
    <row r="83" spans="1:22" ht="21" customHeight="1" x14ac:dyDescent="0.15">
      <c r="A83" s="86"/>
      <c r="B83" s="86"/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100"/>
      <c r="P83" s="101"/>
      <c r="Q83" s="102"/>
      <c r="R83" s="102"/>
      <c r="S83" s="102"/>
      <c r="T83" s="102"/>
      <c r="U83" s="102"/>
      <c r="V83" s="102"/>
    </row>
    <row r="84" spans="1:22" ht="21" customHeight="1" x14ac:dyDescent="0.15">
      <c r="A84" s="86"/>
      <c r="B84" s="86"/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100"/>
      <c r="P84" s="101"/>
      <c r="Q84" s="102"/>
      <c r="R84" s="102"/>
      <c r="S84" s="102"/>
      <c r="T84" s="102"/>
      <c r="U84" s="102"/>
      <c r="V84" s="102"/>
    </row>
    <row r="85" spans="1:22" ht="21" customHeight="1" x14ac:dyDescent="0.15">
      <c r="A85" s="86"/>
      <c r="B85" s="86"/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100"/>
      <c r="P85" s="101"/>
      <c r="Q85" s="102"/>
      <c r="R85" s="102"/>
      <c r="S85" s="102"/>
      <c r="T85" s="102"/>
      <c r="U85" s="102"/>
      <c r="V85" s="102"/>
    </row>
    <row r="86" spans="1:22" ht="21" customHeight="1" x14ac:dyDescent="0.15">
      <c r="A86" s="86"/>
      <c r="B86" s="86"/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100"/>
      <c r="P86" s="101"/>
      <c r="Q86" s="102"/>
      <c r="R86" s="102"/>
      <c r="S86" s="102"/>
      <c r="T86" s="102"/>
      <c r="U86" s="102"/>
      <c r="V86" s="102"/>
    </row>
    <row r="87" spans="1:22" ht="21" customHeight="1" x14ac:dyDescent="0.15">
      <c r="A87" s="86"/>
      <c r="B87" s="86"/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100"/>
      <c r="P87" s="101"/>
      <c r="Q87" s="102"/>
      <c r="R87" s="102"/>
      <c r="S87" s="102"/>
      <c r="T87" s="102"/>
      <c r="U87" s="102"/>
      <c r="V87" s="102"/>
    </row>
    <row r="88" spans="1:22" ht="21" customHeight="1" x14ac:dyDescent="0.15">
      <c r="A88" s="86"/>
      <c r="B88" s="86"/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100"/>
      <c r="P88" s="101"/>
      <c r="Q88" s="102"/>
      <c r="R88" s="102"/>
      <c r="S88" s="102"/>
      <c r="T88" s="102"/>
      <c r="U88" s="102"/>
      <c r="V88" s="102"/>
    </row>
    <row r="89" spans="1:22" ht="21" customHeight="1" x14ac:dyDescent="0.15">
      <c r="A89" s="86"/>
      <c r="B89" s="86"/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100"/>
      <c r="P89" s="101"/>
      <c r="Q89" s="102"/>
      <c r="R89" s="102"/>
      <c r="S89" s="102"/>
      <c r="T89" s="102"/>
      <c r="U89" s="102"/>
      <c r="V89" s="102"/>
    </row>
    <row r="90" spans="1:22" ht="21" customHeight="1" x14ac:dyDescent="0.15">
      <c r="A90" s="86"/>
      <c r="B90" s="86"/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100"/>
      <c r="P90" s="101"/>
      <c r="Q90" s="102"/>
      <c r="R90" s="102"/>
      <c r="S90" s="102"/>
      <c r="T90" s="102"/>
      <c r="U90" s="102"/>
      <c r="V90" s="102"/>
    </row>
    <row r="91" spans="1:22" ht="21" customHeight="1" x14ac:dyDescent="0.15">
      <c r="A91" s="86"/>
      <c r="B91" s="86"/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100"/>
      <c r="P91" s="101"/>
      <c r="Q91" s="102"/>
      <c r="R91" s="102"/>
      <c r="S91" s="102"/>
      <c r="T91" s="102"/>
      <c r="U91" s="102"/>
      <c r="V91" s="102"/>
    </row>
    <row r="92" spans="1:22" ht="21" customHeight="1" x14ac:dyDescent="0.15">
      <c r="A92" s="86"/>
      <c r="B92" s="86"/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100"/>
      <c r="P92" s="101"/>
      <c r="Q92" s="102"/>
      <c r="R92" s="102"/>
      <c r="S92" s="102"/>
      <c r="T92" s="102"/>
      <c r="U92" s="102"/>
      <c r="V92" s="102"/>
    </row>
    <row r="93" spans="1:22" ht="21" customHeight="1" x14ac:dyDescent="0.15">
      <c r="A93" s="86"/>
      <c r="B93" s="86"/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100"/>
      <c r="P93" s="101"/>
      <c r="Q93" s="102"/>
      <c r="R93" s="102"/>
      <c r="S93" s="102"/>
      <c r="T93" s="102"/>
      <c r="U93" s="102"/>
      <c r="V93" s="102"/>
    </row>
    <row r="94" spans="1:22" ht="21" customHeight="1" x14ac:dyDescent="0.15">
      <c r="A94" s="86"/>
      <c r="B94" s="86"/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100"/>
      <c r="P94" s="101"/>
      <c r="Q94" s="102"/>
      <c r="R94" s="102"/>
      <c r="S94" s="102"/>
      <c r="T94" s="102"/>
      <c r="U94" s="102"/>
      <c r="V94" s="102"/>
    </row>
    <row r="95" spans="1:22" ht="21" customHeight="1" x14ac:dyDescent="0.15">
      <c r="A95" s="86"/>
      <c r="B95" s="86"/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100"/>
      <c r="P95" s="101"/>
      <c r="Q95" s="102"/>
      <c r="R95" s="102"/>
      <c r="S95" s="102"/>
      <c r="T95" s="102"/>
      <c r="U95" s="102"/>
      <c r="V95" s="102"/>
    </row>
    <row r="96" spans="1:22" ht="21" customHeight="1" x14ac:dyDescent="0.15">
      <c r="A96" s="86"/>
      <c r="B96" s="86"/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100"/>
      <c r="P96" s="101"/>
      <c r="Q96" s="102"/>
      <c r="R96" s="102"/>
      <c r="S96" s="102"/>
      <c r="T96" s="102"/>
      <c r="U96" s="102"/>
      <c r="V96" s="102"/>
    </row>
    <row r="97" spans="1:22" ht="21" customHeight="1" x14ac:dyDescent="0.15">
      <c r="A97" s="86"/>
      <c r="B97" s="86"/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100"/>
      <c r="P97" s="101"/>
      <c r="Q97" s="102"/>
      <c r="R97" s="102"/>
      <c r="S97" s="102"/>
      <c r="T97" s="102"/>
      <c r="U97" s="102"/>
      <c r="V97" s="102"/>
    </row>
    <row r="98" spans="1:22" ht="21" customHeight="1" x14ac:dyDescent="0.15">
      <c r="A98" s="86"/>
      <c r="B98" s="86"/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100"/>
      <c r="P98" s="101"/>
      <c r="Q98" s="102"/>
      <c r="R98" s="102"/>
      <c r="S98" s="102"/>
      <c r="T98" s="102"/>
      <c r="U98" s="102"/>
      <c r="V98" s="102"/>
    </row>
    <row r="99" spans="1:22" ht="21" customHeight="1" x14ac:dyDescent="0.15">
      <c r="A99" s="86"/>
      <c r="B99" s="86"/>
      <c r="C99" s="86"/>
      <c r="D99" s="86"/>
      <c r="E99" s="86"/>
      <c r="F99" s="86"/>
      <c r="G99" s="86"/>
      <c r="H99" s="86"/>
      <c r="I99" s="86"/>
      <c r="J99" s="86"/>
      <c r="K99" s="86"/>
      <c r="L99" s="86"/>
      <c r="M99" s="86"/>
      <c r="N99" s="86"/>
      <c r="O99" s="100"/>
      <c r="P99" s="101"/>
      <c r="Q99" s="102"/>
      <c r="R99" s="102"/>
      <c r="S99" s="102"/>
      <c r="T99" s="102"/>
      <c r="U99" s="102"/>
      <c r="V99" s="102"/>
    </row>
    <row r="100" spans="1:22" ht="21" customHeight="1" x14ac:dyDescent="0.15">
      <c r="A100" s="86"/>
      <c r="B100" s="86"/>
      <c r="C100" s="86"/>
      <c r="D100" s="86"/>
      <c r="E100" s="86"/>
      <c r="F100" s="86"/>
      <c r="G100" s="86"/>
      <c r="H100" s="86"/>
      <c r="I100" s="86"/>
      <c r="J100" s="86"/>
      <c r="K100" s="86"/>
      <c r="L100" s="86"/>
      <c r="M100" s="86"/>
      <c r="N100" s="86"/>
      <c r="O100" s="100"/>
      <c r="P100" s="101"/>
      <c r="Q100" s="102"/>
      <c r="R100" s="102"/>
      <c r="S100" s="102"/>
      <c r="T100" s="102"/>
      <c r="U100" s="102"/>
      <c r="V100" s="102"/>
    </row>
    <row r="101" spans="1:22" ht="21" customHeight="1" x14ac:dyDescent="0.15">
      <c r="A101" s="86"/>
      <c r="B101" s="86"/>
      <c r="C101" s="86"/>
      <c r="D101" s="86"/>
      <c r="E101" s="86"/>
      <c r="F101" s="86"/>
      <c r="G101" s="86"/>
      <c r="H101" s="86"/>
      <c r="I101" s="86"/>
      <c r="J101" s="86"/>
      <c r="K101" s="86"/>
      <c r="L101" s="86"/>
      <c r="M101" s="86"/>
      <c r="N101" s="86"/>
      <c r="O101" s="100"/>
      <c r="P101" s="101"/>
      <c r="Q101" s="102"/>
      <c r="R101" s="102"/>
      <c r="S101" s="102"/>
      <c r="T101" s="102"/>
      <c r="U101" s="102"/>
      <c r="V101" s="102"/>
    </row>
    <row r="102" spans="1:22" ht="21" customHeight="1" x14ac:dyDescent="0.15">
      <c r="A102" s="86"/>
      <c r="B102" s="86"/>
      <c r="C102" s="86"/>
      <c r="D102" s="86"/>
      <c r="E102" s="86"/>
      <c r="F102" s="86"/>
      <c r="G102" s="86"/>
      <c r="H102" s="86"/>
      <c r="I102" s="86"/>
      <c r="J102" s="86"/>
      <c r="K102" s="86"/>
      <c r="L102" s="86"/>
      <c r="M102" s="86"/>
      <c r="N102" s="86"/>
      <c r="O102" s="100"/>
      <c r="P102" s="101"/>
      <c r="Q102" s="102"/>
      <c r="R102" s="102"/>
      <c r="S102" s="102"/>
      <c r="T102" s="102"/>
      <c r="U102" s="102"/>
      <c r="V102" s="102"/>
    </row>
    <row r="103" spans="1:22" ht="21" customHeight="1" x14ac:dyDescent="0.15">
      <c r="A103" s="86"/>
      <c r="B103" s="86"/>
      <c r="C103" s="86"/>
      <c r="D103" s="86"/>
      <c r="E103" s="86"/>
      <c r="F103" s="86"/>
      <c r="G103" s="86"/>
      <c r="H103" s="86"/>
      <c r="I103" s="86"/>
      <c r="J103" s="86"/>
      <c r="K103" s="86"/>
      <c r="L103" s="86"/>
      <c r="M103" s="86"/>
      <c r="N103" s="86"/>
      <c r="O103" s="100"/>
      <c r="P103" s="101"/>
      <c r="Q103" s="102"/>
      <c r="R103" s="102"/>
      <c r="S103" s="102"/>
      <c r="T103" s="102"/>
      <c r="U103" s="102"/>
      <c r="V103" s="102"/>
    </row>
    <row r="104" spans="1:22" ht="21" customHeight="1" x14ac:dyDescent="0.15">
      <c r="A104" s="86"/>
      <c r="B104" s="86"/>
      <c r="C104" s="86"/>
      <c r="D104" s="86"/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100"/>
      <c r="P104" s="101"/>
      <c r="Q104" s="102"/>
      <c r="R104" s="102"/>
      <c r="S104" s="102"/>
      <c r="T104" s="102"/>
      <c r="U104" s="102"/>
      <c r="V104" s="102"/>
    </row>
    <row r="105" spans="1:22" ht="21" customHeight="1" x14ac:dyDescent="0.15">
      <c r="A105" s="86"/>
      <c r="B105" s="86"/>
      <c r="C105" s="86"/>
      <c r="D105" s="86"/>
      <c r="E105" s="86"/>
      <c r="F105" s="86"/>
      <c r="G105" s="86"/>
      <c r="H105" s="86"/>
      <c r="I105" s="86"/>
      <c r="J105" s="86"/>
      <c r="K105" s="86"/>
      <c r="L105" s="86"/>
      <c r="M105" s="86"/>
      <c r="N105" s="86"/>
      <c r="O105" s="100"/>
      <c r="P105" s="101"/>
      <c r="Q105" s="102"/>
      <c r="R105" s="102"/>
      <c r="S105" s="102"/>
      <c r="T105" s="102"/>
      <c r="U105" s="102"/>
      <c r="V105" s="102"/>
    </row>
    <row r="106" spans="1:22" ht="21" customHeight="1" x14ac:dyDescent="0.15">
      <c r="A106" s="86"/>
      <c r="B106" s="86"/>
      <c r="C106" s="86"/>
      <c r="D106" s="86"/>
      <c r="E106" s="86"/>
      <c r="F106" s="86"/>
      <c r="G106" s="86"/>
      <c r="H106" s="86"/>
      <c r="I106" s="86"/>
      <c r="J106" s="86"/>
      <c r="K106" s="86"/>
      <c r="L106" s="86"/>
      <c r="M106" s="86"/>
      <c r="N106" s="86"/>
      <c r="O106" s="100"/>
      <c r="P106" s="101"/>
      <c r="Q106" s="102"/>
      <c r="R106" s="102"/>
      <c r="S106" s="102"/>
      <c r="T106" s="102"/>
      <c r="U106" s="102"/>
      <c r="V106" s="102"/>
    </row>
    <row r="107" spans="1:22" ht="21" customHeight="1" x14ac:dyDescent="0.15">
      <c r="A107" s="86"/>
      <c r="B107" s="86"/>
      <c r="C107" s="86"/>
      <c r="D107" s="86"/>
      <c r="E107" s="86"/>
      <c r="F107" s="86"/>
      <c r="G107" s="86"/>
      <c r="H107" s="86"/>
      <c r="I107" s="86"/>
      <c r="J107" s="86"/>
      <c r="K107" s="86"/>
      <c r="L107" s="86"/>
      <c r="M107" s="86"/>
      <c r="N107" s="86"/>
      <c r="O107" s="100"/>
      <c r="P107" s="101"/>
      <c r="Q107" s="102"/>
      <c r="R107" s="102"/>
      <c r="S107" s="102"/>
      <c r="T107" s="102"/>
      <c r="U107" s="102"/>
      <c r="V107" s="102"/>
    </row>
    <row r="108" spans="1:22" ht="21" customHeight="1" x14ac:dyDescent="0.15">
      <c r="A108" s="86"/>
      <c r="B108" s="86"/>
      <c r="C108" s="86"/>
      <c r="D108" s="86"/>
      <c r="E108" s="86"/>
      <c r="F108" s="86"/>
      <c r="G108" s="86"/>
      <c r="H108" s="86"/>
      <c r="I108" s="86"/>
      <c r="J108" s="86"/>
      <c r="K108" s="86"/>
      <c r="L108" s="86"/>
      <c r="M108" s="86"/>
      <c r="N108" s="86"/>
      <c r="O108" s="100"/>
      <c r="P108" s="101"/>
      <c r="Q108" s="102"/>
      <c r="R108" s="102"/>
      <c r="S108" s="102"/>
      <c r="T108" s="102"/>
      <c r="U108" s="102"/>
      <c r="V108" s="102"/>
    </row>
    <row r="109" spans="1:22" ht="21" customHeight="1" x14ac:dyDescent="0.15">
      <c r="A109" s="86"/>
      <c r="B109" s="86"/>
      <c r="C109" s="86"/>
      <c r="D109" s="86"/>
      <c r="E109" s="86"/>
      <c r="F109" s="86"/>
      <c r="G109" s="86"/>
      <c r="H109" s="86"/>
      <c r="I109" s="86"/>
      <c r="J109" s="86"/>
      <c r="K109" s="86"/>
      <c r="L109" s="86"/>
      <c r="M109" s="86"/>
      <c r="N109" s="86"/>
      <c r="O109" s="100"/>
      <c r="P109" s="101"/>
      <c r="Q109" s="102"/>
      <c r="R109" s="102"/>
      <c r="S109" s="102"/>
      <c r="T109" s="102"/>
      <c r="U109" s="102"/>
      <c r="V109" s="102"/>
    </row>
    <row r="110" spans="1:22" ht="21" customHeight="1" x14ac:dyDescent="0.15">
      <c r="A110" s="86"/>
      <c r="B110" s="86"/>
      <c r="C110" s="86"/>
      <c r="D110" s="86"/>
      <c r="E110" s="86"/>
      <c r="F110" s="86"/>
      <c r="G110" s="86"/>
      <c r="H110" s="86"/>
      <c r="I110" s="86"/>
      <c r="J110" s="86"/>
      <c r="K110" s="86"/>
      <c r="L110" s="86"/>
      <c r="M110" s="86"/>
      <c r="N110" s="86"/>
      <c r="O110" s="100"/>
      <c r="P110" s="101"/>
      <c r="Q110" s="102"/>
      <c r="R110" s="102"/>
      <c r="S110" s="102"/>
      <c r="T110" s="102"/>
      <c r="U110" s="102"/>
      <c r="V110" s="102"/>
    </row>
    <row r="111" spans="1:22" ht="21" customHeight="1" x14ac:dyDescent="0.15">
      <c r="A111" s="86"/>
      <c r="B111" s="86"/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100"/>
      <c r="P111" s="101"/>
      <c r="Q111" s="102"/>
      <c r="R111" s="102"/>
      <c r="S111" s="102"/>
      <c r="T111" s="102"/>
      <c r="U111" s="102"/>
      <c r="V111" s="102"/>
    </row>
    <row r="112" spans="1:22" ht="21" customHeight="1" x14ac:dyDescent="0.15">
      <c r="A112" s="86"/>
      <c r="B112" s="86"/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100"/>
      <c r="P112" s="101"/>
      <c r="Q112" s="102"/>
      <c r="R112" s="102"/>
      <c r="S112" s="102"/>
      <c r="T112" s="102"/>
      <c r="U112" s="102"/>
      <c r="V112" s="102"/>
    </row>
    <row r="113" spans="1:22" ht="21" customHeight="1" x14ac:dyDescent="0.15">
      <c r="A113" s="86"/>
      <c r="B113" s="86"/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100"/>
      <c r="P113" s="101"/>
      <c r="Q113" s="102"/>
      <c r="R113" s="102"/>
      <c r="S113" s="102"/>
      <c r="T113" s="102"/>
      <c r="U113" s="102"/>
      <c r="V113" s="102"/>
    </row>
    <row r="114" spans="1:22" ht="21" customHeight="1" x14ac:dyDescent="0.15">
      <c r="A114" s="86"/>
      <c r="B114" s="86"/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100"/>
      <c r="P114" s="101"/>
      <c r="Q114" s="102"/>
      <c r="R114" s="102"/>
      <c r="S114" s="102"/>
      <c r="T114" s="102"/>
      <c r="U114" s="102"/>
      <c r="V114" s="102"/>
    </row>
    <row r="115" spans="1:22" ht="21" customHeight="1" x14ac:dyDescent="0.15">
      <c r="A115" s="86"/>
      <c r="B115" s="86"/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100"/>
      <c r="P115" s="101"/>
      <c r="Q115" s="102"/>
      <c r="R115" s="102"/>
      <c r="S115" s="102"/>
      <c r="T115" s="102"/>
      <c r="U115" s="102"/>
      <c r="V115" s="102"/>
    </row>
    <row r="116" spans="1:22" ht="21" customHeight="1" x14ac:dyDescent="0.15">
      <c r="A116" s="86"/>
      <c r="B116" s="86"/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100"/>
      <c r="P116" s="101"/>
      <c r="Q116" s="102"/>
      <c r="R116" s="102"/>
      <c r="S116" s="102"/>
      <c r="T116" s="102"/>
      <c r="U116" s="102"/>
      <c r="V116" s="102"/>
    </row>
    <row r="117" spans="1:22" ht="21" customHeight="1" x14ac:dyDescent="0.15">
      <c r="A117" s="86"/>
      <c r="B117" s="86"/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100"/>
      <c r="P117" s="101"/>
      <c r="Q117" s="102"/>
      <c r="R117" s="102"/>
      <c r="S117" s="102"/>
      <c r="T117" s="102"/>
      <c r="U117" s="102"/>
      <c r="V117" s="102"/>
    </row>
    <row r="118" spans="1:22" ht="21" customHeight="1" x14ac:dyDescent="0.15">
      <c r="A118" s="86"/>
      <c r="B118" s="86"/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100"/>
      <c r="P118" s="101"/>
      <c r="Q118" s="102"/>
      <c r="R118" s="102"/>
      <c r="S118" s="102"/>
      <c r="T118" s="102"/>
      <c r="U118" s="102"/>
      <c r="V118" s="102"/>
    </row>
    <row r="119" spans="1:22" ht="21" customHeight="1" x14ac:dyDescent="0.15">
      <c r="A119" s="86"/>
      <c r="B119" s="86"/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100"/>
      <c r="P119" s="101"/>
      <c r="Q119" s="102"/>
      <c r="R119" s="102"/>
      <c r="S119" s="102"/>
      <c r="T119" s="102"/>
      <c r="U119" s="102"/>
      <c r="V119" s="102"/>
    </row>
    <row r="120" spans="1:22" ht="21" customHeight="1" x14ac:dyDescent="0.15">
      <c r="A120" s="86"/>
      <c r="B120" s="86"/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100"/>
      <c r="P120" s="101"/>
      <c r="Q120" s="102"/>
      <c r="R120" s="102"/>
      <c r="S120" s="102"/>
      <c r="T120" s="102"/>
      <c r="U120" s="102"/>
      <c r="V120" s="102"/>
    </row>
    <row r="121" spans="1:22" ht="21" customHeight="1" x14ac:dyDescent="0.15">
      <c r="A121" s="86"/>
      <c r="B121" s="86"/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100"/>
      <c r="P121" s="101"/>
      <c r="Q121" s="102"/>
      <c r="R121" s="102"/>
      <c r="S121" s="102"/>
      <c r="T121" s="102"/>
      <c r="U121" s="102"/>
      <c r="V121" s="102"/>
    </row>
    <row r="122" spans="1:22" ht="21" customHeight="1" x14ac:dyDescent="0.15">
      <c r="A122" s="86"/>
      <c r="B122" s="86"/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100"/>
      <c r="P122" s="101"/>
      <c r="Q122" s="102"/>
      <c r="R122" s="102"/>
      <c r="S122" s="102"/>
      <c r="T122" s="102"/>
      <c r="U122" s="102"/>
      <c r="V122" s="102"/>
    </row>
    <row r="123" spans="1:22" ht="21" customHeight="1" x14ac:dyDescent="0.15">
      <c r="A123" s="86"/>
      <c r="B123" s="86"/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100"/>
      <c r="P123" s="101"/>
      <c r="Q123" s="102"/>
      <c r="R123" s="102"/>
      <c r="S123" s="102"/>
      <c r="T123" s="102"/>
      <c r="U123" s="102"/>
      <c r="V123" s="102"/>
    </row>
    <row r="124" spans="1:22" ht="21" customHeight="1" x14ac:dyDescent="0.15">
      <c r="A124" s="86"/>
      <c r="B124" s="86"/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100"/>
      <c r="P124" s="101"/>
      <c r="Q124" s="102"/>
      <c r="R124" s="102"/>
      <c r="S124" s="102"/>
      <c r="T124" s="102"/>
      <c r="U124" s="102"/>
      <c r="V124" s="102"/>
    </row>
    <row r="125" spans="1:22" ht="21" customHeight="1" x14ac:dyDescent="0.15">
      <c r="A125" s="86"/>
      <c r="B125" s="86"/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100"/>
      <c r="P125" s="101"/>
      <c r="Q125" s="102"/>
      <c r="R125" s="102"/>
      <c r="S125" s="102"/>
      <c r="T125" s="102"/>
      <c r="U125" s="102"/>
      <c r="V125" s="102"/>
    </row>
    <row r="126" spans="1:22" ht="21" customHeight="1" x14ac:dyDescent="0.15">
      <c r="A126" s="86"/>
      <c r="B126" s="86"/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100"/>
      <c r="P126" s="101"/>
      <c r="Q126" s="102"/>
      <c r="R126" s="102"/>
      <c r="S126" s="102"/>
      <c r="T126" s="102"/>
      <c r="U126" s="102"/>
      <c r="V126" s="102"/>
    </row>
    <row r="127" spans="1:22" ht="21" customHeight="1" x14ac:dyDescent="0.15">
      <c r="A127" s="86"/>
      <c r="B127" s="86"/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100"/>
      <c r="P127" s="101"/>
      <c r="Q127" s="102"/>
      <c r="R127" s="102"/>
      <c r="S127" s="102"/>
      <c r="T127" s="102"/>
      <c r="U127" s="102"/>
      <c r="V127" s="102"/>
    </row>
    <row r="128" spans="1:22" ht="21" customHeight="1" x14ac:dyDescent="0.15">
      <c r="A128" s="86"/>
      <c r="B128" s="86"/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100"/>
      <c r="P128" s="101"/>
      <c r="Q128" s="102"/>
      <c r="R128" s="102"/>
      <c r="S128" s="102"/>
      <c r="T128" s="102"/>
      <c r="U128" s="102"/>
      <c r="V128" s="102"/>
    </row>
    <row r="129" spans="1:22" ht="21" customHeight="1" x14ac:dyDescent="0.15">
      <c r="A129" s="86"/>
      <c r="B129" s="86"/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100"/>
      <c r="P129" s="101"/>
      <c r="Q129" s="102"/>
      <c r="R129" s="102"/>
      <c r="S129" s="102"/>
      <c r="T129" s="102"/>
      <c r="U129" s="102"/>
      <c r="V129" s="102"/>
    </row>
    <row r="130" spans="1:22" ht="21" customHeight="1" x14ac:dyDescent="0.15">
      <c r="A130" s="86"/>
      <c r="B130" s="86"/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100"/>
      <c r="P130" s="101"/>
      <c r="Q130" s="102"/>
      <c r="R130" s="102"/>
      <c r="S130" s="102"/>
      <c r="T130" s="102"/>
      <c r="U130" s="102"/>
      <c r="V130" s="102"/>
    </row>
    <row r="131" spans="1:22" ht="21" customHeight="1" x14ac:dyDescent="0.15">
      <c r="A131" s="86"/>
      <c r="B131" s="86"/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100"/>
      <c r="P131" s="101"/>
      <c r="Q131" s="102"/>
      <c r="R131" s="102"/>
      <c r="S131" s="102"/>
      <c r="T131" s="102"/>
      <c r="U131" s="102"/>
      <c r="V131" s="102"/>
    </row>
    <row r="132" spans="1:22" ht="21" customHeight="1" x14ac:dyDescent="0.15">
      <c r="A132" s="86"/>
      <c r="B132" s="86"/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100"/>
      <c r="P132" s="101"/>
      <c r="Q132" s="102"/>
      <c r="R132" s="102"/>
      <c r="S132" s="102"/>
      <c r="T132" s="102"/>
      <c r="U132" s="102"/>
      <c r="V132" s="102"/>
    </row>
    <row r="133" spans="1:22" ht="21" customHeight="1" x14ac:dyDescent="0.15">
      <c r="A133" s="86"/>
      <c r="B133" s="86"/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100"/>
      <c r="P133" s="101"/>
      <c r="Q133" s="102"/>
      <c r="R133" s="102"/>
      <c r="S133" s="102"/>
      <c r="T133" s="102"/>
      <c r="U133" s="102"/>
      <c r="V133" s="102"/>
    </row>
  </sheetData>
  <autoFilter ref="A1:V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input_449010</vt:lpstr>
      <vt:lpstr>tables_449010</vt:lpstr>
      <vt:lpstr>input_449100</vt:lpstr>
      <vt:lpstr>tables_449100</vt:lpstr>
      <vt:lpstr>tables_settle_449105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2016-11-10T02:51:29Z</dcterms:modified>
</cp:coreProperties>
</file>